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13_ncr:1_{C66F07D8-D8D5-4227-B45F-A2665CB9F996}" xr6:coauthVersionLast="47" xr6:coauthVersionMax="47" xr10:uidLastSave="{00000000-0000-0000-0000-000000000000}"/>
  <bookViews>
    <workbookView xWindow="-103" yWindow="-103" windowWidth="16663" windowHeight="8863" activeTab="5" xr2:uid="{00000000-000D-0000-FFFF-FFFF00000000}"/>
  </bookViews>
  <sheets>
    <sheet name="Practice" sheetId="1" r:id="rId1"/>
    <sheet name="Question" sheetId="4" r:id="rId2"/>
    <sheet name="Homework2" sheetId="3" r:id="rId3"/>
    <sheet name="Homework1" sheetId="2" r:id="rId4"/>
    <sheet name="Q10." sheetId="6" r:id="rId5"/>
    <sheet name="Practice (2)" sheetId="5" r:id="rId6"/>
  </sheet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1" i="5" l="1"/>
  <c r="L55" i="5"/>
  <c r="L52" i="5"/>
  <c r="L49" i="5"/>
  <c r="L46" i="5"/>
  <c r="L37" i="5"/>
  <c r="L27" i="5"/>
  <c r="L21" i="5"/>
  <c r="L18" i="5"/>
  <c r="L12" i="5"/>
  <c r="L9" i="5"/>
  <c r="L3" i="5"/>
  <c r="I31" i="2"/>
  <c r="I28" i="2"/>
  <c r="I25" i="2"/>
  <c r="I24" i="2"/>
  <c r="I23" i="2"/>
  <c r="I22" i="2"/>
  <c r="I19" i="2"/>
  <c r="I16" i="2"/>
  <c r="I13" i="2"/>
  <c r="I10" i="2"/>
  <c r="I9" i="2"/>
  <c r="I6" i="2"/>
  <c r="I5" i="2"/>
  <c r="I4" i="2"/>
  <c r="I3" i="2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2" i="5"/>
  <c r="L58" i="5" s="1"/>
  <c r="L30" i="5" l="1"/>
  <c r="H2" i="5"/>
  <c r="L24" i="5"/>
  <c r="H798" i="5"/>
  <c r="I798" i="5"/>
  <c r="H794" i="5"/>
  <c r="I794" i="5"/>
  <c r="H790" i="5"/>
  <c r="I790" i="5"/>
  <c r="H786" i="5"/>
  <c r="I786" i="5"/>
  <c r="H782" i="5"/>
  <c r="I782" i="5"/>
  <c r="H778" i="5"/>
  <c r="I778" i="5"/>
  <c r="H774" i="5"/>
  <c r="I774" i="5"/>
  <c r="H770" i="5"/>
  <c r="I770" i="5"/>
  <c r="H766" i="5"/>
  <c r="I766" i="5"/>
  <c r="H762" i="5"/>
  <c r="I762" i="5"/>
  <c r="H758" i="5"/>
  <c r="I758" i="5"/>
  <c r="H754" i="5"/>
  <c r="I754" i="5"/>
  <c r="H750" i="5"/>
  <c r="I750" i="5"/>
  <c r="H746" i="5"/>
  <c r="I746" i="5"/>
  <c r="H742" i="5"/>
  <c r="I742" i="5"/>
  <c r="H738" i="5"/>
  <c r="I738" i="5"/>
  <c r="H734" i="5"/>
  <c r="I734" i="5"/>
  <c r="H730" i="5"/>
  <c r="I730" i="5"/>
  <c r="H726" i="5"/>
  <c r="I726" i="5"/>
  <c r="H722" i="5"/>
  <c r="I722" i="5"/>
  <c r="H718" i="5"/>
  <c r="I718" i="5"/>
  <c r="H714" i="5"/>
  <c r="I714" i="5"/>
  <c r="H710" i="5"/>
  <c r="I710" i="5"/>
  <c r="H706" i="5"/>
  <c r="I706" i="5"/>
  <c r="H702" i="5"/>
  <c r="I702" i="5"/>
  <c r="H698" i="5"/>
  <c r="I698" i="5"/>
  <c r="H694" i="5"/>
  <c r="I694" i="5"/>
  <c r="H690" i="5"/>
  <c r="I690" i="5"/>
  <c r="H686" i="5"/>
  <c r="I686" i="5"/>
  <c r="H682" i="5"/>
  <c r="I682" i="5"/>
  <c r="H678" i="5"/>
  <c r="I678" i="5"/>
  <c r="H674" i="5"/>
  <c r="I674" i="5"/>
  <c r="H670" i="5"/>
  <c r="I670" i="5"/>
  <c r="H666" i="5"/>
  <c r="I666" i="5"/>
  <c r="H662" i="5"/>
  <c r="I662" i="5"/>
  <c r="H658" i="5"/>
  <c r="I658" i="5"/>
  <c r="H654" i="5"/>
  <c r="I654" i="5"/>
  <c r="H650" i="5"/>
  <c r="I650" i="5"/>
  <c r="H646" i="5"/>
  <c r="I646" i="5"/>
  <c r="H642" i="5"/>
  <c r="I642" i="5"/>
  <c r="H638" i="5"/>
  <c r="I638" i="5"/>
  <c r="H634" i="5"/>
  <c r="I634" i="5"/>
  <c r="H630" i="5"/>
  <c r="I630" i="5"/>
  <c r="H626" i="5"/>
  <c r="I626" i="5"/>
  <c r="H622" i="5"/>
  <c r="I622" i="5"/>
  <c r="H618" i="5"/>
  <c r="I618" i="5"/>
  <c r="H614" i="5"/>
  <c r="I614" i="5"/>
  <c r="H610" i="5"/>
  <c r="I610" i="5"/>
  <c r="H606" i="5"/>
  <c r="I606" i="5"/>
  <c r="H602" i="5"/>
  <c r="I602" i="5"/>
  <c r="H598" i="5"/>
  <c r="I598" i="5"/>
  <c r="H594" i="5"/>
  <c r="I594" i="5"/>
  <c r="H590" i="5"/>
  <c r="I590" i="5"/>
  <c r="H586" i="5"/>
  <c r="I586" i="5"/>
  <c r="H582" i="5"/>
  <c r="I582" i="5"/>
  <c r="H578" i="5"/>
  <c r="I578" i="5"/>
  <c r="H574" i="5"/>
  <c r="I574" i="5"/>
  <c r="H570" i="5"/>
  <c r="I570" i="5"/>
  <c r="H566" i="5"/>
  <c r="I566" i="5"/>
  <c r="H562" i="5"/>
  <c r="I562" i="5"/>
  <c r="H558" i="5"/>
  <c r="I558" i="5"/>
  <c r="H554" i="5"/>
  <c r="I554" i="5"/>
  <c r="H550" i="5"/>
  <c r="I550" i="5"/>
  <c r="H546" i="5"/>
  <c r="I546" i="5"/>
  <c r="H542" i="5"/>
  <c r="I542" i="5"/>
  <c r="H538" i="5"/>
  <c r="I538" i="5"/>
  <c r="H534" i="5"/>
  <c r="I534" i="5"/>
  <c r="H530" i="5"/>
  <c r="I530" i="5"/>
  <c r="H526" i="5"/>
  <c r="I526" i="5"/>
  <c r="H522" i="5"/>
  <c r="I522" i="5"/>
  <c r="H518" i="5"/>
  <c r="I518" i="5"/>
  <c r="H514" i="5"/>
  <c r="I514" i="5"/>
  <c r="H510" i="5"/>
  <c r="I510" i="5"/>
  <c r="H506" i="5"/>
  <c r="I506" i="5"/>
  <c r="H502" i="5"/>
  <c r="I502" i="5"/>
  <c r="H498" i="5"/>
  <c r="I498" i="5"/>
  <c r="H494" i="5"/>
  <c r="I494" i="5"/>
  <c r="H490" i="5"/>
  <c r="I490" i="5"/>
  <c r="H486" i="5"/>
  <c r="I486" i="5"/>
  <c r="H482" i="5"/>
  <c r="I482" i="5"/>
  <c r="H478" i="5"/>
  <c r="I478" i="5"/>
  <c r="H474" i="5"/>
  <c r="I474" i="5"/>
  <c r="H470" i="5"/>
  <c r="I470" i="5"/>
  <c r="H466" i="5"/>
  <c r="I466" i="5"/>
  <c r="H462" i="5"/>
  <c r="I462" i="5"/>
  <c r="H458" i="5"/>
  <c r="I458" i="5"/>
  <c r="H454" i="5"/>
  <c r="I454" i="5"/>
  <c r="H450" i="5"/>
  <c r="I450" i="5"/>
  <c r="H446" i="5"/>
  <c r="I446" i="5"/>
  <c r="H442" i="5"/>
  <c r="I442" i="5"/>
  <c r="H438" i="5"/>
  <c r="I438" i="5"/>
  <c r="H434" i="5"/>
  <c r="I434" i="5"/>
  <c r="H430" i="5"/>
  <c r="I430" i="5"/>
  <c r="H426" i="5"/>
  <c r="I426" i="5"/>
  <c r="H422" i="5"/>
  <c r="I422" i="5"/>
  <c r="H418" i="5"/>
  <c r="I418" i="5"/>
  <c r="H414" i="5"/>
  <c r="I414" i="5"/>
  <c r="H410" i="5"/>
  <c r="I410" i="5"/>
  <c r="H406" i="5"/>
  <c r="I406" i="5"/>
  <c r="H402" i="5"/>
  <c r="I402" i="5"/>
  <c r="H398" i="5"/>
  <c r="I398" i="5"/>
  <c r="H394" i="5"/>
  <c r="I394" i="5"/>
  <c r="H390" i="5"/>
  <c r="I390" i="5"/>
  <c r="H386" i="5"/>
  <c r="I386" i="5"/>
  <c r="H382" i="5"/>
  <c r="I382" i="5"/>
  <c r="H378" i="5"/>
  <c r="I378" i="5"/>
  <c r="H374" i="5"/>
  <c r="I374" i="5"/>
  <c r="H370" i="5"/>
  <c r="I370" i="5"/>
  <c r="H366" i="5"/>
  <c r="I366" i="5"/>
  <c r="H362" i="5"/>
  <c r="I362" i="5"/>
  <c r="H358" i="5"/>
  <c r="I358" i="5"/>
  <c r="H354" i="5"/>
  <c r="I354" i="5"/>
  <c r="H350" i="5"/>
  <c r="I350" i="5"/>
  <c r="H346" i="5"/>
  <c r="I346" i="5"/>
  <c r="H342" i="5"/>
  <c r="I342" i="5"/>
  <c r="H338" i="5"/>
  <c r="I338" i="5"/>
  <c r="H334" i="5"/>
  <c r="I334" i="5"/>
  <c r="H330" i="5"/>
  <c r="I330" i="5"/>
  <c r="H326" i="5"/>
  <c r="I326" i="5"/>
  <c r="H322" i="5"/>
  <c r="I322" i="5"/>
  <c r="H318" i="5"/>
  <c r="I318" i="5"/>
  <c r="H314" i="5"/>
  <c r="I314" i="5"/>
  <c r="H310" i="5"/>
  <c r="I310" i="5"/>
  <c r="H306" i="5"/>
  <c r="I306" i="5"/>
  <c r="H302" i="5"/>
  <c r="I302" i="5"/>
  <c r="H298" i="5"/>
  <c r="I298" i="5"/>
  <c r="H294" i="5"/>
  <c r="I294" i="5"/>
  <c r="H290" i="5"/>
  <c r="I290" i="5"/>
  <c r="H286" i="5"/>
  <c r="I286" i="5"/>
  <c r="H282" i="5"/>
  <c r="I282" i="5"/>
  <c r="H278" i="5"/>
  <c r="I278" i="5"/>
  <c r="H274" i="5"/>
  <c r="I274" i="5"/>
  <c r="H270" i="5"/>
  <c r="I270" i="5"/>
  <c r="H266" i="5"/>
  <c r="I266" i="5"/>
  <c r="H262" i="5"/>
  <c r="I262" i="5"/>
  <c r="H258" i="5"/>
  <c r="I258" i="5"/>
  <c r="H254" i="5"/>
  <c r="I254" i="5"/>
  <c r="H250" i="5"/>
  <c r="I250" i="5"/>
  <c r="H246" i="5"/>
  <c r="I246" i="5"/>
  <c r="H242" i="5"/>
  <c r="I242" i="5"/>
  <c r="H238" i="5"/>
  <c r="I238" i="5"/>
  <c r="H234" i="5"/>
  <c r="I234" i="5"/>
  <c r="H230" i="5"/>
  <c r="I230" i="5"/>
  <c r="H226" i="5"/>
  <c r="I226" i="5"/>
  <c r="H222" i="5"/>
  <c r="I222" i="5"/>
  <c r="H218" i="5"/>
  <c r="I218" i="5"/>
  <c r="H214" i="5"/>
  <c r="I214" i="5"/>
  <c r="H210" i="5"/>
  <c r="I210" i="5"/>
  <c r="H801" i="5"/>
  <c r="I801" i="5"/>
  <c r="H797" i="5"/>
  <c r="I797" i="5"/>
  <c r="H793" i="5"/>
  <c r="I793" i="5"/>
  <c r="H789" i="5"/>
  <c r="I789" i="5"/>
  <c r="H785" i="5"/>
  <c r="I785" i="5"/>
  <c r="H781" i="5"/>
  <c r="I781" i="5"/>
  <c r="H777" i="5"/>
  <c r="I777" i="5"/>
  <c r="H773" i="5"/>
  <c r="I773" i="5"/>
  <c r="H769" i="5"/>
  <c r="I769" i="5"/>
  <c r="H765" i="5"/>
  <c r="I765" i="5"/>
  <c r="H761" i="5"/>
  <c r="I761" i="5"/>
  <c r="H757" i="5"/>
  <c r="I757" i="5"/>
  <c r="H753" i="5"/>
  <c r="I753" i="5"/>
  <c r="H749" i="5"/>
  <c r="I749" i="5"/>
  <c r="H745" i="5"/>
  <c r="I745" i="5"/>
  <c r="H741" i="5"/>
  <c r="I741" i="5"/>
  <c r="H737" i="5"/>
  <c r="I737" i="5"/>
  <c r="H733" i="5"/>
  <c r="I733" i="5"/>
  <c r="H729" i="5"/>
  <c r="I729" i="5"/>
  <c r="H725" i="5"/>
  <c r="I725" i="5"/>
  <c r="H721" i="5"/>
  <c r="I721" i="5"/>
  <c r="H717" i="5"/>
  <c r="I717" i="5"/>
  <c r="H713" i="5"/>
  <c r="I713" i="5"/>
  <c r="H709" i="5"/>
  <c r="I709" i="5"/>
  <c r="H705" i="5"/>
  <c r="I705" i="5"/>
  <c r="H701" i="5"/>
  <c r="I701" i="5"/>
  <c r="H697" i="5"/>
  <c r="I697" i="5"/>
  <c r="H693" i="5"/>
  <c r="I693" i="5"/>
  <c r="H689" i="5"/>
  <c r="I689" i="5"/>
  <c r="H685" i="5"/>
  <c r="I685" i="5"/>
  <c r="H681" i="5"/>
  <c r="I681" i="5"/>
  <c r="H677" i="5"/>
  <c r="I677" i="5"/>
  <c r="H673" i="5"/>
  <c r="I673" i="5"/>
  <c r="H669" i="5"/>
  <c r="I669" i="5"/>
  <c r="H665" i="5"/>
  <c r="I665" i="5"/>
  <c r="H661" i="5"/>
  <c r="I661" i="5"/>
  <c r="H657" i="5"/>
  <c r="I657" i="5"/>
  <c r="H653" i="5"/>
  <c r="I653" i="5"/>
  <c r="H649" i="5"/>
  <c r="I649" i="5"/>
  <c r="H645" i="5"/>
  <c r="I645" i="5"/>
  <c r="H641" i="5"/>
  <c r="I641" i="5"/>
  <c r="H637" i="5"/>
  <c r="I637" i="5"/>
  <c r="H633" i="5"/>
  <c r="I633" i="5"/>
  <c r="H629" i="5"/>
  <c r="I629" i="5"/>
  <c r="H625" i="5"/>
  <c r="I625" i="5"/>
  <c r="H621" i="5"/>
  <c r="I621" i="5"/>
  <c r="H617" i="5"/>
  <c r="I617" i="5"/>
  <c r="H613" i="5"/>
  <c r="I613" i="5"/>
  <c r="H609" i="5"/>
  <c r="I609" i="5"/>
  <c r="H605" i="5"/>
  <c r="I605" i="5"/>
  <c r="H601" i="5"/>
  <c r="I601" i="5"/>
  <c r="H597" i="5"/>
  <c r="I597" i="5"/>
  <c r="H593" i="5"/>
  <c r="I593" i="5"/>
  <c r="H589" i="5"/>
  <c r="I589" i="5"/>
  <c r="H585" i="5"/>
  <c r="I585" i="5"/>
  <c r="H581" i="5"/>
  <c r="I581" i="5"/>
  <c r="H577" i="5"/>
  <c r="I577" i="5"/>
  <c r="H573" i="5"/>
  <c r="I573" i="5"/>
  <c r="H569" i="5"/>
  <c r="I569" i="5"/>
  <c r="H565" i="5"/>
  <c r="I565" i="5"/>
  <c r="H561" i="5"/>
  <c r="I561" i="5"/>
  <c r="H557" i="5"/>
  <c r="I557" i="5"/>
  <c r="H553" i="5"/>
  <c r="I553" i="5"/>
  <c r="H549" i="5"/>
  <c r="I549" i="5"/>
  <c r="H545" i="5"/>
  <c r="I545" i="5"/>
  <c r="H541" i="5"/>
  <c r="I541" i="5"/>
  <c r="H537" i="5"/>
  <c r="I537" i="5"/>
  <c r="H533" i="5"/>
  <c r="I533" i="5"/>
  <c r="H529" i="5"/>
  <c r="I529" i="5"/>
  <c r="H525" i="5"/>
  <c r="I525" i="5"/>
  <c r="H521" i="5"/>
  <c r="I521" i="5"/>
  <c r="H517" i="5"/>
  <c r="I517" i="5"/>
  <c r="H513" i="5"/>
  <c r="I513" i="5"/>
  <c r="H509" i="5"/>
  <c r="I509" i="5"/>
  <c r="H505" i="5"/>
  <c r="I505" i="5"/>
  <c r="H501" i="5"/>
  <c r="I501" i="5"/>
  <c r="H497" i="5"/>
  <c r="I497" i="5"/>
  <c r="H493" i="5"/>
  <c r="I493" i="5"/>
  <c r="H489" i="5"/>
  <c r="I489" i="5"/>
  <c r="H485" i="5"/>
  <c r="I485" i="5"/>
  <c r="H481" i="5"/>
  <c r="I481" i="5"/>
  <c r="H477" i="5"/>
  <c r="I477" i="5"/>
  <c r="H473" i="5"/>
  <c r="I473" i="5"/>
  <c r="H469" i="5"/>
  <c r="I469" i="5"/>
  <c r="H465" i="5"/>
  <c r="I465" i="5"/>
  <c r="H461" i="5"/>
  <c r="I461" i="5"/>
  <c r="H457" i="5"/>
  <c r="I457" i="5"/>
  <c r="H453" i="5"/>
  <c r="I453" i="5"/>
  <c r="H449" i="5"/>
  <c r="I449" i="5"/>
  <c r="H445" i="5"/>
  <c r="I445" i="5"/>
  <c r="H441" i="5"/>
  <c r="I441" i="5"/>
  <c r="H437" i="5"/>
  <c r="I437" i="5"/>
  <c r="H433" i="5"/>
  <c r="I433" i="5"/>
  <c r="H429" i="5"/>
  <c r="I429" i="5"/>
  <c r="H425" i="5"/>
  <c r="I425" i="5"/>
  <c r="H421" i="5"/>
  <c r="I421" i="5"/>
  <c r="H417" i="5"/>
  <c r="I417" i="5"/>
  <c r="H413" i="5"/>
  <c r="I413" i="5"/>
  <c r="H409" i="5"/>
  <c r="I409" i="5"/>
  <c r="H405" i="5"/>
  <c r="I405" i="5"/>
  <c r="H401" i="5"/>
  <c r="I401" i="5"/>
  <c r="H397" i="5"/>
  <c r="I397" i="5"/>
  <c r="H393" i="5"/>
  <c r="I393" i="5"/>
  <c r="H389" i="5"/>
  <c r="I389" i="5"/>
  <c r="H385" i="5"/>
  <c r="I385" i="5"/>
  <c r="H381" i="5"/>
  <c r="I381" i="5"/>
  <c r="H377" i="5"/>
  <c r="I377" i="5"/>
  <c r="H373" i="5"/>
  <c r="I373" i="5"/>
  <c r="H369" i="5"/>
  <c r="I369" i="5"/>
  <c r="H365" i="5"/>
  <c r="I365" i="5"/>
  <c r="H361" i="5"/>
  <c r="I361" i="5"/>
  <c r="H357" i="5"/>
  <c r="I357" i="5"/>
  <c r="H353" i="5"/>
  <c r="I353" i="5"/>
  <c r="H349" i="5"/>
  <c r="I349" i="5"/>
  <c r="H345" i="5"/>
  <c r="I345" i="5"/>
  <c r="H341" i="5"/>
  <c r="I341" i="5"/>
  <c r="H337" i="5"/>
  <c r="I337" i="5"/>
  <c r="H333" i="5"/>
  <c r="I333" i="5"/>
  <c r="H329" i="5"/>
  <c r="I329" i="5"/>
  <c r="H325" i="5"/>
  <c r="I325" i="5"/>
  <c r="H321" i="5"/>
  <c r="I321" i="5"/>
  <c r="H317" i="5"/>
  <c r="I317" i="5"/>
  <c r="H313" i="5"/>
  <c r="I313" i="5"/>
  <c r="H309" i="5"/>
  <c r="I309" i="5"/>
  <c r="H305" i="5"/>
  <c r="I305" i="5"/>
  <c r="H301" i="5"/>
  <c r="I301" i="5"/>
  <c r="H297" i="5"/>
  <c r="I297" i="5"/>
  <c r="H293" i="5"/>
  <c r="I293" i="5"/>
  <c r="H289" i="5"/>
  <c r="I289" i="5"/>
  <c r="H285" i="5"/>
  <c r="I285" i="5"/>
  <c r="H281" i="5"/>
  <c r="I281" i="5"/>
  <c r="H277" i="5"/>
  <c r="I277" i="5"/>
  <c r="H273" i="5"/>
  <c r="I273" i="5"/>
  <c r="H269" i="5"/>
  <c r="I269" i="5"/>
  <c r="H265" i="5"/>
  <c r="I265" i="5"/>
  <c r="H261" i="5"/>
  <c r="I261" i="5"/>
  <c r="H257" i="5"/>
  <c r="I257" i="5"/>
  <c r="H253" i="5"/>
  <c r="I253" i="5"/>
  <c r="H249" i="5"/>
  <c r="I249" i="5"/>
  <c r="H245" i="5"/>
  <c r="I245" i="5"/>
  <c r="H241" i="5"/>
  <c r="I241" i="5"/>
  <c r="H237" i="5"/>
  <c r="I237" i="5"/>
  <c r="H233" i="5"/>
  <c r="I233" i="5"/>
  <c r="H229" i="5"/>
  <c r="I229" i="5"/>
  <c r="H225" i="5"/>
  <c r="I225" i="5"/>
  <c r="H221" i="5"/>
  <c r="I221" i="5"/>
  <c r="H217" i="5"/>
  <c r="I217" i="5"/>
  <c r="H213" i="5"/>
  <c r="I213" i="5"/>
  <c r="H209" i="5"/>
  <c r="I209" i="5"/>
  <c r="H800" i="5"/>
  <c r="I800" i="5"/>
  <c r="H796" i="5"/>
  <c r="I796" i="5"/>
  <c r="H792" i="5"/>
  <c r="I792" i="5"/>
  <c r="H788" i="5"/>
  <c r="I788" i="5"/>
  <c r="H784" i="5"/>
  <c r="I784" i="5"/>
  <c r="H780" i="5"/>
  <c r="I780" i="5"/>
  <c r="H776" i="5"/>
  <c r="I776" i="5"/>
  <c r="H772" i="5"/>
  <c r="I772" i="5"/>
  <c r="H768" i="5"/>
  <c r="I768" i="5"/>
  <c r="H764" i="5"/>
  <c r="I764" i="5"/>
  <c r="H760" i="5"/>
  <c r="I760" i="5"/>
  <c r="H756" i="5"/>
  <c r="I756" i="5"/>
  <c r="H752" i="5"/>
  <c r="I752" i="5"/>
  <c r="H748" i="5"/>
  <c r="I748" i="5"/>
  <c r="H744" i="5"/>
  <c r="I744" i="5"/>
  <c r="H740" i="5"/>
  <c r="I740" i="5"/>
  <c r="H736" i="5"/>
  <c r="I736" i="5"/>
  <c r="H732" i="5"/>
  <c r="I732" i="5"/>
  <c r="H728" i="5"/>
  <c r="I728" i="5"/>
  <c r="H724" i="5"/>
  <c r="I724" i="5"/>
  <c r="H720" i="5"/>
  <c r="I720" i="5"/>
  <c r="H716" i="5"/>
  <c r="I716" i="5"/>
  <c r="H712" i="5"/>
  <c r="I712" i="5"/>
  <c r="H708" i="5"/>
  <c r="I708" i="5"/>
  <c r="H704" i="5"/>
  <c r="I704" i="5"/>
  <c r="H700" i="5"/>
  <c r="I700" i="5"/>
  <c r="H696" i="5"/>
  <c r="I696" i="5"/>
  <c r="H692" i="5"/>
  <c r="I692" i="5"/>
  <c r="H688" i="5"/>
  <c r="I688" i="5"/>
  <c r="H684" i="5"/>
  <c r="I684" i="5"/>
  <c r="H680" i="5"/>
  <c r="I680" i="5"/>
  <c r="H676" i="5"/>
  <c r="I676" i="5"/>
  <c r="H672" i="5"/>
  <c r="I672" i="5"/>
  <c r="H668" i="5"/>
  <c r="I668" i="5"/>
  <c r="H664" i="5"/>
  <c r="I664" i="5"/>
  <c r="H660" i="5"/>
  <c r="I660" i="5"/>
  <c r="H656" i="5"/>
  <c r="I656" i="5"/>
  <c r="H652" i="5"/>
  <c r="I652" i="5"/>
  <c r="H648" i="5"/>
  <c r="I648" i="5"/>
  <c r="H644" i="5"/>
  <c r="I644" i="5"/>
  <c r="H640" i="5"/>
  <c r="I640" i="5"/>
  <c r="H636" i="5"/>
  <c r="I636" i="5"/>
  <c r="H632" i="5"/>
  <c r="I632" i="5"/>
  <c r="H628" i="5"/>
  <c r="I628" i="5"/>
  <c r="H624" i="5"/>
  <c r="I624" i="5"/>
  <c r="H620" i="5"/>
  <c r="I620" i="5"/>
  <c r="H616" i="5"/>
  <c r="I616" i="5"/>
  <c r="H612" i="5"/>
  <c r="I612" i="5"/>
  <c r="H608" i="5"/>
  <c r="I608" i="5"/>
  <c r="H604" i="5"/>
  <c r="I604" i="5"/>
  <c r="H600" i="5"/>
  <c r="I600" i="5"/>
  <c r="H596" i="5"/>
  <c r="I596" i="5"/>
  <c r="H592" i="5"/>
  <c r="I592" i="5"/>
  <c r="H588" i="5"/>
  <c r="I588" i="5"/>
  <c r="H584" i="5"/>
  <c r="I584" i="5"/>
  <c r="H580" i="5"/>
  <c r="I580" i="5"/>
  <c r="H576" i="5"/>
  <c r="I576" i="5"/>
  <c r="H572" i="5"/>
  <c r="I572" i="5"/>
  <c r="H568" i="5"/>
  <c r="I568" i="5"/>
  <c r="H564" i="5"/>
  <c r="I564" i="5"/>
  <c r="H560" i="5"/>
  <c r="I560" i="5"/>
  <c r="H556" i="5"/>
  <c r="I556" i="5"/>
  <c r="H552" i="5"/>
  <c r="I552" i="5"/>
  <c r="H548" i="5"/>
  <c r="I548" i="5"/>
  <c r="H544" i="5"/>
  <c r="I544" i="5"/>
  <c r="H540" i="5"/>
  <c r="I540" i="5"/>
  <c r="H536" i="5"/>
  <c r="I536" i="5"/>
  <c r="H532" i="5"/>
  <c r="I532" i="5"/>
  <c r="H528" i="5"/>
  <c r="I528" i="5"/>
  <c r="H524" i="5"/>
  <c r="I524" i="5"/>
  <c r="H520" i="5"/>
  <c r="I520" i="5"/>
  <c r="H516" i="5"/>
  <c r="I516" i="5"/>
  <c r="H512" i="5"/>
  <c r="I512" i="5"/>
  <c r="H508" i="5"/>
  <c r="I508" i="5"/>
  <c r="H504" i="5"/>
  <c r="I504" i="5"/>
  <c r="H500" i="5"/>
  <c r="I500" i="5"/>
  <c r="H496" i="5"/>
  <c r="I496" i="5"/>
  <c r="H492" i="5"/>
  <c r="I492" i="5"/>
  <c r="H488" i="5"/>
  <c r="I488" i="5"/>
  <c r="H484" i="5"/>
  <c r="I484" i="5"/>
  <c r="H480" i="5"/>
  <c r="I480" i="5"/>
  <c r="H476" i="5"/>
  <c r="I476" i="5"/>
  <c r="H472" i="5"/>
  <c r="I472" i="5"/>
  <c r="H468" i="5"/>
  <c r="I468" i="5"/>
  <c r="H464" i="5"/>
  <c r="I464" i="5"/>
  <c r="H460" i="5"/>
  <c r="I460" i="5"/>
  <c r="H456" i="5"/>
  <c r="I456" i="5"/>
  <c r="H452" i="5"/>
  <c r="I452" i="5"/>
  <c r="H448" i="5"/>
  <c r="I448" i="5"/>
  <c r="H444" i="5"/>
  <c r="I444" i="5"/>
  <c r="H440" i="5"/>
  <c r="I440" i="5"/>
  <c r="H436" i="5"/>
  <c r="I436" i="5"/>
  <c r="H432" i="5"/>
  <c r="I432" i="5"/>
  <c r="H428" i="5"/>
  <c r="I428" i="5"/>
  <c r="H424" i="5"/>
  <c r="I424" i="5"/>
  <c r="H420" i="5"/>
  <c r="I420" i="5"/>
  <c r="H416" i="5"/>
  <c r="I416" i="5"/>
  <c r="H412" i="5"/>
  <c r="I412" i="5"/>
  <c r="H408" i="5"/>
  <c r="I408" i="5"/>
  <c r="H404" i="5"/>
  <c r="I404" i="5"/>
  <c r="H400" i="5"/>
  <c r="I400" i="5"/>
  <c r="H396" i="5"/>
  <c r="I396" i="5"/>
  <c r="H392" i="5"/>
  <c r="I392" i="5"/>
  <c r="H388" i="5"/>
  <c r="I388" i="5"/>
  <c r="H384" i="5"/>
  <c r="I384" i="5"/>
  <c r="H380" i="5"/>
  <c r="I380" i="5"/>
  <c r="H376" i="5"/>
  <c r="I376" i="5"/>
  <c r="H372" i="5"/>
  <c r="I372" i="5"/>
  <c r="H368" i="5"/>
  <c r="I368" i="5"/>
  <c r="H364" i="5"/>
  <c r="I364" i="5"/>
  <c r="H360" i="5"/>
  <c r="I360" i="5"/>
  <c r="H356" i="5"/>
  <c r="I356" i="5"/>
  <c r="H352" i="5"/>
  <c r="I352" i="5"/>
  <c r="H348" i="5"/>
  <c r="I348" i="5"/>
  <c r="H344" i="5"/>
  <c r="I344" i="5"/>
  <c r="H340" i="5"/>
  <c r="I340" i="5"/>
  <c r="H336" i="5"/>
  <c r="I336" i="5"/>
  <c r="H332" i="5"/>
  <c r="I332" i="5"/>
  <c r="H328" i="5"/>
  <c r="I328" i="5"/>
  <c r="H324" i="5"/>
  <c r="I324" i="5"/>
  <c r="H320" i="5"/>
  <c r="I320" i="5"/>
  <c r="H316" i="5"/>
  <c r="I316" i="5"/>
  <c r="H312" i="5"/>
  <c r="I312" i="5"/>
  <c r="H308" i="5"/>
  <c r="I308" i="5"/>
  <c r="H304" i="5"/>
  <c r="I304" i="5"/>
  <c r="H300" i="5"/>
  <c r="I300" i="5"/>
  <c r="H296" i="5"/>
  <c r="I296" i="5"/>
  <c r="H292" i="5"/>
  <c r="I292" i="5"/>
  <c r="H288" i="5"/>
  <c r="I288" i="5"/>
  <c r="H284" i="5"/>
  <c r="I284" i="5"/>
  <c r="H280" i="5"/>
  <c r="I280" i="5"/>
  <c r="H276" i="5"/>
  <c r="I276" i="5"/>
  <c r="H799" i="5"/>
  <c r="I799" i="5"/>
  <c r="H795" i="5"/>
  <c r="I795" i="5"/>
  <c r="H791" i="5"/>
  <c r="I791" i="5"/>
  <c r="H787" i="5"/>
  <c r="I787" i="5"/>
  <c r="H783" i="5"/>
  <c r="I783" i="5"/>
  <c r="H779" i="5"/>
  <c r="I779" i="5"/>
  <c r="H775" i="5"/>
  <c r="I775" i="5"/>
  <c r="H771" i="5"/>
  <c r="I771" i="5"/>
  <c r="H767" i="5"/>
  <c r="I767" i="5"/>
  <c r="H763" i="5"/>
  <c r="I763" i="5"/>
  <c r="H759" i="5"/>
  <c r="I759" i="5"/>
  <c r="H755" i="5"/>
  <c r="I755" i="5"/>
  <c r="H751" i="5"/>
  <c r="I751" i="5"/>
  <c r="H747" i="5"/>
  <c r="I747" i="5"/>
  <c r="H743" i="5"/>
  <c r="I743" i="5"/>
  <c r="H739" i="5"/>
  <c r="I739" i="5"/>
  <c r="H735" i="5"/>
  <c r="I735" i="5"/>
  <c r="H731" i="5"/>
  <c r="I731" i="5"/>
  <c r="H727" i="5"/>
  <c r="I727" i="5"/>
  <c r="H723" i="5"/>
  <c r="I723" i="5"/>
  <c r="H719" i="5"/>
  <c r="I719" i="5"/>
  <c r="H715" i="5"/>
  <c r="I715" i="5"/>
  <c r="H711" i="5"/>
  <c r="I711" i="5"/>
  <c r="H707" i="5"/>
  <c r="I707" i="5"/>
  <c r="H703" i="5"/>
  <c r="I703" i="5"/>
  <c r="H699" i="5"/>
  <c r="I699" i="5"/>
  <c r="H695" i="5"/>
  <c r="I695" i="5"/>
  <c r="H691" i="5"/>
  <c r="I691" i="5"/>
  <c r="H687" i="5"/>
  <c r="I687" i="5"/>
  <c r="H683" i="5"/>
  <c r="I683" i="5"/>
  <c r="H679" i="5"/>
  <c r="I679" i="5"/>
  <c r="H675" i="5"/>
  <c r="I675" i="5"/>
  <c r="H671" i="5"/>
  <c r="I671" i="5"/>
  <c r="H667" i="5"/>
  <c r="I667" i="5"/>
  <c r="H663" i="5"/>
  <c r="I663" i="5"/>
  <c r="H659" i="5"/>
  <c r="I659" i="5"/>
  <c r="H655" i="5"/>
  <c r="I655" i="5"/>
  <c r="H651" i="5"/>
  <c r="I651" i="5"/>
  <c r="H647" i="5"/>
  <c r="I647" i="5"/>
  <c r="H643" i="5"/>
  <c r="I643" i="5"/>
  <c r="H639" i="5"/>
  <c r="I639" i="5"/>
  <c r="H635" i="5"/>
  <c r="I635" i="5"/>
  <c r="H631" i="5"/>
  <c r="I631" i="5"/>
  <c r="H627" i="5"/>
  <c r="I627" i="5"/>
  <c r="H623" i="5"/>
  <c r="I623" i="5"/>
  <c r="H619" i="5"/>
  <c r="I619" i="5"/>
  <c r="H615" i="5"/>
  <c r="I615" i="5"/>
  <c r="H611" i="5"/>
  <c r="I611" i="5"/>
  <c r="H607" i="5"/>
  <c r="I607" i="5"/>
  <c r="H603" i="5"/>
  <c r="I603" i="5"/>
  <c r="H599" i="5"/>
  <c r="I599" i="5"/>
  <c r="H595" i="5"/>
  <c r="I595" i="5"/>
  <c r="H591" i="5"/>
  <c r="I591" i="5"/>
  <c r="H587" i="5"/>
  <c r="I587" i="5"/>
  <c r="H583" i="5"/>
  <c r="I583" i="5"/>
  <c r="H579" i="5"/>
  <c r="I579" i="5"/>
  <c r="H575" i="5"/>
  <c r="I575" i="5"/>
  <c r="H571" i="5"/>
  <c r="I571" i="5"/>
  <c r="H567" i="5"/>
  <c r="I567" i="5"/>
  <c r="H563" i="5"/>
  <c r="I563" i="5"/>
  <c r="H559" i="5"/>
  <c r="I559" i="5"/>
  <c r="H555" i="5"/>
  <c r="I555" i="5"/>
  <c r="H551" i="5"/>
  <c r="I551" i="5"/>
  <c r="H547" i="5"/>
  <c r="I547" i="5"/>
  <c r="H543" i="5"/>
  <c r="I543" i="5"/>
  <c r="H539" i="5"/>
  <c r="I539" i="5"/>
  <c r="H535" i="5"/>
  <c r="I535" i="5"/>
  <c r="H531" i="5"/>
  <c r="I531" i="5"/>
  <c r="H527" i="5"/>
  <c r="I527" i="5"/>
  <c r="H523" i="5"/>
  <c r="I523" i="5"/>
  <c r="H519" i="5"/>
  <c r="I519" i="5"/>
  <c r="H515" i="5"/>
  <c r="I515" i="5"/>
  <c r="H511" i="5"/>
  <c r="I511" i="5"/>
  <c r="H507" i="5"/>
  <c r="I507" i="5"/>
  <c r="H503" i="5"/>
  <c r="I503" i="5"/>
  <c r="H499" i="5"/>
  <c r="I499" i="5"/>
  <c r="H495" i="5"/>
  <c r="I495" i="5"/>
  <c r="H491" i="5"/>
  <c r="I491" i="5"/>
  <c r="H487" i="5"/>
  <c r="I487" i="5"/>
  <c r="H483" i="5"/>
  <c r="I483" i="5"/>
  <c r="H479" i="5"/>
  <c r="I479" i="5"/>
  <c r="H475" i="5"/>
  <c r="I475" i="5"/>
  <c r="H471" i="5"/>
  <c r="I471" i="5"/>
  <c r="H467" i="5"/>
  <c r="I467" i="5"/>
  <c r="H463" i="5"/>
  <c r="I463" i="5"/>
  <c r="H459" i="5"/>
  <c r="I459" i="5"/>
  <c r="H455" i="5"/>
  <c r="I455" i="5"/>
  <c r="H451" i="5"/>
  <c r="I451" i="5"/>
  <c r="H447" i="5"/>
  <c r="I447" i="5"/>
  <c r="H443" i="5"/>
  <c r="I443" i="5"/>
  <c r="H439" i="5"/>
  <c r="I439" i="5"/>
  <c r="H435" i="5"/>
  <c r="I435" i="5"/>
  <c r="H431" i="5"/>
  <c r="I431" i="5"/>
  <c r="H427" i="5"/>
  <c r="I427" i="5"/>
  <c r="H423" i="5"/>
  <c r="I423" i="5"/>
  <c r="H419" i="5"/>
  <c r="I419" i="5"/>
  <c r="H415" i="5"/>
  <c r="I415" i="5"/>
  <c r="H411" i="5"/>
  <c r="I411" i="5"/>
  <c r="H407" i="5"/>
  <c r="I407" i="5"/>
  <c r="H403" i="5"/>
  <c r="I403" i="5"/>
  <c r="H399" i="5"/>
  <c r="I399" i="5"/>
  <c r="H395" i="5"/>
  <c r="I395" i="5"/>
  <c r="H391" i="5"/>
  <c r="I391" i="5"/>
  <c r="H387" i="5"/>
  <c r="I387" i="5"/>
  <c r="H383" i="5"/>
  <c r="I383" i="5"/>
  <c r="H379" i="5"/>
  <c r="I379" i="5"/>
  <c r="H375" i="5"/>
  <c r="I375" i="5"/>
  <c r="H371" i="5"/>
  <c r="I371" i="5"/>
  <c r="H367" i="5"/>
  <c r="I367" i="5"/>
  <c r="H363" i="5"/>
  <c r="I363" i="5"/>
  <c r="H359" i="5"/>
  <c r="I359" i="5"/>
  <c r="H355" i="5"/>
  <c r="I355" i="5"/>
  <c r="H351" i="5"/>
  <c r="I351" i="5"/>
  <c r="H347" i="5"/>
  <c r="I347" i="5"/>
  <c r="H343" i="5"/>
  <c r="I343" i="5"/>
  <c r="H339" i="5"/>
  <c r="I339" i="5"/>
  <c r="H335" i="5"/>
  <c r="I335" i="5"/>
  <c r="H331" i="5"/>
  <c r="I331" i="5"/>
  <c r="H327" i="5"/>
  <c r="I327" i="5"/>
  <c r="H323" i="5"/>
  <c r="I323" i="5"/>
  <c r="H319" i="5"/>
  <c r="I319" i="5"/>
  <c r="H315" i="5"/>
  <c r="I315" i="5"/>
  <c r="H311" i="5"/>
  <c r="I311" i="5"/>
  <c r="H307" i="5"/>
  <c r="I307" i="5"/>
  <c r="H303" i="5"/>
  <c r="I303" i="5"/>
  <c r="H299" i="5"/>
  <c r="I299" i="5"/>
  <c r="H295" i="5"/>
  <c r="I295" i="5"/>
  <c r="H291" i="5"/>
  <c r="I291" i="5"/>
  <c r="H287" i="5"/>
  <c r="I287" i="5"/>
  <c r="H283" i="5"/>
  <c r="I283" i="5"/>
  <c r="H279" i="5"/>
  <c r="I279" i="5"/>
  <c r="H275" i="5"/>
  <c r="I275" i="5"/>
  <c r="H271" i="5"/>
  <c r="I271" i="5"/>
  <c r="H267" i="5"/>
  <c r="I267" i="5"/>
  <c r="H263" i="5"/>
  <c r="I263" i="5"/>
  <c r="H272" i="5"/>
  <c r="I272" i="5"/>
  <c r="H268" i="5"/>
  <c r="I268" i="5"/>
  <c r="H264" i="5"/>
  <c r="I264" i="5"/>
  <c r="H260" i="5"/>
  <c r="I260" i="5"/>
  <c r="H256" i="5"/>
  <c r="I256" i="5"/>
  <c r="H252" i="5"/>
  <c r="I252" i="5"/>
  <c r="H248" i="5"/>
  <c r="I248" i="5"/>
  <c r="H244" i="5"/>
  <c r="I244" i="5"/>
  <c r="H240" i="5"/>
  <c r="I240" i="5"/>
  <c r="H236" i="5"/>
  <c r="I236" i="5"/>
  <c r="H232" i="5"/>
  <c r="I232" i="5"/>
  <c r="H228" i="5"/>
  <c r="I228" i="5"/>
  <c r="H224" i="5"/>
  <c r="I224" i="5"/>
  <c r="H220" i="5"/>
  <c r="I220" i="5"/>
  <c r="H216" i="5"/>
  <c r="I216" i="5"/>
  <c r="H212" i="5"/>
  <c r="I212" i="5"/>
  <c r="H208" i="5"/>
  <c r="I208" i="5"/>
  <c r="H204" i="5"/>
  <c r="I204" i="5"/>
  <c r="H200" i="5"/>
  <c r="I200" i="5"/>
  <c r="H196" i="5"/>
  <c r="I196" i="5"/>
  <c r="H192" i="5"/>
  <c r="I192" i="5"/>
  <c r="H188" i="5"/>
  <c r="I188" i="5"/>
  <c r="H184" i="5"/>
  <c r="I184" i="5"/>
  <c r="H180" i="5"/>
  <c r="I180" i="5"/>
  <c r="H176" i="5"/>
  <c r="I176" i="5"/>
  <c r="H172" i="5"/>
  <c r="I172" i="5"/>
  <c r="H168" i="5"/>
  <c r="I168" i="5"/>
  <c r="H164" i="5"/>
  <c r="I164" i="5"/>
  <c r="H160" i="5"/>
  <c r="I160" i="5"/>
  <c r="H156" i="5"/>
  <c r="I156" i="5"/>
  <c r="H152" i="5"/>
  <c r="I152" i="5"/>
  <c r="H148" i="5"/>
  <c r="I148" i="5"/>
  <c r="H144" i="5"/>
  <c r="I144" i="5"/>
  <c r="H140" i="5"/>
  <c r="I140" i="5"/>
  <c r="H136" i="5"/>
  <c r="I136" i="5"/>
  <c r="H132" i="5"/>
  <c r="I132" i="5"/>
  <c r="H128" i="5"/>
  <c r="I128" i="5"/>
  <c r="H124" i="5"/>
  <c r="I124" i="5"/>
  <c r="H120" i="5"/>
  <c r="I120" i="5"/>
  <c r="H116" i="5"/>
  <c r="I116" i="5"/>
  <c r="H112" i="5"/>
  <c r="I112" i="5"/>
  <c r="H108" i="5"/>
  <c r="I108" i="5"/>
  <c r="H104" i="5"/>
  <c r="I104" i="5"/>
  <c r="H100" i="5"/>
  <c r="I100" i="5"/>
  <c r="H96" i="5"/>
  <c r="I96" i="5"/>
  <c r="H92" i="5"/>
  <c r="I92" i="5"/>
  <c r="H88" i="5"/>
  <c r="I88" i="5"/>
  <c r="H84" i="5"/>
  <c r="I84" i="5"/>
  <c r="H80" i="5"/>
  <c r="I80" i="5"/>
  <c r="H76" i="5"/>
  <c r="I76" i="5"/>
  <c r="H72" i="5"/>
  <c r="I72" i="5"/>
  <c r="H68" i="5"/>
  <c r="I68" i="5"/>
  <c r="H64" i="5"/>
  <c r="I64" i="5"/>
  <c r="H60" i="5"/>
  <c r="I60" i="5"/>
  <c r="H56" i="5"/>
  <c r="I56" i="5"/>
  <c r="H52" i="5"/>
  <c r="I52" i="5"/>
  <c r="H48" i="5"/>
  <c r="I48" i="5"/>
  <c r="H44" i="5"/>
  <c r="I44" i="5"/>
  <c r="H40" i="5"/>
  <c r="I40" i="5"/>
  <c r="H36" i="5"/>
  <c r="I36" i="5"/>
  <c r="H32" i="5"/>
  <c r="I32" i="5"/>
  <c r="H28" i="5"/>
  <c r="I28" i="5"/>
  <c r="H24" i="5"/>
  <c r="I24" i="5"/>
  <c r="H20" i="5"/>
  <c r="I20" i="5"/>
  <c r="H16" i="5"/>
  <c r="I16" i="5"/>
  <c r="H12" i="5"/>
  <c r="I12" i="5"/>
  <c r="H8" i="5"/>
  <c r="I8" i="5"/>
  <c r="H4" i="5"/>
  <c r="I4" i="5"/>
  <c r="H259" i="5"/>
  <c r="I259" i="5"/>
  <c r="H255" i="5"/>
  <c r="I255" i="5"/>
  <c r="H251" i="5"/>
  <c r="I251" i="5"/>
  <c r="H247" i="5"/>
  <c r="I247" i="5"/>
  <c r="H243" i="5"/>
  <c r="I243" i="5"/>
  <c r="H239" i="5"/>
  <c r="I239" i="5"/>
  <c r="H235" i="5"/>
  <c r="I235" i="5"/>
  <c r="H231" i="5"/>
  <c r="I231" i="5"/>
  <c r="H227" i="5"/>
  <c r="I227" i="5"/>
  <c r="H223" i="5"/>
  <c r="I223" i="5"/>
  <c r="H219" i="5"/>
  <c r="I219" i="5"/>
  <c r="H215" i="5"/>
  <c r="I215" i="5"/>
  <c r="H211" i="5"/>
  <c r="I211" i="5"/>
  <c r="H207" i="5"/>
  <c r="I207" i="5"/>
  <c r="H203" i="5"/>
  <c r="I203" i="5"/>
  <c r="H199" i="5"/>
  <c r="I199" i="5"/>
  <c r="H195" i="5"/>
  <c r="I195" i="5"/>
  <c r="H191" i="5"/>
  <c r="I191" i="5"/>
  <c r="H187" i="5"/>
  <c r="I187" i="5"/>
  <c r="H183" i="5"/>
  <c r="I183" i="5"/>
  <c r="H179" i="5"/>
  <c r="I179" i="5"/>
  <c r="H175" i="5"/>
  <c r="I175" i="5"/>
  <c r="H171" i="5"/>
  <c r="I171" i="5"/>
  <c r="H167" i="5"/>
  <c r="I167" i="5"/>
  <c r="H163" i="5"/>
  <c r="I163" i="5"/>
  <c r="H159" i="5"/>
  <c r="I159" i="5"/>
  <c r="H155" i="5"/>
  <c r="I155" i="5"/>
  <c r="H151" i="5"/>
  <c r="I151" i="5"/>
  <c r="H147" i="5"/>
  <c r="I147" i="5"/>
  <c r="H143" i="5"/>
  <c r="I143" i="5"/>
  <c r="H139" i="5"/>
  <c r="I139" i="5"/>
  <c r="H135" i="5"/>
  <c r="I135" i="5"/>
  <c r="H131" i="5"/>
  <c r="I131" i="5"/>
  <c r="H127" i="5"/>
  <c r="I127" i="5"/>
  <c r="H123" i="5"/>
  <c r="I123" i="5"/>
  <c r="H119" i="5"/>
  <c r="I119" i="5"/>
  <c r="H115" i="5"/>
  <c r="I115" i="5"/>
  <c r="H111" i="5"/>
  <c r="I111" i="5"/>
  <c r="H107" i="5"/>
  <c r="I107" i="5"/>
  <c r="H103" i="5"/>
  <c r="I103" i="5"/>
  <c r="H99" i="5"/>
  <c r="I99" i="5"/>
  <c r="H95" i="5"/>
  <c r="I95" i="5"/>
  <c r="H91" i="5"/>
  <c r="I91" i="5"/>
  <c r="H87" i="5"/>
  <c r="I87" i="5"/>
  <c r="H83" i="5"/>
  <c r="I83" i="5"/>
  <c r="H79" i="5"/>
  <c r="I79" i="5"/>
  <c r="H75" i="5"/>
  <c r="I75" i="5"/>
  <c r="H71" i="5"/>
  <c r="I71" i="5"/>
  <c r="H67" i="5"/>
  <c r="I67" i="5"/>
  <c r="H63" i="5"/>
  <c r="I63" i="5"/>
  <c r="H59" i="5"/>
  <c r="I59" i="5"/>
  <c r="H55" i="5"/>
  <c r="I55" i="5"/>
  <c r="H51" i="5"/>
  <c r="I51" i="5"/>
  <c r="H47" i="5"/>
  <c r="I47" i="5"/>
  <c r="H43" i="5"/>
  <c r="I43" i="5"/>
  <c r="H39" i="5"/>
  <c r="I39" i="5"/>
  <c r="H35" i="5"/>
  <c r="I35" i="5"/>
  <c r="H31" i="5"/>
  <c r="I31" i="5"/>
  <c r="H27" i="5"/>
  <c r="I27" i="5"/>
  <c r="H23" i="5"/>
  <c r="I23" i="5"/>
  <c r="H19" i="5"/>
  <c r="I19" i="5"/>
  <c r="H15" i="5"/>
  <c r="I15" i="5"/>
  <c r="H11" i="5"/>
  <c r="I11" i="5"/>
  <c r="H7" i="5"/>
  <c r="I7" i="5"/>
  <c r="H3" i="5"/>
  <c r="I3" i="5"/>
  <c r="H206" i="5"/>
  <c r="I206" i="5"/>
  <c r="H202" i="5"/>
  <c r="I202" i="5"/>
  <c r="H198" i="5"/>
  <c r="I198" i="5"/>
  <c r="H194" i="5"/>
  <c r="I194" i="5"/>
  <c r="H190" i="5"/>
  <c r="I190" i="5"/>
  <c r="H186" i="5"/>
  <c r="I186" i="5"/>
  <c r="H182" i="5"/>
  <c r="I182" i="5"/>
  <c r="H178" i="5"/>
  <c r="I178" i="5"/>
  <c r="H174" i="5"/>
  <c r="I174" i="5"/>
  <c r="H170" i="5"/>
  <c r="I170" i="5"/>
  <c r="H166" i="5"/>
  <c r="I166" i="5"/>
  <c r="H162" i="5"/>
  <c r="I162" i="5"/>
  <c r="H158" i="5"/>
  <c r="I158" i="5"/>
  <c r="H154" i="5"/>
  <c r="I154" i="5"/>
  <c r="H150" i="5"/>
  <c r="I150" i="5"/>
  <c r="H146" i="5"/>
  <c r="I146" i="5"/>
  <c r="H142" i="5"/>
  <c r="I142" i="5"/>
  <c r="H138" i="5"/>
  <c r="I138" i="5"/>
  <c r="H134" i="5"/>
  <c r="I134" i="5"/>
  <c r="H130" i="5"/>
  <c r="I130" i="5"/>
  <c r="H126" i="5"/>
  <c r="I126" i="5"/>
  <c r="H122" i="5"/>
  <c r="I122" i="5"/>
  <c r="H118" i="5"/>
  <c r="I118" i="5"/>
  <c r="H114" i="5"/>
  <c r="I114" i="5"/>
  <c r="H110" i="5"/>
  <c r="I110" i="5"/>
  <c r="H106" i="5"/>
  <c r="I106" i="5"/>
  <c r="H102" i="5"/>
  <c r="I102" i="5"/>
  <c r="H98" i="5"/>
  <c r="I98" i="5"/>
  <c r="H94" i="5"/>
  <c r="I94" i="5"/>
  <c r="H90" i="5"/>
  <c r="I90" i="5"/>
  <c r="H86" i="5"/>
  <c r="I86" i="5"/>
  <c r="H82" i="5"/>
  <c r="I82" i="5"/>
  <c r="H78" i="5"/>
  <c r="I78" i="5"/>
  <c r="H74" i="5"/>
  <c r="I74" i="5"/>
  <c r="H70" i="5"/>
  <c r="I70" i="5"/>
  <c r="H66" i="5"/>
  <c r="I66" i="5"/>
  <c r="H62" i="5"/>
  <c r="I62" i="5"/>
  <c r="H58" i="5"/>
  <c r="I58" i="5"/>
  <c r="H54" i="5"/>
  <c r="I54" i="5"/>
  <c r="H50" i="5"/>
  <c r="I50" i="5"/>
  <c r="H46" i="5"/>
  <c r="I46" i="5"/>
  <c r="H42" i="5"/>
  <c r="I42" i="5"/>
  <c r="H38" i="5"/>
  <c r="I38" i="5"/>
  <c r="H34" i="5"/>
  <c r="I34" i="5"/>
  <c r="H30" i="5"/>
  <c r="I30" i="5"/>
  <c r="H26" i="5"/>
  <c r="I26" i="5"/>
  <c r="H22" i="5"/>
  <c r="I22" i="5"/>
  <c r="H18" i="5"/>
  <c r="I18" i="5"/>
  <c r="H14" i="5"/>
  <c r="I14" i="5"/>
  <c r="H10" i="5"/>
  <c r="I10" i="5"/>
  <c r="H6" i="5"/>
  <c r="I6" i="5"/>
  <c r="H205" i="5"/>
  <c r="I205" i="5"/>
  <c r="H201" i="5"/>
  <c r="I201" i="5"/>
  <c r="H197" i="5"/>
  <c r="I197" i="5"/>
  <c r="H193" i="5"/>
  <c r="I193" i="5"/>
  <c r="H189" i="5"/>
  <c r="I189" i="5"/>
  <c r="H185" i="5"/>
  <c r="I185" i="5"/>
  <c r="H181" i="5"/>
  <c r="I181" i="5"/>
  <c r="H177" i="5"/>
  <c r="I177" i="5"/>
  <c r="H173" i="5"/>
  <c r="I173" i="5"/>
  <c r="H169" i="5"/>
  <c r="I169" i="5"/>
  <c r="H165" i="5"/>
  <c r="I165" i="5"/>
  <c r="H161" i="5"/>
  <c r="I161" i="5"/>
  <c r="H157" i="5"/>
  <c r="I157" i="5"/>
  <c r="H153" i="5"/>
  <c r="I153" i="5"/>
  <c r="H149" i="5"/>
  <c r="I149" i="5"/>
  <c r="H145" i="5"/>
  <c r="I145" i="5"/>
  <c r="H141" i="5"/>
  <c r="I141" i="5"/>
  <c r="H137" i="5"/>
  <c r="I137" i="5"/>
  <c r="H133" i="5"/>
  <c r="I133" i="5"/>
  <c r="H129" i="5"/>
  <c r="I129" i="5"/>
  <c r="H125" i="5"/>
  <c r="I125" i="5"/>
  <c r="H121" i="5"/>
  <c r="I121" i="5"/>
  <c r="H117" i="5"/>
  <c r="I117" i="5"/>
  <c r="H113" i="5"/>
  <c r="I113" i="5"/>
  <c r="H109" i="5"/>
  <c r="I109" i="5"/>
  <c r="H105" i="5"/>
  <c r="I105" i="5"/>
  <c r="H101" i="5"/>
  <c r="I101" i="5"/>
  <c r="H97" i="5"/>
  <c r="I97" i="5"/>
  <c r="H93" i="5"/>
  <c r="I93" i="5"/>
  <c r="H89" i="5"/>
  <c r="I89" i="5"/>
  <c r="H85" i="5"/>
  <c r="I85" i="5"/>
  <c r="H81" i="5"/>
  <c r="I81" i="5"/>
  <c r="H77" i="5"/>
  <c r="I77" i="5"/>
  <c r="H73" i="5"/>
  <c r="I73" i="5"/>
  <c r="H69" i="5"/>
  <c r="I69" i="5"/>
  <c r="H65" i="5"/>
  <c r="I65" i="5"/>
  <c r="H61" i="5"/>
  <c r="I61" i="5"/>
  <c r="H57" i="5"/>
  <c r="I57" i="5"/>
  <c r="H53" i="5"/>
  <c r="I53" i="5"/>
  <c r="H49" i="5"/>
  <c r="I49" i="5"/>
  <c r="H45" i="5"/>
  <c r="I45" i="5"/>
  <c r="H41" i="5"/>
  <c r="I41" i="5"/>
  <c r="H37" i="5"/>
  <c r="I37" i="5"/>
  <c r="H33" i="5"/>
  <c r="I33" i="5"/>
  <c r="H29" i="5"/>
  <c r="I29" i="5"/>
  <c r="H25" i="5"/>
  <c r="I25" i="5"/>
  <c r="H21" i="5"/>
  <c r="I21" i="5"/>
  <c r="H17" i="5"/>
  <c r="I17" i="5"/>
  <c r="H13" i="5"/>
  <c r="I13" i="5"/>
  <c r="H9" i="5"/>
  <c r="I9" i="5"/>
  <c r="H5" i="5"/>
  <c r="I5" i="5"/>
  <c r="I2" i="5"/>
  <c r="L43" i="5" l="1"/>
  <c r="L40" i="5"/>
  <c r="L15" i="5"/>
  <c r="L6" i="5"/>
</calcChain>
</file>

<file path=xl/sharedStrings.xml><?xml version="1.0" encoding="utf-8"?>
<sst xmlns="http://schemas.openxmlformats.org/spreadsheetml/2006/main" count="9748" uniqueCount="81">
  <si>
    <t>Region</t>
  </si>
  <si>
    <t>Category</t>
  </si>
  <si>
    <t>Salesperson</t>
  </si>
  <si>
    <t>Units Sold</t>
  </si>
  <si>
    <t>Unit Price</t>
  </si>
  <si>
    <t>Revenue</t>
  </si>
  <si>
    <t>North</t>
  </si>
  <si>
    <t>Groceries</t>
  </si>
  <si>
    <t>Karan</t>
  </si>
  <si>
    <t>West</t>
  </si>
  <si>
    <t>Toys</t>
  </si>
  <si>
    <t>Neha</t>
  </si>
  <si>
    <t>Furniture</t>
  </si>
  <si>
    <t>Anjali</t>
  </si>
  <si>
    <t>Sneha</t>
  </si>
  <si>
    <t>Electronics</t>
  </si>
  <si>
    <t>Priya</t>
  </si>
  <si>
    <t>East</t>
  </si>
  <si>
    <t>Meena</t>
  </si>
  <si>
    <t>South</t>
  </si>
  <si>
    <t>Amit</t>
  </si>
  <si>
    <t>Clothing</t>
  </si>
  <si>
    <t>Rohit</t>
  </si>
  <si>
    <t>Vikas</t>
  </si>
  <si>
    <t>Arjun</t>
  </si>
  <si>
    <t xml:space="preserve">Sr No. </t>
  </si>
  <si>
    <t xml:space="preserve">No. of units sold by regions </t>
  </si>
  <si>
    <t>Sum of revenue sold by karan and Neha</t>
  </si>
  <si>
    <t xml:space="preserve">Total groceries revenue </t>
  </si>
  <si>
    <t>Count of Electronics has been sold</t>
  </si>
  <si>
    <t xml:space="preserve">Count of toys(category) by regions </t>
  </si>
  <si>
    <t xml:space="preserve">Total units of toys sold </t>
  </si>
  <si>
    <t>Count the no. of times sales perrson sold item Below 15000</t>
  </si>
  <si>
    <t>Count the no. of Times sales perrson sold item above 10000</t>
  </si>
  <si>
    <t>🧮 SUMIFS Practice Questions (Multiple Conditions)</t>
  </si>
  <si>
    <t>1. Calculate the total sales made by “Neha” in the “East” region.</t>
  </si>
  <si>
    <t>2. Find the total revenue for “Toys” sold in the month of March.</t>
  </si>
  <si>
    <t>3. What is the total sales value for “Electronics” products in the West region?</t>
  </si>
  <si>
    <t>4. Find the total sales generated by “Karan” where the quantity sold &gt; 50.</t>
  </si>
  <si>
    <t>5. Calculate the total revenue for products sold in “South” region in 2024.</t>
  </si>
  <si>
    <t>6. Find the total sales of “Furniture” category made by “Neha”.</t>
  </si>
  <si>
    <t>7. Calculate the total sales amount where region = North and product = Mobile.</t>
  </si>
  <si>
    <t>8. Get the total revenue for all products sold after 1-Jul-2024 by “Karan”.</t>
  </si>
  <si>
    <t>9. Find the total sales for “Electronics” in the East region with quantity &gt; 100.</t>
  </si>
  <si>
    <t>10. Calculate the total revenue for sales made between 1-Jun-2024 and 30-Jun-2024 in West region.</t>
  </si>
  <si>
    <t>🔢 COUNTIFS Practice Questions (Multiple Conditions)</t>
  </si>
  <si>
    <t>1. Count how many orders were placed by “Neha” in the East region.</t>
  </si>
  <si>
    <t>2. Find the number of transactions for “Toys” sold in March.</t>
  </si>
  <si>
    <t>3. Count how many sales were made by “Karan” in 2024.</t>
  </si>
  <si>
    <t>4. Count the number of orders where Quantity &gt; 50 and Region = North.</t>
  </si>
  <si>
    <t>5. Count how many sales happened in West region for “Electronics” category.</t>
  </si>
  <si>
    <t>6. Find how many orders were made by “Neha” for “Furniture” products.</t>
  </si>
  <si>
    <t>7. Count the number of sales where Total Sales &gt; 5000 and Region = South.</t>
  </si>
  <si>
    <t>8. Find how many transactions occurred between 1-Jan-2024 and 31-Mar-2024.</t>
  </si>
  <si>
    <t>9. Count how many orders have quantity &lt; 20 and Category = Toys.</t>
  </si>
  <si>
    <t>10. Count how many unique sales were made by each Salesperson in North region. (Hint: Pivot Table or UNIQUE+COUNTIFS can help)</t>
  </si>
  <si>
    <t>Questions Sumif &amp; Countif</t>
  </si>
  <si>
    <t>Q.1</t>
  </si>
  <si>
    <t>month</t>
  </si>
  <si>
    <t>Year</t>
  </si>
  <si>
    <t>Date</t>
  </si>
  <si>
    <t>Q1.</t>
  </si>
  <si>
    <t>south</t>
  </si>
  <si>
    <t>north</t>
  </si>
  <si>
    <t>east</t>
  </si>
  <si>
    <t>west</t>
  </si>
  <si>
    <t>Q2.</t>
  </si>
  <si>
    <t>Q3.</t>
  </si>
  <si>
    <t>Q4.</t>
  </si>
  <si>
    <t>Q5.</t>
  </si>
  <si>
    <t>Q6.</t>
  </si>
  <si>
    <t>Q7.</t>
  </si>
  <si>
    <t>Q8.</t>
  </si>
  <si>
    <t>Q9.</t>
  </si>
  <si>
    <t>Q10.</t>
  </si>
  <si>
    <t>Row Labels</t>
  </si>
  <si>
    <t>Grand Total</t>
  </si>
  <si>
    <t>Count of Salesperson</t>
  </si>
  <si>
    <t>Column1</t>
  </si>
  <si>
    <t>SUMIFS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</si>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</sst>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" refreshedDate="46054.941575231482" createdVersion="7" refreshedVersion="7" minRefreshableVersion="3" recordCount="801" xr:uid="{F0D59E48-A3F4-4354-9551-8164B65E7852}">
  <cacheSource type="worksheet">
    <worksheetSource ref="A1:I1048576" sheet="Practice (2)"/>
  </cacheSource>
  <cacheFields count="9">
    <cacheField name="Region" numFmtId="0">
      <sharedItems containsBlank="1" count="5">
        <s v="North"/>
        <s v="West"/>
        <s v="East"/>
        <s v="South"/>
        <m/>
      </sharedItems>
    </cacheField>
    <cacheField name="Category" numFmtId="0">
      <sharedItems containsBlank="1"/>
    </cacheField>
    <cacheField name="Salesperson" numFmtId="0">
      <sharedItems containsBlank="1" count="11">
        <s v="Karan"/>
        <s v="Neha"/>
        <s v="Anjali"/>
        <s v="Sneha"/>
        <s v="Priya"/>
        <s v="Meena"/>
        <s v="Amit"/>
        <s v="Rohit"/>
        <s v="Vikas"/>
        <s v="Arjun"/>
        <m/>
      </sharedItems>
    </cacheField>
    <cacheField name="Units Sold" numFmtId="0">
      <sharedItems containsString="0" containsBlank="1" containsNumber="1" containsInteger="1" minValue="1" maxValue="50"/>
    </cacheField>
    <cacheField name="Unit Price" numFmtId="0">
      <sharedItems containsString="0" containsBlank="1" containsNumber="1" containsInteger="1" minValue="101" maxValue="1996"/>
    </cacheField>
    <cacheField name="Revenue" numFmtId="0">
      <sharedItems containsString="0" containsBlank="1" containsNumber="1" containsInteger="1" minValue="152" maxValue="97755"/>
    </cacheField>
    <cacheField name="Date" numFmtId="0">
      <sharedItems containsNonDate="0" containsDate="1" containsString="0" containsBlank="1" minDate="2024-01-01T00:00:00" maxDate="2026-01-01T00:00:00"/>
    </cacheField>
    <cacheField name="month" numFmtId="0">
      <sharedItems containsBlank="1"/>
    </cacheField>
    <cacheField name="Ye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x v="0"/>
    <s v="Groceries"/>
    <x v="0"/>
    <n v="17"/>
    <n v="289"/>
    <n v="4913"/>
    <d v="2024-07-23T00:00:00"/>
    <s v="July"/>
    <s v="2024"/>
  </r>
  <r>
    <x v="1"/>
    <s v="Toys"/>
    <x v="1"/>
    <n v="39"/>
    <n v="1306"/>
    <n v="50934"/>
    <d v="2025-03-14T00:00:00"/>
    <s v="March"/>
    <s v="2025"/>
  </r>
  <r>
    <x v="0"/>
    <s v="Furniture"/>
    <x v="2"/>
    <n v="49"/>
    <n v="240"/>
    <n v="11760"/>
    <d v="2025-10-03T00:00:00"/>
    <s v="October"/>
    <s v="2025"/>
  </r>
  <r>
    <x v="0"/>
    <s v="Groceries"/>
    <x v="3"/>
    <n v="13"/>
    <n v="1854"/>
    <n v="24102"/>
    <d v="2024-03-19T00:00:00"/>
    <s v="March"/>
    <s v="2024"/>
  </r>
  <r>
    <x v="1"/>
    <s v="Electronics"/>
    <x v="4"/>
    <n v="35"/>
    <n v="1443"/>
    <n v="50505"/>
    <d v="2025-09-20T00:00:00"/>
    <s v="September"/>
    <s v="2025"/>
  </r>
  <r>
    <x v="1"/>
    <s v="Toys"/>
    <x v="1"/>
    <n v="30"/>
    <n v="673"/>
    <n v="20190"/>
    <d v="2025-06-29T00:00:00"/>
    <s v="June"/>
    <s v="2025"/>
  </r>
  <r>
    <x v="2"/>
    <s v="Groceries"/>
    <x v="5"/>
    <n v="49"/>
    <n v="1486"/>
    <n v="72814"/>
    <d v="2024-03-01T00:00:00"/>
    <s v="March"/>
    <s v="2024"/>
  </r>
  <r>
    <x v="3"/>
    <s v="Groceries"/>
    <x v="6"/>
    <n v="44"/>
    <n v="1727"/>
    <n v="75988"/>
    <d v="2024-06-05T00:00:00"/>
    <s v="June"/>
    <s v="2024"/>
  </r>
  <r>
    <x v="3"/>
    <s v="Clothing"/>
    <x v="1"/>
    <n v="23"/>
    <n v="710"/>
    <n v="16330"/>
    <d v="2025-06-27T00:00:00"/>
    <s v="June"/>
    <s v="2025"/>
  </r>
  <r>
    <x v="3"/>
    <s v="Toys"/>
    <x v="5"/>
    <n v="17"/>
    <n v="1002"/>
    <n v="17034"/>
    <d v="2025-07-08T00:00:00"/>
    <s v="July"/>
    <s v="2025"/>
  </r>
  <r>
    <x v="3"/>
    <s v="Groceries"/>
    <x v="3"/>
    <n v="8"/>
    <n v="1800"/>
    <n v="14400"/>
    <d v="2025-01-20T00:00:00"/>
    <s v="January"/>
    <s v="2025"/>
  </r>
  <r>
    <x v="0"/>
    <s v="Toys"/>
    <x v="1"/>
    <n v="17"/>
    <n v="1211"/>
    <n v="20587"/>
    <d v="2025-07-22T00:00:00"/>
    <s v="July"/>
    <s v="2025"/>
  </r>
  <r>
    <x v="0"/>
    <s v="Toys"/>
    <x v="1"/>
    <n v="6"/>
    <n v="1493"/>
    <n v="8958"/>
    <d v="2024-07-26T00:00:00"/>
    <s v="July"/>
    <s v="2024"/>
  </r>
  <r>
    <x v="3"/>
    <s v="Groceries"/>
    <x v="7"/>
    <n v="2"/>
    <n v="1933"/>
    <n v="3866"/>
    <d v="2025-11-17T00:00:00"/>
    <s v="November"/>
    <s v="2025"/>
  </r>
  <r>
    <x v="0"/>
    <s v="Groceries"/>
    <x v="5"/>
    <n v="30"/>
    <n v="396"/>
    <n v="11880"/>
    <d v="2024-03-26T00:00:00"/>
    <s v="March"/>
    <s v="2024"/>
  </r>
  <r>
    <x v="1"/>
    <s v="Furniture"/>
    <x v="8"/>
    <n v="24"/>
    <n v="317"/>
    <n v="7608"/>
    <d v="2025-11-20T00:00:00"/>
    <s v="November"/>
    <s v="2025"/>
  </r>
  <r>
    <x v="2"/>
    <s v="Furniture"/>
    <x v="5"/>
    <n v="38"/>
    <n v="1458"/>
    <n v="55404"/>
    <d v="2025-04-25T00:00:00"/>
    <s v="April"/>
    <s v="2025"/>
  </r>
  <r>
    <x v="1"/>
    <s v="Clothing"/>
    <x v="8"/>
    <n v="44"/>
    <n v="1658"/>
    <n v="72952"/>
    <d v="2024-12-01T00:00:00"/>
    <s v="December"/>
    <s v="2024"/>
  </r>
  <r>
    <x v="1"/>
    <s v="Electronics"/>
    <x v="6"/>
    <n v="10"/>
    <n v="978"/>
    <n v="9780"/>
    <d v="2025-08-28T00:00:00"/>
    <s v="August"/>
    <s v="2025"/>
  </r>
  <r>
    <x v="3"/>
    <s v="Toys"/>
    <x v="0"/>
    <n v="40"/>
    <n v="522"/>
    <n v="20880"/>
    <d v="2025-11-08T00:00:00"/>
    <s v="November"/>
    <s v="2025"/>
  </r>
  <r>
    <x v="1"/>
    <s v="Groceries"/>
    <x v="5"/>
    <n v="40"/>
    <n v="1199"/>
    <n v="47960"/>
    <d v="2024-10-30T00:00:00"/>
    <s v="October"/>
    <s v="2024"/>
  </r>
  <r>
    <x v="3"/>
    <s v="Electronics"/>
    <x v="4"/>
    <n v="12"/>
    <n v="1637"/>
    <n v="19644"/>
    <d v="2025-09-04T00:00:00"/>
    <s v="September"/>
    <s v="2025"/>
  </r>
  <r>
    <x v="1"/>
    <s v="Toys"/>
    <x v="1"/>
    <n v="10"/>
    <n v="1566"/>
    <n v="15660"/>
    <d v="2024-07-27T00:00:00"/>
    <s v="July"/>
    <s v="2024"/>
  </r>
  <r>
    <x v="3"/>
    <s v="Groceries"/>
    <x v="2"/>
    <n v="29"/>
    <n v="316"/>
    <n v="9164"/>
    <d v="2024-04-23T00:00:00"/>
    <s v="April"/>
    <s v="2024"/>
  </r>
  <r>
    <x v="1"/>
    <s v="Electronics"/>
    <x v="3"/>
    <n v="32"/>
    <n v="462"/>
    <n v="14784"/>
    <d v="2024-11-28T00:00:00"/>
    <s v="November"/>
    <s v="2024"/>
  </r>
  <r>
    <x v="1"/>
    <s v="Toys"/>
    <x v="0"/>
    <n v="22"/>
    <n v="240"/>
    <n v="5280"/>
    <d v="2024-01-18T00:00:00"/>
    <s v="January"/>
    <s v="2024"/>
  </r>
  <r>
    <x v="1"/>
    <s v="Furniture"/>
    <x v="1"/>
    <n v="11"/>
    <n v="821"/>
    <n v="9031"/>
    <d v="2025-03-08T00:00:00"/>
    <s v="March"/>
    <s v="2025"/>
  </r>
  <r>
    <x v="0"/>
    <s v="Electronics"/>
    <x v="2"/>
    <n v="49"/>
    <n v="1726"/>
    <n v="84574"/>
    <d v="2025-07-12T00:00:00"/>
    <s v="July"/>
    <s v="2025"/>
  </r>
  <r>
    <x v="0"/>
    <s v="Clothing"/>
    <x v="4"/>
    <n v="24"/>
    <n v="631"/>
    <n v="15144"/>
    <d v="2025-10-13T00:00:00"/>
    <s v="October"/>
    <s v="2025"/>
  </r>
  <r>
    <x v="2"/>
    <s v="Electronics"/>
    <x v="6"/>
    <n v="3"/>
    <n v="1582"/>
    <n v="4746"/>
    <d v="2025-01-26T00:00:00"/>
    <s v="January"/>
    <s v="2025"/>
  </r>
  <r>
    <x v="2"/>
    <s v="Groceries"/>
    <x v="8"/>
    <n v="31"/>
    <n v="807"/>
    <n v="25017"/>
    <d v="2025-04-11T00:00:00"/>
    <s v="April"/>
    <s v="2025"/>
  </r>
  <r>
    <x v="2"/>
    <s v="Clothing"/>
    <x v="9"/>
    <n v="24"/>
    <n v="1611"/>
    <n v="38664"/>
    <d v="2025-06-14T00:00:00"/>
    <s v="June"/>
    <s v="2025"/>
  </r>
  <r>
    <x v="1"/>
    <s v="Clothing"/>
    <x v="1"/>
    <n v="3"/>
    <n v="559"/>
    <n v="1677"/>
    <d v="2024-10-07T00:00:00"/>
    <s v="October"/>
    <s v="2024"/>
  </r>
  <r>
    <x v="1"/>
    <s v="Groceries"/>
    <x v="1"/>
    <n v="23"/>
    <n v="1939"/>
    <n v="44597"/>
    <d v="2024-01-20T00:00:00"/>
    <s v="January"/>
    <s v="2024"/>
  </r>
  <r>
    <x v="1"/>
    <s v="Electronics"/>
    <x v="5"/>
    <n v="27"/>
    <n v="369"/>
    <n v="9963"/>
    <d v="2025-09-12T00:00:00"/>
    <s v="September"/>
    <s v="2025"/>
  </r>
  <r>
    <x v="0"/>
    <s v="Electronics"/>
    <x v="9"/>
    <n v="44"/>
    <n v="1829"/>
    <n v="80476"/>
    <d v="2025-07-02T00:00:00"/>
    <s v="July"/>
    <s v="2025"/>
  </r>
  <r>
    <x v="2"/>
    <s v="Electronics"/>
    <x v="9"/>
    <n v="11"/>
    <n v="1016"/>
    <n v="11176"/>
    <d v="2025-08-24T00:00:00"/>
    <s v="August"/>
    <s v="2025"/>
  </r>
  <r>
    <x v="0"/>
    <s v="Furniture"/>
    <x v="2"/>
    <n v="27"/>
    <n v="995"/>
    <n v="26865"/>
    <d v="2025-04-06T00:00:00"/>
    <s v="April"/>
    <s v="2025"/>
  </r>
  <r>
    <x v="0"/>
    <s v="Clothing"/>
    <x v="4"/>
    <n v="49"/>
    <n v="1782"/>
    <n v="87318"/>
    <d v="2024-04-01T00:00:00"/>
    <s v="April"/>
    <s v="2024"/>
  </r>
  <r>
    <x v="3"/>
    <s v="Toys"/>
    <x v="9"/>
    <n v="19"/>
    <n v="1134"/>
    <n v="21546"/>
    <d v="2025-11-22T00:00:00"/>
    <s v="November"/>
    <s v="2025"/>
  </r>
  <r>
    <x v="3"/>
    <s v="Electronics"/>
    <x v="5"/>
    <n v="31"/>
    <n v="125"/>
    <n v="3875"/>
    <d v="2025-08-17T00:00:00"/>
    <s v="August"/>
    <s v="2025"/>
  </r>
  <r>
    <x v="0"/>
    <s v="Furniture"/>
    <x v="3"/>
    <n v="28"/>
    <n v="1314"/>
    <n v="36792"/>
    <d v="2024-01-22T00:00:00"/>
    <s v="January"/>
    <s v="2024"/>
  </r>
  <r>
    <x v="2"/>
    <s v="Groceries"/>
    <x v="0"/>
    <n v="23"/>
    <n v="1098"/>
    <n v="25254"/>
    <d v="2025-10-15T00:00:00"/>
    <s v="October"/>
    <s v="2025"/>
  </r>
  <r>
    <x v="0"/>
    <s v="Toys"/>
    <x v="7"/>
    <n v="9"/>
    <n v="971"/>
    <n v="8739"/>
    <d v="2024-10-16T00:00:00"/>
    <s v="October"/>
    <s v="2024"/>
  </r>
  <r>
    <x v="0"/>
    <s v="Electronics"/>
    <x v="9"/>
    <n v="45"/>
    <n v="1409"/>
    <n v="63405"/>
    <d v="2025-06-22T00:00:00"/>
    <s v="June"/>
    <s v="2025"/>
  </r>
  <r>
    <x v="0"/>
    <s v="Furniture"/>
    <x v="1"/>
    <n v="40"/>
    <n v="731"/>
    <n v="29240"/>
    <d v="2024-09-06T00:00:00"/>
    <s v="September"/>
    <s v="2024"/>
  </r>
  <r>
    <x v="3"/>
    <s v="Electronics"/>
    <x v="1"/>
    <n v="19"/>
    <n v="1758"/>
    <n v="33402"/>
    <d v="2024-04-28T00:00:00"/>
    <s v="April"/>
    <s v="2024"/>
  </r>
  <r>
    <x v="3"/>
    <s v="Clothing"/>
    <x v="0"/>
    <n v="50"/>
    <n v="1271"/>
    <n v="63550"/>
    <d v="2025-03-14T00:00:00"/>
    <s v="March"/>
    <s v="2025"/>
  </r>
  <r>
    <x v="2"/>
    <s v="Groceries"/>
    <x v="8"/>
    <n v="25"/>
    <n v="993"/>
    <n v="24825"/>
    <d v="2025-10-09T00:00:00"/>
    <s v="October"/>
    <s v="2025"/>
  </r>
  <r>
    <x v="2"/>
    <s v="Clothing"/>
    <x v="8"/>
    <n v="24"/>
    <n v="1491"/>
    <n v="35784"/>
    <d v="2024-04-19T00:00:00"/>
    <s v="April"/>
    <s v="2024"/>
  </r>
  <r>
    <x v="0"/>
    <s v="Electronics"/>
    <x v="2"/>
    <n v="11"/>
    <n v="498"/>
    <n v="5478"/>
    <d v="2024-05-23T00:00:00"/>
    <s v="May"/>
    <s v="2024"/>
  </r>
  <r>
    <x v="2"/>
    <s v="Toys"/>
    <x v="2"/>
    <n v="9"/>
    <n v="1933"/>
    <n v="17397"/>
    <d v="2025-09-13T00:00:00"/>
    <s v="September"/>
    <s v="2025"/>
  </r>
  <r>
    <x v="0"/>
    <s v="Toys"/>
    <x v="6"/>
    <n v="15"/>
    <n v="156"/>
    <n v="2340"/>
    <d v="2025-12-13T00:00:00"/>
    <s v="December"/>
    <s v="2025"/>
  </r>
  <r>
    <x v="0"/>
    <s v="Furniture"/>
    <x v="5"/>
    <n v="4"/>
    <n v="344"/>
    <n v="1376"/>
    <d v="2024-11-07T00:00:00"/>
    <s v="November"/>
    <s v="2024"/>
  </r>
  <r>
    <x v="1"/>
    <s v="Toys"/>
    <x v="2"/>
    <n v="42"/>
    <n v="1474"/>
    <n v="61908"/>
    <d v="2024-11-30T00:00:00"/>
    <s v="November"/>
    <s v="2024"/>
  </r>
  <r>
    <x v="0"/>
    <s v="Groceries"/>
    <x v="2"/>
    <n v="42"/>
    <n v="1508"/>
    <n v="63336"/>
    <d v="2024-10-22T00:00:00"/>
    <s v="October"/>
    <s v="2024"/>
  </r>
  <r>
    <x v="1"/>
    <s v="Toys"/>
    <x v="2"/>
    <n v="29"/>
    <n v="1767"/>
    <n v="51243"/>
    <d v="2025-08-01T00:00:00"/>
    <s v="August"/>
    <s v="2025"/>
  </r>
  <r>
    <x v="3"/>
    <s v="Electronics"/>
    <x v="3"/>
    <n v="31"/>
    <n v="1131"/>
    <n v="35061"/>
    <d v="2024-03-02T00:00:00"/>
    <s v="March"/>
    <s v="2024"/>
  </r>
  <r>
    <x v="2"/>
    <s v="Electronics"/>
    <x v="5"/>
    <n v="48"/>
    <n v="1430"/>
    <n v="68640"/>
    <d v="2025-07-29T00:00:00"/>
    <s v="July"/>
    <s v="2025"/>
  </r>
  <r>
    <x v="3"/>
    <s v="Electronics"/>
    <x v="2"/>
    <n v="11"/>
    <n v="1578"/>
    <n v="17358"/>
    <d v="2024-03-19T00:00:00"/>
    <s v="March"/>
    <s v="2024"/>
  </r>
  <r>
    <x v="3"/>
    <s v="Toys"/>
    <x v="1"/>
    <n v="32"/>
    <n v="803"/>
    <n v="25696"/>
    <d v="2024-08-26T00:00:00"/>
    <s v="August"/>
    <s v="2024"/>
  </r>
  <r>
    <x v="3"/>
    <s v="Groceries"/>
    <x v="2"/>
    <n v="16"/>
    <n v="563"/>
    <n v="9008"/>
    <d v="2025-03-08T00:00:00"/>
    <s v="March"/>
    <s v="2025"/>
  </r>
  <r>
    <x v="3"/>
    <s v="Groceries"/>
    <x v="6"/>
    <n v="47"/>
    <n v="1119"/>
    <n v="52593"/>
    <d v="2024-04-04T00:00:00"/>
    <s v="April"/>
    <s v="2024"/>
  </r>
  <r>
    <x v="1"/>
    <s v="Groceries"/>
    <x v="8"/>
    <n v="12"/>
    <n v="783"/>
    <n v="9396"/>
    <d v="2025-07-21T00:00:00"/>
    <s v="July"/>
    <s v="2025"/>
  </r>
  <r>
    <x v="3"/>
    <s v="Groceries"/>
    <x v="1"/>
    <n v="31"/>
    <n v="1124"/>
    <n v="34844"/>
    <d v="2024-05-02T00:00:00"/>
    <s v="May"/>
    <s v="2024"/>
  </r>
  <r>
    <x v="1"/>
    <s v="Furniture"/>
    <x v="3"/>
    <n v="28"/>
    <n v="1718"/>
    <n v="48104"/>
    <d v="2024-11-29T00:00:00"/>
    <s v="November"/>
    <s v="2024"/>
  </r>
  <r>
    <x v="0"/>
    <s v="Toys"/>
    <x v="7"/>
    <n v="7"/>
    <n v="887"/>
    <n v="6209"/>
    <d v="2025-10-17T00:00:00"/>
    <s v="October"/>
    <s v="2025"/>
  </r>
  <r>
    <x v="1"/>
    <s v="Groceries"/>
    <x v="6"/>
    <n v="34"/>
    <n v="1790"/>
    <n v="60860"/>
    <d v="2025-02-09T00:00:00"/>
    <s v="February"/>
    <s v="2025"/>
  </r>
  <r>
    <x v="2"/>
    <s v="Clothing"/>
    <x v="2"/>
    <n v="17"/>
    <n v="972"/>
    <n v="16524"/>
    <d v="2024-07-03T00:00:00"/>
    <s v="July"/>
    <s v="2024"/>
  </r>
  <r>
    <x v="0"/>
    <s v="Furniture"/>
    <x v="9"/>
    <n v="23"/>
    <n v="1747"/>
    <n v="40181"/>
    <d v="2025-10-24T00:00:00"/>
    <s v="October"/>
    <s v="2025"/>
  </r>
  <r>
    <x v="1"/>
    <s v="Furniture"/>
    <x v="9"/>
    <n v="1"/>
    <n v="1875"/>
    <n v="1875"/>
    <d v="2024-05-04T00:00:00"/>
    <s v="May"/>
    <s v="2024"/>
  </r>
  <r>
    <x v="3"/>
    <s v="Furniture"/>
    <x v="0"/>
    <n v="12"/>
    <n v="1067"/>
    <n v="12804"/>
    <d v="2024-07-28T00:00:00"/>
    <s v="July"/>
    <s v="2024"/>
  </r>
  <r>
    <x v="2"/>
    <s v="Furniture"/>
    <x v="1"/>
    <n v="47"/>
    <n v="1685"/>
    <n v="79195"/>
    <d v="2025-09-14T00:00:00"/>
    <s v="September"/>
    <s v="2025"/>
  </r>
  <r>
    <x v="3"/>
    <s v="Groceries"/>
    <x v="8"/>
    <n v="40"/>
    <n v="991"/>
    <n v="39640"/>
    <d v="2024-12-24T00:00:00"/>
    <s v="December"/>
    <s v="2024"/>
  </r>
  <r>
    <x v="0"/>
    <s v="Groceries"/>
    <x v="3"/>
    <n v="36"/>
    <n v="1230"/>
    <n v="44280"/>
    <d v="2025-05-25T00:00:00"/>
    <s v="May"/>
    <s v="2025"/>
  </r>
  <r>
    <x v="0"/>
    <s v="Clothing"/>
    <x v="1"/>
    <n v="47"/>
    <n v="1942"/>
    <n v="91274"/>
    <d v="2024-07-28T00:00:00"/>
    <s v="July"/>
    <s v="2024"/>
  </r>
  <r>
    <x v="2"/>
    <s v="Electronics"/>
    <x v="4"/>
    <n v="5"/>
    <n v="268"/>
    <n v="1340"/>
    <d v="2025-10-07T00:00:00"/>
    <s v="October"/>
    <s v="2025"/>
  </r>
  <r>
    <x v="2"/>
    <s v="Electronics"/>
    <x v="0"/>
    <n v="9"/>
    <n v="1177"/>
    <n v="10593"/>
    <d v="2025-08-07T00:00:00"/>
    <s v="August"/>
    <s v="2025"/>
  </r>
  <r>
    <x v="0"/>
    <s v="Furniture"/>
    <x v="8"/>
    <n v="26"/>
    <n v="1226"/>
    <n v="31876"/>
    <d v="2024-04-28T00:00:00"/>
    <s v="April"/>
    <s v="2024"/>
  </r>
  <r>
    <x v="1"/>
    <s v="Furniture"/>
    <x v="1"/>
    <n v="43"/>
    <n v="351"/>
    <n v="15093"/>
    <d v="2024-04-07T00:00:00"/>
    <s v="April"/>
    <s v="2024"/>
  </r>
  <r>
    <x v="1"/>
    <s v="Groceries"/>
    <x v="5"/>
    <n v="23"/>
    <n v="421"/>
    <n v="9683"/>
    <d v="2025-12-10T00:00:00"/>
    <s v="December"/>
    <s v="2025"/>
  </r>
  <r>
    <x v="0"/>
    <s v="Groceries"/>
    <x v="9"/>
    <n v="10"/>
    <n v="1979"/>
    <n v="19790"/>
    <d v="2025-04-28T00:00:00"/>
    <s v="April"/>
    <s v="2025"/>
  </r>
  <r>
    <x v="3"/>
    <s v="Toys"/>
    <x v="8"/>
    <n v="3"/>
    <n v="1053"/>
    <n v="3159"/>
    <d v="2025-12-13T00:00:00"/>
    <s v="December"/>
    <s v="2025"/>
  </r>
  <r>
    <x v="0"/>
    <s v="Furniture"/>
    <x v="1"/>
    <n v="9"/>
    <n v="356"/>
    <n v="3204"/>
    <d v="2024-09-28T00:00:00"/>
    <s v="September"/>
    <s v="2024"/>
  </r>
  <r>
    <x v="2"/>
    <s v="Electronics"/>
    <x v="3"/>
    <n v="44"/>
    <n v="1512"/>
    <n v="66528"/>
    <d v="2025-11-07T00:00:00"/>
    <s v="November"/>
    <s v="2025"/>
  </r>
  <r>
    <x v="0"/>
    <s v="Toys"/>
    <x v="1"/>
    <n v="30"/>
    <n v="929"/>
    <n v="27870"/>
    <d v="2024-02-23T00:00:00"/>
    <s v="February"/>
    <s v="2024"/>
  </r>
  <r>
    <x v="1"/>
    <s v="Clothing"/>
    <x v="7"/>
    <n v="14"/>
    <n v="736"/>
    <n v="10304"/>
    <d v="2025-05-06T00:00:00"/>
    <s v="May"/>
    <s v="2025"/>
  </r>
  <r>
    <x v="2"/>
    <s v="Clothing"/>
    <x v="7"/>
    <n v="44"/>
    <n v="921"/>
    <n v="40524"/>
    <d v="2024-03-12T00:00:00"/>
    <s v="March"/>
    <s v="2024"/>
  </r>
  <r>
    <x v="0"/>
    <s v="Groceries"/>
    <x v="1"/>
    <n v="30"/>
    <n v="526"/>
    <n v="15780"/>
    <d v="2025-08-12T00:00:00"/>
    <s v="August"/>
    <s v="2025"/>
  </r>
  <r>
    <x v="1"/>
    <s v="Furniture"/>
    <x v="6"/>
    <n v="41"/>
    <n v="1985"/>
    <n v="81385"/>
    <d v="2024-09-02T00:00:00"/>
    <s v="September"/>
    <s v="2024"/>
  </r>
  <r>
    <x v="2"/>
    <s v="Electronics"/>
    <x v="8"/>
    <n v="23"/>
    <n v="691"/>
    <n v="15893"/>
    <d v="2024-09-22T00:00:00"/>
    <s v="September"/>
    <s v="2024"/>
  </r>
  <r>
    <x v="3"/>
    <s v="Electronics"/>
    <x v="8"/>
    <n v="39"/>
    <n v="480"/>
    <n v="18720"/>
    <d v="2024-10-18T00:00:00"/>
    <s v="October"/>
    <s v="2024"/>
  </r>
  <r>
    <x v="1"/>
    <s v="Clothing"/>
    <x v="4"/>
    <n v="50"/>
    <n v="284"/>
    <n v="14200"/>
    <d v="2024-03-22T00:00:00"/>
    <s v="March"/>
    <s v="2024"/>
  </r>
  <r>
    <x v="1"/>
    <s v="Toys"/>
    <x v="0"/>
    <n v="12"/>
    <n v="1662"/>
    <n v="19944"/>
    <d v="2024-03-08T00:00:00"/>
    <s v="March"/>
    <s v="2024"/>
  </r>
  <r>
    <x v="3"/>
    <s v="Groceries"/>
    <x v="1"/>
    <n v="37"/>
    <n v="628"/>
    <n v="23236"/>
    <d v="2025-08-31T00:00:00"/>
    <s v="August"/>
    <s v="2025"/>
  </r>
  <r>
    <x v="1"/>
    <s v="Groceries"/>
    <x v="4"/>
    <n v="21"/>
    <n v="334"/>
    <n v="7014"/>
    <d v="2024-10-24T00:00:00"/>
    <s v="October"/>
    <s v="2024"/>
  </r>
  <r>
    <x v="1"/>
    <s v="Electronics"/>
    <x v="2"/>
    <n v="36"/>
    <n v="252"/>
    <n v="9072"/>
    <d v="2024-07-23T00:00:00"/>
    <s v="July"/>
    <s v="2024"/>
  </r>
  <r>
    <x v="0"/>
    <s v="Clothing"/>
    <x v="1"/>
    <n v="41"/>
    <n v="1643"/>
    <n v="67363"/>
    <d v="2025-02-07T00:00:00"/>
    <s v="February"/>
    <s v="2025"/>
  </r>
  <r>
    <x v="2"/>
    <s v="Furniture"/>
    <x v="9"/>
    <n v="6"/>
    <n v="1765"/>
    <n v="10590"/>
    <d v="2025-07-23T00:00:00"/>
    <s v="July"/>
    <s v="2025"/>
  </r>
  <r>
    <x v="1"/>
    <s v="Furniture"/>
    <x v="8"/>
    <n v="2"/>
    <n v="1949"/>
    <n v="3898"/>
    <d v="2024-05-18T00:00:00"/>
    <s v="May"/>
    <s v="2024"/>
  </r>
  <r>
    <x v="1"/>
    <s v="Furniture"/>
    <x v="5"/>
    <n v="13"/>
    <n v="1758"/>
    <n v="22854"/>
    <d v="2025-02-18T00:00:00"/>
    <s v="February"/>
    <s v="2025"/>
  </r>
  <r>
    <x v="0"/>
    <s v="Electronics"/>
    <x v="6"/>
    <n v="24"/>
    <n v="934"/>
    <n v="22416"/>
    <d v="2025-11-22T00:00:00"/>
    <s v="November"/>
    <s v="2025"/>
  </r>
  <r>
    <x v="2"/>
    <s v="Groceries"/>
    <x v="6"/>
    <n v="34"/>
    <n v="701"/>
    <n v="23834"/>
    <d v="2024-10-09T00:00:00"/>
    <s v="October"/>
    <s v="2024"/>
  </r>
  <r>
    <x v="0"/>
    <s v="Furniture"/>
    <x v="5"/>
    <n v="39"/>
    <n v="408"/>
    <n v="15912"/>
    <d v="2024-10-05T00:00:00"/>
    <s v="October"/>
    <s v="2024"/>
  </r>
  <r>
    <x v="2"/>
    <s v="Groceries"/>
    <x v="5"/>
    <n v="38"/>
    <n v="1776"/>
    <n v="67488"/>
    <d v="2024-03-09T00:00:00"/>
    <s v="March"/>
    <s v="2024"/>
  </r>
  <r>
    <x v="0"/>
    <s v="Furniture"/>
    <x v="8"/>
    <n v="3"/>
    <n v="827"/>
    <n v="2481"/>
    <d v="2024-07-18T00:00:00"/>
    <s v="July"/>
    <s v="2024"/>
  </r>
  <r>
    <x v="2"/>
    <s v="Furniture"/>
    <x v="5"/>
    <n v="28"/>
    <n v="231"/>
    <n v="6468"/>
    <d v="2024-11-23T00:00:00"/>
    <s v="November"/>
    <s v="2024"/>
  </r>
  <r>
    <x v="1"/>
    <s v="Clothing"/>
    <x v="7"/>
    <n v="44"/>
    <n v="1566"/>
    <n v="68904"/>
    <d v="2024-11-23T00:00:00"/>
    <s v="November"/>
    <s v="2024"/>
  </r>
  <r>
    <x v="1"/>
    <s v="Toys"/>
    <x v="0"/>
    <n v="47"/>
    <n v="1408"/>
    <n v="66176"/>
    <d v="2024-10-22T00:00:00"/>
    <s v="October"/>
    <s v="2024"/>
  </r>
  <r>
    <x v="0"/>
    <s v="Furniture"/>
    <x v="8"/>
    <n v="48"/>
    <n v="1241"/>
    <n v="59568"/>
    <d v="2025-01-23T00:00:00"/>
    <s v="January"/>
    <s v="2025"/>
  </r>
  <r>
    <x v="3"/>
    <s v="Electronics"/>
    <x v="1"/>
    <n v="28"/>
    <n v="1262"/>
    <n v="35336"/>
    <d v="2025-10-08T00:00:00"/>
    <s v="October"/>
    <s v="2025"/>
  </r>
  <r>
    <x v="0"/>
    <s v="Electronics"/>
    <x v="6"/>
    <n v="35"/>
    <n v="953"/>
    <n v="33355"/>
    <d v="2025-06-05T00:00:00"/>
    <s v="June"/>
    <s v="2025"/>
  </r>
  <r>
    <x v="0"/>
    <s v="Toys"/>
    <x v="5"/>
    <n v="1"/>
    <n v="1191"/>
    <n v="1191"/>
    <d v="2024-11-24T00:00:00"/>
    <s v="November"/>
    <s v="2024"/>
  </r>
  <r>
    <x v="0"/>
    <s v="Toys"/>
    <x v="0"/>
    <n v="28"/>
    <n v="1125"/>
    <n v="31500"/>
    <d v="2025-11-04T00:00:00"/>
    <s v="November"/>
    <s v="2025"/>
  </r>
  <r>
    <x v="1"/>
    <s v="Groceries"/>
    <x v="2"/>
    <n v="13"/>
    <n v="388"/>
    <n v="5044"/>
    <d v="2025-08-31T00:00:00"/>
    <s v="August"/>
    <s v="2025"/>
  </r>
  <r>
    <x v="0"/>
    <s v="Clothing"/>
    <x v="9"/>
    <n v="23"/>
    <n v="1827"/>
    <n v="42021"/>
    <d v="2024-05-01T00:00:00"/>
    <s v="May"/>
    <s v="2024"/>
  </r>
  <r>
    <x v="1"/>
    <s v="Toys"/>
    <x v="9"/>
    <n v="12"/>
    <n v="1601"/>
    <n v="19212"/>
    <d v="2025-05-15T00:00:00"/>
    <s v="May"/>
    <s v="2025"/>
  </r>
  <r>
    <x v="2"/>
    <s v="Clothing"/>
    <x v="0"/>
    <n v="32"/>
    <n v="1314"/>
    <n v="42048"/>
    <d v="2024-04-14T00:00:00"/>
    <s v="April"/>
    <s v="2024"/>
  </r>
  <r>
    <x v="3"/>
    <s v="Furniture"/>
    <x v="4"/>
    <n v="30"/>
    <n v="1065"/>
    <n v="31950"/>
    <d v="2025-08-28T00:00:00"/>
    <s v="August"/>
    <s v="2025"/>
  </r>
  <r>
    <x v="2"/>
    <s v="Toys"/>
    <x v="4"/>
    <n v="5"/>
    <n v="109"/>
    <n v="545"/>
    <d v="2025-07-29T00:00:00"/>
    <s v="July"/>
    <s v="2025"/>
  </r>
  <r>
    <x v="1"/>
    <s v="Groceries"/>
    <x v="0"/>
    <n v="45"/>
    <n v="1503"/>
    <n v="67635"/>
    <d v="2024-03-25T00:00:00"/>
    <s v="March"/>
    <s v="2024"/>
  </r>
  <r>
    <x v="2"/>
    <s v="Clothing"/>
    <x v="4"/>
    <n v="30"/>
    <n v="735"/>
    <n v="22050"/>
    <d v="2024-05-27T00:00:00"/>
    <s v="May"/>
    <s v="2024"/>
  </r>
  <r>
    <x v="3"/>
    <s v="Groceries"/>
    <x v="9"/>
    <n v="4"/>
    <n v="1370"/>
    <n v="5480"/>
    <d v="2025-07-10T00:00:00"/>
    <s v="July"/>
    <s v="2025"/>
  </r>
  <r>
    <x v="2"/>
    <s v="Furniture"/>
    <x v="0"/>
    <n v="29"/>
    <n v="345"/>
    <n v="10005"/>
    <d v="2024-08-03T00:00:00"/>
    <s v="August"/>
    <s v="2024"/>
  </r>
  <r>
    <x v="3"/>
    <s v="Clothing"/>
    <x v="3"/>
    <n v="34"/>
    <n v="1043"/>
    <n v="35462"/>
    <d v="2025-05-31T00:00:00"/>
    <s v="May"/>
    <s v="2025"/>
  </r>
  <r>
    <x v="1"/>
    <s v="Electronics"/>
    <x v="2"/>
    <n v="23"/>
    <n v="158"/>
    <n v="3634"/>
    <d v="2024-03-15T00:00:00"/>
    <s v="March"/>
    <s v="2024"/>
  </r>
  <r>
    <x v="3"/>
    <s v="Clothing"/>
    <x v="1"/>
    <n v="42"/>
    <n v="1836"/>
    <n v="77112"/>
    <d v="2025-02-22T00:00:00"/>
    <s v="February"/>
    <s v="2025"/>
  </r>
  <r>
    <x v="1"/>
    <s v="Groceries"/>
    <x v="4"/>
    <n v="10"/>
    <n v="371"/>
    <n v="3710"/>
    <d v="2024-09-07T00:00:00"/>
    <s v="September"/>
    <s v="2024"/>
  </r>
  <r>
    <x v="3"/>
    <s v="Clothing"/>
    <x v="0"/>
    <n v="33"/>
    <n v="447"/>
    <n v="14751"/>
    <d v="2024-10-05T00:00:00"/>
    <s v="October"/>
    <s v="2024"/>
  </r>
  <r>
    <x v="2"/>
    <s v="Electronics"/>
    <x v="4"/>
    <n v="48"/>
    <n v="838"/>
    <n v="40224"/>
    <d v="2025-05-11T00:00:00"/>
    <s v="May"/>
    <s v="2025"/>
  </r>
  <r>
    <x v="3"/>
    <s v="Clothing"/>
    <x v="3"/>
    <n v="37"/>
    <n v="971"/>
    <n v="35927"/>
    <d v="2025-07-24T00:00:00"/>
    <s v="July"/>
    <s v="2025"/>
  </r>
  <r>
    <x v="2"/>
    <s v="Electronics"/>
    <x v="4"/>
    <n v="18"/>
    <n v="619"/>
    <n v="11142"/>
    <d v="2024-04-09T00:00:00"/>
    <s v="April"/>
    <s v="2024"/>
  </r>
  <r>
    <x v="3"/>
    <s v="Furniture"/>
    <x v="0"/>
    <n v="19"/>
    <n v="743"/>
    <n v="14117"/>
    <d v="2024-09-14T00:00:00"/>
    <s v="September"/>
    <s v="2024"/>
  </r>
  <r>
    <x v="3"/>
    <s v="Electronics"/>
    <x v="0"/>
    <n v="18"/>
    <n v="224"/>
    <n v="4032"/>
    <d v="2025-05-12T00:00:00"/>
    <s v="May"/>
    <s v="2025"/>
  </r>
  <r>
    <x v="3"/>
    <s v="Toys"/>
    <x v="8"/>
    <n v="6"/>
    <n v="956"/>
    <n v="5736"/>
    <d v="2024-02-29T00:00:00"/>
    <s v="February"/>
    <s v="2024"/>
  </r>
  <r>
    <x v="2"/>
    <s v="Clothing"/>
    <x v="2"/>
    <n v="28"/>
    <n v="1811"/>
    <n v="50708"/>
    <d v="2024-05-04T00:00:00"/>
    <s v="May"/>
    <s v="2024"/>
  </r>
  <r>
    <x v="2"/>
    <s v="Electronics"/>
    <x v="9"/>
    <n v="22"/>
    <n v="321"/>
    <n v="7062"/>
    <d v="2025-10-14T00:00:00"/>
    <s v="October"/>
    <s v="2025"/>
  </r>
  <r>
    <x v="0"/>
    <s v="Clothing"/>
    <x v="0"/>
    <n v="19"/>
    <n v="1316"/>
    <n v="25004"/>
    <d v="2025-05-05T00:00:00"/>
    <s v="May"/>
    <s v="2025"/>
  </r>
  <r>
    <x v="2"/>
    <s v="Clothing"/>
    <x v="6"/>
    <n v="45"/>
    <n v="1060"/>
    <n v="47700"/>
    <d v="2025-05-29T00:00:00"/>
    <s v="May"/>
    <s v="2025"/>
  </r>
  <r>
    <x v="0"/>
    <s v="Clothing"/>
    <x v="0"/>
    <n v="19"/>
    <n v="1637"/>
    <n v="31103"/>
    <d v="2025-02-22T00:00:00"/>
    <s v="February"/>
    <s v="2025"/>
  </r>
  <r>
    <x v="1"/>
    <s v="Furniture"/>
    <x v="2"/>
    <n v="43"/>
    <n v="150"/>
    <n v="6450"/>
    <d v="2024-09-28T00:00:00"/>
    <s v="September"/>
    <s v="2024"/>
  </r>
  <r>
    <x v="1"/>
    <s v="Clothing"/>
    <x v="6"/>
    <n v="9"/>
    <n v="1988"/>
    <n v="17892"/>
    <d v="2025-04-07T00:00:00"/>
    <s v="April"/>
    <s v="2025"/>
  </r>
  <r>
    <x v="3"/>
    <s v="Clothing"/>
    <x v="8"/>
    <n v="10"/>
    <n v="1262"/>
    <n v="12620"/>
    <d v="2025-09-08T00:00:00"/>
    <s v="September"/>
    <s v="2025"/>
  </r>
  <r>
    <x v="3"/>
    <s v="Clothing"/>
    <x v="0"/>
    <n v="23"/>
    <n v="1060"/>
    <n v="24380"/>
    <d v="2025-09-28T00:00:00"/>
    <s v="September"/>
    <s v="2025"/>
  </r>
  <r>
    <x v="2"/>
    <s v="Furniture"/>
    <x v="6"/>
    <n v="3"/>
    <n v="1498"/>
    <n v="4494"/>
    <d v="2025-07-10T00:00:00"/>
    <s v="July"/>
    <s v="2025"/>
  </r>
  <r>
    <x v="3"/>
    <s v="Electronics"/>
    <x v="9"/>
    <n v="27"/>
    <n v="572"/>
    <n v="15444"/>
    <d v="2025-11-16T00:00:00"/>
    <s v="November"/>
    <s v="2025"/>
  </r>
  <r>
    <x v="3"/>
    <s v="Toys"/>
    <x v="1"/>
    <n v="39"/>
    <n v="583"/>
    <n v="22737"/>
    <d v="2025-04-14T00:00:00"/>
    <s v="April"/>
    <s v="2025"/>
  </r>
  <r>
    <x v="2"/>
    <s v="Electronics"/>
    <x v="3"/>
    <n v="2"/>
    <n v="243"/>
    <n v="486"/>
    <d v="2024-08-11T00:00:00"/>
    <s v="August"/>
    <s v="2024"/>
  </r>
  <r>
    <x v="2"/>
    <s v="Groceries"/>
    <x v="6"/>
    <n v="5"/>
    <n v="1876"/>
    <n v="9380"/>
    <d v="2024-04-21T00:00:00"/>
    <s v="April"/>
    <s v="2024"/>
  </r>
  <r>
    <x v="1"/>
    <s v="Furniture"/>
    <x v="2"/>
    <n v="8"/>
    <n v="867"/>
    <n v="6936"/>
    <d v="2024-05-28T00:00:00"/>
    <s v="May"/>
    <s v="2024"/>
  </r>
  <r>
    <x v="2"/>
    <s v="Groceries"/>
    <x v="2"/>
    <n v="47"/>
    <n v="975"/>
    <n v="45825"/>
    <d v="2025-10-28T00:00:00"/>
    <s v="October"/>
    <s v="2025"/>
  </r>
  <r>
    <x v="1"/>
    <s v="Electronics"/>
    <x v="9"/>
    <n v="14"/>
    <n v="1810"/>
    <n v="25340"/>
    <d v="2024-09-06T00:00:00"/>
    <s v="September"/>
    <s v="2024"/>
  </r>
  <r>
    <x v="0"/>
    <s v="Furniture"/>
    <x v="5"/>
    <n v="17"/>
    <n v="283"/>
    <n v="4811"/>
    <d v="2024-04-02T00:00:00"/>
    <s v="April"/>
    <s v="2024"/>
  </r>
  <r>
    <x v="1"/>
    <s v="Clothing"/>
    <x v="5"/>
    <n v="35"/>
    <n v="1789"/>
    <n v="62615"/>
    <d v="2024-06-14T00:00:00"/>
    <s v="June"/>
    <s v="2024"/>
  </r>
  <r>
    <x v="3"/>
    <s v="Groceries"/>
    <x v="9"/>
    <n v="43"/>
    <n v="1855"/>
    <n v="79765"/>
    <d v="2025-05-25T00:00:00"/>
    <s v="May"/>
    <s v="2025"/>
  </r>
  <r>
    <x v="3"/>
    <s v="Groceries"/>
    <x v="1"/>
    <n v="25"/>
    <n v="851"/>
    <n v="21275"/>
    <d v="2025-06-10T00:00:00"/>
    <s v="June"/>
    <s v="2025"/>
  </r>
  <r>
    <x v="1"/>
    <s v="Groceries"/>
    <x v="5"/>
    <n v="1"/>
    <n v="917"/>
    <n v="917"/>
    <d v="2025-06-02T00:00:00"/>
    <s v="June"/>
    <s v="2025"/>
  </r>
  <r>
    <x v="3"/>
    <s v="Furniture"/>
    <x v="2"/>
    <n v="25"/>
    <n v="979"/>
    <n v="24475"/>
    <d v="2025-06-05T00:00:00"/>
    <s v="June"/>
    <s v="2025"/>
  </r>
  <r>
    <x v="0"/>
    <s v="Electronics"/>
    <x v="6"/>
    <n v="44"/>
    <n v="182"/>
    <n v="8008"/>
    <d v="2024-04-28T00:00:00"/>
    <s v="April"/>
    <s v="2024"/>
  </r>
  <r>
    <x v="3"/>
    <s v="Electronics"/>
    <x v="7"/>
    <n v="46"/>
    <n v="1869"/>
    <n v="85974"/>
    <d v="2025-06-23T00:00:00"/>
    <s v="June"/>
    <s v="2025"/>
  </r>
  <r>
    <x v="0"/>
    <s v="Clothing"/>
    <x v="0"/>
    <n v="31"/>
    <n v="380"/>
    <n v="11780"/>
    <d v="2025-07-25T00:00:00"/>
    <s v="July"/>
    <s v="2025"/>
  </r>
  <r>
    <x v="3"/>
    <s v="Groceries"/>
    <x v="0"/>
    <n v="8"/>
    <n v="1505"/>
    <n v="12040"/>
    <d v="2024-04-07T00:00:00"/>
    <s v="April"/>
    <s v="2024"/>
  </r>
  <r>
    <x v="2"/>
    <s v="Toys"/>
    <x v="7"/>
    <n v="18"/>
    <n v="331"/>
    <n v="5958"/>
    <d v="2024-10-26T00:00:00"/>
    <s v="October"/>
    <s v="2024"/>
  </r>
  <r>
    <x v="3"/>
    <s v="Furniture"/>
    <x v="8"/>
    <n v="12"/>
    <n v="1397"/>
    <n v="16764"/>
    <d v="2025-06-30T00:00:00"/>
    <s v="June"/>
    <s v="2025"/>
  </r>
  <r>
    <x v="2"/>
    <s v="Electronics"/>
    <x v="6"/>
    <n v="19"/>
    <n v="136"/>
    <n v="2584"/>
    <d v="2024-07-01T00:00:00"/>
    <s v="July"/>
    <s v="2024"/>
  </r>
  <r>
    <x v="3"/>
    <s v="Furniture"/>
    <x v="0"/>
    <n v="35"/>
    <n v="1534"/>
    <n v="53690"/>
    <d v="2025-02-13T00:00:00"/>
    <s v="February"/>
    <s v="2025"/>
  </r>
  <r>
    <x v="0"/>
    <s v="Electronics"/>
    <x v="8"/>
    <n v="21"/>
    <n v="965"/>
    <n v="20265"/>
    <d v="2025-09-09T00:00:00"/>
    <s v="September"/>
    <s v="2025"/>
  </r>
  <r>
    <x v="0"/>
    <s v="Toys"/>
    <x v="4"/>
    <n v="37"/>
    <n v="1574"/>
    <n v="58238"/>
    <d v="2024-03-21T00:00:00"/>
    <s v="March"/>
    <s v="2024"/>
  </r>
  <r>
    <x v="2"/>
    <s v="Toys"/>
    <x v="6"/>
    <n v="26"/>
    <n v="1213"/>
    <n v="31538"/>
    <d v="2025-11-17T00:00:00"/>
    <s v="November"/>
    <s v="2025"/>
  </r>
  <r>
    <x v="2"/>
    <s v="Toys"/>
    <x v="4"/>
    <n v="12"/>
    <n v="1506"/>
    <n v="18072"/>
    <d v="2025-05-12T00:00:00"/>
    <s v="May"/>
    <s v="2025"/>
  </r>
  <r>
    <x v="0"/>
    <s v="Toys"/>
    <x v="7"/>
    <n v="11"/>
    <n v="488"/>
    <n v="5368"/>
    <d v="2024-11-14T00:00:00"/>
    <s v="November"/>
    <s v="2024"/>
  </r>
  <r>
    <x v="2"/>
    <s v="Clothing"/>
    <x v="0"/>
    <n v="49"/>
    <n v="729"/>
    <n v="35721"/>
    <d v="2025-04-30T00:00:00"/>
    <s v="April"/>
    <s v="2025"/>
  </r>
  <r>
    <x v="3"/>
    <s v="Toys"/>
    <x v="1"/>
    <n v="1"/>
    <n v="152"/>
    <n v="152"/>
    <d v="2025-09-04T00:00:00"/>
    <s v="September"/>
    <s v="2025"/>
  </r>
  <r>
    <x v="1"/>
    <s v="Clothing"/>
    <x v="0"/>
    <n v="12"/>
    <n v="1111"/>
    <n v="13332"/>
    <d v="2025-09-03T00:00:00"/>
    <s v="September"/>
    <s v="2025"/>
  </r>
  <r>
    <x v="1"/>
    <s v="Furniture"/>
    <x v="2"/>
    <n v="50"/>
    <n v="352"/>
    <n v="17600"/>
    <d v="2025-03-06T00:00:00"/>
    <s v="March"/>
    <s v="2025"/>
  </r>
  <r>
    <x v="3"/>
    <s v="Toys"/>
    <x v="9"/>
    <n v="18"/>
    <n v="992"/>
    <n v="17856"/>
    <d v="2025-02-10T00:00:00"/>
    <s v="February"/>
    <s v="2025"/>
  </r>
  <r>
    <x v="0"/>
    <s v="Clothing"/>
    <x v="9"/>
    <n v="18"/>
    <n v="1819"/>
    <n v="32742"/>
    <d v="2025-12-01T00:00:00"/>
    <s v="December"/>
    <s v="2025"/>
  </r>
  <r>
    <x v="0"/>
    <s v="Groceries"/>
    <x v="7"/>
    <n v="17"/>
    <n v="1766"/>
    <n v="30022"/>
    <d v="2024-01-03T00:00:00"/>
    <s v="January"/>
    <s v="2024"/>
  </r>
  <r>
    <x v="1"/>
    <s v="Toys"/>
    <x v="0"/>
    <n v="19"/>
    <n v="1191"/>
    <n v="22629"/>
    <d v="2024-01-24T00:00:00"/>
    <s v="January"/>
    <s v="2024"/>
  </r>
  <r>
    <x v="2"/>
    <s v="Electronics"/>
    <x v="2"/>
    <n v="47"/>
    <n v="1914"/>
    <n v="89958"/>
    <d v="2025-12-19T00:00:00"/>
    <s v="December"/>
    <s v="2025"/>
  </r>
  <r>
    <x v="1"/>
    <s v="Groceries"/>
    <x v="4"/>
    <n v="23"/>
    <n v="1412"/>
    <n v="32476"/>
    <d v="2025-10-07T00:00:00"/>
    <s v="October"/>
    <s v="2025"/>
  </r>
  <r>
    <x v="1"/>
    <s v="Electronics"/>
    <x v="0"/>
    <n v="42"/>
    <n v="1225"/>
    <n v="51450"/>
    <d v="2025-08-30T00:00:00"/>
    <s v="August"/>
    <s v="2025"/>
  </r>
  <r>
    <x v="3"/>
    <s v="Electronics"/>
    <x v="4"/>
    <n v="48"/>
    <n v="1209"/>
    <n v="58032"/>
    <d v="2025-05-04T00:00:00"/>
    <s v="May"/>
    <s v="2025"/>
  </r>
  <r>
    <x v="3"/>
    <s v="Clothing"/>
    <x v="2"/>
    <n v="34"/>
    <n v="1066"/>
    <n v="36244"/>
    <d v="2025-07-03T00:00:00"/>
    <s v="July"/>
    <s v="2025"/>
  </r>
  <r>
    <x v="3"/>
    <s v="Electronics"/>
    <x v="4"/>
    <n v="15"/>
    <n v="1546"/>
    <n v="23190"/>
    <d v="2025-08-22T00:00:00"/>
    <s v="August"/>
    <s v="2025"/>
  </r>
  <r>
    <x v="0"/>
    <s v="Electronics"/>
    <x v="4"/>
    <n v="22"/>
    <n v="518"/>
    <n v="11396"/>
    <d v="2025-06-19T00:00:00"/>
    <s v="June"/>
    <s v="2025"/>
  </r>
  <r>
    <x v="2"/>
    <s v="Clothing"/>
    <x v="7"/>
    <n v="25"/>
    <n v="870"/>
    <n v="21750"/>
    <d v="2025-10-07T00:00:00"/>
    <s v="October"/>
    <s v="2025"/>
  </r>
  <r>
    <x v="0"/>
    <s v="Clothing"/>
    <x v="5"/>
    <n v="7"/>
    <n v="295"/>
    <n v="2065"/>
    <d v="2024-07-16T00:00:00"/>
    <s v="July"/>
    <s v="2024"/>
  </r>
  <r>
    <x v="0"/>
    <s v="Groceries"/>
    <x v="9"/>
    <n v="39"/>
    <n v="954"/>
    <n v="37206"/>
    <d v="2025-08-21T00:00:00"/>
    <s v="August"/>
    <s v="2025"/>
  </r>
  <r>
    <x v="2"/>
    <s v="Clothing"/>
    <x v="1"/>
    <n v="28"/>
    <n v="1352"/>
    <n v="37856"/>
    <d v="2024-12-21T00:00:00"/>
    <s v="December"/>
    <s v="2024"/>
  </r>
  <r>
    <x v="1"/>
    <s v="Toys"/>
    <x v="5"/>
    <n v="26"/>
    <n v="1955"/>
    <n v="50830"/>
    <d v="2025-06-24T00:00:00"/>
    <s v="June"/>
    <s v="2025"/>
  </r>
  <r>
    <x v="2"/>
    <s v="Groceries"/>
    <x v="7"/>
    <n v="27"/>
    <n v="1255"/>
    <n v="33885"/>
    <d v="2025-11-28T00:00:00"/>
    <s v="November"/>
    <s v="2025"/>
  </r>
  <r>
    <x v="3"/>
    <s v="Toys"/>
    <x v="6"/>
    <n v="44"/>
    <n v="1607"/>
    <n v="70708"/>
    <d v="2024-02-02T00:00:00"/>
    <s v="February"/>
    <s v="2024"/>
  </r>
  <r>
    <x v="1"/>
    <s v="Furniture"/>
    <x v="2"/>
    <n v="48"/>
    <n v="1725"/>
    <n v="82800"/>
    <d v="2024-06-18T00:00:00"/>
    <s v="June"/>
    <s v="2024"/>
  </r>
  <r>
    <x v="2"/>
    <s v="Electronics"/>
    <x v="5"/>
    <n v="5"/>
    <n v="1125"/>
    <n v="5625"/>
    <d v="2024-02-02T00:00:00"/>
    <s v="February"/>
    <s v="2024"/>
  </r>
  <r>
    <x v="0"/>
    <s v="Toys"/>
    <x v="1"/>
    <n v="49"/>
    <n v="615"/>
    <n v="30135"/>
    <d v="2025-02-28T00:00:00"/>
    <s v="February"/>
    <s v="2025"/>
  </r>
  <r>
    <x v="1"/>
    <s v="Clothing"/>
    <x v="2"/>
    <n v="3"/>
    <n v="801"/>
    <n v="2403"/>
    <d v="2025-01-05T00:00:00"/>
    <s v="January"/>
    <s v="2025"/>
  </r>
  <r>
    <x v="2"/>
    <s v="Electronics"/>
    <x v="7"/>
    <n v="14"/>
    <n v="1652"/>
    <n v="23128"/>
    <d v="2025-05-06T00:00:00"/>
    <s v="May"/>
    <s v="2025"/>
  </r>
  <r>
    <x v="3"/>
    <s v="Groceries"/>
    <x v="3"/>
    <n v="4"/>
    <n v="893"/>
    <n v="3572"/>
    <d v="2024-01-12T00:00:00"/>
    <s v="January"/>
    <s v="2024"/>
  </r>
  <r>
    <x v="0"/>
    <s v="Electronics"/>
    <x v="2"/>
    <n v="38"/>
    <n v="800"/>
    <n v="30400"/>
    <d v="2024-02-28T00:00:00"/>
    <s v="February"/>
    <s v="2024"/>
  </r>
  <r>
    <x v="3"/>
    <s v="Furniture"/>
    <x v="1"/>
    <n v="43"/>
    <n v="480"/>
    <n v="20640"/>
    <d v="2024-08-06T00:00:00"/>
    <s v="August"/>
    <s v="2024"/>
  </r>
  <r>
    <x v="2"/>
    <s v="Clothing"/>
    <x v="5"/>
    <n v="27"/>
    <n v="847"/>
    <n v="22869"/>
    <d v="2024-10-25T00:00:00"/>
    <s v="October"/>
    <s v="2024"/>
  </r>
  <r>
    <x v="1"/>
    <s v="Toys"/>
    <x v="0"/>
    <n v="48"/>
    <n v="1233"/>
    <n v="59184"/>
    <d v="2024-03-16T00:00:00"/>
    <s v="March"/>
    <s v="2024"/>
  </r>
  <r>
    <x v="1"/>
    <s v="Electronics"/>
    <x v="9"/>
    <n v="25"/>
    <n v="1590"/>
    <n v="39750"/>
    <d v="2024-03-02T00:00:00"/>
    <s v="March"/>
    <s v="2024"/>
  </r>
  <r>
    <x v="0"/>
    <s v="Clothing"/>
    <x v="2"/>
    <n v="46"/>
    <n v="1254"/>
    <n v="57684"/>
    <d v="2025-06-28T00:00:00"/>
    <s v="June"/>
    <s v="2025"/>
  </r>
  <r>
    <x v="3"/>
    <s v="Clothing"/>
    <x v="7"/>
    <n v="46"/>
    <n v="597"/>
    <n v="27462"/>
    <d v="2024-07-14T00:00:00"/>
    <s v="July"/>
    <s v="2024"/>
  </r>
  <r>
    <x v="1"/>
    <s v="Clothing"/>
    <x v="6"/>
    <n v="11"/>
    <n v="1601"/>
    <n v="17611"/>
    <d v="2024-02-07T00:00:00"/>
    <s v="February"/>
    <s v="2024"/>
  </r>
  <r>
    <x v="2"/>
    <s v="Furniture"/>
    <x v="2"/>
    <n v="49"/>
    <n v="211"/>
    <n v="10339"/>
    <d v="2025-03-01T00:00:00"/>
    <s v="March"/>
    <s v="2025"/>
  </r>
  <r>
    <x v="0"/>
    <s v="Groceries"/>
    <x v="5"/>
    <n v="6"/>
    <n v="1591"/>
    <n v="9546"/>
    <d v="2024-07-11T00:00:00"/>
    <s v="July"/>
    <s v="2024"/>
  </r>
  <r>
    <x v="3"/>
    <s v="Electronics"/>
    <x v="2"/>
    <n v="11"/>
    <n v="193"/>
    <n v="2123"/>
    <d v="2025-01-21T00:00:00"/>
    <s v="January"/>
    <s v="2025"/>
  </r>
  <r>
    <x v="1"/>
    <s v="Electronics"/>
    <x v="2"/>
    <n v="16"/>
    <n v="561"/>
    <n v="8976"/>
    <d v="2025-08-23T00:00:00"/>
    <s v="August"/>
    <s v="2025"/>
  </r>
  <r>
    <x v="2"/>
    <s v="Clothing"/>
    <x v="1"/>
    <n v="20"/>
    <n v="1691"/>
    <n v="33820"/>
    <d v="2025-02-11T00:00:00"/>
    <s v="February"/>
    <s v="2025"/>
  </r>
  <r>
    <x v="1"/>
    <s v="Electronics"/>
    <x v="1"/>
    <n v="24"/>
    <n v="1081"/>
    <n v="25944"/>
    <d v="2024-12-30T00:00:00"/>
    <s v="December"/>
    <s v="2024"/>
  </r>
  <r>
    <x v="2"/>
    <s v="Clothing"/>
    <x v="2"/>
    <n v="25"/>
    <n v="467"/>
    <n v="11675"/>
    <d v="2024-01-27T00:00:00"/>
    <s v="January"/>
    <s v="2024"/>
  </r>
  <r>
    <x v="1"/>
    <s v="Groceries"/>
    <x v="9"/>
    <n v="29"/>
    <n v="1984"/>
    <n v="57536"/>
    <d v="2025-09-09T00:00:00"/>
    <s v="September"/>
    <s v="2025"/>
  </r>
  <r>
    <x v="3"/>
    <s v="Electronics"/>
    <x v="6"/>
    <n v="44"/>
    <n v="770"/>
    <n v="33880"/>
    <d v="2024-12-23T00:00:00"/>
    <s v="December"/>
    <s v="2024"/>
  </r>
  <r>
    <x v="0"/>
    <s v="Clothing"/>
    <x v="4"/>
    <n v="28"/>
    <n v="1279"/>
    <n v="35812"/>
    <d v="2025-04-25T00:00:00"/>
    <s v="April"/>
    <s v="2025"/>
  </r>
  <r>
    <x v="1"/>
    <s v="Electronics"/>
    <x v="7"/>
    <n v="8"/>
    <n v="1018"/>
    <n v="8144"/>
    <d v="2025-02-10T00:00:00"/>
    <s v="February"/>
    <s v="2025"/>
  </r>
  <r>
    <x v="2"/>
    <s v="Clothing"/>
    <x v="3"/>
    <n v="2"/>
    <n v="1069"/>
    <n v="2138"/>
    <d v="2024-04-17T00:00:00"/>
    <s v="April"/>
    <s v="2024"/>
  </r>
  <r>
    <x v="1"/>
    <s v="Groceries"/>
    <x v="7"/>
    <n v="24"/>
    <n v="1603"/>
    <n v="38472"/>
    <d v="2024-10-01T00:00:00"/>
    <s v="October"/>
    <s v="2024"/>
  </r>
  <r>
    <x v="3"/>
    <s v="Toys"/>
    <x v="1"/>
    <n v="30"/>
    <n v="1133"/>
    <n v="33990"/>
    <d v="2025-08-21T00:00:00"/>
    <s v="August"/>
    <s v="2025"/>
  </r>
  <r>
    <x v="1"/>
    <s v="Toys"/>
    <x v="7"/>
    <n v="45"/>
    <n v="1983"/>
    <n v="89235"/>
    <d v="2025-05-18T00:00:00"/>
    <s v="May"/>
    <s v="2025"/>
  </r>
  <r>
    <x v="0"/>
    <s v="Toys"/>
    <x v="2"/>
    <n v="6"/>
    <n v="1197"/>
    <n v="7182"/>
    <d v="2024-02-01T00:00:00"/>
    <s v="February"/>
    <s v="2024"/>
  </r>
  <r>
    <x v="0"/>
    <s v="Toys"/>
    <x v="2"/>
    <n v="32"/>
    <n v="159"/>
    <n v="5088"/>
    <d v="2024-08-17T00:00:00"/>
    <s v="August"/>
    <s v="2024"/>
  </r>
  <r>
    <x v="2"/>
    <s v="Groceries"/>
    <x v="6"/>
    <n v="35"/>
    <n v="1476"/>
    <n v="51660"/>
    <d v="2024-01-24T00:00:00"/>
    <s v="January"/>
    <s v="2024"/>
  </r>
  <r>
    <x v="3"/>
    <s v="Electronics"/>
    <x v="6"/>
    <n v="25"/>
    <n v="1105"/>
    <n v="27625"/>
    <d v="2025-10-27T00:00:00"/>
    <s v="October"/>
    <s v="2025"/>
  </r>
  <r>
    <x v="3"/>
    <s v="Groceries"/>
    <x v="1"/>
    <n v="17"/>
    <n v="844"/>
    <n v="14348"/>
    <d v="2024-04-09T00:00:00"/>
    <s v="April"/>
    <s v="2024"/>
  </r>
  <r>
    <x v="0"/>
    <s v="Clothing"/>
    <x v="6"/>
    <n v="41"/>
    <n v="1267"/>
    <n v="51947"/>
    <d v="2024-09-29T00:00:00"/>
    <s v="September"/>
    <s v="2024"/>
  </r>
  <r>
    <x v="2"/>
    <s v="Groceries"/>
    <x v="2"/>
    <n v="16"/>
    <n v="1549"/>
    <n v="24784"/>
    <d v="2025-06-14T00:00:00"/>
    <s v="June"/>
    <s v="2025"/>
  </r>
  <r>
    <x v="1"/>
    <s v="Groceries"/>
    <x v="8"/>
    <n v="5"/>
    <n v="693"/>
    <n v="3465"/>
    <d v="2024-07-01T00:00:00"/>
    <s v="July"/>
    <s v="2024"/>
  </r>
  <r>
    <x v="0"/>
    <s v="Toys"/>
    <x v="7"/>
    <n v="20"/>
    <n v="769"/>
    <n v="15380"/>
    <d v="2025-10-02T00:00:00"/>
    <s v="October"/>
    <s v="2025"/>
  </r>
  <r>
    <x v="0"/>
    <s v="Furniture"/>
    <x v="3"/>
    <n v="5"/>
    <n v="539"/>
    <n v="2695"/>
    <d v="2024-11-02T00:00:00"/>
    <s v="November"/>
    <s v="2024"/>
  </r>
  <r>
    <x v="2"/>
    <s v="Clothing"/>
    <x v="2"/>
    <n v="16"/>
    <n v="833"/>
    <n v="13328"/>
    <d v="2024-08-05T00:00:00"/>
    <s v="August"/>
    <s v="2024"/>
  </r>
  <r>
    <x v="2"/>
    <s v="Furniture"/>
    <x v="6"/>
    <n v="20"/>
    <n v="1910"/>
    <n v="38200"/>
    <d v="2025-09-13T00:00:00"/>
    <s v="September"/>
    <s v="2025"/>
  </r>
  <r>
    <x v="2"/>
    <s v="Toys"/>
    <x v="1"/>
    <n v="13"/>
    <n v="1042"/>
    <n v="13546"/>
    <d v="2025-02-04T00:00:00"/>
    <s v="February"/>
    <s v="2025"/>
  </r>
  <r>
    <x v="3"/>
    <s v="Groceries"/>
    <x v="1"/>
    <n v="50"/>
    <n v="773"/>
    <n v="38650"/>
    <d v="2024-06-16T00:00:00"/>
    <s v="June"/>
    <s v="2024"/>
  </r>
  <r>
    <x v="1"/>
    <s v="Groceries"/>
    <x v="8"/>
    <n v="29"/>
    <n v="720"/>
    <n v="20880"/>
    <d v="2025-08-12T00:00:00"/>
    <s v="August"/>
    <s v="2025"/>
  </r>
  <r>
    <x v="1"/>
    <s v="Toys"/>
    <x v="0"/>
    <n v="27"/>
    <n v="1741"/>
    <n v="47007"/>
    <d v="2024-05-10T00:00:00"/>
    <s v="May"/>
    <s v="2024"/>
  </r>
  <r>
    <x v="0"/>
    <s v="Electronics"/>
    <x v="1"/>
    <n v="28"/>
    <n v="1844"/>
    <n v="51632"/>
    <d v="2024-11-04T00:00:00"/>
    <s v="November"/>
    <s v="2024"/>
  </r>
  <r>
    <x v="2"/>
    <s v="Furniture"/>
    <x v="5"/>
    <n v="43"/>
    <n v="487"/>
    <n v="20941"/>
    <d v="2024-09-19T00:00:00"/>
    <s v="September"/>
    <s v="2024"/>
  </r>
  <r>
    <x v="1"/>
    <s v="Groceries"/>
    <x v="5"/>
    <n v="29"/>
    <n v="977"/>
    <n v="28333"/>
    <d v="2024-04-01T00:00:00"/>
    <s v="April"/>
    <s v="2024"/>
  </r>
  <r>
    <x v="1"/>
    <s v="Toys"/>
    <x v="9"/>
    <n v="19"/>
    <n v="448"/>
    <n v="8512"/>
    <d v="2024-06-17T00:00:00"/>
    <s v="June"/>
    <s v="2024"/>
  </r>
  <r>
    <x v="3"/>
    <s v="Clothing"/>
    <x v="4"/>
    <n v="27"/>
    <n v="212"/>
    <n v="5724"/>
    <d v="2024-04-11T00:00:00"/>
    <s v="April"/>
    <s v="2024"/>
  </r>
  <r>
    <x v="2"/>
    <s v="Toys"/>
    <x v="9"/>
    <n v="38"/>
    <n v="1938"/>
    <n v="73644"/>
    <d v="2025-01-25T00:00:00"/>
    <s v="January"/>
    <s v="2025"/>
  </r>
  <r>
    <x v="1"/>
    <s v="Electronics"/>
    <x v="2"/>
    <n v="4"/>
    <n v="515"/>
    <n v="2060"/>
    <d v="2025-09-06T00:00:00"/>
    <s v="September"/>
    <s v="2025"/>
  </r>
  <r>
    <x v="3"/>
    <s v="Groceries"/>
    <x v="7"/>
    <n v="16"/>
    <n v="770"/>
    <n v="12320"/>
    <d v="2025-09-15T00:00:00"/>
    <s v="September"/>
    <s v="2025"/>
  </r>
  <r>
    <x v="0"/>
    <s v="Electronics"/>
    <x v="2"/>
    <n v="17"/>
    <n v="1448"/>
    <n v="24616"/>
    <d v="2025-10-10T00:00:00"/>
    <s v="October"/>
    <s v="2025"/>
  </r>
  <r>
    <x v="3"/>
    <s v="Groceries"/>
    <x v="7"/>
    <n v="20"/>
    <n v="1091"/>
    <n v="21820"/>
    <d v="2024-01-19T00:00:00"/>
    <s v="January"/>
    <s v="2024"/>
  </r>
  <r>
    <x v="1"/>
    <s v="Groceries"/>
    <x v="4"/>
    <n v="36"/>
    <n v="786"/>
    <n v="28296"/>
    <d v="2024-12-01T00:00:00"/>
    <s v="December"/>
    <s v="2024"/>
  </r>
  <r>
    <x v="0"/>
    <s v="Electronics"/>
    <x v="8"/>
    <n v="50"/>
    <n v="1938"/>
    <n v="96900"/>
    <d v="2024-01-25T00:00:00"/>
    <s v="January"/>
    <s v="2024"/>
  </r>
  <r>
    <x v="3"/>
    <s v="Toys"/>
    <x v="9"/>
    <n v="28"/>
    <n v="638"/>
    <n v="17864"/>
    <d v="2024-10-07T00:00:00"/>
    <s v="October"/>
    <s v="2024"/>
  </r>
  <r>
    <x v="0"/>
    <s v="Toys"/>
    <x v="6"/>
    <n v="18"/>
    <n v="576"/>
    <n v="10368"/>
    <d v="2024-10-28T00:00:00"/>
    <s v="October"/>
    <s v="2024"/>
  </r>
  <r>
    <x v="1"/>
    <s v="Toys"/>
    <x v="7"/>
    <n v="13"/>
    <n v="1448"/>
    <n v="18824"/>
    <d v="2024-05-05T00:00:00"/>
    <s v="May"/>
    <s v="2024"/>
  </r>
  <r>
    <x v="1"/>
    <s v="Groceries"/>
    <x v="7"/>
    <n v="47"/>
    <n v="1953"/>
    <n v="91791"/>
    <d v="2024-06-10T00:00:00"/>
    <s v="June"/>
    <s v="2024"/>
  </r>
  <r>
    <x v="1"/>
    <s v="Groceries"/>
    <x v="3"/>
    <n v="39"/>
    <n v="1743"/>
    <n v="67977"/>
    <d v="2024-11-17T00:00:00"/>
    <s v="November"/>
    <s v="2024"/>
  </r>
  <r>
    <x v="2"/>
    <s v="Furniture"/>
    <x v="6"/>
    <n v="31"/>
    <n v="1944"/>
    <n v="60264"/>
    <d v="2024-07-01T00:00:00"/>
    <s v="July"/>
    <s v="2024"/>
  </r>
  <r>
    <x v="0"/>
    <s v="Groceries"/>
    <x v="7"/>
    <n v="46"/>
    <n v="1865"/>
    <n v="85790"/>
    <d v="2025-01-04T00:00:00"/>
    <s v="January"/>
    <s v="2025"/>
  </r>
  <r>
    <x v="2"/>
    <s v="Electronics"/>
    <x v="7"/>
    <n v="12"/>
    <n v="307"/>
    <n v="3684"/>
    <d v="2025-11-11T00:00:00"/>
    <s v="November"/>
    <s v="2025"/>
  </r>
  <r>
    <x v="0"/>
    <s v="Clothing"/>
    <x v="9"/>
    <n v="14"/>
    <n v="1016"/>
    <n v="14224"/>
    <d v="2025-08-29T00:00:00"/>
    <s v="August"/>
    <s v="2025"/>
  </r>
  <r>
    <x v="2"/>
    <s v="Electronics"/>
    <x v="3"/>
    <n v="31"/>
    <n v="336"/>
    <n v="10416"/>
    <d v="2025-09-02T00:00:00"/>
    <s v="September"/>
    <s v="2025"/>
  </r>
  <r>
    <x v="2"/>
    <s v="Furniture"/>
    <x v="9"/>
    <n v="1"/>
    <n v="1462"/>
    <n v="1462"/>
    <d v="2025-05-03T00:00:00"/>
    <s v="May"/>
    <s v="2025"/>
  </r>
  <r>
    <x v="1"/>
    <s v="Groceries"/>
    <x v="4"/>
    <n v="23"/>
    <n v="399"/>
    <n v="9177"/>
    <d v="2025-08-09T00:00:00"/>
    <s v="August"/>
    <s v="2025"/>
  </r>
  <r>
    <x v="1"/>
    <s v="Electronics"/>
    <x v="6"/>
    <n v="11"/>
    <n v="990"/>
    <n v="10890"/>
    <d v="2025-01-03T00:00:00"/>
    <s v="January"/>
    <s v="2025"/>
  </r>
  <r>
    <x v="3"/>
    <s v="Clothing"/>
    <x v="4"/>
    <n v="15"/>
    <n v="1819"/>
    <n v="27285"/>
    <d v="2024-01-25T00:00:00"/>
    <s v="January"/>
    <s v="2024"/>
  </r>
  <r>
    <x v="0"/>
    <s v="Groceries"/>
    <x v="5"/>
    <n v="29"/>
    <n v="602"/>
    <n v="17458"/>
    <d v="2025-03-11T00:00:00"/>
    <s v="March"/>
    <s v="2025"/>
  </r>
  <r>
    <x v="1"/>
    <s v="Toys"/>
    <x v="6"/>
    <n v="43"/>
    <n v="976"/>
    <n v="41968"/>
    <d v="2025-09-28T00:00:00"/>
    <s v="September"/>
    <s v="2025"/>
  </r>
  <r>
    <x v="1"/>
    <s v="Toys"/>
    <x v="1"/>
    <n v="47"/>
    <n v="316"/>
    <n v="14852"/>
    <d v="2024-10-02T00:00:00"/>
    <s v="October"/>
    <s v="2024"/>
  </r>
  <r>
    <x v="2"/>
    <s v="Electronics"/>
    <x v="7"/>
    <n v="22"/>
    <n v="118"/>
    <n v="2596"/>
    <d v="2025-06-10T00:00:00"/>
    <s v="June"/>
    <s v="2025"/>
  </r>
  <r>
    <x v="2"/>
    <s v="Clothing"/>
    <x v="4"/>
    <n v="40"/>
    <n v="1627"/>
    <n v="65080"/>
    <d v="2024-05-04T00:00:00"/>
    <s v="May"/>
    <s v="2024"/>
  </r>
  <r>
    <x v="3"/>
    <s v="Clothing"/>
    <x v="1"/>
    <n v="16"/>
    <n v="313"/>
    <n v="5008"/>
    <d v="2024-06-10T00:00:00"/>
    <s v="June"/>
    <s v="2024"/>
  </r>
  <r>
    <x v="0"/>
    <s v="Clothing"/>
    <x v="1"/>
    <n v="33"/>
    <n v="805"/>
    <n v="26565"/>
    <d v="2025-03-02T00:00:00"/>
    <s v="March"/>
    <s v="2025"/>
  </r>
  <r>
    <x v="3"/>
    <s v="Furniture"/>
    <x v="5"/>
    <n v="3"/>
    <n v="1549"/>
    <n v="4647"/>
    <d v="2025-12-31T00:00:00"/>
    <s v="December"/>
    <s v="2025"/>
  </r>
  <r>
    <x v="0"/>
    <s v="Electronics"/>
    <x v="6"/>
    <n v="25"/>
    <n v="858"/>
    <n v="21450"/>
    <d v="2024-10-25T00:00:00"/>
    <s v="October"/>
    <s v="2024"/>
  </r>
  <r>
    <x v="3"/>
    <s v="Electronics"/>
    <x v="0"/>
    <n v="23"/>
    <n v="1290"/>
    <n v="29670"/>
    <d v="2025-05-24T00:00:00"/>
    <s v="May"/>
    <s v="2025"/>
  </r>
  <r>
    <x v="0"/>
    <s v="Toys"/>
    <x v="0"/>
    <n v="28"/>
    <n v="699"/>
    <n v="19572"/>
    <d v="2024-06-29T00:00:00"/>
    <s v="June"/>
    <s v="2024"/>
  </r>
  <r>
    <x v="0"/>
    <s v="Furniture"/>
    <x v="3"/>
    <n v="34"/>
    <n v="714"/>
    <n v="24276"/>
    <d v="2025-07-19T00:00:00"/>
    <s v="July"/>
    <s v="2025"/>
  </r>
  <r>
    <x v="3"/>
    <s v="Electronics"/>
    <x v="8"/>
    <n v="26"/>
    <n v="334"/>
    <n v="8684"/>
    <d v="2025-11-26T00:00:00"/>
    <s v="November"/>
    <s v="2025"/>
  </r>
  <r>
    <x v="0"/>
    <s v="Clothing"/>
    <x v="8"/>
    <n v="37"/>
    <n v="741"/>
    <n v="27417"/>
    <d v="2024-11-21T00:00:00"/>
    <s v="November"/>
    <s v="2024"/>
  </r>
  <r>
    <x v="2"/>
    <s v="Clothing"/>
    <x v="6"/>
    <n v="25"/>
    <n v="307"/>
    <n v="7675"/>
    <d v="2024-03-15T00:00:00"/>
    <s v="March"/>
    <s v="2024"/>
  </r>
  <r>
    <x v="1"/>
    <s v="Clothing"/>
    <x v="6"/>
    <n v="9"/>
    <n v="723"/>
    <n v="6507"/>
    <d v="2025-05-24T00:00:00"/>
    <s v="May"/>
    <s v="2025"/>
  </r>
  <r>
    <x v="1"/>
    <s v="Groceries"/>
    <x v="2"/>
    <n v="38"/>
    <n v="1531"/>
    <n v="58178"/>
    <d v="2025-07-25T00:00:00"/>
    <s v="July"/>
    <s v="2025"/>
  </r>
  <r>
    <x v="1"/>
    <s v="Furniture"/>
    <x v="9"/>
    <n v="25"/>
    <n v="1292"/>
    <n v="32300"/>
    <d v="2024-11-11T00:00:00"/>
    <s v="November"/>
    <s v="2024"/>
  </r>
  <r>
    <x v="1"/>
    <s v="Furniture"/>
    <x v="3"/>
    <n v="40"/>
    <n v="1263"/>
    <n v="50520"/>
    <d v="2024-02-25T00:00:00"/>
    <s v="February"/>
    <s v="2024"/>
  </r>
  <r>
    <x v="3"/>
    <s v="Clothing"/>
    <x v="4"/>
    <n v="37"/>
    <n v="1692"/>
    <n v="62604"/>
    <d v="2024-03-23T00:00:00"/>
    <s v="March"/>
    <s v="2024"/>
  </r>
  <r>
    <x v="3"/>
    <s v="Toys"/>
    <x v="5"/>
    <n v="48"/>
    <n v="732"/>
    <n v="35136"/>
    <d v="2025-09-13T00:00:00"/>
    <s v="September"/>
    <s v="2025"/>
  </r>
  <r>
    <x v="2"/>
    <s v="Groceries"/>
    <x v="1"/>
    <n v="17"/>
    <n v="1872"/>
    <n v="31824"/>
    <d v="2025-01-15T00:00:00"/>
    <s v="January"/>
    <s v="2025"/>
  </r>
  <r>
    <x v="0"/>
    <s v="Electronics"/>
    <x v="0"/>
    <n v="28"/>
    <n v="1195"/>
    <n v="33460"/>
    <d v="2024-12-06T00:00:00"/>
    <s v="December"/>
    <s v="2024"/>
  </r>
  <r>
    <x v="2"/>
    <s v="Clothing"/>
    <x v="7"/>
    <n v="28"/>
    <n v="363"/>
    <n v="10164"/>
    <d v="2025-11-15T00:00:00"/>
    <s v="November"/>
    <s v="2025"/>
  </r>
  <r>
    <x v="1"/>
    <s v="Toys"/>
    <x v="4"/>
    <n v="42"/>
    <n v="1327"/>
    <n v="55734"/>
    <d v="2025-10-29T00:00:00"/>
    <s v="October"/>
    <s v="2025"/>
  </r>
  <r>
    <x v="2"/>
    <s v="Electronics"/>
    <x v="8"/>
    <n v="20"/>
    <n v="1918"/>
    <n v="38360"/>
    <d v="2024-05-08T00:00:00"/>
    <s v="May"/>
    <s v="2024"/>
  </r>
  <r>
    <x v="0"/>
    <s v="Clothing"/>
    <x v="3"/>
    <n v="28"/>
    <n v="1898"/>
    <n v="53144"/>
    <d v="2025-08-23T00:00:00"/>
    <s v="August"/>
    <s v="2025"/>
  </r>
  <r>
    <x v="2"/>
    <s v="Groceries"/>
    <x v="0"/>
    <n v="30"/>
    <n v="1973"/>
    <n v="59190"/>
    <d v="2024-01-26T00:00:00"/>
    <s v="January"/>
    <s v="2024"/>
  </r>
  <r>
    <x v="3"/>
    <s v="Groceries"/>
    <x v="9"/>
    <n v="20"/>
    <n v="621"/>
    <n v="12420"/>
    <d v="2024-03-07T00:00:00"/>
    <s v="March"/>
    <s v="2024"/>
  </r>
  <r>
    <x v="1"/>
    <s v="Electronics"/>
    <x v="7"/>
    <n v="6"/>
    <n v="1223"/>
    <n v="7338"/>
    <d v="2025-10-14T00:00:00"/>
    <s v="October"/>
    <s v="2025"/>
  </r>
  <r>
    <x v="1"/>
    <s v="Toys"/>
    <x v="4"/>
    <n v="17"/>
    <n v="1913"/>
    <n v="32521"/>
    <d v="2025-09-29T00:00:00"/>
    <s v="September"/>
    <s v="2025"/>
  </r>
  <r>
    <x v="1"/>
    <s v="Furniture"/>
    <x v="4"/>
    <n v="24"/>
    <n v="1339"/>
    <n v="32136"/>
    <d v="2024-07-09T00:00:00"/>
    <s v="July"/>
    <s v="2024"/>
  </r>
  <r>
    <x v="1"/>
    <s v="Toys"/>
    <x v="3"/>
    <n v="37"/>
    <n v="470"/>
    <n v="17390"/>
    <d v="2024-09-07T00:00:00"/>
    <s v="September"/>
    <s v="2024"/>
  </r>
  <r>
    <x v="1"/>
    <s v="Electronics"/>
    <x v="2"/>
    <n v="26"/>
    <n v="577"/>
    <n v="15002"/>
    <d v="2025-08-11T00:00:00"/>
    <s v="August"/>
    <s v="2025"/>
  </r>
  <r>
    <x v="1"/>
    <s v="Groceries"/>
    <x v="1"/>
    <n v="30"/>
    <n v="1622"/>
    <n v="48660"/>
    <d v="2024-02-26T00:00:00"/>
    <s v="February"/>
    <s v="2024"/>
  </r>
  <r>
    <x v="3"/>
    <s v="Clothing"/>
    <x v="1"/>
    <n v="36"/>
    <n v="161"/>
    <n v="5796"/>
    <d v="2024-03-22T00:00:00"/>
    <s v="March"/>
    <s v="2024"/>
  </r>
  <r>
    <x v="2"/>
    <s v="Electronics"/>
    <x v="4"/>
    <n v="1"/>
    <n v="583"/>
    <n v="583"/>
    <d v="2024-06-04T00:00:00"/>
    <s v="June"/>
    <s v="2024"/>
  </r>
  <r>
    <x v="2"/>
    <s v="Toys"/>
    <x v="7"/>
    <n v="44"/>
    <n v="757"/>
    <n v="33308"/>
    <d v="2025-09-14T00:00:00"/>
    <s v="September"/>
    <s v="2025"/>
  </r>
  <r>
    <x v="0"/>
    <s v="Clothing"/>
    <x v="4"/>
    <n v="24"/>
    <n v="1733"/>
    <n v="41592"/>
    <d v="2024-10-08T00:00:00"/>
    <s v="October"/>
    <s v="2024"/>
  </r>
  <r>
    <x v="0"/>
    <s v="Clothing"/>
    <x v="1"/>
    <n v="5"/>
    <n v="1175"/>
    <n v="5875"/>
    <d v="2024-08-26T00:00:00"/>
    <s v="August"/>
    <s v="2024"/>
  </r>
  <r>
    <x v="2"/>
    <s v="Groceries"/>
    <x v="2"/>
    <n v="2"/>
    <n v="1225"/>
    <n v="2450"/>
    <d v="2024-09-18T00:00:00"/>
    <s v="September"/>
    <s v="2024"/>
  </r>
  <r>
    <x v="3"/>
    <s v="Electronics"/>
    <x v="8"/>
    <n v="16"/>
    <n v="1512"/>
    <n v="24192"/>
    <d v="2024-05-02T00:00:00"/>
    <s v="May"/>
    <s v="2024"/>
  </r>
  <r>
    <x v="3"/>
    <s v="Toys"/>
    <x v="6"/>
    <n v="2"/>
    <n v="1660"/>
    <n v="3320"/>
    <d v="2024-10-18T00:00:00"/>
    <s v="October"/>
    <s v="2024"/>
  </r>
  <r>
    <x v="0"/>
    <s v="Furniture"/>
    <x v="9"/>
    <n v="49"/>
    <n v="1171"/>
    <n v="57379"/>
    <d v="2025-02-17T00:00:00"/>
    <s v="February"/>
    <s v="2025"/>
  </r>
  <r>
    <x v="3"/>
    <s v="Groceries"/>
    <x v="3"/>
    <n v="38"/>
    <n v="504"/>
    <n v="19152"/>
    <d v="2024-11-04T00:00:00"/>
    <s v="November"/>
    <s v="2024"/>
  </r>
  <r>
    <x v="3"/>
    <s v="Groceries"/>
    <x v="2"/>
    <n v="26"/>
    <n v="689"/>
    <n v="17914"/>
    <d v="2025-01-23T00:00:00"/>
    <s v="January"/>
    <s v="2025"/>
  </r>
  <r>
    <x v="2"/>
    <s v="Electronics"/>
    <x v="4"/>
    <n v="11"/>
    <n v="326"/>
    <n v="3586"/>
    <d v="2024-02-15T00:00:00"/>
    <s v="February"/>
    <s v="2024"/>
  </r>
  <r>
    <x v="2"/>
    <s v="Toys"/>
    <x v="1"/>
    <n v="19"/>
    <n v="1788"/>
    <n v="33972"/>
    <d v="2024-05-25T00:00:00"/>
    <s v="May"/>
    <s v="2024"/>
  </r>
  <r>
    <x v="0"/>
    <s v="Groceries"/>
    <x v="2"/>
    <n v="46"/>
    <n v="405"/>
    <n v="18630"/>
    <d v="2025-05-10T00:00:00"/>
    <s v="May"/>
    <s v="2025"/>
  </r>
  <r>
    <x v="3"/>
    <s v="Toys"/>
    <x v="1"/>
    <n v="49"/>
    <n v="1995"/>
    <n v="97755"/>
    <d v="2024-04-17T00:00:00"/>
    <s v="April"/>
    <s v="2024"/>
  </r>
  <r>
    <x v="2"/>
    <s v="Groceries"/>
    <x v="9"/>
    <n v="19"/>
    <n v="192"/>
    <n v="3648"/>
    <d v="2024-08-01T00:00:00"/>
    <s v="August"/>
    <s v="2024"/>
  </r>
  <r>
    <x v="3"/>
    <s v="Groceries"/>
    <x v="6"/>
    <n v="48"/>
    <n v="1358"/>
    <n v="65184"/>
    <d v="2024-04-03T00:00:00"/>
    <s v="April"/>
    <s v="2024"/>
  </r>
  <r>
    <x v="2"/>
    <s v="Electronics"/>
    <x v="3"/>
    <n v="17"/>
    <n v="772"/>
    <n v="13124"/>
    <d v="2024-09-08T00:00:00"/>
    <s v="September"/>
    <s v="2024"/>
  </r>
  <r>
    <x v="1"/>
    <s v="Groceries"/>
    <x v="1"/>
    <n v="36"/>
    <n v="801"/>
    <n v="28836"/>
    <d v="2024-03-19T00:00:00"/>
    <s v="March"/>
    <s v="2024"/>
  </r>
  <r>
    <x v="1"/>
    <s v="Toys"/>
    <x v="6"/>
    <n v="45"/>
    <n v="985"/>
    <n v="44325"/>
    <d v="2025-02-19T00:00:00"/>
    <s v="February"/>
    <s v="2025"/>
  </r>
  <r>
    <x v="2"/>
    <s v="Electronics"/>
    <x v="6"/>
    <n v="45"/>
    <n v="872"/>
    <n v="39240"/>
    <d v="2024-08-28T00:00:00"/>
    <s v="August"/>
    <s v="2024"/>
  </r>
  <r>
    <x v="2"/>
    <s v="Clothing"/>
    <x v="5"/>
    <n v="31"/>
    <n v="1696"/>
    <n v="52576"/>
    <d v="2025-04-03T00:00:00"/>
    <s v="April"/>
    <s v="2025"/>
  </r>
  <r>
    <x v="0"/>
    <s v="Toys"/>
    <x v="9"/>
    <n v="10"/>
    <n v="1216"/>
    <n v="12160"/>
    <d v="2024-08-19T00:00:00"/>
    <s v="August"/>
    <s v="2024"/>
  </r>
  <r>
    <x v="2"/>
    <s v="Clothing"/>
    <x v="6"/>
    <n v="1"/>
    <n v="1696"/>
    <n v="1696"/>
    <d v="2025-03-22T00:00:00"/>
    <s v="March"/>
    <s v="2025"/>
  </r>
  <r>
    <x v="2"/>
    <s v="Electronics"/>
    <x v="9"/>
    <n v="49"/>
    <n v="1761"/>
    <n v="86289"/>
    <d v="2024-04-03T00:00:00"/>
    <s v="April"/>
    <s v="2024"/>
  </r>
  <r>
    <x v="3"/>
    <s v="Clothing"/>
    <x v="0"/>
    <n v="50"/>
    <n v="338"/>
    <n v="16900"/>
    <d v="2024-04-20T00:00:00"/>
    <s v="April"/>
    <s v="2024"/>
  </r>
  <r>
    <x v="1"/>
    <s v="Furniture"/>
    <x v="5"/>
    <n v="27"/>
    <n v="1316"/>
    <n v="35532"/>
    <d v="2025-12-11T00:00:00"/>
    <s v="December"/>
    <s v="2025"/>
  </r>
  <r>
    <x v="2"/>
    <s v="Furniture"/>
    <x v="2"/>
    <n v="50"/>
    <n v="145"/>
    <n v="7250"/>
    <d v="2024-12-15T00:00:00"/>
    <s v="December"/>
    <s v="2024"/>
  </r>
  <r>
    <x v="3"/>
    <s v="Electronics"/>
    <x v="0"/>
    <n v="27"/>
    <n v="376"/>
    <n v="10152"/>
    <d v="2025-06-27T00:00:00"/>
    <s v="June"/>
    <s v="2025"/>
  </r>
  <r>
    <x v="3"/>
    <s v="Toys"/>
    <x v="6"/>
    <n v="33"/>
    <n v="1359"/>
    <n v="44847"/>
    <d v="2025-10-28T00:00:00"/>
    <s v="October"/>
    <s v="2025"/>
  </r>
  <r>
    <x v="3"/>
    <s v="Furniture"/>
    <x v="3"/>
    <n v="43"/>
    <n v="768"/>
    <n v="33024"/>
    <d v="2024-01-19T00:00:00"/>
    <s v="January"/>
    <s v="2024"/>
  </r>
  <r>
    <x v="2"/>
    <s v="Electronics"/>
    <x v="7"/>
    <n v="33"/>
    <n v="1098"/>
    <n v="36234"/>
    <d v="2024-01-27T00:00:00"/>
    <s v="January"/>
    <s v="2024"/>
  </r>
  <r>
    <x v="2"/>
    <s v="Toys"/>
    <x v="4"/>
    <n v="49"/>
    <n v="1854"/>
    <n v="90846"/>
    <d v="2025-11-12T00:00:00"/>
    <s v="November"/>
    <s v="2025"/>
  </r>
  <r>
    <x v="1"/>
    <s v="Groceries"/>
    <x v="2"/>
    <n v="20"/>
    <n v="1047"/>
    <n v="20940"/>
    <d v="2024-03-15T00:00:00"/>
    <s v="March"/>
    <s v="2024"/>
  </r>
  <r>
    <x v="1"/>
    <s v="Furniture"/>
    <x v="0"/>
    <n v="20"/>
    <n v="457"/>
    <n v="9140"/>
    <d v="2025-08-09T00:00:00"/>
    <s v="August"/>
    <s v="2025"/>
  </r>
  <r>
    <x v="2"/>
    <s v="Electronics"/>
    <x v="7"/>
    <n v="10"/>
    <n v="1299"/>
    <n v="12990"/>
    <d v="2025-12-17T00:00:00"/>
    <s v="December"/>
    <s v="2025"/>
  </r>
  <r>
    <x v="0"/>
    <s v="Electronics"/>
    <x v="9"/>
    <n v="20"/>
    <n v="202"/>
    <n v="4040"/>
    <d v="2025-03-02T00:00:00"/>
    <s v="March"/>
    <s v="2025"/>
  </r>
  <r>
    <x v="3"/>
    <s v="Toys"/>
    <x v="6"/>
    <n v="12"/>
    <n v="414"/>
    <n v="4968"/>
    <d v="2024-01-06T00:00:00"/>
    <s v="January"/>
    <s v="2024"/>
  </r>
  <r>
    <x v="0"/>
    <s v="Toys"/>
    <x v="5"/>
    <n v="26"/>
    <n v="788"/>
    <n v="20488"/>
    <d v="2024-03-30T00:00:00"/>
    <s v="March"/>
    <s v="2024"/>
  </r>
  <r>
    <x v="3"/>
    <s v="Clothing"/>
    <x v="1"/>
    <n v="30"/>
    <n v="1544"/>
    <n v="46320"/>
    <d v="2024-04-10T00:00:00"/>
    <s v="April"/>
    <s v="2024"/>
  </r>
  <r>
    <x v="3"/>
    <s v="Clothing"/>
    <x v="7"/>
    <n v="23"/>
    <n v="1899"/>
    <n v="43677"/>
    <d v="2025-12-20T00:00:00"/>
    <s v="December"/>
    <s v="2025"/>
  </r>
  <r>
    <x v="2"/>
    <s v="Groceries"/>
    <x v="6"/>
    <n v="4"/>
    <n v="561"/>
    <n v="2244"/>
    <d v="2024-11-15T00:00:00"/>
    <s v="November"/>
    <s v="2024"/>
  </r>
  <r>
    <x v="3"/>
    <s v="Groceries"/>
    <x v="1"/>
    <n v="28"/>
    <n v="1194"/>
    <n v="33432"/>
    <d v="2024-03-16T00:00:00"/>
    <s v="March"/>
    <s v="2024"/>
  </r>
  <r>
    <x v="0"/>
    <s v="Clothing"/>
    <x v="6"/>
    <n v="2"/>
    <n v="928"/>
    <n v="1856"/>
    <d v="2025-04-08T00:00:00"/>
    <s v="April"/>
    <s v="2025"/>
  </r>
  <r>
    <x v="1"/>
    <s v="Toys"/>
    <x v="5"/>
    <n v="49"/>
    <n v="170"/>
    <n v="8330"/>
    <d v="2024-03-12T00:00:00"/>
    <s v="March"/>
    <s v="2024"/>
  </r>
  <r>
    <x v="1"/>
    <s v="Toys"/>
    <x v="8"/>
    <n v="39"/>
    <n v="421"/>
    <n v="16419"/>
    <d v="2024-01-23T00:00:00"/>
    <s v="January"/>
    <s v="2024"/>
  </r>
  <r>
    <x v="3"/>
    <s v="Clothing"/>
    <x v="2"/>
    <n v="50"/>
    <n v="154"/>
    <n v="7700"/>
    <d v="2024-05-24T00:00:00"/>
    <s v="May"/>
    <s v="2024"/>
  </r>
  <r>
    <x v="3"/>
    <s v="Clothing"/>
    <x v="9"/>
    <n v="33"/>
    <n v="1363"/>
    <n v="44979"/>
    <d v="2024-01-25T00:00:00"/>
    <s v="January"/>
    <s v="2024"/>
  </r>
  <r>
    <x v="3"/>
    <s v="Furniture"/>
    <x v="6"/>
    <n v="41"/>
    <n v="314"/>
    <n v="12874"/>
    <d v="2024-11-08T00:00:00"/>
    <s v="November"/>
    <s v="2024"/>
  </r>
  <r>
    <x v="2"/>
    <s v="Electronics"/>
    <x v="0"/>
    <n v="20"/>
    <n v="1344"/>
    <n v="26880"/>
    <d v="2024-01-18T00:00:00"/>
    <s v="January"/>
    <s v="2024"/>
  </r>
  <r>
    <x v="0"/>
    <s v="Groceries"/>
    <x v="8"/>
    <n v="49"/>
    <n v="632"/>
    <n v="30968"/>
    <d v="2025-06-19T00:00:00"/>
    <s v="June"/>
    <s v="2025"/>
  </r>
  <r>
    <x v="1"/>
    <s v="Electronics"/>
    <x v="0"/>
    <n v="21"/>
    <n v="1169"/>
    <n v="24549"/>
    <d v="2024-03-25T00:00:00"/>
    <s v="March"/>
    <s v="2024"/>
  </r>
  <r>
    <x v="2"/>
    <s v="Groceries"/>
    <x v="9"/>
    <n v="18"/>
    <n v="1413"/>
    <n v="25434"/>
    <d v="2025-02-03T00:00:00"/>
    <s v="February"/>
    <s v="2025"/>
  </r>
  <r>
    <x v="2"/>
    <s v="Electronics"/>
    <x v="5"/>
    <n v="15"/>
    <n v="930"/>
    <n v="13950"/>
    <d v="2024-03-07T00:00:00"/>
    <s v="March"/>
    <s v="2024"/>
  </r>
  <r>
    <x v="1"/>
    <s v="Furniture"/>
    <x v="4"/>
    <n v="3"/>
    <n v="1912"/>
    <n v="5736"/>
    <d v="2025-12-06T00:00:00"/>
    <s v="December"/>
    <s v="2025"/>
  </r>
  <r>
    <x v="0"/>
    <s v="Groceries"/>
    <x v="1"/>
    <n v="12"/>
    <n v="1479"/>
    <n v="17748"/>
    <d v="2024-01-18T00:00:00"/>
    <s v="January"/>
    <s v="2024"/>
  </r>
  <r>
    <x v="3"/>
    <s v="Clothing"/>
    <x v="8"/>
    <n v="14"/>
    <n v="839"/>
    <n v="11746"/>
    <d v="2024-04-15T00:00:00"/>
    <s v="April"/>
    <s v="2024"/>
  </r>
  <r>
    <x v="3"/>
    <s v="Electronics"/>
    <x v="8"/>
    <n v="4"/>
    <n v="452"/>
    <n v="1808"/>
    <d v="2024-04-04T00:00:00"/>
    <s v="April"/>
    <s v="2024"/>
  </r>
  <r>
    <x v="1"/>
    <s v="Furniture"/>
    <x v="1"/>
    <n v="20"/>
    <n v="654"/>
    <n v="13080"/>
    <d v="2025-12-11T00:00:00"/>
    <s v="December"/>
    <s v="2025"/>
  </r>
  <r>
    <x v="2"/>
    <s v="Groceries"/>
    <x v="6"/>
    <n v="24"/>
    <n v="1134"/>
    <n v="27216"/>
    <d v="2025-12-14T00:00:00"/>
    <s v="December"/>
    <s v="2025"/>
  </r>
  <r>
    <x v="2"/>
    <s v="Furniture"/>
    <x v="8"/>
    <n v="49"/>
    <n v="1425"/>
    <n v="69825"/>
    <d v="2024-03-06T00:00:00"/>
    <s v="March"/>
    <s v="2024"/>
  </r>
  <r>
    <x v="2"/>
    <s v="Electronics"/>
    <x v="3"/>
    <n v="10"/>
    <n v="818"/>
    <n v="8180"/>
    <d v="2024-02-17T00:00:00"/>
    <s v="February"/>
    <s v="2024"/>
  </r>
  <r>
    <x v="3"/>
    <s v="Groceries"/>
    <x v="9"/>
    <n v="24"/>
    <n v="939"/>
    <n v="22536"/>
    <d v="2025-11-24T00:00:00"/>
    <s v="November"/>
    <s v="2025"/>
  </r>
  <r>
    <x v="3"/>
    <s v="Clothing"/>
    <x v="3"/>
    <n v="47"/>
    <n v="1395"/>
    <n v="65565"/>
    <d v="2024-09-10T00:00:00"/>
    <s v="September"/>
    <s v="2024"/>
  </r>
  <r>
    <x v="0"/>
    <s v="Electronics"/>
    <x v="1"/>
    <n v="4"/>
    <n v="1640"/>
    <n v="6560"/>
    <d v="2024-10-17T00:00:00"/>
    <s v="October"/>
    <s v="2024"/>
  </r>
  <r>
    <x v="2"/>
    <s v="Toys"/>
    <x v="2"/>
    <n v="39"/>
    <n v="182"/>
    <n v="7098"/>
    <d v="2025-04-07T00:00:00"/>
    <s v="April"/>
    <s v="2025"/>
  </r>
  <r>
    <x v="2"/>
    <s v="Furniture"/>
    <x v="6"/>
    <n v="28"/>
    <n v="1494"/>
    <n v="41832"/>
    <d v="2025-04-07T00:00:00"/>
    <s v="April"/>
    <s v="2025"/>
  </r>
  <r>
    <x v="3"/>
    <s v="Clothing"/>
    <x v="4"/>
    <n v="37"/>
    <n v="707"/>
    <n v="26159"/>
    <d v="2025-10-31T00:00:00"/>
    <s v="October"/>
    <s v="2025"/>
  </r>
  <r>
    <x v="0"/>
    <s v="Clothing"/>
    <x v="2"/>
    <n v="45"/>
    <n v="1900"/>
    <n v="85500"/>
    <d v="2025-10-14T00:00:00"/>
    <s v="October"/>
    <s v="2025"/>
  </r>
  <r>
    <x v="0"/>
    <s v="Groceries"/>
    <x v="9"/>
    <n v="14"/>
    <n v="341"/>
    <n v="4774"/>
    <d v="2025-06-22T00:00:00"/>
    <s v="June"/>
    <s v="2025"/>
  </r>
  <r>
    <x v="1"/>
    <s v="Electronics"/>
    <x v="5"/>
    <n v="19"/>
    <n v="965"/>
    <n v="18335"/>
    <d v="2024-12-02T00:00:00"/>
    <s v="December"/>
    <s v="2024"/>
  </r>
  <r>
    <x v="2"/>
    <s v="Toys"/>
    <x v="7"/>
    <n v="28"/>
    <n v="1184"/>
    <n v="33152"/>
    <d v="2025-09-24T00:00:00"/>
    <s v="September"/>
    <s v="2025"/>
  </r>
  <r>
    <x v="1"/>
    <s v="Clothing"/>
    <x v="1"/>
    <n v="26"/>
    <n v="441"/>
    <n v="11466"/>
    <d v="2025-12-27T00:00:00"/>
    <s v="December"/>
    <s v="2025"/>
  </r>
  <r>
    <x v="0"/>
    <s v="Groceries"/>
    <x v="4"/>
    <n v="14"/>
    <n v="114"/>
    <n v="1596"/>
    <d v="2025-05-06T00:00:00"/>
    <s v="May"/>
    <s v="2025"/>
  </r>
  <r>
    <x v="0"/>
    <s v="Furniture"/>
    <x v="8"/>
    <n v="33"/>
    <n v="1830"/>
    <n v="60390"/>
    <d v="2025-02-17T00:00:00"/>
    <s v="February"/>
    <s v="2025"/>
  </r>
  <r>
    <x v="3"/>
    <s v="Electronics"/>
    <x v="4"/>
    <n v="4"/>
    <n v="259"/>
    <n v="1036"/>
    <d v="2025-11-21T00:00:00"/>
    <s v="November"/>
    <s v="2025"/>
  </r>
  <r>
    <x v="3"/>
    <s v="Toys"/>
    <x v="5"/>
    <n v="20"/>
    <n v="551"/>
    <n v="11020"/>
    <d v="2024-02-29T00:00:00"/>
    <s v="February"/>
    <s v="2024"/>
  </r>
  <r>
    <x v="0"/>
    <s v="Furniture"/>
    <x v="6"/>
    <n v="14"/>
    <n v="209"/>
    <n v="2926"/>
    <d v="2025-02-19T00:00:00"/>
    <s v="February"/>
    <s v="2025"/>
  </r>
  <r>
    <x v="0"/>
    <s v="Clothing"/>
    <x v="1"/>
    <n v="23"/>
    <n v="1399"/>
    <n v="32177"/>
    <d v="2025-01-14T00:00:00"/>
    <s v="January"/>
    <s v="2025"/>
  </r>
  <r>
    <x v="2"/>
    <s v="Toys"/>
    <x v="3"/>
    <n v="31"/>
    <n v="126"/>
    <n v="3906"/>
    <d v="2025-03-09T00:00:00"/>
    <s v="March"/>
    <s v="2025"/>
  </r>
  <r>
    <x v="0"/>
    <s v="Groceries"/>
    <x v="0"/>
    <n v="28"/>
    <n v="1381"/>
    <n v="38668"/>
    <d v="2024-03-11T00:00:00"/>
    <s v="March"/>
    <s v="2024"/>
  </r>
  <r>
    <x v="3"/>
    <s v="Groceries"/>
    <x v="2"/>
    <n v="39"/>
    <n v="1243"/>
    <n v="48477"/>
    <d v="2025-08-16T00:00:00"/>
    <s v="August"/>
    <s v="2025"/>
  </r>
  <r>
    <x v="1"/>
    <s v="Toys"/>
    <x v="1"/>
    <n v="49"/>
    <n v="1312"/>
    <n v="64288"/>
    <d v="2025-03-16T00:00:00"/>
    <s v="March"/>
    <s v="2025"/>
  </r>
  <r>
    <x v="0"/>
    <s v="Furniture"/>
    <x v="8"/>
    <n v="39"/>
    <n v="1186"/>
    <n v="46254"/>
    <d v="2024-08-24T00:00:00"/>
    <s v="August"/>
    <s v="2024"/>
  </r>
  <r>
    <x v="1"/>
    <s v="Furniture"/>
    <x v="1"/>
    <n v="25"/>
    <n v="195"/>
    <n v="4875"/>
    <d v="2025-10-14T00:00:00"/>
    <s v="October"/>
    <s v="2025"/>
  </r>
  <r>
    <x v="2"/>
    <s v="Toys"/>
    <x v="2"/>
    <n v="39"/>
    <n v="357"/>
    <n v="13923"/>
    <d v="2024-12-29T00:00:00"/>
    <s v="December"/>
    <s v="2024"/>
  </r>
  <r>
    <x v="1"/>
    <s v="Toys"/>
    <x v="7"/>
    <n v="40"/>
    <n v="1020"/>
    <n v="40800"/>
    <d v="2024-09-07T00:00:00"/>
    <s v="September"/>
    <s v="2024"/>
  </r>
  <r>
    <x v="3"/>
    <s v="Electronics"/>
    <x v="7"/>
    <n v="33"/>
    <n v="546"/>
    <n v="18018"/>
    <d v="2024-05-22T00:00:00"/>
    <s v="May"/>
    <s v="2024"/>
  </r>
  <r>
    <x v="1"/>
    <s v="Electronics"/>
    <x v="3"/>
    <n v="42"/>
    <n v="908"/>
    <n v="38136"/>
    <d v="2025-06-30T00:00:00"/>
    <s v="June"/>
    <s v="2025"/>
  </r>
  <r>
    <x v="0"/>
    <s v="Clothing"/>
    <x v="6"/>
    <n v="49"/>
    <n v="1570"/>
    <n v="76930"/>
    <d v="2024-12-09T00:00:00"/>
    <s v="December"/>
    <s v="2024"/>
  </r>
  <r>
    <x v="3"/>
    <s v="Groceries"/>
    <x v="6"/>
    <n v="4"/>
    <n v="1080"/>
    <n v="4320"/>
    <d v="2025-12-30T00:00:00"/>
    <s v="December"/>
    <s v="2025"/>
  </r>
  <r>
    <x v="1"/>
    <s v="Clothing"/>
    <x v="8"/>
    <n v="19"/>
    <n v="1184"/>
    <n v="22496"/>
    <d v="2025-04-04T00:00:00"/>
    <s v="April"/>
    <s v="2025"/>
  </r>
  <r>
    <x v="2"/>
    <s v="Electronics"/>
    <x v="5"/>
    <n v="42"/>
    <n v="1600"/>
    <n v="67200"/>
    <d v="2025-01-12T00:00:00"/>
    <s v="January"/>
    <s v="2025"/>
  </r>
  <r>
    <x v="1"/>
    <s v="Toys"/>
    <x v="5"/>
    <n v="3"/>
    <n v="353"/>
    <n v="1059"/>
    <d v="2025-11-28T00:00:00"/>
    <s v="November"/>
    <s v="2025"/>
  </r>
  <r>
    <x v="3"/>
    <s v="Groceries"/>
    <x v="6"/>
    <n v="8"/>
    <n v="1652"/>
    <n v="13216"/>
    <d v="2024-10-12T00:00:00"/>
    <s v="October"/>
    <s v="2024"/>
  </r>
  <r>
    <x v="1"/>
    <s v="Toys"/>
    <x v="2"/>
    <n v="46"/>
    <n v="152"/>
    <n v="6992"/>
    <d v="2024-08-12T00:00:00"/>
    <s v="August"/>
    <s v="2024"/>
  </r>
  <r>
    <x v="3"/>
    <s v="Clothing"/>
    <x v="4"/>
    <n v="48"/>
    <n v="1118"/>
    <n v="53664"/>
    <d v="2025-11-17T00:00:00"/>
    <s v="November"/>
    <s v="2025"/>
  </r>
  <r>
    <x v="3"/>
    <s v="Electronics"/>
    <x v="8"/>
    <n v="39"/>
    <n v="1993"/>
    <n v="77727"/>
    <d v="2024-11-28T00:00:00"/>
    <s v="November"/>
    <s v="2024"/>
  </r>
  <r>
    <x v="2"/>
    <s v="Clothing"/>
    <x v="8"/>
    <n v="27"/>
    <n v="1519"/>
    <n v="41013"/>
    <d v="2024-08-29T00:00:00"/>
    <s v="August"/>
    <s v="2024"/>
  </r>
  <r>
    <x v="3"/>
    <s v="Furniture"/>
    <x v="9"/>
    <n v="14"/>
    <n v="1860"/>
    <n v="26040"/>
    <d v="2024-12-04T00:00:00"/>
    <s v="December"/>
    <s v="2024"/>
  </r>
  <r>
    <x v="2"/>
    <s v="Clothing"/>
    <x v="2"/>
    <n v="50"/>
    <n v="1147"/>
    <n v="57350"/>
    <d v="2025-08-09T00:00:00"/>
    <s v="August"/>
    <s v="2025"/>
  </r>
  <r>
    <x v="0"/>
    <s v="Clothing"/>
    <x v="5"/>
    <n v="14"/>
    <n v="158"/>
    <n v="2212"/>
    <d v="2025-06-22T00:00:00"/>
    <s v="June"/>
    <s v="2025"/>
  </r>
  <r>
    <x v="0"/>
    <s v="Groceries"/>
    <x v="7"/>
    <n v="45"/>
    <n v="1722"/>
    <n v="77490"/>
    <d v="2024-08-26T00:00:00"/>
    <s v="August"/>
    <s v="2024"/>
  </r>
  <r>
    <x v="2"/>
    <s v="Groceries"/>
    <x v="0"/>
    <n v="28"/>
    <n v="1601"/>
    <n v="44828"/>
    <d v="2025-05-16T00:00:00"/>
    <s v="May"/>
    <s v="2025"/>
  </r>
  <r>
    <x v="0"/>
    <s v="Toys"/>
    <x v="7"/>
    <n v="10"/>
    <n v="675"/>
    <n v="6750"/>
    <d v="2024-11-12T00:00:00"/>
    <s v="November"/>
    <s v="2024"/>
  </r>
  <r>
    <x v="0"/>
    <s v="Furniture"/>
    <x v="3"/>
    <n v="5"/>
    <n v="1833"/>
    <n v="9165"/>
    <d v="2025-05-19T00:00:00"/>
    <s v="May"/>
    <s v="2025"/>
  </r>
  <r>
    <x v="1"/>
    <s v="Electronics"/>
    <x v="6"/>
    <n v="36"/>
    <n v="1251"/>
    <n v="45036"/>
    <d v="2025-11-17T00:00:00"/>
    <s v="November"/>
    <s v="2025"/>
  </r>
  <r>
    <x v="2"/>
    <s v="Clothing"/>
    <x v="6"/>
    <n v="34"/>
    <n v="857"/>
    <n v="29138"/>
    <d v="2025-09-11T00:00:00"/>
    <s v="September"/>
    <s v="2025"/>
  </r>
  <r>
    <x v="3"/>
    <s v="Clothing"/>
    <x v="1"/>
    <n v="7"/>
    <n v="151"/>
    <n v="1057"/>
    <d v="2025-02-24T00:00:00"/>
    <s v="February"/>
    <s v="2025"/>
  </r>
  <r>
    <x v="2"/>
    <s v="Groceries"/>
    <x v="9"/>
    <n v="37"/>
    <n v="543"/>
    <n v="20091"/>
    <d v="2024-02-29T00:00:00"/>
    <s v="February"/>
    <s v="2024"/>
  </r>
  <r>
    <x v="0"/>
    <s v="Toys"/>
    <x v="2"/>
    <n v="45"/>
    <n v="490"/>
    <n v="22050"/>
    <d v="2024-12-11T00:00:00"/>
    <s v="December"/>
    <s v="2024"/>
  </r>
  <r>
    <x v="2"/>
    <s v="Groceries"/>
    <x v="2"/>
    <n v="36"/>
    <n v="734"/>
    <n v="26424"/>
    <d v="2024-10-12T00:00:00"/>
    <s v="October"/>
    <s v="2024"/>
  </r>
  <r>
    <x v="3"/>
    <s v="Clothing"/>
    <x v="4"/>
    <n v="34"/>
    <n v="506"/>
    <n v="17204"/>
    <d v="2025-01-12T00:00:00"/>
    <s v="January"/>
    <s v="2025"/>
  </r>
  <r>
    <x v="2"/>
    <s v="Groceries"/>
    <x v="5"/>
    <n v="42"/>
    <n v="531"/>
    <n v="22302"/>
    <d v="2024-11-25T00:00:00"/>
    <s v="November"/>
    <s v="2024"/>
  </r>
  <r>
    <x v="3"/>
    <s v="Electronics"/>
    <x v="3"/>
    <n v="7"/>
    <n v="868"/>
    <n v="6076"/>
    <d v="2025-02-11T00:00:00"/>
    <s v="February"/>
    <s v="2025"/>
  </r>
  <r>
    <x v="2"/>
    <s v="Clothing"/>
    <x v="7"/>
    <n v="16"/>
    <n v="363"/>
    <n v="5808"/>
    <d v="2025-04-20T00:00:00"/>
    <s v="April"/>
    <s v="2025"/>
  </r>
  <r>
    <x v="3"/>
    <s v="Electronics"/>
    <x v="7"/>
    <n v="15"/>
    <n v="674"/>
    <n v="10110"/>
    <d v="2024-03-09T00:00:00"/>
    <s v="March"/>
    <s v="2024"/>
  </r>
  <r>
    <x v="3"/>
    <s v="Clothing"/>
    <x v="6"/>
    <n v="10"/>
    <n v="1265"/>
    <n v="12650"/>
    <d v="2024-08-21T00:00:00"/>
    <s v="August"/>
    <s v="2024"/>
  </r>
  <r>
    <x v="2"/>
    <s v="Groceries"/>
    <x v="3"/>
    <n v="21"/>
    <n v="904"/>
    <n v="18984"/>
    <d v="2024-07-18T00:00:00"/>
    <s v="July"/>
    <s v="2024"/>
  </r>
  <r>
    <x v="0"/>
    <s v="Furniture"/>
    <x v="4"/>
    <n v="48"/>
    <n v="1516"/>
    <n v="72768"/>
    <d v="2024-01-22T00:00:00"/>
    <s v="January"/>
    <s v="2024"/>
  </r>
  <r>
    <x v="1"/>
    <s v="Furniture"/>
    <x v="3"/>
    <n v="28"/>
    <n v="606"/>
    <n v="16968"/>
    <d v="2024-01-16T00:00:00"/>
    <s v="January"/>
    <s v="2024"/>
  </r>
  <r>
    <x v="1"/>
    <s v="Furniture"/>
    <x v="1"/>
    <n v="12"/>
    <n v="1173"/>
    <n v="14076"/>
    <d v="2025-06-12T00:00:00"/>
    <s v="June"/>
    <s v="2025"/>
  </r>
  <r>
    <x v="3"/>
    <s v="Furniture"/>
    <x v="9"/>
    <n v="17"/>
    <n v="679"/>
    <n v="11543"/>
    <d v="2024-02-14T00:00:00"/>
    <s v="February"/>
    <s v="2024"/>
  </r>
  <r>
    <x v="1"/>
    <s v="Clothing"/>
    <x v="0"/>
    <n v="38"/>
    <n v="1104"/>
    <n v="41952"/>
    <d v="2024-10-23T00:00:00"/>
    <s v="October"/>
    <s v="2024"/>
  </r>
  <r>
    <x v="2"/>
    <s v="Furniture"/>
    <x v="3"/>
    <n v="21"/>
    <n v="789"/>
    <n v="16569"/>
    <d v="2025-11-20T00:00:00"/>
    <s v="November"/>
    <s v="2025"/>
  </r>
  <r>
    <x v="2"/>
    <s v="Toys"/>
    <x v="6"/>
    <n v="16"/>
    <n v="1012"/>
    <n v="16192"/>
    <d v="2025-02-03T00:00:00"/>
    <s v="February"/>
    <s v="2025"/>
  </r>
  <r>
    <x v="0"/>
    <s v="Clothing"/>
    <x v="9"/>
    <n v="40"/>
    <n v="1939"/>
    <n v="77560"/>
    <d v="2025-08-23T00:00:00"/>
    <s v="August"/>
    <s v="2025"/>
  </r>
  <r>
    <x v="3"/>
    <s v="Groceries"/>
    <x v="0"/>
    <n v="14"/>
    <n v="633"/>
    <n v="8862"/>
    <d v="2024-02-16T00:00:00"/>
    <s v="February"/>
    <s v="2024"/>
  </r>
  <r>
    <x v="0"/>
    <s v="Electronics"/>
    <x v="3"/>
    <n v="19"/>
    <n v="1457"/>
    <n v="27683"/>
    <d v="2024-05-08T00:00:00"/>
    <s v="May"/>
    <s v="2024"/>
  </r>
  <r>
    <x v="0"/>
    <s v="Toys"/>
    <x v="4"/>
    <n v="34"/>
    <n v="1460"/>
    <n v="49640"/>
    <d v="2025-07-24T00:00:00"/>
    <s v="July"/>
    <s v="2025"/>
  </r>
  <r>
    <x v="2"/>
    <s v="Clothing"/>
    <x v="2"/>
    <n v="10"/>
    <n v="435"/>
    <n v="4350"/>
    <d v="2025-04-23T00:00:00"/>
    <s v="April"/>
    <s v="2025"/>
  </r>
  <r>
    <x v="1"/>
    <s v="Furniture"/>
    <x v="1"/>
    <n v="39"/>
    <n v="1767"/>
    <n v="68913"/>
    <d v="2024-11-29T00:00:00"/>
    <s v="November"/>
    <s v="2024"/>
  </r>
  <r>
    <x v="2"/>
    <s v="Furniture"/>
    <x v="8"/>
    <n v="47"/>
    <n v="918"/>
    <n v="43146"/>
    <d v="2025-12-15T00:00:00"/>
    <s v="December"/>
    <s v="2025"/>
  </r>
  <r>
    <x v="0"/>
    <s v="Toys"/>
    <x v="0"/>
    <n v="22"/>
    <n v="1053"/>
    <n v="23166"/>
    <d v="2025-01-07T00:00:00"/>
    <s v="January"/>
    <s v="2025"/>
  </r>
  <r>
    <x v="0"/>
    <s v="Clothing"/>
    <x v="4"/>
    <n v="19"/>
    <n v="1661"/>
    <n v="31559"/>
    <d v="2024-12-10T00:00:00"/>
    <s v="December"/>
    <s v="2024"/>
  </r>
  <r>
    <x v="2"/>
    <s v="Toys"/>
    <x v="5"/>
    <n v="2"/>
    <n v="164"/>
    <n v="328"/>
    <d v="2024-06-02T00:00:00"/>
    <s v="June"/>
    <s v="2024"/>
  </r>
  <r>
    <x v="1"/>
    <s v="Clothing"/>
    <x v="5"/>
    <n v="31"/>
    <n v="1422"/>
    <n v="44082"/>
    <d v="2024-12-23T00:00:00"/>
    <s v="December"/>
    <s v="2024"/>
  </r>
  <r>
    <x v="2"/>
    <s v="Clothing"/>
    <x v="8"/>
    <n v="17"/>
    <n v="1753"/>
    <n v="29801"/>
    <d v="2025-11-09T00:00:00"/>
    <s v="November"/>
    <s v="2025"/>
  </r>
  <r>
    <x v="3"/>
    <s v="Groceries"/>
    <x v="9"/>
    <n v="17"/>
    <n v="1616"/>
    <n v="27472"/>
    <d v="2025-03-11T00:00:00"/>
    <s v="March"/>
    <s v="2025"/>
  </r>
  <r>
    <x v="2"/>
    <s v="Toys"/>
    <x v="3"/>
    <n v="31"/>
    <n v="585"/>
    <n v="18135"/>
    <d v="2024-05-04T00:00:00"/>
    <s v="May"/>
    <s v="2024"/>
  </r>
  <r>
    <x v="0"/>
    <s v="Electronics"/>
    <x v="9"/>
    <n v="21"/>
    <n v="1392"/>
    <n v="29232"/>
    <d v="2024-04-06T00:00:00"/>
    <s v="April"/>
    <s v="2024"/>
  </r>
  <r>
    <x v="1"/>
    <s v="Groceries"/>
    <x v="6"/>
    <n v="31"/>
    <n v="226"/>
    <n v="7006"/>
    <d v="2024-09-14T00:00:00"/>
    <s v="September"/>
    <s v="2024"/>
  </r>
  <r>
    <x v="2"/>
    <s v="Groceries"/>
    <x v="7"/>
    <n v="27"/>
    <n v="1008"/>
    <n v="27216"/>
    <d v="2024-09-07T00:00:00"/>
    <s v="September"/>
    <s v="2024"/>
  </r>
  <r>
    <x v="1"/>
    <s v="Groceries"/>
    <x v="9"/>
    <n v="17"/>
    <n v="940"/>
    <n v="15980"/>
    <d v="2025-03-30T00:00:00"/>
    <s v="March"/>
    <s v="2025"/>
  </r>
  <r>
    <x v="0"/>
    <s v="Groceries"/>
    <x v="1"/>
    <n v="49"/>
    <n v="1103"/>
    <n v="54047"/>
    <d v="2025-03-16T00:00:00"/>
    <s v="March"/>
    <s v="2025"/>
  </r>
  <r>
    <x v="2"/>
    <s v="Furniture"/>
    <x v="7"/>
    <n v="48"/>
    <n v="1016"/>
    <n v="48768"/>
    <d v="2024-10-20T00:00:00"/>
    <s v="October"/>
    <s v="2024"/>
  </r>
  <r>
    <x v="2"/>
    <s v="Furniture"/>
    <x v="5"/>
    <n v="33"/>
    <n v="1766"/>
    <n v="58278"/>
    <d v="2024-10-12T00:00:00"/>
    <s v="October"/>
    <s v="2024"/>
  </r>
  <r>
    <x v="0"/>
    <s v="Electronics"/>
    <x v="2"/>
    <n v="11"/>
    <n v="1911"/>
    <n v="21021"/>
    <d v="2024-01-28T00:00:00"/>
    <s v="January"/>
    <s v="2024"/>
  </r>
  <r>
    <x v="3"/>
    <s v="Groceries"/>
    <x v="1"/>
    <n v="47"/>
    <n v="667"/>
    <n v="31349"/>
    <d v="2025-01-05T00:00:00"/>
    <s v="January"/>
    <s v="2025"/>
  </r>
  <r>
    <x v="3"/>
    <s v="Toys"/>
    <x v="2"/>
    <n v="12"/>
    <n v="1304"/>
    <n v="15648"/>
    <d v="2025-03-30T00:00:00"/>
    <s v="March"/>
    <s v="2025"/>
  </r>
  <r>
    <x v="2"/>
    <s v="Toys"/>
    <x v="2"/>
    <n v="34"/>
    <n v="347"/>
    <n v="11798"/>
    <d v="2025-12-28T00:00:00"/>
    <s v="December"/>
    <s v="2025"/>
  </r>
  <r>
    <x v="2"/>
    <s v="Furniture"/>
    <x v="3"/>
    <n v="29"/>
    <n v="1067"/>
    <n v="30943"/>
    <d v="2024-05-02T00:00:00"/>
    <s v="May"/>
    <s v="2024"/>
  </r>
  <r>
    <x v="0"/>
    <s v="Furniture"/>
    <x v="1"/>
    <n v="49"/>
    <n v="1439"/>
    <n v="70511"/>
    <d v="2025-05-06T00:00:00"/>
    <s v="May"/>
    <s v="2025"/>
  </r>
  <r>
    <x v="3"/>
    <s v="Groceries"/>
    <x v="1"/>
    <n v="37"/>
    <n v="1875"/>
    <n v="69375"/>
    <d v="2024-04-27T00:00:00"/>
    <s v="April"/>
    <s v="2024"/>
  </r>
  <r>
    <x v="1"/>
    <s v="Electronics"/>
    <x v="4"/>
    <n v="5"/>
    <n v="1695"/>
    <n v="8475"/>
    <d v="2024-07-17T00:00:00"/>
    <s v="July"/>
    <s v="2024"/>
  </r>
  <r>
    <x v="1"/>
    <s v="Toys"/>
    <x v="0"/>
    <n v="27"/>
    <n v="1575"/>
    <n v="42525"/>
    <d v="2025-07-06T00:00:00"/>
    <s v="July"/>
    <s v="2025"/>
  </r>
  <r>
    <x v="3"/>
    <s v="Furniture"/>
    <x v="7"/>
    <n v="30"/>
    <n v="1574"/>
    <n v="47220"/>
    <d v="2024-10-25T00:00:00"/>
    <s v="October"/>
    <s v="2024"/>
  </r>
  <r>
    <x v="3"/>
    <s v="Toys"/>
    <x v="9"/>
    <n v="15"/>
    <n v="309"/>
    <n v="4635"/>
    <d v="2025-01-27T00:00:00"/>
    <s v="January"/>
    <s v="2025"/>
  </r>
  <r>
    <x v="1"/>
    <s v="Toys"/>
    <x v="8"/>
    <n v="8"/>
    <n v="1996"/>
    <n v="15968"/>
    <d v="2024-07-03T00:00:00"/>
    <s v="July"/>
    <s v="2024"/>
  </r>
  <r>
    <x v="3"/>
    <s v="Clothing"/>
    <x v="6"/>
    <n v="42"/>
    <n v="536"/>
    <n v="22512"/>
    <d v="2024-01-21T00:00:00"/>
    <s v="January"/>
    <s v="2024"/>
  </r>
  <r>
    <x v="2"/>
    <s v="Clothing"/>
    <x v="1"/>
    <n v="26"/>
    <n v="722"/>
    <n v="18772"/>
    <d v="2025-01-17T00:00:00"/>
    <s v="January"/>
    <s v="2025"/>
  </r>
  <r>
    <x v="3"/>
    <s v="Clothing"/>
    <x v="7"/>
    <n v="36"/>
    <n v="1904"/>
    <n v="68544"/>
    <d v="2024-08-21T00:00:00"/>
    <s v="August"/>
    <s v="2024"/>
  </r>
  <r>
    <x v="0"/>
    <s v="Electronics"/>
    <x v="5"/>
    <n v="10"/>
    <n v="1425"/>
    <n v="14250"/>
    <d v="2025-04-13T00:00:00"/>
    <s v="April"/>
    <s v="2025"/>
  </r>
  <r>
    <x v="2"/>
    <s v="Electronics"/>
    <x v="9"/>
    <n v="43"/>
    <n v="929"/>
    <n v="39947"/>
    <d v="2025-04-27T00:00:00"/>
    <s v="April"/>
    <s v="2025"/>
  </r>
  <r>
    <x v="1"/>
    <s v="Electronics"/>
    <x v="3"/>
    <n v="45"/>
    <n v="267"/>
    <n v="12015"/>
    <d v="2024-04-29T00:00:00"/>
    <s v="April"/>
    <s v="2024"/>
  </r>
  <r>
    <x v="3"/>
    <s v="Groceries"/>
    <x v="8"/>
    <n v="17"/>
    <n v="1456"/>
    <n v="24752"/>
    <d v="2025-11-17T00:00:00"/>
    <s v="November"/>
    <s v="2025"/>
  </r>
  <r>
    <x v="1"/>
    <s v="Furniture"/>
    <x v="7"/>
    <n v="33"/>
    <n v="1310"/>
    <n v="43230"/>
    <d v="2025-12-02T00:00:00"/>
    <s v="December"/>
    <s v="2025"/>
  </r>
  <r>
    <x v="1"/>
    <s v="Clothing"/>
    <x v="4"/>
    <n v="26"/>
    <n v="1054"/>
    <n v="27404"/>
    <d v="2025-11-01T00:00:00"/>
    <s v="November"/>
    <s v="2025"/>
  </r>
  <r>
    <x v="0"/>
    <s v="Electronics"/>
    <x v="7"/>
    <n v="49"/>
    <n v="1828"/>
    <n v="89572"/>
    <d v="2024-05-26T00:00:00"/>
    <s v="May"/>
    <s v="2024"/>
  </r>
  <r>
    <x v="3"/>
    <s v="Groceries"/>
    <x v="5"/>
    <n v="21"/>
    <n v="1132"/>
    <n v="23772"/>
    <d v="2025-03-14T00:00:00"/>
    <s v="March"/>
    <s v="2025"/>
  </r>
  <r>
    <x v="0"/>
    <s v="Furniture"/>
    <x v="6"/>
    <n v="24"/>
    <n v="104"/>
    <n v="2496"/>
    <d v="2025-08-24T00:00:00"/>
    <s v="August"/>
    <s v="2025"/>
  </r>
  <r>
    <x v="2"/>
    <s v="Groceries"/>
    <x v="9"/>
    <n v="11"/>
    <n v="145"/>
    <n v="1595"/>
    <d v="2024-08-23T00:00:00"/>
    <s v="August"/>
    <s v="2024"/>
  </r>
  <r>
    <x v="0"/>
    <s v="Clothing"/>
    <x v="5"/>
    <n v="9"/>
    <n v="1543"/>
    <n v="13887"/>
    <d v="2025-02-19T00:00:00"/>
    <s v="February"/>
    <s v="2025"/>
  </r>
  <r>
    <x v="0"/>
    <s v="Toys"/>
    <x v="5"/>
    <n v="16"/>
    <n v="1230"/>
    <n v="19680"/>
    <d v="2025-05-30T00:00:00"/>
    <s v="May"/>
    <s v="2025"/>
  </r>
  <r>
    <x v="2"/>
    <s v="Electronics"/>
    <x v="4"/>
    <n v="29"/>
    <n v="1548"/>
    <n v="44892"/>
    <d v="2024-01-08T00:00:00"/>
    <s v="January"/>
    <s v="2024"/>
  </r>
  <r>
    <x v="0"/>
    <s v="Groceries"/>
    <x v="1"/>
    <n v="49"/>
    <n v="576"/>
    <n v="28224"/>
    <d v="2025-04-21T00:00:00"/>
    <s v="April"/>
    <s v="2025"/>
  </r>
  <r>
    <x v="3"/>
    <s v="Electronics"/>
    <x v="7"/>
    <n v="9"/>
    <n v="1028"/>
    <n v="9252"/>
    <d v="2025-09-06T00:00:00"/>
    <s v="September"/>
    <s v="2025"/>
  </r>
  <r>
    <x v="2"/>
    <s v="Toys"/>
    <x v="7"/>
    <n v="27"/>
    <n v="1957"/>
    <n v="52839"/>
    <d v="2025-09-11T00:00:00"/>
    <s v="September"/>
    <s v="2025"/>
  </r>
  <r>
    <x v="0"/>
    <s v="Electronics"/>
    <x v="7"/>
    <n v="36"/>
    <n v="1413"/>
    <n v="50868"/>
    <d v="2024-01-18T00:00:00"/>
    <s v="January"/>
    <s v="2024"/>
  </r>
  <r>
    <x v="0"/>
    <s v="Toys"/>
    <x v="5"/>
    <n v="47"/>
    <n v="1063"/>
    <n v="49961"/>
    <d v="2024-08-30T00:00:00"/>
    <s v="August"/>
    <s v="2024"/>
  </r>
  <r>
    <x v="3"/>
    <s v="Clothing"/>
    <x v="4"/>
    <n v="44"/>
    <n v="1868"/>
    <n v="82192"/>
    <d v="2025-12-21T00:00:00"/>
    <s v="December"/>
    <s v="2025"/>
  </r>
  <r>
    <x v="0"/>
    <s v="Furniture"/>
    <x v="8"/>
    <n v="32"/>
    <n v="390"/>
    <n v="12480"/>
    <d v="2024-08-30T00:00:00"/>
    <s v="August"/>
    <s v="2024"/>
  </r>
  <r>
    <x v="1"/>
    <s v="Furniture"/>
    <x v="8"/>
    <n v="14"/>
    <n v="743"/>
    <n v="10402"/>
    <d v="2025-02-06T00:00:00"/>
    <s v="February"/>
    <s v="2025"/>
  </r>
  <r>
    <x v="3"/>
    <s v="Toys"/>
    <x v="5"/>
    <n v="16"/>
    <n v="1082"/>
    <n v="17312"/>
    <d v="2025-11-11T00:00:00"/>
    <s v="November"/>
    <s v="2025"/>
  </r>
  <r>
    <x v="2"/>
    <s v="Toys"/>
    <x v="8"/>
    <n v="21"/>
    <n v="1891"/>
    <n v="39711"/>
    <d v="2024-05-10T00:00:00"/>
    <s v="May"/>
    <s v="2024"/>
  </r>
  <r>
    <x v="2"/>
    <s v="Toys"/>
    <x v="5"/>
    <n v="31"/>
    <n v="743"/>
    <n v="23033"/>
    <d v="2025-05-18T00:00:00"/>
    <s v="May"/>
    <s v="2025"/>
  </r>
  <r>
    <x v="3"/>
    <s v="Furniture"/>
    <x v="1"/>
    <n v="12"/>
    <n v="1668"/>
    <n v="20016"/>
    <d v="2025-11-13T00:00:00"/>
    <s v="November"/>
    <s v="2025"/>
  </r>
  <r>
    <x v="2"/>
    <s v="Furniture"/>
    <x v="1"/>
    <n v="30"/>
    <n v="162"/>
    <n v="4860"/>
    <d v="2025-01-16T00:00:00"/>
    <s v="January"/>
    <s v="2025"/>
  </r>
  <r>
    <x v="3"/>
    <s v="Furniture"/>
    <x v="7"/>
    <n v="10"/>
    <n v="869"/>
    <n v="8690"/>
    <d v="2024-12-30T00:00:00"/>
    <s v="December"/>
    <s v="2024"/>
  </r>
  <r>
    <x v="0"/>
    <s v="Clothing"/>
    <x v="7"/>
    <n v="23"/>
    <n v="737"/>
    <n v="16951"/>
    <d v="2025-05-29T00:00:00"/>
    <s v="May"/>
    <s v="2025"/>
  </r>
  <r>
    <x v="0"/>
    <s v="Groceries"/>
    <x v="9"/>
    <n v="29"/>
    <n v="1258"/>
    <n v="36482"/>
    <d v="2024-06-20T00:00:00"/>
    <s v="June"/>
    <s v="2024"/>
  </r>
  <r>
    <x v="2"/>
    <s v="Electronics"/>
    <x v="1"/>
    <n v="17"/>
    <n v="890"/>
    <n v="15130"/>
    <d v="2025-07-03T00:00:00"/>
    <s v="July"/>
    <s v="2025"/>
  </r>
  <r>
    <x v="2"/>
    <s v="Electronics"/>
    <x v="5"/>
    <n v="5"/>
    <n v="307"/>
    <n v="1535"/>
    <d v="2024-11-04T00:00:00"/>
    <s v="November"/>
    <s v="2024"/>
  </r>
  <r>
    <x v="0"/>
    <s v="Furniture"/>
    <x v="7"/>
    <n v="16"/>
    <n v="899"/>
    <n v="14384"/>
    <d v="2024-10-23T00:00:00"/>
    <s v="October"/>
    <s v="2024"/>
  </r>
  <r>
    <x v="1"/>
    <s v="Clothing"/>
    <x v="9"/>
    <n v="29"/>
    <n v="1485"/>
    <n v="43065"/>
    <d v="2025-03-02T00:00:00"/>
    <s v="March"/>
    <s v="2025"/>
  </r>
  <r>
    <x v="1"/>
    <s v="Electronics"/>
    <x v="0"/>
    <n v="16"/>
    <n v="284"/>
    <n v="4544"/>
    <d v="2025-06-04T00:00:00"/>
    <s v="June"/>
    <s v="2025"/>
  </r>
  <r>
    <x v="3"/>
    <s v="Toys"/>
    <x v="1"/>
    <n v="15"/>
    <n v="203"/>
    <n v="3045"/>
    <d v="2025-06-05T00:00:00"/>
    <s v="June"/>
    <s v="2025"/>
  </r>
  <r>
    <x v="3"/>
    <s v="Electronics"/>
    <x v="9"/>
    <n v="34"/>
    <n v="1615"/>
    <n v="54910"/>
    <d v="2025-05-28T00:00:00"/>
    <s v="May"/>
    <s v="2025"/>
  </r>
  <r>
    <x v="3"/>
    <s v="Toys"/>
    <x v="2"/>
    <n v="3"/>
    <n v="1746"/>
    <n v="5238"/>
    <d v="2025-10-15T00:00:00"/>
    <s v="October"/>
    <s v="2025"/>
  </r>
  <r>
    <x v="1"/>
    <s v="Clothing"/>
    <x v="9"/>
    <n v="34"/>
    <n v="103"/>
    <n v="3502"/>
    <d v="2024-07-29T00:00:00"/>
    <s v="July"/>
    <s v="2024"/>
  </r>
  <r>
    <x v="1"/>
    <s v="Groceries"/>
    <x v="5"/>
    <n v="15"/>
    <n v="394"/>
    <n v="5910"/>
    <d v="2024-11-15T00:00:00"/>
    <s v="November"/>
    <s v="2024"/>
  </r>
  <r>
    <x v="2"/>
    <s v="Electronics"/>
    <x v="5"/>
    <n v="18"/>
    <n v="339"/>
    <n v="6102"/>
    <d v="2024-01-29T00:00:00"/>
    <s v="January"/>
    <s v="2024"/>
  </r>
  <r>
    <x v="1"/>
    <s v="Electronics"/>
    <x v="8"/>
    <n v="48"/>
    <n v="400"/>
    <n v="19200"/>
    <d v="2024-02-03T00:00:00"/>
    <s v="February"/>
    <s v="2024"/>
  </r>
  <r>
    <x v="0"/>
    <s v="Furniture"/>
    <x v="1"/>
    <n v="6"/>
    <n v="1394"/>
    <n v="8364"/>
    <d v="2025-01-07T00:00:00"/>
    <s v="January"/>
    <s v="2025"/>
  </r>
  <r>
    <x v="3"/>
    <s v="Electronics"/>
    <x v="1"/>
    <n v="45"/>
    <n v="1761"/>
    <n v="79245"/>
    <d v="2025-12-26T00:00:00"/>
    <s v="December"/>
    <s v="2025"/>
  </r>
  <r>
    <x v="0"/>
    <s v="Groceries"/>
    <x v="1"/>
    <n v="46"/>
    <n v="1978"/>
    <n v="90988"/>
    <d v="2025-04-25T00:00:00"/>
    <s v="April"/>
    <s v="2025"/>
  </r>
  <r>
    <x v="3"/>
    <s v="Furniture"/>
    <x v="2"/>
    <n v="31"/>
    <n v="1836"/>
    <n v="56916"/>
    <d v="2025-07-27T00:00:00"/>
    <s v="July"/>
    <s v="2025"/>
  </r>
  <r>
    <x v="2"/>
    <s v="Toys"/>
    <x v="6"/>
    <n v="26"/>
    <n v="893"/>
    <n v="23218"/>
    <d v="2025-04-30T00:00:00"/>
    <s v="April"/>
    <s v="2025"/>
  </r>
  <r>
    <x v="1"/>
    <s v="Furniture"/>
    <x v="2"/>
    <n v="14"/>
    <n v="647"/>
    <n v="9058"/>
    <d v="2024-09-24T00:00:00"/>
    <s v="September"/>
    <s v="2024"/>
  </r>
  <r>
    <x v="3"/>
    <s v="Toys"/>
    <x v="0"/>
    <n v="26"/>
    <n v="1089"/>
    <n v="28314"/>
    <d v="2025-10-27T00:00:00"/>
    <s v="October"/>
    <s v="2025"/>
  </r>
  <r>
    <x v="0"/>
    <s v="Toys"/>
    <x v="5"/>
    <n v="19"/>
    <n v="591"/>
    <n v="11229"/>
    <d v="2025-09-22T00:00:00"/>
    <s v="September"/>
    <s v="2025"/>
  </r>
  <r>
    <x v="3"/>
    <s v="Clothing"/>
    <x v="2"/>
    <n v="13"/>
    <n v="1113"/>
    <n v="14469"/>
    <d v="2024-08-27T00:00:00"/>
    <s v="August"/>
    <s v="2024"/>
  </r>
  <r>
    <x v="0"/>
    <s v="Toys"/>
    <x v="3"/>
    <n v="38"/>
    <n v="1401"/>
    <n v="53238"/>
    <d v="2025-01-22T00:00:00"/>
    <s v="January"/>
    <s v="2025"/>
  </r>
  <r>
    <x v="2"/>
    <s v="Clothing"/>
    <x v="0"/>
    <n v="11"/>
    <n v="1760"/>
    <n v="19360"/>
    <d v="2024-10-31T00:00:00"/>
    <s v="October"/>
    <s v="2024"/>
  </r>
  <r>
    <x v="1"/>
    <s v="Toys"/>
    <x v="3"/>
    <n v="13"/>
    <n v="939"/>
    <n v="12207"/>
    <d v="2025-04-23T00:00:00"/>
    <s v="April"/>
    <s v="2025"/>
  </r>
  <r>
    <x v="0"/>
    <s v="Clothing"/>
    <x v="2"/>
    <n v="39"/>
    <n v="1317"/>
    <n v="51363"/>
    <d v="2025-01-23T00:00:00"/>
    <s v="January"/>
    <s v="2025"/>
  </r>
  <r>
    <x v="3"/>
    <s v="Clothing"/>
    <x v="7"/>
    <n v="31"/>
    <n v="1681"/>
    <n v="52111"/>
    <d v="2025-12-12T00:00:00"/>
    <s v="December"/>
    <s v="2025"/>
  </r>
  <r>
    <x v="0"/>
    <s v="Electronics"/>
    <x v="8"/>
    <n v="34"/>
    <n v="395"/>
    <n v="13430"/>
    <d v="2025-11-26T00:00:00"/>
    <s v="November"/>
    <s v="2025"/>
  </r>
  <r>
    <x v="3"/>
    <s v="Clothing"/>
    <x v="6"/>
    <n v="7"/>
    <n v="576"/>
    <n v="4032"/>
    <d v="2024-03-11T00:00:00"/>
    <s v="March"/>
    <s v="2024"/>
  </r>
  <r>
    <x v="3"/>
    <s v="Groceries"/>
    <x v="5"/>
    <n v="49"/>
    <n v="1128"/>
    <n v="55272"/>
    <d v="2024-11-21T00:00:00"/>
    <s v="November"/>
    <s v="2024"/>
  </r>
  <r>
    <x v="2"/>
    <s v="Groceries"/>
    <x v="3"/>
    <n v="47"/>
    <n v="480"/>
    <n v="22560"/>
    <d v="2025-05-29T00:00:00"/>
    <s v="May"/>
    <s v="2025"/>
  </r>
  <r>
    <x v="0"/>
    <s v="Electronics"/>
    <x v="0"/>
    <n v="23"/>
    <n v="681"/>
    <n v="15663"/>
    <d v="2024-09-14T00:00:00"/>
    <s v="September"/>
    <s v="2024"/>
  </r>
  <r>
    <x v="1"/>
    <s v="Furniture"/>
    <x v="3"/>
    <n v="12"/>
    <n v="1038"/>
    <n v="12456"/>
    <d v="2024-11-23T00:00:00"/>
    <s v="November"/>
    <s v="2024"/>
  </r>
  <r>
    <x v="3"/>
    <s v="Toys"/>
    <x v="8"/>
    <n v="20"/>
    <n v="1232"/>
    <n v="24640"/>
    <d v="2024-06-25T00:00:00"/>
    <s v="June"/>
    <s v="2024"/>
  </r>
  <r>
    <x v="2"/>
    <s v="Clothing"/>
    <x v="3"/>
    <n v="22"/>
    <n v="315"/>
    <n v="6930"/>
    <d v="2025-11-08T00:00:00"/>
    <s v="November"/>
    <s v="2025"/>
  </r>
  <r>
    <x v="1"/>
    <s v="Toys"/>
    <x v="0"/>
    <n v="7"/>
    <n v="163"/>
    <n v="1141"/>
    <d v="2024-07-31T00:00:00"/>
    <s v="July"/>
    <s v="2024"/>
  </r>
  <r>
    <x v="0"/>
    <s v="Furniture"/>
    <x v="1"/>
    <n v="11"/>
    <n v="209"/>
    <n v="2299"/>
    <d v="2024-06-05T00:00:00"/>
    <s v="June"/>
    <s v="2024"/>
  </r>
  <r>
    <x v="0"/>
    <s v="Furniture"/>
    <x v="7"/>
    <n v="4"/>
    <n v="306"/>
    <n v="1224"/>
    <d v="2025-06-12T00:00:00"/>
    <s v="June"/>
    <s v="2025"/>
  </r>
  <r>
    <x v="3"/>
    <s v="Clothing"/>
    <x v="4"/>
    <n v="44"/>
    <n v="672"/>
    <n v="29568"/>
    <d v="2025-01-16T00:00:00"/>
    <s v="January"/>
    <s v="2025"/>
  </r>
  <r>
    <x v="0"/>
    <s v="Electronics"/>
    <x v="4"/>
    <n v="5"/>
    <n v="130"/>
    <n v="650"/>
    <d v="2025-06-21T00:00:00"/>
    <s v="June"/>
    <s v="2025"/>
  </r>
  <r>
    <x v="1"/>
    <s v="Groceries"/>
    <x v="3"/>
    <n v="9"/>
    <n v="707"/>
    <n v="6363"/>
    <d v="2024-03-02T00:00:00"/>
    <s v="March"/>
    <s v="2024"/>
  </r>
  <r>
    <x v="3"/>
    <s v="Toys"/>
    <x v="1"/>
    <n v="3"/>
    <n v="1468"/>
    <n v="4404"/>
    <d v="2025-08-08T00:00:00"/>
    <s v="August"/>
    <s v="2025"/>
  </r>
  <r>
    <x v="3"/>
    <s v="Clothing"/>
    <x v="6"/>
    <n v="34"/>
    <n v="766"/>
    <n v="26044"/>
    <d v="2025-06-14T00:00:00"/>
    <s v="June"/>
    <s v="2025"/>
  </r>
  <r>
    <x v="0"/>
    <s v="Groceries"/>
    <x v="9"/>
    <n v="23"/>
    <n v="1414"/>
    <n v="32522"/>
    <d v="2024-02-02T00:00:00"/>
    <s v="February"/>
    <s v="2024"/>
  </r>
  <r>
    <x v="1"/>
    <s v="Toys"/>
    <x v="2"/>
    <n v="29"/>
    <n v="767"/>
    <n v="22243"/>
    <d v="2024-07-27T00:00:00"/>
    <s v="July"/>
    <s v="2024"/>
  </r>
  <r>
    <x v="2"/>
    <s v="Groceries"/>
    <x v="9"/>
    <n v="21"/>
    <n v="1687"/>
    <n v="35427"/>
    <d v="2024-02-28T00:00:00"/>
    <s v="February"/>
    <s v="2024"/>
  </r>
  <r>
    <x v="1"/>
    <s v="Furniture"/>
    <x v="0"/>
    <n v="39"/>
    <n v="808"/>
    <n v="31512"/>
    <d v="2024-05-31T00:00:00"/>
    <s v="May"/>
    <s v="2024"/>
  </r>
  <r>
    <x v="3"/>
    <s v="Electronics"/>
    <x v="6"/>
    <n v="40"/>
    <n v="1763"/>
    <n v="70520"/>
    <d v="2025-01-31T00:00:00"/>
    <s v="January"/>
    <s v="2025"/>
  </r>
  <r>
    <x v="2"/>
    <s v="Clothing"/>
    <x v="6"/>
    <n v="42"/>
    <n v="1160"/>
    <n v="48720"/>
    <d v="2025-12-26T00:00:00"/>
    <s v="December"/>
    <s v="2025"/>
  </r>
  <r>
    <x v="0"/>
    <s v="Clothing"/>
    <x v="7"/>
    <n v="19"/>
    <n v="1814"/>
    <n v="34466"/>
    <d v="2025-01-05T00:00:00"/>
    <s v="January"/>
    <s v="2025"/>
  </r>
  <r>
    <x v="0"/>
    <s v="Furniture"/>
    <x v="6"/>
    <n v="4"/>
    <n v="975"/>
    <n v="3900"/>
    <d v="2025-12-30T00:00:00"/>
    <s v="December"/>
    <s v="2025"/>
  </r>
  <r>
    <x v="3"/>
    <s v="Electronics"/>
    <x v="6"/>
    <n v="42"/>
    <n v="1677"/>
    <n v="70434"/>
    <d v="2024-07-29T00:00:00"/>
    <s v="July"/>
    <s v="2024"/>
  </r>
  <r>
    <x v="3"/>
    <s v="Furniture"/>
    <x v="0"/>
    <n v="2"/>
    <n v="281"/>
    <n v="562"/>
    <d v="2025-11-23T00:00:00"/>
    <s v="November"/>
    <s v="2025"/>
  </r>
  <r>
    <x v="3"/>
    <s v="Electronics"/>
    <x v="1"/>
    <n v="40"/>
    <n v="1623"/>
    <n v="64920"/>
    <d v="2025-11-12T00:00:00"/>
    <s v="November"/>
    <s v="2025"/>
  </r>
  <r>
    <x v="2"/>
    <s v="Electronics"/>
    <x v="3"/>
    <n v="28"/>
    <n v="392"/>
    <n v="10976"/>
    <d v="2024-08-20T00:00:00"/>
    <s v="August"/>
    <s v="2024"/>
  </r>
  <r>
    <x v="1"/>
    <s v="Groceries"/>
    <x v="7"/>
    <n v="47"/>
    <n v="438"/>
    <n v="20586"/>
    <d v="2025-01-31T00:00:00"/>
    <s v="January"/>
    <s v="2025"/>
  </r>
  <r>
    <x v="0"/>
    <s v="Clothing"/>
    <x v="1"/>
    <n v="30"/>
    <n v="1211"/>
    <n v="36330"/>
    <d v="2024-11-06T00:00:00"/>
    <s v="November"/>
    <s v="2024"/>
  </r>
  <r>
    <x v="2"/>
    <s v="Clothing"/>
    <x v="9"/>
    <n v="7"/>
    <n v="923"/>
    <n v="6461"/>
    <d v="2025-05-14T00:00:00"/>
    <s v="May"/>
    <s v="2025"/>
  </r>
  <r>
    <x v="2"/>
    <s v="Groceries"/>
    <x v="5"/>
    <n v="23"/>
    <n v="733"/>
    <n v="16859"/>
    <d v="2024-04-24T00:00:00"/>
    <s v="April"/>
    <s v="2024"/>
  </r>
  <r>
    <x v="2"/>
    <s v="Groceries"/>
    <x v="6"/>
    <n v="17"/>
    <n v="416"/>
    <n v="7072"/>
    <d v="2025-06-22T00:00:00"/>
    <s v="June"/>
    <s v="2025"/>
  </r>
  <r>
    <x v="2"/>
    <s v="Toys"/>
    <x v="4"/>
    <n v="33"/>
    <n v="1046"/>
    <n v="34518"/>
    <d v="2025-12-13T00:00:00"/>
    <s v="December"/>
    <s v="2025"/>
  </r>
  <r>
    <x v="1"/>
    <s v="Groceries"/>
    <x v="0"/>
    <n v="5"/>
    <n v="769"/>
    <n v="3845"/>
    <d v="2024-11-25T00:00:00"/>
    <s v="November"/>
    <s v="2024"/>
  </r>
  <r>
    <x v="3"/>
    <s v="Toys"/>
    <x v="0"/>
    <n v="36"/>
    <n v="392"/>
    <n v="14112"/>
    <d v="2024-02-11T00:00:00"/>
    <s v="February"/>
    <s v="2024"/>
  </r>
  <r>
    <x v="1"/>
    <s v="Clothing"/>
    <x v="1"/>
    <n v="44"/>
    <n v="926"/>
    <n v="40744"/>
    <d v="2024-08-17T00:00:00"/>
    <s v="August"/>
    <s v="2024"/>
  </r>
  <r>
    <x v="1"/>
    <s v="Furniture"/>
    <x v="1"/>
    <n v="33"/>
    <n v="904"/>
    <n v="29832"/>
    <d v="2025-05-17T00:00:00"/>
    <s v="May"/>
    <s v="2025"/>
  </r>
  <r>
    <x v="3"/>
    <s v="Furniture"/>
    <x v="2"/>
    <n v="19"/>
    <n v="337"/>
    <n v="6403"/>
    <d v="2024-05-08T00:00:00"/>
    <s v="May"/>
    <s v="2024"/>
  </r>
  <r>
    <x v="2"/>
    <s v="Groceries"/>
    <x v="0"/>
    <n v="7"/>
    <n v="1491"/>
    <n v="10437"/>
    <d v="2024-04-01T00:00:00"/>
    <s v="April"/>
    <s v="2024"/>
  </r>
  <r>
    <x v="2"/>
    <s v="Furniture"/>
    <x v="2"/>
    <n v="26"/>
    <n v="748"/>
    <n v="19448"/>
    <d v="2024-12-17T00:00:00"/>
    <s v="December"/>
    <s v="2024"/>
  </r>
  <r>
    <x v="3"/>
    <s v="Electronics"/>
    <x v="5"/>
    <n v="8"/>
    <n v="882"/>
    <n v="7056"/>
    <d v="2025-04-11T00:00:00"/>
    <s v="April"/>
    <s v="2025"/>
  </r>
  <r>
    <x v="1"/>
    <s v="Groceries"/>
    <x v="9"/>
    <n v="6"/>
    <n v="893"/>
    <n v="5358"/>
    <d v="2025-02-12T00:00:00"/>
    <s v="February"/>
    <s v="2025"/>
  </r>
  <r>
    <x v="3"/>
    <s v="Electronics"/>
    <x v="5"/>
    <n v="13"/>
    <n v="751"/>
    <n v="9763"/>
    <d v="2025-08-24T00:00:00"/>
    <s v="August"/>
    <s v="2025"/>
  </r>
  <r>
    <x v="3"/>
    <s v="Clothing"/>
    <x v="5"/>
    <n v="29"/>
    <n v="1933"/>
    <n v="56057"/>
    <d v="2025-11-10T00:00:00"/>
    <s v="November"/>
    <s v="2025"/>
  </r>
  <r>
    <x v="3"/>
    <s v="Furniture"/>
    <x v="7"/>
    <n v="22"/>
    <n v="1439"/>
    <n v="31658"/>
    <d v="2025-03-17T00:00:00"/>
    <s v="March"/>
    <s v="2025"/>
  </r>
  <r>
    <x v="2"/>
    <s v="Clothing"/>
    <x v="7"/>
    <n v="40"/>
    <n v="483"/>
    <n v="19320"/>
    <d v="2025-10-19T00:00:00"/>
    <s v="October"/>
    <s v="2025"/>
  </r>
  <r>
    <x v="0"/>
    <s v="Electronics"/>
    <x v="8"/>
    <n v="25"/>
    <n v="760"/>
    <n v="19000"/>
    <d v="2024-03-14T00:00:00"/>
    <s v="March"/>
    <s v="2024"/>
  </r>
  <r>
    <x v="1"/>
    <s v="Toys"/>
    <x v="6"/>
    <n v="33"/>
    <n v="1993"/>
    <n v="65769"/>
    <d v="2024-04-26T00:00:00"/>
    <s v="April"/>
    <s v="2024"/>
  </r>
  <r>
    <x v="3"/>
    <s v="Electronics"/>
    <x v="5"/>
    <n v="44"/>
    <n v="339"/>
    <n v="14916"/>
    <d v="2024-02-29T00:00:00"/>
    <s v="February"/>
    <s v="2024"/>
  </r>
  <r>
    <x v="0"/>
    <s v="Furniture"/>
    <x v="0"/>
    <n v="47"/>
    <n v="464"/>
    <n v="21808"/>
    <d v="2024-09-23T00:00:00"/>
    <s v="September"/>
    <s v="2024"/>
  </r>
  <r>
    <x v="1"/>
    <s v="Furniture"/>
    <x v="0"/>
    <n v="15"/>
    <n v="1560"/>
    <n v="23400"/>
    <d v="2025-11-22T00:00:00"/>
    <s v="November"/>
    <s v="2025"/>
  </r>
  <r>
    <x v="0"/>
    <s v="Toys"/>
    <x v="2"/>
    <n v="50"/>
    <n v="358"/>
    <n v="17900"/>
    <d v="2024-04-09T00:00:00"/>
    <s v="April"/>
    <s v="2024"/>
  </r>
  <r>
    <x v="3"/>
    <s v="Groceries"/>
    <x v="7"/>
    <n v="43"/>
    <n v="1524"/>
    <n v="65532"/>
    <d v="2025-11-25T00:00:00"/>
    <s v="November"/>
    <s v="2025"/>
  </r>
  <r>
    <x v="3"/>
    <s v="Furniture"/>
    <x v="4"/>
    <n v="19"/>
    <n v="1488"/>
    <n v="28272"/>
    <d v="2025-07-20T00:00:00"/>
    <s v="July"/>
    <s v="2025"/>
  </r>
  <r>
    <x v="1"/>
    <s v="Electronics"/>
    <x v="3"/>
    <n v="14"/>
    <n v="1386"/>
    <n v="19404"/>
    <d v="2025-07-30T00:00:00"/>
    <s v="July"/>
    <s v="2025"/>
  </r>
  <r>
    <x v="0"/>
    <s v="Clothing"/>
    <x v="8"/>
    <n v="25"/>
    <n v="620"/>
    <n v="15500"/>
    <d v="2024-07-13T00:00:00"/>
    <s v="July"/>
    <s v="2024"/>
  </r>
  <r>
    <x v="3"/>
    <s v="Toys"/>
    <x v="1"/>
    <n v="48"/>
    <n v="581"/>
    <n v="27888"/>
    <d v="2024-10-21T00:00:00"/>
    <s v="October"/>
    <s v="2024"/>
  </r>
  <r>
    <x v="0"/>
    <s v="Electronics"/>
    <x v="9"/>
    <n v="15"/>
    <n v="1938"/>
    <n v="29070"/>
    <d v="2024-05-08T00:00:00"/>
    <s v="May"/>
    <s v="2024"/>
  </r>
  <r>
    <x v="2"/>
    <s v="Furniture"/>
    <x v="4"/>
    <n v="32"/>
    <n v="1025"/>
    <n v="32800"/>
    <d v="2024-04-18T00:00:00"/>
    <s v="April"/>
    <s v="2024"/>
  </r>
  <r>
    <x v="2"/>
    <s v="Toys"/>
    <x v="7"/>
    <n v="38"/>
    <n v="800"/>
    <n v="30400"/>
    <d v="2025-07-20T00:00:00"/>
    <s v="July"/>
    <s v="2025"/>
  </r>
  <r>
    <x v="2"/>
    <s v="Clothing"/>
    <x v="9"/>
    <n v="1"/>
    <n v="876"/>
    <n v="876"/>
    <d v="2025-06-15T00:00:00"/>
    <s v="June"/>
    <s v="2025"/>
  </r>
  <r>
    <x v="0"/>
    <s v="Groceries"/>
    <x v="3"/>
    <n v="46"/>
    <n v="935"/>
    <n v="43010"/>
    <d v="2025-08-29T00:00:00"/>
    <s v="August"/>
    <s v="2025"/>
  </r>
  <r>
    <x v="0"/>
    <s v="Toys"/>
    <x v="8"/>
    <n v="3"/>
    <n v="1615"/>
    <n v="4845"/>
    <d v="2025-12-23T00:00:00"/>
    <s v="December"/>
    <s v="2025"/>
  </r>
  <r>
    <x v="1"/>
    <s v="Furniture"/>
    <x v="3"/>
    <n v="35"/>
    <n v="1328"/>
    <n v="46480"/>
    <d v="2025-08-14T00:00:00"/>
    <s v="August"/>
    <s v="2025"/>
  </r>
  <r>
    <x v="0"/>
    <s v="Groceries"/>
    <x v="5"/>
    <n v="31"/>
    <n v="408"/>
    <n v="12648"/>
    <d v="2025-07-06T00:00:00"/>
    <s v="July"/>
    <s v="2025"/>
  </r>
  <r>
    <x v="3"/>
    <s v="Clothing"/>
    <x v="1"/>
    <n v="17"/>
    <n v="165"/>
    <n v="2805"/>
    <d v="2024-10-29T00:00:00"/>
    <s v="October"/>
    <s v="2024"/>
  </r>
  <r>
    <x v="3"/>
    <s v="Toys"/>
    <x v="4"/>
    <n v="9"/>
    <n v="1754"/>
    <n v="15786"/>
    <d v="2024-11-07T00:00:00"/>
    <s v="November"/>
    <s v="2024"/>
  </r>
  <r>
    <x v="2"/>
    <s v="Groceries"/>
    <x v="4"/>
    <n v="2"/>
    <n v="1489"/>
    <n v="2978"/>
    <d v="2024-09-30T00:00:00"/>
    <s v="September"/>
    <s v="2024"/>
  </r>
  <r>
    <x v="3"/>
    <s v="Clothing"/>
    <x v="4"/>
    <n v="20"/>
    <n v="969"/>
    <n v="19380"/>
    <d v="2024-03-01T00:00:00"/>
    <s v="March"/>
    <s v="2024"/>
  </r>
  <r>
    <x v="0"/>
    <s v="Furniture"/>
    <x v="2"/>
    <n v="13"/>
    <n v="316"/>
    <n v="4108"/>
    <d v="2024-08-12T00:00:00"/>
    <s v="August"/>
    <s v="2024"/>
  </r>
  <r>
    <x v="1"/>
    <s v="Clothing"/>
    <x v="0"/>
    <n v="29"/>
    <n v="644"/>
    <n v="18676"/>
    <d v="2025-05-23T00:00:00"/>
    <s v="May"/>
    <s v="2025"/>
  </r>
  <r>
    <x v="3"/>
    <s v="Groceries"/>
    <x v="9"/>
    <n v="19"/>
    <n v="1216"/>
    <n v="23104"/>
    <d v="2024-02-18T00:00:00"/>
    <s v="February"/>
    <s v="2024"/>
  </r>
  <r>
    <x v="3"/>
    <s v="Furniture"/>
    <x v="5"/>
    <n v="34"/>
    <n v="581"/>
    <n v="19754"/>
    <d v="2025-02-24T00:00:00"/>
    <s v="February"/>
    <s v="2025"/>
  </r>
  <r>
    <x v="2"/>
    <s v="Groceries"/>
    <x v="8"/>
    <n v="18"/>
    <n v="759"/>
    <n v="13662"/>
    <d v="2024-02-22T00:00:00"/>
    <s v="February"/>
    <s v="2024"/>
  </r>
  <r>
    <x v="3"/>
    <s v="Groceries"/>
    <x v="7"/>
    <n v="28"/>
    <n v="1950"/>
    <n v="54600"/>
    <d v="2024-01-01T00:00:00"/>
    <s v="January"/>
    <s v="2024"/>
  </r>
  <r>
    <x v="3"/>
    <s v="Furniture"/>
    <x v="5"/>
    <n v="46"/>
    <n v="1261"/>
    <n v="58006"/>
    <d v="2025-08-29T00:00:00"/>
    <s v="August"/>
    <s v="2025"/>
  </r>
  <r>
    <x v="2"/>
    <s v="Toys"/>
    <x v="1"/>
    <n v="25"/>
    <n v="1615"/>
    <n v="40375"/>
    <d v="2025-04-19T00:00:00"/>
    <s v="April"/>
    <s v="2025"/>
  </r>
  <r>
    <x v="0"/>
    <s v="Electronics"/>
    <x v="9"/>
    <n v="5"/>
    <n v="318"/>
    <n v="1590"/>
    <d v="2024-06-01T00:00:00"/>
    <s v="June"/>
    <s v="2024"/>
  </r>
  <r>
    <x v="0"/>
    <s v="Clothing"/>
    <x v="9"/>
    <n v="5"/>
    <n v="1988"/>
    <n v="9940"/>
    <d v="2024-06-11T00:00:00"/>
    <s v="June"/>
    <s v="2024"/>
  </r>
  <r>
    <x v="1"/>
    <s v="Electronics"/>
    <x v="4"/>
    <n v="38"/>
    <n v="1281"/>
    <n v="48678"/>
    <d v="2024-02-05T00:00:00"/>
    <s v="February"/>
    <s v="2024"/>
  </r>
  <r>
    <x v="2"/>
    <s v="Groceries"/>
    <x v="2"/>
    <n v="39"/>
    <n v="409"/>
    <n v="15951"/>
    <d v="2024-04-18T00:00:00"/>
    <s v="April"/>
    <s v="2024"/>
  </r>
  <r>
    <x v="2"/>
    <s v="Toys"/>
    <x v="3"/>
    <n v="27"/>
    <n v="1205"/>
    <n v="32535"/>
    <d v="2025-05-28T00:00:00"/>
    <s v="May"/>
    <s v="2025"/>
  </r>
  <r>
    <x v="3"/>
    <s v="Furniture"/>
    <x v="0"/>
    <n v="46"/>
    <n v="1478"/>
    <n v="67988"/>
    <d v="2024-04-03T00:00:00"/>
    <s v="April"/>
    <s v="2024"/>
  </r>
  <r>
    <x v="0"/>
    <s v="Clothing"/>
    <x v="5"/>
    <n v="14"/>
    <n v="927"/>
    <n v="12978"/>
    <d v="2025-03-28T00:00:00"/>
    <s v="March"/>
    <s v="2025"/>
  </r>
  <r>
    <x v="0"/>
    <s v="Electronics"/>
    <x v="8"/>
    <n v="3"/>
    <n v="817"/>
    <n v="2451"/>
    <d v="2024-09-09T00:00:00"/>
    <s v="September"/>
    <s v="2024"/>
  </r>
  <r>
    <x v="3"/>
    <s v="Furniture"/>
    <x v="3"/>
    <n v="3"/>
    <n v="766"/>
    <n v="2298"/>
    <d v="2025-06-20T00:00:00"/>
    <s v="June"/>
    <s v="2025"/>
  </r>
  <r>
    <x v="0"/>
    <s v="Furniture"/>
    <x v="1"/>
    <n v="39"/>
    <n v="1452"/>
    <n v="56628"/>
    <d v="2025-05-25T00:00:00"/>
    <s v="May"/>
    <s v="2025"/>
  </r>
  <r>
    <x v="0"/>
    <s v="Clothing"/>
    <x v="5"/>
    <n v="12"/>
    <n v="587"/>
    <n v="7044"/>
    <d v="2025-06-14T00:00:00"/>
    <s v="June"/>
    <s v="2025"/>
  </r>
  <r>
    <x v="3"/>
    <s v="Groceries"/>
    <x v="2"/>
    <n v="47"/>
    <n v="828"/>
    <n v="38916"/>
    <d v="2024-06-15T00:00:00"/>
    <s v="June"/>
    <s v="2024"/>
  </r>
  <r>
    <x v="0"/>
    <s v="Toys"/>
    <x v="5"/>
    <n v="4"/>
    <n v="1659"/>
    <n v="6636"/>
    <d v="2024-01-28T00:00:00"/>
    <s v="January"/>
    <s v="2024"/>
  </r>
  <r>
    <x v="1"/>
    <s v="Groceries"/>
    <x v="8"/>
    <n v="40"/>
    <n v="327"/>
    <n v="13080"/>
    <d v="2025-04-06T00:00:00"/>
    <s v="April"/>
    <s v="2025"/>
  </r>
  <r>
    <x v="1"/>
    <s v="Clothing"/>
    <x v="9"/>
    <n v="2"/>
    <n v="222"/>
    <n v="444"/>
    <d v="2024-08-03T00:00:00"/>
    <s v="August"/>
    <s v="2024"/>
  </r>
  <r>
    <x v="1"/>
    <s v="Toys"/>
    <x v="1"/>
    <n v="34"/>
    <n v="1224"/>
    <n v="41616"/>
    <d v="2024-08-28T00:00:00"/>
    <s v="August"/>
    <s v="2024"/>
  </r>
  <r>
    <x v="1"/>
    <s v="Clothing"/>
    <x v="5"/>
    <n v="32"/>
    <n v="1385"/>
    <n v="44320"/>
    <d v="2024-11-13T00:00:00"/>
    <s v="November"/>
    <s v="2024"/>
  </r>
  <r>
    <x v="2"/>
    <s v="Furniture"/>
    <x v="0"/>
    <n v="3"/>
    <n v="1840"/>
    <n v="5520"/>
    <d v="2024-06-21T00:00:00"/>
    <s v="June"/>
    <s v="2024"/>
  </r>
  <r>
    <x v="1"/>
    <s v="Toys"/>
    <x v="5"/>
    <n v="39"/>
    <n v="534"/>
    <n v="20826"/>
    <d v="2024-11-03T00:00:00"/>
    <s v="November"/>
    <s v="2024"/>
  </r>
  <r>
    <x v="1"/>
    <s v="Furniture"/>
    <x v="7"/>
    <n v="45"/>
    <n v="316"/>
    <n v="14220"/>
    <d v="2024-06-04T00:00:00"/>
    <s v="June"/>
    <s v="2024"/>
  </r>
  <r>
    <x v="0"/>
    <s v="Groceries"/>
    <x v="9"/>
    <n v="47"/>
    <n v="1921"/>
    <n v="90287"/>
    <d v="2025-10-03T00:00:00"/>
    <s v="October"/>
    <s v="2025"/>
  </r>
  <r>
    <x v="3"/>
    <s v="Electronics"/>
    <x v="3"/>
    <n v="30"/>
    <n v="1201"/>
    <n v="36030"/>
    <d v="2024-04-24T00:00:00"/>
    <s v="April"/>
    <s v="2024"/>
  </r>
  <r>
    <x v="3"/>
    <s v="Groceries"/>
    <x v="7"/>
    <n v="28"/>
    <n v="268"/>
    <n v="7504"/>
    <d v="2025-01-07T00:00:00"/>
    <s v="January"/>
    <s v="2025"/>
  </r>
  <r>
    <x v="3"/>
    <s v="Electronics"/>
    <x v="9"/>
    <n v="48"/>
    <n v="530"/>
    <n v="25440"/>
    <d v="2024-05-13T00:00:00"/>
    <s v="May"/>
    <s v="2024"/>
  </r>
  <r>
    <x v="0"/>
    <s v="Furniture"/>
    <x v="4"/>
    <n v="4"/>
    <n v="193"/>
    <n v="772"/>
    <d v="2025-11-09T00:00:00"/>
    <s v="November"/>
    <s v="2025"/>
  </r>
  <r>
    <x v="3"/>
    <s v="Clothing"/>
    <x v="6"/>
    <n v="12"/>
    <n v="1525"/>
    <n v="18300"/>
    <d v="2024-02-23T00:00:00"/>
    <s v="February"/>
    <s v="2024"/>
  </r>
  <r>
    <x v="1"/>
    <s v="Clothing"/>
    <x v="4"/>
    <n v="7"/>
    <n v="415"/>
    <n v="2905"/>
    <d v="2024-07-16T00:00:00"/>
    <s v="July"/>
    <s v="2024"/>
  </r>
  <r>
    <x v="0"/>
    <s v="Electronics"/>
    <x v="4"/>
    <n v="6"/>
    <n v="1720"/>
    <n v="10320"/>
    <d v="2025-06-16T00:00:00"/>
    <s v="June"/>
    <s v="2025"/>
  </r>
  <r>
    <x v="1"/>
    <s v="Clothing"/>
    <x v="4"/>
    <n v="10"/>
    <n v="1654"/>
    <n v="16540"/>
    <d v="2025-06-01T00:00:00"/>
    <s v="June"/>
    <s v="2025"/>
  </r>
  <r>
    <x v="0"/>
    <s v="Toys"/>
    <x v="5"/>
    <n v="45"/>
    <n v="349"/>
    <n v="15705"/>
    <d v="2024-08-20T00:00:00"/>
    <s v="August"/>
    <s v="2024"/>
  </r>
  <r>
    <x v="1"/>
    <s v="Electronics"/>
    <x v="6"/>
    <n v="28"/>
    <n v="1750"/>
    <n v="49000"/>
    <d v="2025-02-03T00:00:00"/>
    <s v="February"/>
    <s v="2025"/>
  </r>
  <r>
    <x v="1"/>
    <s v="Furniture"/>
    <x v="7"/>
    <n v="1"/>
    <n v="1365"/>
    <n v="1365"/>
    <d v="2025-04-18T00:00:00"/>
    <s v="April"/>
    <s v="2025"/>
  </r>
  <r>
    <x v="0"/>
    <s v="Electronics"/>
    <x v="5"/>
    <n v="17"/>
    <n v="1171"/>
    <n v="19907"/>
    <d v="2025-05-10T00:00:00"/>
    <s v="May"/>
    <s v="2025"/>
  </r>
  <r>
    <x v="1"/>
    <s v="Furniture"/>
    <x v="3"/>
    <n v="35"/>
    <n v="1564"/>
    <n v="54740"/>
    <d v="2024-01-19T00:00:00"/>
    <s v="January"/>
    <s v="2024"/>
  </r>
  <r>
    <x v="1"/>
    <s v="Toys"/>
    <x v="9"/>
    <n v="36"/>
    <n v="921"/>
    <n v="33156"/>
    <d v="2025-12-30T00:00:00"/>
    <s v="December"/>
    <s v="2025"/>
  </r>
  <r>
    <x v="2"/>
    <s v="Clothing"/>
    <x v="1"/>
    <n v="44"/>
    <n v="1228"/>
    <n v="54032"/>
    <d v="2024-03-17T00:00:00"/>
    <s v="March"/>
    <s v="2024"/>
  </r>
  <r>
    <x v="0"/>
    <s v="Electronics"/>
    <x v="4"/>
    <n v="44"/>
    <n v="542"/>
    <n v="23848"/>
    <d v="2025-12-24T00:00:00"/>
    <s v="December"/>
    <s v="2025"/>
  </r>
  <r>
    <x v="0"/>
    <s v="Toys"/>
    <x v="5"/>
    <n v="15"/>
    <n v="492"/>
    <n v="7380"/>
    <d v="2025-07-14T00:00:00"/>
    <s v="July"/>
    <s v="2025"/>
  </r>
  <r>
    <x v="3"/>
    <s v="Furniture"/>
    <x v="2"/>
    <n v="6"/>
    <n v="1082"/>
    <n v="6492"/>
    <d v="2025-08-29T00:00:00"/>
    <s v="August"/>
    <s v="2025"/>
  </r>
  <r>
    <x v="0"/>
    <s v="Electronics"/>
    <x v="6"/>
    <n v="39"/>
    <n v="1823"/>
    <n v="71097"/>
    <d v="2024-05-29T00:00:00"/>
    <s v="May"/>
    <s v="2024"/>
  </r>
  <r>
    <x v="1"/>
    <s v="Toys"/>
    <x v="0"/>
    <n v="31"/>
    <n v="860"/>
    <n v="26660"/>
    <d v="2025-05-04T00:00:00"/>
    <s v="May"/>
    <s v="2025"/>
  </r>
  <r>
    <x v="2"/>
    <s v="Toys"/>
    <x v="9"/>
    <n v="4"/>
    <n v="359"/>
    <n v="1436"/>
    <d v="2025-10-11T00:00:00"/>
    <s v="October"/>
    <s v="2025"/>
  </r>
  <r>
    <x v="2"/>
    <s v="Furniture"/>
    <x v="7"/>
    <n v="21"/>
    <n v="117"/>
    <n v="2457"/>
    <d v="2024-06-21T00:00:00"/>
    <s v="June"/>
    <s v="2024"/>
  </r>
  <r>
    <x v="3"/>
    <s v="Electronics"/>
    <x v="9"/>
    <n v="28"/>
    <n v="305"/>
    <n v="8540"/>
    <d v="2024-06-15T00:00:00"/>
    <s v="June"/>
    <s v="2024"/>
  </r>
  <r>
    <x v="2"/>
    <s v="Electronics"/>
    <x v="7"/>
    <n v="1"/>
    <n v="1430"/>
    <n v="1430"/>
    <d v="2024-06-22T00:00:00"/>
    <s v="June"/>
    <s v="2024"/>
  </r>
  <r>
    <x v="1"/>
    <s v="Toys"/>
    <x v="6"/>
    <n v="5"/>
    <n v="142"/>
    <n v="710"/>
    <d v="2025-04-10T00:00:00"/>
    <s v="April"/>
    <s v="2025"/>
  </r>
  <r>
    <x v="2"/>
    <s v="Furniture"/>
    <x v="1"/>
    <n v="44"/>
    <n v="1747"/>
    <n v="76868"/>
    <d v="2025-09-10T00:00:00"/>
    <s v="September"/>
    <s v="2025"/>
  </r>
  <r>
    <x v="3"/>
    <s v="Clothing"/>
    <x v="4"/>
    <n v="36"/>
    <n v="1409"/>
    <n v="50724"/>
    <d v="2024-03-14T00:00:00"/>
    <s v="March"/>
    <s v="2024"/>
  </r>
  <r>
    <x v="1"/>
    <s v="Furniture"/>
    <x v="6"/>
    <n v="5"/>
    <n v="1384"/>
    <n v="6920"/>
    <d v="2024-10-07T00:00:00"/>
    <s v="October"/>
    <s v="2024"/>
  </r>
  <r>
    <x v="3"/>
    <s v="Clothing"/>
    <x v="5"/>
    <n v="8"/>
    <n v="714"/>
    <n v="5712"/>
    <d v="2025-09-14T00:00:00"/>
    <s v="September"/>
    <s v="2025"/>
  </r>
  <r>
    <x v="0"/>
    <s v="Toys"/>
    <x v="3"/>
    <n v="3"/>
    <n v="1395"/>
    <n v="4185"/>
    <d v="2024-01-09T00:00:00"/>
    <s v="January"/>
    <s v="2024"/>
  </r>
  <r>
    <x v="3"/>
    <s v="Groceries"/>
    <x v="5"/>
    <n v="23"/>
    <n v="785"/>
    <n v="18055"/>
    <d v="2025-03-29T00:00:00"/>
    <s v="March"/>
    <s v="2025"/>
  </r>
  <r>
    <x v="3"/>
    <s v="Furniture"/>
    <x v="1"/>
    <n v="17"/>
    <n v="801"/>
    <n v="13617"/>
    <d v="2025-05-06T00:00:00"/>
    <s v="May"/>
    <s v="2025"/>
  </r>
  <r>
    <x v="2"/>
    <s v="Toys"/>
    <x v="3"/>
    <n v="18"/>
    <n v="388"/>
    <n v="6984"/>
    <d v="2025-09-01T00:00:00"/>
    <s v="September"/>
    <s v="2025"/>
  </r>
  <r>
    <x v="0"/>
    <s v="Electronics"/>
    <x v="3"/>
    <n v="17"/>
    <n v="1184"/>
    <n v="20128"/>
    <d v="2025-09-19T00:00:00"/>
    <s v="September"/>
    <s v="2025"/>
  </r>
  <r>
    <x v="0"/>
    <s v="Groceries"/>
    <x v="3"/>
    <n v="50"/>
    <n v="1291"/>
    <n v="64550"/>
    <d v="2025-10-25T00:00:00"/>
    <s v="October"/>
    <s v="2025"/>
  </r>
  <r>
    <x v="2"/>
    <s v="Electronics"/>
    <x v="4"/>
    <n v="5"/>
    <n v="677"/>
    <n v="3385"/>
    <d v="2025-11-25T00:00:00"/>
    <s v="November"/>
    <s v="2025"/>
  </r>
  <r>
    <x v="0"/>
    <s v="Groceries"/>
    <x v="1"/>
    <n v="14"/>
    <n v="1062"/>
    <n v="14868"/>
    <d v="2025-08-24T00:00:00"/>
    <s v="August"/>
    <s v="2025"/>
  </r>
  <r>
    <x v="1"/>
    <s v="Clothing"/>
    <x v="3"/>
    <n v="43"/>
    <n v="1361"/>
    <n v="58523"/>
    <d v="2024-06-02T00:00:00"/>
    <s v="June"/>
    <s v="2024"/>
  </r>
  <r>
    <x v="2"/>
    <s v="Clothing"/>
    <x v="4"/>
    <n v="17"/>
    <n v="1882"/>
    <n v="31994"/>
    <d v="2024-01-13T00:00:00"/>
    <s v="January"/>
    <s v="2024"/>
  </r>
  <r>
    <x v="1"/>
    <s v="Groceries"/>
    <x v="3"/>
    <n v="39"/>
    <n v="433"/>
    <n v="16887"/>
    <d v="2025-01-27T00:00:00"/>
    <s v="January"/>
    <s v="2025"/>
  </r>
  <r>
    <x v="3"/>
    <s v="Clothing"/>
    <x v="9"/>
    <n v="17"/>
    <n v="721"/>
    <n v="12257"/>
    <d v="2025-11-17T00:00:00"/>
    <s v="November"/>
    <s v="2025"/>
  </r>
  <r>
    <x v="0"/>
    <s v="Furniture"/>
    <x v="3"/>
    <n v="8"/>
    <n v="1820"/>
    <n v="14560"/>
    <d v="2024-04-15T00:00:00"/>
    <s v="April"/>
    <s v="2024"/>
  </r>
  <r>
    <x v="3"/>
    <s v="Electronics"/>
    <x v="1"/>
    <n v="48"/>
    <n v="331"/>
    <n v="15888"/>
    <d v="2024-05-04T00:00:00"/>
    <s v="May"/>
    <s v="2024"/>
  </r>
  <r>
    <x v="1"/>
    <s v="Electronics"/>
    <x v="5"/>
    <n v="1"/>
    <n v="1794"/>
    <n v="1794"/>
    <d v="2025-01-07T00:00:00"/>
    <s v="January"/>
    <s v="2025"/>
  </r>
  <r>
    <x v="1"/>
    <s v="Groceries"/>
    <x v="3"/>
    <n v="26"/>
    <n v="101"/>
    <n v="2626"/>
    <d v="2025-01-15T00:00:00"/>
    <s v="January"/>
    <s v="2025"/>
  </r>
  <r>
    <x v="0"/>
    <s v="Electronics"/>
    <x v="6"/>
    <n v="42"/>
    <n v="1761"/>
    <n v="73962"/>
    <d v="2025-09-28T00:00:00"/>
    <s v="September"/>
    <s v="2025"/>
  </r>
  <r>
    <x v="2"/>
    <s v="Electronics"/>
    <x v="1"/>
    <n v="25"/>
    <n v="219"/>
    <n v="5475"/>
    <d v="2025-01-26T00:00:00"/>
    <s v="January"/>
    <s v="2025"/>
  </r>
  <r>
    <x v="2"/>
    <s v="Toys"/>
    <x v="7"/>
    <n v="9"/>
    <n v="1847"/>
    <n v="16623"/>
    <d v="2024-10-31T00:00:00"/>
    <s v="October"/>
    <s v="2024"/>
  </r>
  <r>
    <x v="2"/>
    <s v="Groceries"/>
    <x v="3"/>
    <n v="18"/>
    <n v="318"/>
    <n v="5724"/>
    <d v="2025-09-04T00:00:00"/>
    <s v="September"/>
    <s v="2025"/>
  </r>
  <r>
    <x v="0"/>
    <s v="Toys"/>
    <x v="0"/>
    <n v="6"/>
    <n v="626"/>
    <n v="3756"/>
    <d v="2025-09-30T00:00:00"/>
    <s v="September"/>
    <s v="2025"/>
  </r>
  <r>
    <x v="2"/>
    <s v="Clothing"/>
    <x v="9"/>
    <n v="28"/>
    <n v="1529"/>
    <n v="42812"/>
    <d v="2024-10-23T00:00:00"/>
    <s v="October"/>
    <s v="2024"/>
  </r>
  <r>
    <x v="0"/>
    <s v="Furniture"/>
    <x v="4"/>
    <n v="12"/>
    <n v="899"/>
    <n v="10788"/>
    <d v="2024-01-19T00:00:00"/>
    <s v="January"/>
    <s v="2024"/>
  </r>
  <r>
    <x v="1"/>
    <s v="Toys"/>
    <x v="9"/>
    <n v="20"/>
    <n v="324"/>
    <n v="6480"/>
    <d v="2024-01-08T00:00:00"/>
    <s v="January"/>
    <s v="2024"/>
  </r>
  <r>
    <x v="1"/>
    <s v="Toys"/>
    <x v="6"/>
    <n v="9"/>
    <n v="803"/>
    <n v="7227"/>
    <d v="2025-07-28T00:00:00"/>
    <s v="July"/>
    <s v="2025"/>
  </r>
  <r>
    <x v="1"/>
    <s v="Furniture"/>
    <x v="6"/>
    <n v="36"/>
    <n v="101"/>
    <n v="3636"/>
    <d v="2025-11-01T00:00:00"/>
    <s v="November"/>
    <s v="2025"/>
  </r>
  <r>
    <x v="2"/>
    <s v="Toys"/>
    <x v="6"/>
    <n v="20"/>
    <n v="1851"/>
    <n v="37020"/>
    <d v="2025-12-25T00:00:00"/>
    <s v="December"/>
    <s v="2025"/>
  </r>
  <r>
    <x v="2"/>
    <s v="Clothing"/>
    <x v="4"/>
    <n v="29"/>
    <n v="1083"/>
    <n v="31407"/>
    <d v="2024-06-06T00:00:00"/>
    <s v="June"/>
    <s v="2024"/>
  </r>
  <r>
    <x v="1"/>
    <s v="Groceries"/>
    <x v="9"/>
    <n v="4"/>
    <n v="1590"/>
    <n v="6360"/>
    <d v="2024-05-26T00:00:00"/>
    <s v="May"/>
    <s v="2024"/>
  </r>
  <r>
    <x v="0"/>
    <s v="Groceries"/>
    <x v="5"/>
    <n v="30"/>
    <n v="431"/>
    <n v="12930"/>
    <d v="2025-01-02T00:00:00"/>
    <s v="January"/>
    <s v="2025"/>
  </r>
  <r>
    <x v="2"/>
    <s v="Furniture"/>
    <x v="0"/>
    <n v="3"/>
    <n v="1539"/>
    <n v="4617"/>
    <d v="2024-06-03T00:00:00"/>
    <s v="June"/>
    <s v="2024"/>
  </r>
  <r>
    <x v="0"/>
    <s v="Groceries"/>
    <x v="3"/>
    <n v="9"/>
    <n v="1259"/>
    <n v="11331"/>
    <d v="2025-11-29T00:00:00"/>
    <s v="November"/>
    <s v="2025"/>
  </r>
  <r>
    <x v="2"/>
    <s v="Clothing"/>
    <x v="3"/>
    <n v="12"/>
    <n v="683"/>
    <n v="8196"/>
    <d v="2024-04-20T00:00:00"/>
    <s v="April"/>
    <s v="2024"/>
  </r>
  <r>
    <x v="0"/>
    <s v="Furniture"/>
    <x v="4"/>
    <n v="42"/>
    <n v="1721"/>
    <n v="72282"/>
    <d v="2024-02-20T00:00:00"/>
    <s v="February"/>
    <s v="2024"/>
  </r>
  <r>
    <x v="2"/>
    <s v="Furniture"/>
    <x v="4"/>
    <n v="22"/>
    <n v="1536"/>
    <n v="33792"/>
    <d v="2024-09-28T00:00:00"/>
    <s v="September"/>
    <s v="2024"/>
  </r>
  <r>
    <x v="2"/>
    <s v="Clothing"/>
    <x v="1"/>
    <n v="45"/>
    <n v="944"/>
    <n v="42480"/>
    <d v="2025-09-15T00:00:00"/>
    <s v="September"/>
    <s v="2025"/>
  </r>
  <r>
    <x v="2"/>
    <s v="Groceries"/>
    <x v="7"/>
    <n v="24"/>
    <n v="1132"/>
    <n v="27168"/>
    <d v="2024-05-25T00:00:00"/>
    <s v="May"/>
    <s v="2024"/>
  </r>
  <r>
    <x v="1"/>
    <s v="Clothing"/>
    <x v="7"/>
    <n v="29"/>
    <n v="158"/>
    <n v="4582"/>
    <d v="2024-10-20T00:00:00"/>
    <s v="October"/>
    <s v="2024"/>
  </r>
  <r>
    <x v="1"/>
    <s v="Furniture"/>
    <x v="0"/>
    <n v="4"/>
    <n v="1537"/>
    <n v="6148"/>
    <d v="2024-07-07T00:00:00"/>
    <s v="July"/>
    <s v="2024"/>
  </r>
  <r>
    <x v="1"/>
    <s v="Toys"/>
    <x v="7"/>
    <n v="17"/>
    <n v="491"/>
    <n v="8347"/>
    <d v="2024-07-21T00:00:00"/>
    <s v="July"/>
    <s v="2024"/>
  </r>
  <r>
    <x v="2"/>
    <s v="Clothing"/>
    <x v="1"/>
    <n v="47"/>
    <n v="1281"/>
    <n v="60207"/>
    <d v="2025-08-16T00:00:00"/>
    <s v="August"/>
    <s v="2025"/>
  </r>
  <r>
    <x v="1"/>
    <s v="Groceries"/>
    <x v="0"/>
    <n v="24"/>
    <n v="1382"/>
    <n v="33168"/>
    <d v="2025-07-11T00:00:00"/>
    <s v="July"/>
    <s v="2025"/>
  </r>
  <r>
    <x v="1"/>
    <s v="Toys"/>
    <x v="1"/>
    <n v="42"/>
    <n v="1124"/>
    <n v="47208"/>
    <d v="2024-01-13T00:00:00"/>
    <s v="January"/>
    <s v="2024"/>
  </r>
  <r>
    <x v="0"/>
    <s v="Electronics"/>
    <x v="6"/>
    <n v="40"/>
    <n v="412"/>
    <n v="16480"/>
    <d v="2024-03-05T00:00:00"/>
    <s v="March"/>
    <s v="2024"/>
  </r>
  <r>
    <x v="2"/>
    <s v="Groceries"/>
    <x v="3"/>
    <n v="21"/>
    <n v="1204"/>
    <n v="25284"/>
    <d v="2024-04-15T00:00:00"/>
    <s v="April"/>
    <s v="2024"/>
  </r>
  <r>
    <x v="3"/>
    <s v="Groceries"/>
    <x v="7"/>
    <n v="50"/>
    <n v="463"/>
    <n v="23150"/>
    <d v="2025-04-01T00:00:00"/>
    <s v="April"/>
    <s v="2025"/>
  </r>
  <r>
    <x v="1"/>
    <s v="Groceries"/>
    <x v="8"/>
    <n v="41"/>
    <n v="862"/>
    <n v="35342"/>
    <d v="2024-01-20T00:00:00"/>
    <s v="January"/>
    <s v="2024"/>
  </r>
  <r>
    <x v="1"/>
    <s v="Toys"/>
    <x v="9"/>
    <n v="28"/>
    <n v="1320"/>
    <n v="36960"/>
    <d v="2025-03-25T00:00:00"/>
    <s v="March"/>
    <s v="2025"/>
  </r>
  <r>
    <x v="1"/>
    <s v="Groceries"/>
    <x v="3"/>
    <n v="19"/>
    <n v="394"/>
    <n v="7486"/>
    <d v="2024-11-24T00:00:00"/>
    <s v="November"/>
    <s v="2024"/>
  </r>
  <r>
    <x v="3"/>
    <s v="Groceries"/>
    <x v="6"/>
    <n v="4"/>
    <n v="177"/>
    <n v="708"/>
    <d v="2025-06-04T00:00:00"/>
    <s v="June"/>
    <s v="2025"/>
  </r>
  <r>
    <x v="0"/>
    <s v="Electronics"/>
    <x v="4"/>
    <n v="10"/>
    <n v="1051"/>
    <n v="10510"/>
    <d v="2024-05-05T00:00:00"/>
    <s v="May"/>
    <s v="2024"/>
  </r>
  <r>
    <x v="0"/>
    <s v="Toys"/>
    <x v="6"/>
    <n v="46"/>
    <n v="691"/>
    <n v="31786"/>
    <d v="2025-08-30T00:00:00"/>
    <s v="August"/>
    <s v="2025"/>
  </r>
  <r>
    <x v="2"/>
    <s v="Toys"/>
    <x v="0"/>
    <n v="20"/>
    <n v="759"/>
    <n v="15180"/>
    <d v="2024-06-04T00:00:00"/>
    <s v="June"/>
    <s v="2024"/>
  </r>
  <r>
    <x v="2"/>
    <s v="Furniture"/>
    <x v="2"/>
    <n v="33"/>
    <n v="1740"/>
    <n v="57420"/>
    <d v="2024-12-24T00:00:00"/>
    <s v="December"/>
    <s v="2024"/>
  </r>
  <r>
    <x v="2"/>
    <s v="Groceries"/>
    <x v="4"/>
    <n v="7"/>
    <n v="242"/>
    <n v="1694"/>
    <d v="2025-03-21T00:00:00"/>
    <s v="March"/>
    <s v="2025"/>
  </r>
  <r>
    <x v="1"/>
    <s v="Groceries"/>
    <x v="0"/>
    <n v="38"/>
    <n v="1651"/>
    <n v="62738"/>
    <d v="2024-02-02T00:00:00"/>
    <s v="February"/>
    <s v="2024"/>
  </r>
  <r>
    <x v="0"/>
    <s v="Toys"/>
    <x v="6"/>
    <n v="25"/>
    <n v="415"/>
    <n v="10375"/>
    <d v="2024-07-18T00:00:00"/>
    <s v="July"/>
    <s v="2024"/>
  </r>
  <r>
    <x v="3"/>
    <s v="Clothing"/>
    <x v="5"/>
    <n v="38"/>
    <n v="431"/>
    <n v="16378"/>
    <d v="2025-01-15T00:00:00"/>
    <s v="January"/>
    <s v="2025"/>
  </r>
  <r>
    <x v="3"/>
    <s v="Toys"/>
    <x v="1"/>
    <n v="10"/>
    <n v="1101"/>
    <n v="11010"/>
    <d v="2024-07-14T00:00:00"/>
    <s v="July"/>
    <s v="2024"/>
  </r>
  <r>
    <x v="0"/>
    <s v="Clothing"/>
    <x v="0"/>
    <n v="1"/>
    <n v="1099"/>
    <n v="1099"/>
    <d v="2025-12-12T00:00:00"/>
    <s v="December"/>
    <s v="2025"/>
  </r>
  <r>
    <x v="0"/>
    <s v="Toys"/>
    <x v="8"/>
    <n v="7"/>
    <n v="598"/>
    <n v="4186"/>
    <d v="2025-06-06T00:00:00"/>
    <s v="June"/>
    <s v="2025"/>
  </r>
  <r>
    <x v="1"/>
    <s v="Electronics"/>
    <x v="9"/>
    <n v="9"/>
    <n v="1704"/>
    <n v="15336"/>
    <d v="2024-06-25T00:00:00"/>
    <s v="June"/>
    <s v="2024"/>
  </r>
  <r>
    <x v="3"/>
    <s v="Toys"/>
    <x v="2"/>
    <n v="38"/>
    <n v="740"/>
    <n v="28120"/>
    <d v="2024-09-17T00:00:00"/>
    <s v="September"/>
    <s v="2024"/>
  </r>
  <r>
    <x v="3"/>
    <s v="Electronics"/>
    <x v="7"/>
    <n v="44"/>
    <n v="915"/>
    <n v="40260"/>
    <d v="2025-02-07T00:00:00"/>
    <s v="February"/>
    <s v="2025"/>
  </r>
  <r>
    <x v="2"/>
    <s v="Clothing"/>
    <x v="3"/>
    <n v="17"/>
    <n v="314"/>
    <n v="5338"/>
    <d v="2025-05-28T00:00:00"/>
    <s v="May"/>
    <s v="2025"/>
  </r>
  <r>
    <x v="2"/>
    <s v="Groceries"/>
    <x v="5"/>
    <n v="48"/>
    <n v="1495"/>
    <n v="71760"/>
    <d v="2024-04-03T00:00:00"/>
    <s v="April"/>
    <s v="2024"/>
  </r>
  <r>
    <x v="3"/>
    <s v="Electronics"/>
    <x v="8"/>
    <n v="43"/>
    <n v="766"/>
    <n v="32938"/>
    <d v="2025-09-07T00:00:00"/>
    <s v="September"/>
    <s v="2025"/>
  </r>
  <r>
    <x v="3"/>
    <s v="Furniture"/>
    <x v="3"/>
    <n v="6"/>
    <n v="780"/>
    <n v="4680"/>
    <d v="2024-06-23T00:00:00"/>
    <s v="June"/>
    <s v="2024"/>
  </r>
  <r>
    <x v="3"/>
    <s v="Groceries"/>
    <x v="0"/>
    <n v="46"/>
    <n v="374"/>
    <n v="17204"/>
    <d v="2024-03-15T00:00:00"/>
    <s v="March"/>
    <s v="2024"/>
  </r>
  <r>
    <x v="2"/>
    <s v="Groceries"/>
    <x v="3"/>
    <n v="36"/>
    <n v="1658"/>
    <n v="59688"/>
    <d v="2024-04-01T00:00:00"/>
    <s v="April"/>
    <s v="2024"/>
  </r>
  <r>
    <x v="0"/>
    <s v="Toys"/>
    <x v="1"/>
    <n v="44"/>
    <n v="121"/>
    <n v="5324"/>
    <d v="2024-06-02T00:00:00"/>
    <s v="June"/>
    <s v="2024"/>
  </r>
  <r>
    <x v="3"/>
    <s v="Groceries"/>
    <x v="7"/>
    <n v="49"/>
    <n v="1585"/>
    <n v="77665"/>
    <d v="2024-12-01T00:00:00"/>
    <s v="December"/>
    <s v="2024"/>
  </r>
  <r>
    <x v="3"/>
    <s v="Clothing"/>
    <x v="1"/>
    <n v="29"/>
    <n v="660"/>
    <n v="19140"/>
    <d v="2025-04-18T00:00:00"/>
    <s v="April"/>
    <s v="2025"/>
  </r>
  <r>
    <x v="2"/>
    <s v="Groceries"/>
    <x v="4"/>
    <n v="7"/>
    <n v="475"/>
    <n v="3325"/>
    <d v="2025-01-30T00:00:00"/>
    <s v="January"/>
    <s v="2025"/>
  </r>
  <r>
    <x v="3"/>
    <s v="Clothing"/>
    <x v="9"/>
    <n v="42"/>
    <n v="1988"/>
    <n v="83496"/>
    <d v="2025-07-23T00:00:00"/>
    <s v="July"/>
    <s v="2025"/>
  </r>
  <r>
    <x v="3"/>
    <s v="Groceries"/>
    <x v="0"/>
    <n v="36"/>
    <n v="194"/>
    <n v="6984"/>
    <d v="2025-06-12T00:00:00"/>
    <s v="June"/>
    <s v="2025"/>
  </r>
  <r>
    <x v="0"/>
    <s v="Electronics"/>
    <x v="8"/>
    <n v="3"/>
    <n v="1941"/>
    <n v="5823"/>
    <d v="2025-10-06T00:00:00"/>
    <s v="October"/>
    <s v="2025"/>
  </r>
  <r>
    <x v="3"/>
    <s v="Furniture"/>
    <x v="2"/>
    <n v="23"/>
    <n v="1130"/>
    <n v="25990"/>
    <d v="2024-04-19T00:00:00"/>
    <s v="April"/>
    <s v="2024"/>
  </r>
  <r>
    <x v="2"/>
    <s v="Electronics"/>
    <x v="2"/>
    <n v="29"/>
    <n v="1318"/>
    <n v="38222"/>
    <d v="2025-03-19T00:00:00"/>
    <s v="March"/>
    <s v="2025"/>
  </r>
  <r>
    <x v="1"/>
    <s v="Furniture"/>
    <x v="1"/>
    <n v="13"/>
    <n v="298"/>
    <n v="3874"/>
    <d v="2024-06-03T00:00:00"/>
    <s v="June"/>
    <s v="2024"/>
  </r>
  <r>
    <x v="0"/>
    <s v="Furniture"/>
    <x v="7"/>
    <n v="35"/>
    <n v="1725"/>
    <n v="60375"/>
    <d v="2025-11-18T00:00:00"/>
    <s v="November"/>
    <s v="2025"/>
  </r>
  <r>
    <x v="1"/>
    <s v="Toys"/>
    <x v="0"/>
    <n v="24"/>
    <n v="1891"/>
    <n v="45384"/>
    <d v="2024-10-14T00:00:00"/>
    <s v="October"/>
    <s v="2024"/>
  </r>
  <r>
    <x v="3"/>
    <s v="Furniture"/>
    <x v="0"/>
    <n v="13"/>
    <n v="408"/>
    <n v="5304"/>
    <d v="2024-02-26T00:00:00"/>
    <s v="February"/>
    <s v="2024"/>
  </r>
  <r>
    <x v="1"/>
    <s v="Toys"/>
    <x v="9"/>
    <n v="24"/>
    <n v="1364"/>
    <n v="32736"/>
    <d v="2024-11-04T00:00:00"/>
    <s v="November"/>
    <s v="2024"/>
  </r>
  <r>
    <x v="0"/>
    <s v="Toys"/>
    <x v="3"/>
    <n v="13"/>
    <n v="1627"/>
    <n v="21151"/>
    <d v="2024-07-25T00:00:00"/>
    <s v="July"/>
    <s v="2024"/>
  </r>
  <r>
    <x v="1"/>
    <s v="Groceries"/>
    <x v="0"/>
    <n v="26"/>
    <n v="1261"/>
    <n v="32786"/>
    <d v="2024-01-27T00:00:00"/>
    <s v="January"/>
    <s v="2024"/>
  </r>
  <r>
    <x v="3"/>
    <s v="Furniture"/>
    <x v="6"/>
    <n v="44"/>
    <n v="554"/>
    <n v="24376"/>
    <d v="2025-06-14T00:00:00"/>
    <s v="June"/>
    <s v="2025"/>
  </r>
  <r>
    <x v="2"/>
    <s v="Toys"/>
    <x v="7"/>
    <n v="41"/>
    <n v="686"/>
    <n v="28126"/>
    <d v="2024-04-26T00:00:00"/>
    <s v="April"/>
    <s v="2024"/>
  </r>
  <r>
    <x v="0"/>
    <s v="Groceries"/>
    <x v="7"/>
    <n v="48"/>
    <n v="454"/>
    <n v="21792"/>
    <d v="2025-10-08T00:00:00"/>
    <s v="October"/>
    <s v="2025"/>
  </r>
  <r>
    <x v="2"/>
    <s v="Groceries"/>
    <x v="8"/>
    <n v="24"/>
    <n v="1807"/>
    <n v="43368"/>
    <d v="2025-02-07T00:00:00"/>
    <s v="February"/>
    <s v="2025"/>
  </r>
  <r>
    <x v="1"/>
    <s v="Electronics"/>
    <x v="8"/>
    <n v="1"/>
    <n v="1822"/>
    <n v="1822"/>
    <d v="2025-02-13T00:00:00"/>
    <s v="February"/>
    <s v="2025"/>
  </r>
  <r>
    <x v="0"/>
    <s v="Groceries"/>
    <x v="1"/>
    <n v="10"/>
    <n v="423"/>
    <n v="4230"/>
    <d v="2025-01-06T00:00:00"/>
    <s v="January"/>
    <s v="2025"/>
  </r>
  <r>
    <x v="2"/>
    <s v="Toys"/>
    <x v="3"/>
    <n v="5"/>
    <n v="1135"/>
    <n v="5675"/>
    <d v="2024-06-27T00:00:00"/>
    <s v="June"/>
    <s v="2024"/>
  </r>
  <r>
    <x v="0"/>
    <s v="Electronics"/>
    <x v="9"/>
    <n v="39"/>
    <n v="811"/>
    <n v="31629"/>
    <d v="2025-03-09T00:00:00"/>
    <s v="March"/>
    <s v="2025"/>
  </r>
  <r>
    <x v="3"/>
    <s v="Electronics"/>
    <x v="7"/>
    <n v="15"/>
    <n v="1804"/>
    <n v="27060"/>
    <d v="2025-04-24T00:00:00"/>
    <s v="April"/>
    <s v="2025"/>
  </r>
  <r>
    <x v="1"/>
    <s v="Toys"/>
    <x v="6"/>
    <n v="1"/>
    <n v="1441"/>
    <n v="1441"/>
    <d v="2025-11-30T00:00:00"/>
    <s v="November"/>
    <s v="2025"/>
  </r>
  <r>
    <x v="0"/>
    <s v="Electronics"/>
    <x v="7"/>
    <n v="27"/>
    <n v="116"/>
    <n v="3132"/>
    <d v="2025-05-11T00:00:00"/>
    <s v="May"/>
    <s v="2025"/>
  </r>
  <r>
    <x v="1"/>
    <s v="Furniture"/>
    <x v="8"/>
    <n v="8"/>
    <n v="782"/>
    <n v="6256"/>
    <d v="2024-12-21T00:00:00"/>
    <s v="December"/>
    <s v="2024"/>
  </r>
  <r>
    <x v="3"/>
    <s v="Toys"/>
    <x v="4"/>
    <n v="36"/>
    <n v="1890"/>
    <n v="68040"/>
    <d v="2025-03-15T00:00:00"/>
    <s v="March"/>
    <s v="2025"/>
  </r>
  <r>
    <x v="3"/>
    <s v="Electronics"/>
    <x v="6"/>
    <n v="44"/>
    <n v="1733"/>
    <n v="76252"/>
    <d v="2024-03-22T00:00:00"/>
    <s v="March"/>
    <s v="2024"/>
  </r>
  <r>
    <x v="3"/>
    <s v="Toys"/>
    <x v="9"/>
    <n v="29"/>
    <n v="1736"/>
    <n v="50344"/>
    <d v="2025-12-27T00:00:00"/>
    <s v="December"/>
    <s v="2025"/>
  </r>
  <r>
    <x v="0"/>
    <s v="Electronics"/>
    <x v="1"/>
    <n v="50"/>
    <n v="1570"/>
    <n v="78500"/>
    <d v="2024-05-16T00:00:00"/>
    <s v="May"/>
    <s v="2024"/>
  </r>
  <r>
    <x v="2"/>
    <s v="Groceries"/>
    <x v="3"/>
    <n v="3"/>
    <n v="1654"/>
    <n v="4962"/>
    <d v="2024-09-23T00:00:00"/>
    <s v="September"/>
    <s v="2024"/>
  </r>
  <r>
    <x v="0"/>
    <s v="Furniture"/>
    <x v="7"/>
    <n v="10"/>
    <n v="137"/>
    <n v="1370"/>
    <d v="2025-07-26T00:00:00"/>
    <s v="July"/>
    <s v="2025"/>
  </r>
  <r>
    <x v="1"/>
    <s v="Toys"/>
    <x v="8"/>
    <n v="11"/>
    <n v="959"/>
    <n v="10549"/>
    <d v="2025-09-22T00:00:00"/>
    <s v="September"/>
    <s v="2025"/>
  </r>
  <r>
    <x v="2"/>
    <s v="Clothing"/>
    <x v="5"/>
    <n v="33"/>
    <n v="1622"/>
    <n v="53526"/>
    <d v="2025-06-05T00:00:00"/>
    <s v="June"/>
    <s v="2025"/>
  </r>
  <r>
    <x v="0"/>
    <s v="Groceries"/>
    <x v="2"/>
    <n v="10"/>
    <n v="675"/>
    <n v="6750"/>
    <d v="2024-09-10T00:00:00"/>
    <s v="September"/>
    <s v="2024"/>
  </r>
  <r>
    <x v="0"/>
    <s v="Toys"/>
    <x v="4"/>
    <n v="35"/>
    <n v="1396"/>
    <n v="48860"/>
    <d v="2024-06-18T00:00:00"/>
    <s v="June"/>
    <s v="2024"/>
  </r>
  <r>
    <x v="0"/>
    <s v="Clothing"/>
    <x v="7"/>
    <n v="6"/>
    <n v="139"/>
    <n v="834"/>
    <d v="2024-08-30T00:00:00"/>
    <s v="August"/>
    <s v="2024"/>
  </r>
  <r>
    <x v="3"/>
    <s v="Toys"/>
    <x v="8"/>
    <n v="25"/>
    <n v="1075"/>
    <n v="26875"/>
    <d v="2024-05-06T00:00:00"/>
    <s v="May"/>
    <s v="2024"/>
  </r>
  <r>
    <x v="2"/>
    <s v="Furniture"/>
    <x v="0"/>
    <n v="16"/>
    <n v="606"/>
    <n v="9696"/>
    <d v="2024-04-02T00:00:00"/>
    <s v="April"/>
    <s v="2024"/>
  </r>
  <r>
    <x v="2"/>
    <s v="Clothing"/>
    <x v="1"/>
    <n v="23"/>
    <n v="1897"/>
    <n v="43631"/>
    <d v="2025-09-24T00:00:00"/>
    <s v="September"/>
    <s v="2025"/>
  </r>
  <r>
    <x v="0"/>
    <s v="Groceries"/>
    <x v="5"/>
    <n v="31"/>
    <n v="775"/>
    <n v="24025"/>
    <d v="2024-11-28T00:00:00"/>
    <s v="November"/>
    <s v="2024"/>
  </r>
  <r>
    <x v="0"/>
    <s v="Clothing"/>
    <x v="4"/>
    <n v="25"/>
    <n v="1138"/>
    <n v="28450"/>
    <d v="2025-03-22T00:00:00"/>
    <s v="March"/>
    <s v="2025"/>
  </r>
  <r>
    <x v="0"/>
    <s v="Electronics"/>
    <x v="9"/>
    <n v="12"/>
    <n v="1051"/>
    <n v="12612"/>
    <d v="2025-03-23T00:00:00"/>
    <s v="March"/>
    <s v="2025"/>
  </r>
  <r>
    <x v="3"/>
    <s v="Toys"/>
    <x v="1"/>
    <n v="10"/>
    <n v="1359"/>
    <n v="13590"/>
    <d v="2024-05-31T00:00:00"/>
    <s v="May"/>
    <s v="2024"/>
  </r>
  <r>
    <x v="2"/>
    <s v="Electronics"/>
    <x v="6"/>
    <n v="9"/>
    <n v="1348"/>
    <n v="12132"/>
    <d v="2025-09-18T00:00:00"/>
    <s v="September"/>
    <s v="2025"/>
  </r>
  <r>
    <x v="1"/>
    <s v="Groceries"/>
    <x v="3"/>
    <n v="37"/>
    <n v="886"/>
    <n v="32782"/>
    <d v="2024-11-01T00:00:00"/>
    <s v="November"/>
    <s v="2024"/>
  </r>
  <r>
    <x v="0"/>
    <s v="Groceries"/>
    <x v="7"/>
    <n v="21"/>
    <n v="1588"/>
    <n v="33348"/>
    <d v="2025-06-11T00:00:00"/>
    <s v="June"/>
    <s v="2025"/>
  </r>
  <r>
    <x v="0"/>
    <s v="Electronics"/>
    <x v="9"/>
    <n v="31"/>
    <n v="667"/>
    <n v="20677"/>
    <d v="2025-06-18T00:00:00"/>
    <s v="June"/>
    <s v="2025"/>
  </r>
  <r>
    <x v="2"/>
    <s v="Groceries"/>
    <x v="2"/>
    <n v="1"/>
    <n v="683"/>
    <n v="683"/>
    <d v="2024-10-30T00:00:00"/>
    <s v="October"/>
    <s v="2024"/>
  </r>
  <r>
    <x v="2"/>
    <s v="Electronics"/>
    <x v="7"/>
    <n v="16"/>
    <n v="1979"/>
    <n v="31664"/>
    <d v="2024-03-03T00:00:00"/>
    <s v="March"/>
    <s v="2024"/>
  </r>
  <r>
    <x v="0"/>
    <s v="Electronics"/>
    <x v="8"/>
    <n v="20"/>
    <n v="619"/>
    <n v="12380"/>
    <d v="2024-10-20T00:00:00"/>
    <s v="October"/>
    <s v="2024"/>
  </r>
  <r>
    <x v="2"/>
    <s v="Clothing"/>
    <x v="5"/>
    <n v="14"/>
    <n v="201"/>
    <n v="2814"/>
    <d v="2025-05-25T00:00:00"/>
    <s v="May"/>
    <s v="2025"/>
  </r>
  <r>
    <x v="2"/>
    <s v="Toys"/>
    <x v="9"/>
    <n v="31"/>
    <n v="748"/>
    <n v="23188"/>
    <d v="2025-08-19T00:00:00"/>
    <s v="August"/>
    <s v="2025"/>
  </r>
  <r>
    <x v="1"/>
    <s v="Furniture"/>
    <x v="5"/>
    <n v="27"/>
    <n v="1976"/>
    <n v="53352"/>
    <d v="2024-06-02T00:00:00"/>
    <s v="June"/>
    <s v="2024"/>
  </r>
  <r>
    <x v="3"/>
    <s v="Toys"/>
    <x v="7"/>
    <n v="33"/>
    <n v="751"/>
    <n v="24783"/>
    <d v="2025-04-04T00:00:00"/>
    <s v="April"/>
    <s v="2025"/>
  </r>
  <r>
    <x v="3"/>
    <s v="Toys"/>
    <x v="4"/>
    <n v="36"/>
    <n v="221"/>
    <n v="7956"/>
    <d v="2025-03-31T00:00:00"/>
    <s v="March"/>
    <s v="2025"/>
  </r>
  <r>
    <x v="0"/>
    <s v="Groceries"/>
    <x v="7"/>
    <n v="20"/>
    <n v="729"/>
    <n v="14580"/>
    <d v="2024-09-06T00:00:00"/>
    <s v="September"/>
    <s v="2024"/>
  </r>
  <r>
    <x v="2"/>
    <s v="Clothing"/>
    <x v="6"/>
    <n v="37"/>
    <n v="297"/>
    <n v="10989"/>
    <d v="2024-04-05T00:00:00"/>
    <s v="April"/>
    <s v="2024"/>
  </r>
  <r>
    <x v="0"/>
    <s v="Electronics"/>
    <x v="2"/>
    <n v="45"/>
    <n v="1686"/>
    <n v="75870"/>
    <d v="2025-08-02T00:00:00"/>
    <s v="August"/>
    <s v="2025"/>
  </r>
  <r>
    <x v="1"/>
    <s v="Groceries"/>
    <x v="2"/>
    <n v="42"/>
    <n v="1093"/>
    <n v="45906"/>
    <d v="2024-07-12T00:00:00"/>
    <s v="July"/>
    <s v="2024"/>
  </r>
  <r>
    <x v="3"/>
    <s v="Groceries"/>
    <x v="7"/>
    <n v="5"/>
    <n v="1610"/>
    <n v="8050"/>
    <d v="2024-11-27T00:00:00"/>
    <s v="November"/>
    <s v="2024"/>
  </r>
  <r>
    <x v="0"/>
    <s v="Clothing"/>
    <x v="7"/>
    <n v="16"/>
    <n v="630"/>
    <n v="10080"/>
    <d v="2024-01-02T00:00:00"/>
    <s v="January"/>
    <s v="2024"/>
  </r>
  <r>
    <x v="1"/>
    <s v="Groceries"/>
    <x v="3"/>
    <n v="28"/>
    <n v="530"/>
    <n v="14840"/>
    <d v="2025-10-10T00:00:00"/>
    <s v="October"/>
    <s v="2025"/>
  </r>
  <r>
    <x v="0"/>
    <s v="Furniture"/>
    <x v="8"/>
    <n v="34"/>
    <n v="699"/>
    <n v="23766"/>
    <d v="2025-01-07T00:00:00"/>
    <s v="January"/>
    <s v="2025"/>
  </r>
  <r>
    <x v="0"/>
    <s v="Electronics"/>
    <x v="0"/>
    <n v="31"/>
    <n v="670"/>
    <n v="20770"/>
    <d v="2024-07-03T00:00:00"/>
    <s v="July"/>
    <s v="2024"/>
  </r>
  <r>
    <x v="1"/>
    <s v="Furniture"/>
    <x v="9"/>
    <n v="3"/>
    <n v="579"/>
    <n v="1737"/>
    <d v="2025-01-18T00:00:00"/>
    <s v="January"/>
    <s v="2025"/>
  </r>
  <r>
    <x v="0"/>
    <s v="Clothing"/>
    <x v="1"/>
    <n v="12"/>
    <n v="1867"/>
    <n v="22404"/>
    <d v="2025-08-13T00:00:00"/>
    <s v="August"/>
    <s v="2025"/>
  </r>
  <r>
    <x v="0"/>
    <s v="Toys"/>
    <x v="3"/>
    <n v="8"/>
    <n v="1904"/>
    <n v="15232"/>
    <d v="2024-02-10T00:00:00"/>
    <s v="February"/>
    <s v="2024"/>
  </r>
  <r>
    <x v="1"/>
    <s v="Clothing"/>
    <x v="7"/>
    <n v="3"/>
    <n v="1094"/>
    <n v="3282"/>
    <d v="2024-06-15T00:00:00"/>
    <s v="June"/>
    <s v="2024"/>
  </r>
  <r>
    <x v="1"/>
    <s v="Electronics"/>
    <x v="1"/>
    <n v="47"/>
    <n v="1910"/>
    <n v="89770"/>
    <d v="2025-03-04T00:00:00"/>
    <s v="March"/>
    <s v="2025"/>
  </r>
  <r>
    <x v="0"/>
    <s v="Groceries"/>
    <x v="0"/>
    <n v="15"/>
    <n v="1923"/>
    <n v="28845"/>
    <d v="2024-03-28T00:00:00"/>
    <s v="March"/>
    <s v="2024"/>
  </r>
  <r>
    <x v="2"/>
    <s v="Electronics"/>
    <x v="2"/>
    <n v="33"/>
    <n v="114"/>
    <n v="3762"/>
    <d v="2025-03-29T00:00:00"/>
    <s v="March"/>
    <s v="2025"/>
  </r>
  <r>
    <x v="2"/>
    <s v="Electronics"/>
    <x v="5"/>
    <n v="45"/>
    <n v="1483"/>
    <n v="66735"/>
    <d v="2025-01-18T00:00:00"/>
    <s v="January"/>
    <s v="2025"/>
  </r>
  <r>
    <x v="0"/>
    <s v="Groceries"/>
    <x v="1"/>
    <n v="44"/>
    <n v="1684"/>
    <n v="74096"/>
    <d v="2024-02-26T00:00:00"/>
    <s v="February"/>
    <s v="2024"/>
  </r>
  <r>
    <x v="0"/>
    <s v="Toys"/>
    <x v="2"/>
    <n v="21"/>
    <n v="469"/>
    <n v="9849"/>
    <d v="2025-05-24T00:00:00"/>
    <s v="May"/>
    <s v="2025"/>
  </r>
  <r>
    <x v="1"/>
    <s v="Furniture"/>
    <x v="0"/>
    <n v="40"/>
    <n v="627"/>
    <n v="25080"/>
    <d v="2024-11-12T00:00:00"/>
    <s v="November"/>
    <s v="2024"/>
  </r>
  <r>
    <x v="1"/>
    <s v="Groceries"/>
    <x v="5"/>
    <n v="44"/>
    <n v="1061"/>
    <n v="46684"/>
    <d v="2025-05-10T00:00:00"/>
    <s v="May"/>
    <s v="2025"/>
  </r>
  <r>
    <x v="2"/>
    <s v="Clothing"/>
    <x v="2"/>
    <n v="2"/>
    <n v="665"/>
    <n v="1330"/>
    <d v="2025-02-14T00:00:00"/>
    <s v="February"/>
    <s v="2025"/>
  </r>
  <r>
    <x v="3"/>
    <s v="Electronics"/>
    <x v="2"/>
    <n v="19"/>
    <n v="1036"/>
    <n v="19684"/>
    <d v="2025-12-19T00:00:00"/>
    <s v="December"/>
    <s v="2025"/>
  </r>
  <r>
    <x v="1"/>
    <s v="Groceries"/>
    <x v="7"/>
    <n v="27"/>
    <n v="1642"/>
    <n v="44334"/>
    <d v="2025-04-22T00:00:00"/>
    <s v="April"/>
    <s v="2025"/>
  </r>
  <r>
    <x v="3"/>
    <s v="Clothing"/>
    <x v="9"/>
    <n v="30"/>
    <n v="1726"/>
    <n v="51780"/>
    <d v="2025-08-24T00:00:00"/>
    <s v="August"/>
    <s v="2025"/>
  </r>
  <r>
    <x v="3"/>
    <s v="Clothing"/>
    <x v="1"/>
    <n v="50"/>
    <n v="225"/>
    <n v="11250"/>
    <d v="2025-03-21T00:00:00"/>
    <s v="March"/>
    <s v="2025"/>
  </r>
  <r>
    <x v="2"/>
    <s v="Furniture"/>
    <x v="4"/>
    <n v="25"/>
    <n v="683"/>
    <n v="17075"/>
    <d v="2024-07-28T00:00:00"/>
    <s v="July"/>
    <s v="2024"/>
  </r>
  <r>
    <x v="1"/>
    <s v="Clothing"/>
    <x v="5"/>
    <n v="50"/>
    <n v="444"/>
    <n v="22200"/>
    <d v="2025-03-02T00:00:00"/>
    <s v="March"/>
    <s v="2025"/>
  </r>
  <r>
    <x v="4"/>
    <m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29650-BC74-408C-82D6-38F6A6D84814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4" firstHeaderRow="1" firstDataRow="1" firstDataCol="1" rowPageCount="1" colPageCount="1"/>
  <pivotFields count="9">
    <pivotField axis="axisPage" showAll="0">
      <items count="6">
        <item x="2"/>
        <item x="0"/>
        <item x="3"/>
        <item x="1"/>
        <item x="4"/>
        <item t="default"/>
      </items>
    </pivotField>
    <pivotField showAll="0"/>
    <pivotField axis="axisRow" dataField="1" showAll="0">
      <items count="12">
        <item x="6"/>
        <item x="2"/>
        <item x="9"/>
        <item x="0"/>
        <item x="5"/>
        <item x="1"/>
        <item x="4"/>
        <item x="7"/>
        <item x="3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item="1" hier="-1"/>
  </pageFields>
  <dataFields count="1">
    <dataField name="Count of Salesper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E29CD3-3A26-4606-8CCD-4C1FCA460BCF}" name="Table2" displayName="Table2" ref="H2:I32" totalsRowShown="0">
  <tableColumns count="2">
    <tableColumn id="1" xr3:uid="{041E5E29-05F5-4ECC-9B4A-49190AB82A1E}" name="Q1."/>
    <tableColumn id="2" xr3:uid="{A4CF76EB-FA1B-4DED-9E4C-DD1A6FD7C791}" name="No. of units sold by regions 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5E260-38DA-477F-A6C9-0C543DD4A717}" name="Table1" displayName="Table1" ref="K1:L31" totalsRowShown="0">
  <tableColumns count="2">
    <tableColumn id="1" xr3:uid="{719227F7-4B48-4A5B-93AD-18587E16A8A0}" name="Column1"/>
    <tableColumn id="2" xr3:uid="{4DEC3413-FCB7-469B-B850-F421940437BF}" name="SUMIFS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821CA3-279E-498C-82A9-6D839788BD42}" name="Table3" displayName="Table3" ref="K33:L64" totalsRowShown="0">
  <tableColumns count="2">
    <tableColumn id="1" xr3:uid="{898C710A-D2F2-43C7-979A-C3A64B39BC85}" name="Column1"/>
    <tableColumn id="2" xr3:uid="{453C4FC8-BC05-4BD7-ADB2-F122A37DB52E}" name="COUNTIF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1"/>
  <sheetViews>
    <sheetView workbookViewId="0">
      <selection activeCell="D1" sqref="D1"/>
    </sheetView>
  </sheetViews>
  <sheetFormatPr defaultRowHeight="14.6" x14ac:dyDescent="0.4"/>
  <cols>
    <col min="2" max="2" width="9.84375" bestFit="1" customWidth="1"/>
    <col min="3" max="3" width="11" bestFit="1" customWidth="1"/>
  </cols>
  <sheetData>
    <row r="1" spans="1:6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x14ac:dyDescent="0.4">
      <c r="A2" s="5" t="s">
        <v>19</v>
      </c>
      <c r="B2" s="5" t="s">
        <v>10</v>
      </c>
      <c r="C2" s="5" t="s">
        <v>11</v>
      </c>
      <c r="D2" s="5">
        <v>1</v>
      </c>
      <c r="E2" s="5">
        <v>152</v>
      </c>
      <c r="F2" s="5">
        <v>152</v>
      </c>
    </row>
    <row r="3" spans="1:6" x14ac:dyDescent="0.4">
      <c r="A3" s="5" t="s">
        <v>17</v>
      </c>
      <c r="B3" s="5" t="s">
        <v>10</v>
      </c>
      <c r="C3" s="5" t="s">
        <v>18</v>
      </c>
      <c r="D3" s="5">
        <v>2</v>
      </c>
      <c r="E3" s="5">
        <v>164</v>
      </c>
      <c r="F3" s="5">
        <v>328</v>
      </c>
    </row>
    <row r="4" spans="1:6" x14ac:dyDescent="0.4">
      <c r="A4" s="5" t="s">
        <v>9</v>
      </c>
      <c r="B4" s="5" t="s">
        <v>21</v>
      </c>
      <c r="C4" s="5" t="s">
        <v>24</v>
      </c>
      <c r="D4" s="5">
        <v>2</v>
      </c>
      <c r="E4" s="5">
        <v>222</v>
      </c>
      <c r="F4" s="5">
        <v>444</v>
      </c>
    </row>
    <row r="5" spans="1:6" x14ac:dyDescent="0.4">
      <c r="A5" s="5" t="s">
        <v>17</v>
      </c>
      <c r="B5" s="5" t="s">
        <v>15</v>
      </c>
      <c r="C5" s="5" t="s">
        <v>14</v>
      </c>
      <c r="D5" s="5">
        <v>2</v>
      </c>
      <c r="E5" s="5">
        <v>243</v>
      </c>
      <c r="F5" s="5">
        <v>486</v>
      </c>
    </row>
    <row r="6" spans="1:6" x14ac:dyDescent="0.4">
      <c r="A6" s="5" t="s">
        <v>17</v>
      </c>
      <c r="B6" s="5" t="s">
        <v>10</v>
      </c>
      <c r="C6" s="5" t="s">
        <v>16</v>
      </c>
      <c r="D6" s="5">
        <v>5</v>
      </c>
      <c r="E6" s="5">
        <v>109</v>
      </c>
      <c r="F6" s="5">
        <v>545</v>
      </c>
    </row>
    <row r="7" spans="1:6" x14ac:dyDescent="0.4">
      <c r="A7" s="5" t="s">
        <v>19</v>
      </c>
      <c r="B7" s="5" t="s">
        <v>12</v>
      </c>
      <c r="C7" s="5" t="s">
        <v>8</v>
      </c>
      <c r="D7" s="5">
        <v>2</v>
      </c>
      <c r="E7" s="5">
        <v>281</v>
      </c>
      <c r="F7" s="5">
        <v>562</v>
      </c>
    </row>
    <row r="8" spans="1:6" x14ac:dyDescent="0.4">
      <c r="A8" s="5" t="s">
        <v>17</v>
      </c>
      <c r="B8" s="5" t="s">
        <v>15</v>
      </c>
      <c r="C8" s="5" t="s">
        <v>16</v>
      </c>
      <c r="D8" s="5">
        <v>1</v>
      </c>
      <c r="E8" s="5">
        <v>583</v>
      </c>
      <c r="F8" s="5">
        <v>583</v>
      </c>
    </row>
    <row r="9" spans="1:6" x14ac:dyDescent="0.4">
      <c r="A9" s="5" t="s">
        <v>6</v>
      </c>
      <c r="B9" s="5" t="s">
        <v>15</v>
      </c>
      <c r="C9" s="5" t="s">
        <v>16</v>
      </c>
      <c r="D9" s="5">
        <v>5</v>
      </c>
      <c r="E9" s="5">
        <v>130</v>
      </c>
      <c r="F9" s="5">
        <v>650</v>
      </c>
    </row>
    <row r="10" spans="1:6" x14ac:dyDescent="0.4">
      <c r="A10" s="5" t="s">
        <v>17</v>
      </c>
      <c r="B10" s="5" t="s">
        <v>7</v>
      </c>
      <c r="C10" s="5" t="s">
        <v>13</v>
      </c>
      <c r="D10" s="5">
        <v>1</v>
      </c>
      <c r="E10" s="5">
        <v>683</v>
      </c>
      <c r="F10" s="5">
        <v>683</v>
      </c>
    </row>
    <row r="11" spans="1:6" x14ac:dyDescent="0.4">
      <c r="A11" s="5" t="s">
        <v>19</v>
      </c>
      <c r="B11" s="5" t="s">
        <v>7</v>
      </c>
      <c r="C11" s="5" t="s">
        <v>20</v>
      </c>
      <c r="D11" s="5">
        <v>4</v>
      </c>
      <c r="E11" s="5">
        <v>177</v>
      </c>
      <c r="F11" s="5">
        <v>708</v>
      </c>
    </row>
    <row r="12" spans="1:6" x14ac:dyDescent="0.4">
      <c r="A12" s="5" t="s">
        <v>9</v>
      </c>
      <c r="B12" s="5" t="s">
        <v>10</v>
      </c>
      <c r="C12" s="5" t="s">
        <v>20</v>
      </c>
      <c r="D12" s="5">
        <v>5</v>
      </c>
      <c r="E12" s="5">
        <v>142</v>
      </c>
      <c r="F12" s="5">
        <v>710</v>
      </c>
    </row>
    <row r="13" spans="1:6" x14ac:dyDescent="0.4">
      <c r="A13" s="5" t="s">
        <v>6</v>
      </c>
      <c r="B13" s="5" t="s">
        <v>12</v>
      </c>
      <c r="C13" s="5" t="s">
        <v>16</v>
      </c>
      <c r="D13" s="5">
        <v>4</v>
      </c>
      <c r="E13" s="5">
        <v>193</v>
      </c>
      <c r="F13" s="5">
        <v>772</v>
      </c>
    </row>
    <row r="14" spans="1:6" x14ac:dyDescent="0.4">
      <c r="A14" s="5" t="s">
        <v>6</v>
      </c>
      <c r="B14" s="5" t="s">
        <v>21</v>
      </c>
      <c r="C14" s="5" t="s">
        <v>22</v>
      </c>
      <c r="D14" s="5">
        <v>6</v>
      </c>
      <c r="E14" s="5">
        <v>139</v>
      </c>
      <c r="F14" s="5">
        <v>834</v>
      </c>
    </row>
    <row r="15" spans="1:6" x14ac:dyDescent="0.4">
      <c r="A15" s="5" t="s">
        <v>17</v>
      </c>
      <c r="B15" s="5" t="s">
        <v>21</v>
      </c>
      <c r="C15" s="5" t="s">
        <v>24</v>
      </c>
      <c r="D15" s="5">
        <v>1</v>
      </c>
      <c r="E15" s="5">
        <v>876</v>
      </c>
      <c r="F15" s="5">
        <v>876</v>
      </c>
    </row>
    <row r="16" spans="1:6" x14ac:dyDescent="0.4">
      <c r="A16" s="5" t="s">
        <v>9</v>
      </c>
      <c r="B16" s="5" t="s">
        <v>7</v>
      </c>
      <c r="C16" s="5" t="s">
        <v>18</v>
      </c>
      <c r="D16" s="5">
        <v>1</v>
      </c>
      <c r="E16" s="5">
        <v>917</v>
      </c>
      <c r="F16" s="5">
        <v>917</v>
      </c>
    </row>
    <row r="17" spans="1:17" s="8" customFormat="1" ht="13.2" customHeight="1" x14ac:dyDescent="0.4">
      <c r="A17" s="7" t="s">
        <v>19</v>
      </c>
      <c r="B17" s="7" t="s">
        <v>15</v>
      </c>
      <c r="C17" s="7" t="s">
        <v>16</v>
      </c>
      <c r="D17" s="7">
        <v>4</v>
      </c>
      <c r="E17" s="7">
        <v>259</v>
      </c>
      <c r="F17" s="7">
        <v>1036</v>
      </c>
      <c r="O17" s="9"/>
      <c r="Q17" s="10"/>
    </row>
    <row r="18" spans="1:17" x14ac:dyDescent="0.4">
      <c r="A18" s="5" t="s">
        <v>19</v>
      </c>
      <c r="B18" s="5" t="s">
        <v>21</v>
      </c>
      <c r="C18" s="5" t="s">
        <v>11</v>
      </c>
      <c r="D18" s="5">
        <v>7</v>
      </c>
      <c r="E18" s="5">
        <v>151</v>
      </c>
      <c r="F18" s="5">
        <v>1057</v>
      </c>
    </row>
    <row r="19" spans="1:17" x14ac:dyDescent="0.4">
      <c r="A19" s="5" t="s">
        <v>9</v>
      </c>
      <c r="B19" s="5" t="s">
        <v>10</v>
      </c>
      <c r="C19" s="5" t="s">
        <v>18</v>
      </c>
      <c r="D19" s="5">
        <v>3</v>
      </c>
      <c r="E19" s="5">
        <v>353</v>
      </c>
      <c r="F19" s="5">
        <v>1059</v>
      </c>
    </row>
    <row r="20" spans="1:17" x14ac:dyDescent="0.4">
      <c r="A20" s="5" t="s">
        <v>6</v>
      </c>
      <c r="B20" s="5" t="s">
        <v>21</v>
      </c>
      <c r="C20" s="5" t="s">
        <v>8</v>
      </c>
      <c r="D20" s="5">
        <v>1</v>
      </c>
      <c r="E20" s="5">
        <v>1099</v>
      </c>
      <c r="F20" s="5">
        <v>1099</v>
      </c>
    </row>
    <row r="21" spans="1:17" x14ac:dyDescent="0.4">
      <c r="A21" s="5" t="s">
        <v>9</v>
      </c>
      <c r="B21" s="5" t="s">
        <v>10</v>
      </c>
      <c r="C21" s="5" t="s">
        <v>8</v>
      </c>
      <c r="D21" s="5">
        <v>7</v>
      </c>
      <c r="E21" s="5">
        <v>163</v>
      </c>
      <c r="F21" s="5">
        <v>1141</v>
      </c>
    </row>
    <row r="22" spans="1:17" x14ac:dyDescent="0.4">
      <c r="A22" s="5" t="s">
        <v>6</v>
      </c>
      <c r="B22" s="5" t="s">
        <v>10</v>
      </c>
      <c r="C22" s="5" t="s">
        <v>18</v>
      </c>
      <c r="D22" s="5">
        <v>1</v>
      </c>
      <c r="E22" s="5">
        <v>1191</v>
      </c>
      <c r="F22" s="5">
        <v>1191</v>
      </c>
    </row>
    <row r="23" spans="1:17" x14ac:dyDescent="0.4">
      <c r="A23" s="5" t="s">
        <v>6</v>
      </c>
      <c r="B23" s="5" t="s">
        <v>12</v>
      </c>
      <c r="C23" s="5" t="s">
        <v>22</v>
      </c>
      <c r="D23" s="5">
        <v>4</v>
      </c>
      <c r="E23" s="5">
        <v>306</v>
      </c>
      <c r="F23" s="5">
        <v>1224</v>
      </c>
    </row>
    <row r="24" spans="1:17" x14ac:dyDescent="0.4">
      <c r="A24" s="5" t="s">
        <v>17</v>
      </c>
      <c r="B24" s="5" t="s">
        <v>21</v>
      </c>
      <c r="C24" s="5" t="s">
        <v>13</v>
      </c>
      <c r="D24" s="5">
        <v>2</v>
      </c>
      <c r="E24" s="5">
        <v>665</v>
      </c>
      <c r="F24" s="5">
        <v>1330</v>
      </c>
    </row>
    <row r="25" spans="1:17" x14ac:dyDescent="0.4">
      <c r="A25" s="5" t="s">
        <v>17</v>
      </c>
      <c r="B25" s="5" t="s">
        <v>15</v>
      </c>
      <c r="C25" s="5" t="s">
        <v>16</v>
      </c>
      <c r="D25" s="5">
        <v>5</v>
      </c>
      <c r="E25" s="5">
        <v>268</v>
      </c>
      <c r="F25" s="5">
        <v>1340</v>
      </c>
    </row>
    <row r="26" spans="1:17" x14ac:dyDescent="0.4">
      <c r="A26" s="5" t="s">
        <v>9</v>
      </c>
      <c r="B26" s="5" t="s">
        <v>12</v>
      </c>
      <c r="C26" s="5" t="s">
        <v>22</v>
      </c>
      <c r="D26" s="5">
        <v>1</v>
      </c>
      <c r="E26" s="5">
        <v>1365</v>
      </c>
      <c r="F26" s="5">
        <v>1365</v>
      </c>
    </row>
    <row r="27" spans="1:17" x14ac:dyDescent="0.4">
      <c r="A27" s="5" t="s">
        <v>6</v>
      </c>
      <c r="B27" s="5" t="s">
        <v>12</v>
      </c>
      <c r="C27" s="5" t="s">
        <v>22</v>
      </c>
      <c r="D27" s="5">
        <v>10</v>
      </c>
      <c r="E27" s="5">
        <v>137</v>
      </c>
      <c r="F27" s="5">
        <v>1370</v>
      </c>
    </row>
    <row r="28" spans="1:17" x14ac:dyDescent="0.4">
      <c r="A28" s="5" t="s">
        <v>6</v>
      </c>
      <c r="B28" s="5" t="s">
        <v>12</v>
      </c>
      <c r="C28" s="5" t="s">
        <v>18</v>
      </c>
      <c r="D28" s="5">
        <v>4</v>
      </c>
      <c r="E28" s="5">
        <v>344</v>
      </c>
      <c r="F28" s="5">
        <v>1376</v>
      </c>
    </row>
    <row r="29" spans="1:17" x14ac:dyDescent="0.4">
      <c r="A29" s="5" t="s">
        <v>17</v>
      </c>
      <c r="B29" s="5" t="s">
        <v>15</v>
      </c>
      <c r="C29" s="5" t="s">
        <v>22</v>
      </c>
      <c r="D29" s="5">
        <v>1</v>
      </c>
      <c r="E29" s="5">
        <v>1430</v>
      </c>
      <c r="F29" s="5">
        <v>1430</v>
      </c>
    </row>
    <row r="30" spans="1:17" x14ac:dyDescent="0.4">
      <c r="A30" s="5" t="s">
        <v>17</v>
      </c>
      <c r="B30" s="5" t="s">
        <v>10</v>
      </c>
      <c r="C30" s="5" t="s">
        <v>24</v>
      </c>
      <c r="D30" s="5">
        <v>4</v>
      </c>
      <c r="E30" s="5">
        <v>359</v>
      </c>
      <c r="F30" s="5">
        <v>1436</v>
      </c>
    </row>
    <row r="31" spans="1:17" x14ac:dyDescent="0.4">
      <c r="A31" s="5" t="s">
        <v>9</v>
      </c>
      <c r="B31" s="5" t="s">
        <v>10</v>
      </c>
      <c r="C31" s="5" t="s">
        <v>20</v>
      </c>
      <c r="D31" s="5">
        <v>1</v>
      </c>
      <c r="E31" s="5">
        <v>1441</v>
      </c>
      <c r="F31" s="5">
        <v>1441</v>
      </c>
    </row>
    <row r="32" spans="1:17" x14ac:dyDescent="0.4">
      <c r="A32" s="5" t="s">
        <v>17</v>
      </c>
      <c r="B32" s="5" t="s">
        <v>12</v>
      </c>
      <c r="C32" s="5" t="s">
        <v>24</v>
      </c>
      <c r="D32" s="5">
        <v>1</v>
      </c>
      <c r="E32" s="5">
        <v>1462</v>
      </c>
      <c r="F32" s="5">
        <v>1462</v>
      </c>
    </row>
    <row r="33" spans="1:6" x14ac:dyDescent="0.4">
      <c r="A33" s="5" t="s">
        <v>17</v>
      </c>
      <c r="B33" s="5" t="s">
        <v>15</v>
      </c>
      <c r="C33" s="5" t="s">
        <v>18</v>
      </c>
      <c r="D33" s="5">
        <v>5</v>
      </c>
      <c r="E33" s="5">
        <v>307</v>
      </c>
      <c r="F33" s="5">
        <v>1535</v>
      </c>
    </row>
    <row r="34" spans="1:6" x14ac:dyDescent="0.4">
      <c r="A34" s="5" t="s">
        <v>6</v>
      </c>
      <c r="B34" s="5" t="s">
        <v>15</v>
      </c>
      <c r="C34" s="5" t="s">
        <v>24</v>
      </c>
      <c r="D34" s="5">
        <v>5</v>
      </c>
      <c r="E34" s="5">
        <v>318</v>
      </c>
      <c r="F34" s="5">
        <v>1590</v>
      </c>
    </row>
    <row r="35" spans="1:6" x14ac:dyDescent="0.4">
      <c r="A35" s="5" t="s">
        <v>17</v>
      </c>
      <c r="B35" s="5" t="s">
        <v>7</v>
      </c>
      <c r="C35" s="5" t="s">
        <v>24</v>
      </c>
      <c r="D35" s="5">
        <v>11</v>
      </c>
      <c r="E35" s="5">
        <v>145</v>
      </c>
      <c r="F35" s="5">
        <v>1595</v>
      </c>
    </row>
    <row r="36" spans="1:6" x14ac:dyDescent="0.4">
      <c r="A36" s="5" t="s">
        <v>6</v>
      </c>
      <c r="B36" s="5" t="s">
        <v>7</v>
      </c>
      <c r="C36" s="5" t="s">
        <v>16</v>
      </c>
      <c r="D36" s="5">
        <v>14</v>
      </c>
      <c r="E36" s="5">
        <v>114</v>
      </c>
      <c r="F36" s="5">
        <v>1596</v>
      </c>
    </row>
    <row r="37" spans="1:6" x14ac:dyDescent="0.4">
      <c r="A37" s="5" t="s">
        <v>9</v>
      </c>
      <c r="B37" s="5" t="s">
        <v>21</v>
      </c>
      <c r="C37" s="5" t="s">
        <v>11</v>
      </c>
      <c r="D37" s="5">
        <v>3</v>
      </c>
      <c r="E37" s="5">
        <v>559</v>
      </c>
      <c r="F37" s="5">
        <v>1677</v>
      </c>
    </row>
    <row r="38" spans="1:6" x14ac:dyDescent="0.4">
      <c r="A38" s="5" t="s">
        <v>17</v>
      </c>
      <c r="B38" s="5" t="s">
        <v>7</v>
      </c>
      <c r="C38" s="5" t="s">
        <v>16</v>
      </c>
      <c r="D38" s="5">
        <v>7</v>
      </c>
      <c r="E38" s="5">
        <v>242</v>
      </c>
      <c r="F38" s="5">
        <v>1694</v>
      </c>
    </row>
    <row r="39" spans="1:6" x14ac:dyDescent="0.4">
      <c r="A39" s="5" t="s">
        <v>17</v>
      </c>
      <c r="B39" s="5" t="s">
        <v>21</v>
      </c>
      <c r="C39" s="5" t="s">
        <v>20</v>
      </c>
      <c r="D39" s="5">
        <v>1</v>
      </c>
      <c r="E39" s="5">
        <v>1696</v>
      </c>
      <c r="F39" s="5">
        <v>1696</v>
      </c>
    </row>
    <row r="40" spans="1:6" x14ac:dyDescent="0.4">
      <c r="A40" s="5" t="s">
        <v>9</v>
      </c>
      <c r="B40" s="5" t="s">
        <v>12</v>
      </c>
      <c r="C40" s="5" t="s">
        <v>24</v>
      </c>
      <c r="D40" s="5">
        <v>3</v>
      </c>
      <c r="E40" s="5">
        <v>579</v>
      </c>
      <c r="F40" s="5">
        <v>1737</v>
      </c>
    </row>
    <row r="41" spans="1:6" x14ac:dyDescent="0.4">
      <c r="A41" s="5" t="s">
        <v>9</v>
      </c>
      <c r="B41" s="5" t="s">
        <v>15</v>
      </c>
      <c r="C41" s="5" t="s">
        <v>18</v>
      </c>
      <c r="D41" s="5">
        <v>1</v>
      </c>
      <c r="E41" s="5">
        <v>1794</v>
      </c>
      <c r="F41" s="5">
        <v>1794</v>
      </c>
    </row>
    <row r="42" spans="1:6" x14ac:dyDescent="0.4">
      <c r="A42" s="5" t="s">
        <v>19</v>
      </c>
      <c r="B42" s="5" t="s">
        <v>15</v>
      </c>
      <c r="C42" s="5" t="s">
        <v>23</v>
      </c>
      <c r="D42" s="5">
        <v>4</v>
      </c>
      <c r="E42" s="5">
        <v>452</v>
      </c>
      <c r="F42" s="5">
        <v>1808</v>
      </c>
    </row>
    <row r="43" spans="1:6" x14ac:dyDescent="0.4">
      <c r="A43" s="5" t="s">
        <v>9</v>
      </c>
      <c r="B43" s="5" t="s">
        <v>15</v>
      </c>
      <c r="C43" s="5" t="s">
        <v>23</v>
      </c>
      <c r="D43" s="5">
        <v>1</v>
      </c>
      <c r="E43" s="5">
        <v>1822</v>
      </c>
      <c r="F43" s="5">
        <v>1822</v>
      </c>
    </row>
    <row r="44" spans="1:6" x14ac:dyDescent="0.4">
      <c r="A44" s="5" t="s">
        <v>6</v>
      </c>
      <c r="B44" s="5" t="s">
        <v>21</v>
      </c>
      <c r="C44" s="5" t="s">
        <v>20</v>
      </c>
      <c r="D44" s="5">
        <v>2</v>
      </c>
      <c r="E44" s="5">
        <v>928</v>
      </c>
      <c r="F44" s="5">
        <v>1856</v>
      </c>
    </row>
    <row r="45" spans="1:6" x14ac:dyDescent="0.4">
      <c r="A45" s="5" t="s">
        <v>9</v>
      </c>
      <c r="B45" s="5" t="s">
        <v>12</v>
      </c>
      <c r="C45" s="5" t="s">
        <v>24</v>
      </c>
      <c r="D45" s="5">
        <v>1</v>
      </c>
      <c r="E45" s="5">
        <v>1875</v>
      </c>
      <c r="F45" s="5">
        <v>1875</v>
      </c>
    </row>
    <row r="46" spans="1:6" x14ac:dyDescent="0.4">
      <c r="A46" s="5" t="s">
        <v>9</v>
      </c>
      <c r="B46" s="5" t="s">
        <v>15</v>
      </c>
      <c r="C46" s="5" t="s">
        <v>13</v>
      </c>
      <c r="D46" s="5">
        <v>4</v>
      </c>
      <c r="E46" s="5">
        <v>515</v>
      </c>
      <c r="F46" s="5">
        <v>2060</v>
      </c>
    </row>
    <row r="47" spans="1:6" x14ac:dyDescent="0.4">
      <c r="A47" s="5" t="s">
        <v>6</v>
      </c>
      <c r="B47" s="5" t="s">
        <v>21</v>
      </c>
      <c r="C47" s="5" t="s">
        <v>18</v>
      </c>
      <c r="D47" s="5">
        <v>7</v>
      </c>
      <c r="E47" s="5">
        <v>295</v>
      </c>
      <c r="F47" s="5">
        <v>2065</v>
      </c>
    </row>
    <row r="48" spans="1:6" x14ac:dyDescent="0.4">
      <c r="A48" s="5" t="s">
        <v>19</v>
      </c>
      <c r="B48" s="5" t="s">
        <v>15</v>
      </c>
      <c r="C48" s="5" t="s">
        <v>13</v>
      </c>
      <c r="D48" s="5">
        <v>11</v>
      </c>
      <c r="E48" s="5">
        <v>193</v>
      </c>
      <c r="F48" s="5">
        <v>2123</v>
      </c>
    </row>
    <row r="49" spans="1:6" x14ac:dyDescent="0.4">
      <c r="A49" s="5" t="s">
        <v>17</v>
      </c>
      <c r="B49" s="5" t="s">
        <v>21</v>
      </c>
      <c r="C49" s="5" t="s">
        <v>14</v>
      </c>
      <c r="D49" s="5">
        <v>2</v>
      </c>
      <c r="E49" s="5">
        <v>1069</v>
      </c>
      <c r="F49" s="5">
        <v>2138</v>
      </c>
    </row>
    <row r="50" spans="1:6" x14ac:dyDescent="0.4">
      <c r="A50" s="5" t="s">
        <v>6</v>
      </c>
      <c r="B50" s="5" t="s">
        <v>21</v>
      </c>
      <c r="C50" s="5" t="s">
        <v>18</v>
      </c>
      <c r="D50" s="5">
        <v>14</v>
      </c>
      <c r="E50" s="5">
        <v>158</v>
      </c>
      <c r="F50" s="5">
        <v>2212</v>
      </c>
    </row>
    <row r="51" spans="1:6" x14ac:dyDescent="0.4">
      <c r="A51" s="5" t="s">
        <v>17</v>
      </c>
      <c r="B51" s="5" t="s">
        <v>7</v>
      </c>
      <c r="C51" s="5" t="s">
        <v>20</v>
      </c>
      <c r="D51" s="5">
        <v>4</v>
      </c>
      <c r="E51" s="5">
        <v>561</v>
      </c>
      <c r="F51" s="5">
        <v>2244</v>
      </c>
    </row>
    <row r="52" spans="1:6" x14ac:dyDescent="0.4">
      <c r="A52" s="5" t="s">
        <v>19</v>
      </c>
      <c r="B52" s="5" t="s">
        <v>12</v>
      </c>
      <c r="C52" s="5" t="s">
        <v>14</v>
      </c>
      <c r="D52" s="5">
        <v>3</v>
      </c>
      <c r="E52" s="5">
        <v>766</v>
      </c>
      <c r="F52" s="5">
        <v>2298</v>
      </c>
    </row>
    <row r="53" spans="1:6" x14ac:dyDescent="0.4">
      <c r="A53" s="5" t="s">
        <v>6</v>
      </c>
      <c r="B53" s="5" t="s">
        <v>12</v>
      </c>
      <c r="C53" s="5" t="s">
        <v>11</v>
      </c>
      <c r="D53" s="5">
        <v>11</v>
      </c>
      <c r="E53" s="5">
        <v>209</v>
      </c>
      <c r="F53" s="5">
        <v>2299</v>
      </c>
    </row>
    <row r="54" spans="1:6" x14ac:dyDescent="0.4">
      <c r="A54" s="5" t="s">
        <v>6</v>
      </c>
      <c r="B54" s="5" t="s">
        <v>10</v>
      </c>
      <c r="C54" s="5" t="s">
        <v>20</v>
      </c>
      <c r="D54" s="5">
        <v>15</v>
      </c>
      <c r="E54" s="5">
        <v>156</v>
      </c>
      <c r="F54" s="5">
        <v>2340</v>
      </c>
    </row>
    <row r="55" spans="1:6" x14ac:dyDescent="0.4">
      <c r="A55" s="5" t="s">
        <v>9</v>
      </c>
      <c r="B55" s="5" t="s">
        <v>21</v>
      </c>
      <c r="C55" s="5" t="s">
        <v>13</v>
      </c>
      <c r="D55" s="5">
        <v>3</v>
      </c>
      <c r="E55" s="5">
        <v>801</v>
      </c>
      <c r="F55" s="5">
        <v>2403</v>
      </c>
    </row>
    <row r="56" spans="1:6" x14ac:dyDescent="0.4">
      <c r="A56" s="5" t="s">
        <v>17</v>
      </c>
      <c r="B56" s="5" t="s">
        <v>7</v>
      </c>
      <c r="C56" s="5" t="s">
        <v>13</v>
      </c>
      <c r="D56" s="5">
        <v>2</v>
      </c>
      <c r="E56" s="5">
        <v>1225</v>
      </c>
      <c r="F56" s="5">
        <v>2450</v>
      </c>
    </row>
    <row r="57" spans="1:6" x14ac:dyDescent="0.4">
      <c r="A57" s="5" t="s">
        <v>6</v>
      </c>
      <c r="B57" s="5" t="s">
        <v>15</v>
      </c>
      <c r="C57" s="5" t="s">
        <v>23</v>
      </c>
      <c r="D57" s="5">
        <v>3</v>
      </c>
      <c r="E57" s="5">
        <v>817</v>
      </c>
      <c r="F57" s="5">
        <v>2451</v>
      </c>
    </row>
    <row r="58" spans="1:6" x14ac:dyDescent="0.4">
      <c r="A58" s="5" t="s">
        <v>17</v>
      </c>
      <c r="B58" s="5" t="s">
        <v>12</v>
      </c>
      <c r="C58" s="5" t="s">
        <v>22</v>
      </c>
      <c r="D58" s="5">
        <v>21</v>
      </c>
      <c r="E58" s="5">
        <v>117</v>
      </c>
      <c r="F58" s="5">
        <v>2457</v>
      </c>
    </row>
    <row r="59" spans="1:6" x14ac:dyDescent="0.4">
      <c r="A59" s="5" t="s">
        <v>6</v>
      </c>
      <c r="B59" s="5" t="s">
        <v>12</v>
      </c>
      <c r="C59" s="5" t="s">
        <v>23</v>
      </c>
      <c r="D59" s="5">
        <v>3</v>
      </c>
      <c r="E59" s="5">
        <v>827</v>
      </c>
      <c r="F59" s="5">
        <v>2481</v>
      </c>
    </row>
    <row r="60" spans="1:6" x14ac:dyDescent="0.4">
      <c r="A60" s="5" t="s">
        <v>6</v>
      </c>
      <c r="B60" s="5" t="s">
        <v>12</v>
      </c>
      <c r="C60" s="5" t="s">
        <v>20</v>
      </c>
      <c r="D60" s="5">
        <v>24</v>
      </c>
      <c r="E60" s="5">
        <v>104</v>
      </c>
      <c r="F60" s="5">
        <v>2496</v>
      </c>
    </row>
    <row r="61" spans="1:6" x14ac:dyDescent="0.4">
      <c r="A61" s="5" t="s">
        <v>17</v>
      </c>
      <c r="B61" s="5" t="s">
        <v>15</v>
      </c>
      <c r="C61" s="5" t="s">
        <v>20</v>
      </c>
      <c r="D61" s="5">
        <v>19</v>
      </c>
      <c r="E61" s="5">
        <v>136</v>
      </c>
      <c r="F61" s="5">
        <v>2584</v>
      </c>
    </row>
    <row r="62" spans="1:6" x14ac:dyDescent="0.4">
      <c r="A62" s="5" t="s">
        <v>17</v>
      </c>
      <c r="B62" s="5" t="s">
        <v>15</v>
      </c>
      <c r="C62" s="5" t="s">
        <v>22</v>
      </c>
      <c r="D62" s="5">
        <v>22</v>
      </c>
      <c r="E62" s="5">
        <v>118</v>
      </c>
      <c r="F62" s="5">
        <v>2596</v>
      </c>
    </row>
    <row r="63" spans="1:6" x14ac:dyDescent="0.4">
      <c r="A63" s="5" t="s">
        <v>9</v>
      </c>
      <c r="B63" s="5" t="s">
        <v>7</v>
      </c>
      <c r="C63" s="5" t="s">
        <v>14</v>
      </c>
      <c r="D63" s="5">
        <v>26</v>
      </c>
      <c r="E63" s="5">
        <v>101</v>
      </c>
      <c r="F63" s="5">
        <v>2626</v>
      </c>
    </row>
    <row r="64" spans="1:6" x14ac:dyDescent="0.4">
      <c r="A64" s="5" t="s">
        <v>6</v>
      </c>
      <c r="B64" s="5" t="s">
        <v>12</v>
      </c>
      <c r="C64" s="5" t="s">
        <v>14</v>
      </c>
      <c r="D64" s="5">
        <v>5</v>
      </c>
      <c r="E64" s="5">
        <v>539</v>
      </c>
      <c r="F64" s="5">
        <v>2695</v>
      </c>
    </row>
    <row r="65" spans="1:6" x14ac:dyDescent="0.4">
      <c r="A65" s="5" t="s">
        <v>19</v>
      </c>
      <c r="B65" s="5" t="s">
        <v>21</v>
      </c>
      <c r="C65" s="5" t="s">
        <v>11</v>
      </c>
      <c r="D65" s="5">
        <v>17</v>
      </c>
      <c r="E65" s="5">
        <v>165</v>
      </c>
      <c r="F65" s="5">
        <v>2805</v>
      </c>
    </row>
    <row r="66" spans="1:6" x14ac:dyDescent="0.4">
      <c r="A66" s="5" t="s">
        <v>17</v>
      </c>
      <c r="B66" s="5" t="s">
        <v>21</v>
      </c>
      <c r="C66" s="5" t="s">
        <v>18</v>
      </c>
      <c r="D66" s="5">
        <v>14</v>
      </c>
      <c r="E66" s="5">
        <v>201</v>
      </c>
      <c r="F66" s="5">
        <v>2814</v>
      </c>
    </row>
    <row r="67" spans="1:6" x14ac:dyDescent="0.4">
      <c r="A67" s="5" t="s">
        <v>9</v>
      </c>
      <c r="B67" s="5" t="s">
        <v>21</v>
      </c>
      <c r="C67" s="5" t="s">
        <v>16</v>
      </c>
      <c r="D67" s="5">
        <v>7</v>
      </c>
      <c r="E67" s="5">
        <v>415</v>
      </c>
      <c r="F67" s="5">
        <v>2905</v>
      </c>
    </row>
    <row r="68" spans="1:6" x14ac:dyDescent="0.4">
      <c r="A68" s="5" t="s">
        <v>6</v>
      </c>
      <c r="B68" s="5" t="s">
        <v>12</v>
      </c>
      <c r="C68" s="5" t="s">
        <v>20</v>
      </c>
      <c r="D68" s="5">
        <v>14</v>
      </c>
      <c r="E68" s="5">
        <v>209</v>
      </c>
      <c r="F68" s="5">
        <v>2926</v>
      </c>
    </row>
    <row r="69" spans="1:6" x14ac:dyDescent="0.4">
      <c r="A69" s="5" t="s">
        <v>17</v>
      </c>
      <c r="B69" s="5" t="s">
        <v>7</v>
      </c>
      <c r="C69" s="5" t="s">
        <v>16</v>
      </c>
      <c r="D69" s="5">
        <v>2</v>
      </c>
      <c r="E69" s="5">
        <v>1489</v>
      </c>
      <c r="F69" s="5">
        <v>2978</v>
      </c>
    </row>
    <row r="70" spans="1:6" x14ac:dyDescent="0.4">
      <c r="A70" s="5" t="s">
        <v>19</v>
      </c>
      <c r="B70" s="5" t="s">
        <v>10</v>
      </c>
      <c r="C70" s="5" t="s">
        <v>11</v>
      </c>
      <c r="D70" s="5">
        <v>15</v>
      </c>
      <c r="E70" s="5">
        <v>203</v>
      </c>
      <c r="F70" s="5">
        <v>3045</v>
      </c>
    </row>
    <row r="71" spans="1:6" x14ac:dyDescent="0.4">
      <c r="A71" s="5" t="s">
        <v>6</v>
      </c>
      <c r="B71" s="5" t="s">
        <v>15</v>
      </c>
      <c r="C71" s="5" t="s">
        <v>22</v>
      </c>
      <c r="D71" s="5">
        <v>27</v>
      </c>
      <c r="E71" s="5">
        <v>116</v>
      </c>
      <c r="F71" s="5">
        <v>3132</v>
      </c>
    </row>
    <row r="72" spans="1:6" x14ac:dyDescent="0.4">
      <c r="A72" s="5" t="s">
        <v>19</v>
      </c>
      <c r="B72" s="5" t="s">
        <v>10</v>
      </c>
      <c r="C72" s="5" t="s">
        <v>23</v>
      </c>
      <c r="D72" s="5">
        <v>3</v>
      </c>
      <c r="E72" s="5">
        <v>1053</v>
      </c>
      <c r="F72" s="5">
        <v>3159</v>
      </c>
    </row>
    <row r="73" spans="1:6" x14ac:dyDescent="0.4">
      <c r="A73" s="5" t="s">
        <v>6</v>
      </c>
      <c r="B73" s="5" t="s">
        <v>12</v>
      </c>
      <c r="C73" s="5" t="s">
        <v>11</v>
      </c>
      <c r="D73" s="5">
        <v>9</v>
      </c>
      <c r="E73" s="5">
        <v>356</v>
      </c>
      <c r="F73" s="5">
        <v>3204</v>
      </c>
    </row>
    <row r="74" spans="1:6" x14ac:dyDescent="0.4">
      <c r="A74" s="5" t="s">
        <v>9</v>
      </c>
      <c r="B74" s="5" t="s">
        <v>21</v>
      </c>
      <c r="C74" s="5" t="s">
        <v>22</v>
      </c>
      <c r="D74" s="5">
        <v>3</v>
      </c>
      <c r="E74" s="5">
        <v>1094</v>
      </c>
      <c r="F74" s="5">
        <v>3282</v>
      </c>
    </row>
    <row r="75" spans="1:6" x14ac:dyDescent="0.4">
      <c r="A75" s="5" t="s">
        <v>19</v>
      </c>
      <c r="B75" s="5" t="s">
        <v>10</v>
      </c>
      <c r="C75" s="5" t="s">
        <v>20</v>
      </c>
      <c r="D75" s="5">
        <v>2</v>
      </c>
      <c r="E75" s="5">
        <v>1660</v>
      </c>
      <c r="F75" s="5">
        <v>3320</v>
      </c>
    </row>
    <row r="76" spans="1:6" x14ac:dyDescent="0.4">
      <c r="A76" s="5" t="s">
        <v>17</v>
      </c>
      <c r="B76" s="5" t="s">
        <v>7</v>
      </c>
      <c r="C76" s="5" t="s">
        <v>16</v>
      </c>
      <c r="D76" s="5">
        <v>7</v>
      </c>
      <c r="E76" s="5">
        <v>475</v>
      </c>
      <c r="F76" s="5">
        <v>3325</v>
      </c>
    </row>
    <row r="77" spans="1:6" x14ac:dyDescent="0.4">
      <c r="A77" s="5" t="s">
        <v>17</v>
      </c>
      <c r="B77" s="5" t="s">
        <v>15</v>
      </c>
      <c r="C77" s="5" t="s">
        <v>16</v>
      </c>
      <c r="D77" s="5">
        <v>5</v>
      </c>
      <c r="E77" s="5">
        <v>677</v>
      </c>
      <c r="F77" s="5">
        <v>3385</v>
      </c>
    </row>
    <row r="78" spans="1:6" x14ac:dyDescent="0.4">
      <c r="A78" s="5" t="s">
        <v>9</v>
      </c>
      <c r="B78" s="5" t="s">
        <v>7</v>
      </c>
      <c r="C78" s="5" t="s">
        <v>23</v>
      </c>
      <c r="D78" s="5">
        <v>5</v>
      </c>
      <c r="E78" s="5">
        <v>693</v>
      </c>
      <c r="F78" s="5">
        <v>3465</v>
      </c>
    </row>
    <row r="79" spans="1:6" x14ac:dyDescent="0.4">
      <c r="A79" s="5" t="s">
        <v>9</v>
      </c>
      <c r="B79" s="5" t="s">
        <v>21</v>
      </c>
      <c r="C79" s="5" t="s">
        <v>24</v>
      </c>
      <c r="D79" s="5">
        <v>34</v>
      </c>
      <c r="E79" s="5">
        <v>103</v>
      </c>
      <c r="F79" s="5">
        <v>3502</v>
      </c>
    </row>
    <row r="80" spans="1:6" x14ac:dyDescent="0.4">
      <c r="A80" s="5" t="s">
        <v>19</v>
      </c>
      <c r="B80" s="5" t="s">
        <v>7</v>
      </c>
      <c r="C80" s="5" t="s">
        <v>14</v>
      </c>
      <c r="D80" s="5">
        <v>4</v>
      </c>
      <c r="E80" s="5">
        <v>893</v>
      </c>
      <c r="F80" s="5">
        <v>3572</v>
      </c>
    </row>
    <row r="81" spans="1:6" x14ac:dyDescent="0.4">
      <c r="A81" s="5" t="s">
        <v>17</v>
      </c>
      <c r="B81" s="5" t="s">
        <v>15</v>
      </c>
      <c r="C81" s="5" t="s">
        <v>16</v>
      </c>
      <c r="D81" s="5">
        <v>11</v>
      </c>
      <c r="E81" s="5">
        <v>326</v>
      </c>
      <c r="F81" s="5">
        <v>3586</v>
      </c>
    </row>
    <row r="82" spans="1:6" x14ac:dyDescent="0.4">
      <c r="A82" s="5" t="s">
        <v>9</v>
      </c>
      <c r="B82" s="5" t="s">
        <v>15</v>
      </c>
      <c r="C82" s="5" t="s">
        <v>13</v>
      </c>
      <c r="D82" s="5">
        <v>23</v>
      </c>
      <c r="E82" s="5">
        <v>158</v>
      </c>
      <c r="F82" s="5">
        <v>3634</v>
      </c>
    </row>
    <row r="83" spans="1:6" x14ac:dyDescent="0.4">
      <c r="A83" s="5" t="s">
        <v>9</v>
      </c>
      <c r="B83" s="5" t="s">
        <v>12</v>
      </c>
      <c r="C83" s="5" t="s">
        <v>20</v>
      </c>
      <c r="D83" s="5">
        <v>36</v>
      </c>
      <c r="E83" s="5">
        <v>101</v>
      </c>
      <c r="F83" s="5">
        <v>3636</v>
      </c>
    </row>
    <row r="84" spans="1:6" x14ac:dyDescent="0.4">
      <c r="A84" s="5" t="s">
        <v>17</v>
      </c>
      <c r="B84" s="5" t="s">
        <v>7</v>
      </c>
      <c r="C84" s="5" t="s">
        <v>24</v>
      </c>
      <c r="D84" s="5">
        <v>19</v>
      </c>
      <c r="E84" s="5">
        <v>192</v>
      </c>
      <c r="F84" s="5">
        <v>3648</v>
      </c>
    </row>
    <row r="85" spans="1:6" x14ac:dyDescent="0.4">
      <c r="A85" s="5" t="s">
        <v>17</v>
      </c>
      <c r="B85" s="5" t="s">
        <v>15</v>
      </c>
      <c r="C85" s="5" t="s">
        <v>22</v>
      </c>
      <c r="D85" s="5">
        <v>12</v>
      </c>
      <c r="E85" s="5">
        <v>307</v>
      </c>
      <c r="F85" s="5">
        <v>3684</v>
      </c>
    </row>
    <row r="86" spans="1:6" x14ac:dyDescent="0.4">
      <c r="A86" s="5" t="s">
        <v>9</v>
      </c>
      <c r="B86" s="5" t="s">
        <v>7</v>
      </c>
      <c r="C86" s="5" t="s">
        <v>16</v>
      </c>
      <c r="D86" s="5">
        <v>10</v>
      </c>
      <c r="E86" s="5">
        <v>371</v>
      </c>
      <c r="F86" s="5">
        <v>3710</v>
      </c>
    </row>
    <row r="87" spans="1:6" x14ac:dyDescent="0.4">
      <c r="A87" s="5" t="s">
        <v>6</v>
      </c>
      <c r="B87" s="5" t="s">
        <v>10</v>
      </c>
      <c r="C87" s="5" t="s">
        <v>8</v>
      </c>
      <c r="D87" s="5">
        <v>6</v>
      </c>
      <c r="E87" s="5">
        <v>626</v>
      </c>
      <c r="F87" s="5">
        <v>3756</v>
      </c>
    </row>
    <row r="88" spans="1:6" x14ac:dyDescent="0.4">
      <c r="A88" s="5" t="s">
        <v>17</v>
      </c>
      <c r="B88" s="5" t="s">
        <v>15</v>
      </c>
      <c r="C88" s="5" t="s">
        <v>13</v>
      </c>
      <c r="D88" s="5">
        <v>33</v>
      </c>
      <c r="E88" s="5">
        <v>114</v>
      </c>
      <c r="F88" s="5">
        <v>3762</v>
      </c>
    </row>
    <row r="89" spans="1:6" x14ac:dyDescent="0.4">
      <c r="A89" s="5" t="s">
        <v>9</v>
      </c>
      <c r="B89" s="5" t="s">
        <v>7</v>
      </c>
      <c r="C89" s="5" t="s">
        <v>8</v>
      </c>
      <c r="D89" s="5">
        <v>5</v>
      </c>
      <c r="E89" s="5">
        <v>769</v>
      </c>
      <c r="F89" s="5">
        <v>3845</v>
      </c>
    </row>
    <row r="90" spans="1:6" x14ac:dyDescent="0.4">
      <c r="A90" s="5" t="s">
        <v>19</v>
      </c>
      <c r="B90" s="5" t="s">
        <v>7</v>
      </c>
      <c r="C90" s="5" t="s">
        <v>22</v>
      </c>
      <c r="D90" s="5">
        <v>2</v>
      </c>
      <c r="E90" s="5">
        <v>1933</v>
      </c>
      <c r="F90" s="5">
        <v>3866</v>
      </c>
    </row>
    <row r="91" spans="1:6" x14ac:dyDescent="0.4">
      <c r="A91" s="5" t="s">
        <v>9</v>
      </c>
      <c r="B91" s="5" t="s">
        <v>12</v>
      </c>
      <c r="C91" s="5" t="s">
        <v>11</v>
      </c>
      <c r="D91" s="5">
        <v>13</v>
      </c>
      <c r="E91" s="5">
        <v>298</v>
      </c>
      <c r="F91" s="5">
        <v>3874</v>
      </c>
    </row>
    <row r="92" spans="1:6" x14ac:dyDescent="0.4">
      <c r="A92" s="5" t="s">
        <v>19</v>
      </c>
      <c r="B92" s="5" t="s">
        <v>15</v>
      </c>
      <c r="C92" s="5" t="s">
        <v>18</v>
      </c>
      <c r="D92" s="5">
        <v>31</v>
      </c>
      <c r="E92" s="5">
        <v>125</v>
      </c>
      <c r="F92" s="5">
        <v>3875</v>
      </c>
    </row>
    <row r="93" spans="1:6" x14ac:dyDescent="0.4">
      <c r="A93" s="5" t="s">
        <v>9</v>
      </c>
      <c r="B93" s="5" t="s">
        <v>12</v>
      </c>
      <c r="C93" s="5" t="s">
        <v>23</v>
      </c>
      <c r="D93" s="5">
        <v>2</v>
      </c>
      <c r="E93" s="5">
        <v>1949</v>
      </c>
      <c r="F93" s="5">
        <v>3898</v>
      </c>
    </row>
    <row r="94" spans="1:6" x14ac:dyDescent="0.4">
      <c r="A94" s="5" t="s">
        <v>6</v>
      </c>
      <c r="B94" s="5" t="s">
        <v>12</v>
      </c>
      <c r="C94" s="5" t="s">
        <v>20</v>
      </c>
      <c r="D94" s="5">
        <v>4</v>
      </c>
      <c r="E94" s="5">
        <v>975</v>
      </c>
      <c r="F94" s="5">
        <v>3900</v>
      </c>
    </row>
    <row r="95" spans="1:6" x14ac:dyDescent="0.4">
      <c r="A95" s="5" t="s">
        <v>17</v>
      </c>
      <c r="B95" s="5" t="s">
        <v>10</v>
      </c>
      <c r="C95" s="5" t="s">
        <v>14</v>
      </c>
      <c r="D95" s="5">
        <v>31</v>
      </c>
      <c r="E95" s="5">
        <v>126</v>
      </c>
      <c r="F95" s="5">
        <v>3906</v>
      </c>
    </row>
    <row r="96" spans="1:6" x14ac:dyDescent="0.4">
      <c r="A96" s="5" t="s">
        <v>19</v>
      </c>
      <c r="B96" s="5" t="s">
        <v>15</v>
      </c>
      <c r="C96" s="5" t="s">
        <v>8</v>
      </c>
      <c r="D96" s="5">
        <v>18</v>
      </c>
      <c r="E96" s="5">
        <v>224</v>
      </c>
      <c r="F96" s="5">
        <v>4032</v>
      </c>
    </row>
    <row r="97" spans="1:6" x14ac:dyDescent="0.4">
      <c r="A97" s="5" t="s">
        <v>19</v>
      </c>
      <c r="B97" s="5" t="s">
        <v>21</v>
      </c>
      <c r="C97" s="5" t="s">
        <v>20</v>
      </c>
      <c r="D97" s="5">
        <v>7</v>
      </c>
      <c r="E97" s="5">
        <v>576</v>
      </c>
      <c r="F97" s="5">
        <v>4032</v>
      </c>
    </row>
    <row r="98" spans="1:6" x14ac:dyDescent="0.4">
      <c r="A98" s="5" t="s">
        <v>6</v>
      </c>
      <c r="B98" s="5" t="s">
        <v>15</v>
      </c>
      <c r="C98" s="5" t="s">
        <v>24</v>
      </c>
      <c r="D98" s="5">
        <v>20</v>
      </c>
      <c r="E98" s="5">
        <v>202</v>
      </c>
      <c r="F98" s="5">
        <v>4040</v>
      </c>
    </row>
    <row r="99" spans="1:6" x14ac:dyDescent="0.4">
      <c r="A99" s="5" t="s">
        <v>6</v>
      </c>
      <c r="B99" s="5" t="s">
        <v>12</v>
      </c>
      <c r="C99" s="5" t="s">
        <v>13</v>
      </c>
      <c r="D99" s="5">
        <v>13</v>
      </c>
      <c r="E99" s="5">
        <v>316</v>
      </c>
      <c r="F99" s="5">
        <v>4108</v>
      </c>
    </row>
    <row r="100" spans="1:6" x14ac:dyDescent="0.4">
      <c r="A100" s="5" t="s">
        <v>6</v>
      </c>
      <c r="B100" s="5" t="s">
        <v>10</v>
      </c>
      <c r="C100" s="5" t="s">
        <v>14</v>
      </c>
      <c r="D100" s="5">
        <v>3</v>
      </c>
      <c r="E100" s="5">
        <v>1395</v>
      </c>
      <c r="F100" s="5">
        <v>4185</v>
      </c>
    </row>
    <row r="101" spans="1:6" x14ac:dyDescent="0.4">
      <c r="A101" s="5" t="s">
        <v>6</v>
      </c>
      <c r="B101" s="5" t="s">
        <v>10</v>
      </c>
      <c r="C101" s="5" t="s">
        <v>23</v>
      </c>
      <c r="D101" s="5">
        <v>7</v>
      </c>
      <c r="E101" s="5">
        <v>598</v>
      </c>
      <c r="F101" s="5">
        <v>4186</v>
      </c>
    </row>
    <row r="102" spans="1:6" x14ac:dyDescent="0.4">
      <c r="A102" s="5" t="s">
        <v>6</v>
      </c>
      <c r="B102" s="5" t="s">
        <v>7</v>
      </c>
      <c r="C102" s="5" t="s">
        <v>11</v>
      </c>
      <c r="D102" s="5">
        <v>10</v>
      </c>
      <c r="E102" s="5">
        <v>423</v>
      </c>
      <c r="F102" s="5">
        <v>4230</v>
      </c>
    </row>
    <row r="103" spans="1:6" x14ac:dyDescent="0.4">
      <c r="A103" s="5" t="s">
        <v>19</v>
      </c>
      <c r="B103" s="5" t="s">
        <v>7</v>
      </c>
      <c r="C103" s="5" t="s">
        <v>20</v>
      </c>
      <c r="D103" s="5">
        <v>4</v>
      </c>
      <c r="E103" s="5">
        <v>1080</v>
      </c>
      <c r="F103" s="5">
        <v>4320</v>
      </c>
    </row>
    <row r="104" spans="1:6" x14ac:dyDescent="0.4">
      <c r="A104" s="5" t="s">
        <v>17</v>
      </c>
      <c r="B104" s="5" t="s">
        <v>21</v>
      </c>
      <c r="C104" s="5" t="s">
        <v>13</v>
      </c>
      <c r="D104" s="5">
        <v>10</v>
      </c>
      <c r="E104" s="5">
        <v>435</v>
      </c>
      <c r="F104" s="5">
        <v>4350</v>
      </c>
    </row>
    <row r="105" spans="1:6" x14ac:dyDescent="0.4">
      <c r="A105" s="5" t="s">
        <v>19</v>
      </c>
      <c r="B105" s="5" t="s">
        <v>10</v>
      </c>
      <c r="C105" s="5" t="s">
        <v>11</v>
      </c>
      <c r="D105" s="5">
        <v>3</v>
      </c>
      <c r="E105" s="5">
        <v>1468</v>
      </c>
      <c r="F105" s="5">
        <v>4404</v>
      </c>
    </row>
    <row r="106" spans="1:6" x14ac:dyDescent="0.4">
      <c r="A106" s="5" t="s">
        <v>17</v>
      </c>
      <c r="B106" s="5" t="s">
        <v>12</v>
      </c>
      <c r="C106" s="5" t="s">
        <v>20</v>
      </c>
      <c r="D106" s="5">
        <v>3</v>
      </c>
      <c r="E106" s="5">
        <v>1498</v>
      </c>
      <c r="F106" s="5">
        <v>4494</v>
      </c>
    </row>
    <row r="107" spans="1:6" x14ac:dyDescent="0.4">
      <c r="A107" s="5" t="s">
        <v>9</v>
      </c>
      <c r="B107" s="5" t="s">
        <v>15</v>
      </c>
      <c r="C107" s="5" t="s">
        <v>8</v>
      </c>
      <c r="D107" s="5">
        <v>16</v>
      </c>
      <c r="E107" s="5">
        <v>284</v>
      </c>
      <c r="F107" s="5">
        <v>4544</v>
      </c>
    </row>
    <row r="108" spans="1:6" x14ac:dyDescent="0.4">
      <c r="A108" s="5" t="s">
        <v>9</v>
      </c>
      <c r="B108" s="5" t="s">
        <v>21</v>
      </c>
      <c r="C108" s="5" t="s">
        <v>22</v>
      </c>
      <c r="D108" s="5">
        <v>29</v>
      </c>
      <c r="E108" s="5">
        <v>158</v>
      </c>
      <c r="F108" s="5">
        <v>4582</v>
      </c>
    </row>
    <row r="109" spans="1:6" x14ac:dyDescent="0.4">
      <c r="A109" s="5" t="s">
        <v>17</v>
      </c>
      <c r="B109" s="5" t="s">
        <v>12</v>
      </c>
      <c r="C109" s="5" t="s">
        <v>8</v>
      </c>
      <c r="D109" s="5">
        <v>3</v>
      </c>
      <c r="E109" s="5">
        <v>1539</v>
      </c>
      <c r="F109" s="5">
        <v>4617</v>
      </c>
    </row>
    <row r="110" spans="1:6" x14ac:dyDescent="0.4">
      <c r="A110" s="5" t="s">
        <v>19</v>
      </c>
      <c r="B110" s="5" t="s">
        <v>10</v>
      </c>
      <c r="C110" s="5" t="s">
        <v>24</v>
      </c>
      <c r="D110" s="5">
        <v>15</v>
      </c>
      <c r="E110" s="5">
        <v>309</v>
      </c>
      <c r="F110" s="5">
        <v>4635</v>
      </c>
    </row>
    <row r="111" spans="1:6" x14ac:dyDescent="0.4">
      <c r="A111" s="5" t="s">
        <v>19</v>
      </c>
      <c r="B111" s="5" t="s">
        <v>12</v>
      </c>
      <c r="C111" s="5" t="s">
        <v>18</v>
      </c>
      <c r="D111" s="5">
        <v>3</v>
      </c>
      <c r="E111" s="5">
        <v>1549</v>
      </c>
      <c r="F111" s="5">
        <v>4647</v>
      </c>
    </row>
    <row r="112" spans="1:6" x14ac:dyDescent="0.4">
      <c r="A112" s="5" t="s">
        <v>19</v>
      </c>
      <c r="B112" s="5" t="s">
        <v>12</v>
      </c>
      <c r="C112" s="5" t="s">
        <v>14</v>
      </c>
      <c r="D112" s="5">
        <v>6</v>
      </c>
      <c r="E112" s="5">
        <v>780</v>
      </c>
      <c r="F112" s="5">
        <v>4680</v>
      </c>
    </row>
    <row r="113" spans="1:6" x14ac:dyDescent="0.4">
      <c r="A113" s="5" t="s">
        <v>17</v>
      </c>
      <c r="B113" s="5" t="s">
        <v>15</v>
      </c>
      <c r="C113" s="5" t="s">
        <v>20</v>
      </c>
      <c r="D113" s="5">
        <v>3</v>
      </c>
      <c r="E113" s="5">
        <v>1582</v>
      </c>
      <c r="F113" s="5">
        <v>4746</v>
      </c>
    </row>
    <row r="114" spans="1:6" x14ac:dyDescent="0.4">
      <c r="A114" s="5" t="s">
        <v>6</v>
      </c>
      <c r="B114" s="5" t="s">
        <v>7</v>
      </c>
      <c r="C114" s="5" t="s">
        <v>24</v>
      </c>
      <c r="D114" s="5">
        <v>14</v>
      </c>
      <c r="E114" s="5">
        <v>341</v>
      </c>
      <c r="F114" s="5">
        <v>4774</v>
      </c>
    </row>
    <row r="115" spans="1:6" x14ac:dyDescent="0.4">
      <c r="A115" s="5" t="s">
        <v>6</v>
      </c>
      <c r="B115" s="5" t="s">
        <v>12</v>
      </c>
      <c r="C115" s="5" t="s">
        <v>18</v>
      </c>
      <c r="D115" s="5">
        <v>17</v>
      </c>
      <c r="E115" s="5">
        <v>283</v>
      </c>
      <c r="F115" s="5">
        <v>4811</v>
      </c>
    </row>
    <row r="116" spans="1:6" x14ac:dyDescent="0.4">
      <c r="A116" s="5" t="s">
        <v>6</v>
      </c>
      <c r="B116" s="5" t="s">
        <v>10</v>
      </c>
      <c r="C116" s="5" t="s">
        <v>23</v>
      </c>
      <c r="D116" s="5">
        <v>3</v>
      </c>
      <c r="E116" s="5">
        <v>1615</v>
      </c>
      <c r="F116" s="5">
        <v>4845</v>
      </c>
    </row>
    <row r="117" spans="1:6" x14ac:dyDescent="0.4">
      <c r="A117" s="5" t="s">
        <v>17</v>
      </c>
      <c r="B117" s="5" t="s">
        <v>12</v>
      </c>
      <c r="C117" s="5" t="s">
        <v>11</v>
      </c>
      <c r="D117" s="5">
        <v>30</v>
      </c>
      <c r="E117" s="5">
        <v>162</v>
      </c>
      <c r="F117" s="5">
        <v>4860</v>
      </c>
    </row>
    <row r="118" spans="1:6" x14ac:dyDescent="0.4">
      <c r="A118" s="5" t="s">
        <v>9</v>
      </c>
      <c r="B118" s="5" t="s">
        <v>12</v>
      </c>
      <c r="C118" s="5" t="s">
        <v>11</v>
      </c>
      <c r="D118" s="5">
        <v>25</v>
      </c>
      <c r="E118" s="5">
        <v>195</v>
      </c>
      <c r="F118" s="5">
        <v>4875</v>
      </c>
    </row>
    <row r="119" spans="1:6" x14ac:dyDescent="0.4">
      <c r="A119" s="5" t="s">
        <v>6</v>
      </c>
      <c r="B119" s="5" t="s">
        <v>7</v>
      </c>
      <c r="C119" s="5" t="s">
        <v>8</v>
      </c>
      <c r="D119" s="5">
        <v>17</v>
      </c>
      <c r="E119" s="5">
        <v>289</v>
      </c>
      <c r="F119" s="5">
        <v>4913</v>
      </c>
    </row>
    <row r="120" spans="1:6" x14ac:dyDescent="0.4">
      <c r="A120" s="5" t="s">
        <v>17</v>
      </c>
      <c r="B120" s="5" t="s">
        <v>7</v>
      </c>
      <c r="C120" s="5" t="s">
        <v>14</v>
      </c>
      <c r="D120" s="5">
        <v>3</v>
      </c>
      <c r="E120" s="5">
        <v>1654</v>
      </c>
      <c r="F120" s="5">
        <v>4962</v>
      </c>
    </row>
    <row r="121" spans="1:6" x14ac:dyDescent="0.4">
      <c r="A121" s="5" t="s">
        <v>19</v>
      </c>
      <c r="B121" s="5" t="s">
        <v>10</v>
      </c>
      <c r="C121" s="5" t="s">
        <v>20</v>
      </c>
      <c r="D121" s="5">
        <v>12</v>
      </c>
      <c r="E121" s="5">
        <v>414</v>
      </c>
      <c r="F121" s="5">
        <v>4968</v>
      </c>
    </row>
    <row r="122" spans="1:6" x14ac:dyDescent="0.4">
      <c r="A122" s="5" t="s">
        <v>19</v>
      </c>
      <c r="B122" s="5" t="s">
        <v>21</v>
      </c>
      <c r="C122" s="5" t="s">
        <v>11</v>
      </c>
      <c r="D122" s="5">
        <v>16</v>
      </c>
      <c r="E122" s="5">
        <v>313</v>
      </c>
      <c r="F122" s="5">
        <v>5008</v>
      </c>
    </row>
    <row r="123" spans="1:6" x14ac:dyDescent="0.4">
      <c r="A123" s="5" t="s">
        <v>9</v>
      </c>
      <c r="B123" s="5" t="s">
        <v>7</v>
      </c>
      <c r="C123" s="5" t="s">
        <v>13</v>
      </c>
      <c r="D123" s="5">
        <v>13</v>
      </c>
      <c r="E123" s="5">
        <v>388</v>
      </c>
      <c r="F123" s="5">
        <v>5044</v>
      </c>
    </row>
    <row r="124" spans="1:6" x14ac:dyDescent="0.4">
      <c r="A124" s="5" t="s">
        <v>6</v>
      </c>
      <c r="B124" s="5" t="s">
        <v>10</v>
      </c>
      <c r="C124" s="5" t="s">
        <v>13</v>
      </c>
      <c r="D124" s="5">
        <v>32</v>
      </c>
      <c r="E124" s="5">
        <v>159</v>
      </c>
      <c r="F124" s="5">
        <v>5088</v>
      </c>
    </row>
    <row r="125" spans="1:6" x14ac:dyDescent="0.4">
      <c r="A125" s="5" t="s">
        <v>19</v>
      </c>
      <c r="B125" s="5" t="s">
        <v>10</v>
      </c>
      <c r="C125" s="5" t="s">
        <v>13</v>
      </c>
      <c r="D125" s="5">
        <v>3</v>
      </c>
      <c r="E125" s="5">
        <v>1746</v>
      </c>
      <c r="F125" s="5">
        <v>5238</v>
      </c>
    </row>
    <row r="126" spans="1:6" x14ac:dyDescent="0.4">
      <c r="A126" s="5" t="s">
        <v>9</v>
      </c>
      <c r="B126" s="5" t="s">
        <v>10</v>
      </c>
      <c r="C126" s="5" t="s">
        <v>8</v>
      </c>
      <c r="D126" s="5">
        <v>22</v>
      </c>
      <c r="E126" s="5">
        <v>240</v>
      </c>
      <c r="F126" s="5">
        <v>5280</v>
      </c>
    </row>
    <row r="127" spans="1:6" x14ac:dyDescent="0.4">
      <c r="A127" s="5" t="s">
        <v>19</v>
      </c>
      <c r="B127" s="5" t="s">
        <v>12</v>
      </c>
      <c r="C127" s="5" t="s">
        <v>8</v>
      </c>
      <c r="D127" s="5">
        <v>13</v>
      </c>
      <c r="E127" s="5">
        <v>408</v>
      </c>
      <c r="F127" s="5">
        <v>5304</v>
      </c>
    </row>
    <row r="128" spans="1:6" x14ac:dyDescent="0.4">
      <c r="A128" s="5" t="s">
        <v>6</v>
      </c>
      <c r="B128" s="5" t="s">
        <v>10</v>
      </c>
      <c r="C128" s="5" t="s">
        <v>11</v>
      </c>
      <c r="D128" s="5">
        <v>44</v>
      </c>
      <c r="E128" s="5">
        <v>121</v>
      </c>
      <c r="F128" s="5">
        <v>5324</v>
      </c>
    </row>
    <row r="129" spans="1:6" x14ac:dyDescent="0.4">
      <c r="A129" s="5" t="s">
        <v>17</v>
      </c>
      <c r="B129" s="5" t="s">
        <v>21</v>
      </c>
      <c r="C129" s="5" t="s">
        <v>14</v>
      </c>
      <c r="D129" s="5">
        <v>17</v>
      </c>
      <c r="E129" s="5">
        <v>314</v>
      </c>
      <c r="F129" s="5">
        <v>5338</v>
      </c>
    </row>
    <row r="130" spans="1:6" x14ac:dyDescent="0.4">
      <c r="A130" s="5" t="s">
        <v>9</v>
      </c>
      <c r="B130" s="5" t="s">
        <v>7</v>
      </c>
      <c r="C130" s="5" t="s">
        <v>24</v>
      </c>
      <c r="D130" s="5">
        <v>6</v>
      </c>
      <c r="E130" s="5">
        <v>893</v>
      </c>
      <c r="F130" s="5">
        <v>5358</v>
      </c>
    </row>
    <row r="131" spans="1:6" x14ac:dyDescent="0.4">
      <c r="A131" s="5" t="s">
        <v>6</v>
      </c>
      <c r="B131" s="5" t="s">
        <v>10</v>
      </c>
      <c r="C131" s="5" t="s">
        <v>22</v>
      </c>
      <c r="D131" s="5">
        <v>11</v>
      </c>
      <c r="E131" s="5">
        <v>488</v>
      </c>
      <c r="F131" s="5">
        <v>5368</v>
      </c>
    </row>
    <row r="132" spans="1:6" x14ac:dyDescent="0.4">
      <c r="A132" s="5" t="s">
        <v>17</v>
      </c>
      <c r="B132" s="5" t="s">
        <v>15</v>
      </c>
      <c r="C132" s="5" t="s">
        <v>11</v>
      </c>
      <c r="D132" s="5">
        <v>25</v>
      </c>
      <c r="E132" s="5">
        <v>219</v>
      </c>
      <c r="F132" s="5">
        <v>5475</v>
      </c>
    </row>
    <row r="133" spans="1:6" x14ac:dyDescent="0.4">
      <c r="A133" s="5" t="s">
        <v>6</v>
      </c>
      <c r="B133" s="5" t="s">
        <v>15</v>
      </c>
      <c r="C133" s="5" t="s">
        <v>13</v>
      </c>
      <c r="D133" s="5">
        <v>11</v>
      </c>
      <c r="E133" s="5">
        <v>498</v>
      </c>
      <c r="F133" s="5">
        <v>5478</v>
      </c>
    </row>
    <row r="134" spans="1:6" x14ac:dyDescent="0.4">
      <c r="A134" s="5" t="s">
        <v>19</v>
      </c>
      <c r="B134" s="5" t="s">
        <v>7</v>
      </c>
      <c r="C134" s="5" t="s">
        <v>24</v>
      </c>
      <c r="D134" s="5">
        <v>4</v>
      </c>
      <c r="E134" s="5">
        <v>1370</v>
      </c>
      <c r="F134" s="5">
        <v>5480</v>
      </c>
    </row>
    <row r="135" spans="1:6" x14ac:dyDescent="0.4">
      <c r="A135" s="5" t="s">
        <v>17</v>
      </c>
      <c r="B135" s="5" t="s">
        <v>12</v>
      </c>
      <c r="C135" s="5" t="s">
        <v>8</v>
      </c>
      <c r="D135" s="5">
        <v>3</v>
      </c>
      <c r="E135" s="5">
        <v>1840</v>
      </c>
      <c r="F135" s="5">
        <v>5520</v>
      </c>
    </row>
    <row r="136" spans="1:6" x14ac:dyDescent="0.4">
      <c r="A136" s="5" t="s">
        <v>17</v>
      </c>
      <c r="B136" s="5" t="s">
        <v>15</v>
      </c>
      <c r="C136" s="5" t="s">
        <v>18</v>
      </c>
      <c r="D136" s="5">
        <v>5</v>
      </c>
      <c r="E136" s="5">
        <v>1125</v>
      </c>
      <c r="F136" s="5">
        <v>5625</v>
      </c>
    </row>
    <row r="137" spans="1:6" x14ac:dyDescent="0.4">
      <c r="A137" s="5" t="s">
        <v>17</v>
      </c>
      <c r="B137" s="5" t="s">
        <v>10</v>
      </c>
      <c r="C137" s="5" t="s">
        <v>14</v>
      </c>
      <c r="D137" s="5">
        <v>5</v>
      </c>
      <c r="E137" s="5">
        <v>1135</v>
      </c>
      <c r="F137" s="5">
        <v>5675</v>
      </c>
    </row>
    <row r="138" spans="1:6" x14ac:dyDescent="0.4">
      <c r="A138" s="5" t="s">
        <v>19</v>
      </c>
      <c r="B138" s="5" t="s">
        <v>21</v>
      </c>
      <c r="C138" s="5" t="s">
        <v>18</v>
      </c>
      <c r="D138" s="5">
        <v>8</v>
      </c>
      <c r="E138" s="5">
        <v>714</v>
      </c>
      <c r="F138" s="5">
        <v>5712</v>
      </c>
    </row>
    <row r="139" spans="1:6" x14ac:dyDescent="0.4">
      <c r="A139" s="5" t="s">
        <v>19</v>
      </c>
      <c r="B139" s="5" t="s">
        <v>21</v>
      </c>
      <c r="C139" s="5" t="s">
        <v>16</v>
      </c>
      <c r="D139" s="5">
        <v>27</v>
      </c>
      <c r="E139" s="5">
        <v>212</v>
      </c>
      <c r="F139" s="5">
        <v>5724</v>
      </c>
    </row>
    <row r="140" spans="1:6" x14ac:dyDescent="0.4">
      <c r="A140" s="5" t="s">
        <v>17</v>
      </c>
      <c r="B140" s="5" t="s">
        <v>7</v>
      </c>
      <c r="C140" s="5" t="s">
        <v>14</v>
      </c>
      <c r="D140" s="5">
        <v>18</v>
      </c>
      <c r="E140" s="5">
        <v>318</v>
      </c>
      <c r="F140" s="5">
        <v>5724</v>
      </c>
    </row>
    <row r="141" spans="1:6" x14ac:dyDescent="0.4">
      <c r="A141" s="5" t="s">
        <v>19</v>
      </c>
      <c r="B141" s="5" t="s">
        <v>10</v>
      </c>
      <c r="C141" s="5" t="s">
        <v>23</v>
      </c>
      <c r="D141" s="5">
        <v>6</v>
      </c>
      <c r="E141" s="5">
        <v>956</v>
      </c>
      <c r="F141" s="5">
        <v>5736</v>
      </c>
    </row>
    <row r="142" spans="1:6" x14ac:dyDescent="0.4">
      <c r="A142" s="5" t="s">
        <v>9</v>
      </c>
      <c r="B142" s="5" t="s">
        <v>12</v>
      </c>
      <c r="C142" s="5" t="s">
        <v>16</v>
      </c>
      <c r="D142" s="5">
        <v>3</v>
      </c>
      <c r="E142" s="5">
        <v>1912</v>
      </c>
      <c r="F142" s="5">
        <v>5736</v>
      </c>
    </row>
    <row r="143" spans="1:6" x14ac:dyDescent="0.4">
      <c r="A143" s="5" t="s">
        <v>19</v>
      </c>
      <c r="B143" s="5" t="s">
        <v>21</v>
      </c>
      <c r="C143" s="5" t="s">
        <v>11</v>
      </c>
      <c r="D143" s="5">
        <v>36</v>
      </c>
      <c r="E143" s="5">
        <v>161</v>
      </c>
      <c r="F143" s="5">
        <v>5796</v>
      </c>
    </row>
    <row r="144" spans="1:6" x14ac:dyDescent="0.4">
      <c r="A144" s="5" t="s">
        <v>17</v>
      </c>
      <c r="B144" s="5" t="s">
        <v>21</v>
      </c>
      <c r="C144" s="5" t="s">
        <v>22</v>
      </c>
      <c r="D144" s="5">
        <v>16</v>
      </c>
      <c r="E144" s="5">
        <v>363</v>
      </c>
      <c r="F144" s="5">
        <v>5808</v>
      </c>
    </row>
    <row r="145" spans="1:6" x14ac:dyDescent="0.4">
      <c r="A145" s="5" t="s">
        <v>6</v>
      </c>
      <c r="B145" s="5" t="s">
        <v>15</v>
      </c>
      <c r="C145" s="5" t="s">
        <v>23</v>
      </c>
      <c r="D145" s="5">
        <v>3</v>
      </c>
      <c r="E145" s="5">
        <v>1941</v>
      </c>
      <c r="F145" s="5">
        <v>5823</v>
      </c>
    </row>
    <row r="146" spans="1:6" x14ac:dyDescent="0.4">
      <c r="A146" s="5" t="s">
        <v>6</v>
      </c>
      <c r="B146" s="5" t="s">
        <v>21</v>
      </c>
      <c r="C146" s="5" t="s">
        <v>11</v>
      </c>
      <c r="D146" s="5">
        <v>5</v>
      </c>
      <c r="E146" s="5">
        <v>1175</v>
      </c>
      <c r="F146" s="5">
        <v>5875</v>
      </c>
    </row>
    <row r="147" spans="1:6" x14ac:dyDescent="0.4">
      <c r="A147" s="5" t="s">
        <v>9</v>
      </c>
      <c r="B147" s="5" t="s">
        <v>7</v>
      </c>
      <c r="C147" s="5" t="s">
        <v>18</v>
      </c>
      <c r="D147" s="5">
        <v>15</v>
      </c>
      <c r="E147" s="5">
        <v>394</v>
      </c>
      <c r="F147" s="5">
        <v>5910</v>
      </c>
    </row>
    <row r="148" spans="1:6" x14ac:dyDescent="0.4">
      <c r="A148" s="5" t="s">
        <v>17</v>
      </c>
      <c r="B148" s="5" t="s">
        <v>10</v>
      </c>
      <c r="C148" s="5" t="s">
        <v>22</v>
      </c>
      <c r="D148" s="5">
        <v>18</v>
      </c>
      <c r="E148" s="5">
        <v>331</v>
      </c>
      <c r="F148" s="5">
        <v>5958</v>
      </c>
    </row>
    <row r="149" spans="1:6" x14ac:dyDescent="0.4">
      <c r="A149" s="5" t="s">
        <v>19</v>
      </c>
      <c r="B149" s="5" t="s">
        <v>15</v>
      </c>
      <c r="C149" s="5" t="s">
        <v>14</v>
      </c>
      <c r="D149" s="5">
        <v>7</v>
      </c>
      <c r="E149" s="5">
        <v>868</v>
      </c>
      <c r="F149" s="5">
        <v>6076</v>
      </c>
    </row>
    <row r="150" spans="1:6" x14ac:dyDescent="0.4">
      <c r="A150" s="5" t="s">
        <v>17</v>
      </c>
      <c r="B150" s="5" t="s">
        <v>15</v>
      </c>
      <c r="C150" s="5" t="s">
        <v>18</v>
      </c>
      <c r="D150" s="5">
        <v>18</v>
      </c>
      <c r="E150" s="5">
        <v>339</v>
      </c>
      <c r="F150" s="5">
        <v>6102</v>
      </c>
    </row>
    <row r="151" spans="1:6" x14ac:dyDescent="0.4">
      <c r="A151" s="5" t="s">
        <v>9</v>
      </c>
      <c r="B151" s="5" t="s">
        <v>12</v>
      </c>
      <c r="C151" s="5" t="s">
        <v>8</v>
      </c>
      <c r="D151" s="5">
        <v>4</v>
      </c>
      <c r="E151" s="5">
        <v>1537</v>
      </c>
      <c r="F151" s="5">
        <v>6148</v>
      </c>
    </row>
    <row r="152" spans="1:6" x14ac:dyDescent="0.4">
      <c r="A152" s="5" t="s">
        <v>6</v>
      </c>
      <c r="B152" s="5" t="s">
        <v>10</v>
      </c>
      <c r="C152" s="5" t="s">
        <v>22</v>
      </c>
      <c r="D152" s="5">
        <v>7</v>
      </c>
      <c r="E152" s="5">
        <v>887</v>
      </c>
      <c r="F152" s="5">
        <v>6209</v>
      </c>
    </row>
    <row r="153" spans="1:6" x14ac:dyDescent="0.4">
      <c r="A153" s="5" t="s">
        <v>9</v>
      </c>
      <c r="B153" s="5" t="s">
        <v>12</v>
      </c>
      <c r="C153" s="5" t="s">
        <v>23</v>
      </c>
      <c r="D153" s="5">
        <v>8</v>
      </c>
      <c r="E153" s="5">
        <v>782</v>
      </c>
      <c r="F153" s="5">
        <v>6256</v>
      </c>
    </row>
    <row r="154" spans="1:6" x14ac:dyDescent="0.4">
      <c r="A154" s="5" t="s">
        <v>9</v>
      </c>
      <c r="B154" s="5" t="s">
        <v>7</v>
      </c>
      <c r="C154" s="5" t="s">
        <v>24</v>
      </c>
      <c r="D154" s="5">
        <v>4</v>
      </c>
      <c r="E154" s="5">
        <v>1590</v>
      </c>
      <c r="F154" s="5">
        <v>6360</v>
      </c>
    </row>
    <row r="155" spans="1:6" x14ac:dyDescent="0.4">
      <c r="A155" s="5" t="s">
        <v>9</v>
      </c>
      <c r="B155" s="5" t="s">
        <v>7</v>
      </c>
      <c r="C155" s="5" t="s">
        <v>14</v>
      </c>
      <c r="D155" s="5">
        <v>9</v>
      </c>
      <c r="E155" s="5">
        <v>707</v>
      </c>
      <c r="F155" s="5">
        <v>6363</v>
      </c>
    </row>
    <row r="156" spans="1:6" x14ac:dyDescent="0.4">
      <c r="A156" s="5" t="s">
        <v>19</v>
      </c>
      <c r="B156" s="5" t="s">
        <v>12</v>
      </c>
      <c r="C156" s="5" t="s">
        <v>13</v>
      </c>
      <c r="D156" s="5">
        <v>19</v>
      </c>
      <c r="E156" s="5">
        <v>337</v>
      </c>
      <c r="F156" s="5">
        <v>6403</v>
      </c>
    </row>
    <row r="157" spans="1:6" x14ac:dyDescent="0.4">
      <c r="A157" s="5" t="s">
        <v>9</v>
      </c>
      <c r="B157" s="5" t="s">
        <v>12</v>
      </c>
      <c r="C157" s="5" t="s">
        <v>13</v>
      </c>
      <c r="D157" s="5">
        <v>43</v>
      </c>
      <c r="E157" s="5">
        <v>150</v>
      </c>
      <c r="F157" s="5">
        <v>6450</v>
      </c>
    </row>
    <row r="158" spans="1:6" x14ac:dyDescent="0.4">
      <c r="A158" s="5" t="s">
        <v>17</v>
      </c>
      <c r="B158" s="5" t="s">
        <v>21</v>
      </c>
      <c r="C158" s="5" t="s">
        <v>24</v>
      </c>
      <c r="D158" s="5">
        <v>7</v>
      </c>
      <c r="E158" s="5">
        <v>923</v>
      </c>
      <c r="F158" s="5">
        <v>6461</v>
      </c>
    </row>
    <row r="159" spans="1:6" x14ac:dyDescent="0.4">
      <c r="A159" s="5" t="s">
        <v>17</v>
      </c>
      <c r="B159" s="5" t="s">
        <v>12</v>
      </c>
      <c r="C159" s="5" t="s">
        <v>18</v>
      </c>
      <c r="D159" s="5">
        <v>28</v>
      </c>
      <c r="E159" s="5">
        <v>231</v>
      </c>
      <c r="F159" s="5">
        <v>6468</v>
      </c>
    </row>
    <row r="160" spans="1:6" x14ac:dyDescent="0.4">
      <c r="A160" s="5" t="s">
        <v>9</v>
      </c>
      <c r="B160" s="5" t="s">
        <v>10</v>
      </c>
      <c r="C160" s="5" t="s">
        <v>24</v>
      </c>
      <c r="D160" s="5">
        <v>20</v>
      </c>
      <c r="E160" s="5">
        <v>324</v>
      </c>
      <c r="F160" s="5">
        <v>6480</v>
      </c>
    </row>
    <row r="161" spans="1:6" x14ac:dyDescent="0.4">
      <c r="A161" s="5" t="s">
        <v>19</v>
      </c>
      <c r="B161" s="5" t="s">
        <v>12</v>
      </c>
      <c r="C161" s="5" t="s">
        <v>13</v>
      </c>
      <c r="D161" s="5">
        <v>6</v>
      </c>
      <c r="E161" s="5">
        <v>1082</v>
      </c>
      <c r="F161" s="5">
        <v>6492</v>
      </c>
    </row>
    <row r="162" spans="1:6" x14ac:dyDescent="0.4">
      <c r="A162" s="5" t="s">
        <v>9</v>
      </c>
      <c r="B162" s="5" t="s">
        <v>21</v>
      </c>
      <c r="C162" s="5" t="s">
        <v>20</v>
      </c>
      <c r="D162" s="5">
        <v>9</v>
      </c>
      <c r="E162" s="5">
        <v>723</v>
      </c>
      <c r="F162" s="5">
        <v>6507</v>
      </c>
    </row>
    <row r="163" spans="1:6" x14ac:dyDescent="0.4">
      <c r="A163" s="5" t="s">
        <v>6</v>
      </c>
      <c r="B163" s="5" t="s">
        <v>15</v>
      </c>
      <c r="C163" s="5" t="s">
        <v>11</v>
      </c>
      <c r="D163" s="5">
        <v>4</v>
      </c>
      <c r="E163" s="5">
        <v>1640</v>
      </c>
      <c r="F163" s="5">
        <v>6560</v>
      </c>
    </row>
    <row r="164" spans="1:6" x14ac:dyDescent="0.4">
      <c r="A164" s="5" t="s">
        <v>6</v>
      </c>
      <c r="B164" s="5" t="s">
        <v>10</v>
      </c>
      <c r="C164" s="5" t="s">
        <v>18</v>
      </c>
      <c r="D164" s="5">
        <v>4</v>
      </c>
      <c r="E164" s="5">
        <v>1659</v>
      </c>
      <c r="F164" s="5">
        <v>6636</v>
      </c>
    </row>
    <row r="165" spans="1:6" x14ac:dyDescent="0.4">
      <c r="A165" s="5" t="s">
        <v>6</v>
      </c>
      <c r="B165" s="5" t="s">
        <v>10</v>
      </c>
      <c r="C165" s="5" t="s">
        <v>22</v>
      </c>
      <c r="D165" s="5">
        <v>10</v>
      </c>
      <c r="E165" s="5">
        <v>675</v>
      </c>
      <c r="F165" s="5">
        <v>6750</v>
      </c>
    </row>
    <row r="166" spans="1:6" x14ac:dyDescent="0.4">
      <c r="A166" s="5" t="s">
        <v>6</v>
      </c>
      <c r="B166" s="5" t="s">
        <v>7</v>
      </c>
      <c r="C166" s="5" t="s">
        <v>13</v>
      </c>
      <c r="D166" s="5">
        <v>10</v>
      </c>
      <c r="E166" s="5">
        <v>675</v>
      </c>
      <c r="F166" s="5">
        <v>6750</v>
      </c>
    </row>
    <row r="167" spans="1:6" x14ac:dyDescent="0.4">
      <c r="A167" s="5" t="s">
        <v>9</v>
      </c>
      <c r="B167" s="5" t="s">
        <v>12</v>
      </c>
      <c r="C167" s="5" t="s">
        <v>20</v>
      </c>
      <c r="D167" s="5">
        <v>5</v>
      </c>
      <c r="E167" s="5">
        <v>1384</v>
      </c>
      <c r="F167" s="5">
        <v>6920</v>
      </c>
    </row>
    <row r="168" spans="1:6" x14ac:dyDescent="0.4">
      <c r="A168" s="5" t="s">
        <v>17</v>
      </c>
      <c r="B168" s="5" t="s">
        <v>21</v>
      </c>
      <c r="C168" s="5" t="s">
        <v>14</v>
      </c>
      <c r="D168" s="5">
        <v>22</v>
      </c>
      <c r="E168" s="5">
        <v>315</v>
      </c>
      <c r="F168" s="5">
        <v>6930</v>
      </c>
    </row>
    <row r="169" spans="1:6" x14ac:dyDescent="0.4">
      <c r="A169" s="5" t="s">
        <v>9</v>
      </c>
      <c r="B169" s="5" t="s">
        <v>12</v>
      </c>
      <c r="C169" s="5" t="s">
        <v>13</v>
      </c>
      <c r="D169" s="5">
        <v>8</v>
      </c>
      <c r="E169" s="5">
        <v>867</v>
      </c>
      <c r="F169" s="5">
        <v>6936</v>
      </c>
    </row>
    <row r="170" spans="1:6" x14ac:dyDescent="0.4">
      <c r="A170" s="5" t="s">
        <v>17</v>
      </c>
      <c r="B170" s="5" t="s">
        <v>10</v>
      </c>
      <c r="C170" s="5" t="s">
        <v>14</v>
      </c>
      <c r="D170" s="5">
        <v>18</v>
      </c>
      <c r="E170" s="5">
        <v>388</v>
      </c>
      <c r="F170" s="5">
        <v>6984</v>
      </c>
    </row>
    <row r="171" spans="1:6" x14ac:dyDescent="0.4">
      <c r="A171" s="5" t="s">
        <v>19</v>
      </c>
      <c r="B171" s="5" t="s">
        <v>7</v>
      </c>
      <c r="C171" s="5" t="s">
        <v>8</v>
      </c>
      <c r="D171" s="5">
        <v>36</v>
      </c>
      <c r="E171" s="5">
        <v>194</v>
      </c>
      <c r="F171" s="5">
        <v>6984</v>
      </c>
    </row>
    <row r="172" spans="1:6" x14ac:dyDescent="0.4">
      <c r="A172" s="5" t="s">
        <v>9</v>
      </c>
      <c r="B172" s="5" t="s">
        <v>10</v>
      </c>
      <c r="C172" s="5" t="s">
        <v>13</v>
      </c>
      <c r="D172" s="5">
        <v>46</v>
      </c>
      <c r="E172" s="5">
        <v>152</v>
      </c>
      <c r="F172" s="5">
        <v>6992</v>
      </c>
    </row>
    <row r="173" spans="1:6" x14ac:dyDescent="0.4">
      <c r="A173" s="5" t="s">
        <v>9</v>
      </c>
      <c r="B173" s="5" t="s">
        <v>7</v>
      </c>
      <c r="C173" s="5" t="s">
        <v>20</v>
      </c>
      <c r="D173" s="5">
        <v>31</v>
      </c>
      <c r="E173" s="5">
        <v>226</v>
      </c>
      <c r="F173" s="5">
        <v>7006</v>
      </c>
    </row>
    <row r="174" spans="1:6" x14ac:dyDescent="0.4">
      <c r="A174" s="5" t="s">
        <v>9</v>
      </c>
      <c r="B174" s="5" t="s">
        <v>7</v>
      </c>
      <c r="C174" s="5" t="s">
        <v>16</v>
      </c>
      <c r="D174" s="5">
        <v>21</v>
      </c>
      <c r="E174" s="5">
        <v>334</v>
      </c>
      <c r="F174" s="5">
        <v>7014</v>
      </c>
    </row>
    <row r="175" spans="1:6" x14ac:dyDescent="0.4">
      <c r="A175" s="5" t="s">
        <v>6</v>
      </c>
      <c r="B175" s="5" t="s">
        <v>21</v>
      </c>
      <c r="C175" s="5" t="s">
        <v>18</v>
      </c>
      <c r="D175" s="5">
        <v>12</v>
      </c>
      <c r="E175" s="5">
        <v>587</v>
      </c>
      <c r="F175" s="5">
        <v>7044</v>
      </c>
    </row>
    <row r="176" spans="1:6" x14ac:dyDescent="0.4">
      <c r="A176" s="5" t="s">
        <v>19</v>
      </c>
      <c r="B176" s="5" t="s">
        <v>15</v>
      </c>
      <c r="C176" s="5" t="s">
        <v>18</v>
      </c>
      <c r="D176" s="5">
        <v>8</v>
      </c>
      <c r="E176" s="5">
        <v>882</v>
      </c>
      <c r="F176" s="5">
        <v>7056</v>
      </c>
    </row>
    <row r="177" spans="1:6" x14ac:dyDescent="0.4">
      <c r="A177" s="5" t="s">
        <v>17</v>
      </c>
      <c r="B177" s="5" t="s">
        <v>15</v>
      </c>
      <c r="C177" s="5" t="s">
        <v>24</v>
      </c>
      <c r="D177" s="5">
        <v>22</v>
      </c>
      <c r="E177" s="5">
        <v>321</v>
      </c>
      <c r="F177" s="5">
        <v>7062</v>
      </c>
    </row>
    <row r="178" spans="1:6" x14ac:dyDescent="0.4">
      <c r="A178" s="5" t="s">
        <v>17</v>
      </c>
      <c r="B178" s="5" t="s">
        <v>7</v>
      </c>
      <c r="C178" s="5" t="s">
        <v>20</v>
      </c>
      <c r="D178" s="5">
        <v>17</v>
      </c>
      <c r="E178" s="5">
        <v>416</v>
      </c>
      <c r="F178" s="5">
        <v>7072</v>
      </c>
    </row>
    <row r="179" spans="1:6" x14ac:dyDescent="0.4">
      <c r="A179" s="5" t="s">
        <v>17</v>
      </c>
      <c r="B179" s="5" t="s">
        <v>10</v>
      </c>
      <c r="C179" s="5" t="s">
        <v>13</v>
      </c>
      <c r="D179" s="5">
        <v>39</v>
      </c>
      <c r="E179" s="5">
        <v>182</v>
      </c>
      <c r="F179" s="5">
        <v>7098</v>
      </c>
    </row>
    <row r="180" spans="1:6" x14ac:dyDescent="0.4">
      <c r="A180" s="5" t="s">
        <v>6</v>
      </c>
      <c r="B180" s="5" t="s">
        <v>10</v>
      </c>
      <c r="C180" s="5" t="s">
        <v>13</v>
      </c>
      <c r="D180" s="5">
        <v>6</v>
      </c>
      <c r="E180" s="5">
        <v>1197</v>
      </c>
      <c r="F180" s="5">
        <v>7182</v>
      </c>
    </row>
    <row r="181" spans="1:6" x14ac:dyDescent="0.4">
      <c r="A181" s="5" t="s">
        <v>9</v>
      </c>
      <c r="B181" s="5" t="s">
        <v>10</v>
      </c>
      <c r="C181" s="5" t="s">
        <v>20</v>
      </c>
      <c r="D181" s="5">
        <v>9</v>
      </c>
      <c r="E181" s="5">
        <v>803</v>
      </c>
      <c r="F181" s="5">
        <v>7227</v>
      </c>
    </row>
    <row r="182" spans="1:6" x14ac:dyDescent="0.4">
      <c r="A182" s="5" t="s">
        <v>17</v>
      </c>
      <c r="B182" s="5" t="s">
        <v>12</v>
      </c>
      <c r="C182" s="5" t="s">
        <v>13</v>
      </c>
      <c r="D182" s="5">
        <v>50</v>
      </c>
      <c r="E182" s="5">
        <v>145</v>
      </c>
      <c r="F182" s="5">
        <v>7250</v>
      </c>
    </row>
    <row r="183" spans="1:6" x14ac:dyDescent="0.4">
      <c r="A183" s="5" t="s">
        <v>9</v>
      </c>
      <c r="B183" s="5" t="s">
        <v>15</v>
      </c>
      <c r="C183" s="5" t="s">
        <v>22</v>
      </c>
      <c r="D183" s="5">
        <v>6</v>
      </c>
      <c r="E183" s="5">
        <v>1223</v>
      </c>
      <c r="F183" s="5">
        <v>7338</v>
      </c>
    </row>
    <row r="184" spans="1:6" x14ac:dyDescent="0.4">
      <c r="A184" s="5" t="s">
        <v>6</v>
      </c>
      <c r="B184" s="5" t="s">
        <v>10</v>
      </c>
      <c r="C184" s="5" t="s">
        <v>18</v>
      </c>
      <c r="D184" s="5">
        <v>15</v>
      </c>
      <c r="E184" s="5">
        <v>492</v>
      </c>
      <c r="F184" s="5">
        <v>7380</v>
      </c>
    </row>
    <row r="185" spans="1:6" x14ac:dyDescent="0.4">
      <c r="A185" s="5" t="s">
        <v>9</v>
      </c>
      <c r="B185" s="5" t="s">
        <v>7</v>
      </c>
      <c r="C185" s="5" t="s">
        <v>14</v>
      </c>
      <c r="D185" s="5">
        <v>19</v>
      </c>
      <c r="E185" s="5">
        <v>394</v>
      </c>
      <c r="F185" s="5">
        <v>7486</v>
      </c>
    </row>
    <row r="186" spans="1:6" x14ac:dyDescent="0.4">
      <c r="A186" s="5" t="s">
        <v>19</v>
      </c>
      <c r="B186" s="5" t="s">
        <v>7</v>
      </c>
      <c r="C186" s="5" t="s">
        <v>22</v>
      </c>
      <c r="D186" s="5">
        <v>28</v>
      </c>
      <c r="E186" s="5">
        <v>268</v>
      </c>
      <c r="F186" s="5">
        <v>7504</v>
      </c>
    </row>
    <row r="187" spans="1:6" x14ac:dyDescent="0.4">
      <c r="A187" s="5" t="s">
        <v>9</v>
      </c>
      <c r="B187" s="5" t="s">
        <v>12</v>
      </c>
      <c r="C187" s="5" t="s">
        <v>23</v>
      </c>
      <c r="D187" s="5">
        <v>24</v>
      </c>
      <c r="E187" s="5">
        <v>317</v>
      </c>
      <c r="F187" s="5">
        <v>7608</v>
      </c>
    </row>
    <row r="188" spans="1:6" x14ac:dyDescent="0.4">
      <c r="A188" s="5" t="s">
        <v>17</v>
      </c>
      <c r="B188" s="5" t="s">
        <v>21</v>
      </c>
      <c r="C188" s="5" t="s">
        <v>20</v>
      </c>
      <c r="D188" s="5">
        <v>25</v>
      </c>
      <c r="E188" s="5">
        <v>307</v>
      </c>
      <c r="F188" s="5">
        <v>7675</v>
      </c>
    </row>
    <row r="189" spans="1:6" x14ac:dyDescent="0.4">
      <c r="A189" s="5" t="s">
        <v>19</v>
      </c>
      <c r="B189" s="5" t="s">
        <v>21</v>
      </c>
      <c r="C189" s="5" t="s">
        <v>13</v>
      </c>
      <c r="D189" s="5">
        <v>50</v>
      </c>
      <c r="E189" s="5">
        <v>154</v>
      </c>
      <c r="F189" s="5">
        <v>7700</v>
      </c>
    </row>
    <row r="190" spans="1:6" x14ac:dyDescent="0.4">
      <c r="A190" s="5" t="s">
        <v>19</v>
      </c>
      <c r="B190" s="5" t="s">
        <v>10</v>
      </c>
      <c r="C190" s="5" t="s">
        <v>16</v>
      </c>
      <c r="D190" s="5">
        <v>36</v>
      </c>
      <c r="E190" s="5">
        <v>221</v>
      </c>
      <c r="F190" s="5">
        <v>7956</v>
      </c>
    </row>
    <row r="191" spans="1:6" x14ac:dyDescent="0.4">
      <c r="A191" s="5" t="s">
        <v>6</v>
      </c>
      <c r="B191" s="5" t="s">
        <v>15</v>
      </c>
      <c r="C191" s="5" t="s">
        <v>20</v>
      </c>
      <c r="D191" s="5">
        <v>44</v>
      </c>
      <c r="E191" s="5">
        <v>182</v>
      </c>
      <c r="F191" s="5">
        <v>8008</v>
      </c>
    </row>
    <row r="192" spans="1:6" x14ac:dyDescent="0.4">
      <c r="A192" s="5" t="s">
        <v>19</v>
      </c>
      <c r="B192" s="5" t="s">
        <v>7</v>
      </c>
      <c r="C192" s="5" t="s">
        <v>22</v>
      </c>
      <c r="D192" s="5">
        <v>5</v>
      </c>
      <c r="E192" s="5">
        <v>1610</v>
      </c>
      <c r="F192" s="5">
        <v>8050</v>
      </c>
    </row>
    <row r="193" spans="1:6" x14ac:dyDescent="0.4">
      <c r="A193" s="5" t="s">
        <v>9</v>
      </c>
      <c r="B193" s="5" t="s">
        <v>15</v>
      </c>
      <c r="C193" s="5" t="s">
        <v>22</v>
      </c>
      <c r="D193" s="5">
        <v>8</v>
      </c>
      <c r="E193" s="5">
        <v>1018</v>
      </c>
      <c r="F193" s="5">
        <v>8144</v>
      </c>
    </row>
    <row r="194" spans="1:6" x14ac:dyDescent="0.4">
      <c r="A194" s="5" t="s">
        <v>17</v>
      </c>
      <c r="B194" s="5" t="s">
        <v>15</v>
      </c>
      <c r="C194" s="5" t="s">
        <v>14</v>
      </c>
      <c r="D194" s="5">
        <v>10</v>
      </c>
      <c r="E194" s="5">
        <v>818</v>
      </c>
      <c r="F194" s="5">
        <v>8180</v>
      </c>
    </row>
    <row r="195" spans="1:6" x14ac:dyDescent="0.4">
      <c r="A195" s="5" t="s">
        <v>17</v>
      </c>
      <c r="B195" s="5" t="s">
        <v>21</v>
      </c>
      <c r="C195" s="5" t="s">
        <v>14</v>
      </c>
      <c r="D195" s="5">
        <v>12</v>
      </c>
      <c r="E195" s="5">
        <v>683</v>
      </c>
      <c r="F195" s="5">
        <v>8196</v>
      </c>
    </row>
    <row r="196" spans="1:6" x14ac:dyDescent="0.4">
      <c r="A196" s="5" t="s">
        <v>9</v>
      </c>
      <c r="B196" s="5" t="s">
        <v>10</v>
      </c>
      <c r="C196" s="5" t="s">
        <v>18</v>
      </c>
      <c r="D196" s="5">
        <v>49</v>
      </c>
      <c r="E196" s="5">
        <v>170</v>
      </c>
      <c r="F196" s="5">
        <v>8330</v>
      </c>
    </row>
    <row r="197" spans="1:6" x14ac:dyDescent="0.4">
      <c r="A197" s="5" t="s">
        <v>9</v>
      </c>
      <c r="B197" s="5" t="s">
        <v>10</v>
      </c>
      <c r="C197" s="5" t="s">
        <v>22</v>
      </c>
      <c r="D197" s="5">
        <v>17</v>
      </c>
      <c r="E197" s="5">
        <v>491</v>
      </c>
      <c r="F197" s="5">
        <v>8347</v>
      </c>
    </row>
    <row r="198" spans="1:6" x14ac:dyDescent="0.4">
      <c r="A198" s="5" t="s">
        <v>6</v>
      </c>
      <c r="B198" s="5" t="s">
        <v>12</v>
      </c>
      <c r="C198" s="5" t="s">
        <v>11</v>
      </c>
      <c r="D198" s="5">
        <v>6</v>
      </c>
      <c r="E198" s="5">
        <v>1394</v>
      </c>
      <c r="F198" s="5">
        <v>8364</v>
      </c>
    </row>
    <row r="199" spans="1:6" x14ac:dyDescent="0.4">
      <c r="A199" s="5" t="s">
        <v>9</v>
      </c>
      <c r="B199" s="5" t="s">
        <v>15</v>
      </c>
      <c r="C199" s="5" t="s">
        <v>16</v>
      </c>
      <c r="D199" s="5">
        <v>5</v>
      </c>
      <c r="E199" s="5">
        <v>1695</v>
      </c>
      <c r="F199" s="5">
        <v>8475</v>
      </c>
    </row>
    <row r="200" spans="1:6" x14ac:dyDescent="0.4">
      <c r="A200" s="5" t="s">
        <v>9</v>
      </c>
      <c r="B200" s="5" t="s">
        <v>10</v>
      </c>
      <c r="C200" s="5" t="s">
        <v>24</v>
      </c>
      <c r="D200" s="5">
        <v>19</v>
      </c>
      <c r="E200" s="5">
        <v>448</v>
      </c>
      <c r="F200" s="5">
        <v>8512</v>
      </c>
    </row>
    <row r="201" spans="1:6" x14ac:dyDescent="0.4">
      <c r="A201" s="5" t="s">
        <v>19</v>
      </c>
      <c r="B201" s="5" t="s">
        <v>15</v>
      </c>
      <c r="C201" s="5" t="s">
        <v>24</v>
      </c>
      <c r="D201" s="5">
        <v>28</v>
      </c>
      <c r="E201" s="5">
        <v>305</v>
      </c>
      <c r="F201" s="5">
        <v>8540</v>
      </c>
    </row>
    <row r="202" spans="1:6" x14ac:dyDescent="0.4">
      <c r="A202" s="5" t="s">
        <v>19</v>
      </c>
      <c r="B202" s="5" t="s">
        <v>15</v>
      </c>
      <c r="C202" s="5" t="s">
        <v>23</v>
      </c>
      <c r="D202" s="5">
        <v>26</v>
      </c>
      <c r="E202" s="5">
        <v>334</v>
      </c>
      <c r="F202" s="5">
        <v>8684</v>
      </c>
    </row>
    <row r="203" spans="1:6" x14ac:dyDescent="0.4">
      <c r="A203" s="5" t="s">
        <v>19</v>
      </c>
      <c r="B203" s="5" t="s">
        <v>12</v>
      </c>
      <c r="C203" s="5" t="s">
        <v>22</v>
      </c>
      <c r="D203" s="5">
        <v>10</v>
      </c>
      <c r="E203" s="5">
        <v>869</v>
      </c>
      <c r="F203" s="5">
        <v>8690</v>
      </c>
    </row>
    <row r="204" spans="1:6" x14ac:dyDescent="0.4">
      <c r="A204" s="5" t="s">
        <v>6</v>
      </c>
      <c r="B204" s="5" t="s">
        <v>10</v>
      </c>
      <c r="C204" s="5" t="s">
        <v>22</v>
      </c>
      <c r="D204" s="5">
        <v>9</v>
      </c>
      <c r="E204" s="5">
        <v>971</v>
      </c>
      <c r="F204" s="5">
        <v>8739</v>
      </c>
    </row>
    <row r="205" spans="1:6" x14ac:dyDescent="0.4">
      <c r="A205" s="5" t="s">
        <v>19</v>
      </c>
      <c r="B205" s="5" t="s">
        <v>7</v>
      </c>
      <c r="C205" s="5" t="s">
        <v>8</v>
      </c>
      <c r="D205" s="5">
        <v>14</v>
      </c>
      <c r="E205" s="5">
        <v>633</v>
      </c>
      <c r="F205" s="5">
        <v>8862</v>
      </c>
    </row>
    <row r="206" spans="1:6" x14ac:dyDescent="0.4">
      <c r="A206" s="5" t="s">
        <v>6</v>
      </c>
      <c r="B206" s="5" t="s">
        <v>10</v>
      </c>
      <c r="C206" s="5" t="s">
        <v>11</v>
      </c>
      <c r="D206" s="5">
        <v>6</v>
      </c>
      <c r="E206" s="5">
        <v>1493</v>
      </c>
      <c r="F206" s="5">
        <v>8958</v>
      </c>
    </row>
    <row r="207" spans="1:6" x14ac:dyDescent="0.4">
      <c r="A207" s="5" t="s">
        <v>9</v>
      </c>
      <c r="B207" s="5" t="s">
        <v>15</v>
      </c>
      <c r="C207" s="5" t="s">
        <v>13</v>
      </c>
      <c r="D207" s="5">
        <v>16</v>
      </c>
      <c r="E207" s="5">
        <v>561</v>
      </c>
      <c r="F207" s="5">
        <v>8976</v>
      </c>
    </row>
    <row r="208" spans="1:6" x14ac:dyDescent="0.4">
      <c r="A208" s="5" t="s">
        <v>19</v>
      </c>
      <c r="B208" s="5" t="s">
        <v>7</v>
      </c>
      <c r="C208" s="5" t="s">
        <v>13</v>
      </c>
      <c r="D208" s="5">
        <v>16</v>
      </c>
      <c r="E208" s="5">
        <v>563</v>
      </c>
      <c r="F208" s="5">
        <v>9008</v>
      </c>
    </row>
    <row r="209" spans="1:6" x14ac:dyDescent="0.4">
      <c r="A209" s="5" t="s">
        <v>9</v>
      </c>
      <c r="B209" s="5" t="s">
        <v>12</v>
      </c>
      <c r="C209" s="5" t="s">
        <v>11</v>
      </c>
      <c r="D209" s="5">
        <v>11</v>
      </c>
      <c r="E209" s="5">
        <v>821</v>
      </c>
      <c r="F209" s="5">
        <v>9031</v>
      </c>
    </row>
    <row r="210" spans="1:6" x14ac:dyDescent="0.4">
      <c r="A210" s="5" t="s">
        <v>9</v>
      </c>
      <c r="B210" s="5" t="s">
        <v>12</v>
      </c>
      <c r="C210" s="5" t="s">
        <v>13</v>
      </c>
      <c r="D210" s="5">
        <v>14</v>
      </c>
      <c r="E210" s="5">
        <v>647</v>
      </c>
      <c r="F210" s="5">
        <v>9058</v>
      </c>
    </row>
    <row r="211" spans="1:6" x14ac:dyDescent="0.4">
      <c r="A211" s="5" t="s">
        <v>9</v>
      </c>
      <c r="B211" s="5" t="s">
        <v>15</v>
      </c>
      <c r="C211" s="5" t="s">
        <v>13</v>
      </c>
      <c r="D211" s="5">
        <v>36</v>
      </c>
      <c r="E211" s="5">
        <v>252</v>
      </c>
      <c r="F211" s="5">
        <v>9072</v>
      </c>
    </row>
    <row r="212" spans="1:6" x14ac:dyDescent="0.4">
      <c r="A212" s="5" t="s">
        <v>9</v>
      </c>
      <c r="B212" s="5" t="s">
        <v>12</v>
      </c>
      <c r="C212" s="5" t="s">
        <v>8</v>
      </c>
      <c r="D212" s="5">
        <v>20</v>
      </c>
      <c r="E212" s="5">
        <v>457</v>
      </c>
      <c r="F212" s="5">
        <v>9140</v>
      </c>
    </row>
    <row r="213" spans="1:6" x14ac:dyDescent="0.4">
      <c r="A213" s="5" t="s">
        <v>19</v>
      </c>
      <c r="B213" s="5" t="s">
        <v>7</v>
      </c>
      <c r="C213" s="5" t="s">
        <v>13</v>
      </c>
      <c r="D213" s="5">
        <v>29</v>
      </c>
      <c r="E213" s="5">
        <v>316</v>
      </c>
      <c r="F213" s="5">
        <v>9164</v>
      </c>
    </row>
    <row r="214" spans="1:6" x14ac:dyDescent="0.4">
      <c r="A214" s="5" t="s">
        <v>6</v>
      </c>
      <c r="B214" s="5" t="s">
        <v>12</v>
      </c>
      <c r="C214" s="5" t="s">
        <v>14</v>
      </c>
      <c r="D214" s="5">
        <v>5</v>
      </c>
      <c r="E214" s="5">
        <v>1833</v>
      </c>
      <c r="F214" s="5">
        <v>9165</v>
      </c>
    </row>
    <row r="215" spans="1:6" x14ac:dyDescent="0.4">
      <c r="A215" s="5" t="s">
        <v>9</v>
      </c>
      <c r="B215" s="5" t="s">
        <v>7</v>
      </c>
      <c r="C215" s="5" t="s">
        <v>16</v>
      </c>
      <c r="D215" s="5">
        <v>23</v>
      </c>
      <c r="E215" s="5">
        <v>399</v>
      </c>
      <c r="F215" s="5">
        <v>9177</v>
      </c>
    </row>
    <row r="216" spans="1:6" x14ac:dyDescent="0.4">
      <c r="A216" s="5" t="s">
        <v>19</v>
      </c>
      <c r="B216" s="5" t="s">
        <v>15</v>
      </c>
      <c r="C216" s="5" t="s">
        <v>22</v>
      </c>
      <c r="D216" s="5">
        <v>9</v>
      </c>
      <c r="E216" s="5">
        <v>1028</v>
      </c>
      <c r="F216" s="5">
        <v>9252</v>
      </c>
    </row>
    <row r="217" spans="1:6" x14ac:dyDescent="0.4">
      <c r="A217" s="5" t="s">
        <v>17</v>
      </c>
      <c r="B217" s="5" t="s">
        <v>7</v>
      </c>
      <c r="C217" s="5" t="s">
        <v>20</v>
      </c>
      <c r="D217" s="5">
        <v>5</v>
      </c>
      <c r="E217" s="5">
        <v>1876</v>
      </c>
      <c r="F217" s="5">
        <v>9380</v>
      </c>
    </row>
    <row r="218" spans="1:6" x14ac:dyDescent="0.4">
      <c r="A218" s="5" t="s">
        <v>9</v>
      </c>
      <c r="B218" s="5" t="s">
        <v>7</v>
      </c>
      <c r="C218" s="5" t="s">
        <v>23</v>
      </c>
      <c r="D218" s="5">
        <v>12</v>
      </c>
      <c r="E218" s="5">
        <v>783</v>
      </c>
      <c r="F218" s="5">
        <v>9396</v>
      </c>
    </row>
    <row r="219" spans="1:6" x14ac:dyDescent="0.4">
      <c r="A219" s="5" t="s">
        <v>6</v>
      </c>
      <c r="B219" s="5" t="s">
        <v>7</v>
      </c>
      <c r="C219" s="5" t="s">
        <v>18</v>
      </c>
      <c r="D219" s="5">
        <v>6</v>
      </c>
      <c r="E219" s="5">
        <v>1591</v>
      </c>
      <c r="F219" s="5">
        <v>9546</v>
      </c>
    </row>
    <row r="220" spans="1:6" x14ac:dyDescent="0.4">
      <c r="A220" s="5" t="s">
        <v>9</v>
      </c>
      <c r="B220" s="5" t="s">
        <v>7</v>
      </c>
      <c r="C220" s="5" t="s">
        <v>18</v>
      </c>
      <c r="D220" s="5">
        <v>23</v>
      </c>
      <c r="E220" s="5">
        <v>421</v>
      </c>
      <c r="F220" s="5">
        <v>9683</v>
      </c>
    </row>
    <row r="221" spans="1:6" x14ac:dyDescent="0.4">
      <c r="A221" s="5" t="s">
        <v>17</v>
      </c>
      <c r="B221" s="5" t="s">
        <v>12</v>
      </c>
      <c r="C221" s="5" t="s">
        <v>8</v>
      </c>
      <c r="D221" s="5">
        <v>16</v>
      </c>
      <c r="E221" s="5">
        <v>606</v>
      </c>
      <c r="F221" s="5">
        <v>9696</v>
      </c>
    </row>
    <row r="222" spans="1:6" x14ac:dyDescent="0.4">
      <c r="A222" s="5" t="s">
        <v>19</v>
      </c>
      <c r="B222" s="5" t="s">
        <v>15</v>
      </c>
      <c r="C222" s="5" t="s">
        <v>18</v>
      </c>
      <c r="D222" s="5">
        <v>13</v>
      </c>
      <c r="E222" s="5">
        <v>751</v>
      </c>
      <c r="F222" s="5">
        <v>9763</v>
      </c>
    </row>
    <row r="223" spans="1:6" x14ac:dyDescent="0.4">
      <c r="A223" s="5" t="s">
        <v>9</v>
      </c>
      <c r="B223" s="5" t="s">
        <v>15</v>
      </c>
      <c r="C223" s="5" t="s">
        <v>20</v>
      </c>
      <c r="D223" s="5">
        <v>10</v>
      </c>
      <c r="E223" s="5">
        <v>978</v>
      </c>
      <c r="F223" s="5">
        <v>9780</v>
      </c>
    </row>
    <row r="224" spans="1:6" x14ac:dyDescent="0.4">
      <c r="A224" s="5" t="s">
        <v>6</v>
      </c>
      <c r="B224" s="5" t="s">
        <v>10</v>
      </c>
      <c r="C224" s="5" t="s">
        <v>13</v>
      </c>
      <c r="D224" s="5">
        <v>21</v>
      </c>
      <c r="E224" s="5">
        <v>469</v>
      </c>
      <c r="F224" s="5">
        <v>9849</v>
      </c>
    </row>
    <row r="225" spans="1:6" x14ac:dyDescent="0.4">
      <c r="A225" s="5" t="s">
        <v>6</v>
      </c>
      <c r="B225" s="5" t="s">
        <v>21</v>
      </c>
      <c r="C225" s="5" t="s">
        <v>24</v>
      </c>
      <c r="D225" s="5">
        <v>5</v>
      </c>
      <c r="E225" s="5">
        <v>1988</v>
      </c>
      <c r="F225" s="5">
        <v>9940</v>
      </c>
    </row>
    <row r="226" spans="1:6" x14ac:dyDescent="0.4">
      <c r="A226" s="5" t="s">
        <v>9</v>
      </c>
      <c r="B226" s="5" t="s">
        <v>15</v>
      </c>
      <c r="C226" s="5" t="s">
        <v>18</v>
      </c>
      <c r="D226" s="5">
        <v>27</v>
      </c>
      <c r="E226" s="5">
        <v>369</v>
      </c>
      <c r="F226" s="5">
        <v>9963</v>
      </c>
    </row>
    <row r="227" spans="1:6" x14ac:dyDescent="0.4">
      <c r="A227" s="5" t="s">
        <v>17</v>
      </c>
      <c r="B227" s="5" t="s">
        <v>12</v>
      </c>
      <c r="C227" s="5" t="s">
        <v>8</v>
      </c>
      <c r="D227" s="5">
        <v>29</v>
      </c>
      <c r="E227" s="5">
        <v>345</v>
      </c>
      <c r="F227" s="5">
        <v>10005</v>
      </c>
    </row>
    <row r="228" spans="1:6" x14ac:dyDescent="0.4">
      <c r="A228" s="5" t="s">
        <v>6</v>
      </c>
      <c r="B228" s="5" t="s">
        <v>21</v>
      </c>
      <c r="C228" s="5" t="s">
        <v>22</v>
      </c>
      <c r="D228" s="5">
        <v>16</v>
      </c>
      <c r="E228" s="5">
        <v>630</v>
      </c>
      <c r="F228" s="5">
        <v>10080</v>
      </c>
    </row>
    <row r="229" spans="1:6" x14ac:dyDescent="0.4">
      <c r="A229" s="5" t="s">
        <v>19</v>
      </c>
      <c r="B229" s="5" t="s">
        <v>15</v>
      </c>
      <c r="C229" s="5" t="s">
        <v>22</v>
      </c>
      <c r="D229" s="5">
        <v>15</v>
      </c>
      <c r="E229" s="5">
        <v>674</v>
      </c>
      <c r="F229" s="5">
        <v>10110</v>
      </c>
    </row>
    <row r="230" spans="1:6" x14ac:dyDescent="0.4">
      <c r="A230" s="5" t="s">
        <v>19</v>
      </c>
      <c r="B230" s="5" t="s">
        <v>15</v>
      </c>
      <c r="C230" s="5" t="s">
        <v>8</v>
      </c>
      <c r="D230" s="5">
        <v>27</v>
      </c>
      <c r="E230" s="5">
        <v>376</v>
      </c>
      <c r="F230" s="5">
        <v>10152</v>
      </c>
    </row>
    <row r="231" spans="1:6" x14ac:dyDescent="0.4">
      <c r="A231" s="5" t="s">
        <v>17</v>
      </c>
      <c r="B231" s="5" t="s">
        <v>21</v>
      </c>
      <c r="C231" s="5" t="s">
        <v>22</v>
      </c>
      <c r="D231" s="5">
        <v>28</v>
      </c>
      <c r="E231" s="5">
        <v>363</v>
      </c>
      <c r="F231" s="5">
        <v>10164</v>
      </c>
    </row>
    <row r="232" spans="1:6" x14ac:dyDescent="0.4">
      <c r="A232" s="5" t="s">
        <v>9</v>
      </c>
      <c r="B232" s="5" t="s">
        <v>21</v>
      </c>
      <c r="C232" s="5" t="s">
        <v>22</v>
      </c>
      <c r="D232" s="5">
        <v>14</v>
      </c>
      <c r="E232" s="5">
        <v>736</v>
      </c>
      <c r="F232" s="5">
        <v>10304</v>
      </c>
    </row>
    <row r="233" spans="1:6" x14ac:dyDescent="0.4">
      <c r="A233" s="5" t="s">
        <v>6</v>
      </c>
      <c r="B233" s="5" t="s">
        <v>15</v>
      </c>
      <c r="C233" s="5" t="s">
        <v>16</v>
      </c>
      <c r="D233" s="5">
        <v>6</v>
      </c>
      <c r="E233" s="5">
        <v>1720</v>
      </c>
      <c r="F233" s="5">
        <v>10320</v>
      </c>
    </row>
    <row r="234" spans="1:6" x14ac:dyDescent="0.4">
      <c r="A234" s="5" t="s">
        <v>17</v>
      </c>
      <c r="B234" s="5" t="s">
        <v>12</v>
      </c>
      <c r="C234" s="5" t="s">
        <v>13</v>
      </c>
      <c r="D234" s="5">
        <v>49</v>
      </c>
      <c r="E234" s="5">
        <v>211</v>
      </c>
      <c r="F234" s="5">
        <v>10339</v>
      </c>
    </row>
    <row r="235" spans="1:6" x14ac:dyDescent="0.4">
      <c r="A235" s="5" t="s">
        <v>6</v>
      </c>
      <c r="B235" s="5" t="s">
        <v>10</v>
      </c>
      <c r="C235" s="5" t="s">
        <v>20</v>
      </c>
      <c r="D235" s="5">
        <v>18</v>
      </c>
      <c r="E235" s="5">
        <v>576</v>
      </c>
      <c r="F235" s="5">
        <v>10368</v>
      </c>
    </row>
    <row r="236" spans="1:6" x14ac:dyDescent="0.4">
      <c r="A236" s="5" t="s">
        <v>6</v>
      </c>
      <c r="B236" s="5" t="s">
        <v>10</v>
      </c>
      <c r="C236" s="5" t="s">
        <v>20</v>
      </c>
      <c r="D236" s="5">
        <v>25</v>
      </c>
      <c r="E236" s="5">
        <v>415</v>
      </c>
      <c r="F236" s="5">
        <v>10375</v>
      </c>
    </row>
    <row r="237" spans="1:6" x14ac:dyDescent="0.4">
      <c r="A237" s="5" t="s">
        <v>9</v>
      </c>
      <c r="B237" s="5" t="s">
        <v>12</v>
      </c>
      <c r="C237" s="5" t="s">
        <v>23</v>
      </c>
      <c r="D237" s="5">
        <v>14</v>
      </c>
      <c r="E237" s="5">
        <v>743</v>
      </c>
      <c r="F237" s="5">
        <v>10402</v>
      </c>
    </row>
    <row r="238" spans="1:6" x14ac:dyDescent="0.4">
      <c r="A238" s="5" t="s">
        <v>17</v>
      </c>
      <c r="B238" s="5" t="s">
        <v>15</v>
      </c>
      <c r="C238" s="5" t="s">
        <v>14</v>
      </c>
      <c r="D238" s="5">
        <v>31</v>
      </c>
      <c r="E238" s="5">
        <v>336</v>
      </c>
      <c r="F238" s="5">
        <v>10416</v>
      </c>
    </row>
    <row r="239" spans="1:6" x14ac:dyDescent="0.4">
      <c r="A239" s="5" t="s">
        <v>17</v>
      </c>
      <c r="B239" s="5" t="s">
        <v>7</v>
      </c>
      <c r="C239" s="5" t="s">
        <v>8</v>
      </c>
      <c r="D239" s="5">
        <v>7</v>
      </c>
      <c r="E239" s="5">
        <v>1491</v>
      </c>
      <c r="F239" s="5">
        <v>10437</v>
      </c>
    </row>
    <row r="240" spans="1:6" x14ac:dyDescent="0.4">
      <c r="A240" s="5" t="s">
        <v>6</v>
      </c>
      <c r="B240" s="5" t="s">
        <v>15</v>
      </c>
      <c r="C240" s="5" t="s">
        <v>16</v>
      </c>
      <c r="D240" s="5">
        <v>10</v>
      </c>
      <c r="E240" s="5">
        <v>1051</v>
      </c>
      <c r="F240" s="5">
        <v>10510</v>
      </c>
    </row>
    <row r="241" spans="1:6" x14ac:dyDescent="0.4">
      <c r="A241" s="5" t="s">
        <v>9</v>
      </c>
      <c r="B241" s="5" t="s">
        <v>10</v>
      </c>
      <c r="C241" s="5" t="s">
        <v>23</v>
      </c>
      <c r="D241" s="5">
        <v>11</v>
      </c>
      <c r="E241" s="5">
        <v>959</v>
      </c>
      <c r="F241" s="5">
        <v>10549</v>
      </c>
    </row>
    <row r="242" spans="1:6" x14ac:dyDescent="0.4">
      <c r="A242" s="5" t="s">
        <v>17</v>
      </c>
      <c r="B242" s="5" t="s">
        <v>12</v>
      </c>
      <c r="C242" s="5" t="s">
        <v>24</v>
      </c>
      <c r="D242" s="5">
        <v>6</v>
      </c>
      <c r="E242" s="5">
        <v>1765</v>
      </c>
      <c r="F242" s="5">
        <v>10590</v>
      </c>
    </row>
    <row r="243" spans="1:6" x14ac:dyDescent="0.4">
      <c r="A243" s="5" t="s">
        <v>17</v>
      </c>
      <c r="B243" s="5" t="s">
        <v>15</v>
      </c>
      <c r="C243" s="5" t="s">
        <v>8</v>
      </c>
      <c r="D243" s="5">
        <v>9</v>
      </c>
      <c r="E243" s="5">
        <v>1177</v>
      </c>
      <c r="F243" s="5">
        <v>10593</v>
      </c>
    </row>
    <row r="244" spans="1:6" x14ac:dyDescent="0.4">
      <c r="A244" s="5" t="s">
        <v>6</v>
      </c>
      <c r="B244" s="5" t="s">
        <v>12</v>
      </c>
      <c r="C244" s="5" t="s">
        <v>16</v>
      </c>
      <c r="D244" s="5">
        <v>12</v>
      </c>
      <c r="E244" s="5">
        <v>899</v>
      </c>
      <c r="F244" s="5">
        <v>10788</v>
      </c>
    </row>
    <row r="245" spans="1:6" x14ac:dyDescent="0.4">
      <c r="A245" s="5" t="s">
        <v>9</v>
      </c>
      <c r="B245" s="5" t="s">
        <v>15</v>
      </c>
      <c r="C245" s="5" t="s">
        <v>20</v>
      </c>
      <c r="D245" s="5">
        <v>11</v>
      </c>
      <c r="E245" s="5">
        <v>990</v>
      </c>
      <c r="F245" s="5">
        <v>10890</v>
      </c>
    </row>
    <row r="246" spans="1:6" x14ac:dyDescent="0.4">
      <c r="A246" s="5" t="s">
        <v>17</v>
      </c>
      <c r="B246" s="5" t="s">
        <v>15</v>
      </c>
      <c r="C246" s="5" t="s">
        <v>14</v>
      </c>
      <c r="D246" s="5">
        <v>28</v>
      </c>
      <c r="E246" s="5">
        <v>392</v>
      </c>
      <c r="F246" s="5">
        <v>10976</v>
      </c>
    </row>
    <row r="247" spans="1:6" x14ac:dyDescent="0.4">
      <c r="A247" s="5" t="s">
        <v>17</v>
      </c>
      <c r="B247" s="5" t="s">
        <v>21</v>
      </c>
      <c r="C247" s="5" t="s">
        <v>20</v>
      </c>
      <c r="D247" s="5">
        <v>37</v>
      </c>
      <c r="E247" s="5">
        <v>297</v>
      </c>
      <c r="F247" s="5">
        <v>10989</v>
      </c>
    </row>
    <row r="248" spans="1:6" x14ac:dyDescent="0.4">
      <c r="A248" s="5" t="s">
        <v>19</v>
      </c>
      <c r="B248" s="5" t="s">
        <v>10</v>
      </c>
      <c r="C248" s="5" t="s">
        <v>11</v>
      </c>
      <c r="D248" s="5">
        <v>10</v>
      </c>
      <c r="E248" s="5">
        <v>1101</v>
      </c>
      <c r="F248" s="5">
        <v>11010</v>
      </c>
    </row>
    <row r="249" spans="1:6" x14ac:dyDescent="0.4">
      <c r="A249" s="5" t="s">
        <v>19</v>
      </c>
      <c r="B249" s="5" t="s">
        <v>10</v>
      </c>
      <c r="C249" s="5" t="s">
        <v>18</v>
      </c>
      <c r="D249" s="5">
        <v>20</v>
      </c>
      <c r="E249" s="5">
        <v>551</v>
      </c>
      <c r="F249" s="5">
        <v>11020</v>
      </c>
    </row>
    <row r="250" spans="1:6" x14ac:dyDescent="0.4">
      <c r="A250" s="5" t="s">
        <v>17</v>
      </c>
      <c r="B250" s="5" t="s">
        <v>15</v>
      </c>
      <c r="C250" s="5" t="s">
        <v>16</v>
      </c>
      <c r="D250" s="5">
        <v>18</v>
      </c>
      <c r="E250" s="5">
        <v>619</v>
      </c>
      <c r="F250" s="5">
        <v>11142</v>
      </c>
    </row>
    <row r="251" spans="1:6" x14ac:dyDescent="0.4">
      <c r="A251" s="5" t="s">
        <v>17</v>
      </c>
      <c r="B251" s="5" t="s">
        <v>15</v>
      </c>
      <c r="C251" s="5" t="s">
        <v>24</v>
      </c>
      <c r="D251" s="5">
        <v>11</v>
      </c>
      <c r="E251" s="5">
        <v>1016</v>
      </c>
      <c r="F251" s="5">
        <v>11176</v>
      </c>
    </row>
    <row r="252" spans="1:6" x14ac:dyDescent="0.4">
      <c r="A252" s="5" t="s">
        <v>6</v>
      </c>
      <c r="B252" s="5" t="s">
        <v>10</v>
      </c>
      <c r="C252" s="5" t="s">
        <v>18</v>
      </c>
      <c r="D252" s="5">
        <v>19</v>
      </c>
      <c r="E252" s="5">
        <v>591</v>
      </c>
      <c r="F252" s="5">
        <v>11229</v>
      </c>
    </row>
    <row r="253" spans="1:6" x14ac:dyDescent="0.4">
      <c r="A253" s="5" t="s">
        <v>19</v>
      </c>
      <c r="B253" s="5" t="s">
        <v>21</v>
      </c>
      <c r="C253" s="5" t="s">
        <v>11</v>
      </c>
      <c r="D253" s="5">
        <v>50</v>
      </c>
      <c r="E253" s="5">
        <v>225</v>
      </c>
      <c r="F253" s="5">
        <v>11250</v>
      </c>
    </row>
    <row r="254" spans="1:6" x14ac:dyDescent="0.4">
      <c r="A254" s="5" t="s">
        <v>6</v>
      </c>
      <c r="B254" s="5" t="s">
        <v>7</v>
      </c>
      <c r="C254" s="5" t="s">
        <v>14</v>
      </c>
      <c r="D254" s="5">
        <v>9</v>
      </c>
      <c r="E254" s="5">
        <v>1259</v>
      </c>
      <c r="F254" s="5">
        <v>11331</v>
      </c>
    </row>
    <row r="255" spans="1:6" x14ac:dyDescent="0.4">
      <c r="A255" s="5" t="s">
        <v>6</v>
      </c>
      <c r="B255" s="5" t="s">
        <v>15</v>
      </c>
      <c r="C255" s="5" t="s">
        <v>16</v>
      </c>
      <c r="D255" s="5">
        <v>22</v>
      </c>
      <c r="E255" s="5">
        <v>518</v>
      </c>
      <c r="F255" s="5">
        <v>11396</v>
      </c>
    </row>
    <row r="256" spans="1:6" x14ac:dyDescent="0.4">
      <c r="A256" s="5" t="s">
        <v>9</v>
      </c>
      <c r="B256" s="5" t="s">
        <v>21</v>
      </c>
      <c r="C256" s="5" t="s">
        <v>11</v>
      </c>
      <c r="D256" s="5">
        <v>26</v>
      </c>
      <c r="E256" s="5">
        <v>441</v>
      </c>
      <c r="F256" s="5">
        <v>11466</v>
      </c>
    </row>
    <row r="257" spans="1:6" x14ac:dyDescent="0.4">
      <c r="A257" s="5" t="s">
        <v>19</v>
      </c>
      <c r="B257" s="5" t="s">
        <v>12</v>
      </c>
      <c r="C257" s="5" t="s">
        <v>24</v>
      </c>
      <c r="D257" s="5">
        <v>17</v>
      </c>
      <c r="E257" s="5">
        <v>679</v>
      </c>
      <c r="F257" s="5">
        <v>11543</v>
      </c>
    </row>
    <row r="258" spans="1:6" x14ac:dyDescent="0.4">
      <c r="A258" s="5" t="s">
        <v>17</v>
      </c>
      <c r="B258" s="5" t="s">
        <v>21</v>
      </c>
      <c r="C258" s="5" t="s">
        <v>13</v>
      </c>
      <c r="D258" s="5">
        <v>25</v>
      </c>
      <c r="E258" s="5">
        <v>467</v>
      </c>
      <c r="F258" s="5">
        <v>11675</v>
      </c>
    </row>
    <row r="259" spans="1:6" x14ac:dyDescent="0.4">
      <c r="A259" s="5" t="s">
        <v>19</v>
      </c>
      <c r="B259" s="5" t="s">
        <v>21</v>
      </c>
      <c r="C259" s="5" t="s">
        <v>23</v>
      </c>
      <c r="D259" s="5">
        <v>14</v>
      </c>
      <c r="E259" s="5">
        <v>839</v>
      </c>
      <c r="F259" s="5">
        <v>11746</v>
      </c>
    </row>
    <row r="260" spans="1:6" x14ac:dyDescent="0.4">
      <c r="A260" s="5" t="s">
        <v>6</v>
      </c>
      <c r="B260" s="5" t="s">
        <v>12</v>
      </c>
      <c r="C260" s="5" t="s">
        <v>13</v>
      </c>
      <c r="D260" s="5">
        <v>49</v>
      </c>
      <c r="E260" s="5">
        <v>240</v>
      </c>
      <c r="F260" s="5">
        <v>11760</v>
      </c>
    </row>
    <row r="261" spans="1:6" x14ac:dyDescent="0.4">
      <c r="A261" s="5" t="s">
        <v>6</v>
      </c>
      <c r="B261" s="5" t="s">
        <v>21</v>
      </c>
      <c r="C261" s="5" t="s">
        <v>8</v>
      </c>
      <c r="D261" s="5">
        <v>31</v>
      </c>
      <c r="E261" s="5">
        <v>380</v>
      </c>
      <c r="F261" s="5">
        <v>11780</v>
      </c>
    </row>
    <row r="262" spans="1:6" x14ac:dyDescent="0.4">
      <c r="A262" s="5" t="s">
        <v>17</v>
      </c>
      <c r="B262" s="5" t="s">
        <v>10</v>
      </c>
      <c r="C262" s="5" t="s">
        <v>13</v>
      </c>
      <c r="D262" s="5">
        <v>34</v>
      </c>
      <c r="E262" s="5">
        <v>347</v>
      </c>
      <c r="F262" s="5">
        <v>11798</v>
      </c>
    </row>
    <row r="263" spans="1:6" x14ac:dyDescent="0.4">
      <c r="A263" s="5" t="s">
        <v>6</v>
      </c>
      <c r="B263" s="5" t="s">
        <v>7</v>
      </c>
      <c r="C263" s="5" t="s">
        <v>18</v>
      </c>
      <c r="D263" s="5">
        <v>30</v>
      </c>
      <c r="E263" s="5">
        <v>396</v>
      </c>
      <c r="F263" s="5">
        <v>11880</v>
      </c>
    </row>
    <row r="264" spans="1:6" x14ac:dyDescent="0.4">
      <c r="A264" s="5" t="s">
        <v>9</v>
      </c>
      <c r="B264" s="5" t="s">
        <v>15</v>
      </c>
      <c r="C264" s="5" t="s">
        <v>14</v>
      </c>
      <c r="D264" s="5">
        <v>45</v>
      </c>
      <c r="E264" s="5">
        <v>267</v>
      </c>
      <c r="F264" s="5">
        <v>12015</v>
      </c>
    </row>
    <row r="265" spans="1:6" x14ac:dyDescent="0.4">
      <c r="A265" s="5" t="s">
        <v>19</v>
      </c>
      <c r="B265" s="5" t="s">
        <v>7</v>
      </c>
      <c r="C265" s="5" t="s">
        <v>8</v>
      </c>
      <c r="D265" s="5">
        <v>8</v>
      </c>
      <c r="E265" s="5">
        <v>1505</v>
      </c>
      <c r="F265" s="5">
        <v>12040</v>
      </c>
    </row>
    <row r="266" spans="1:6" x14ac:dyDescent="0.4">
      <c r="A266" s="5" t="s">
        <v>17</v>
      </c>
      <c r="B266" s="5" t="s">
        <v>15</v>
      </c>
      <c r="C266" s="5" t="s">
        <v>20</v>
      </c>
      <c r="D266" s="5">
        <v>9</v>
      </c>
      <c r="E266" s="5">
        <v>1348</v>
      </c>
      <c r="F266" s="5">
        <v>12132</v>
      </c>
    </row>
    <row r="267" spans="1:6" x14ac:dyDescent="0.4">
      <c r="A267" s="5" t="s">
        <v>6</v>
      </c>
      <c r="B267" s="5" t="s">
        <v>10</v>
      </c>
      <c r="C267" s="5" t="s">
        <v>24</v>
      </c>
      <c r="D267" s="5">
        <v>10</v>
      </c>
      <c r="E267" s="5">
        <v>1216</v>
      </c>
      <c r="F267" s="5">
        <v>12160</v>
      </c>
    </row>
    <row r="268" spans="1:6" x14ac:dyDescent="0.4">
      <c r="A268" s="5" t="s">
        <v>9</v>
      </c>
      <c r="B268" s="5" t="s">
        <v>10</v>
      </c>
      <c r="C268" s="5" t="s">
        <v>14</v>
      </c>
      <c r="D268" s="5">
        <v>13</v>
      </c>
      <c r="E268" s="5">
        <v>939</v>
      </c>
      <c r="F268" s="5">
        <v>12207</v>
      </c>
    </row>
    <row r="269" spans="1:6" x14ac:dyDescent="0.4">
      <c r="A269" s="5" t="s">
        <v>19</v>
      </c>
      <c r="B269" s="5" t="s">
        <v>21</v>
      </c>
      <c r="C269" s="5" t="s">
        <v>24</v>
      </c>
      <c r="D269" s="5">
        <v>17</v>
      </c>
      <c r="E269" s="5">
        <v>721</v>
      </c>
      <c r="F269" s="5">
        <v>12257</v>
      </c>
    </row>
    <row r="270" spans="1:6" x14ac:dyDescent="0.4">
      <c r="A270" s="5" t="s">
        <v>19</v>
      </c>
      <c r="B270" s="5" t="s">
        <v>7</v>
      </c>
      <c r="C270" s="5" t="s">
        <v>22</v>
      </c>
      <c r="D270" s="5">
        <v>16</v>
      </c>
      <c r="E270" s="5">
        <v>770</v>
      </c>
      <c r="F270" s="5">
        <v>12320</v>
      </c>
    </row>
    <row r="271" spans="1:6" x14ac:dyDescent="0.4">
      <c r="A271" s="5" t="s">
        <v>6</v>
      </c>
      <c r="B271" s="5" t="s">
        <v>15</v>
      </c>
      <c r="C271" s="5" t="s">
        <v>23</v>
      </c>
      <c r="D271" s="5">
        <v>20</v>
      </c>
      <c r="E271" s="5">
        <v>619</v>
      </c>
      <c r="F271" s="5">
        <v>12380</v>
      </c>
    </row>
    <row r="272" spans="1:6" x14ac:dyDescent="0.4">
      <c r="A272" s="5" t="s">
        <v>19</v>
      </c>
      <c r="B272" s="5" t="s">
        <v>7</v>
      </c>
      <c r="C272" s="5" t="s">
        <v>24</v>
      </c>
      <c r="D272" s="5">
        <v>20</v>
      </c>
      <c r="E272" s="5">
        <v>621</v>
      </c>
      <c r="F272" s="5">
        <v>12420</v>
      </c>
    </row>
    <row r="273" spans="1:6" x14ac:dyDescent="0.4">
      <c r="A273" s="5" t="s">
        <v>9</v>
      </c>
      <c r="B273" s="5" t="s">
        <v>12</v>
      </c>
      <c r="C273" s="5" t="s">
        <v>14</v>
      </c>
      <c r="D273" s="5">
        <v>12</v>
      </c>
      <c r="E273" s="5">
        <v>1038</v>
      </c>
      <c r="F273" s="5">
        <v>12456</v>
      </c>
    </row>
    <row r="274" spans="1:6" x14ac:dyDescent="0.4">
      <c r="A274" s="5" t="s">
        <v>6</v>
      </c>
      <c r="B274" s="5" t="s">
        <v>12</v>
      </c>
      <c r="C274" s="5" t="s">
        <v>23</v>
      </c>
      <c r="D274" s="5">
        <v>32</v>
      </c>
      <c r="E274" s="5">
        <v>390</v>
      </c>
      <c r="F274" s="5">
        <v>12480</v>
      </c>
    </row>
    <row r="275" spans="1:6" x14ac:dyDescent="0.4">
      <c r="A275" s="5" t="s">
        <v>6</v>
      </c>
      <c r="B275" s="5" t="s">
        <v>15</v>
      </c>
      <c r="C275" s="5" t="s">
        <v>24</v>
      </c>
      <c r="D275" s="5">
        <v>12</v>
      </c>
      <c r="E275" s="5">
        <v>1051</v>
      </c>
      <c r="F275" s="5">
        <v>12612</v>
      </c>
    </row>
    <row r="276" spans="1:6" x14ac:dyDescent="0.4">
      <c r="A276" s="5" t="s">
        <v>19</v>
      </c>
      <c r="B276" s="5" t="s">
        <v>21</v>
      </c>
      <c r="C276" s="5" t="s">
        <v>23</v>
      </c>
      <c r="D276" s="5">
        <v>10</v>
      </c>
      <c r="E276" s="5">
        <v>1262</v>
      </c>
      <c r="F276" s="5">
        <v>12620</v>
      </c>
    </row>
    <row r="277" spans="1:6" x14ac:dyDescent="0.4">
      <c r="A277" s="5" t="s">
        <v>6</v>
      </c>
      <c r="B277" s="5" t="s">
        <v>7</v>
      </c>
      <c r="C277" s="5" t="s">
        <v>18</v>
      </c>
      <c r="D277" s="5">
        <v>31</v>
      </c>
      <c r="E277" s="5">
        <v>408</v>
      </c>
      <c r="F277" s="5">
        <v>12648</v>
      </c>
    </row>
    <row r="278" spans="1:6" x14ac:dyDescent="0.4">
      <c r="A278" s="5" t="s">
        <v>19</v>
      </c>
      <c r="B278" s="5" t="s">
        <v>21</v>
      </c>
      <c r="C278" s="5" t="s">
        <v>20</v>
      </c>
      <c r="D278" s="5">
        <v>10</v>
      </c>
      <c r="E278" s="5">
        <v>1265</v>
      </c>
      <c r="F278" s="5">
        <v>12650</v>
      </c>
    </row>
    <row r="279" spans="1:6" x14ac:dyDescent="0.4">
      <c r="A279" s="5" t="s">
        <v>19</v>
      </c>
      <c r="B279" s="5" t="s">
        <v>12</v>
      </c>
      <c r="C279" s="5" t="s">
        <v>8</v>
      </c>
      <c r="D279" s="5">
        <v>12</v>
      </c>
      <c r="E279" s="5">
        <v>1067</v>
      </c>
      <c r="F279" s="5">
        <v>12804</v>
      </c>
    </row>
    <row r="280" spans="1:6" x14ac:dyDescent="0.4">
      <c r="A280" s="5" t="s">
        <v>19</v>
      </c>
      <c r="B280" s="5" t="s">
        <v>12</v>
      </c>
      <c r="C280" s="5" t="s">
        <v>20</v>
      </c>
      <c r="D280" s="5">
        <v>41</v>
      </c>
      <c r="E280" s="5">
        <v>314</v>
      </c>
      <c r="F280" s="5">
        <v>12874</v>
      </c>
    </row>
    <row r="281" spans="1:6" x14ac:dyDescent="0.4">
      <c r="A281" s="5" t="s">
        <v>6</v>
      </c>
      <c r="B281" s="5" t="s">
        <v>7</v>
      </c>
      <c r="C281" s="5" t="s">
        <v>18</v>
      </c>
      <c r="D281" s="5">
        <v>30</v>
      </c>
      <c r="E281" s="5">
        <v>431</v>
      </c>
      <c r="F281" s="5">
        <v>12930</v>
      </c>
    </row>
    <row r="282" spans="1:6" x14ac:dyDescent="0.4">
      <c r="A282" s="5" t="s">
        <v>6</v>
      </c>
      <c r="B282" s="5" t="s">
        <v>21</v>
      </c>
      <c r="C282" s="5" t="s">
        <v>18</v>
      </c>
      <c r="D282" s="5">
        <v>14</v>
      </c>
      <c r="E282" s="5">
        <v>927</v>
      </c>
      <c r="F282" s="5">
        <v>12978</v>
      </c>
    </row>
    <row r="283" spans="1:6" x14ac:dyDescent="0.4">
      <c r="A283" s="5" t="s">
        <v>17</v>
      </c>
      <c r="B283" s="5" t="s">
        <v>15</v>
      </c>
      <c r="C283" s="5" t="s">
        <v>22</v>
      </c>
      <c r="D283" s="5">
        <v>10</v>
      </c>
      <c r="E283" s="5">
        <v>1299</v>
      </c>
      <c r="F283" s="5">
        <v>12990</v>
      </c>
    </row>
    <row r="284" spans="1:6" x14ac:dyDescent="0.4">
      <c r="A284" s="5" t="s">
        <v>9</v>
      </c>
      <c r="B284" s="5" t="s">
        <v>12</v>
      </c>
      <c r="C284" s="5" t="s">
        <v>11</v>
      </c>
      <c r="D284" s="5">
        <v>20</v>
      </c>
      <c r="E284" s="5">
        <v>654</v>
      </c>
      <c r="F284" s="5">
        <v>13080</v>
      </c>
    </row>
    <row r="285" spans="1:6" x14ac:dyDescent="0.4">
      <c r="A285" s="5" t="s">
        <v>9</v>
      </c>
      <c r="B285" s="5" t="s">
        <v>7</v>
      </c>
      <c r="C285" s="5" t="s">
        <v>23</v>
      </c>
      <c r="D285" s="5">
        <v>40</v>
      </c>
      <c r="E285" s="5">
        <v>327</v>
      </c>
      <c r="F285" s="5">
        <v>13080</v>
      </c>
    </row>
    <row r="286" spans="1:6" x14ac:dyDescent="0.4">
      <c r="A286" s="5" t="s">
        <v>17</v>
      </c>
      <c r="B286" s="5" t="s">
        <v>15</v>
      </c>
      <c r="C286" s="5" t="s">
        <v>14</v>
      </c>
      <c r="D286" s="5">
        <v>17</v>
      </c>
      <c r="E286" s="5">
        <v>772</v>
      </c>
      <c r="F286" s="5">
        <v>13124</v>
      </c>
    </row>
    <row r="287" spans="1:6" x14ac:dyDescent="0.4">
      <c r="A287" s="5" t="s">
        <v>19</v>
      </c>
      <c r="B287" s="5" t="s">
        <v>7</v>
      </c>
      <c r="C287" s="5" t="s">
        <v>20</v>
      </c>
      <c r="D287" s="5">
        <v>8</v>
      </c>
      <c r="E287" s="5">
        <v>1652</v>
      </c>
      <c r="F287" s="5">
        <v>13216</v>
      </c>
    </row>
    <row r="288" spans="1:6" x14ac:dyDescent="0.4">
      <c r="A288" s="5" t="s">
        <v>17</v>
      </c>
      <c r="B288" s="5" t="s">
        <v>21</v>
      </c>
      <c r="C288" s="5" t="s">
        <v>13</v>
      </c>
      <c r="D288" s="5">
        <v>16</v>
      </c>
      <c r="E288" s="5">
        <v>833</v>
      </c>
      <c r="F288" s="5">
        <v>13328</v>
      </c>
    </row>
    <row r="289" spans="1:6" x14ac:dyDescent="0.4">
      <c r="A289" s="5" t="s">
        <v>9</v>
      </c>
      <c r="B289" s="5" t="s">
        <v>21</v>
      </c>
      <c r="C289" s="5" t="s">
        <v>8</v>
      </c>
      <c r="D289" s="5">
        <v>12</v>
      </c>
      <c r="E289" s="5">
        <v>1111</v>
      </c>
      <c r="F289" s="5">
        <v>13332</v>
      </c>
    </row>
    <row r="290" spans="1:6" x14ac:dyDescent="0.4">
      <c r="A290" s="5" t="s">
        <v>6</v>
      </c>
      <c r="B290" s="5" t="s">
        <v>15</v>
      </c>
      <c r="C290" s="5" t="s">
        <v>23</v>
      </c>
      <c r="D290" s="5">
        <v>34</v>
      </c>
      <c r="E290" s="5">
        <v>395</v>
      </c>
      <c r="F290" s="5">
        <v>13430</v>
      </c>
    </row>
    <row r="291" spans="1:6" x14ac:dyDescent="0.4">
      <c r="A291" s="5" t="s">
        <v>17</v>
      </c>
      <c r="B291" s="5" t="s">
        <v>10</v>
      </c>
      <c r="C291" s="5" t="s">
        <v>11</v>
      </c>
      <c r="D291" s="5">
        <v>13</v>
      </c>
      <c r="E291" s="5">
        <v>1042</v>
      </c>
      <c r="F291" s="5">
        <v>13546</v>
      </c>
    </row>
    <row r="292" spans="1:6" x14ac:dyDescent="0.4">
      <c r="A292" s="5" t="s">
        <v>19</v>
      </c>
      <c r="B292" s="5" t="s">
        <v>10</v>
      </c>
      <c r="C292" s="5" t="s">
        <v>11</v>
      </c>
      <c r="D292" s="5">
        <v>10</v>
      </c>
      <c r="E292" s="5">
        <v>1359</v>
      </c>
      <c r="F292" s="5">
        <v>13590</v>
      </c>
    </row>
    <row r="293" spans="1:6" x14ac:dyDescent="0.4">
      <c r="A293" s="5" t="s">
        <v>19</v>
      </c>
      <c r="B293" s="5" t="s">
        <v>12</v>
      </c>
      <c r="C293" s="5" t="s">
        <v>11</v>
      </c>
      <c r="D293" s="5">
        <v>17</v>
      </c>
      <c r="E293" s="5">
        <v>801</v>
      </c>
      <c r="F293" s="5">
        <v>13617</v>
      </c>
    </row>
    <row r="294" spans="1:6" x14ac:dyDescent="0.4">
      <c r="A294" s="5" t="s">
        <v>17</v>
      </c>
      <c r="B294" s="5" t="s">
        <v>7</v>
      </c>
      <c r="C294" s="5" t="s">
        <v>23</v>
      </c>
      <c r="D294" s="5">
        <v>18</v>
      </c>
      <c r="E294" s="5">
        <v>759</v>
      </c>
      <c r="F294" s="5">
        <v>13662</v>
      </c>
    </row>
    <row r="295" spans="1:6" x14ac:dyDescent="0.4">
      <c r="A295" s="5" t="s">
        <v>6</v>
      </c>
      <c r="B295" s="5" t="s">
        <v>21</v>
      </c>
      <c r="C295" s="5" t="s">
        <v>18</v>
      </c>
      <c r="D295" s="5">
        <v>9</v>
      </c>
      <c r="E295" s="5">
        <v>1543</v>
      </c>
      <c r="F295" s="5">
        <v>13887</v>
      </c>
    </row>
    <row r="296" spans="1:6" x14ac:dyDescent="0.4">
      <c r="A296" s="5" t="s">
        <v>17</v>
      </c>
      <c r="B296" s="5" t="s">
        <v>10</v>
      </c>
      <c r="C296" s="5" t="s">
        <v>13</v>
      </c>
      <c r="D296" s="5">
        <v>39</v>
      </c>
      <c r="E296" s="5">
        <v>357</v>
      </c>
      <c r="F296" s="5">
        <v>13923</v>
      </c>
    </row>
    <row r="297" spans="1:6" x14ac:dyDescent="0.4">
      <c r="A297" s="5" t="s">
        <v>17</v>
      </c>
      <c r="B297" s="5" t="s">
        <v>15</v>
      </c>
      <c r="C297" s="5" t="s">
        <v>18</v>
      </c>
      <c r="D297" s="5">
        <v>15</v>
      </c>
      <c r="E297" s="5">
        <v>930</v>
      </c>
      <c r="F297" s="5">
        <v>13950</v>
      </c>
    </row>
    <row r="298" spans="1:6" x14ac:dyDescent="0.4">
      <c r="A298" s="5" t="s">
        <v>9</v>
      </c>
      <c r="B298" s="5" t="s">
        <v>12</v>
      </c>
      <c r="C298" s="5" t="s">
        <v>11</v>
      </c>
      <c r="D298" s="5">
        <v>12</v>
      </c>
      <c r="E298" s="5">
        <v>1173</v>
      </c>
      <c r="F298" s="5">
        <v>14076</v>
      </c>
    </row>
    <row r="299" spans="1:6" x14ac:dyDescent="0.4">
      <c r="A299" s="5" t="s">
        <v>19</v>
      </c>
      <c r="B299" s="5" t="s">
        <v>10</v>
      </c>
      <c r="C299" s="5" t="s">
        <v>8</v>
      </c>
      <c r="D299" s="5">
        <v>36</v>
      </c>
      <c r="E299" s="5">
        <v>392</v>
      </c>
      <c r="F299" s="5">
        <v>14112</v>
      </c>
    </row>
    <row r="300" spans="1:6" x14ac:dyDescent="0.4">
      <c r="A300" s="5" t="s">
        <v>19</v>
      </c>
      <c r="B300" s="5" t="s">
        <v>12</v>
      </c>
      <c r="C300" s="5" t="s">
        <v>8</v>
      </c>
      <c r="D300" s="5">
        <v>19</v>
      </c>
      <c r="E300" s="5">
        <v>743</v>
      </c>
      <c r="F300" s="5">
        <v>14117</v>
      </c>
    </row>
    <row r="301" spans="1:6" x14ac:dyDescent="0.4">
      <c r="A301" s="5" t="s">
        <v>9</v>
      </c>
      <c r="B301" s="5" t="s">
        <v>21</v>
      </c>
      <c r="C301" s="5" t="s">
        <v>16</v>
      </c>
      <c r="D301" s="5">
        <v>50</v>
      </c>
      <c r="E301" s="5">
        <v>284</v>
      </c>
      <c r="F301" s="5">
        <v>14200</v>
      </c>
    </row>
    <row r="302" spans="1:6" x14ac:dyDescent="0.4">
      <c r="A302" s="5" t="s">
        <v>9</v>
      </c>
      <c r="B302" s="5" t="s">
        <v>12</v>
      </c>
      <c r="C302" s="5" t="s">
        <v>22</v>
      </c>
      <c r="D302" s="5">
        <v>45</v>
      </c>
      <c r="E302" s="5">
        <v>316</v>
      </c>
      <c r="F302" s="5">
        <v>14220</v>
      </c>
    </row>
    <row r="303" spans="1:6" x14ac:dyDescent="0.4">
      <c r="A303" s="5" t="s">
        <v>6</v>
      </c>
      <c r="B303" s="5" t="s">
        <v>21</v>
      </c>
      <c r="C303" s="5" t="s">
        <v>24</v>
      </c>
      <c r="D303" s="5">
        <v>14</v>
      </c>
      <c r="E303" s="5">
        <v>1016</v>
      </c>
      <c r="F303" s="5">
        <v>14224</v>
      </c>
    </row>
    <row r="304" spans="1:6" x14ac:dyDescent="0.4">
      <c r="A304" s="5" t="s">
        <v>6</v>
      </c>
      <c r="B304" s="5" t="s">
        <v>15</v>
      </c>
      <c r="C304" s="5" t="s">
        <v>18</v>
      </c>
      <c r="D304" s="5">
        <v>10</v>
      </c>
      <c r="E304" s="5">
        <v>1425</v>
      </c>
      <c r="F304" s="5">
        <v>14250</v>
      </c>
    </row>
    <row r="305" spans="1:6" x14ac:dyDescent="0.4">
      <c r="A305" s="5" t="s">
        <v>19</v>
      </c>
      <c r="B305" s="5" t="s">
        <v>7</v>
      </c>
      <c r="C305" s="5" t="s">
        <v>11</v>
      </c>
      <c r="D305" s="5">
        <v>17</v>
      </c>
      <c r="E305" s="5">
        <v>844</v>
      </c>
      <c r="F305" s="5">
        <v>14348</v>
      </c>
    </row>
    <row r="306" spans="1:6" x14ac:dyDescent="0.4">
      <c r="A306" s="5" t="s">
        <v>6</v>
      </c>
      <c r="B306" s="5" t="s">
        <v>12</v>
      </c>
      <c r="C306" s="5" t="s">
        <v>22</v>
      </c>
      <c r="D306" s="5">
        <v>16</v>
      </c>
      <c r="E306" s="5">
        <v>899</v>
      </c>
      <c r="F306" s="5">
        <v>14384</v>
      </c>
    </row>
    <row r="307" spans="1:6" x14ac:dyDescent="0.4">
      <c r="A307" s="5" t="s">
        <v>19</v>
      </c>
      <c r="B307" s="5" t="s">
        <v>7</v>
      </c>
      <c r="C307" s="5" t="s">
        <v>14</v>
      </c>
      <c r="D307" s="5">
        <v>8</v>
      </c>
      <c r="E307" s="5">
        <v>1800</v>
      </c>
      <c r="F307" s="5">
        <v>14400</v>
      </c>
    </row>
    <row r="308" spans="1:6" x14ac:dyDescent="0.4">
      <c r="A308" s="5" t="s">
        <v>19</v>
      </c>
      <c r="B308" s="5" t="s">
        <v>21</v>
      </c>
      <c r="C308" s="5" t="s">
        <v>13</v>
      </c>
      <c r="D308" s="5">
        <v>13</v>
      </c>
      <c r="E308" s="5">
        <v>1113</v>
      </c>
      <c r="F308" s="5">
        <v>14469</v>
      </c>
    </row>
    <row r="309" spans="1:6" x14ac:dyDescent="0.4">
      <c r="A309" s="5" t="s">
        <v>6</v>
      </c>
      <c r="B309" s="5" t="s">
        <v>12</v>
      </c>
      <c r="C309" s="5" t="s">
        <v>14</v>
      </c>
      <c r="D309" s="5">
        <v>8</v>
      </c>
      <c r="E309" s="5">
        <v>1820</v>
      </c>
      <c r="F309" s="5">
        <v>14560</v>
      </c>
    </row>
    <row r="310" spans="1:6" x14ac:dyDescent="0.4">
      <c r="A310" s="5" t="s">
        <v>6</v>
      </c>
      <c r="B310" s="5" t="s">
        <v>7</v>
      </c>
      <c r="C310" s="5" t="s">
        <v>22</v>
      </c>
      <c r="D310" s="5">
        <v>20</v>
      </c>
      <c r="E310" s="5">
        <v>729</v>
      </c>
      <c r="F310" s="5">
        <v>14580</v>
      </c>
    </row>
    <row r="311" spans="1:6" x14ac:dyDescent="0.4">
      <c r="A311" s="5" t="s">
        <v>19</v>
      </c>
      <c r="B311" s="5" t="s">
        <v>21</v>
      </c>
      <c r="C311" s="5" t="s">
        <v>8</v>
      </c>
      <c r="D311" s="5">
        <v>33</v>
      </c>
      <c r="E311" s="5">
        <v>447</v>
      </c>
      <c r="F311" s="5">
        <v>14751</v>
      </c>
    </row>
    <row r="312" spans="1:6" x14ac:dyDescent="0.4">
      <c r="A312" s="5" t="s">
        <v>9</v>
      </c>
      <c r="B312" s="5" t="s">
        <v>15</v>
      </c>
      <c r="C312" s="5" t="s">
        <v>14</v>
      </c>
      <c r="D312" s="5">
        <v>32</v>
      </c>
      <c r="E312" s="5">
        <v>462</v>
      </c>
      <c r="F312" s="5">
        <v>14784</v>
      </c>
    </row>
    <row r="313" spans="1:6" x14ac:dyDescent="0.4">
      <c r="A313" s="5" t="s">
        <v>9</v>
      </c>
      <c r="B313" s="5" t="s">
        <v>7</v>
      </c>
      <c r="C313" s="5" t="s">
        <v>14</v>
      </c>
      <c r="D313" s="5">
        <v>28</v>
      </c>
      <c r="E313" s="5">
        <v>530</v>
      </c>
      <c r="F313" s="5">
        <v>14840</v>
      </c>
    </row>
    <row r="314" spans="1:6" x14ac:dyDescent="0.4">
      <c r="A314" s="5" t="s">
        <v>9</v>
      </c>
      <c r="B314" s="5" t="s">
        <v>10</v>
      </c>
      <c r="C314" s="5" t="s">
        <v>11</v>
      </c>
      <c r="D314" s="5">
        <v>47</v>
      </c>
      <c r="E314" s="5">
        <v>316</v>
      </c>
      <c r="F314" s="5">
        <v>14852</v>
      </c>
    </row>
    <row r="315" spans="1:6" x14ac:dyDescent="0.4">
      <c r="A315" s="5" t="s">
        <v>6</v>
      </c>
      <c r="B315" s="5" t="s">
        <v>7</v>
      </c>
      <c r="C315" s="5" t="s">
        <v>11</v>
      </c>
      <c r="D315" s="5">
        <v>14</v>
      </c>
      <c r="E315" s="5">
        <v>1062</v>
      </c>
      <c r="F315" s="5">
        <v>14868</v>
      </c>
    </row>
    <row r="316" spans="1:6" x14ac:dyDescent="0.4">
      <c r="A316" s="5" t="s">
        <v>19</v>
      </c>
      <c r="B316" s="5" t="s">
        <v>15</v>
      </c>
      <c r="C316" s="5" t="s">
        <v>18</v>
      </c>
      <c r="D316" s="5">
        <v>44</v>
      </c>
      <c r="E316" s="5">
        <v>339</v>
      </c>
      <c r="F316" s="5">
        <v>14916</v>
      </c>
    </row>
    <row r="317" spans="1:6" x14ac:dyDescent="0.4">
      <c r="A317" s="5" t="s">
        <v>9</v>
      </c>
      <c r="B317" s="5" t="s">
        <v>15</v>
      </c>
      <c r="C317" s="5" t="s">
        <v>13</v>
      </c>
      <c r="D317" s="5">
        <v>26</v>
      </c>
      <c r="E317" s="5">
        <v>577</v>
      </c>
      <c r="F317" s="5">
        <v>15002</v>
      </c>
    </row>
    <row r="318" spans="1:6" x14ac:dyDescent="0.4">
      <c r="A318" s="5" t="s">
        <v>9</v>
      </c>
      <c r="B318" s="5" t="s">
        <v>12</v>
      </c>
      <c r="C318" s="5" t="s">
        <v>11</v>
      </c>
      <c r="D318" s="5">
        <v>43</v>
      </c>
      <c r="E318" s="5">
        <v>351</v>
      </c>
      <c r="F318" s="5">
        <v>15093</v>
      </c>
    </row>
    <row r="319" spans="1:6" x14ac:dyDescent="0.4">
      <c r="A319" s="5" t="s">
        <v>17</v>
      </c>
      <c r="B319" s="5" t="s">
        <v>15</v>
      </c>
      <c r="C319" s="5" t="s">
        <v>11</v>
      </c>
      <c r="D319" s="5">
        <v>17</v>
      </c>
      <c r="E319" s="5">
        <v>890</v>
      </c>
      <c r="F319" s="5">
        <v>15130</v>
      </c>
    </row>
    <row r="320" spans="1:6" x14ac:dyDescent="0.4">
      <c r="A320" s="5" t="s">
        <v>6</v>
      </c>
      <c r="B320" s="5" t="s">
        <v>21</v>
      </c>
      <c r="C320" s="5" t="s">
        <v>16</v>
      </c>
      <c r="D320" s="5">
        <v>24</v>
      </c>
      <c r="E320" s="5">
        <v>631</v>
      </c>
      <c r="F320" s="5">
        <v>15144</v>
      </c>
    </row>
    <row r="321" spans="1:6" x14ac:dyDescent="0.4">
      <c r="A321" s="5" t="s">
        <v>17</v>
      </c>
      <c r="B321" s="5" t="s">
        <v>10</v>
      </c>
      <c r="C321" s="5" t="s">
        <v>8</v>
      </c>
      <c r="D321" s="5">
        <v>20</v>
      </c>
      <c r="E321" s="5">
        <v>759</v>
      </c>
      <c r="F321" s="5">
        <v>15180</v>
      </c>
    </row>
    <row r="322" spans="1:6" x14ac:dyDescent="0.4">
      <c r="A322" s="5" t="s">
        <v>6</v>
      </c>
      <c r="B322" s="5" t="s">
        <v>10</v>
      </c>
      <c r="C322" s="5" t="s">
        <v>14</v>
      </c>
      <c r="D322" s="5">
        <v>8</v>
      </c>
      <c r="E322" s="5">
        <v>1904</v>
      </c>
      <c r="F322" s="5">
        <v>15232</v>
      </c>
    </row>
    <row r="323" spans="1:6" x14ac:dyDescent="0.4">
      <c r="A323" s="5" t="s">
        <v>9</v>
      </c>
      <c r="B323" s="5" t="s">
        <v>15</v>
      </c>
      <c r="C323" s="5" t="s">
        <v>24</v>
      </c>
      <c r="D323" s="5">
        <v>9</v>
      </c>
      <c r="E323" s="5">
        <v>1704</v>
      </c>
      <c r="F323" s="5">
        <v>15336</v>
      </c>
    </row>
    <row r="324" spans="1:6" x14ac:dyDescent="0.4">
      <c r="A324" s="5" t="s">
        <v>6</v>
      </c>
      <c r="B324" s="5" t="s">
        <v>10</v>
      </c>
      <c r="C324" s="5" t="s">
        <v>22</v>
      </c>
      <c r="D324" s="5">
        <v>20</v>
      </c>
      <c r="E324" s="5">
        <v>769</v>
      </c>
      <c r="F324" s="5">
        <v>15380</v>
      </c>
    </row>
    <row r="325" spans="1:6" x14ac:dyDescent="0.4">
      <c r="A325" s="5" t="s">
        <v>19</v>
      </c>
      <c r="B325" s="5" t="s">
        <v>15</v>
      </c>
      <c r="C325" s="5" t="s">
        <v>24</v>
      </c>
      <c r="D325" s="5">
        <v>27</v>
      </c>
      <c r="E325" s="5">
        <v>572</v>
      </c>
      <c r="F325" s="5">
        <v>15444</v>
      </c>
    </row>
    <row r="326" spans="1:6" x14ac:dyDescent="0.4">
      <c r="A326" s="5" t="s">
        <v>6</v>
      </c>
      <c r="B326" s="5" t="s">
        <v>21</v>
      </c>
      <c r="C326" s="5" t="s">
        <v>23</v>
      </c>
      <c r="D326" s="5">
        <v>25</v>
      </c>
      <c r="E326" s="5">
        <v>620</v>
      </c>
      <c r="F326" s="5">
        <v>15500</v>
      </c>
    </row>
    <row r="327" spans="1:6" x14ac:dyDescent="0.4">
      <c r="A327" s="5" t="s">
        <v>19</v>
      </c>
      <c r="B327" s="5" t="s">
        <v>10</v>
      </c>
      <c r="C327" s="5" t="s">
        <v>13</v>
      </c>
      <c r="D327" s="5">
        <v>12</v>
      </c>
      <c r="E327" s="5">
        <v>1304</v>
      </c>
      <c r="F327" s="5">
        <v>15648</v>
      </c>
    </row>
    <row r="328" spans="1:6" x14ac:dyDescent="0.4">
      <c r="A328" s="5" t="s">
        <v>9</v>
      </c>
      <c r="B328" s="5" t="s">
        <v>10</v>
      </c>
      <c r="C328" s="5" t="s">
        <v>11</v>
      </c>
      <c r="D328" s="5">
        <v>10</v>
      </c>
      <c r="E328" s="5">
        <v>1566</v>
      </c>
      <c r="F328" s="5">
        <v>15660</v>
      </c>
    </row>
    <row r="329" spans="1:6" x14ac:dyDescent="0.4">
      <c r="A329" s="5" t="s">
        <v>6</v>
      </c>
      <c r="B329" s="5" t="s">
        <v>15</v>
      </c>
      <c r="C329" s="5" t="s">
        <v>8</v>
      </c>
      <c r="D329" s="5">
        <v>23</v>
      </c>
      <c r="E329" s="5">
        <v>681</v>
      </c>
      <c r="F329" s="5">
        <v>15663</v>
      </c>
    </row>
    <row r="330" spans="1:6" x14ac:dyDescent="0.4">
      <c r="A330" s="5" t="s">
        <v>6</v>
      </c>
      <c r="B330" s="5" t="s">
        <v>10</v>
      </c>
      <c r="C330" s="5" t="s">
        <v>18</v>
      </c>
      <c r="D330" s="5">
        <v>45</v>
      </c>
      <c r="E330" s="5">
        <v>349</v>
      </c>
      <c r="F330" s="5">
        <v>15705</v>
      </c>
    </row>
    <row r="331" spans="1:6" x14ac:dyDescent="0.4">
      <c r="A331" s="5" t="s">
        <v>6</v>
      </c>
      <c r="B331" s="5" t="s">
        <v>7</v>
      </c>
      <c r="C331" s="5" t="s">
        <v>11</v>
      </c>
      <c r="D331" s="5">
        <v>30</v>
      </c>
      <c r="E331" s="5">
        <v>526</v>
      </c>
      <c r="F331" s="5">
        <v>15780</v>
      </c>
    </row>
    <row r="332" spans="1:6" x14ac:dyDescent="0.4">
      <c r="A332" s="5" t="s">
        <v>19</v>
      </c>
      <c r="B332" s="5" t="s">
        <v>10</v>
      </c>
      <c r="C332" s="5" t="s">
        <v>16</v>
      </c>
      <c r="D332" s="5">
        <v>9</v>
      </c>
      <c r="E332" s="5">
        <v>1754</v>
      </c>
      <c r="F332" s="5">
        <v>15786</v>
      </c>
    </row>
    <row r="333" spans="1:6" x14ac:dyDescent="0.4">
      <c r="A333" s="5" t="s">
        <v>19</v>
      </c>
      <c r="B333" s="5" t="s">
        <v>15</v>
      </c>
      <c r="C333" s="5" t="s">
        <v>11</v>
      </c>
      <c r="D333" s="5">
        <v>48</v>
      </c>
      <c r="E333" s="5">
        <v>331</v>
      </c>
      <c r="F333" s="5">
        <v>15888</v>
      </c>
    </row>
    <row r="334" spans="1:6" x14ac:dyDescent="0.4">
      <c r="A334" s="5" t="s">
        <v>17</v>
      </c>
      <c r="B334" s="5" t="s">
        <v>15</v>
      </c>
      <c r="C334" s="5" t="s">
        <v>23</v>
      </c>
      <c r="D334" s="5">
        <v>23</v>
      </c>
      <c r="E334" s="5">
        <v>691</v>
      </c>
      <c r="F334" s="5">
        <v>15893</v>
      </c>
    </row>
    <row r="335" spans="1:6" x14ac:dyDescent="0.4">
      <c r="A335" s="5" t="s">
        <v>6</v>
      </c>
      <c r="B335" s="5" t="s">
        <v>12</v>
      </c>
      <c r="C335" s="5" t="s">
        <v>18</v>
      </c>
      <c r="D335" s="5">
        <v>39</v>
      </c>
      <c r="E335" s="5">
        <v>408</v>
      </c>
      <c r="F335" s="5">
        <v>15912</v>
      </c>
    </row>
    <row r="336" spans="1:6" x14ac:dyDescent="0.4">
      <c r="A336" s="5" t="s">
        <v>17</v>
      </c>
      <c r="B336" s="5" t="s">
        <v>7</v>
      </c>
      <c r="C336" s="5" t="s">
        <v>13</v>
      </c>
      <c r="D336" s="5">
        <v>39</v>
      </c>
      <c r="E336" s="5">
        <v>409</v>
      </c>
      <c r="F336" s="5">
        <v>15951</v>
      </c>
    </row>
    <row r="337" spans="1:6" x14ac:dyDescent="0.4">
      <c r="A337" s="5" t="s">
        <v>9</v>
      </c>
      <c r="B337" s="5" t="s">
        <v>10</v>
      </c>
      <c r="C337" s="5" t="s">
        <v>23</v>
      </c>
      <c r="D337" s="5">
        <v>8</v>
      </c>
      <c r="E337" s="5">
        <v>1996</v>
      </c>
      <c r="F337" s="5">
        <v>15968</v>
      </c>
    </row>
    <row r="338" spans="1:6" x14ac:dyDescent="0.4">
      <c r="A338" s="5" t="s">
        <v>9</v>
      </c>
      <c r="B338" s="5" t="s">
        <v>7</v>
      </c>
      <c r="C338" s="5" t="s">
        <v>24</v>
      </c>
      <c r="D338" s="5">
        <v>17</v>
      </c>
      <c r="E338" s="5">
        <v>940</v>
      </c>
      <c r="F338" s="5">
        <v>15980</v>
      </c>
    </row>
    <row r="339" spans="1:6" x14ac:dyDescent="0.4">
      <c r="A339" s="5" t="s">
        <v>17</v>
      </c>
      <c r="B339" s="5" t="s">
        <v>10</v>
      </c>
      <c r="C339" s="5" t="s">
        <v>20</v>
      </c>
      <c r="D339" s="5">
        <v>16</v>
      </c>
      <c r="E339" s="5">
        <v>1012</v>
      </c>
      <c r="F339" s="5">
        <v>16192</v>
      </c>
    </row>
    <row r="340" spans="1:6" x14ac:dyDescent="0.4">
      <c r="A340" s="5" t="s">
        <v>19</v>
      </c>
      <c r="B340" s="5" t="s">
        <v>21</v>
      </c>
      <c r="C340" s="5" t="s">
        <v>11</v>
      </c>
      <c r="D340" s="5">
        <v>23</v>
      </c>
      <c r="E340" s="5">
        <v>710</v>
      </c>
      <c r="F340" s="5">
        <v>16330</v>
      </c>
    </row>
    <row r="341" spans="1:6" x14ac:dyDescent="0.4">
      <c r="A341" s="5" t="s">
        <v>19</v>
      </c>
      <c r="B341" s="5" t="s">
        <v>21</v>
      </c>
      <c r="C341" s="5" t="s">
        <v>18</v>
      </c>
      <c r="D341" s="5">
        <v>38</v>
      </c>
      <c r="E341" s="5">
        <v>431</v>
      </c>
      <c r="F341" s="5">
        <v>16378</v>
      </c>
    </row>
    <row r="342" spans="1:6" x14ac:dyDescent="0.4">
      <c r="A342" s="5" t="s">
        <v>9</v>
      </c>
      <c r="B342" s="5" t="s">
        <v>10</v>
      </c>
      <c r="C342" s="5" t="s">
        <v>23</v>
      </c>
      <c r="D342" s="5">
        <v>39</v>
      </c>
      <c r="E342" s="5">
        <v>421</v>
      </c>
      <c r="F342" s="5">
        <v>16419</v>
      </c>
    </row>
    <row r="343" spans="1:6" x14ac:dyDescent="0.4">
      <c r="A343" s="5" t="s">
        <v>6</v>
      </c>
      <c r="B343" s="5" t="s">
        <v>15</v>
      </c>
      <c r="C343" s="5" t="s">
        <v>20</v>
      </c>
      <c r="D343" s="5">
        <v>40</v>
      </c>
      <c r="E343" s="5">
        <v>412</v>
      </c>
      <c r="F343" s="5">
        <v>16480</v>
      </c>
    </row>
    <row r="344" spans="1:6" x14ac:dyDescent="0.4">
      <c r="A344" s="5" t="s">
        <v>17</v>
      </c>
      <c r="B344" s="5" t="s">
        <v>21</v>
      </c>
      <c r="C344" s="5" t="s">
        <v>13</v>
      </c>
      <c r="D344" s="5">
        <v>17</v>
      </c>
      <c r="E344" s="5">
        <v>972</v>
      </c>
      <c r="F344" s="5">
        <v>16524</v>
      </c>
    </row>
    <row r="345" spans="1:6" x14ac:dyDescent="0.4">
      <c r="A345" s="5" t="s">
        <v>9</v>
      </c>
      <c r="B345" s="5" t="s">
        <v>21</v>
      </c>
      <c r="C345" s="5" t="s">
        <v>16</v>
      </c>
      <c r="D345" s="5">
        <v>10</v>
      </c>
      <c r="E345" s="5">
        <v>1654</v>
      </c>
      <c r="F345" s="5">
        <v>16540</v>
      </c>
    </row>
    <row r="346" spans="1:6" x14ac:dyDescent="0.4">
      <c r="A346" s="5" t="s">
        <v>17</v>
      </c>
      <c r="B346" s="5" t="s">
        <v>12</v>
      </c>
      <c r="C346" s="5" t="s">
        <v>14</v>
      </c>
      <c r="D346" s="5">
        <v>21</v>
      </c>
      <c r="E346" s="5">
        <v>789</v>
      </c>
      <c r="F346" s="5">
        <v>16569</v>
      </c>
    </row>
    <row r="347" spans="1:6" x14ac:dyDescent="0.4">
      <c r="A347" s="5" t="s">
        <v>17</v>
      </c>
      <c r="B347" s="5" t="s">
        <v>10</v>
      </c>
      <c r="C347" s="5" t="s">
        <v>22</v>
      </c>
      <c r="D347" s="5">
        <v>9</v>
      </c>
      <c r="E347" s="5">
        <v>1847</v>
      </c>
      <c r="F347" s="5">
        <v>16623</v>
      </c>
    </row>
    <row r="348" spans="1:6" x14ac:dyDescent="0.4">
      <c r="A348" s="5" t="s">
        <v>19</v>
      </c>
      <c r="B348" s="5" t="s">
        <v>12</v>
      </c>
      <c r="C348" s="5" t="s">
        <v>23</v>
      </c>
      <c r="D348" s="5">
        <v>12</v>
      </c>
      <c r="E348" s="5">
        <v>1397</v>
      </c>
      <c r="F348" s="5">
        <v>16764</v>
      </c>
    </row>
    <row r="349" spans="1:6" x14ac:dyDescent="0.4">
      <c r="A349" s="5" t="s">
        <v>17</v>
      </c>
      <c r="B349" s="5" t="s">
        <v>7</v>
      </c>
      <c r="C349" s="5" t="s">
        <v>18</v>
      </c>
      <c r="D349" s="5">
        <v>23</v>
      </c>
      <c r="E349" s="5">
        <v>733</v>
      </c>
      <c r="F349" s="5">
        <v>16859</v>
      </c>
    </row>
    <row r="350" spans="1:6" x14ac:dyDescent="0.4">
      <c r="A350" s="5" t="s">
        <v>9</v>
      </c>
      <c r="B350" s="5" t="s">
        <v>7</v>
      </c>
      <c r="C350" s="5" t="s">
        <v>14</v>
      </c>
      <c r="D350" s="5">
        <v>39</v>
      </c>
      <c r="E350" s="5">
        <v>433</v>
      </c>
      <c r="F350" s="5">
        <v>16887</v>
      </c>
    </row>
    <row r="351" spans="1:6" x14ac:dyDescent="0.4">
      <c r="A351" s="5" t="s">
        <v>19</v>
      </c>
      <c r="B351" s="5" t="s">
        <v>21</v>
      </c>
      <c r="C351" s="5" t="s">
        <v>8</v>
      </c>
      <c r="D351" s="5">
        <v>50</v>
      </c>
      <c r="E351" s="5">
        <v>338</v>
      </c>
      <c r="F351" s="5">
        <v>16900</v>
      </c>
    </row>
    <row r="352" spans="1:6" x14ac:dyDescent="0.4">
      <c r="A352" s="5" t="s">
        <v>6</v>
      </c>
      <c r="B352" s="5" t="s">
        <v>21</v>
      </c>
      <c r="C352" s="5" t="s">
        <v>22</v>
      </c>
      <c r="D352" s="5">
        <v>23</v>
      </c>
      <c r="E352" s="5">
        <v>737</v>
      </c>
      <c r="F352" s="5">
        <v>16951</v>
      </c>
    </row>
    <row r="353" spans="1:6" x14ac:dyDescent="0.4">
      <c r="A353" s="5" t="s">
        <v>9</v>
      </c>
      <c r="B353" s="5" t="s">
        <v>12</v>
      </c>
      <c r="C353" s="5" t="s">
        <v>14</v>
      </c>
      <c r="D353" s="5">
        <v>28</v>
      </c>
      <c r="E353" s="5">
        <v>606</v>
      </c>
      <c r="F353" s="5">
        <v>16968</v>
      </c>
    </row>
    <row r="354" spans="1:6" x14ac:dyDescent="0.4">
      <c r="A354" s="5" t="s">
        <v>19</v>
      </c>
      <c r="B354" s="5" t="s">
        <v>10</v>
      </c>
      <c r="C354" s="5" t="s">
        <v>18</v>
      </c>
      <c r="D354" s="5">
        <v>17</v>
      </c>
      <c r="E354" s="5">
        <v>1002</v>
      </c>
      <c r="F354" s="5">
        <v>17034</v>
      </c>
    </row>
    <row r="355" spans="1:6" x14ac:dyDescent="0.4">
      <c r="A355" s="5" t="s">
        <v>17</v>
      </c>
      <c r="B355" s="5" t="s">
        <v>12</v>
      </c>
      <c r="C355" s="5" t="s">
        <v>16</v>
      </c>
      <c r="D355" s="5">
        <v>25</v>
      </c>
      <c r="E355" s="5">
        <v>683</v>
      </c>
      <c r="F355" s="5">
        <v>17075</v>
      </c>
    </row>
    <row r="356" spans="1:6" x14ac:dyDescent="0.4">
      <c r="A356" s="5" t="s">
        <v>19</v>
      </c>
      <c r="B356" s="5" t="s">
        <v>21</v>
      </c>
      <c r="C356" s="5" t="s">
        <v>16</v>
      </c>
      <c r="D356" s="5">
        <v>34</v>
      </c>
      <c r="E356" s="5">
        <v>506</v>
      </c>
      <c r="F356" s="5">
        <v>17204</v>
      </c>
    </row>
    <row r="357" spans="1:6" x14ac:dyDescent="0.4">
      <c r="A357" s="5" t="s">
        <v>19</v>
      </c>
      <c r="B357" s="5" t="s">
        <v>7</v>
      </c>
      <c r="C357" s="5" t="s">
        <v>8</v>
      </c>
      <c r="D357" s="5">
        <v>46</v>
      </c>
      <c r="E357" s="5">
        <v>374</v>
      </c>
      <c r="F357" s="5">
        <v>17204</v>
      </c>
    </row>
    <row r="358" spans="1:6" x14ac:dyDescent="0.4">
      <c r="A358" s="5" t="s">
        <v>19</v>
      </c>
      <c r="B358" s="5" t="s">
        <v>10</v>
      </c>
      <c r="C358" s="5" t="s">
        <v>18</v>
      </c>
      <c r="D358" s="5">
        <v>16</v>
      </c>
      <c r="E358" s="5">
        <v>1082</v>
      </c>
      <c r="F358" s="5">
        <v>17312</v>
      </c>
    </row>
    <row r="359" spans="1:6" x14ac:dyDescent="0.4">
      <c r="A359" s="5" t="s">
        <v>19</v>
      </c>
      <c r="B359" s="5" t="s">
        <v>15</v>
      </c>
      <c r="C359" s="5" t="s">
        <v>13</v>
      </c>
      <c r="D359" s="5">
        <v>11</v>
      </c>
      <c r="E359" s="5">
        <v>1578</v>
      </c>
      <c r="F359" s="5">
        <v>17358</v>
      </c>
    </row>
    <row r="360" spans="1:6" x14ac:dyDescent="0.4">
      <c r="A360" s="5" t="s">
        <v>9</v>
      </c>
      <c r="B360" s="5" t="s">
        <v>10</v>
      </c>
      <c r="C360" s="5" t="s">
        <v>14</v>
      </c>
      <c r="D360" s="5">
        <v>37</v>
      </c>
      <c r="E360" s="5">
        <v>470</v>
      </c>
      <c r="F360" s="5">
        <v>17390</v>
      </c>
    </row>
    <row r="361" spans="1:6" x14ac:dyDescent="0.4">
      <c r="A361" s="5" t="s">
        <v>17</v>
      </c>
      <c r="B361" s="5" t="s">
        <v>10</v>
      </c>
      <c r="C361" s="5" t="s">
        <v>13</v>
      </c>
      <c r="D361" s="5">
        <v>9</v>
      </c>
      <c r="E361" s="5">
        <v>1933</v>
      </c>
      <c r="F361" s="5">
        <v>17397</v>
      </c>
    </row>
    <row r="362" spans="1:6" x14ac:dyDescent="0.4">
      <c r="A362" s="5" t="s">
        <v>6</v>
      </c>
      <c r="B362" s="5" t="s">
        <v>7</v>
      </c>
      <c r="C362" s="5" t="s">
        <v>18</v>
      </c>
      <c r="D362" s="5">
        <v>29</v>
      </c>
      <c r="E362" s="5">
        <v>602</v>
      </c>
      <c r="F362" s="5">
        <v>17458</v>
      </c>
    </row>
    <row r="363" spans="1:6" x14ac:dyDescent="0.4">
      <c r="A363" s="5" t="s">
        <v>9</v>
      </c>
      <c r="B363" s="5" t="s">
        <v>12</v>
      </c>
      <c r="C363" s="5" t="s">
        <v>13</v>
      </c>
      <c r="D363" s="5">
        <v>50</v>
      </c>
      <c r="E363" s="5">
        <v>352</v>
      </c>
      <c r="F363" s="5">
        <v>17600</v>
      </c>
    </row>
    <row r="364" spans="1:6" x14ac:dyDescent="0.4">
      <c r="A364" s="5" t="s">
        <v>9</v>
      </c>
      <c r="B364" s="5" t="s">
        <v>21</v>
      </c>
      <c r="C364" s="5" t="s">
        <v>20</v>
      </c>
      <c r="D364" s="5">
        <v>11</v>
      </c>
      <c r="E364" s="5">
        <v>1601</v>
      </c>
      <c r="F364" s="5">
        <v>17611</v>
      </c>
    </row>
    <row r="365" spans="1:6" x14ac:dyDescent="0.4">
      <c r="A365" s="5" t="s">
        <v>6</v>
      </c>
      <c r="B365" s="5" t="s">
        <v>7</v>
      </c>
      <c r="C365" s="5" t="s">
        <v>11</v>
      </c>
      <c r="D365" s="5">
        <v>12</v>
      </c>
      <c r="E365" s="5">
        <v>1479</v>
      </c>
      <c r="F365" s="5">
        <v>17748</v>
      </c>
    </row>
    <row r="366" spans="1:6" x14ac:dyDescent="0.4">
      <c r="A366" s="5" t="s">
        <v>19</v>
      </c>
      <c r="B366" s="5" t="s">
        <v>10</v>
      </c>
      <c r="C366" s="5" t="s">
        <v>24</v>
      </c>
      <c r="D366" s="5">
        <v>18</v>
      </c>
      <c r="E366" s="5">
        <v>992</v>
      </c>
      <c r="F366" s="5">
        <v>17856</v>
      </c>
    </row>
    <row r="367" spans="1:6" x14ac:dyDescent="0.4">
      <c r="A367" s="5" t="s">
        <v>19</v>
      </c>
      <c r="B367" s="5" t="s">
        <v>10</v>
      </c>
      <c r="C367" s="5" t="s">
        <v>24</v>
      </c>
      <c r="D367" s="5">
        <v>28</v>
      </c>
      <c r="E367" s="5">
        <v>638</v>
      </c>
      <c r="F367" s="5">
        <v>17864</v>
      </c>
    </row>
    <row r="368" spans="1:6" x14ac:dyDescent="0.4">
      <c r="A368" s="5" t="s">
        <v>9</v>
      </c>
      <c r="B368" s="5" t="s">
        <v>21</v>
      </c>
      <c r="C368" s="5" t="s">
        <v>20</v>
      </c>
      <c r="D368" s="5">
        <v>9</v>
      </c>
      <c r="E368" s="5">
        <v>1988</v>
      </c>
      <c r="F368" s="5">
        <v>17892</v>
      </c>
    </row>
    <row r="369" spans="1:6" x14ac:dyDescent="0.4">
      <c r="A369" s="5" t="s">
        <v>6</v>
      </c>
      <c r="B369" s="5" t="s">
        <v>10</v>
      </c>
      <c r="C369" s="5" t="s">
        <v>13</v>
      </c>
      <c r="D369" s="5">
        <v>50</v>
      </c>
      <c r="E369" s="5">
        <v>358</v>
      </c>
      <c r="F369" s="5">
        <v>17900</v>
      </c>
    </row>
    <row r="370" spans="1:6" x14ac:dyDescent="0.4">
      <c r="A370" s="5" t="s">
        <v>19</v>
      </c>
      <c r="B370" s="5" t="s">
        <v>7</v>
      </c>
      <c r="C370" s="5" t="s">
        <v>13</v>
      </c>
      <c r="D370" s="5">
        <v>26</v>
      </c>
      <c r="E370" s="5">
        <v>689</v>
      </c>
      <c r="F370" s="5">
        <v>17914</v>
      </c>
    </row>
    <row r="371" spans="1:6" x14ac:dyDescent="0.4">
      <c r="A371" s="5" t="s">
        <v>19</v>
      </c>
      <c r="B371" s="5" t="s">
        <v>15</v>
      </c>
      <c r="C371" s="5" t="s">
        <v>22</v>
      </c>
      <c r="D371" s="5">
        <v>33</v>
      </c>
      <c r="E371" s="5">
        <v>546</v>
      </c>
      <c r="F371" s="5">
        <v>18018</v>
      </c>
    </row>
    <row r="372" spans="1:6" x14ac:dyDescent="0.4">
      <c r="A372" s="5" t="s">
        <v>19</v>
      </c>
      <c r="B372" s="5" t="s">
        <v>7</v>
      </c>
      <c r="C372" s="5" t="s">
        <v>18</v>
      </c>
      <c r="D372" s="5">
        <v>23</v>
      </c>
      <c r="E372" s="5">
        <v>785</v>
      </c>
      <c r="F372" s="5">
        <v>18055</v>
      </c>
    </row>
    <row r="373" spans="1:6" x14ac:dyDescent="0.4">
      <c r="A373" s="5" t="s">
        <v>17</v>
      </c>
      <c r="B373" s="5" t="s">
        <v>10</v>
      </c>
      <c r="C373" s="5" t="s">
        <v>16</v>
      </c>
      <c r="D373" s="5">
        <v>12</v>
      </c>
      <c r="E373" s="5">
        <v>1506</v>
      </c>
      <c r="F373" s="5">
        <v>18072</v>
      </c>
    </row>
    <row r="374" spans="1:6" x14ac:dyDescent="0.4">
      <c r="A374" s="5" t="s">
        <v>17</v>
      </c>
      <c r="B374" s="5" t="s">
        <v>10</v>
      </c>
      <c r="C374" s="5" t="s">
        <v>14</v>
      </c>
      <c r="D374" s="5">
        <v>31</v>
      </c>
      <c r="E374" s="5">
        <v>585</v>
      </c>
      <c r="F374" s="5">
        <v>18135</v>
      </c>
    </row>
    <row r="375" spans="1:6" x14ac:dyDescent="0.4">
      <c r="A375" s="5" t="s">
        <v>19</v>
      </c>
      <c r="B375" s="5" t="s">
        <v>21</v>
      </c>
      <c r="C375" s="5" t="s">
        <v>20</v>
      </c>
      <c r="D375" s="5">
        <v>12</v>
      </c>
      <c r="E375" s="5">
        <v>1525</v>
      </c>
      <c r="F375" s="5">
        <v>18300</v>
      </c>
    </row>
    <row r="376" spans="1:6" x14ac:dyDescent="0.4">
      <c r="A376" s="5" t="s">
        <v>9</v>
      </c>
      <c r="B376" s="5" t="s">
        <v>15</v>
      </c>
      <c r="C376" s="5" t="s">
        <v>18</v>
      </c>
      <c r="D376" s="5">
        <v>19</v>
      </c>
      <c r="E376" s="5">
        <v>965</v>
      </c>
      <c r="F376" s="5">
        <v>18335</v>
      </c>
    </row>
    <row r="377" spans="1:6" x14ac:dyDescent="0.4">
      <c r="A377" s="5" t="s">
        <v>6</v>
      </c>
      <c r="B377" s="5" t="s">
        <v>7</v>
      </c>
      <c r="C377" s="5" t="s">
        <v>13</v>
      </c>
      <c r="D377" s="5">
        <v>46</v>
      </c>
      <c r="E377" s="5">
        <v>405</v>
      </c>
      <c r="F377" s="5">
        <v>18630</v>
      </c>
    </row>
    <row r="378" spans="1:6" x14ac:dyDescent="0.4">
      <c r="A378" s="5" t="s">
        <v>9</v>
      </c>
      <c r="B378" s="5" t="s">
        <v>21</v>
      </c>
      <c r="C378" s="5" t="s">
        <v>8</v>
      </c>
      <c r="D378" s="5">
        <v>29</v>
      </c>
      <c r="E378" s="5">
        <v>644</v>
      </c>
      <c r="F378" s="5">
        <v>18676</v>
      </c>
    </row>
    <row r="379" spans="1:6" x14ac:dyDescent="0.4">
      <c r="A379" s="5" t="s">
        <v>19</v>
      </c>
      <c r="B379" s="5" t="s">
        <v>15</v>
      </c>
      <c r="C379" s="5" t="s">
        <v>23</v>
      </c>
      <c r="D379" s="5">
        <v>39</v>
      </c>
      <c r="E379" s="5">
        <v>480</v>
      </c>
      <c r="F379" s="5">
        <v>18720</v>
      </c>
    </row>
    <row r="380" spans="1:6" x14ac:dyDescent="0.4">
      <c r="A380" s="5" t="s">
        <v>17</v>
      </c>
      <c r="B380" s="5" t="s">
        <v>21</v>
      </c>
      <c r="C380" s="5" t="s">
        <v>11</v>
      </c>
      <c r="D380" s="5">
        <v>26</v>
      </c>
      <c r="E380" s="5">
        <v>722</v>
      </c>
      <c r="F380" s="5">
        <v>18772</v>
      </c>
    </row>
    <row r="381" spans="1:6" x14ac:dyDescent="0.4">
      <c r="A381" s="5" t="s">
        <v>9</v>
      </c>
      <c r="B381" s="5" t="s">
        <v>10</v>
      </c>
      <c r="C381" s="5" t="s">
        <v>22</v>
      </c>
      <c r="D381" s="5">
        <v>13</v>
      </c>
      <c r="E381" s="5">
        <v>1448</v>
      </c>
      <c r="F381" s="5">
        <v>18824</v>
      </c>
    </row>
    <row r="382" spans="1:6" x14ac:dyDescent="0.4">
      <c r="A382" s="5" t="s">
        <v>17</v>
      </c>
      <c r="B382" s="5" t="s">
        <v>7</v>
      </c>
      <c r="C382" s="5" t="s">
        <v>14</v>
      </c>
      <c r="D382" s="5">
        <v>21</v>
      </c>
      <c r="E382" s="5">
        <v>904</v>
      </c>
      <c r="F382" s="5">
        <v>18984</v>
      </c>
    </row>
    <row r="383" spans="1:6" x14ac:dyDescent="0.4">
      <c r="A383" s="5" t="s">
        <v>6</v>
      </c>
      <c r="B383" s="5" t="s">
        <v>15</v>
      </c>
      <c r="C383" s="5" t="s">
        <v>23</v>
      </c>
      <c r="D383" s="5">
        <v>25</v>
      </c>
      <c r="E383" s="5">
        <v>760</v>
      </c>
      <c r="F383" s="5">
        <v>19000</v>
      </c>
    </row>
    <row r="384" spans="1:6" x14ac:dyDescent="0.4">
      <c r="A384" s="5" t="s">
        <v>19</v>
      </c>
      <c r="B384" s="5" t="s">
        <v>21</v>
      </c>
      <c r="C384" s="5" t="s">
        <v>11</v>
      </c>
      <c r="D384" s="5">
        <v>29</v>
      </c>
      <c r="E384" s="5">
        <v>660</v>
      </c>
      <c r="F384" s="5">
        <v>19140</v>
      </c>
    </row>
    <row r="385" spans="1:6" x14ac:dyDescent="0.4">
      <c r="A385" s="5" t="s">
        <v>19</v>
      </c>
      <c r="B385" s="5" t="s">
        <v>7</v>
      </c>
      <c r="C385" s="5" t="s">
        <v>14</v>
      </c>
      <c r="D385" s="5">
        <v>38</v>
      </c>
      <c r="E385" s="5">
        <v>504</v>
      </c>
      <c r="F385" s="5">
        <v>19152</v>
      </c>
    </row>
    <row r="386" spans="1:6" x14ac:dyDescent="0.4">
      <c r="A386" s="5" t="s">
        <v>9</v>
      </c>
      <c r="B386" s="5" t="s">
        <v>15</v>
      </c>
      <c r="C386" s="5" t="s">
        <v>23</v>
      </c>
      <c r="D386" s="5">
        <v>48</v>
      </c>
      <c r="E386" s="5">
        <v>400</v>
      </c>
      <c r="F386" s="5">
        <v>19200</v>
      </c>
    </row>
    <row r="387" spans="1:6" x14ac:dyDescent="0.4">
      <c r="A387" s="5" t="s">
        <v>9</v>
      </c>
      <c r="B387" s="5" t="s">
        <v>10</v>
      </c>
      <c r="C387" s="5" t="s">
        <v>24</v>
      </c>
      <c r="D387" s="5">
        <v>12</v>
      </c>
      <c r="E387" s="5">
        <v>1601</v>
      </c>
      <c r="F387" s="5">
        <v>19212</v>
      </c>
    </row>
    <row r="388" spans="1:6" x14ac:dyDescent="0.4">
      <c r="A388" s="5" t="s">
        <v>17</v>
      </c>
      <c r="B388" s="5" t="s">
        <v>21</v>
      </c>
      <c r="C388" s="5" t="s">
        <v>22</v>
      </c>
      <c r="D388" s="5">
        <v>40</v>
      </c>
      <c r="E388" s="5">
        <v>483</v>
      </c>
      <c r="F388" s="5">
        <v>19320</v>
      </c>
    </row>
    <row r="389" spans="1:6" x14ac:dyDescent="0.4">
      <c r="A389" s="5" t="s">
        <v>17</v>
      </c>
      <c r="B389" s="5" t="s">
        <v>21</v>
      </c>
      <c r="C389" s="5" t="s">
        <v>8</v>
      </c>
      <c r="D389" s="5">
        <v>11</v>
      </c>
      <c r="E389" s="5">
        <v>1760</v>
      </c>
      <c r="F389" s="5">
        <v>19360</v>
      </c>
    </row>
    <row r="390" spans="1:6" x14ac:dyDescent="0.4">
      <c r="A390" s="5" t="s">
        <v>19</v>
      </c>
      <c r="B390" s="5" t="s">
        <v>21</v>
      </c>
      <c r="C390" s="5" t="s">
        <v>16</v>
      </c>
      <c r="D390" s="5">
        <v>20</v>
      </c>
      <c r="E390" s="5">
        <v>969</v>
      </c>
      <c r="F390" s="5">
        <v>19380</v>
      </c>
    </row>
    <row r="391" spans="1:6" x14ac:dyDescent="0.4">
      <c r="A391" s="5" t="s">
        <v>9</v>
      </c>
      <c r="B391" s="5" t="s">
        <v>15</v>
      </c>
      <c r="C391" s="5" t="s">
        <v>14</v>
      </c>
      <c r="D391" s="5">
        <v>14</v>
      </c>
      <c r="E391" s="5">
        <v>1386</v>
      </c>
      <c r="F391" s="5">
        <v>19404</v>
      </c>
    </row>
    <row r="392" spans="1:6" x14ac:dyDescent="0.4">
      <c r="A392" s="5" t="s">
        <v>17</v>
      </c>
      <c r="B392" s="5" t="s">
        <v>12</v>
      </c>
      <c r="C392" s="5" t="s">
        <v>13</v>
      </c>
      <c r="D392" s="5">
        <v>26</v>
      </c>
      <c r="E392" s="5">
        <v>748</v>
      </c>
      <c r="F392" s="5">
        <v>19448</v>
      </c>
    </row>
    <row r="393" spans="1:6" x14ac:dyDescent="0.4">
      <c r="A393" s="5" t="s">
        <v>6</v>
      </c>
      <c r="B393" s="5" t="s">
        <v>10</v>
      </c>
      <c r="C393" s="5" t="s">
        <v>8</v>
      </c>
      <c r="D393" s="5">
        <v>28</v>
      </c>
      <c r="E393" s="5">
        <v>699</v>
      </c>
      <c r="F393" s="5">
        <v>19572</v>
      </c>
    </row>
    <row r="394" spans="1:6" x14ac:dyDescent="0.4">
      <c r="A394" s="5" t="s">
        <v>19</v>
      </c>
      <c r="B394" s="5" t="s">
        <v>15</v>
      </c>
      <c r="C394" s="5" t="s">
        <v>16</v>
      </c>
      <c r="D394" s="5">
        <v>12</v>
      </c>
      <c r="E394" s="5">
        <v>1637</v>
      </c>
      <c r="F394" s="5">
        <v>19644</v>
      </c>
    </row>
    <row r="395" spans="1:6" x14ac:dyDescent="0.4">
      <c r="A395" s="5" t="s">
        <v>6</v>
      </c>
      <c r="B395" s="5" t="s">
        <v>10</v>
      </c>
      <c r="C395" s="5" t="s">
        <v>18</v>
      </c>
      <c r="D395" s="5">
        <v>16</v>
      </c>
      <c r="E395" s="5">
        <v>1230</v>
      </c>
      <c r="F395" s="5">
        <v>19680</v>
      </c>
    </row>
    <row r="396" spans="1:6" x14ac:dyDescent="0.4">
      <c r="A396" s="5" t="s">
        <v>19</v>
      </c>
      <c r="B396" s="5" t="s">
        <v>15</v>
      </c>
      <c r="C396" s="5" t="s">
        <v>13</v>
      </c>
      <c r="D396" s="5">
        <v>19</v>
      </c>
      <c r="E396" s="5">
        <v>1036</v>
      </c>
      <c r="F396" s="5">
        <v>19684</v>
      </c>
    </row>
    <row r="397" spans="1:6" x14ac:dyDescent="0.4">
      <c r="A397" s="5" t="s">
        <v>19</v>
      </c>
      <c r="B397" s="5" t="s">
        <v>12</v>
      </c>
      <c r="C397" s="5" t="s">
        <v>18</v>
      </c>
      <c r="D397" s="5">
        <v>34</v>
      </c>
      <c r="E397" s="5">
        <v>581</v>
      </c>
      <c r="F397" s="5">
        <v>19754</v>
      </c>
    </row>
    <row r="398" spans="1:6" x14ac:dyDescent="0.4">
      <c r="A398" s="5" t="s">
        <v>6</v>
      </c>
      <c r="B398" s="5" t="s">
        <v>7</v>
      </c>
      <c r="C398" s="5" t="s">
        <v>24</v>
      </c>
      <c r="D398" s="5">
        <v>10</v>
      </c>
      <c r="E398" s="5">
        <v>1979</v>
      </c>
      <c r="F398" s="5">
        <v>19790</v>
      </c>
    </row>
    <row r="399" spans="1:6" x14ac:dyDescent="0.4">
      <c r="A399" s="5" t="s">
        <v>6</v>
      </c>
      <c r="B399" s="5" t="s">
        <v>15</v>
      </c>
      <c r="C399" s="5" t="s">
        <v>18</v>
      </c>
      <c r="D399" s="5">
        <v>17</v>
      </c>
      <c r="E399" s="5">
        <v>1171</v>
      </c>
      <c r="F399" s="5">
        <v>19907</v>
      </c>
    </row>
    <row r="400" spans="1:6" x14ac:dyDescent="0.4">
      <c r="A400" s="5" t="s">
        <v>9</v>
      </c>
      <c r="B400" s="5" t="s">
        <v>10</v>
      </c>
      <c r="C400" s="5" t="s">
        <v>8</v>
      </c>
      <c r="D400" s="5">
        <v>12</v>
      </c>
      <c r="E400" s="5">
        <v>1662</v>
      </c>
      <c r="F400" s="5">
        <v>19944</v>
      </c>
    </row>
    <row r="401" spans="1:6" x14ac:dyDescent="0.4">
      <c r="A401" s="5" t="s">
        <v>19</v>
      </c>
      <c r="B401" s="5" t="s">
        <v>12</v>
      </c>
      <c r="C401" s="5" t="s">
        <v>11</v>
      </c>
      <c r="D401" s="5">
        <v>12</v>
      </c>
      <c r="E401" s="5">
        <v>1668</v>
      </c>
      <c r="F401" s="5">
        <v>20016</v>
      </c>
    </row>
    <row r="402" spans="1:6" x14ac:dyDescent="0.4">
      <c r="A402" s="5" t="s">
        <v>17</v>
      </c>
      <c r="B402" s="5" t="s">
        <v>7</v>
      </c>
      <c r="C402" s="5" t="s">
        <v>24</v>
      </c>
      <c r="D402" s="5">
        <v>37</v>
      </c>
      <c r="E402" s="5">
        <v>543</v>
      </c>
      <c r="F402" s="5">
        <v>20091</v>
      </c>
    </row>
    <row r="403" spans="1:6" x14ac:dyDescent="0.4">
      <c r="A403" s="5" t="s">
        <v>6</v>
      </c>
      <c r="B403" s="5" t="s">
        <v>15</v>
      </c>
      <c r="C403" s="5" t="s">
        <v>14</v>
      </c>
      <c r="D403" s="5">
        <v>17</v>
      </c>
      <c r="E403" s="5">
        <v>1184</v>
      </c>
      <c r="F403" s="5">
        <v>20128</v>
      </c>
    </row>
    <row r="404" spans="1:6" x14ac:dyDescent="0.4">
      <c r="A404" s="5" t="s">
        <v>9</v>
      </c>
      <c r="B404" s="5" t="s">
        <v>10</v>
      </c>
      <c r="C404" s="5" t="s">
        <v>11</v>
      </c>
      <c r="D404" s="5">
        <v>30</v>
      </c>
      <c r="E404" s="5">
        <v>673</v>
      </c>
      <c r="F404" s="5">
        <v>20190</v>
      </c>
    </row>
    <row r="405" spans="1:6" x14ac:dyDescent="0.4">
      <c r="A405" s="5" t="s">
        <v>6</v>
      </c>
      <c r="B405" s="5" t="s">
        <v>15</v>
      </c>
      <c r="C405" s="5" t="s">
        <v>23</v>
      </c>
      <c r="D405" s="5">
        <v>21</v>
      </c>
      <c r="E405" s="5">
        <v>965</v>
      </c>
      <c r="F405" s="5">
        <v>20265</v>
      </c>
    </row>
    <row r="406" spans="1:6" x14ac:dyDescent="0.4">
      <c r="A406" s="5" t="s">
        <v>6</v>
      </c>
      <c r="B406" s="5" t="s">
        <v>10</v>
      </c>
      <c r="C406" s="5" t="s">
        <v>18</v>
      </c>
      <c r="D406" s="5">
        <v>26</v>
      </c>
      <c r="E406" s="5">
        <v>788</v>
      </c>
      <c r="F406" s="5">
        <v>20488</v>
      </c>
    </row>
    <row r="407" spans="1:6" x14ac:dyDescent="0.4">
      <c r="A407" s="5" t="s">
        <v>9</v>
      </c>
      <c r="B407" s="5" t="s">
        <v>7</v>
      </c>
      <c r="C407" s="5" t="s">
        <v>22</v>
      </c>
      <c r="D407" s="5">
        <v>47</v>
      </c>
      <c r="E407" s="5">
        <v>438</v>
      </c>
      <c r="F407" s="5">
        <v>20586</v>
      </c>
    </row>
    <row r="408" spans="1:6" x14ac:dyDescent="0.4">
      <c r="A408" s="5" t="s">
        <v>6</v>
      </c>
      <c r="B408" s="5" t="s">
        <v>10</v>
      </c>
      <c r="C408" s="5" t="s">
        <v>11</v>
      </c>
      <c r="D408" s="5">
        <v>17</v>
      </c>
      <c r="E408" s="5">
        <v>1211</v>
      </c>
      <c r="F408" s="5">
        <v>20587</v>
      </c>
    </row>
    <row r="409" spans="1:6" x14ac:dyDescent="0.4">
      <c r="A409" s="5" t="s">
        <v>19</v>
      </c>
      <c r="B409" s="5" t="s">
        <v>12</v>
      </c>
      <c r="C409" s="5" t="s">
        <v>11</v>
      </c>
      <c r="D409" s="5">
        <v>43</v>
      </c>
      <c r="E409" s="5">
        <v>480</v>
      </c>
      <c r="F409" s="5">
        <v>20640</v>
      </c>
    </row>
    <row r="410" spans="1:6" x14ac:dyDescent="0.4">
      <c r="A410" s="5" t="s">
        <v>6</v>
      </c>
      <c r="B410" s="5" t="s">
        <v>15</v>
      </c>
      <c r="C410" s="5" t="s">
        <v>24</v>
      </c>
      <c r="D410" s="5">
        <v>31</v>
      </c>
      <c r="E410" s="5">
        <v>667</v>
      </c>
      <c r="F410" s="5">
        <v>20677</v>
      </c>
    </row>
    <row r="411" spans="1:6" x14ac:dyDescent="0.4">
      <c r="A411" s="5" t="s">
        <v>6</v>
      </c>
      <c r="B411" s="5" t="s">
        <v>15</v>
      </c>
      <c r="C411" s="5" t="s">
        <v>8</v>
      </c>
      <c r="D411" s="5">
        <v>31</v>
      </c>
      <c r="E411" s="5">
        <v>670</v>
      </c>
      <c r="F411" s="5">
        <v>20770</v>
      </c>
    </row>
    <row r="412" spans="1:6" x14ac:dyDescent="0.4">
      <c r="A412" s="5" t="s">
        <v>9</v>
      </c>
      <c r="B412" s="5" t="s">
        <v>10</v>
      </c>
      <c r="C412" s="5" t="s">
        <v>18</v>
      </c>
      <c r="D412" s="5">
        <v>39</v>
      </c>
      <c r="E412" s="5">
        <v>534</v>
      </c>
      <c r="F412" s="5">
        <v>20826</v>
      </c>
    </row>
    <row r="413" spans="1:6" x14ac:dyDescent="0.4">
      <c r="A413" s="5" t="s">
        <v>19</v>
      </c>
      <c r="B413" s="5" t="s">
        <v>10</v>
      </c>
      <c r="C413" s="5" t="s">
        <v>8</v>
      </c>
      <c r="D413" s="5">
        <v>40</v>
      </c>
      <c r="E413" s="5">
        <v>522</v>
      </c>
      <c r="F413" s="5">
        <v>20880</v>
      </c>
    </row>
    <row r="414" spans="1:6" x14ac:dyDescent="0.4">
      <c r="A414" s="5" t="s">
        <v>9</v>
      </c>
      <c r="B414" s="5" t="s">
        <v>7</v>
      </c>
      <c r="C414" s="5" t="s">
        <v>23</v>
      </c>
      <c r="D414" s="5">
        <v>29</v>
      </c>
      <c r="E414" s="5">
        <v>720</v>
      </c>
      <c r="F414" s="5">
        <v>20880</v>
      </c>
    </row>
    <row r="415" spans="1:6" x14ac:dyDescent="0.4">
      <c r="A415" s="5" t="s">
        <v>9</v>
      </c>
      <c r="B415" s="5" t="s">
        <v>7</v>
      </c>
      <c r="C415" s="5" t="s">
        <v>13</v>
      </c>
      <c r="D415" s="5">
        <v>20</v>
      </c>
      <c r="E415" s="5">
        <v>1047</v>
      </c>
      <c r="F415" s="5">
        <v>20940</v>
      </c>
    </row>
    <row r="416" spans="1:6" x14ac:dyDescent="0.4">
      <c r="A416" s="5" t="s">
        <v>17</v>
      </c>
      <c r="B416" s="5" t="s">
        <v>12</v>
      </c>
      <c r="C416" s="5" t="s">
        <v>18</v>
      </c>
      <c r="D416" s="5">
        <v>43</v>
      </c>
      <c r="E416" s="5">
        <v>487</v>
      </c>
      <c r="F416" s="5">
        <v>20941</v>
      </c>
    </row>
    <row r="417" spans="1:6" x14ac:dyDescent="0.4">
      <c r="A417" s="5" t="s">
        <v>6</v>
      </c>
      <c r="B417" s="5" t="s">
        <v>15</v>
      </c>
      <c r="C417" s="5" t="s">
        <v>13</v>
      </c>
      <c r="D417" s="5">
        <v>11</v>
      </c>
      <c r="E417" s="5">
        <v>1911</v>
      </c>
      <c r="F417" s="5">
        <v>21021</v>
      </c>
    </row>
    <row r="418" spans="1:6" x14ac:dyDescent="0.4">
      <c r="A418" s="5" t="s">
        <v>6</v>
      </c>
      <c r="B418" s="5" t="s">
        <v>10</v>
      </c>
      <c r="C418" s="5" t="s">
        <v>14</v>
      </c>
      <c r="D418" s="5">
        <v>13</v>
      </c>
      <c r="E418" s="5">
        <v>1627</v>
      </c>
      <c r="F418" s="5">
        <v>21151</v>
      </c>
    </row>
    <row r="419" spans="1:6" x14ac:dyDescent="0.4">
      <c r="A419" s="5" t="s">
        <v>19</v>
      </c>
      <c r="B419" s="5" t="s">
        <v>7</v>
      </c>
      <c r="C419" s="5" t="s">
        <v>11</v>
      </c>
      <c r="D419" s="5">
        <v>25</v>
      </c>
      <c r="E419" s="5">
        <v>851</v>
      </c>
      <c r="F419" s="5">
        <v>21275</v>
      </c>
    </row>
    <row r="420" spans="1:6" x14ac:dyDescent="0.4">
      <c r="A420" s="5" t="s">
        <v>6</v>
      </c>
      <c r="B420" s="5" t="s">
        <v>15</v>
      </c>
      <c r="C420" s="5" t="s">
        <v>20</v>
      </c>
      <c r="D420" s="5">
        <v>25</v>
      </c>
      <c r="E420" s="5">
        <v>858</v>
      </c>
      <c r="F420" s="5">
        <v>21450</v>
      </c>
    </row>
    <row r="421" spans="1:6" x14ac:dyDescent="0.4">
      <c r="A421" s="5" t="s">
        <v>19</v>
      </c>
      <c r="B421" s="5" t="s">
        <v>10</v>
      </c>
      <c r="C421" s="5" t="s">
        <v>24</v>
      </c>
      <c r="D421" s="5">
        <v>19</v>
      </c>
      <c r="E421" s="5">
        <v>1134</v>
      </c>
      <c r="F421" s="5">
        <v>21546</v>
      </c>
    </row>
    <row r="422" spans="1:6" x14ac:dyDescent="0.4">
      <c r="A422" s="5" t="s">
        <v>17</v>
      </c>
      <c r="B422" s="5" t="s">
        <v>21</v>
      </c>
      <c r="C422" s="5" t="s">
        <v>22</v>
      </c>
      <c r="D422" s="5">
        <v>25</v>
      </c>
      <c r="E422" s="5">
        <v>870</v>
      </c>
      <c r="F422" s="5">
        <v>21750</v>
      </c>
    </row>
    <row r="423" spans="1:6" x14ac:dyDescent="0.4">
      <c r="A423" s="5" t="s">
        <v>6</v>
      </c>
      <c r="B423" s="5" t="s">
        <v>7</v>
      </c>
      <c r="C423" s="5" t="s">
        <v>22</v>
      </c>
      <c r="D423" s="5">
        <v>48</v>
      </c>
      <c r="E423" s="5">
        <v>454</v>
      </c>
      <c r="F423" s="5">
        <v>21792</v>
      </c>
    </row>
    <row r="424" spans="1:6" x14ac:dyDescent="0.4">
      <c r="A424" s="5" t="s">
        <v>6</v>
      </c>
      <c r="B424" s="5" t="s">
        <v>12</v>
      </c>
      <c r="C424" s="5" t="s">
        <v>8</v>
      </c>
      <c r="D424" s="5">
        <v>47</v>
      </c>
      <c r="E424" s="5">
        <v>464</v>
      </c>
      <c r="F424" s="5">
        <v>21808</v>
      </c>
    </row>
    <row r="425" spans="1:6" x14ac:dyDescent="0.4">
      <c r="A425" s="5" t="s">
        <v>19</v>
      </c>
      <c r="B425" s="5" t="s">
        <v>7</v>
      </c>
      <c r="C425" s="5" t="s">
        <v>22</v>
      </c>
      <c r="D425" s="5">
        <v>20</v>
      </c>
      <c r="E425" s="5">
        <v>1091</v>
      </c>
      <c r="F425" s="5">
        <v>21820</v>
      </c>
    </row>
    <row r="426" spans="1:6" x14ac:dyDescent="0.4">
      <c r="A426" s="5" t="s">
        <v>17</v>
      </c>
      <c r="B426" s="5" t="s">
        <v>21</v>
      </c>
      <c r="C426" s="5" t="s">
        <v>16</v>
      </c>
      <c r="D426" s="5">
        <v>30</v>
      </c>
      <c r="E426" s="5">
        <v>735</v>
      </c>
      <c r="F426" s="5">
        <v>22050</v>
      </c>
    </row>
    <row r="427" spans="1:6" x14ac:dyDescent="0.4">
      <c r="A427" s="5" t="s">
        <v>6</v>
      </c>
      <c r="B427" s="5" t="s">
        <v>10</v>
      </c>
      <c r="C427" s="5" t="s">
        <v>13</v>
      </c>
      <c r="D427" s="5">
        <v>45</v>
      </c>
      <c r="E427" s="5">
        <v>490</v>
      </c>
      <c r="F427" s="5">
        <v>22050</v>
      </c>
    </row>
    <row r="428" spans="1:6" x14ac:dyDescent="0.4">
      <c r="A428" s="5" t="s">
        <v>9</v>
      </c>
      <c r="B428" s="5" t="s">
        <v>21</v>
      </c>
      <c r="C428" s="5" t="s">
        <v>18</v>
      </c>
      <c r="D428" s="5">
        <v>50</v>
      </c>
      <c r="E428" s="5">
        <v>444</v>
      </c>
      <c r="F428" s="5">
        <v>22200</v>
      </c>
    </row>
    <row r="429" spans="1:6" x14ac:dyDescent="0.4">
      <c r="A429" s="5" t="s">
        <v>9</v>
      </c>
      <c r="B429" s="5" t="s">
        <v>10</v>
      </c>
      <c r="C429" s="5" t="s">
        <v>13</v>
      </c>
      <c r="D429" s="5">
        <v>29</v>
      </c>
      <c r="E429" s="5">
        <v>767</v>
      </c>
      <c r="F429" s="5">
        <v>22243</v>
      </c>
    </row>
    <row r="430" spans="1:6" x14ac:dyDescent="0.4">
      <c r="A430" s="5" t="s">
        <v>17</v>
      </c>
      <c r="B430" s="5" t="s">
        <v>7</v>
      </c>
      <c r="C430" s="5" t="s">
        <v>18</v>
      </c>
      <c r="D430" s="5">
        <v>42</v>
      </c>
      <c r="E430" s="5">
        <v>531</v>
      </c>
      <c r="F430" s="5">
        <v>22302</v>
      </c>
    </row>
    <row r="431" spans="1:6" x14ac:dyDescent="0.4">
      <c r="A431" s="5" t="s">
        <v>6</v>
      </c>
      <c r="B431" s="5" t="s">
        <v>21</v>
      </c>
      <c r="C431" s="5" t="s">
        <v>11</v>
      </c>
      <c r="D431" s="5">
        <v>12</v>
      </c>
      <c r="E431" s="5">
        <v>1867</v>
      </c>
      <c r="F431" s="5">
        <v>22404</v>
      </c>
    </row>
    <row r="432" spans="1:6" x14ac:dyDescent="0.4">
      <c r="A432" s="5" t="s">
        <v>6</v>
      </c>
      <c r="B432" s="5" t="s">
        <v>15</v>
      </c>
      <c r="C432" s="5" t="s">
        <v>20</v>
      </c>
      <c r="D432" s="5">
        <v>24</v>
      </c>
      <c r="E432" s="5">
        <v>934</v>
      </c>
      <c r="F432" s="5">
        <v>22416</v>
      </c>
    </row>
    <row r="433" spans="1:6" x14ac:dyDescent="0.4">
      <c r="A433" s="5" t="s">
        <v>9</v>
      </c>
      <c r="B433" s="5" t="s">
        <v>21</v>
      </c>
      <c r="C433" s="5" t="s">
        <v>23</v>
      </c>
      <c r="D433" s="5">
        <v>19</v>
      </c>
      <c r="E433" s="5">
        <v>1184</v>
      </c>
      <c r="F433" s="5">
        <v>22496</v>
      </c>
    </row>
    <row r="434" spans="1:6" x14ac:dyDescent="0.4">
      <c r="A434" s="5" t="s">
        <v>19</v>
      </c>
      <c r="B434" s="5" t="s">
        <v>21</v>
      </c>
      <c r="C434" s="5" t="s">
        <v>20</v>
      </c>
      <c r="D434" s="5">
        <v>42</v>
      </c>
      <c r="E434" s="5">
        <v>536</v>
      </c>
      <c r="F434" s="5">
        <v>22512</v>
      </c>
    </row>
    <row r="435" spans="1:6" x14ac:dyDescent="0.4">
      <c r="A435" s="5" t="s">
        <v>19</v>
      </c>
      <c r="B435" s="5" t="s">
        <v>7</v>
      </c>
      <c r="C435" s="5" t="s">
        <v>24</v>
      </c>
      <c r="D435" s="5">
        <v>24</v>
      </c>
      <c r="E435" s="5">
        <v>939</v>
      </c>
      <c r="F435" s="5">
        <v>22536</v>
      </c>
    </row>
    <row r="436" spans="1:6" x14ac:dyDescent="0.4">
      <c r="A436" s="5" t="s">
        <v>17</v>
      </c>
      <c r="B436" s="5" t="s">
        <v>7</v>
      </c>
      <c r="C436" s="5" t="s">
        <v>14</v>
      </c>
      <c r="D436" s="5">
        <v>47</v>
      </c>
      <c r="E436" s="5">
        <v>480</v>
      </c>
      <c r="F436" s="5">
        <v>22560</v>
      </c>
    </row>
    <row r="437" spans="1:6" x14ac:dyDescent="0.4">
      <c r="A437" s="5" t="s">
        <v>9</v>
      </c>
      <c r="B437" s="5" t="s">
        <v>10</v>
      </c>
      <c r="C437" s="5" t="s">
        <v>8</v>
      </c>
      <c r="D437" s="5">
        <v>19</v>
      </c>
      <c r="E437" s="5">
        <v>1191</v>
      </c>
      <c r="F437" s="5">
        <v>22629</v>
      </c>
    </row>
    <row r="438" spans="1:6" x14ac:dyDescent="0.4">
      <c r="A438" s="5" t="s">
        <v>19</v>
      </c>
      <c r="B438" s="5" t="s">
        <v>10</v>
      </c>
      <c r="C438" s="5" t="s">
        <v>11</v>
      </c>
      <c r="D438" s="5">
        <v>39</v>
      </c>
      <c r="E438" s="5">
        <v>583</v>
      </c>
      <c r="F438" s="5">
        <v>22737</v>
      </c>
    </row>
    <row r="439" spans="1:6" x14ac:dyDescent="0.4">
      <c r="A439" s="5" t="s">
        <v>9</v>
      </c>
      <c r="B439" s="5" t="s">
        <v>12</v>
      </c>
      <c r="C439" s="5" t="s">
        <v>18</v>
      </c>
      <c r="D439" s="5">
        <v>13</v>
      </c>
      <c r="E439" s="5">
        <v>1758</v>
      </c>
      <c r="F439" s="5">
        <v>22854</v>
      </c>
    </row>
    <row r="440" spans="1:6" x14ac:dyDescent="0.4">
      <c r="A440" s="5" t="s">
        <v>17</v>
      </c>
      <c r="B440" s="5" t="s">
        <v>21</v>
      </c>
      <c r="C440" s="5" t="s">
        <v>18</v>
      </c>
      <c r="D440" s="5">
        <v>27</v>
      </c>
      <c r="E440" s="5">
        <v>847</v>
      </c>
      <c r="F440" s="5">
        <v>22869</v>
      </c>
    </row>
    <row r="441" spans="1:6" x14ac:dyDescent="0.4">
      <c r="A441" s="5" t="s">
        <v>17</v>
      </c>
      <c r="B441" s="5" t="s">
        <v>10</v>
      </c>
      <c r="C441" s="5" t="s">
        <v>18</v>
      </c>
      <c r="D441" s="5">
        <v>31</v>
      </c>
      <c r="E441" s="5">
        <v>743</v>
      </c>
      <c r="F441" s="5">
        <v>23033</v>
      </c>
    </row>
    <row r="442" spans="1:6" x14ac:dyDescent="0.4">
      <c r="A442" s="5" t="s">
        <v>19</v>
      </c>
      <c r="B442" s="5" t="s">
        <v>7</v>
      </c>
      <c r="C442" s="5" t="s">
        <v>24</v>
      </c>
      <c r="D442" s="5">
        <v>19</v>
      </c>
      <c r="E442" s="5">
        <v>1216</v>
      </c>
      <c r="F442" s="5">
        <v>23104</v>
      </c>
    </row>
    <row r="443" spans="1:6" x14ac:dyDescent="0.4">
      <c r="A443" s="5" t="s">
        <v>17</v>
      </c>
      <c r="B443" s="5" t="s">
        <v>15</v>
      </c>
      <c r="C443" s="5" t="s">
        <v>22</v>
      </c>
      <c r="D443" s="5">
        <v>14</v>
      </c>
      <c r="E443" s="5">
        <v>1652</v>
      </c>
      <c r="F443" s="5">
        <v>23128</v>
      </c>
    </row>
    <row r="444" spans="1:6" x14ac:dyDescent="0.4">
      <c r="A444" s="5" t="s">
        <v>19</v>
      </c>
      <c r="B444" s="5" t="s">
        <v>7</v>
      </c>
      <c r="C444" s="5" t="s">
        <v>22</v>
      </c>
      <c r="D444" s="5">
        <v>50</v>
      </c>
      <c r="E444" s="5">
        <v>463</v>
      </c>
      <c r="F444" s="5">
        <v>23150</v>
      </c>
    </row>
    <row r="445" spans="1:6" x14ac:dyDescent="0.4">
      <c r="A445" s="5" t="s">
        <v>6</v>
      </c>
      <c r="B445" s="5" t="s">
        <v>10</v>
      </c>
      <c r="C445" s="5" t="s">
        <v>8</v>
      </c>
      <c r="D445" s="5">
        <v>22</v>
      </c>
      <c r="E445" s="5">
        <v>1053</v>
      </c>
      <c r="F445" s="5">
        <v>23166</v>
      </c>
    </row>
    <row r="446" spans="1:6" x14ac:dyDescent="0.4">
      <c r="A446" s="5" t="s">
        <v>17</v>
      </c>
      <c r="B446" s="5" t="s">
        <v>10</v>
      </c>
      <c r="C446" s="5" t="s">
        <v>24</v>
      </c>
      <c r="D446" s="5">
        <v>31</v>
      </c>
      <c r="E446" s="5">
        <v>748</v>
      </c>
      <c r="F446" s="5">
        <v>23188</v>
      </c>
    </row>
    <row r="447" spans="1:6" x14ac:dyDescent="0.4">
      <c r="A447" s="5" t="s">
        <v>19</v>
      </c>
      <c r="B447" s="5" t="s">
        <v>15</v>
      </c>
      <c r="C447" s="5" t="s">
        <v>16</v>
      </c>
      <c r="D447" s="5">
        <v>15</v>
      </c>
      <c r="E447" s="5">
        <v>1546</v>
      </c>
      <c r="F447" s="5">
        <v>23190</v>
      </c>
    </row>
    <row r="448" spans="1:6" x14ac:dyDescent="0.4">
      <c r="A448" s="5" t="s">
        <v>17</v>
      </c>
      <c r="B448" s="5" t="s">
        <v>10</v>
      </c>
      <c r="C448" s="5" t="s">
        <v>20</v>
      </c>
      <c r="D448" s="5">
        <v>26</v>
      </c>
      <c r="E448" s="5">
        <v>893</v>
      </c>
      <c r="F448" s="5">
        <v>23218</v>
      </c>
    </row>
    <row r="449" spans="1:6" x14ac:dyDescent="0.4">
      <c r="A449" s="5" t="s">
        <v>19</v>
      </c>
      <c r="B449" s="5" t="s">
        <v>7</v>
      </c>
      <c r="C449" s="5" t="s">
        <v>11</v>
      </c>
      <c r="D449" s="5">
        <v>37</v>
      </c>
      <c r="E449" s="5">
        <v>628</v>
      </c>
      <c r="F449" s="5">
        <v>23236</v>
      </c>
    </row>
    <row r="450" spans="1:6" x14ac:dyDescent="0.4">
      <c r="A450" s="5" t="s">
        <v>9</v>
      </c>
      <c r="B450" s="5" t="s">
        <v>12</v>
      </c>
      <c r="C450" s="5" t="s">
        <v>8</v>
      </c>
      <c r="D450" s="5">
        <v>15</v>
      </c>
      <c r="E450" s="5">
        <v>1560</v>
      </c>
      <c r="F450" s="5">
        <v>23400</v>
      </c>
    </row>
    <row r="451" spans="1:6" x14ac:dyDescent="0.4">
      <c r="A451" s="5" t="s">
        <v>6</v>
      </c>
      <c r="B451" s="5" t="s">
        <v>12</v>
      </c>
      <c r="C451" s="5" t="s">
        <v>23</v>
      </c>
      <c r="D451" s="5">
        <v>34</v>
      </c>
      <c r="E451" s="5">
        <v>699</v>
      </c>
      <c r="F451" s="5">
        <v>23766</v>
      </c>
    </row>
    <row r="452" spans="1:6" x14ac:dyDescent="0.4">
      <c r="A452" s="5" t="s">
        <v>19</v>
      </c>
      <c r="B452" s="5" t="s">
        <v>7</v>
      </c>
      <c r="C452" s="5" t="s">
        <v>18</v>
      </c>
      <c r="D452" s="5">
        <v>21</v>
      </c>
      <c r="E452" s="5">
        <v>1132</v>
      </c>
      <c r="F452" s="5">
        <v>23772</v>
      </c>
    </row>
    <row r="453" spans="1:6" x14ac:dyDescent="0.4">
      <c r="A453" s="5" t="s">
        <v>17</v>
      </c>
      <c r="B453" s="5" t="s">
        <v>7</v>
      </c>
      <c r="C453" s="5" t="s">
        <v>20</v>
      </c>
      <c r="D453" s="5">
        <v>34</v>
      </c>
      <c r="E453" s="5">
        <v>701</v>
      </c>
      <c r="F453" s="5">
        <v>23834</v>
      </c>
    </row>
    <row r="454" spans="1:6" x14ac:dyDescent="0.4">
      <c r="A454" s="5" t="s">
        <v>6</v>
      </c>
      <c r="B454" s="5" t="s">
        <v>15</v>
      </c>
      <c r="C454" s="5" t="s">
        <v>16</v>
      </c>
      <c r="D454" s="5">
        <v>44</v>
      </c>
      <c r="E454" s="5">
        <v>542</v>
      </c>
      <c r="F454" s="5">
        <v>23848</v>
      </c>
    </row>
    <row r="455" spans="1:6" x14ac:dyDescent="0.4">
      <c r="A455" s="5" t="s">
        <v>6</v>
      </c>
      <c r="B455" s="5" t="s">
        <v>7</v>
      </c>
      <c r="C455" s="5" t="s">
        <v>18</v>
      </c>
      <c r="D455" s="5">
        <v>31</v>
      </c>
      <c r="E455" s="5">
        <v>775</v>
      </c>
      <c r="F455" s="5">
        <v>24025</v>
      </c>
    </row>
    <row r="456" spans="1:6" x14ac:dyDescent="0.4">
      <c r="A456" s="5" t="s">
        <v>6</v>
      </c>
      <c r="B456" s="5" t="s">
        <v>7</v>
      </c>
      <c r="C456" s="5" t="s">
        <v>14</v>
      </c>
      <c r="D456" s="5">
        <v>13</v>
      </c>
      <c r="E456" s="5">
        <v>1854</v>
      </c>
      <c r="F456" s="5">
        <v>24102</v>
      </c>
    </row>
    <row r="457" spans="1:6" x14ac:dyDescent="0.4">
      <c r="A457" s="5" t="s">
        <v>19</v>
      </c>
      <c r="B457" s="5" t="s">
        <v>15</v>
      </c>
      <c r="C457" s="5" t="s">
        <v>23</v>
      </c>
      <c r="D457" s="5">
        <v>16</v>
      </c>
      <c r="E457" s="5">
        <v>1512</v>
      </c>
      <c r="F457" s="5">
        <v>24192</v>
      </c>
    </row>
    <row r="458" spans="1:6" x14ac:dyDescent="0.4">
      <c r="A458" s="5" t="s">
        <v>6</v>
      </c>
      <c r="B458" s="5" t="s">
        <v>12</v>
      </c>
      <c r="C458" s="5" t="s">
        <v>14</v>
      </c>
      <c r="D458" s="5">
        <v>34</v>
      </c>
      <c r="E458" s="5">
        <v>714</v>
      </c>
      <c r="F458" s="5">
        <v>24276</v>
      </c>
    </row>
    <row r="459" spans="1:6" x14ac:dyDescent="0.4">
      <c r="A459" s="5" t="s">
        <v>19</v>
      </c>
      <c r="B459" s="5" t="s">
        <v>12</v>
      </c>
      <c r="C459" s="5" t="s">
        <v>20</v>
      </c>
      <c r="D459" s="5">
        <v>44</v>
      </c>
      <c r="E459" s="5">
        <v>554</v>
      </c>
      <c r="F459" s="5">
        <v>24376</v>
      </c>
    </row>
    <row r="460" spans="1:6" x14ac:dyDescent="0.4">
      <c r="A460" s="5" t="s">
        <v>19</v>
      </c>
      <c r="B460" s="5" t="s">
        <v>21</v>
      </c>
      <c r="C460" s="5" t="s">
        <v>8</v>
      </c>
      <c r="D460" s="5">
        <v>23</v>
      </c>
      <c r="E460" s="5">
        <v>1060</v>
      </c>
      <c r="F460" s="5">
        <v>24380</v>
      </c>
    </row>
    <row r="461" spans="1:6" x14ac:dyDescent="0.4">
      <c r="A461" s="5" t="s">
        <v>19</v>
      </c>
      <c r="B461" s="5" t="s">
        <v>12</v>
      </c>
      <c r="C461" s="5" t="s">
        <v>13</v>
      </c>
      <c r="D461" s="5">
        <v>25</v>
      </c>
      <c r="E461" s="5">
        <v>979</v>
      </c>
      <c r="F461" s="5">
        <v>24475</v>
      </c>
    </row>
    <row r="462" spans="1:6" x14ac:dyDescent="0.4">
      <c r="A462" s="5" t="s">
        <v>9</v>
      </c>
      <c r="B462" s="5" t="s">
        <v>15</v>
      </c>
      <c r="C462" s="5" t="s">
        <v>8</v>
      </c>
      <c r="D462" s="5">
        <v>21</v>
      </c>
      <c r="E462" s="5">
        <v>1169</v>
      </c>
      <c r="F462" s="5">
        <v>24549</v>
      </c>
    </row>
    <row r="463" spans="1:6" x14ac:dyDescent="0.4">
      <c r="A463" s="5" t="s">
        <v>6</v>
      </c>
      <c r="B463" s="5" t="s">
        <v>15</v>
      </c>
      <c r="C463" s="5" t="s">
        <v>13</v>
      </c>
      <c r="D463" s="5">
        <v>17</v>
      </c>
      <c r="E463" s="5">
        <v>1448</v>
      </c>
      <c r="F463" s="5">
        <v>24616</v>
      </c>
    </row>
    <row r="464" spans="1:6" x14ac:dyDescent="0.4">
      <c r="A464" s="5" t="s">
        <v>19</v>
      </c>
      <c r="B464" s="5" t="s">
        <v>10</v>
      </c>
      <c r="C464" s="5" t="s">
        <v>23</v>
      </c>
      <c r="D464" s="5">
        <v>20</v>
      </c>
      <c r="E464" s="5">
        <v>1232</v>
      </c>
      <c r="F464" s="5">
        <v>24640</v>
      </c>
    </row>
    <row r="465" spans="1:6" x14ac:dyDescent="0.4">
      <c r="A465" s="5" t="s">
        <v>19</v>
      </c>
      <c r="B465" s="5" t="s">
        <v>7</v>
      </c>
      <c r="C465" s="5" t="s">
        <v>23</v>
      </c>
      <c r="D465" s="5">
        <v>17</v>
      </c>
      <c r="E465" s="5">
        <v>1456</v>
      </c>
      <c r="F465" s="5">
        <v>24752</v>
      </c>
    </row>
    <row r="466" spans="1:6" x14ac:dyDescent="0.4">
      <c r="A466" s="5" t="s">
        <v>19</v>
      </c>
      <c r="B466" s="5" t="s">
        <v>10</v>
      </c>
      <c r="C466" s="5" t="s">
        <v>22</v>
      </c>
      <c r="D466" s="5">
        <v>33</v>
      </c>
      <c r="E466" s="5">
        <v>751</v>
      </c>
      <c r="F466" s="5">
        <v>24783</v>
      </c>
    </row>
    <row r="467" spans="1:6" x14ac:dyDescent="0.4">
      <c r="A467" s="5" t="s">
        <v>17</v>
      </c>
      <c r="B467" s="5" t="s">
        <v>7</v>
      </c>
      <c r="C467" s="5" t="s">
        <v>13</v>
      </c>
      <c r="D467" s="5">
        <v>16</v>
      </c>
      <c r="E467" s="5">
        <v>1549</v>
      </c>
      <c r="F467" s="5">
        <v>24784</v>
      </c>
    </row>
    <row r="468" spans="1:6" x14ac:dyDescent="0.4">
      <c r="A468" s="5" t="s">
        <v>17</v>
      </c>
      <c r="B468" s="5" t="s">
        <v>7</v>
      </c>
      <c r="C468" s="5" t="s">
        <v>23</v>
      </c>
      <c r="D468" s="5">
        <v>25</v>
      </c>
      <c r="E468" s="5">
        <v>993</v>
      </c>
      <c r="F468" s="5">
        <v>24825</v>
      </c>
    </row>
    <row r="469" spans="1:6" x14ac:dyDescent="0.4">
      <c r="A469" s="5" t="s">
        <v>6</v>
      </c>
      <c r="B469" s="5" t="s">
        <v>21</v>
      </c>
      <c r="C469" s="5" t="s">
        <v>8</v>
      </c>
      <c r="D469" s="5">
        <v>19</v>
      </c>
      <c r="E469" s="5">
        <v>1316</v>
      </c>
      <c r="F469" s="5">
        <v>25004</v>
      </c>
    </row>
    <row r="470" spans="1:6" x14ac:dyDescent="0.4">
      <c r="A470" s="5" t="s">
        <v>17</v>
      </c>
      <c r="B470" s="5" t="s">
        <v>7</v>
      </c>
      <c r="C470" s="5" t="s">
        <v>23</v>
      </c>
      <c r="D470" s="5">
        <v>31</v>
      </c>
      <c r="E470" s="5">
        <v>807</v>
      </c>
      <c r="F470" s="5">
        <v>25017</v>
      </c>
    </row>
    <row r="471" spans="1:6" x14ac:dyDescent="0.4">
      <c r="A471" s="5" t="s">
        <v>9</v>
      </c>
      <c r="B471" s="5" t="s">
        <v>12</v>
      </c>
      <c r="C471" s="5" t="s">
        <v>8</v>
      </c>
      <c r="D471" s="5">
        <v>40</v>
      </c>
      <c r="E471" s="5">
        <v>627</v>
      </c>
      <c r="F471" s="5">
        <v>25080</v>
      </c>
    </row>
    <row r="472" spans="1:6" x14ac:dyDescent="0.4">
      <c r="A472" s="5" t="s">
        <v>17</v>
      </c>
      <c r="B472" s="5" t="s">
        <v>7</v>
      </c>
      <c r="C472" s="5" t="s">
        <v>8</v>
      </c>
      <c r="D472" s="5">
        <v>23</v>
      </c>
      <c r="E472" s="5">
        <v>1098</v>
      </c>
      <c r="F472" s="5">
        <v>25254</v>
      </c>
    </row>
    <row r="473" spans="1:6" x14ac:dyDescent="0.4">
      <c r="A473" s="5" t="s">
        <v>17</v>
      </c>
      <c r="B473" s="5" t="s">
        <v>7</v>
      </c>
      <c r="C473" s="5" t="s">
        <v>14</v>
      </c>
      <c r="D473" s="5">
        <v>21</v>
      </c>
      <c r="E473" s="5">
        <v>1204</v>
      </c>
      <c r="F473" s="5">
        <v>25284</v>
      </c>
    </row>
    <row r="474" spans="1:6" x14ac:dyDescent="0.4">
      <c r="A474" s="5" t="s">
        <v>9</v>
      </c>
      <c r="B474" s="5" t="s">
        <v>15</v>
      </c>
      <c r="C474" s="5" t="s">
        <v>24</v>
      </c>
      <c r="D474" s="5">
        <v>14</v>
      </c>
      <c r="E474" s="5">
        <v>1810</v>
      </c>
      <c r="F474" s="5">
        <v>25340</v>
      </c>
    </row>
    <row r="475" spans="1:6" x14ac:dyDescent="0.4">
      <c r="A475" s="5" t="s">
        <v>17</v>
      </c>
      <c r="B475" s="5" t="s">
        <v>7</v>
      </c>
      <c r="C475" s="5" t="s">
        <v>24</v>
      </c>
      <c r="D475" s="5">
        <v>18</v>
      </c>
      <c r="E475" s="5">
        <v>1413</v>
      </c>
      <c r="F475" s="5">
        <v>25434</v>
      </c>
    </row>
    <row r="476" spans="1:6" x14ac:dyDescent="0.4">
      <c r="A476" s="5" t="s">
        <v>19</v>
      </c>
      <c r="B476" s="5" t="s">
        <v>15</v>
      </c>
      <c r="C476" s="5" t="s">
        <v>24</v>
      </c>
      <c r="D476" s="5">
        <v>48</v>
      </c>
      <c r="E476" s="5">
        <v>530</v>
      </c>
      <c r="F476" s="5">
        <v>25440</v>
      </c>
    </row>
    <row r="477" spans="1:6" x14ac:dyDescent="0.4">
      <c r="A477" s="5" t="s">
        <v>19</v>
      </c>
      <c r="B477" s="5" t="s">
        <v>10</v>
      </c>
      <c r="C477" s="5" t="s">
        <v>11</v>
      </c>
      <c r="D477" s="5">
        <v>32</v>
      </c>
      <c r="E477" s="5">
        <v>803</v>
      </c>
      <c r="F477" s="5">
        <v>25696</v>
      </c>
    </row>
    <row r="478" spans="1:6" x14ac:dyDescent="0.4">
      <c r="A478" s="5" t="s">
        <v>9</v>
      </c>
      <c r="B478" s="5" t="s">
        <v>15</v>
      </c>
      <c r="C478" s="5" t="s">
        <v>11</v>
      </c>
      <c r="D478" s="5">
        <v>24</v>
      </c>
      <c r="E478" s="5">
        <v>1081</v>
      </c>
      <c r="F478" s="5">
        <v>25944</v>
      </c>
    </row>
    <row r="479" spans="1:6" x14ac:dyDescent="0.4">
      <c r="A479" s="5" t="s">
        <v>19</v>
      </c>
      <c r="B479" s="5" t="s">
        <v>12</v>
      </c>
      <c r="C479" s="5" t="s">
        <v>13</v>
      </c>
      <c r="D479" s="5">
        <v>23</v>
      </c>
      <c r="E479" s="5">
        <v>1130</v>
      </c>
      <c r="F479" s="5">
        <v>25990</v>
      </c>
    </row>
    <row r="480" spans="1:6" x14ac:dyDescent="0.4">
      <c r="A480" s="5" t="s">
        <v>19</v>
      </c>
      <c r="B480" s="5" t="s">
        <v>12</v>
      </c>
      <c r="C480" s="5" t="s">
        <v>24</v>
      </c>
      <c r="D480" s="5">
        <v>14</v>
      </c>
      <c r="E480" s="5">
        <v>1860</v>
      </c>
      <c r="F480" s="5">
        <v>26040</v>
      </c>
    </row>
    <row r="481" spans="1:6" x14ac:dyDescent="0.4">
      <c r="A481" s="5" t="s">
        <v>19</v>
      </c>
      <c r="B481" s="5" t="s">
        <v>21</v>
      </c>
      <c r="C481" s="5" t="s">
        <v>20</v>
      </c>
      <c r="D481" s="5">
        <v>34</v>
      </c>
      <c r="E481" s="5">
        <v>766</v>
      </c>
      <c r="F481" s="5">
        <v>26044</v>
      </c>
    </row>
    <row r="482" spans="1:6" x14ac:dyDescent="0.4">
      <c r="A482" s="5" t="s">
        <v>19</v>
      </c>
      <c r="B482" s="5" t="s">
        <v>21</v>
      </c>
      <c r="C482" s="5" t="s">
        <v>16</v>
      </c>
      <c r="D482" s="5">
        <v>37</v>
      </c>
      <c r="E482" s="5">
        <v>707</v>
      </c>
      <c r="F482" s="5">
        <v>26159</v>
      </c>
    </row>
    <row r="483" spans="1:6" x14ac:dyDescent="0.4">
      <c r="A483" s="5" t="s">
        <v>17</v>
      </c>
      <c r="B483" s="5" t="s">
        <v>7</v>
      </c>
      <c r="C483" s="5" t="s">
        <v>13</v>
      </c>
      <c r="D483" s="5">
        <v>36</v>
      </c>
      <c r="E483" s="5">
        <v>734</v>
      </c>
      <c r="F483" s="5">
        <v>26424</v>
      </c>
    </row>
    <row r="484" spans="1:6" x14ac:dyDescent="0.4">
      <c r="A484" s="5" t="s">
        <v>6</v>
      </c>
      <c r="B484" s="5" t="s">
        <v>21</v>
      </c>
      <c r="C484" s="5" t="s">
        <v>11</v>
      </c>
      <c r="D484" s="5">
        <v>33</v>
      </c>
      <c r="E484" s="5">
        <v>805</v>
      </c>
      <c r="F484" s="5">
        <v>26565</v>
      </c>
    </row>
    <row r="485" spans="1:6" x14ac:dyDescent="0.4">
      <c r="A485" s="5" t="s">
        <v>9</v>
      </c>
      <c r="B485" s="5" t="s">
        <v>10</v>
      </c>
      <c r="C485" s="5" t="s">
        <v>8</v>
      </c>
      <c r="D485" s="5">
        <v>31</v>
      </c>
      <c r="E485" s="5">
        <v>860</v>
      </c>
      <c r="F485" s="5">
        <v>26660</v>
      </c>
    </row>
    <row r="486" spans="1:6" x14ac:dyDescent="0.4">
      <c r="A486" s="5" t="s">
        <v>6</v>
      </c>
      <c r="B486" s="5" t="s">
        <v>12</v>
      </c>
      <c r="C486" s="5" t="s">
        <v>13</v>
      </c>
      <c r="D486" s="5">
        <v>27</v>
      </c>
      <c r="E486" s="5">
        <v>995</v>
      </c>
      <c r="F486" s="5">
        <v>26865</v>
      </c>
    </row>
    <row r="487" spans="1:6" x14ac:dyDescent="0.4">
      <c r="A487" s="5" t="s">
        <v>19</v>
      </c>
      <c r="B487" s="5" t="s">
        <v>10</v>
      </c>
      <c r="C487" s="5" t="s">
        <v>23</v>
      </c>
      <c r="D487" s="5">
        <v>25</v>
      </c>
      <c r="E487" s="5">
        <v>1075</v>
      </c>
      <c r="F487" s="5">
        <v>26875</v>
      </c>
    </row>
    <row r="488" spans="1:6" x14ac:dyDescent="0.4">
      <c r="A488" s="5" t="s">
        <v>17</v>
      </c>
      <c r="B488" s="5" t="s">
        <v>15</v>
      </c>
      <c r="C488" s="5" t="s">
        <v>8</v>
      </c>
      <c r="D488" s="5">
        <v>20</v>
      </c>
      <c r="E488" s="5">
        <v>1344</v>
      </c>
      <c r="F488" s="5">
        <v>26880</v>
      </c>
    </row>
    <row r="489" spans="1:6" x14ac:dyDescent="0.4">
      <c r="A489" s="5" t="s">
        <v>19</v>
      </c>
      <c r="B489" s="5" t="s">
        <v>15</v>
      </c>
      <c r="C489" s="5" t="s">
        <v>22</v>
      </c>
      <c r="D489" s="5">
        <v>15</v>
      </c>
      <c r="E489" s="5">
        <v>1804</v>
      </c>
      <c r="F489" s="5">
        <v>27060</v>
      </c>
    </row>
    <row r="490" spans="1:6" x14ac:dyDescent="0.4">
      <c r="A490" s="5" t="s">
        <v>17</v>
      </c>
      <c r="B490" s="5" t="s">
        <v>7</v>
      </c>
      <c r="C490" s="5" t="s">
        <v>22</v>
      </c>
      <c r="D490" s="5">
        <v>24</v>
      </c>
      <c r="E490" s="5">
        <v>1132</v>
      </c>
      <c r="F490" s="5">
        <v>27168</v>
      </c>
    </row>
    <row r="491" spans="1:6" x14ac:dyDescent="0.4">
      <c r="A491" s="5" t="s">
        <v>17</v>
      </c>
      <c r="B491" s="5" t="s">
        <v>7</v>
      </c>
      <c r="C491" s="5" t="s">
        <v>20</v>
      </c>
      <c r="D491" s="5">
        <v>24</v>
      </c>
      <c r="E491" s="5">
        <v>1134</v>
      </c>
      <c r="F491" s="5">
        <v>27216</v>
      </c>
    </row>
    <row r="492" spans="1:6" x14ac:dyDescent="0.4">
      <c r="A492" s="5" t="s">
        <v>17</v>
      </c>
      <c r="B492" s="5" t="s">
        <v>7</v>
      </c>
      <c r="C492" s="5" t="s">
        <v>22</v>
      </c>
      <c r="D492" s="5">
        <v>27</v>
      </c>
      <c r="E492" s="5">
        <v>1008</v>
      </c>
      <c r="F492" s="5">
        <v>27216</v>
      </c>
    </row>
    <row r="493" spans="1:6" x14ac:dyDescent="0.4">
      <c r="A493" s="5" t="s">
        <v>19</v>
      </c>
      <c r="B493" s="5" t="s">
        <v>21</v>
      </c>
      <c r="C493" s="5" t="s">
        <v>16</v>
      </c>
      <c r="D493" s="5">
        <v>15</v>
      </c>
      <c r="E493" s="5">
        <v>1819</v>
      </c>
      <c r="F493" s="5">
        <v>27285</v>
      </c>
    </row>
    <row r="494" spans="1:6" x14ac:dyDescent="0.4">
      <c r="A494" s="5" t="s">
        <v>9</v>
      </c>
      <c r="B494" s="5" t="s">
        <v>21</v>
      </c>
      <c r="C494" s="5" t="s">
        <v>16</v>
      </c>
      <c r="D494" s="5">
        <v>26</v>
      </c>
      <c r="E494" s="5">
        <v>1054</v>
      </c>
      <c r="F494" s="5">
        <v>27404</v>
      </c>
    </row>
    <row r="495" spans="1:6" x14ac:dyDescent="0.4">
      <c r="A495" s="5" t="s">
        <v>6</v>
      </c>
      <c r="B495" s="5" t="s">
        <v>21</v>
      </c>
      <c r="C495" s="5" t="s">
        <v>23</v>
      </c>
      <c r="D495" s="5">
        <v>37</v>
      </c>
      <c r="E495" s="5">
        <v>741</v>
      </c>
      <c r="F495" s="5">
        <v>27417</v>
      </c>
    </row>
    <row r="496" spans="1:6" x14ac:dyDescent="0.4">
      <c r="A496" s="5" t="s">
        <v>19</v>
      </c>
      <c r="B496" s="5" t="s">
        <v>21</v>
      </c>
      <c r="C496" s="5" t="s">
        <v>22</v>
      </c>
      <c r="D496" s="5">
        <v>46</v>
      </c>
      <c r="E496" s="5">
        <v>597</v>
      </c>
      <c r="F496" s="5">
        <v>27462</v>
      </c>
    </row>
    <row r="497" spans="1:6" x14ac:dyDescent="0.4">
      <c r="A497" s="5" t="s">
        <v>19</v>
      </c>
      <c r="B497" s="5" t="s">
        <v>7</v>
      </c>
      <c r="C497" s="5" t="s">
        <v>24</v>
      </c>
      <c r="D497" s="5">
        <v>17</v>
      </c>
      <c r="E497" s="5">
        <v>1616</v>
      </c>
      <c r="F497" s="5">
        <v>27472</v>
      </c>
    </row>
    <row r="498" spans="1:6" x14ac:dyDescent="0.4">
      <c r="A498" s="5" t="s">
        <v>19</v>
      </c>
      <c r="B498" s="5" t="s">
        <v>15</v>
      </c>
      <c r="C498" s="5" t="s">
        <v>20</v>
      </c>
      <c r="D498" s="5">
        <v>25</v>
      </c>
      <c r="E498" s="5">
        <v>1105</v>
      </c>
      <c r="F498" s="5">
        <v>27625</v>
      </c>
    </row>
    <row r="499" spans="1:6" x14ac:dyDescent="0.4">
      <c r="A499" s="5" t="s">
        <v>6</v>
      </c>
      <c r="B499" s="5" t="s">
        <v>15</v>
      </c>
      <c r="C499" s="5" t="s">
        <v>14</v>
      </c>
      <c r="D499" s="5">
        <v>19</v>
      </c>
      <c r="E499" s="5">
        <v>1457</v>
      </c>
      <c r="F499" s="5">
        <v>27683</v>
      </c>
    </row>
    <row r="500" spans="1:6" x14ac:dyDescent="0.4">
      <c r="A500" s="5" t="s">
        <v>6</v>
      </c>
      <c r="B500" s="5" t="s">
        <v>10</v>
      </c>
      <c r="C500" s="5" t="s">
        <v>11</v>
      </c>
      <c r="D500" s="5">
        <v>30</v>
      </c>
      <c r="E500" s="5">
        <v>929</v>
      </c>
      <c r="F500" s="5">
        <v>27870</v>
      </c>
    </row>
    <row r="501" spans="1:6" x14ac:dyDescent="0.4">
      <c r="A501" s="5" t="s">
        <v>19</v>
      </c>
      <c r="B501" s="5" t="s">
        <v>10</v>
      </c>
      <c r="C501" s="5" t="s">
        <v>11</v>
      </c>
      <c r="D501" s="5">
        <v>48</v>
      </c>
      <c r="E501" s="5">
        <v>581</v>
      </c>
      <c r="F501" s="5">
        <v>27888</v>
      </c>
    </row>
    <row r="502" spans="1:6" x14ac:dyDescent="0.4">
      <c r="A502" s="5" t="s">
        <v>19</v>
      </c>
      <c r="B502" s="5" t="s">
        <v>10</v>
      </c>
      <c r="C502" s="5" t="s">
        <v>13</v>
      </c>
      <c r="D502" s="5">
        <v>38</v>
      </c>
      <c r="E502" s="5">
        <v>740</v>
      </c>
      <c r="F502" s="5">
        <v>28120</v>
      </c>
    </row>
    <row r="503" spans="1:6" x14ac:dyDescent="0.4">
      <c r="A503" s="5" t="s">
        <v>17</v>
      </c>
      <c r="B503" s="5" t="s">
        <v>10</v>
      </c>
      <c r="C503" s="5" t="s">
        <v>22</v>
      </c>
      <c r="D503" s="5">
        <v>41</v>
      </c>
      <c r="E503" s="5">
        <v>686</v>
      </c>
      <c r="F503" s="5">
        <v>28126</v>
      </c>
    </row>
    <row r="504" spans="1:6" x14ac:dyDescent="0.4">
      <c r="A504" s="5" t="s">
        <v>6</v>
      </c>
      <c r="B504" s="5" t="s">
        <v>7</v>
      </c>
      <c r="C504" s="5" t="s">
        <v>11</v>
      </c>
      <c r="D504" s="5">
        <v>49</v>
      </c>
      <c r="E504" s="5">
        <v>576</v>
      </c>
      <c r="F504" s="5">
        <v>28224</v>
      </c>
    </row>
    <row r="505" spans="1:6" x14ac:dyDescent="0.4">
      <c r="A505" s="5" t="s">
        <v>19</v>
      </c>
      <c r="B505" s="5" t="s">
        <v>12</v>
      </c>
      <c r="C505" s="5" t="s">
        <v>16</v>
      </c>
      <c r="D505" s="5">
        <v>19</v>
      </c>
      <c r="E505" s="5">
        <v>1488</v>
      </c>
      <c r="F505" s="5">
        <v>28272</v>
      </c>
    </row>
    <row r="506" spans="1:6" x14ac:dyDescent="0.4">
      <c r="A506" s="5" t="s">
        <v>9</v>
      </c>
      <c r="B506" s="5" t="s">
        <v>7</v>
      </c>
      <c r="C506" s="5" t="s">
        <v>16</v>
      </c>
      <c r="D506" s="5">
        <v>36</v>
      </c>
      <c r="E506" s="5">
        <v>786</v>
      </c>
      <c r="F506" s="5">
        <v>28296</v>
      </c>
    </row>
    <row r="507" spans="1:6" x14ac:dyDescent="0.4">
      <c r="A507" s="5" t="s">
        <v>19</v>
      </c>
      <c r="B507" s="5" t="s">
        <v>10</v>
      </c>
      <c r="C507" s="5" t="s">
        <v>8</v>
      </c>
      <c r="D507" s="5">
        <v>26</v>
      </c>
      <c r="E507" s="5">
        <v>1089</v>
      </c>
      <c r="F507" s="5">
        <v>28314</v>
      </c>
    </row>
    <row r="508" spans="1:6" x14ac:dyDescent="0.4">
      <c r="A508" s="5" t="s">
        <v>9</v>
      </c>
      <c r="B508" s="5" t="s">
        <v>7</v>
      </c>
      <c r="C508" s="5" t="s">
        <v>18</v>
      </c>
      <c r="D508" s="5">
        <v>29</v>
      </c>
      <c r="E508" s="5">
        <v>977</v>
      </c>
      <c r="F508" s="5">
        <v>28333</v>
      </c>
    </row>
    <row r="509" spans="1:6" x14ac:dyDescent="0.4">
      <c r="A509" s="5" t="s">
        <v>6</v>
      </c>
      <c r="B509" s="5" t="s">
        <v>21</v>
      </c>
      <c r="C509" s="5" t="s">
        <v>16</v>
      </c>
      <c r="D509" s="5">
        <v>25</v>
      </c>
      <c r="E509" s="5">
        <v>1138</v>
      </c>
      <c r="F509" s="5">
        <v>28450</v>
      </c>
    </row>
    <row r="510" spans="1:6" x14ac:dyDescent="0.4">
      <c r="A510" s="5" t="s">
        <v>9</v>
      </c>
      <c r="B510" s="5" t="s">
        <v>7</v>
      </c>
      <c r="C510" s="5" t="s">
        <v>11</v>
      </c>
      <c r="D510" s="5">
        <v>36</v>
      </c>
      <c r="E510" s="5">
        <v>801</v>
      </c>
      <c r="F510" s="5">
        <v>28836</v>
      </c>
    </row>
    <row r="511" spans="1:6" x14ac:dyDescent="0.4">
      <c r="A511" s="5" t="s">
        <v>6</v>
      </c>
      <c r="B511" s="5" t="s">
        <v>7</v>
      </c>
      <c r="C511" s="5" t="s">
        <v>8</v>
      </c>
      <c r="D511" s="5">
        <v>15</v>
      </c>
      <c r="E511" s="5">
        <v>1923</v>
      </c>
      <c r="F511" s="5">
        <v>28845</v>
      </c>
    </row>
    <row r="512" spans="1:6" x14ac:dyDescent="0.4">
      <c r="A512" s="5" t="s">
        <v>6</v>
      </c>
      <c r="B512" s="5" t="s">
        <v>15</v>
      </c>
      <c r="C512" s="5" t="s">
        <v>24</v>
      </c>
      <c r="D512" s="5">
        <v>15</v>
      </c>
      <c r="E512" s="5">
        <v>1938</v>
      </c>
      <c r="F512" s="5">
        <v>29070</v>
      </c>
    </row>
    <row r="513" spans="1:6" x14ac:dyDescent="0.4">
      <c r="A513" s="5" t="s">
        <v>17</v>
      </c>
      <c r="B513" s="5" t="s">
        <v>21</v>
      </c>
      <c r="C513" s="5" t="s">
        <v>20</v>
      </c>
      <c r="D513" s="5">
        <v>34</v>
      </c>
      <c r="E513" s="5">
        <v>857</v>
      </c>
      <c r="F513" s="5">
        <v>29138</v>
      </c>
    </row>
    <row r="514" spans="1:6" x14ac:dyDescent="0.4">
      <c r="A514" s="5" t="s">
        <v>6</v>
      </c>
      <c r="B514" s="5" t="s">
        <v>15</v>
      </c>
      <c r="C514" s="5" t="s">
        <v>24</v>
      </c>
      <c r="D514" s="5">
        <v>21</v>
      </c>
      <c r="E514" s="5">
        <v>1392</v>
      </c>
      <c r="F514" s="5">
        <v>29232</v>
      </c>
    </row>
    <row r="515" spans="1:6" x14ac:dyDescent="0.4">
      <c r="A515" s="5" t="s">
        <v>6</v>
      </c>
      <c r="B515" s="5" t="s">
        <v>12</v>
      </c>
      <c r="C515" s="5" t="s">
        <v>11</v>
      </c>
      <c r="D515" s="5">
        <v>40</v>
      </c>
      <c r="E515" s="5">
        <v>731</v>
      </c>
      <c r="F515" s="5">
        <v>29240</v>
      </c>
    </row>
    <row r="516" spans="1:6" x14ac:dyDescent="0.4">
      <c r="A516" s="5" t="s">
        <v>19</v>
      </c>
      <c r="B516" s="5" t="s">
        <v>21</v>
      </c>
      <c r="C516" s="5" t="s">
        <v>16</v>
      </c>
      <c r="D516" s="5">
        <v>44</v>
      </c>
      <c r="E516" s="5">
        <v>672</v>
      </c>
      <c r="F516" s="5">
        <v>29568</v>
      </c>
    </row>
    <row r="517" spans="1:6" x14ac:dyDescent="0.4">
      <c r="A517" s="5" t="s">
        <v>19</v>
      </c>
      <c r="B517" s="5" t="s">
        <v>15</v>
      </c>
      <c r="C517" s="5" t="s">
        <v>8</v>
      </c>
      <c r="D517" s="5">
        <v>23</v>
      </c>
      <c r="E517" s="5">
        <v>1290</v>
      </c>
      <c r="F517" s="5">
        <v>29670</v>
      </c>
    </row>
    <row r="518" spans="1:6" x14ac:dyDescent="0.4">
      <c r="A518" s="5" t="s">
        <v>17</v>
      </c>
      <c r="B518" s="5" t="s">
        <v>21</v>
      </c>
      <c r="C518" s="5" t="s">
        <v>23</v>
      </c>
      <c r="D518" s="5">
        <v>17</v>
      </c>
      <c r="E518" s="5">
        <v>1753</v>
      </c>
      <c r="F518" s="5">
        <v>29801</v>
      </c>
    </row>
    <row r="519" spans="1:6" x14ac:dyDescent="0.4">
      <c r="A519" s="5" t="s">
        <v>9</v>
      </c>
      <c r="B519" s="5" t="s">
        <v>12</v>
      </c>
      <c r="C519" s="5" t="s">
        <v>11</v>
      </c>
      <c r="D519" s="5">
        <v>33</v>
      </c>
      <c r="E519" s="5">
        <v>904</v>
      </c>
      <c r="F519" s="5">
        <v>29832</v>
      </c>
    </row>
    <row r="520" spans="1:6" x14ac:dyDescent="0.4">
      <c r="A520" s="5" t="s">
        <v>6</v>
      </c>
      <c r="B520" s="5" t="s">
        <v>7</v>
      </c>
      <c r="C520" s="5" t="s">
        <v>22</v>
      </c>
      <c r="D520" s="5">
        <v>17</v>
      </c>
      <c r="E520" s="5">
        <v>1766</v>
      </c>
      <c r="F520" s="5">
        <v>30022</v>
      </c>
    </row>
    <row r="521" spans="1:6" x14ac:dyDescent="0.4">
      <c r="A521" s="5" t="s">
        <v>6</v>
      </c>
      <c r="B521" s="5" t="s">
        <v>10</v>
      </c>
      <c r="C521" s="5" t="s">
        <v>11</v>
      </c>
      <c r="D521" s="5">
        <v>49</v>
      </c>
      <c r="E521" s="5">
        <v>615</v>
      </c>
      <c r="F521" s="5">
        <v>30135</v>
      </c>
    </row>
    <row r="522" spans="1:6" x14ac:dyDescent="0.4">
      <c r="A522" s="5" t="s">
        <v>6</v>
      </c>
      <c r="B522" s="5" t="s">
        <v>15</v>
      </c>
      <c r="C522" s="5" t="s">
        <v>13</v>
      </c>
      <c r="D522" s="5">
        <v>38</v>
      </c>
      <c r="E522" s="5">
        <v>800</v>
      </c>
      <c r="F522" s="5">
        <v>30400</v>
      </c>
    </row>
    <row r="523" spans="1:6" x14ac:dyDescent="0.4">
      <c r="A523" s="5" t="s">
        <v>17</v>
      </c>
      <c r="B523" s="5" t="s">
        <v>10</v>
      </c>
      <c r="C523" s="5" t="s">
        <v>22</v>
      </c>
      <c r="D523" s="5">
        <v>38</v>
      </c>
      <c r="E523" s="5">
        <v>800</v>
      </c>
      <c r="F523" s="5">
        <v>30400</v>
      </c>
    </row>
    <row r="524" spans="1:6" x14ac:dyDescent="0.4">
      <c r="A524" s="5" t="s">
        <v>17</v>
      </c>
      <c r="B524" s="5" t="s">
        <v>12</v>
      </c>
      <c r="C524" s="5" t="s">
        <v>14</v>
      </c>
      <c r="D524" s="5">
        <v>29</v>
      </c>
      <c r="E524" s="5">
        <v>1067</v>
      </c>
      <c r="F524" s="5">
        <v>30943</v>
      </c>
    </row>
    <row r="525" spans="1:6" x14ac:dyDescent="0.4">
      <c r="A525" s="5" t="s">
        <v>6</v>
      </c>
      <c r="B525" s="5" t="s">
        <v>7</v>
      </c>
      <c r="C525" s="5" t="s">
        <v>23</v>
      </c>
      <c r="D525" s="5">
        <v>49</v>
      </c>
      <c r="E525" s="5">
        <v>632</v>
      </c>
      <c r="F525" s="5">
        <v>30968</v>
      </c>
    </row>
    <row r="526" spans="1:6" x14ac:dyDescent="0.4">
      <c r="A526" s="5" t="s">
        <v>6</v>
      </c>
      <c r="B526" s="5" t="s">
        <v>21</v>
      </c>
      <c r="C526" s="5" t="s">
        <v>8</v>
      </c>
      <c r="D526" s="5">
        <v>19</v>
      </c>
      <c r="E526" s="5">
        <v>1637</v>
      </c>
      <c r="F526" s="5">
        <v>31103</v>
      </c>
    </row>
    <row r="527" spans="1:6" x14ac:dyDescent="0.4">
      <c r="A527" s="5" t="s">
        <v>19</v>
      </c>
      <c r="B527" s="5" t="s">
        <v>7</v>
      </c>
      <c r="C527" s="5" t="s">
        <v>11</v>
      </c>
      <c r="D527" s="5">
        <v>47</v>
      </c>
      <c r="E527" s="5">
        <v>667</v>
      </c>
      <c r="F527" s="5">
        <v>31349</v>
      </c>
    </row>
    <row r="528" spans="1:6" x14ac:dyDescent="0.4">
      <c r="A528" s="5" t="s">
        <v>17</v>
      </c>
      <c r="B528" s="5" t="s">
        <v>21</v>
      </c>
      <c r="C528" s="5" t="s">
        <v>16</v>
      </c>
      <c r="D528" s="5">
        <v>29</v>
      </c>
      <c r="E528" s="5">
        <v>1083</v>
      </c>
      <c r="F528" s="5">
        <v>31407</v>
      </c>
    </row>
    <row r="529" spans="1:6" x14ac:dyDescent="0.4">
      <c r="A529" s="5" t="s">
        <v>6</v>
      </c>
      <c r="B529" s="5" t="s">
        <v>10</v>
      </c>
      <c r="C529" s="5" t="s">
        <v>8</v>
      </c>
      <c r="D529" s="5">
        <v>28</v>
      </c>
      <c r="E529" s="5">
        <v>1125</v>
      </c>
      <c r="F529" s="5">
        <v>31500</v>
      </c>
    </row>
    <row r="530" spans="1:6" x14ac:dyDescent="0.4">
      <c r="A530" s="5" t="s">
        <v>9</v>
      </c>
      <c r="B530" s="5" t="s">
        <v>12</v>
      </c>
      <c r="C530" s="5" t="s">
        <v>8</v>
      </c>
      <c r="D530" s="5">
        <v>39</v>
      </c>
      <c r="E530" s="5">
        <v>808</v>
      </c>
      <c r="F530" s="5">
        <v>31512</v>
      </c>
    </row>
    <row r="531" spans="1:6" x14ac:dyDescent="0.4">
      <c r="A531" s="5" t="s">
        <v>17</v>
      </c>
      <c r="B531" s="5" t="s">
        <v>10</v>
      </c>
      <c r="C531" s="5" t="s">
        <v>20</v>
      </c>
      <c r="D531" s="5">
        <v>26</v>
      </c>
      <c r="E531" s="5">
        <v>1213</v>
      </c>
      <c r="F531" s="5">
        <v>31538</v>
      </c>
    </row>
    <row r="532" spans="1:6" x14ac:dyDescent="0.4">
      <c r="A532" s="5" t="s">
        <v>6</v>
      </c>
      <c r="B532" s="5" t="s">
        <v>21</v>
      </c>
      <c r="C532" s="5" t="s">
        <v>16</v>
      </c>
      <c r="D532" s="5">
        <v>19</v>
      </c>
      <c r="E532" s="5">
        <v>1661</v>
      </c>
      <c r="F532" s="5">
        <v>31559</v>
      </c>
    </row>
    <row r="533" spans="1:6" x14ac:dyDescent="0.4">
      <c r="A533" s="5" t="s">
        <v>6</v>
      </c>
      <c r="B533" s="5" t="s">
        <v>15</v>
      </c>
      <c r="C533" s="5" t="s">
        <v>24</v>
      </c>
      <c r="D533" s="5">
        <v>39</v>
      </c>
      <c r="E533" s="5">
        <v>811</v>
      </c>
      <c r="F533" s="5">
        <v>31629</v>
      </c>
    </row>
    <row r="534" spans="1:6" x14ac:dyDescent="0.4">
      <c r="A534" s="5" t="s">
        <v>19</v>
      </c>
      <c r="B534" s="5" t="s">
        <v>12</v>
      </c>
      <c r="C534" s="5" t="s">
        <v>22</v>
      </c>
      <c r="D534" s="5">
        <v>22</v>
      </c>
      <c r="E534" s="5">
        <v>1439</v>
      </c>
      <c r="F534" s="5">
        <v>31658</v>
      </c>
    </row>
    <row r="535" spans="1:6" x14ac:dyDescent="0.4">
      <c r="A535" s="5" t="s">
        <v>17</v>
      </c>
      <c r="B535" s="5" t="s">
        <v>15</v>
      </c>
      <c r="C535" s="5" t="s">
        <v>22</v>
      </c>
      <c r="D535" s="5">
        <v>16</v>
      </c>
      <c r="E535" s="5">
        <v>1979</v>
      </c>
      <c r="F535" s="5">
        <v>31664</v>
      </c>
    </row>
    <row r="536" spans="1:6" x14ac:dyDescent="0.4">
      <c r="A536" s="5" t="s">
        <v>6</v>
      </c>
      <c r="B536" s="5" t="s">
        <v>10</v>
      </c>
      <c r="C536" s="5" t="s">
        <v>20</v>
      </c>
      <c r="D536" s="5">
        <v>46</v>
      </c>
      <c r="E536" s="5">
        <v>691</v>
      </c>
      <c r="F536" s="5">
        <v>31786</v>
      </c>
    </row>
    <row r="537" spans="1:6" x14ac:dyDescent="0.4">
      <c r="A537" s="5" t="s">
        <v>17</v>
      </c>
      <c r="B537" s="5" t="s">
        <v>7</v>
      </c>
      <c r="C537" s="5" t="s">
        <v>11</v>
      </c>
      <c r="D537" s="5">
        <v>17</v>
      </c>
      <c r="E537" s="5">
        <v>1872</v>
      </c>
      <c r="F537" s="5">
        <v>31824</v>
      </c>
    </row>
    <row r="538" spans="1:6" x14ac:dyDescent="0.4">
      <c r="A538" s="5" t="s">
        <v>6</v>
      </c>
      <c r="B538" s="5" t="s">
        <v>12</v>
      </c>
      <c r="C538" s="5" t="s">
        <v>23</v>
      </c>
      <c r="D538" s="5">
        <v>26</v>
      </c>
      <c r="E538" s="5">
        <v>1226</v>
      </c>
      <c r="F538" s="5">
        <v>31876</v>
      </c>
    </row>
    <row r="539" spans="1:6" x14ac:dyDescent="0.4">
      <c r="A539" s="5" t="s">
        <v>19</v>
      </c>
      <c r="B539" s="5" t="s">
        <v>12</v>
      </c>
      <c r="C539" s="5" t="s">
        <v>16</v>
      </c>
      <c r="D539" s="5">
        <v>30</v>
      </c>
      <c r="E539" s="5">
        <v>1065</v>
      </c>
      <c r="F539" s="5">
        <v>31950</v>
      </c>
    </row>
    <row r="540" spans="1:6" x14ac:dyDescent="0.4">
      <c r="A540" s="5" t="s">
        <v>17</v>
      </c>
      <c r="B540" s="5" t="s">
        <v>21</v>
      </c>
      <c r="C540" s="5" t="s">
        <v>16</v>
      </c>
      <c r="D540" s="5">
        <v>17</v>
      </c>
      <c r="E540" s="5">
        <v>1882</v>
      </c>
      <c r="F540" s="5">
        <v>31994</v>
      </c>
    </row>
    <row r="541" spans="1:6" x14ac:dyDescent="0.4">
      <c r="A541" s="5" t="s">
        <v>9</v>
      </c>
      <c r="B541" s="5" t="s">
        <v>12</v>
      </c>
      <c r="C541" s="5" t="s">
        <v>16</v>
      </c>
      <c r="D541" s="5">
        <v>24</v>
      </c>
      <c r="E541" s="5">
        <v>1339</v>
      </c>
      <c r="F541" s="5">
        <v>32136</v>
      </c>
    </row>
    <row r="542" spans="1:6" x14ac:dyDescent="0.4">
      <c r="A542" s="5" t="s">
        <v>6</v>
      </c>
      <c r="B542" s="5" t="s">
        <v>21</v>
      </c>
      <c r="C542" s="5" t="s">
        <v>11</v>
      </c>
      <c r="D542" s="5">
        <v>23</v>
      </c>
      <c r="E542" s="5">
        <v>1399</v>
      </c>
      <c r="F542" s="5">
        <v>32177</v>
      </c>
    </row>
    <row r="543" spans="1:6" x14ac:dyDescent="0.4">
      <c r="A543" s="5" t="s">
        <v>9</v>
      </c>
      <c r="B543" s="5" t="s">
        <v>12</v>
      </c>
      <c r="C543" s="5" t="s">
        <v>24</v>
      </c>
      <c r="D543" s="5">
        <v>25</v>
      </c>
      <c r="E543" s="5">
        <v>1292</v>
      </c>
      <c r="F543" s="5">
        <v>32300</v>
      </c>
    </row>
    <row r="544" spans="1:6" x14ac:dyDescent="0.4">
      <c r="A544" s="5" t="s">
        <v>9</v>
      </c>
      <c r="B544" s="5" t="s">
        <v>7</v>
      </c>
      <c r="C544" s="5" t="s">
        <v>16</v>
      </c>
      <c r="D544" s="5">
        <v>23</v>
      </c>
      <c r="E544" s="5">
        <v>1412</v>
      </c>
      <c r="F544" s="5">
        <v>32476</v>
      </c>
    </row>
    <row r="545" spans="1:6" x14ac:dyDescent="0.4">
      <c r="A545" s="5" t="s">
        <v>9</v>
      </c>
      <c r="B545" s="5" t="s">
        <v>10</v>
      </c>
      <c r="C545" s="5" t="s">
        <v>16</v>
      </c>
      <c r="D545" s="5">
        <v>17</v>
      </c>
      <c r="E545" s="5">
        <v>1913</v>
      </c>
      <c r="F545" s="5">
        <v>32521</v>
      </c>
    </row>
    <row r="546" spans="1:6" x14ac:dyDescent="0.4">
      <c r="A546" s="5" t="s">
        <v>6</v>
      </c>
      <c r="B546" s="5" t="s">
        <v>7</v>
      </c>
      <c r="C546" s="5" t="s">
        <v>24</v>
      </c>
      <c r="D546" s="5">
        <v>23</v>
      </c>
      <c r="E546" s="5">
        <v>1414</v>
      </c>
      <c r="F546" s="5">
        <v>32522</v>
      </c>
    </row>
    <row r="547" spans="1:6" x14ac:dyDescent="0.4">
      <c r="A547" s="5" t="s">
        <v>17</v>
      </c>
      <c r="B547" s="5" t="s">
        <v>10</v>
      </c>
      <c r="C547" s="5" t="s">
        <v>14</v>
      </c>
      <c r="D547" s="5">
        <v>27</v>
      </c>
      <c r="E547" s="5">
        <v>1205</v>
      </c>
      <c r="F547" s="5">
        <v>32535</v>
      </c>
    </row>
    <row r="548" spans="1:6" x14ac:dyDescent="0.4">
      <c r="A548" s="5" t="s">
        <v>9</v>
      </c>
      <c r="B548" s="5" t="s">
        <v>10</v>
      </c>
      <c r="C548" s="5" t="s">
        <v>24</v>
      </c>
      <c r="D548" s="5">
        <v>24</v>
      </c>
      <c r="E548" s="5">
        <v>1364</v>
      </c>
      <c r="F548" s="5">
        <v>32736</v>
      </c>
    </row>
    <row r="549" spans="1:6" x14ac:dyDescent="0.4">
      <c r="A549" s="5" t="s">
        <v>6</v>
      </c>
      <c r="B549" s="5" t="s">
        <v>21</v>
      </c>
      <c r="C549" s="5" t="s">
        <v>24</v>
      </c>
      <c r="D549" s="5">
        <v>18</v>
      </c>
      <c r="E549" s="5">
        <v>1819</v>
      </c>
      <c r="F549" s="5">
        <v>32742</v>
      </c>
    </row>
    <row r="550" spans="1:6" x14ac:dyDescent="0.4">
      <c r="A550" s="5" t="s">
        <v>9</v>
      </c>
      <c r="B550" s="5" t="s">
        <v>7</v>
      </c>
      <c r="C550" s="5" t="s">
        <v>14</v>
      </c>
      <c r="D550" s="5">
        <v>37</v>
      </c>
      <c r="E550" s="5">
        <v>886</v>
      </c>
      <c r="F550" s="5">
        <v>32782</v>
      </c>
    </row>
    <row r="551" spans="1:6" x14ac:dyDescent="0.4">
      <c r="A551" s="5" t="s">
        <v>9</v>
      </c>
      <c r="B551" s="5" t="s">
        <v>7</v>
      </c>
      <c r="C551" s="5" t="s">
        <v>8</v>
      </c>
      <c r="D551" s="5">
        <v>26</v>
      </c>
      <c r="E551" s="5">
        <v>1261</v>
      </c>
      <c r="F551" s="5">
        <v>32786</v>
      </c>
    </row>
    <row r="552" spans="1:6" x14ac:dyDescent="0.4">
      <c r="A552" s="5" t="s">
        <v>17</v>
      </c>
      <c r="B552" s="5" t="s">
        <v>12</v>
      </c>
      <c r="C552" s="5" t="s">
        <v>16</v>
      </c>
      <c r="D552" s="5">
        <v>32</v>
      </c>
      <c r="E552" s="5">
        <v>1025</v>
      </c>
      <c r="F552" s="5">
        <v>32800</v>
      </c>
    </row>
    <row r="553" spans="1:6" x14ac:dyDescent="0.4">
      <c r="A553" s="5" t="s">
        <v>19</v>
      </c>
      <c r="B553" s="5" t="s">
        <v>15</v>
      </c>
      <c r="C553" s="5" t="s">
        <v>23</v>
      </c>
      <c r="D553" s="5">
        <v>43</v>
      </c>
      <c r="E553" s="5">
        <v>766</v>
      </c>
      <c r="F553" s="5">
        <v>32938</v>
      </c>
    </row>
    <row r="554" spans="1:6" x14ac:dyDescent="0.4">
      <c r="A554" s="5" t="s">
        <v>19</v>
      </c>
      <c r="B554" s="5" t="s">
        <v>12</v>
      </c>
      <c r="C554" s="5" t="s">
        <v>14</v>
      </c>
      <c r="D554" s="5">
        <v>43</v>
      </c>
      <c r="E554" s="5">
        <v>768</v>
      </c>
      <c r="F554" s="5">
        <v>33024</v>
      </c>
    </row>
    <row r="555" spans="1:6" x14ac:dyDescent="0.4">
      <c r="A555" s="5" t="s">
        <v>17</v>
      </c>
      <c r="B555" s="5" t="s">
        <v>10</v>
      </c>
      <c r="C555" s="5" t="s">
        <v>22</v>
      </c>
      <c r="D555" s="5">
        <v>28</v>
      </c>
      <c r="E555" s="5">
        <v>1184</v>
      </c>
      <c r="F555" s="5">
        <v>33152</v>
      </c>
    </row>
    <row r="556" spans="1:6" x14ac:dyDescent="0.4">
      <c r="A556" s="5" t="s">
        <v>9</v>
      </c>
      <c r="B556" s="5" t="s">
        <v>10</v>
      </c>
      <c r="C556" s="5" t="s">
        <v>24</v>
      </c>
      <c r="D556" s="5">
        <v>36</v>
      </c>
      <c r="E556" s="5">
        <v>921</v>
      </c>
      <c r="F556" s="5">
        <v>33156</v>
      </c>
    </row>
    <row r="557" spans="1:6" x14ac:dyDescent="0.4">
      <c r="A557" s="5" t="s">
        <v>9</v>
      </c>
      <c r="B557" s="5" t="s">
        <v>7</v>
      </c>
      <c r="C557" s="5" t="s">
        <v>8</v>
      </c>
      <c r="D557" s="5">
        <v>24</v>
      </c>
      <c r="E557" s="5">
        <v>1382</v>
      </c>
      <c r="F557" s="5">
        <v>33168</v>
      </c>
    </row>
    <row r="558" spans="1:6" x14ac:dyDescent="0.4">
      <c r="A558" s="5" t="s">
        <v>17</v>
      </c>
      <c r="B558" s="5" t="s">
        <v>10</v>
      </c>
      <c r="C558" s="5" t="s">
        <v>22</v>
      </c>
      <c r="D558" s="5">
        <v>44</v>
      </c>
      <c r="E558" s="5">
        <v>757</v>
      </c>
      <c r="F558" s="5">
        <v>33308</v>
      </c>
    </row>
    <row r="559" spans="1:6" x14ac:dyDescent="0.4">
      <c r="A559" s="5" t="s">
        <v>6</v>
      </c>
      <c r="B559" s="5" t="s">
        <v>7</v>
      </c>
      <c r="C559" s="5" t="s">
        <v>22</v>
      </c>
      <c r="D559" s="5">
        <v>21</v>
      </c>
      <c r="E559" s="5">
        <v>1588</v>
      </c>
      <c r="F559" s="5">
        <v>33348</v>
      </c>
    </row>
    <row r="560" spans="1:6" x14ac:dyDescent="0.4">
      <c r="A560" s="5" t="s">
        <v>6</v>
      </c>
      <c r="B560" s="5" t="s">
        <v>15</v>
      </c>
      <c r="C560" s="5" t="s">
        <v>20</v>
      </c>
      <c r="D560" s="5">
        <v>35</v>
      </c>
      <c r="E560" s="5">
        <v>953</v>
      </c>
      <c r="F560" s="5">
        <v>33355</v>
      </c>
    </row>
    <row r="561" spans="1:6" x14ac:dyDescent="0.4">
      <c r="A561" s="5" t="s">
        <v>19</v>
      </c>
      <c r="B561" s="5" t="s">
        <v>15</v>
      </c>
      <c r="C561" s="5" t="s">
        <v>11</v>
      </c>
      <c r="D561" s="5">
        <v>19</v>
      </c>
      <c r="E561" s="5">
        <v>1758</v>
      </c>
      <c r="F561" s="5">
        <v>33402</v>
      </c>
    </row>
    <row r="562" spans="1:6" x14ac:dyDescent="0.4">
      <c r="A562" s="5" t="s">
        <v>19</v>
      </c>
      <c r="B562" s="5" t="s">
        <v>7</v>
      </c>
      <c r="C562" s="5" t="s">
        <v>11</v>
      </c>
      <c r="D562" s="5">
        <v>28</v>
      </c>
      <c r="E562" s="5">
        <v>1194</v>
      </c>
      <c r="F562" s="5">
        <v>33432</v>
      </c>
    </row>
    <row r="563" spans="1:6" x14ac:dyDescent="0.4">
      <c r="A563" s="5" t="s">
        <v>6</v>
      </c>
      <c r="B563" s="5" t="s">
        <v>15</v>
      </c>
      <c r="C563" s="5" t="s">
        <v>8</v>
      </c>
      <c r="D563" s="5">
        <v>28</v>
      </c>
      <c r="E563" s="5">
        <v>1195</v>
      </c>
      <c r="F563" s="5">
        <v>33460</v>
      </c>
    </row>
    <row r="564" spans="1:6" x14ac:dyDescent="0.4">
      <c r="A564" s="5" t="s">
        <v>17</v>
      </c>
      <c r="B564" s="5" t="s">
        <v>12</v>
      </c>
      <c r="C564" s="5" t="s">
        <v>16</v>
      </c>
      <c r="D564" s="5">
        <v>22</v>
      </c>
      <c r="E564" s="5">
        <v>1536</v>
      </c>
      <c r="F564" s="5">
        <v>33792</v>
      </c>
    </row>
    <row r="565" spans="1:6" x14ac:dyDescent="0.4">
      <c r="A565" s="5" t="s">
        <v>17</v>
      </c>
      <c r="B565" s="5" t="s">
        <v>21</v>
      </c>
      <c r="C565" s="5" t="s">
        <v>11</v>
      </c>
      <c r="D565" s="5">
        <v>20</v>
      </c>
      <c r="E565" s="5">
        <v>1691</v>
      </c>
      <c r="F565" s="5">
        <v>33820</v>
      </c>
    </row>
    <row r="566" spans="1:6" x14ac:dyDescent="0.4">
      <c r="A566" s="5" t="s">
        <v>19</v>
      </c>
      <c r="B566" s="5" t="s">
        <v>15</v>
      </c>
      <c r="C566" s="5" t="s">
        <v>20</v>
      </c>
      <c r="D566" s="5">
        <v>44</v>
      </c>
      <c r="E566" s="5">
        <v>770</v>
      </c>
      <c r="F566" s="5">
        <v>33880</v>
      </c>
    </row>
    <row r="567" spans="1:6" x14ac:dyDescent="0.4">
      <c r="A567" s="5" t="s">
        <v>17</v>
      </c>
      <c r="B567" s="5" t="s">
        <v>7</v>
      </c>
      <c r="C567" s="5" t="s">
        <v>22</v>
      </c>
      <c r="D567" s="5">
        <v>27</v>
      </c>
      <c r="E567" s="5">
        <v>1255</v>
      </c>
      <c r="F567" s="5">
        <v>33885</v>
      </c>
    </row>
    <row r="568" spans="1:6" x14ac:dyDescent="0.4">
      <c r="A568" s="5" t="s">
        <v>17</v>
      </c>
      <c r="B568" s="5" t="s">
        <v>10</v>
      </c>
      <c r="C568" s="5" t="s">
        <v>11</v>
      </c>
      <c r="D568" s="5">
        <v>19</v>
      </c>
      <c r="E568" s="5">
        <v>1788</v>
      </c>
      <c r="F568" s="5">
        <v>33972</v>
      </c>
    </row>
    <row r="569" spans="1:6" x14ac:dyDescent="0.4">
      <c r="A569" s="5" t="s">
        <v>19</v>
      </c>
      <c r="B569" s="5" t="s">
        <v>10</v>
      </c>
      <c r="C569" s="5" t="s">
        <v>11</v>
      </c>
      <c r="D569" s="5">
        <v>30</v>
      </c>
      <c r="E569" s="5">
        <v>1133</v>
      </c>
      <c r="F569" s="5">
        <v>33990</v>
      </c>
    </row>
    <row r="570" spans="1:6" x14ac:dyDescent="0.4">
      <c r="A570" s="5" t="s">
        <v>6</v>
      </c>
      <c r="B570" s="5" t="s">
        <v>21</v>
      </c>
      <c r="C570" s="5" t="s">
        <v>22</v>
      </c>
      <c r="D570" s="5">
        <v>19</v>
      </c>
      <c r="E570" s="5">
        <v>1814</v>
      </c>
      <c r="F570" s="5">
        <v>34466</v>
      </c>
    </row>
    <row r="571" spans="1:6" x14ac:dyDescent="0.4">
      <c r="A571" s="5" t="s">
        <v>17</v>
      </c>
      <c r="B571" s="5" t="s">
        <v>10</v>
      </c>
      <c r="C571" s="5" t="s">
        <v>16</v>
      </c>
      <c r="D571" s="5">
        <v>33</v>
      </c>
      <c r="E571" s="5">
        <v>1046</v>
      </c>
      <c r="F571" s="5">
        <v>34518</v>
      </c>
    </row>
    <row r="572" spans="1:6" x14ac:dyDescent="0.4">
      <c r="A572" s="5" t="s">
        <v>19</v>
      </c>
      <c r="B572" s="5" t="s">
        <v>7</v>
      </c>
      <c r="C572" s="5" t="s">
        <v>11</v>
      </c>
      <c r="D572" s="5">
        <v>31</v>
      </c>
      <c r="E572" s="5">
        <v>1124</v>
      </c>
      <c r="F572" s="5">
        <v>34844</v>
      </c>
    </row>
    <row r="573" spans="1:6" x14ac:dyDescent="0.4">
      <c r="A573" s="5" t="s">
        <v>19</v>
      </c>
      <c r="B573" s="5" t="s">
        <v>15</v>
      </c>
      <c r="C573" s="5" t="s">
        <v>14</v>
      </c>
      <c r="D573" s="5">
        <v>31</v>
      </c>
      <c r="E573" s="5">
        <v>1131</v>
      </c>
      <c r="F573" s="5">
        <v>35061</v>
      </c>
    </row>
    <row r="574" spans="1:6" x14ac:dyDescent="0.4">
      <c r="A574" s="5" t="s">
        <v>19</v>
      </c>
      <c r="B574" s="5" t="s">
        <v>10</v>
      </c>
      <c r="C574" s="5" t="s">
        <v>18</v>
      </c>
      <c r="D574" s="5">
        <v>48</v>
      </c>
      <c r="E574" s="5">
        <v>732</v>
      </c>
      <c r="F574" s="5">
        <v>35136</v>
      </c>
    </row>
    <row r="575" spans="1:6" x14ac:dyDescent="0.4">
      <c r="A575" s="5" t="s">
        <v>19</v>
      </c>
      <c r="B575" s="5" t="s">
        <v>15</v>
      </c>
      <c r="C575" s="5" t="s">
        <v>11</v>
      </c>
      <c r="D575" s="5">
        <v>28</v>
      </c>
      <c r="E575" s="5">
        <v>1262</v>
      </c>
      <c r="F575" s="5">
        <v>35336</v>
      </c>
    </row>
    <row r="576" spans="1:6" x14ac:dyDescent="0.4">
      <c r="A576" s="5" t="s">
        <v>9</v>
      </c>
      <c r="B576" s="5" t="s">
        <v>7</v>
      </c>
      <c r="C576" s="5" t="s">
        <v>23</v>
      </c>
      <c r="D576" s="5">
        <v>41</v>
      </c>
      <c r="E576" s="5">
        <v>862</v>
      </c>
      <c r="F576" s="5">
        <v>35342</v>
      </c>
    </row>
    <row r="577" spans="1:6" x14ac:dyDescent="0.4">
      <c r="A577" s="5" t="s">
        <v>17</v>
      </c>
      <c r="B577" s="5" t="s">
        <v>7</v>
      </c>
      <c r="C577" s="5" t="s">
        <v>24</v>
      </c>
      <c r="D577" s="5">
        <v>21</v>
      </c>
      <c r="E577" s="5">
        <v>1687</v>
      </c>
      <c r="F577" s="5">
        <v>35427</v>
      </c>
    </row>
    <row r="578" spans="1:6" x14ac:dyDescent="0.4">
      <c r="A578" s="5" t="s">
        <v>19</v>
      </c>
      <c r="B578" s="5" t="s">
        <v>21</v>
      </c>
      <c r="C578" s="5" t="s">
        <v>14</v>
      </c>
      <c r="D578" s="5">
        <v>34</v>
      </c>
      <c r="E578" s="5">
        <v>1043</v>
      </c>
      <c r="F578" s="5">
        <v>35462</v>
      </c>
    </row>
    <row r="579" spans="1:6" x14ac:dyDescent="0.4">
      <c r="A579" s="5" t="s">
        <v>9</v>
      </c>
      <c r="B579" s="5" t="s">
        <v>12</v>
      </c>
      <c r="C579" s="5" t="s">
        <v>18</v>
      </c>
      <c r="D579" s="5">
        <v>27</v>
      </c>
      <c r="E579" s="5">
        <v>1316</v>
      </c>
      <c r="F579" s="5">
        <v>35532</v>
      </c>
    </row>
    <row r="580" spans="1:6" x14ac:dyDescent="0.4">
      <c r="A580" s="5" t="s">
        <v>17</v>
      </c>
      <c r="B580" s="5" t="s">
        <v>21</v>
      </c>
      <c r="C580" s="5" t="s">
        <v>8</v>
      </c>
      <c r="D580" s="5">
        <v>49</v>
      </c>
      <c r="E580" s="5">
        <v>729</v>
      </c>
      <c r="F580" s="5">
        <v>35721</v>
      </c>
    </row>
    <row r="581" spans="1:6" x14ac:dyDescent="0.4">
      <c r="A581" s="5" t="s">
        <v>17</v>
      </c>
      <c r="B581" s="5" t="s">
        <v>21</v>
      </c>
      <c r="C581" s="5" t="s">
        <v>23</v>
      </c>
      <c r="D581" s="5">
        <v>24</v>
      </c>
      <c r="E581" s="5">
        <v>1491</v>
      </c>
      <c r="F581" s="5">
        <v>35784</v>
      </c>
    </row>
    <row r="582" spans="1:6" x14ac:dyDescent="0.4">
      <c r="A582" s="5" t="s">
        <v>6</v>
      </c>
      <c r="B582" s="5" t="s">
        <v>21</v>
      </c>
      <c r="C582" s="5" t="s">
        <v>16</v>
      </c>
      <c r="D582" s="5">
        <v>28</v>
      </c>
      <c r="E582" s="5">
        <v>1279</v>
      </c>
      <c r="F582" s="5">
        <v>35812</v>
      </c>
    </row>
    <row r="583" spans="1:6" x14ac:dyDescent="0.4">
      <c r="A583" s="5" t="s">
        <v>19</v>
      </c>
      <c r="B583" s="5" t="s">
        <v>21</v>
      </c>
      <c r="C583" s="5" t="s">
        <v>14</v>
      </c>
      <c r="D583" s="5">
        <v>37</v>
      </c>
      <c r="E583" s="5">
        <v>971</v>
      </c>
      <c r="F583" s="5">
        <v>35927</v>
      </c>
    </row>
    <row r="584" spans="1:6" x14ac:dyDescent="0.4">
      <c r="A584" s="5" t="s">
        <v>19</v>
      </c>
      <c r="B584" s="5" t="s">
        <v>15</v>
      </c>
      <c r="C584" s="5" t="s">
        <v>14</v>
      </c>
      <c r="D584" s="5">
        <v>30</v>
      </c>
      <c r="E584" s="5">
        <v>1201</v>
      </c>
      <c r="F584" s="5">
        <v>36030</v>
      </c>
    </row>
    <row r="585" spans="1:6" x14ac:dyDescent="0.4">
      <c r="A585" s="5" t="s">
        <v>17</v>
      </c>
      <c r="B585" s="5" t="s">
        <v>15</v>
      </c>
      <c r="C585" s="5" t="s">
        <v>22</v>
      </c>
      <c r="D585" s="5">
        <v>33</v>
      </c>
      <c r="E585" s="5">
        <v>1098</v>
      </c>
      <c r="F585" s="5">
        <v>36234</v>
      </c>
    </row>
    <row r="586" spans="1:6" x14ac:dyDescent="0.4">
      <c r="A586" s="5" t="s">
        <v>19</v>
      </c>
      <c r="B586" s="5" t="s">
        <v>21</v>
      </c>
      <c r="C586" s="5" t="s">
        <v>13</v>
      </c>
      <c r="D586" s="5">
        <v>34</v>
      </c>
      <c r="E586" s="5">
        <v>1066</v>
      </c>
      <c r="F586" s="5">
        <v>36244</v>
      </c>
    </row>
    <row r="587" spans="1:6" x14ac:dyDescent="0.4">
      <c r="A587" s="5" t="s">
        <v>6</v>
      </c>
      <c r="B587" s="5" t="s">
        <v>21</v>
      </c>
      <c r="C587" s="5" t="s">
        <v>11</v>
      </c>
      <c r="D587" s="5">
        <v>30</v>
      </c>
      <c r="E587" s="5">
        <v>1211</v>
      </c>
      <c r="F587" s="5">
        <v>36330</v>
      </c>
    </row>
    <row r="588" spans="1:6" x14ac:dyDescent="0.4">
      <c r="A588" s="5" t="s">
        <v>6</v>
      </c>
      <c r="B588" s="5" t="s">
        <v>7</v>
      </c>
      <c r="C588" s="5" t="s">
        <v>24</v>
      </c>
      <c r="D588" s="5">
        <v>29</v>
      </c>
      <c r="E588" s="5">
        <v>1258</v>
      </c>
      <c r="F588" s="5">
        <v>36482</v>
      </c>
    </row>
    <row r="589" spans="1:6" x14ac:dyDescent="0.4">
      <c r="A589" s="5" t="s">
        <v>6</v>
      </c>
      <c r="B589" s="5" t="s">
        <v>12</v>
      </c>
      <c r="C589" s="5" t="s">
        <v>14</v>
      </c>
      <c r="D589" s="5">
        <v>28</v>
      </c>
      <c r="E589" s="5">
        <v>1314</v>
      </c>
      <c r="F589" s="5">
        <v>36792</v>
      </c>
    </row>
    <row r="590" spans="1:6" x14ac:dyDescent="0.4">
      <c r="A590" s="5" t="s">
        <v>9</v>
      </c>
      <c r="B590" s="5" t="s">
        <v>10</v>
      </c>
      <c r="C590" s="5" t="s">
        <v>24</v>
      </c>
      <c r="D590" s="5">
        <v>28</v>
      </c>
      <c r="E590" s="5">
        <v>1320</v>
      </c>
      <c r="F590" s="5">
        <v>36960</v>
      </c>
    </row>
    <row r="591" spans="1:6" x14ac:dyDescent="0.4">
      <c r="A591" s="5" t="s">
        <v>17</v>
      </c>
      <c r="B591" s="5" t="s">
        <v>10</v>
      </c>
      <c r="C591" s="5" t="s">
        <v>20</v>
      </c>
      <c r="D591" s="5">
        <v>20</v>
      </c>
      <c r="E591" s="5">
        <v>1851</v>
      </c>
      <c r="F591" s="5">
        <v>37020</v>
      </c>
    </row>
    <row r="592" spans="1:6" x14ac:dyDescent="0.4">
      <c r="A592" s="5" t="s">
        <v>6</v>
      </c>
      <c r="B592" s="5" t="s">
        <v>7</v>
      </c>
      <c r="C592" s="5" t="s">
        <v>24</v>
      </c>
      <c r="D592" s="5">
        <v>39</v>
      </c>
      <c r="E592" s="5">
        <v>954</v>
      </c>
      <c r="F592" s="5">
        <v>37206</v>
      </c>
    </row>
    <row r="593" spans="1:6" x14ac:dyDescent="0.4">
      <c r="A593" s="5" t="s">
        <v>17</v>
      </c>
      <c r="B593" s="5" t="s">
        <v>21</v>
      </c>
      <c r="C593" s="5" t="s">
        <v>11</v>
      </c>
      <c r="D593" s="5">
        <v>28</v>
      </c>
      <c r="E593" s="5">
        <v>1352</v>
      </c>
      <c r="F593" s="5">
        <v>37856</v>
      </c>
    </row>
    <row r="594" spans="1:6" x14ac:dyDescent="0.4">
      <c r="A594" s="5" t="s">
        <v>9</v>
      </c>
      <c r="B594" s="5" t="s">
        <v>15</v>
      </c>
      <c r="C594" s="5" t="s">
        <v>14</v>
      </c>
      <c r="D594" s="5">
        <v>42</v>
      </c>
      <c r="E594" s="5">
        <v>908</v>
      </c>
      <c r="F594" s="5">
        <v>38136</v>
      </c>
    </row>
    <row r="595" spans="1:6" x14ac:dyDescent="0.4">
      <c r="A595" s="5" t="s">
        <v>17</v>
      </c>
      <c r="B595" s="5" t="s">
        <v>12</v>
      </c>
      <c r="C595" s="5" t="s">
        <v>20</v>
      </c>
      <c r="D595" s="5">
        <v>20</v>
      </c>
      <c r="E595" s="5">
        <v>1910</v>
      </c>
      <c r="F595" s="5">
        <v>38200</v>
      </c>
    </row>
    <row r="596" spans="1:6" x14ac:dyDescent="0.4">
      <c r="A596" s="5" t="s">
        <v>17</v>
      </c>
      <c r="B596" s="5" t="s">
        <v>15</v>
      </c>
      <c r="C596" s="5" t="s">
        <v>13</v>
      </c>
      <c r="D596" s="5">
        <v>29</v>
      </c>
      <c r="E596" s="5">
        <v>1318</v>
      </c>
      <c r="F596" s="5">
        <v>38222</v>
      </c>
    </row>
    <row r="597" spans="1:6" x14ac:dyDescent="0.4">
      <c r="A597" s="5" t="s">
        <v>17</v>
      </c>
      <c r="B597" s="5" t="s">
        <v>15</v>
      </c>
      <c r="C597" s="5" t="s">
        <v>23</v>
      </c>
      <c r="D597" s="5">
        <v>20</v>
      </c>
      <c r="E597" s="5">
        <v>1918</v>
      </c>
      <c r="F597" s="5">
        <v>38360</v>
      </c>
    </row>
    <row r="598" spans="1:6" x14ac:dyDescent="0.4">
      <c r="A598" s="5" t="s">
        <v>9</v>
      </c>
      <c r="B598" s="5" t="s">
        <v>7</v>
      </c>
      <c r="C598" s="5" t="s">
        <v>22</v>
      </c>
      <c r="D598" s="5">
        <v>24</v>
      </c>
      <c r="E598" s="5">
        <v>1603</v>
      </c>
      <c r="F598" s="5">
        <v>38472</v>
      </c>
    </row>
    <row r="599" spans="1:6" x14ac:dyDescent="0.4">
      <c r="A599" s="5" t="s">
        <v>19</v>
      </c>
      <c r="B599" s="5" t="s">
        <v>7</v>
      </c>
      <c r="C599" s="5" t="s">
        <v>11</v>
      </c>
      <c r="D599" s="5">
        <v>50</v>
      </c>
      <c r="E599" s="5">
        <v>773</v>
      </c>
      <c r="F599" s="5">
        <v>38650</v>
      </c>
    </row>
    <row r="600" spans="1:6" x14ac:dyDescent="0.4">
      <c r="A600" s="5" t="s">
        <v>17</v>
      </c>
      <c r="B600" s="5" t="s">
        <v>21</v>
      </c>
      <c r="C600" s="5" t="s">
        <v>24</v>
      </c>
      <c r="D600" s="5">
        <v>24</v>
      </c>
      <c r="E600" s="5">
        <v>1611</v>
      </c>
      <c r="F600" s="5">
        <v>38664</v>
      </c>
    </row>
    <row r="601" spans="1:6" x14ac:dyDescent="0.4">
      <c r="A601" s="5" t="s">
        <v>6</v>
      </c>
      <c r="B601" s="5" t="s">
        <v>7</v>
      </c>
      <c r="C601" s="5" t="s">
        <v>8</v>
      </c>
      <c r="D601" s="5">
        <v>28</v>
      </c>
      <c r="E601" s="5">
        <v>1381</v>
      </c>
      <c r="F601" s="5">
        <v>38668</v>
      </c>
    </row>
    <row r="602" spans="1:6" x14ac:dyDescent="0.4">
      <c r="A602" s="5" t="s">
        <v>19</v>
      </c>
      <c r="B602" s="5" t="s">
        <v>7</v>
      </c>
      <c r="C602" s="5" t="s">
        <v>13</v>
      </c>
      <c r="D602" s="5">
        <v>47</v>
      </c>
      <c r="E602" s="5">
        <v>828</v>
      </c>
      <c r="F602" s="5">
        <v>38916</v>
      </c>
    </row>
    <row r="603" spans="1:6" x14ac:dyDescent="0.4">
      <c r="A603" s="5" t="s">
        <v>17</v>
      </c>
      <c r="B603" s="5" t="s">
        <v>15</v>
      </c>
      <c r="C603" s="5" t="s">
        <v>20</v>
      </c>
      <c r="D603" s="5">
        <v>45</v>
      </c>
      <c r="E603" s="5">
        <v>872</v>
      </c>
      <c r="F603" s="5">
        <v>39240</v>
      </c>
    </row>
    <row r="604" spans="1:6" x14ac:dyDescent="0.4">
      <c r="A604" s="5" t="s">
        <v>19</v>
      </c>
      <c r="B604" s="5" t="s">
        <v>7</v>
      </c>
      <c r="C604" s="5" t="s">
        <v>23</v>
      </c>
      <c r="D604" s="5">
        <v>40</v>
      </c>
      <c r="E604" s="5">
        <v>991</v>
      </c>
      <c r="F604" s="5">
        <v>39640</v>
      </c>
    </row>
    <row r="605" spans="1:6" x14ac:dyDescent="0.4">
      <c r="A605" s="5" t="s">
        <v>17</v>
      </c>
      <c r="B605" s="5" t="s">
        <v>10</v>
      </c>
      <c r="C605" s="5" t="s">
        <v>23</v>
      </c>
      <c r="D605" s="5">
        <v>21</v>
      </c>
      <c r="E605" s="5">
        <v>1891</v>
      </c>
      <c r="F605" s="5">
        <v>39711</v>
      </c>
    </row>
    <row r="606" spans="1:6" x14ac:dyDescent="0.4">
      <c r="A606" s="5" t="s">
        <v>9</v>
      </c>
      <c r="B606" s="5" t="s">
        <v>15</v>
      </c>
      <c r="C606" s="5" t="s">
        <v>24</v>
      </c>
      <c r="D606" s="5">
        <v>25</v>
      </c>
      <c r="E606" s="5">
        <v>1590</v>
      </c>
      <c r="F606" s="5">
        <v>39750</v>
      </c>
    </row>
    <row r="607" spans="1:6" x14ac:dyDescent="0.4">
      <c r="A607" s="5" t="s">
        <v>17</v>
      </c>
      <c r="B607" s="5" t="s">
        <v>15</v>
      </c>
      <c r="C607" s="5" t="s">
        <v>24</v>
      </c>
      <c r="D607" s="5">
        <v>43</v>
      </c>
      <c r="E607" s="5">
        <v>929</v>
      </c>
      <c r="F607" s="5">
        <v>39947</v>
      </c>
    </row>
    <row r="608" spans="1:6" x14ac:dyDescent="0.4">
      <c r="A608" s="5" t="s">
        <v>6</v>
      </c>
      <c r="B608" s="5" t="s">
        <v>12</v>
      </c>
      <c r="C608" s="5" t="s">
        <v>24</v>
      </c>
      <c r="D608" s="5">
        <v>23</v>
      </c>
      <c r="E608" s="5">
        <v>1747</v>
      </c>
      <c r="F608" s="5">
        <v>40181</v>
      </c>
    </row>
    <row r="609" spans="1:6" x14ac:dyDescent="0.4">
      <c r="A609" s="5" t="s">
        <v>17</v>
      </c>
      <c r="B609" s="5" t="s">
        <v>15</v>
      </c>
      <c r="C609" s="5" t="s">
        <v>16</v>
      </c>
      <c r="D609" s="5">
        <v>48</v>
      </c>
      <c r="E609" s="5">
        <v>838</v>
      </c>
      <c r="F609" s="5">
        <v>40224</v>
      </c>
    </row>
    <row r="610" spans="1:6" x14ac:dyDescent="0.4">
      <c r="A610" s="5" t="s">
        <v>19</v>
      </c>
      <c r="B610" s="5" t="s">
        <v>15</v>
      </c>
      <c r="C610" s="5" t="s">
        <v>22</v>
      </c>
      <c r="D610" s="5">
        <v>44</v>
      </c>
      <c r="E610" s="5">
        <v>915</v>
      </c>
      <c r="F610" s="5">
        <v>40260</v>
      </c>
    </row>
    <row r="611" spans="1:6" x14ac:dyDescent="0.4">
      <c r="A611" s="5" t="s">
        <v>17</v>
      </c>
      <c r="B611" s="5" t="s">
        <v>10</v>
      </c>
      <c r="C611" s="5" t="s">
        <v>11</v>
      </c>
      <c r="D611" s="5">
        <v>25</v>
      </c>
      <c r="E611" s="5">
        <v>1615</v>
      </c>
      <c r="F611" s="5">
        <v>40375</v>
      </c>
    </row>
    <row r="612" spans="1:6" x14ac:dyDescent="0.4">
      <c r="A612" s="5" t="s">
        <v>17</v>
      </c>
      <c r="B612" s="5" t="s">
        <v>21</v>
      </c>
      <c r="C612" s="5" t="s">
        <v>22</v>
      </c>
      <c r="D612" s="5">
        <v>44</v>
      </c>
      <c r="E612" s="5">
        <v>921</v>
      </c>
      <c r="F612" s="5">
        <v>40524</v>
      </c>
    </row>
    <row r="613" spans="1:6" x14ac:dyDescent="0.4">
      <c r="A613" s="5" t="s">
        <v>9</v>
      </c>
      <c r="B613" s="5" t="s">
        <v>21</v>
      </c>
      <c r="C613" s="5" t="s">
        <v>11</v>
      </c>
      <c r="D613" s="5">
        <v>44</v>
      </c>
      <c r="E613" s="5">
        <v>926</v>
      </c>
      <c r="F613" s="5">
        <v>40744</v>
      </c>
    </row>
    <row r="614" spans="1:6" x14ac:dyDescent="0.4">
      <c r="A614" s="5" t="s">
        <v>9</v>
      </c>
      <c r="B614" s="5" t="s">
        <v>10</v>
      </c>
      <c r="C614" s="5" t="s">
        <v>22</v>
      </c>
      <c r="D614" s="5">
        <v>40</v>
      </c>
      <c r="E614" s="5">
        <v>1020</v>
      </c>
      <c r="F614" s="5">
        <v>40800</v>
      </c>
    </row>
    <row r="615" spans="1:6" x14ac:dyDescent="0.4">
      <c r="A615" s="5" t="s">
        <v>17</v>
      </c>
      <c r="B615" s="5" t="s">
        <v>21</v>
      </c>
      <c r="C615" s="5" t="s">
        <v>23</v>
      </c>
      <c r="D615" s="5">
        <v>27</v>
      </c>
      <c r="E615" s="5">
        <v>1519</v>
      </c>
      <c r="F615" s="5">
        <v>41013</v>
      </c>
    </row>
    <row r="616" spans="1:6" x14ac:dyDescent="0.4">
      <c r="A616" s="5" t="s">
        <v>6</v>
      </c>
      <c r="B616" s="5" t="s">
        <v>21</v>
      </c>
      <c r="C616" s="5" t="s">
        <v>16</v>
      </c>
      <c r="D616" s="5">
        <v>24</v>
      </c>
      <c r="E616" s="5">
        <v>1733</v>
      </c>
      <c r="F616" s="5">
        <v>41592</v>
      </c>
    </row>
    <row r="617" spans="1:6" x14ac:dyDescent="0.4">
      <c r="A617" s="5" t="s">
        <v>9</v>
      </c>
      <c r="B617" s="5" t="s">
        <v>10</v>
      </c>
      <c r="C617" s="5" t="s">
        <v>11</v>
      </c>
      <c r="D617" s="5">
        <v>34</v>
      </c>
      <c r="E617" s="5">
        <v>1224</v>
      </c>
      <c r="F617" s="5">
        <v>41616</v>
      </c>
    </row>
    <row r="618" spans="1:6" x14ac:dyDescent="0.4">
      <c r="A618" s="5" t="s">
        <v>17</v>
      </c>
      <c r="B618" s="5" t="s">
        <v>12</v>
      </c>
      <c r="C618" s="5" t="s">
        <v>20</v>
      </c>
      <c r="D618" s="5">
        <v>28</v>
      </c>
      <c r="E618" s="5">
        <v>1494</v>
      </c>
      <c r="F618" s="5">
        <v>41832</v>
      </c>
    </row>
    <row r="619" spans="1:6" x14ac:dyDescent="0.4">
      <c r="A619" s="5" t="s">
        <v>9</v>
      </c>
      <c r="B619" s="5" t="s">
        <v>21</v>
      </c>
      <c r="C619" s="5" t="s">
        <v>8</v>
      </c>
      <c r="D619" s="5">
        <v>38</v>
      </c>
      <c r="E619" s="5">
        <v>1104</v>
      </c>
      <c r="F619" s="5">
        <v>41952</v>
      </c>
    </row>
    <row r="620" spans="1:6" x14ac:dyDescent="0.4">
      <c r="A620" s="5" t="s">
        <v>9</v>
      </c>
      <c r="B620" s="5" t="s">
        <v>10</v>
      </c>
      <c r="C620" s="5" t="s">
        <v>20</v>
      </c>
      <c r="D620" s="5">
        <v>43</v>
      </c>
      <c r="E620" s="5">
        <v>976</v>
      </c>
      <c r="F620" s="5">
        <v>41968</v>
      </c>
    </row>
    <row r="621" spans="1:6" x14ac:dyDescent="0.4">
      <c r="A621" s="5" t="s">
        <v>6</v>
      </c>
      <c r="B621" s="5" t="s">
        <v>21</v>
      </c>
      <c r="C621" s="5" t="s">
        <v>24</v>
      </c>
      <c r="D621" s="5">
        <v>23</v>
      </c>
      <c r="E621" s="5">
        <v>1827</v>
      </c>
      <c r="F621" s="5">
        <v>42021</v>
      </c>
    </row>
    <row r="622" spans="1:6" x14ac:dyDescent="0.4">
      <c r="A622" s="5" t="s">
        <v>17</v>
      </c>
      <c r="B622" s="5" t="s">
        <v>21</v>
      </c>
      <c r="C622" s="5" t="s">
        <v>8</v>
      </c>
      <c r="D622" s="5">
        <v>32</v>
      </c>
      <c r="E622" s="5">
        <v>1314</v>
      </c>
      <c r="F622" s="5">
        <v>42048</v>
      </c>
    </row>
    <row r="623" spans="1:6" x14ac:dyDescent="0.4">
      <c r="A623" s="5" t="s">
        <v>17</v>
      </c>
      <c r="B623" s="5" t="s">
        <v>21</v>
      </c>
      <c r="C623" s="5" t="s">
        <v>11</v>
      </c>
      <c r="D623" s="5">
        <v>45</v>
      </c>
      <c r="E623" s="5">
        <v>944</v>
      </c>
      <c r="F623" s="5">
        <v>42480</v>
      </c>
    </row>
    <row r="624" spans="1:6" x14ac:dyDescent="0.4">
      <c r="A624" s="5" t="s">
        <v>9</v>
      </c>
      <c r="B624" s="5" t="s">
        <v>10</v>
      </c>
      <c r="C624" s="5" t="s">
        <v>8</v>
      </c>
      <c r="D624" s="5">
        <v>27</v>
      </c>
      <c r="E624" s="5">
        <v>1575</v>
      </c>
      <c r="F624" s="5">
        <v>42525</v>
      </c>
    </row>
    <row r="625" spans="1:6" x14ac:dyDescent="0.4">
      <c r="A625" s="5" t="s">
        <v>17</v>
      </c>
      <c r="B625" s="5" t="s">
        <v>21</v>
      </c>
      <c r="C625" s="5" t="s">
        <v>24</v>
      </c>
      <c r="D625" s="5">
        <v>28</v>
      </c>
      <c r="E625" s="5">
        <v>1529</v>
      </c>
      <c r="F625" s="5">
        <v>42812</v>
      </c>
    </row>
    <row r="626" spans="1:6" x14ac:dyDescent="0.4">
      <c r="A626" s="5" t="s">
        <v>6</v>
      </c>
      <c r="B626" s="5" t="s">
        <v>7</v>
      </c>
      <c r="C626" s="5" t="s">
        <v>14</v>
      </c>
      <c r="D626" s="5">
        <v>46</v>
      </c>
      <c r="E626" s="5">
        <v>935</v>
      </c>
      <c r="F626" s="5">
        <v>43010</v>
      </c>
    </row>
    <row r="627" spans="1:6" x14ac:dyDescent="0.4">
      <c r="A627" s="5" t="s">
        <v>9</v>
      </c>
      <c r="B627" s="5" t="s">
        <v>21</v>
      </c>
      <c r="C627" s="5" t="s">
        <v>24</v>
      </c>
      <c r="D627" s="5">
        <v>29</v>
      </c>
      <c r="E627" s="5">
        <v>1485</v>
      </c>
      <c r="F627" s="5">
        <v>43065</v>
      </c>
    </row>
    <row r="628" spans="1:6" x14ac:dyDescent="0.4">
      <c r="A628" s="5" t="s">
        <v>17</v>
      </c>
      <c r="B628" s="5" t="s">
        <v>12</v>
      </c>
      <c r="C628" s="5" t="s">
        <v>23</v>
      </c>
      <c r="D628" s="5">
        <v>47</v>
      </c>
      <c r="E628" s="5">
        <v>918</v>
      </c>
      <c r="F628" s="5">
        <v>43146</v>
      </c>
    </row>
    <row r="629" spans="1:6" x14ac:dyDescent="0.4">
      <c r="A629" s="5" t="s">
        <v>9</v>
      </c>
      <c r="B629" s="5" t="s">
        <v>12</v>
      </c>
      <c r="C629" s="5" t="s">
        <v>22</v>
      </c>
      <c r="D629" s="5">
        <v>33</v>
      </c>
      <c r="E629" s="5">
        <v>1310</v>
      </c>
      <c r="F629" s="5">
        <v>43230</v>
      </c>
    </row>
    <row r="630" spans="1:6" x14ac:dyDescent="0.4">
      <c r="A630" s="5" t="s">
        <v>17</v>
      </c>
      <c r="B630" s="5" t="s">
        <v>7</v>
      </c>
      <c r="C630" s="5" t="s">
        <v>23</v>
      </c>
      <c r="D630" s="5">
        <v>24</v>
      </c>
      <c r="E630" s="5">
        <v>1807</v>
      </c>
      <c r="F630" s="5">
        <v>43368</v>
      </c>
    </row>
    <row r="631" spans="1:6" x14ac:dyDescent="0.4">
      <c r="A631" s="5" t="s">
        <v>17</v>
      </c>
      <c r="B631" s="5" t="s">
        <v>21</v>
      </c>
      <c r="C631" s="5" t="s">
        <v>11</v>
      </c>
      <c r="D631" s="5">
        <v>23</v>
      </c>
      <c r="E631" s="5">
        <v>1897</v>
      </c>
      <c r="F631" s="5">
        <v>43631</v>
      </c>
    </row>
    <row r="632" spans="1:6" x14ac:dyDescent="0.4">
      <c r="A632" s="5" t="s">
        <v>19</v>
      </c>
      <c r="B632" s="5" t="s">
        <v>21</v>
      </c>
      <c r="C632" s="5" t="s">
        <v>22</v>
      </c>
      <c r="D632" s="5">
        <v>23</v>
      </c>
      <c r="E632" s="5">
        <v>1899</v>
      </c>
      <c r="F632" s="5">
        <v>43677</v>
      </c>
    </row>
    <row r="633" spans="1:6" x14ac:dyDescent="0.4">
      <c r="A633" s="5" t="s">
        <v>9</v>
      </c>
      <c r="B633" s="5" t="s">
        <v>21</v>
      </c>
      <c r="C633" s="5" t="s">
        <v>18</v>
      </c>
      <c r="D633" s="5">
        <v>31</v>
      </c>
      <c r="E633" s="5">
        <v>1422</v>
      </c>
      <c r="F633" s="5">
        <v>44082</v>
      </c>
    </row>
    <row r="634" spans="1:6" x14ac:dyDescent="0.4">
      <c r="A634" s="5" t="s">
        <v>6</v>
      </c>
      <c r="B634" s="5" t="s">
        <v>7</v>
      </c>
      <c r="C634" s="5" t="s">
        <v>14</v>
      </c>
      <c r="D634" s="5">
        <v>36</v>
      </c>
      <c r="E634" s="5">
        <v>1230</v>
      </c>
      <c r="F634" s="5">
        <v>44280</v>
      </c>
    </row>
    <row r="635" spans="1:6" x14ac:dyDescent="0.4">
      <c r="A635" s="5" t="s">
        <v>9</v>
      </c>
      <c r="B635" s="5" t="s">
        <v>21</v>
      </c>
      <c r="C635" s="5" t="s">
        <v>18</v>
      </c>
      <c r="D635" s="5">
        <v>32</v>
      </c>
      <c r="E635" s="5">
        <v>1385</v>
      </c>
      <c r="F635" s="5">
        <v>44320</v>
      </c>
    </row>
    <row r="636" spans="1:6" x14ac:dyDescent="0.4">
      <c r="A636" s="5" t="s">
        <v>9</v>
      </c>
      <c r="B636" s="5" t="s">
        <v>10</v>
      </c>
      <c r="C636" s="5" t="s">
        <v>20</v>
      </c>
      <c r="D636" s="5">
        <v>45</v>
      </c>
      <c r="E636" s="5">
        <v>985</v>
      </c>
      <c r="F636" s="5">
        <v>44325</v>
      </c>
    </row>
    <row r="637" spans="1:6" x14ac:dyDescent="0.4">
      <c r="A637" s="5" t="s">
        <v>9</v>
      </c>
      <c r="B637" s="5" t="s">
        <v>7</v>
      </c>
      <c r="C637" s="5" t="s">
        <v>22</v>
      </c>
      <c r="D637" s="5">
        <v>27</v>
      </c>
      <c r="E637" s="5">
        <v>1642</v>
      </c>
      <c r="F637" s="5">
        <v>44334</v>
      </c>
    </row>
    <row r="638" spans="1:6" x14ac:dyDescent="0.4">
      <c r="A638" s="5" t="s">
        <v>9</v>
      </c>
      <c r="B638" s="5" t="s">
        <v>7</v>
      </c>
      <c r="C638" s="5" t="s">
        <v>11</v>
      </c>
      <c r="D638" s="5">
        <v>23</v>
      </c>
      <c r="E638" s="5">
        <v>1939</v>
      </c>
      <c r="F638" s="5">
        <v>44597</v>
      </c>
    </row>
    <row r="639" spans="1:6" x14ac:dyDescent="0.4">
      <c r="A639" s="5" t="s">
        <v>17</v>
      </c>
      <c r="B639" s="5" t="s">
        <v>7</v>
      </c>
      <c r="C639" s="5" t="s">
        <v>8</v>
      </c>
      <c r="D639" s="5">
        <v>28</v>
      </c>
      <c r="E639" s="5">
        <v>1601</v>
      </c>
      <c r="F639" s="5">
        <v>44828</v>
      </c>
    </row>
    <row r="640" spans="1:6" x14ac:dyDescent="0.4">
      <c r="A640" s="5" t="s">
        <v>19</v>
      </c>
      <c r="B640" s="5" t="s">
        <v>10</v>
      </c>
      <c r="C640" s="5" t="s">
        <v>20</v>
      </c>
      <c r="D640" s="5">
        <v>33</v>
      </c>
      <c r="E640" s="5">
        <v>1359</v>
      </c>
      <c r="F640" s="5">
        <v>44847</v>
      </c>
    </row>
    <row r="641" spans="1:6" x14ac:dyDescent="0.4">
      <c r="A641" s="5" t="s">
        <v>17</v>
      </c>
      <c r="B641" s="5" t="s">
        <v>15</v>
      </c>
      <c r="C641" s="5" t="s">
        <v>16</v>
      </c>
      <c r="D641" s="5">
        <v>29</v>
      </c>
      <c r="E641" s="5">
        <v>1548</v>
      </c>
      <c r="F641" s="5">
        <v>44892</v>
      </c>
    </row>
    <row r="642" spans="1:6" x14ac:dyDescent="0.4">
      <c r="A642" s="5" t="s">
        <v>19</v>
      </c>
      <c r="B642" s="5" t="s">
        <v>21</v>
      </c>
      <c r="C642" s="5" t="s">
        <v>24</v>
      </c>
      <c r="D642" s="5">
        <v>33</v>
      </c>
      <c r="E642" s="5">
        <v>1363</v>
      </c>
      <c r="F642" s="5">
        <v>44979</v>
      </c>
    </row>
    <row r="643" spans="1:6" x14ac:dyDescent="0.4">
      <c r="A643" s="5" t="s">
        <v>9</v>
      </c>
      <c r="B643" s="5" t="s">
        <v>15</v>
      </c>
      <c r="C643" s="5" t="s">
        <v>20</v>
      </c>
      <c r="D643" s="5">
        <v>36</v>
      </c>
      <c r="E643" s="5">
        <v>1251</v>
      </c>
      <c r="F643" s="5">
        <v>45036</v>
      </c>
    </row>
    <row r="644" spans="1:6" x14ac:dyDescent="0.4">
      <c r="A644" s="5" t="s">
        <v>9</v>
      </c>
      <c r="B644" s="5" t="s">
        <v>10</v>
      </c>
      <c r="C644" s="5" t="s">
        <v>8</v>
      </c>
      <c r="D644" s="5">
        <v>24</v>
      </c>
      <c r="E644" s="5">
        <v>1891</v>
      </c>
      <c r="F644" s="5">
        <v>45384</v>
      </c>
    </row>
    <row r="645" spans="1:6" x14ac:dyDescent="0.4">
      <c r="A645" s="5" t="s">
        <v>17</v>
      </c>
      <c r="B645" s="5" t="s">
        <v>7</v>
      </c>
      <c r="C645" s="5" t="s">
        <v>13</v>
      </c>
      <c r="D645" s="5">
        <v>47</v>
      </c>
      <c r="E645" s="5">
        <v>975</v>
      </c>
      <c r="F645" s="5">
        <v>45825</v>
      </c>
    </row>
    <row r="646" spans="1:6" x14ac:dyDescent="0.4">
      <c r="A646" s="5" t="s">
        <v>9</v>
      </c>
      <c r="B646" s="5" t="s">
        <v>7</v>
      </c>
      <c r="C646" s="5" t="s">
        <v>13</v>
      </c>
      <c r="D646" s="5">
        <v>42</v>
      </c>
      <c r="E646" s="5">
        <v>1093</v>
      </c>
      <c r="F646" s="5">
        <v>45906</v>
      </c>
    </row>
    <row r="647" spans="1:6" x14ac:dyDescent="0.4">
      <c r="A647" s="5" t="s">
        <v>6</v>
      </c>
      <c r="B647" s="5" t="s">
        <v>12</v>
      </c>
      <c r="C647" s="5" t="s">
        <v>23</v>
      </c>
      <c r="D647" s="5">
        <v>39</v>
      </c>
      <c r="E647" s="5">
        <v>1186</v>
      </c>
      <c r="F647" s="5">
        <v>46254</v>
      </c>
    </row>
    <row r="648" spans="1:6" x14ac:dyDescent="0.4">
      <c r="A648" s="5" t="s">
        <v>19</v>
      </c>
      <c r="B648" s="5" t="s">
        <v>21</v>
      </c>
      <c r="C648" s="5" t="s">
        <v>11</v>
      </c>
      <c r="D648" s="5">
        <v>30</v>
      </c>
      <c r="E648" s="5">
        <v>1544</v>
      </c>
      <c r="F648" s="5">
        <v>46320</v>
      </c>
    </row>
    <row r="649" spans="1:6" x14ac:dyDescent="0.4">
      <c r="A649" s="5" t="s">
        <v>9</v>
      </c>
      <c r="B649" s="5" t="s">
        <v>12</v>
      </c>
      <c r="C649" s="5" t="s">
        <v>14</v>
      </c>
      <c r="D649" s="5">
        <v>35</v>
      </c>
      <c r="E649" s="5">
        <v>1328</v>
      </c>
      <c r="F649" s="5">
        <v>46480</v>
      </c>
    </row>
    <row r="650" spans="1:6" x14ac:dyDescent="0.4">
      <c r="A650" s="5" t="s">
        <v>9</v>
      </c>
      <c r="B650" s="5" t="s">
        <v>7</v>
      </c>
      <c r="C650" s="5" t="s">
        <v>18</v>
      </c>
      <c r="D650" s="5">
        <v>44</v>
      </c>
      <c r="E650" s="5">
        <v>1061</v>
      </c>
      <c r="F650" s="5">
        <v>46684</v>
      </c>
    </row>
    <row r="651" spans="1:6" x14ac:dyDescent="0.4">
      <c r="A651" s="5" t="s">
        <v>9</v>
      </c>
      <c r="B651" s="5" t="s">
        <v>10</v>
      </c>
      <c r="C651" s="5" t="s">
        <v>8</v>
      </c>
      <c r="D651" s="5">
        <v>27</v>
      </c>
      <c r="E651" s="5">
        <v>1741</v>
      </c>
      <c r="F651" s="5">
        <v>47007</v>
      </c>
    </row>
    <row r="652" spans="1:6" x14ac:dyDescent="0.4">
      <c r="A652" s="5" t="s">
        <v>9</v>
      </c>
      <c r="B652" s="5" t="s">
        <v>10</v>
      </c>
      <c r="C652" s="5" t="s">
        <v>11</v>
      </c>
      <c r="D652" s="5">
        <v>42</v>
      </c>
      <c r="E652" s="5">
        <v>1124</v>
      </c>
      <c r="F652" s="5">
        <v>47208</v>
      </c>
    </row>
    <row r="653" spans="1:6" x14ac:dyDescent="0.4">
      <c r="A653" s="5" t="s">
        <v>19</v>
      </c>
      <c r="B653" s="5" t="s">
        <v>12</v>
      </c>
      <c r="C653" s="5" t="s">
        <v>22</v>
      </c>
      <c r="D653" s="5">
        <v>30</v>
      </c>
      <c r="E653" s="5">
        <v>1574</v>
      </c>
      <c r="F653" s="5">
        <v>47220</v>
      </c>
    </row>
    <row r="654" spans="1:6" x14ac:dyDescent="0.4">
      <c r="A654" s="5" t="s">
        <v>17</v>
      </c>
      <c r="B654" s="5" t="s">
        <v>21</v>
      </c>
      <c r="C654" s="5" t="s">
        <v>20</v>
      </c>
      <c r="D654" s="5">
        <v>45</v>
      </c>
      <c r="E654" s="5">
        <v>1060</v>
      </c>
      <c r="F654" s="5">
        <v>47700</v>
      </c>
    </row>
    <row r="655" spans="1:6" x14ac:dyDescent="0.4">
      <c r="A655" s="5" t="s">
        <v>9</v>
      </c>
      <c r="B655" s="5" t="s">
        <v>7</v>
      </c>
      <c r="C655" s="5" t="s">
        <v>18</v>
      </c>
      <c r="D655" s="5">
        <v>40</v>
      </c>
      <c r="E655" s="5">
        <v>1199</v>
      </c>
      <c r="F655" s="5">
        <v>47960</v>
      </c>
    </row>
    <row r="656" spans="1:6" x14ac:dyDescent="0.4">
      <c r="A656" s="5" t="s">
        <v>9</v>
      </c>
      <c r="B656" s="5" t="s">
        <v>12</v>
      </c>
      <c r="C656" s="5" t="s">
        <v>14</v>
      </c>
      <c r="D656" s="5">
        <v>28</v>
      </c>
      <c r="E656" s="5">
        <v>1718</v>
      </c>
      <c r="F656" s="5">
        <v>48104</v>
      </c>
    </row>
    <row r="657" spans="1:6" x14ac:dyDescent="0.4">
      <c r="A657" s="5" t="s">
        <v>19</v>
      </c>
      <c r="B657" s="5" t="s">
        <v>7</v>
      </c>
      <c r="C657" s="5" t="s">
        <v>13</v>
      </c>
      <c r="D657" s="5">
        <v>39</v>
      </c>
      <c r="E657" s="5">
        <v>1243</v>
      </c>
      <c r="F657" s="5">
        <v>48477</v>
      </c>
    </row>
    <row r="658" spans="1:6" x14ac:dyDescent="0.4">
      <c r="A658" s="5" t="s">
        <v>9</v>
      </c>
      <c r="B658" s="5" t="s">
        <v>7</v>
      </c>
      <c r="C658" s="5" t="s">
        <v>11</v>
      </c>
      <c r="D658" s="5">
        <v>30</v>
      </c>
      <c r="E658" s="5">
        <v>1622</v>
      </c>
      <c r="F658" s="5">
        <v>48660</v>
      </c>
    </row>
    <row r="659" spans="1:6" x14ac:dyDescent="0.4">
      <c r="A659" s="5" t="s">
        <v>9</v>
      </c>
      <c r="B659" s="5" t="s">
        <v>15</v>
      </c>
      <c r="C659" s="5" t="s">
        <v>16</v>
      </c>
      <c r="D659" s="5">
        <v>38</v>
      </c>
      <c r="E659" s="5">
        <v>1281</v>
      </c>
      <c r="F659" s="5">
        <v>48678</v>
      </c>
    </row>
    <row r="660" spans="1:6" x14ac:dyDescent="0.4">
      <c r="A660" s="5" t="s">
        <v>17</v>
      </c>
      <c r="B660" s="5" t="s">
        <v>21</v>
      </c>
      <c r="C660" s="5" t="s">
        <v>20</v>
      </c>
      <c r="D660" s="5">
        <v>42</v>
      </c>
      <c r="E660" s="5">
        <v>1160</v>
      </c>
      <c r="F660" s="5">
        <v>48720</v>
      </c>
    </row>
    <row r="661" spans="1:6" x14ac:dyDescent="0.4">
      <c r="A661" s="5" t="s">
        <v>17</v>
      </c>
      <c r="B661" s="5" t="s">
        <v>12</v>
      </c>
      <c r="C661" s="5" t="s">
        <v>22</v>
      </c>
      <c r="D661" s="5">
        <v>48</v>
      </c>
      <c r="E661" s="5">
        <v>1016</v>
      </c>
      <c r="F661" s="5">
        <v>48768</v>
      </c>
    </row>
    <row r="662" spans="1:6" x14ac:dyDescent="0.4">
      <c r="A662" s="5" t="s">
        <v>6</v>
      </c>
      <c r="B662" s="5" t="s">
        <v>10</v>
      </c>
      <c r="C662" s="5" t="s">
        <v>16</v>
      </c>
      <c r="D662" s="5">
        <v>35</v>
      </c>
      <c r="E662" s="5">
        <v>1396</v>
      </c>
      <c r="F662" s="5">
        <v>48860</v>
      </c>
    </row>
    <row r="663" spans="1:6" x14ac:dyDescent="0.4">
      <c r="A663" s="5" t="s">
        <v>9</v>
      </c>
      <c r="B663" s="5" t="s">
        <v>15</v>
      </c>
      <c r="C663" s="5" t="s">
        <v>20</v>
      </c>
      <c r="D663" s="5">
        <v>28</v>
      </c>
      <c r="E663" s="5">
        <v>1750</v>
      </c>
      <c r="F663" s="5">
        <v>49000</v>
      </c>
    </row>
    <row r="664" spans="1:6" x14ac:dyDescent="0.4">
      <c r="A664" s="5" t="s">
        <v>6</v>
      </c>
      <c r="B664" s="5" t="s">
        <v>10</v>
      </c>
      <c r="C664" s="5" t="s">
        <v>16</v>
      </c>
      <c r="D664" s="5">
        <v>34</v>
      </c>
      <c r="E664" s="5">
        <v>1460</v>
      </c>
      <c r="F664" s="5">
        <v>49640</v>
      </c>
    </row>
    <row r="665" spans="1:6" x14ac:dyDescent="0.4">
      <c r="A665" s="5" t="s">
        <v>6</v>
      </c>
      <c r="B665" s="5" t="s">
        <v>10</v>
      </c>
      <c r="C665" s="5" t="s">
        <v>18</v>
      </c>
      <c r="D665" s="5">
        <v>47</v>
      </c>
      <c r="E665" s="5">
        <v>1063</v>
      </c>
      <c r="F665" s="5">
        <v>49961</v>
      </c>
    </row>
    <row r="666" spans="1:6" x14ac:dyDescent="0.4">
      <c r="A666" s="5" t="s">
        <v>19</v>
      </c>
      <c r="B666" s="5" t="s">
        <v>10</v>
      </c>
      <c r="C666" s="5" t="s">
        <v>24</v>
      </c>
      <c r="D666" s="5">
        <v>29</v>
      </c>
      <c r="E666" s="5">
        <v>1736</v>
      </c>
      <c r="F666" s="5">
        <v>50344</v>
      </c>
    </row>
    <row r="667" spans="1:6" x14ac:dyDescent="0.4">
      <c r="A667" s="5" t="s">
        <v>9</v>
      </c>
      <c r="B667" s="5" t="s">
        <v>15</v>
      </c>
      <c r="C667" s="5" t="s">
        <v>16</v>
      </c>
      <c r="D667" s="5">
        <v>35</v>
      </c>
      <c r="E667" s="5">
        <v>1443</v>
      </c>
      <c r="F667" s="5">
        <v>50505</v>
      </c>
    </row>
    <row r="668" spans="1:6" x14ac:dyDescent="0.4">
      <c r="A668" s="5" t="s">
        <v>9</v>
      </c>
      <c r="B668" s="5" t="s">
        <v>12</v>
      </c>
      <c r="C668" s="5" t="s">
        <v>14</v>
      </c>
      <c r="D668" s="5">
        <v>40</v>
      </c>
      <c r="E668" s="5">
        <v>1263</v>
      </c>
      <c r="F668" s="5">
        <v>50520</v>
      </c>
    </row>
    <row r="669" spans="1:6" x14ac:dyDescent="0.4">
      <c r="A669" s="5" t="s">
        <v>17</v>
      </c>
      <c r="B669" s="5" t="s">
        <v>21</v>
      </c>
      <c r="C669" s="5" t="s">
        <v>13</v>
      </c>
      <c r="D669" s="5">
        <v>28</v>
      </c>
      <c r="E669" s="5">
        <v>1811</v>
      </c>
      <c r="F669" s="5">
        <v>50708</v>
      </c>
    </row>
    <row r="670" spans="1:6" x14ac:dyDescent="0.4">
      <c r="A670" s="5" t="s">
        <v>19</v>
      </c>
      <c r="B670" s="5" t="s">
        <v>21</v>
      </c>
      <c r="C670" s="5" t="s">
        <v>16</v>
      </c>
      <c r="D670" s="5">
        <v>36</v>
      </c>
      <c r="E670" s="5">
        <v>1409</v>
      </c>
      <c r="F670" s="5">
        <v>50724</v>
      </c>
    </row>
    <row r="671" spans="1:6" x14ac:dyDescent="0.4">
      <c r="A671" s="5" t="s">
        <v>9</v>
      </c>
      <c r="B671" s="5" t="s">
        <v>10</v>
      </c>
      <c r="C671" s="5" t="s">
        <v>18</v>
      </c>
      <c r="D671" s="5">
        <v>26</v>
      </c>
      <c r="E671" s="5">
        <v>1955</v>
      </c>
      <c r="F671" s="5">
        <v>50830</v>
      </c>
    </row>
    <row r="672" spans="1:6" x14ac:dyDescent="0.4">
      <c r="A672" s="5" t="s">
        <v>6</v>
      </c>
      <c r="B672" s="5" t="s">
        <v>15</v>
      </c>
      <c r="C672" s="5" t="s">
        <v>22</v>
      </c>
      <c r="D672" s="5">
        <v>36</v>
      </c>
      <c r="E672" s="5">
        <v>1413</v>
      </c>
      <c r="F672" s="5">
        <v>50868</v>
      </c>
    </row>
    <row r="673" spans="1:6" x14ac:dyDescent="0.4">
      <c r="A673" s="5" t="s">
        <v>9</v>
      </c>
      <c r="B673" s="5" t="s">
        <v>10</v>
      </c>
      <c r="C673" s="5" t="s">
        <v>11</v>
      </c>
      <c r="D673" s="5">
        <v>39</v>
      </c>
      <c r="E673" s="5">
        <v>1306</v>
      </c>
      <c r="F673" s="5">
        <v>50934</v>
      </c>
    </row>
    <row r="674" spans="1:6" x14ac:dyDescent="0.4">
      <c r="A674" s="5" t="s">
        <v>9</v>
      </c>
      <c r="B674" s="5" t="s">
        <v>10</v>
      </c>
      <c r="C674" s="5" t="s">
        <v>13</v>
      </c>
      <c r="D674" s="5">
        <v>29</v>
      </c>
      <c r="E674" s="5">
        <v>1767</v>
      </c>
      <c r="F674" s="5">
        <v>51243</v>
      </c>
    </row>
    <row r="675" spans="1:6" x14ac:dyDescent="0.4">
      <c r="A675" s="5" t="s">
        <v>6</v>
      </c>
      <c r="B675" s="5" t="s">
        <v>21</v>
      </c>
      <c r="C675" s="5" t="s">
        <v>13</v>
      </c>
      <c r="D675" s="5">
        <v>39</v>
      </c>
      <c r="E675" s="5">
        <v>1317</v>
      </c>
      <c r="F675" s="5">
        <v>51363</v>
      </c>
    </row>
    <row r="676" spans="1:6" x14ac:dyDescent="0.4">
      <c r="A676" s="5" t="s">
        <v>9</v>
      </c>
      <c r="B676" s="5" t="s">
        <v>15</v>
      </c>
      <c r="C676" s="5" t="s">
        <v>8</v>
      </c>
      <c r="D676" s="5">
        <v>42</v>
      </c>
      <c r="E676" s="5">
        <v>1225</v>
      </c>
      <c r="F676" s="5">
        <v>51450</v>
      </c>
    </row>
    <row r="677" spans="1:6" x14ac:dyDescent="0.4">
      <c r="A677" s="5" t="s">
        <v>6</v>
      </c>
      <c r="B677" s="5" t="s">
        <v>15</v>
      </c>
      <c r="C677" s="5" t="s">
        <v>11</v>
      </c>
      <c r="D677" s="5">
        <v>28</v>
      </c>
      <c r="E677" s="5">
        <v>1844</v>
      </c>
      <c r="F677" s="5">
        <v>51632</v>
      </c>
    </row>
    <row r="678" spans="1:6" x14ac:dyDescent="0.4">
      <c r="A678" s="5" t="s">
        <v>17</v>
      </c>
      <c r="B678" s="5" t="s">
        <v>7</v>
      </c>
      <c r="C678" s="5" t="s">
        <v>20</v>
      </c>
      <c r="D678" s="5">
        <v>35</v>
      </c>
      <c r="E678" s="5">
        <v>1476</v>
      </c>
      <c r="F678" s="5">
        <v>51660</v>
      </c>
    </row>
    <row r="679" spans="1:6" x14ac:dyDescent="0.4">
      <c r="A679" s="5" t="s">
        <v>19</v>
      </c>
      <c r="B679" s="5" t="s">
        <v>21</v>
      </c>
      <c r="C679" s="5" t="s">
        <v>24</v>
      </c>
      <c r="D679" s="5">
        <v>30</v>
      </c>
      <c r="E679" s="5">
        <v>1726</v>
      </c>
      <c r="F679" s="5">
        <v>51780</v>
      </c>
    </row>
    <row r="680" spans="1:6" x14ac:dyDescent="0.4">
      <c r="A680" s="5" t="s">
        <v>6</v>
      </c>
      <c r="B680" s="5" t="s">
        <v>21</v>
      </c>
      <c r="C680" s="5" t="s">
        <v>20</v>
      </c>
      <c r="D680" s="5">
        <v>41</v>
      </c>
      <c r="E680" s="5">
        <v>1267</v>
      </c>
      <c r="F680" s="5">
        <v>51947</v>
      </c>
    </row>
    <row r="681" spans="1:6" x14ac:dyDescent="0.4">
      <c r="A681" s="5" t="s">
        <v>19</v>
      </c>
      <c r="B681" s="5" t="s">
        <v>21</v>
      </c>
      <c r="C681" s="5" t="s">
        <v>22</v>
      </c>
      <c r="D681" s="5">
        <v>31</v>
      </c>
      <c r="E681" s="5">
        <v>1681</v>
      </c>
      <c r="F681" s="5">
        <v>52111</v>
      </c>
    </row>
    <row r="682" spans="1:6" x14ac:dyDescent="0.4">
      <c r="A682" s="5" t="s">
        <v>17</v>
      </c>
      <c r="B682" s="5" t="s">
        <v>21</v>
      </c>
      <c r="C682" s="5" t="s">
        <v>18</v>
      </c>
      <c r="D682" s="5">
        <v>31</v>
      </c>
      <c r="E682" s="5">
        <v>1696</v>
      </c>
      <c r="F682" s="5">
        <v>52576</v>
      </c>
    </row>
    <row r="683" spans="1:6" x14ac:dyDescent="0.4">
      <c r="A683" s="5" t="s">
        <v>19</v>
      </c>
      <c r="B683" s="5" t="s">
        <v>7</v>
      </c>
      <c r="C683" s="5" t="s">
        <v>20</v>
      </c>
      <c r="D683" s="5">
        <v>47</v>
      </c>
      <c r="E683" s="5">
        <v>1119</v>
      </c>
      <c r="F683" s="5">
        <v>52593</v>
      </c>
    </row>
    <row r="684" spans="1:6" x14ac:dyDescent="0.4">
      <c r="A684" s="5" t="s">
        <v>17</v>
      </c>
      <c r="B684" s="5" t="s">
        <v>10</v>
      </c>
      <c r="C684" s="5" t="s">
        <v>22</v>
      </c>
      <c r="D684" s="5">
        <v>27</v>
      </c>
      <c r="E684" s="5">
        <v>1957</v>
      </c>
      <c r="F684" s="5">
        <v>52839</v>
      </c>
    </row>
    <row r="685" spans="1:6" x14ac:dyDescent="0.4">
      <c r="A685" s="5" t="s">
        <v>6</v>
      </c>
      <c r="B685" s="5" t="s">
        <v>21</v>
      </c>
      <c r="C685" s="5" t="s">
        <v>14</v>
      </c>
      <c r="D685" s="5">
        <v>28</v>
      </c>
      <c r="E685" s="5">
        <v>1898</v>
      </c>
      <c r="F685" s="5">
        <v>53144</v>
      </c>
    </row>
    <row r="686" spans="1:6" x14ac:dyDescent="0.4">
      <c r="A686" s="5" t="s">
        <v>6</v>
      </c>
      <c r="B686" s="5" t="s">
        <v>10</v>
      </c>
      <c r="C686" s="5" t="s">
        <v>14</v>
      </c>
      <c r="D686" s="5">
        <v>38</v>
      </c>
      <c r="E686" s="5">
        <v>1401</v>
      </c>
      <c r="F686" s="5">
        <v>53238</v>
      </c>
    </row>
    <row r="687" spans="1:6" x14ac:dyDescent="0.4">
      <c r="A687" s="5" t="s">
        <v>9</v>
      </c>
      <c r="B687" s="5" t="s">
        <v>12</v>
      </c>
      <c r="C687" s="5" t="s">
        <v>18</v>
      </c>
      <c r="D687" s="5">
        <v>27</v>
      </c>
      <c r="E687" s="5">
        <v>1976</v>
      </c>
      <c r="F687" s="5">
        <v>53352</v>
      </c>
    </row>
    <row r="688" spans="1:6" x14ac:dyDescent="0.4">
      <c r="A688" s="5" t="s">
        <v>17</v>
      </c>
      <c r="B688" s="5" t="s">
        <v>21</v>
      </c>
      <c r="C688" s="5" t="s">
        <v>18</v>
      </c>
      <c r="D688" s="5">
        <v>33</v>
      </c>
      <c r="E688" s="5">
        <v>1622</v>
      </c>
      <c r="F688" s="5">
        <v>53526</v>
      </c>
    </row>
    <row r="689" spans="1:6" x14ac:dyDescent="0.4">
      <c r="A689" s="5" t="s">
        <v>19</v>
      </c>
      <c r="B689" s="5" t="s">
        <v>21</v>
      </c>
      <c r="C689" s="5" t="s">
        <v>16</v>
      </c>
      <c r="D689" s="5">
        <v>48</v>
      </c>
      <c r="E689" s="5">
        <v>1118</v>
      </c>
      <c r="F689" s="5">
        <v>53664</v>
      </c>
    </row>
    <row r="690" spans="1:6" x14ac:dyDescent="0.4">
      <c r="A690" s="5" t="s">
        <v>19</v>
      </c>
      <c r="B690" s="5" t="s">
        <v>12</v>
      </c>
      <c r="C690" s="5" t="s">
        <v>8</v>
      </c>
      <c r="D690" s="5">
        <v>35</v>
      </c>
      <c r="E690" s="5">
        <v>1534</v>
      </c>
      <c r="F690" s="5">
        <v>53690</v>
      </c>
    </row>
    <row r="691" spans="1:6" x14ac:dyDescent="0.4">
      <c r="A691" s="5" t="s">
        <v>17</v>
      </c>
      <c r="B691" s="5" t="s">
        <v>21</v>
      </c>
      <c r="C691" s="5" t="s">
        <v>11</v>
      </c>
      <c r="D691" s="5">
        <v>44</v>
      </c>
      <c r="E691" s="5">
        <v>1228</v>
      </c>
      <c r="F691" s="5">
        <v>54032</v>
      </c>
    </row>
    <row r="692" spans="1:6" x14ac:dyDescent="0.4">
      <c r="A692" s="5" t="s">
        <v>6</v>
      </c>
      <c r="B692" s="5" t="s">
        <v>7</v>
      </c>
      <c r="C692" s="5" t="s">
        <v>11</v>
      </c>
      <c r="D692" s="5">
        <v>49</v>
      </c>
      <c r="E692" s="5">
        <v>1103</v>
      </c>
      <c r="F692" s="5">
        <v>54047</v>
      </c>
    </row>
    <row r="693" spans="1:6" x14ac:dyDescent="0.4">
      <c r="A693" s="5" t="s">
        <v>19</v>
      </c>
      <c r="B693" s="5" t="s">
        <v>7</v>
      </c>
      <c r="C693" s="5" t="s">
        <v>22</v>
      </c>
      <c r="D693" s="5">
        <v>28</v>
      </c>
      <c r="E693" s="5">
        <v>1950</v>
      </c>
      <c r="F693" s="5">
        <v>54600</v>
      </c>
    </row>
    <row r="694" spans="1:6" x14ac:dyDescent="0.4">
      <c r="A694" s="5" t="s">
        <v>9</v>
      </c>
      <c r="B694" s="5" t="s">
        <v>12</v>
      </c>
      <c r="C694" s="5" t="s">
        <v>14</v>
      </c>
      <c r="D694" s="5">
        <v>35</v>
      </c>
      <c r="E694" s="5">
        <v>1564</v>
      </c>
      <c r="F694" s="5">
        <v>54740</v>
      </c>
    </row>
    <row r="695" spans="1:6" x14ac:dyDescent="0.4">
      <c r="A695" s="5" t="s">
        <v>19</v>
      </c>
      <c r="B695" s="5" t="s">
        <v>15</v>
      </c>
      <c r="C695" s="5" t="s">
        <v>24</v>
      </c>
      <c r="D695" s="5">
        <v>34</v>
      </c>
      <c r="E695" s="5">
        <v>1615</v>
      </c>
      <c r="F695" s="5">
        <v>54910</v>
      </c>
    </row>
    <row r="696" spans="1:6" x14ac:dyDescent="0.4">
      <c r="A696" s="5" t="s">
        <v>19</v>
      </c>
      <c r="B696" s="5" t="s">
        <v>7</v>
      </c>
      <c r="C696" s="5" t="s">
        <v>18</v>
      </c>
      <c r="D696" s="5">
        <v>49</v>
      </c>
      <c r="E696" s="5">
        <v>1128</v>
      </c>
      <c r="F696" s="5">
        <v>55272</v>
      </c>
    </row>
    <row r="697" spans="1:6" x14ac:dyDescent="0.4">
      <c r="A697" s="5" t="s">
        <v>17</v>
      </c>
      <c r="B697" s="5" t="s">
        <v>12</v>
      </c>
      <c r="C697" s="5" t="s">
        <v>18</v>
      </c>
      <c r="D697" s="5">
        <v>38</v>
      </c>
      <c r="E697" s="5">
        <v>1458</v>
      </c>
      <c r="F697" s="5">
        <v>55404</v>
      </c>
    </row>
    <row r="698" spans="1:6" x14ac:dyDescent="0.4">
      <c r="A698" s="5" t="s">
        <v>9</v>
      </c>
      <c r="B698" s="5" t="s">
        <v>10</v>
      </c>
      <c r="C698" s="5" t="s">
        <v>16</v>
      </c>
      <c r="D698" s="5">
        <v>42</v>
      </c>
      <c r="E698" s="5">
        <v>1327</v>
      </c>
      <c r="F698" s="5">
        <v>55734</v>
      </c>
    </row>
    <row r="699" spans="1:6" x14ac:dyDescent="0.4">
      <c r="A699" s="5" t="s">
        <v>19</v>
      </c>
      <c r="B699" s="5" t="s">
        <v>21</v>
      </c>
      <c r="C699" s="5" t="s">
        <v>18</v>
      </c>
      <c r="D699" s="5">
        <v>29</v>
      </c>
      <c r="E699" s="5">
        <v>1933</v>
      </c>
      <c r="F699" s="5">
        <v>56057</v>
      </c>
    </row>
    <row r="700" spans="1:6" x14ac:dyDescent="0.4">
      <c r="A700" s="5" t="s">
        <v>6</v>
      </c>
      <c r="B700" s="5" t="s">
        <v>12</v>
      </c>
      <c r="C700" s="5" t="s">
        <v>11</v>
      </c>
      <c r="D700" s="5">
        <v>39</v>
      </c>
      <c r="E700" s="5">
        <v>1452</v>
      </c>
      <c r="F700" s="5">
        <v>56628</v>
      </c>
    </row>
    <row r="701" spans="1:6" x14ac:dyDescent="0.4">
      <c r="A701" s="5" t="s">
        <v>19</v>
      </c>
      <c r="B701" s="5" t="s">
        <v>12</v>
      </c>
      <c r="C701" s="5" t="s">
        <v>13</v>
      </c>
      <c r="D701" s="5">
        <v>31</v>
      </c>
      <c r="E701" s="5">
        <v>1836</v>
      </c>
      <c r="F701" s="5">
        <v>56916</v>
      </c>
    </row>
    <row r="702" spans="1:6" x14ac:dyDescent="0.4">
      <c r="A702" s="5" t="s">
        <v>17</v>
      </c>
      <c r="B702" s="5" t="s">
        <v>21</v>
      </c>
      <c r="C702" s="5" t="s">
        <v>13</v>
      </c>
      <c r="D702" s="5">
        <v>50</v>
      </c>
      <c r="E702" s="5">
        <v>1147</v>
      </c>
      <c r="F702" s="5">
        <v>57350</v>
      </c>
    </row>
    <row r="703" spans="1:6" x14ac:dyDescent="0.4">
      <c r="A703" s="5" t="s">
        <v>6</v>
      </c>
      <c r="B703" s="5" t="s">
        <v>12</v>
      </c>
      <c r="C703" s="5" t="s">
        <v>24</v>
      </c>
      <c r="D703" s="5">
        <v>49</v>
      </c>
      <c r="E703" s="5">
        <v>1171</v>
      </c>
      <c r="F703" s="5">
        <v>57379</v>
      </c>
    </row>
    <row r="704" spans="1:6" x14ac:dyDescent="0.4">
      <c r="A704" s="5" t="s">
        <v>17</v>
      </c>
      <c r="B704" s="5" t="s">
        <v>12</v>
      </c>
      <c r="C704" s="5" t="s">
        <v>13</v>
      </c>
      <c r="D704" s="5">
        <v>33</v>
      </c>
      <c r="E704" s="5">
        <v>1740</v>
      </c>
      <c r="F704" s="5">
        <v>57420</v>
      </c>
    </row>
    <row r="705" spans="1:6" x14ac:dyDescent="0.4">
      <c r="A705" s="5" t="s">
        <v>9</v>
      </c>
      <c r="B705" s="5" t="s">
        <v>7</v>
      </c>
      <c r="C705" s="5" t="s">
        <v>24</v>
      </c>
      <c r="D705" s="5">
        <v>29</v>
      </c>
      <c r="E705" s="5">
        <v>1984</v>
      </c>
      <c r="F705" s="5">
        <v>57536</v>
      </c>
    </row>
    <row r="706" spans="1:6" x14ac:dyDescent="0.4">
      <c r="A706" s="5" t="s">
        <v>6</v>
      </c>
      <c r="B706" s="5" t="s">
        <v>21</v>
      </c>
      <c r="C706" s="5" t="s">
        <v>13</v>
      </c>
      <c r="D706" s="5">
        <v>46</v>
      </c>
      <c r="E706" s="5">
        <v>1254</v>
      </c>
      <c r="F706" s="5">
        <v>57684</v>
      </c>
    </row>
    <row r="707" spans="1:6" x14ac:dyDescent="0.4">
      <c r="A707" s="5" t="s">
        <v>19</v>
      </c>
      <c r="B707" s="5" t="s">
        <v>12</v>
      </c>
      <c r="C707" s="5" t="s">
        <v>18</v>
      </c>
      <c r="D707" s="5">
        <v>46</v>
      </c>
      <c r="E707" s="5">
        <v>1261</v>
      </c>
      <c r="F707" s="5">
        <v>58006</v>
      </c>
    </row>
    <row r="708" spans="1:6" x14ac:dyDescent="0.4">
      <c r="A708" s="5" t="s">
        <v>19</v>
      </c>
      <c r="B708" s="5" t="s">
        <v>15</v>
      </c>
      <c r="C708" s="5" t="s">
        <v>16</v>
      </c>
      <c r="D708" s="5">
        <v>48</v>
      </c>
      <c r="E708" s="5">
        <v>1209</v>
      </c>
      <c r="F708" s="5">
        <v>58032</v>
      </c>
    </row>
    <row r="709" spans="1:6" x14ac:dyDescent="0.4">
      <c r="A709" s="5" t="s">
        <v>9</v>
      </c>
      <c r="B709" s="5" t="s">
        <v>7</v>
      </c>
      <c r="C709" s="5" t="s">
        <v>13</v>
      </c>
      <c r="D709" s="5">
        <v>38</v>
      </c>
      <c r="E709" s="5">
        <v>1531</v>
      </c>
      <c r="F709" s="5">
        <v>58178</v>
      </c>
    </row>
    <row r="710" spans="1:6" x14ac:dyDescent="0.4">
      <c r="A710" s="5" t="s">
        <v>6</v>
      </c>
      <c r="B710" s="5" t="s">
        <v>10</v>
      </c>
      <c r="C710" s="5" t="s">
        <v>16</v>
      </c>
      <c r="D710" s="5">
        <v>37</v>
      </c>
      <c r="E710" s="5">
        <v>1574</v>
      </c>
      <c r="F710" s="5">
        <v>58238</v>
      </c>
    </row>
    <row r="711" spans="1:6" x14ac:dyDescent="0.4">
      <c r="A711" s="5" t="s">
        <v>17</v>
      </c>
      <c r="B711" s="5" t="s">
        <v>12</v>
      </c>
      <c r="C711" s="5" t="s">
        <v>18</v>
      </c>
      <c r="D711" s="5">
        <v>33</v>
      </c>
      <c r="E711" s="5">
        <v>1766</v>
      </c>
      <c r="F711" s="5">
        <v>58278</v>
      </c>
    </row>
    <row r="712" spans="1:6" x14ac:dyDescent="0.4">
      <c r="A712" s="5" t="s">
        <v>9</v>
      </c>
      <c r="B712" s="5" t="s">
        <v>21</v>
      </c>
      <c r="C712" s="5" t="s">
        <v>14</v>
      </c>
      <c r="D712" s="5">
        <v>43</v>
      </c>
      <c r="E712" s="5">
        <v>1361</v>
      </c>
      <c r="F712" s="5">
        <v>58523</v>
      </c>
    </row>
    <row r="713" spans="1:6" x14ac:dyDescent="0.4">
      <c r="A713" s="5" t="s">
        <v>9</v>
      </c>
      <c r="B713" s="5" t="s">
        <v>10</v>
      </c>
      <c r="C713" s="5" t="s">
        <v>8</v>
      </c>
      <c r="D713" s="5">
        <v>48</v>
      </c>
      <c r="E713" s="5">
        <v>1233</v>
      </c>
      <c r="F713" s="5">
        <v>59184</v>
      </c>
    </row>
    <row r="714" spans="1:6" x14ac:dyDescent="0.4">
      <c r="A714" s="5" t="s">
        <v>17</v>
      </c>
      <c r="B714" s="5" t="s">
        <v>7</v>
      </c>
      <c r="C714" s="5" t="s">
        <v>8</v>
      </c>
      <c r="D714" s="5">
        <v>30</v>
      </c>
      <c r="E714" s="5">
        <v>1973</v>
      </c>
      <c r="F714" s="5">
        <v>59190</v>
      </c>
    </row>
    <row r="715" spans="1:6" x14ac:dyDescent="0.4">
      <c r="A715" s="5" t="s">
        <v>6</v>
      </c>
      <c r="B715" s="5" t="s">
        <v>12</v>
      </c>
      <c r="C715" s="5" t="s">
        <v>23</v>
      </c>
      <c r="D715" s="5">
        <v>48</v>
      </c>
      <c r="E715" s="5">
        <v>1241</v>
      </c>
      <c r="F715" s="5">
        <v>59568</v>
      </c>
    </row>
    <row r="716" spans="1:6" x14ac:dyDescent="0.4">
      <c r="A716" s="5" t="s">
        <v>17</v>
      </c>
      <c r="B716" s="5" t="s">
        <v>7</v>
      </c>
      <c r="C716" s="5" t="s">
        <v>14</v>
      </c>
      <c r="D716" s="5">
        <v>36</v>
      </c>
      <c r="E716" s="5">
        <v>1658</v>
      </c>
      <c r="F716" s="5">
        <v>59688</v>
      </c>
    </row>
    <row r="717" spans="1:6" x14ac:dyDescent="0.4">
      <c r="A717" s="5" t="s">
        <v>17</v>
      </c>
      <c r="B717" s="5" t="s">
        <v>21</v>
      </c>
      <c r="C717" s="5" t="s">
        <v>11</v>
      </c>
      <c r="D717" s="5">
        <v>47</v>
      </c>
      <c r="E717" s="5">
        <v>1281</v>
      </c>
      <c r="F717" s="5">
        <v>60207</v>
      </c>
    </row>
    <row r="718" spans="1:6" x14ac:dyDescent="0.4">
      <c r="A718" s="5" t="s">
        <v>17</v>
      </c>
      <c r="B718" s="5" t="s">
        <v>12</v>
      </c>
      <c r="C718" s="5" t="s">
        <v>20</v>
      </c>
      <c r="D718" s="5">
        <v>31</v>
      </c>
      <c r="E718" s="5">
        <v>1944</v>
      </c>
      <c r="F718" s="5">
        <v>60264</v>
      </c>
    </row>
    <row r="719" spans="1:6" x14ac:dyDescent="0.4">
      <c r="A719" s="5" t="s">
        <v>6</v>
      </c>
      <c r="B719" s="5" t="s">
        <v>12</v>
      </c>
      <c r="C719" s="5" t="s">
        <v>22</v>
      </c>
      <c r="D719" s="5">
        <v>35</v>
      </c>
      <c r="E719" s="5">
        <v>1725</v>
      </c>
      <c r="F719" s="5">
        <v>60375</v>
      </c>
    </row>
    <row r="720" spans="1:6" x14ac:dyDescent="0.4">
      <c r="A720" s="5" t="s">
        <v>6</v>
      </c>
      <c r="B720" s="5" t="s">
        <v>12</v>
      </c>
      <c r="C720" s="5" t="s">
        <v>23</v>
      </c>
      <c r="D720" s="5">
        <v>33</v>
      </c>
      <c r="E720" s="5">
        <v>1830</v>
      </c>
      <c r="F720" s="5">
        <v>60390</v>
      </c>
    </row>
    <row r="721" spans="1:6" x14ac:dyDescent="0.4">
      <c r="A721" s="5" t="s">
        <v>9</v>
      </c>
      <c r="B721" s="5" t="s">
        <v>7</v>
      </c>
      <c r="C721" s="5" t="s">
        <v>20</v>
      </c>
      <c r="D721" s="5">
        <v>34</v>
      </c>
      <c r="E721" s="5">
        <v>1790</v>
      </c>
      <c r="F721" s="5">
        <v>60860</v>
      </c>
    </row>
    <row r="722" spans="1:6" x14ac:dyDescent="0.4">
      <c r="A722" s="5" t="s">
        <v>9</v>
      </c>
      <c r="B722" s="5" t="s">
        <v>10</v>
      </c>
      <c r="C722" s="5" t="s">
        <v>13</v>
      </c>
      <c r="D722" s="5">
        <v>42</v>
      </c>
      <c r="E722" s="5">
        <v>1474</v>
      </c>
      <c r="F722" s="5">
        <v>61908</v>
      </c>
    </row>
    <row r="723" spans="1:6" x14ac:dyDescent="0.4">
      <c r="A723" s="5" t="s">
        <v>19</v>
      </c>
      <c r="B723" s="5" t="s">
        <v>21</v>
      </c>
      <c r="C723" s="5" t="s">
        <v>16</v>
      </c>
      <c r="D723" s="5">
        <v>37</v>
      </c>
      <c r="E723" s="5">
        <v>1692</v>
      </c>
      <c r="F723" s="5">
        <v>62604</v>
      </c>
    </row>
    <row r="724" spans="1:6" x14ac:dyDescent="0.4">
      <c r="A724" s="5" t="s">
        <v>9</v>
      </c>
      <c r="B724" s="5" t="s">
        <v>21</v>
      </c>
      <c r="C724" s="5" t="s">
        <v>18</v>
      </c>
      <c r="D724" s="5">
        <v>35</v>
      </c>
      <c r="E724" s="5">
        <v>1789</v>
      </c>
      <c r="F724" s="5">
        <v>62615</v>
      </c>
    </row>
    <row r="725" spans="1:6" x14ac:dyDescent="0.4">
      <c r="A725" s="5" t="s">
        <v>9</v>
      </c>
      <c r="B725" s="5" t="s">
        <v>7</v>
      </c>
      <c r="C725" s="5" t="s">
        <v>8</v>
      </c>
      <c r="D725" s="5">
        <v>38</v>
      </c>
      <c r="E725" s="5">
        <v>1651</v>
      </c>
      <c r="F725" s="5">
        <v>62738</v>
      </c>
    </row>
    <row r="726" spans="1:6" x14ac:dyDescent="0.4">
      <c r="A726" s="5" t="s">
        <v>6</v>
      </c>
      <c r="B726" s="5" t="s">
        <v>7</v>
      </c>
      <c r="C726" s="5" t="s">
        <v>13</v>
      </c>
      <c r="D726" s="5">
        <v>42</v>
      </c>
      <c r="E726" s="5">
        <v>1508</v>
      </c>
      <c r="F726" s="5">
        <v>63336</v>
      </c>
    </row>
    <row r="727" spans="1:6" x14ac:dyDescent="0.4">
      <c r="A727" s="5" t="s">
        <v>6</v>
      </c>
      <c r="B727" s="5" t="s">
        <v>15</v>
      </c>
      <c r="C727" s="5" t="s">
        <v>24</v>
      </c>
      <c r="D727" s="5">
        <v>45</v>
      </c>
      <c r="E727" s="5">
        <v>1409</v>
      </c>
      <c r="F727" s="5">
        <v>63405</v>
      </c>
    </row>
    <row r="728" spans="1:6" x14ac:dyDescent="0.4">
      <c r="A728" s="5" t="s">
        <v>19</v>
      </c>
      <c r="B728" s="5" t="s">
        <v>21</v>
      </c>
      <c r="C728" s="5" t="s">
        <v>8</v>
      </c>
      <c r="D728" s="5">
        <v>50</v>
      </c>
      <c r="E728" s="5">
        <v>1271</v>
      </c>
      <c r="F728" s="5">
        <v>63550</v>
      </c>
    </row>
    <row r="729" spans="1:6" x14ac:dyDescent="0.4">
      <c r="A729" s="5" t="s">
        <v>9</v>
      </c>
      <c r="B729" s="5" t="s">
        <v>10</v>
      </c>
      <c r="C729" s="5" t="s">
        <v>11</v>
      </c>
      <c r="D729" s="5">
        <v>49</v>
      </c>
      <c r="E729" s="5">
        <v>1312</v>
      </c>
      <c r="F729" s="5">
        <v>64288</v>
      </c>
    </row>
    <row r="730" spans="1:6" x14ac:dyDescent="0.4">
      <c r="A730" s="5" t="s">
        <v>6</v>
      </c>
      <c r="B730" s="5" t="s">
        <v>7</v>
      </c>
      <c r="C730" s="5" t="s">
        <v>14</v>
      </c>
      <c r="D730" s="5">
        <v>50</v>
      </c>
      <c r="E730" s="5">
        <v>1291</v>
      </c>
      <c r="F730" s="5">
        <v>64550</v>
      </c>
    </row>
    <row r="731" spans="1:6" x14ac:dyDescent="0.4">
      <c r="A731" s="5" t="s">
        <v>19</v>
      </c>
      <c r="B731" s="5" t="s">
        <v>15</v>
      </c>
      <c r="C731" s="5" t="s">
        <v>11</v>
      </c>
      <c r="D731" s="5">
        <v>40</v>
      </c>
      <c r="E731" s="5">
        <v>1623</v>
      </c>
      <c r="F731" s="5">
        <v>64920</v>
      </c>
    </row>
    <row r="732" spans="1:6" x14ac:dyDescent="0.4">
      <c r="A732" s="5" t="s">
        <v>17</v>
      </c>
      <c r="B732" s="5" t="s">
        <v>21</v>
      </c>
      <c r="C732" s="5" t="s">
        <v>16</v>
      </c>
      <c r="D732" s="5">
        <v>40</v>
      </c>
      <c r="E732" s="5">
        <v>1627</v>
      </c>
      <c r="F732" s="5">
        <v>65080</v>
      </c>
    </row>
    <row r="733" spans="1:6" x14ac:dyDescent="0.4">
      <c r="A733" s="5" t="s">
        <v>19</v>
      </c>
      <c r="B733" s="5" t="s">
        <v>7</v>
      </c>
      <c r="C733" s="5" t="s">
        <v>20</v>
      </c>
      <c r="D733" s="5">
        <v>48</v>
      </c>
      <c r="E733" s="5">
        <v>1358</v>
      </c>
      <c r="F733" s="5">
        <v>65184</v>
      </c>
    </row>
    <row r="734" spans="1:6" x14ac:dyDescent="0.4">
      <c r="A734" s="5" t="s">
        <v>19</v>
      </c>
      <c r="B734" s="5" t="s">
        <v>7</v>
      </c>
      <c r="C734" s="5" t="s">
        <v>22</v>
      </c>
      <c r="D734" s="5">
        <v>43</v>
      </c>
      <c r="E734" s="5">
        <v>1524</v>
      </c>
      <c r="F734" s="5">
        <v>65532</v>
      </c>
    </row>
    <row r="735" spans="1:6" x14ac:dyDescent="0.4">
      <c r="A735" s="5" t="s">
        <v>19</v>
      </c>
      <c r="B735" s="5" t="s">
        <v>21</v>
      </c>
      <c r="C735" s="5" t="s">
        <v>14</v>
      </c>
      <c r="D735" s="5">
        <v>47</v>
      </c>
      <c r="E735" s="5">
        <v>1395</v>
      </c>
      <c r="F735" s="5">
        <v>65565</v>
      </c>
    </row>
    <row r="736" spans="1:6" x14ac:dyDescent="0.4">
      <c r="A736" s="5" t="s">
        <v>9</v>
      </c>
      <c r="B736" s="5" t="s">
        <v>10</v>
      </c>
      <c r="C736" s="5" t="s">
        <v>20</v>
      </c>
      <c r="D736" s="5">
        <v>33</v>
      </c>
      <c r="E736" s="5">
        <v>1993</v>
      </c>
      <c r="F736" s="5">
        <v>65769</v>
      </c>
    </row>
    <row r="737" spans="1:6" x14ac:dyDescent="0.4">
      <c r="A737" s="5" t="s">
        <v>9</v>
      </c>
      <c r="B737" s="5" t="s">
        <v>10</v>
      </c>
      <c r="C737" s="5" t="s">
        <v>8</v>
      </c>
      <c r="D737" s="5">
        <v>47</v>
      </c>
      <c r="E737" s="5">
        <v>1408</v>
      </c>
      <c r="F737" s="5">
        <v>66176</v>
      </c>
    </row>
    <row r="738" spans="1:6" x14ac:dyDescent="0.4">
      <c r="A738" s="5" t="s">
        <v>17</v>
      </c>
      <c r="B738" s="5" t="s">
        <v>15</v>
      </c>
      <c r="C738" s="5" t="s">
        <v>14</v>
      </c>
      <c r="D738" s="5">
        <v>44</v>
      </c>
      <c r="E738" s="5">
        <v>1512</v>
      </c>
      <c r="F738" s="5">
        <v>66528</v>
      </c>
    </row>
    <row r="739" spans="1:6" x14ac:dyDescent="0.4">
      <c r="A739" s="5" t="s">
        <v>17</v>
      </c>
      <c r="B739" s="5" t="s">
        <v>15</v>
      </c>
      <c r="C739" s="5" t="s">
        <v>18</v>
      </c>
      <c r="D739" s="5">
        <v>45</v>
      </c>
      <c r="E739" s="5">
        <v>1483</v>
      </c>
      <c r="F739" s="5">
        <v>66735</v>
      </c>
    </row>
    <row r="740" spans="1:6" x14ac:dyDescent="0.4">
      <c r="A740" s="5" t="s">
        <v>17</v>
      </c>
      <c r="B740" s="5" t="s">
        <v>15</v>
      </c>
      <c r="C740" s="5" t="s">
        <v>18</v>
      </c>
      <c r="D740" s="5">
        <v>42</v>
      </c>
      <c r="E740" s="5">
        <v>1600</v>
      </c>
      <c r="F740" s="5">
        <v>67200</v>
      </c>
    </row>
    <row r="741" spans="1:6" x14ac:dyDescent="0.4">
      <c r="A741" s="5" t="s">
        <v>6</v>
      </c>
      <c r="B741" s="5" t="s">
        <v>21</v>
      </c>
      <c r="C741" s="5" t="s">
        <v>11</v>
      </c>
      <c r="D741" s="5">
        <v>41</v>
      </c>
      <c r="E741" s="5">
        <v>1643</v>
      </c>
      <c r="F741" s="5">
        <v>67363</v>
      </c>
    </row>
    <row r="742" spans="1:6" x14ac:dyDescent="0.4">
      <c r="A742" s="5" t="s">
        <v>17</v>
      </c>
      <c r="B742" s="5" t="s">
        <v>7</v>
      </c>
      <c r="C742" s="5" t="s">
        <v>18</v>
      </c>
      <c r="D742" s="5">
        <v>38</v>
      </c>
      <c r="E742" s="5">
        <v>1776</v>
      </c>
      <c r="F742" s="5">
        <v>67488</v>
      </c>
    </row>
    <row r="743" spans="1:6" x14ac:dyDescent="0.4">
      <c r="A743" s="5" t="s">
        <v>9</v>
      </c>
      <c r="B743" s="5" t="s">
        <v>7</v>
      </c>
      <c r="C743" s="5" t="s">
        <v>8</v>
      </c>
      <c r="D743" s="5">
        <v>45</v>
      </c>
      <c r="E743" s="5">
        <v>1503</v>
      </c>
      <c r="F743" s="5">
        <v>67635</v>
      </c>
    </row>
    <row r="744" spans="1:6" x14ac:dyDescent="0.4">
      <c r="A744" s="5" t="s">
        <v>9</v>
      </c>
      <c r="B744" s="5" t="s">
        <v>7</v>
      </c>
      <c r="C744" s="5" t="s">
        <v>14</v>
      </c>
      <c r="D744" s="5">
        <v>39</v>
      </c>
      <c r="E744" s="5">
        <v>1743</v>
      </c>
      <c r="F744" s="5">
        <v>67977</v>
      </c>
    </row>
    <row r="745" spans="1:6" x14ac:dyDescent="0.4">
      <c r="A745" s="5" t="s">
        <v>19</v>
      </c>
      <c r="B745" s="5" t="s">
        <v>12</v>
      </c>
      <c r="C745" s="5" t="s">
        <v>8</v>
      </c>
      <c r="D745" s="5">
        <v>46</v>
      </c>
      <c r="E745" s="5">
        <v>1478</v>
      </c>
      <c r="F745" s="5">
        <v>67988</v>
      </c>
    </row>
    <row r="746" spans="1:6" x14ac:dyDescent="0.4">
      <c r="A746" s="5" t="s">
        <v>19</v>
      </c>
      <c r="B746" s="5" t="s">
        <v>10</v>
      </c>
      <c r="C746" s="5" t="s">
        <v>16</v>
      </c>
      <c r="D746" s="5">
        <v>36</v>
      </c>
      <c r="E746" s="5">
        <v>1890</v>
      </c>
      <c r="F746" s="5">
        <v>68040</v>
      </c>
    </row>
    <row r="747" spans="1:6" x14ac:dyDescent="0.4">
      <c r="A747" s="5" t="s">
        <v>19</v>
      </c>
      <c r="B747" s="5" t="s">
        <v>21</v>
      </c>
      <c r="C747" s="5" t="s">
        <v>22</v>
      </c>
      <c r="D747" s="5">
        <v>36</v>
      </c>
      <c r="E747" s="5">
        <v>1904</v>
      </c>
      <c r="F747" s="5">
        <v>68544</v>
      </c>
    </row>
    <row r="748" spans="1:6" x14ac:dyDescent="0.4">
      <c r="A748" s="5" t="s">
        <v>17</v>
      </c>
      <c r="B748" s="5" t="s">
        <v>15</v>
      </c>
      <c r="C748" s="5" t="s">
        <v>18</v>
      </c>
      <c r="D748" s="5">
        <v>48</v>
      </c>
      <c r="E748" s="5">
        <v>1430</v>
      </c>
      <c r="F748" s="5">
        <v>68640</v>
      </c>
    </row>
    <row r="749" spans="1:6" x14ac:dyDescent="0.4">
      <c r="A749" s="5" t="s">
        <v>9</v>
      </c>
      <c r="B749" s="5" t="s">
        <v>21</v>
      </c>
      <c r="C749" s="5" t="s">
        <v>22</v>
      </c>
      <c r="D749" s="5">
        <v>44</v>
      </c>
      <c r="E749" s="5">
        <v>1566</v>
      </c>
      <c r="F749" s="5">
        <v>68904</v>
      </c>
    </row>
    <row r="750" spans="1:6" x14ac:dyDescent="0.4">
      <c r="A750" s="5" t="s">
        <v>9</v>
      </c>
      <c r="B750" s="5" t="s">
        <v>12</v>
      </c>
      <c r="C750" s="5" t="s">
        <v>11</v>
      </c>
      <c r="D750" s="5">
        <v>39</v>
      </c>
      <c r="E750" s="5">
        <v>1767</v>
      </c>
      <c r="F750" s="5">
        <v>68913</v>
      </c>
    </row>
    <row r="751" spans="1:6" x14ac:dyDescent="0.4">
      <c r="A751" s="5" t="s">
        <v>19</v>
      </c>
      <c r="B751" s="5" t="s">
        <v>7</v>
      </c>
      <c r="C751" s="5" t="s">
        <v>11</v>
      </c>
      <c r="D751" s="5">
        <v>37</v>
      </c>
      <c r="E751" s="5">
        <v>1875</v>
      </c>
      <c r="F751" s="5">
        <v>69375</v>
      </c>
    </row>
    <row r="752" spans="1:6" x14ac:dyDescent="0.4">
      <c r="A752" s="5" t="s">
        <v>17</v>
      </c>
      <c r="B752" s="5" t="s">
        <v>12</v>
      </c>
      <c r="C752" s="5" t="s">
        <v>23</v>
      </c>
      <c r="D752" s="5">
        <v>49</v>
      </c>
      <c r="E752" s="5">
        <v>1425</v>
      </c>
      <c r="F752" s="5">
        <v>69825</v>
      </c>
    </row>
    <row r="753" spans="1:6" x14ac:dyDescent="0.4">
      <c r="A753" s="5" t="s">
        <v>19</v>
      </c>
      <c r="B753" s="5" t="s">
        <v>15</v>
      </c>
      <c r="C753" s="5" t="s">
        <v>20</v>
      </c>
      <c r="D753" s="5">
        <v>42</v>
      </c>
      <c r="E753" s="5">
        <v>1677</v>
      </c>
      <c r="F753" s="5">
        <v>70434</v>
      </c>
    </row>
    <row r="754" spans="1:6" x14ac:dyDescent="0.4">
      <c r="A754" s="5" t="s">
        <v>6</v>
      </c>
      <c r="B754" s="5" t="s">
        <v>12</v>
      </c>
      <c r="C754" s="5" t="s">
        <v>11</v>
      </c>
      <c r="D754" s="5">
        <v>49</v>
      </c>
      <c r="E754" s="5">
        <v>1439</v>
      </c>
      <c r="F754" s="5">
        <v>70511</v>
      </c>
    </row>
    <row r="755" spans="1:6" x14ac:dyDescent="0.4">
      <c r="A755" s="5" t="s">
        <v>19</v>
      </c>
      <c r="B755" s="5" t="s">
        <v>15</v>
      </c>
      <c r="C755" s="5" t="s">
        <v>20</v>
      </c>
      <c r="D755" s="5">
        <v>40</v>
      </c>
      <c r="E755" s="5">
        <v>1763</v>
      </c>
      <c r="F755" s="5">
        <v>70520</v>
      </c>
    </row>
    <row r="756" spans="1:6" x14ac:dyDescent="0.4">
      <c r="A756" s="5" t="s">
        <v>19</v>
      </c>
      <c r="B756" s="5" t="s">
        <v>10</v>
      </c>
      <c r="C756" s="5" t="s">
        <v>20</v>
      </c>
      <c r="D756" s="5">
        <v>44</v>
      </c>
      <c r="E756" s="5">
        <v>1607</v>
      </c>
      <c r="F756" s="5">
        <v>70708</v>
      </c>
    </row>
    <row r="757" spans="1:6" x14ac:dyDescent="0.4">
      <c r="A757" s="5" t="s">
        <v>6</v>
      </c>
      <c r="B757" s="5" t="s">
        <v>15</v>
      </c>
      <c r="C757" s="5" t="s">
        <v>20</v>
      </c>
      <c r="D757" s="5">
        <v>39</v>
      </c>
      <c r="E757" s="5">
        <v>1823</v>
      </c>
      <c r="F757" s="5">
        <v>71097</v>
      </c>
    </row>
    <row r="758" spans="1:6" x14ac:dyDescent="0.4">
      <c r="A758" s="5" t="s">
        <v>17</v>
      </c>
      <c r="B758" s="5" t="s">
        <v>7</v>
      </c>
      <c r="C758" s="5" t="s">
        <v>18</v>
      </c>
      <c r="D758" s="5">
        <v>48</v>
      </c>
      <c r="E758" s="5">
        <v>1495</v>
      </c>
      <c r="F758" s="5">
        <v>71760</v>
      </c>
    </row>
    <row r="759" spans="1:6" x14ac:dyDescent="0.4">
      <c r="A759" s="5" t="s">
        <v>6</v>
      </c>
      <c r="B759" s="5" t="s">
        <v>12</v>
      </c>
      <c r="C759" s="5" t="s">
        <v>16</v>
      </c>
      <c r="D759" s="5">
        <v>42</v>
      </c>
      <c r="E759" s="5">
        <v>1721</v>
      </c>
      <c r="F759" s="5">
        <v>72282</v>
      </c>
    </row>
    <row r="760" spans="1:6" x14ac:dyDescent="0.4">
      <c r="A760" s="5" t="s">
        <v>6</v>
      </c>
      <c r="B760" s="5" t="s">
        <v>12</v>
      </c>
      <c r="C760" s="5" t="s">
        <v>16</v>
      </c>
      <c r="D760" s="5">
        <v>48</v>
      </c>
      <c r="E760" s="5">
        <v>1516</v>
      </c>
      <c r="F760" s="5">
        <v>72768</v>
      </c>
    </row>
    <row r="761" spans="1:6" x14ac:dyDescent="0.4">
      <c r="A761" s="5" t="s">
        <v>17</v>
      </c>
      <c r="B761" s="5" t="s">
        <v>7</v>
      </c>
      <c r="C761" s="5" t="s">
        <v>18</v>
      </c>
      <c r="D761" s="5">
        <v>49</v>
      </c>
      <c r="E761" s="5">
        <v>1486</v>
      </c>
      <c r="F761" s="5">
        <v>72814</v>
      </c>
    </row>
    <row r="762" spans="1:6" x14ac:dyDescent="0.4">
      <c r="A762" s="5" t="s">
        <v>9</v>
      </c>
      <c r="B762" s="5" t="s">
        <v>21</v>
      </c>
      <c r="C762" s="5" t="s">
        <v>23</v>
      </c>
      <c r="D762" s="5">
        <v>44</v>
      </c>
      <c r="E762" s="5">
        <v>1658</v>
      </c>
      <c r="F762" s="5">
        <v>72952</v>
      </c>
    </row>
    <row r="763" spans="1:6" x14ac:dyDescent="0.4">
      <c r="A763" s="5" t="s">
        <v>17</v>
      </c>
      <c r="B763" s="5" t="s">
        <v>10</v>
      </c>
      <c r="C763" s="5" t="s">
        <v>24</v>
      </c>
      <c r="D763" s="5">
        <v>38</v>
      </c>
      <c r="E763" s="5">
        <v>1938</v>
      </c>
      <c r="F763" s="5">
        <v>73644</v>
      </c>
    </row>
    <row r="764" spans="1:6" x14ac:dyDescent="0.4">
      <c r="A764" s="5" t="s">
        <v>6</v>
      </c>
      <c r="B764" s="5" t="s">
        <v>15</v>
      </c>
      <c r="C764" s="5" t="s">
        <v>20</v>
      </c>
      <c r="D764" s="5">
        <v>42</v>
      </c>
      <c r="E764" s="5">
        <v>1761</v>
      </c>
      <c r="F764" s="5">
        <v>73962</v>
      </c>
    </row>
    <row r="765" spans="1:6" x14ac:dyDescent="0.4">
      <c r="A765" s="5" t="s">
        <v>6</v>
      </c>
      <c r="B765" s="5" t="s">
        <v>7</v>
      </c>
      <c r="C765" s="5" t="s">
        <v>11</v>
      </c>
      <c r="D765" s="5">
        <v>44</v>
      </c>
      <c r="E765" s="5">
        <v>1684</v>
      </c>
      <c r="F765" s="5">
        <v>74096</v>
      </c>
    </row>
    <row r="766" spans="1:6" x14ac:dyDescent="0.4">
      <c r="A766" s="5" t="s">
        <v>6</v>
      </c>
      <c r="B766" s="5" t="s">
        <v>15</v>
      </c>
      <c r="C766" s="5" t="s">
        <v>13</v>
      </c>
      <c r="D766" s="5">
        <v>45</v>
      </c>
      <c r="E766" s="5">
        <v>1686</v>
      </c>
      <c r="F766" s="5">
        <v>75870</v>
      </c>
    </row>
    <row r="767" spans="1:6" x14ac:dyDescent="0.4">
      <c r="A767" s="5" t="s">
        <v>19</v>
      </c>
      <c r="B767" s="5" t="s">
        <v>7</v>
      </c>
      <c r="C767" s="5" t="s">
        <v>20</v>
      </c>
      <c r="D767" s="5">
        <v>44</v>
      </c>
      <c r="E767" s="5">
        <v>1727</v>
      </c>
      <c r="F767" s="5">
        <v>75988</v>
      </c>
    </row>
    <row r="768" spans="1:6" x14ac:dyDescent="0.4">
      <c r="A768" s="5" t="s">
        <v>19</v>
      </c>
      <c r="B768" s="5" t="s">
        <v>15</v>
      </c>
      <c r="C768" s="5" t="s">
        <v>20</v>
      </c>
      <c r="D768" s="5">
        <v>44</v>
      </c>
      <c r="E768" s="5">
        <v>1733</v>
      </c>
      <c r="F768" s="5">
        <v>76252</v>
      </c>
    </row>
    <row r="769" spans="1:6" x14ac:dyDescent="0.4">
      <c r="A769" s="5" t="s">
        <v>17</v>
      </c>
      <c r="B769" s="5" t="s">
        <v>12</v>
      </c>
      <c r="C769" s="5" t="s">
        <v>11</v>
      </c>
      <c r="D769" s="5">
        <v>44</v>
      </c>
      <c r="E769" s="5">
        <v>1747</v>
      </c>
      <c r="F769" s="5">
        <v>76868</v>
      </c>
    </row>
    <row r="770" spans="1:6" x14ac:dyDescent="0.4">
      <c r="A770" s="5" t="s">
        <v>6</v>
      </c>
      <c r="B770" s="5" t="s">
        <v>21</v>
      </c>
      <c r="C770" s="5" t="s">
        <v>20</v>
      </c>
      <c r="D770" s="5">
        <v>49</v>
      </c>
      <c r="E770" s="5">
        <v>1570</v>
      </c>
      <c r="F770" s="5">
        <v>76930</v>
      </c>
    </row>
    <row r="771" spans="1:6" x14ac:dyDescent="0.4">
      <c r="A771" s="5" t="s">
        <v>19</v>
      </c>
      <c r="B771" s="5" t="s">
        <v>21</v>
      </c>
      <c r="C771" s="5" t="s">
        <v>11</v>
      </c>
      <c r="D771" s="5">
        <v>42</v>
      </c>
      <c r="E771" s="5">
        <v>1836</v>
      </c>
      <c r="F771" s="5">
        <v>77112</v>
      </c>
    </row>
    <row r="772" spans="1:6" x14ac:dyDescent="0.4">
      <c r="A772" s="5" t="s">
        <v>6</v>
      </c>
      <c r="B772" s="5" t="s">
        <v>7</v>
      </c>
      <c r="C772" s="5" t="s">
        <v>22</v>
      </c>
      <c r="D772" s="5">
        <v>45</v>
      </c>
      <c r="E772" s="5">
        <v>1722</v>
      </c>
      <c r="F772" s="5">
        <v>77490</v>
      </c>
    </row>
    <row r="773" spans="1:6" x14ac:dyDescent="0.4">
      <c r="A773" s="5" t="s">
        <v>6</v>
      </c>
      <c r="B773" s="5" t="s">
        <v>21</v>
      </c>
      <c r="C773" s="5" t="s">
        <v>24</v>
      </c>
      <c r="D773" s="5">
        <v>40</v>
      </c>
      <c r="E773" s="5">
        <v>1939</v>
      </c>
      <c r="F773" s="5">
        <v>77560</v>
      </c>
    </row>
    <row r="774" spans="1:6" x14ac:dyDescent="0.4">
      <c r="A774" s="5" t="s">
        <v>19</v>
      </c>
      <c r="B774" s="5" t="s">
        <v>7</v>
      </c>
      <c r="C774" s="5" t="s">
        <v>22</v>
      </c>
      <c r="D774" s="5">
        <v>49</v>
      </c>
      <c r="E774" s="5">
        <v>1585</v>
      </c>
      <c r="F774" s="5">
        <v>77665</v>
      </c>
    </row>
    <row r="775" spans="1:6" x14ac:dyDescent="0.4">
      <c r="A775" s="5" t="s">
        <v>19</v>
      </c>
      <c r="B775" s="5" t="s">
        <v>15</v>
      </c>
      <c r="C775" s="5" t="s">
        <v>23</v>
      </c>
      <c r="D775" s="5">
        <v>39</v>
      </c>
      <c r="E775" s="5">
        <v>1993</v>
      </c>
      <c r="F775" s="5">
        <v>77727</v>
      </c>
    </row>
    <row r="776" spans="1:6" x14ac:dyDescent="0.4">
      <c r="A776" s="5" t="s">
        <v>6</v>
      </c>
      <c r="B776" s="5" t="s">
        <v>15</v>
      </c>
      <c r="C776" s="5" t="s">
        <v>11</v>
      </c>
      <c r="D776" s="5">
        <v>50</v>
      </c>
      <c r="E776" s="5">
        <v>1570</v>
      </c>
      <c r="F776" s="5">
        <v>78500</v>
      </c>
    </row>
    <row r="777" spans="1:6" x14ac:dyDescent="0.4">
      <c r="A777" s="5" t="s">
        <v>17</v>
      </c>
      <c r="B777" s="5" t="s">
        <v>12</v>
      </c>
      <c r="C777" s="5" t="s">
        <v>11</v>
      </c>
      <c r="D777" s="5">
        <v>47</v>
      </c>
      <c r="E777" s="5">
        <v>1685</v>
      </c>
      <c r="F777" s="5">
        <v>79195</v>
      </c>
    </row>
    <row r="778" spans="1:6" x14ac:dyDescent="0.4">
      <c r="A778" s="5" t="s">
        <v>19</v>
      </c>
      <c r="B778" s="5" t="s">
        <v>15</v>
      </c>
      <c r="C778" s="5" t="s">
        <v>11</v>
      </c>
      <c r="D778" s="5">
        <v>45</v>
      </c>
      <c r="E778" s="5">
        <v>1761</v>
      </c>
      <c r="F778" s="5">
        <v>79245</v>
      </c>
    </row>
    <row r="779" spans="1:6" x14ac:dyDescent="0.4">
      <c r="A779" s="5" t="s">
        <v>19</v>
      </c>
      <c r="B779" s="5" t="s">
        <v>7</v>
      </c>
      <c r="C779" s="5" t="s">
        <v>24</v>
      </c>
      <c r="D779" s="5">
        <v>43</v>
      </c>
      <c r="E779" s="5">
        <v>1855</v>
      </c>
      <c r="F779" s="5">
        <v>79765</v>
      </c>
    </row>
    <row r="780" spans="1:6" x14ac:dyDescent="0.4">
      <c r="A780" s="5" t="s">
        <v>6</v>
      </c>
      <c r="B780" s="5" t="s">
        <v>15</v>
      </c>
      <c r="C780" s="5" t="s">
        <v>24</v>
      </c>
      <c r="D780" s="5">
        <v>44</v>
      </c>
      <c r="E780" s="5">
        <v>1829</v>
      </c>
      <c r="F780" s="5">
        <v>80476</v>
      </c>
    </row>
    <row r="781" spans="1:6" x14ac:dyDescent="0.4">
      <c r="A781" s="5" t="s">
        <v>9</v>
      </c>
      <c r="B781" s="5" t="s">
        <v>12</v>
      </c>
      <c r="C781" s="5" t="s">
        <v>20</v>
      </c>
      <c r="D781" s="5">
        <v>41</v>
      </c>
      <c r="E781" s="5">
        <v>1985</v>
      </c>
      <c r="F781" s="5">
        <v>81385</v>
      </c>
    </row>
    <row r="782" spans="1:6" x14ac:dyDescent="0.4">
      <c r="A782" s="5" t="s">
        <v>19</v>
      </c>
      <c r="B782" s="5" t="s">
        <v>21</v>
      </c>
      <c r="C782" s="5" t="s">
        <v>16</v>
      </c>
      <c r="D782" s="5">
        <v>44</v>
      </c>
      <c r="E782" s="5">
        <v>1868</v>
      </c>
      <c r="F782" s="5">
        <v>82192</v>
      </c>
    </row>
    <row r="783" spans="1:6" x14ac:dyDescent="0.4">
      <c r="A783" s="5" t="s">
        <v>9</v>
      </c>
      <c r="B783" s="5" t="s">
        <v>12</v>
      </c>
      <c r="C783" s="5" t="s">
        <v>13</v>
      </c>
      <c r="D783" s="5">
        <v>48</v>
      </c>
      <c r="E783" s="5">
        <v>1725</v>
      </c>
      <c r="F783" s="5">
        <v>82800</v>
      </c>
    </row>
    <row r="784" spans="1:6" x14ac:dyDescent="0.4">
      <c r="A784" s="5" t="s">
        <v>19</v>
      </c>
      <c r="B784" s="5" t="s">
        <v>21</v>
      </c>
      <c r="C784" s="5" t="s">
        <v>24</v>
      </c>
      <c r="D784" s="5">
        <v>42</v>
      </c>
      <c r="E784" s="5">
        <v>1988</v>
      </c>
      <c r="F784" s="5">
        <v>83496</v>
      </c>
    </row>
    <row r="785" spans="1:6" x14ac:dyDescent="0.4">
      <c r="A785" s="5" t="s">
        <v>6</v>
      </c>
      <c r="B785" s="5" t="s">
        <v>15</v>
      </c>
      <c r="C785" s="5" t="s">
        <v>13</v>
      </c>
      <c r="D785" s="5">
        <v>49</v>
      </c>
      <c r="E785" s="5">
        <v>1726</v>
      </c>
      <c r="F785" s="5">
        <v>84574</v>
      </c>
    </row>
    <row r="786" spans="1:6" x14ac:dyDescent="0.4">
      <c r="A786" s="5" t="s">
        <v>6</v>
      </c>
      <c r="B786" s="5" t="s">
        <v>21</v>
      </c>
      <c r="C786" s="5" t="s">
        <v>13</v>
      </c>
      <c r="D786" s="5">
        <v>45</v>
      </c>
      <c r="E786" s="5">
        <v>1900</v>
      </c>
      <c r="F786" s="5">
        <v>85500</v>
      </c>
    </row>
    <row r="787" spans="1:6" x14ac:dyDescent="0.4">
      <c r="A787" s="5" t="s">
        <v>6</v>
      </c>
      <c r="B787" s="5" t="s">
        <v>7</v>
      </c>
      <c r="C787" s="5" t="s">
        <v>22</v>
      </c>
      <c r="D787" s="5">
        <v>46</v>
      </c>
      <c r="E787" s="5">
        <v>1865</v>
      </c>
      <c r="F787" s="5">
        <v>85790</v>
      </c>
    </row>
    <row r="788" spans="1:6" x14ac:dyDescent="0.4">
      <c r="A788" s="5" t="s">
        <v>19</v>
      </c>
      <c r="B788" s="5" t="s">
        <v>15</v>
      </c>
      <c r="C788" s="5" t="s">
        <v>22</v>
      </c>
      <c r="D788" s="5">
        <v>46</v>
      </c>
      <c r="E788" s="5">
        <v>1869</v>
      </c>
      <c r="F788" s="5">
        <v>85974</v>
      </c>
    </row>
    <row r="789" spans="1:6" x14ac:dyDescent="0.4">
      <c r="A789" s="5" t="s">
        <v>17</v>
      </c>
      <c r="B789" s="5" t="s">
        <v>15</v>
      </c>
      <c r="C789" s="5" t="s">
        <v>24</v>
      </c>
      <c r="D789" s="5">
        <v>49</v>
      </c>
      <c r="E789" s="5">
        <v>1761</v>
      </c>
      <c r="F789" s="5">
        <v>86289</v>
      </c>
    </row>
    <row r="790" spans="1:6" x14ac:dyDescent="0.4">
      <c r="A790" s="5" t="s">
        <v>6</v>
      </c>
      <c r="B790" s="5" t="s">
        <v>21</v>
      </c>
      <c r="C790" s="5" t="s">
        <v>16</v>
      </c>
      <c r="D790" s="5">
        <v>49</v>
      </c>
      <c r="E790" s="5">
        <v>1782</v>
      </c>
      <c r="F790" s="5">
        <v>87318</v>
      </c>
    </row>
    <row r="791" spans="1:6" x14ac:dyDescent="0.4">
      <c r="A791" s="5" t="s">
        <v>9</v>
      </c>
      <c r="B791" s="5" t="s">
        <v>10</v>
      </c>
      <c r="C791" s="5" t="s">
        <v>22</v>
      </c>
      <c r="D791" s="5">
        <v>45</v>
      </c>
      <c r="E791" s="5">
        <v>1983</v>
      </c>
      <c r="F791" s="5">
        <v>89235</v>
      </c>
    </row>
    <row r="792" spans="1:6" x14ac:dyDescent="0.4">
      <c r="A792" s="5" t="s">
        <v>6</v>
      </c>
      <c r="B792" s="5" t="s">
        <v>15</v>
      </c>
      <c r="C792" s="5" t="s">
        <v>22</v>
      </c>
      <c r="D792" s="5">
        <v>49</v>
      </c>
      <c r="E792" s="5">
        <v>1828</v>
      </c>
      <c r="F792" s="5">
        <v>89572</v>
      </c>
    </row>
    <row r="793" spans="1:6" x14ac:dyDescent="0.4">
      <c r="A793" s="5" t="s">
        <v>9</v>
      </c>
      <c r="B793" s="5" t="s">
        <v>15</v>
      </c>
      <c r="C793" s="5" t="s">
        <v>11</v>
      </c>
      <c r="D793" s="5">
        <v>47</v>
      </c>
      <c r="E793" s="5">
        <v>1910</v>
      </c>
      <c r="F793" s="5">
        <v>89770</v>
      </c>
    </row>
    <row r="794" spans="1:6" x14ac:dyDescent="0.4">
      <c r="A794" s="5" t="s">
        <v>17</v>
      </c>
      <c r="B794" s="5" t="s">
        <v>15</v>
      </c>
      <c r="C794" s="5" t="s">
        <v>13</v>
      </c>
      <c r="D794" s="5">
        <v>47</v>
      </c>
      <c r="E794" s="5">
        <v>1914</v>
      </c>
      <c r="F794" s="5">
        <v>89958</v>
      </c>
    </row>
    <row r="795" spans="1:6" x14ac:dyDescent="0.4">
      <c r="A795" s="5" t="s">
        <v>6</v>
      </c>
      <c r="B795" s="5" t="s">
        <v>7</v>
      </c>
      <c r="C795" s="5" t="s">
        <v>24</v>
      </c>
      <c r="D795" s="5">
        <v>47</v>
      </c>
      <c r="E795" s="5">
        <v>1921</v>
      </c>
      <c r="F795" s="5">
        <v>90287</v>
      </c>
    </row>
    <row r="796" spans="1:6" x14ac:dyDescent="0.4">
      <c r="A796" s="5" t="s">
        <v>17</v>
      </c>
      <c r="B796" s="5" t="s">
        <v>10</v>
      </c>
      <c r="C796" s="5" t="s">
        <v>16</v>
      </c>
      <c r="D796" s="5">
        <v>49</v>
      </c>
      <c r="E796" s="5">
        <v>1854</v>
      </c>
      <c r="F796" s="5">
        <v>90846</v>
      </c>
    </row>
    <row r="797" spans="1:6" x14ac:dyDescent="0.4">
      <c r="A797" s="5" t="s">
        <v>6</v>
      </c>
      <c r="B797" s="5" t="s">
        <v>7</v>
      </c>
      <c r="C797" s="5" t="s">
        <v>11</v>
      </c>
      <c r="D797" s="5">
        <v>46</v>
      </c>
      <c r="E797" s="5">
        <v>1978</v>
      </c>
      <c r="F797" s="5">
        <v>90988</v>
      </c>
    </row>
    <row r="798" spans="1:6" x14ac:dyDescent="0.4">
      <c r="A798" s="5" t="s">
        <v>6</v>
      </c>
      <c r="B798" s="5" t="s">
        <v>21</v>
      </c>
      <c r="C798" s="5" t="s">
        <v>11</v>
      </c>
      <c r="D798" s="5">
        <v>47</v>
      </c>
      <c r="E798" s="5">
        <v>1942</v>
      </c>
      <c r="F798" s="5">
        <v>91274</v>
      </c>
    </row>
    <row r="799" spans="1:6" x14ac:dyDescent="0.4">
      <c r="A799" s="5" t="s">
        <v>9</v>
      </c>
      <c r="B799" s="5" t="s">
        <v>7</v>
      </c>
      <c r="C799" s="5" t="s">
        <v>22</v>
      </c>
      <c r="D799" s="5">
        <v>47</v>
      </c>
      <c r="E799" s="5">
        <v>1953</v>
      </c>
      <c r="F799" s="5">
        <v>91791</v>
      </c>
    </row>
    <row r="800" spans="1:6" x14ac:dyDescent="0.4">
      <c r="A800" s="5" t="s">
        <v>6</v>
      </c>
      <c r="B800" s="5" t="s">
        <v>15</v>
      </c>
      <c r="C800" s="5" t="s">
        <v>23</v>
      </c>
      <c r="D800" s="5">
        <v>50</v>
      </c>
      <c r="E800" s="5">
        <v>1938</v>
      </c>
      <c r="F800" s="5">
        <v>96900</v>
      </c>
    </row>
    <row r="801" spans="1:6" x14ac:dyDescent="0.4">
      <c r="A801" s="5" t="s">
        <v>19</v>
      </c>
      <c r="B801" s="5" t="s">
        <v>10</v>
      </c>
      <c r="C801" s="5" t="s">
        <v>11</v>
      </c>
      <c r="D801" s="5">
        <v>49</v>
      </c>
      <c r="E801" s="5">
        <v>1995</v>
      </c>
      <c r="F801" s="5">
        <v>97755</v>
      </c>
    </row>
  </sheetData>
  <sortState xmlns:xlrd2="http://schemas.microsoft.com/office/spreadsheetml/2017/richdata2" ref="A2:F801">
    <sortCondition ref="F1:F8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4863-E987-4A03-A470-8521AEEBBD42}">
  <dimension ref="A1:C23"/>
  <sheetViews>
    <sheetView zoomScale="97" workbookViewId="0">
      <selection activeCell="C23" sqref="C23"/>
    </sheetView>
  </sheetViews>
  <sheetFormatPr defaultRowHeight="14.6" x14ac:dyDescent="0.4"/>
  <cols>
    <col min="1" max="1" width="6.4609375" bestFit="1" customWidth="1"/>
    <col min="2" max="2" width="50.53515625" bestFit="1" customWidth="1"/>
    <col min="3" max="3" width="111.4609375" bestFit="1" customWidth="1"/>
    <col min="5" max="5" width="16.765625" customWidth="1"/>
  </cols>
  <sheetData>
    <row r="1" spans="1:3" x14ac:dyDescent="0.4">
      <c r="A1" s="5" t="s">
        <v>25</v>
      </c>
      <c r="B1" s="5" t="s">
        <v>56</v>
      </c>
      <c r="C1" s="5" t="s">
        <v>34</v>
      </c>
    </row>
    <row r="2" spans="1:3" x14ac:dyDescent="0.4">
      <c r="A2" s="5">
        <v>1</v>
      </c>
      <c r="B2" s="5" t="s">
        <v>26</v>
      </c>
      <c r="C2" s="5" t="s">
        <v>35</v>
      </c>
    </row>
    <row r="3" spans="1:3" x14ac:dyDescent="0.4">
      <c r="A3" s="5">
        <v>2</v>
      </c>
      <c r="B3" s="5" t="s">
        <v>27</v>
      </c>
      <c r="C3" s="5" t="s">
        <v>36</v>
      </c>
    </row>
    <row r="4" spans="1:3" x14ac:dyDescent="0.4">
      <c r="A4" s="5">
        <v>3</v>
      </c>
      <c r="B4" s="5" t="s">
        <v>31</v>
      </c>
      <c r="C4" s="5" t="s">
        <v>37</v>
      </c>
    </row>
    <row r="5" spans="1:3" x14ac:dyDescent="0.4">
      <c r="A5" s="5">
        <v>4</v>
      </c>
      <c r="B5" s="5" t="s">
        <v>28</v>
      </c>
      <c r="C5" s="5" t="s">
        <v>38</v>
      </c>
    </row>
    <row r="6" spans="1:3" x14ac:dyDescent="0.4">
      <c r="A6" s="5">
        <v>5</v>
      </c>
      <c r="B6" s="5" t="s">
        <v>29</v>
      </c>
      <c r="C6" s="5" t="s">
        <v>39</v>
      </c>
    </row>
    <row r="7" spans="1:3" x14ac:dyDescent="0.4">
      <c r="A7" s="5">
        <v>6</v>
      </c>
      <c r="B7" s="5" t="s">
        <v>30</v>
      </c>
      <c r="C7" s="5" t="s">
        <v>40</v>
      </c>
    </row>
    <row r="8" spans="1:3" x14ac:dyDescent="0.4">
      <c r="A8" s="5">
        <v>7</v>
      </c>
      <c r="B8" s="5" t="s">
        <v>33</v>
      </c>
      <c r="C8" s="5" t="s">
        <v>41</v>
      </c>
    </row>
    <row r="9" spans="1:3" x14ac:dyDescent="0.4">
      <c r="A9" s="5">
        <v>8</v>
      </c>
      <c r="B9" s="5" t="s">
        <v>32</v>
      </c>
      <c r="C9" s="5" t="s">
        <v>42</v>
      </c>
    </row>
    <row r="10" spans="1:3" x14ac:dyDescent="0.4">
      <c r="A10" s="5"/>
      <c r="B10" s="5"/>
      <c r="C10" s="5" t="s">
        <v>43</v>
      </c>
    </row>
    <row r="11" spans="1:3" x14ac:dyDescent="0.4">
      <c r="A11" s="5"/>
      <c r="B11" s="5"/>
      <c r="C11" s="5" t="s">
        <v>44</v>
      </c>
    </row>
    <row r="12" spans="1:3" x14ac:dyDescent="0.4">
      <c r="A12" s="5"/>
      <c r="B12" s="5"/>
      <c r="C12" s="5"/>
    </row>
    <row r="13" spans="1:3" x14ac:dyDescent="0.4">
      <c r="A13" s="5"/>
      <c r="B13" s="5"/>
      <c r="C13" s="5" t="s">
        <v>45</v>
      </c>
    </row>
    <row r="14" spans="1:3" x14ac:dyDescent="0.4">
      <c r="A14" s="5"/>
      <c r="B14" s="5"/>
      <c r="C14" s="5" t="s">
        <v>46</v>
      </c>
    </row>
    <row r="15" spans="1:3" x14ac:dyDescent="0.4">
      <c r="A15" s="5"/>
      <c r="B15" s="5"/>
      <c r="C15" s="5" t="s">
        <v>47</v>
      </c>
    </row>
    <row r="16" spans="1:3" x14ac:dyDescent="0.4">
      <c r="A16" s="5"/>
      <c r="B16" s="5"/>
      <c r="C16" s="5" t="s">
        <v>48</v>
      </c>
    </row>
    <row r="17" spans="1:3" x14ac:dyDescent="0.4">
      <c r="A17" s="5"/>
      <c r="B17" s="5"/>
      <c r="C17" s="5" t="s">
        <v>49</v>
      </c>
    </row>
    <row r="18" spans="1:3" x14ac:dyDescent="0.4">
      <c r="A18" s="5"/>
      <c r="B18" s="5"/>
      <c r="C18" s="5" t="s">
        <v>50</v>
      </c>
    </row>
    <row r="19" spans="1:3" x14ac:dyDescent="0.4">
      <c r="A19" s="5"/>
      <c r="B19" s="5"/>
      <c r="C19" s="5" t="s">
        <v>51</v>
      </c>
    </row>
    <row r="20" spans="1:3" x14ac:dyDescent="0.4">
      <c r="A20" s="5"/>
      <c r="B20" s="5"/>
      <c r="C20" s="5" t="s">
        <v>52</v>
      </c>
    </row>
    <row r="21" spans="1:3" x14ac:dyDescent="0.4">
      <c r="A21" s="5"/>
      <c r="B21" s="5"/>
      <c r="C21" s="5" t="s">
        <v>53</v>
      </c>
    </row>
    <row r="22" spans="1:3" x14ac:dyDescent="0.4">
      <c r="A22" s="5"/>
      <c r="B22" s="5"/>
      <c r="C22" s="5" t="s">
        <v>54</v>
      </c>
    </row>
    <row r="23" spans="1:3" x14ac:dyDescent="0.4">
      <c r="A23" s="5"/>
      <c r="B23" s="5"/>
      <c r="C23" s="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1"/>
  <sheetViews>
    <sheetView workbookViewId="0">
      <selection activeCell="H21" sqref="H21"/>
    </sheetView>
  </sheetViews>
  <sheetFormatPr defaultRowHeight="14.6" x14ac:dyDescent="0.4"/>
  <cols>
    <col min="1" max="1" width="6.765625" bestFit="1" customWidth="1"/>
    <col min="2" max="2" width="9.84375" bestFit="1" customWidth="1"/>
    <col min="3" max="3" width="11" bestFit="1" customWidth="1"/>
    <col min="4" max="4" width="9.4609375" bestFit="1" customWidth="1"/>
    <col min="5" max="5" width="9.07421875" bestFit="1" customWidth="1"/>
    <col min="6" max="6" width="8.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5" t="s">
        <v>6</v>
      </c>
      <c r="B2" s="5" t="s">
        <v>21</v>
      </c>
      <c r="C2" s="5" t="s">
        <v>18</v>
      </c>
      <c r="D2" s="5">
        <v>27</v>
      </c>
      <c r="E2" s="5">
        <v>326</v>
      </c>
      <c r="F2" s="5">
        <v>8802</v>
      </c>
    </row>
    <row r="3" spans="1:6" x14ac:dyDescent="0.4">
      <c r="A3" s="5" t="s">
        <v>19</v>
      </c>
      <c r="B3" s="5" t="s">
        <v>10</v>
      </c>
      <c r="C3" s="5" t="s">
        <v>14</v>
      </c>
      <c r="D3" s="5">
        <v>4</v>
      </c>
      <c r="E3" s="5">
        <v>345</v>
      </c>
      <c r="F3" s="5">
        <v>1380</v>
      </c>
    </row>
    <row r="4" spans="1:6" x14ac:dyDescent="0.4">
      <c r="A4" s="5" t="s">
        <v>17</v>
      </c>
      <c r="B4" s="5" t="s">
        <v>12</v>
      </c>
      <c r="C4" s="5" t="s">
        <v>13</v>
      </c>
      <c r="D4" s="5">
        <v>42</v>
      </c>
      <c r="E4" s="5">
        <v>329</v>
      </c>
      <c r="F4" s="5">
        <v>13818</v>
      </c>
    </row>
    <row r="5" spans="1:6" x14ac:dyDescent="0.4">
      <c r="A5" s="5" t="s">
        <v>17</v>
      </c>
      <c r="B5" s="5" t="s">
        <v>12</v>
      </c>
      <c r="C5" s="5" t="s">
        <v>8</v>
      </c>
      <c r="D5" s="5">
        <v>6</v>
      </c>
      <c r="E5" s="5">
        <v>454</v>
      </c>
      <c r="F5" s="5">
        <v>2724</v>
      </c>
    </row>
    <row r="6" spans="1:6" x14ac:dyDescent="0.4">
      <c r="A6" s="5" t="s">
        <v>6</v>
      </c>
      <c r="B6" s="5" t="s">
        <v>21</v>
      </c>
      <c r="C6" s="5" t="s">
        <v>8</v>
      </c>
      <c r="D6" s="5">
        <v>38</v>
      </c>
      <c r="E6" s="5">
        <v>1153</v>
      </c>
      <c r="F6" s="5">
        <v>43814</v>
      </c>
    </row>
    <row r="7" spans="1:6" x14ac:dyDescent="0.4">
      <c r="A7" s="5" t="s">
        <v>6</v>
      </c>
      <c r="B7" s="5" t="s">
        <v>7</v>
      </c>
      <c r="C7" s="5" t="s">
        <v>13</v>
      </c>
      <c r="D7" s="5">
        <v>6</v>
      </c>
      <c r="E7" s="5">
        <v>160</v>
      </c>
      <c r="F7" s="5">
        <v>960</v>
      </c>
    </row>
    <row r="8" spans="1:6" x14ac:dyDescent="0.4">
      <c r="A8" s="5" t="s">
        <v>17</v>
      </c>
      <c r="B8" s="5" t="s">
        <v>7</v>
      </c>
      <c r="C8" s="5" t="s">
        <v>14</v>
      </c>
      <c r="D8" s="5">
        <v>34</v>
      </c>
      <c r="E8" s="5">
        <v>1519</v>
      </c>
      <c r="F8" s="5">
        <v>51646</v>
      </c>
    </row>
    <row r="9" spans="1:6" x14ac:dyDescent="0.4">
      <c r="A9" s="5" t="s">
        <v>19</v>
      </c>
      <c r="B9" s="5" t="s">
        <v>10</v>
      </c>
      <c r="C9" s="5" t="s">
        <v>16</v>
      </c>
      <c r="D9" s="5">
        <v>37</v>
      </c>
      <c r="E9" s="5">
        <v>1163</v>
      </c>
      <c r="F9" s="5">
        <v>43031</v>
      </c>
    </row>
    <row r="10" spans="1:6" x14ac:dyDescent="0.4">
      <c r="A10" s="5" t="s">
        <v>9</v>
      </c>
      <c r="B10" s="5" t="s">
        <v>15</v>
      </c>
      <c r="C10" s="5" t="s">
        <v>14</v>
      </c>
      <c r="D10" s="5">
        <v>21</v>
      </c>
      <c r="E10" s="5">
        <v>200</v>
      </c>
      <c r="F10" s="5">
        <v>4200</v>
      </c>
    </row>
    <row r="11" spans="1:6" x14ac:dyDescent="0.4">
      <c r="A11" s="5" t="s">
        <v>17</v>
      </c>
      <c r="B11" s="5" t="s">
        <v>7</v>
      </c>
      <c r="C11" s="5" t="s">
        <v>20</v>
      </c>
      <c r="D11" s="5">
        <v>4</v>
      </c>
      <c r="E11" s="5">
        <v>340</v>
      </c>
      <c r="F11" s="5">
        <v>1360</v>
      </c>
    </row>
    <row r="12" spans="1:6" x14ac:dyDescent="0.4">
      <c r="A12" s="5" t="s">
        <v>9</v>
      </c>
      <c r="B12" s="5" t="s">
        <v>7</v>
      </c>
      <c r="C12" s="5" t="s">
        <v>24</v>
      </c>
      <c r="D12" s="5">
        <v>16</v>
      </c>
      <c r="E12" s="5">
        <v>1766</v>
      </c>
      <c r="F12" s="5">
        <v>28256</v>
      </c>
    </row>
    <row r="13" spans="1:6" x14ac:dyDescent="0.4">
      <c r="A13" s="5" t="s">
        <v>17</v>
      </c>
      <c r="B13" s="5" t="s">
        <v>10</v>
      </c>
      <c r="C13" s="5" t="s">
        <v>11</v>
      </c>
      <c r="D13" s="5">
        <v>50</v>
      </c>
      <c r="E13" s="5">
        <v>443</v>
      </c>
      <c r="F13" s="5">
        <v>22150</v>
      </c>
    </row>
    <row r="14" spans="1:6" x14ac:dyDescent="0.4">
      <c r="A14" s="5" t="s">
        <v>6</v>
      </c>
      <c r="B14" s="5" t="s">
        <v>21</v>
      </c>
      <c r="C14" s="5" t="s">
        <v>13</v>
      </c>
      <c r="D14" s="5">
        <v>45</v>
      </c>
      <c r="E14" s="5">
        <v>1684</v>
      </c>
      <c r="F14" s="5">
        <v>75780</v>
      </c>
    </row>
    <row r="15" spans="1:6" x14ac:dyDescent="0.4">
      <c r="A15" s="5" t="s">
        <v>17</v>
      </c>
      <c r="B15" s="5" t="s">
        <v>12</v>
      </c>
      <c r="C15" s="5" t="s">
        <v>8</v>
      </c>
      <c r="D15" s="5">
        <v>26</v>
      </c>
      <c r="E15" s="5">
        <v>1219</v>
      </c>
      <c r="F15" s="5">
        <v>31694</v>
      </c>
    </row>
    <row r="16" spans="1:6" x14ac:dyDescent="0.4">
      <c r="A16" s="5" t="s">
        <v>9</v>
      </c>
      <c r="B16" s="5" t="s">
        <v>12</v>
      </c>
      <c r="C16" s="5" t="s">
        <v>24</v>
      </c>
      <c r="D16" s="5">
        <v>32</v>
      </c>
      <c r="E16" s="5">
        <v>359</v>
      </c>
      <c r="F16" s="5">
        <v>11488</v>
      </c>
    </row>
    <row r="17" spans="1:6" x14ac:dyDescent="0.4">
      <c r="A17" s="5" t="s">
        <v>17</v>
      </c>
      <c r="B17" s="5" t="s">
        <v>10</v>
      </c>
      <c r="C17" s="5" t="s">
        <v>18</v>
      </c>
      <c r="D17" s="5">
        <v>20</v>
      </c>
      <c r="E17" s="5">
        <v>289</v>
      </c>
      <c r="F17" s="5">
        <v>5780</v>
      </c>
    </row>
    <row r="18" spans="1:6" x14ac:dyDescent="0.4">
      <c r="A18" s="5" t="s">
        <v>6</v>
      </c>
      <c r="B18" s="5" t="s">
        <v>10</v>
      </c>
      <c r="C18" s="5" t="s">
        <v>13</v>
      </c>
      <c r="D18" s="5">
        <v>19</v>
      </c>
      <c r="E18" s="5">
        <v>251</v>
      </c>
      <c r="F18" s="5">
        <v>4769</v>
      </c>
    </row>
    <row r="19" spans="1:6" x14ac:dyDescent="0.4">
      <c r="A19" s="5" t="s">
        <v>6</v>
      </c>
      <c r="B19" s="5" t="s">
        <v>15</v>
      </c>
      <c r="C19" s="5" t="s">
        <v>8</v>
      </c>
      <c r="D19" s="5">
        <v>6</v>
      </c>
      <c r="E19" s="5">
        <v>375</v>
      </c>
      <c r="F19" s="5">
        <v>2250</v>
      </c>
    </row>
    <row r="20" spans="1:6" x14ac:dyDescent="0.4">
      <c r="A20" s="5" t="s">
        <v>9</v>
      </c>
      <c r="B20" s="5" t="s">
        <v>21</v>
      </c>
      <c r="C20" s="5" t="s">
        <v>18</v>
      </c>
      <c r="D20" s="5">
        <v>49</v>
      </c>
      <c r="E20" s="5">
        <v>1140</v>
      </c>
      <c r="F20" s="5">
        <v>55860</v>
      </c>
    </row>
    <row r="21" spans="1:6" x14ac:dyDescent="0.4">
      <c r="A21" s="5" t="s">
        <v>17</v>
      </c>
      <c r="B21" s="5" t="s">
        <v>21</v>
      </c>
      <c r="C21" s="5" t="s">
        <v>23</v>
      </c>
      <c r="D21" s="5">
        <v>33</v>
      </c>
      <c r="E21" s="5">
        <v>1499</v>
      </c>
      <c r="F21" s="5">
        <v>49467</v>
      </c>
    </row>
    <row r="22" spans="1:6" x14ac:dyDescent="0.4">
      <c r="A22" s="5" t="s">
        <v>19</v>
      </c>
      <c r="B22" s="5" t="s">
        <v>12</v>
      </c>
      <c r="C22" s="5" t="s">
        <v>22</v>
      </c>
      <c r="D22" s="5">
        <v>10</v>
      </c>
      <c r="E22" s="5">
        <v>1911</v>
      </c>
      <c r="F22" s="5">
        <v>19110</v>
      </c>
    </row>
    <row r="23" spans="1:6" x14ac:dyDescent="0.4">
      <c r="A23" s="5" t="s">
        <v>6</v>
      </c>
      <c r="B23" s="5" t="s">
        <v>21</v>
      </c>
      <c r="C23" s="5" t="s">
        <v>23</v>
      </c>
      <c r="D23" s="5">
        <v>26</v>
      </c>
      <c r="E23" s="5">
        <v>476</v>
      </c>
      <c r="F23" s="5">
        <v>12376</v>
      </c>
    </row>
    <row r="24" spans="1:6" x14ac:dyDescent="0.4">
      <c r="A24" s="5" t="s">
        <v>9</v>
      </c>
      <c r="B24" s="5" t="s">
        <v>12</v>
      </c>
      <c r="C24" s="5" t="s">
        <v>20</v>
      </c>
      <c r="D24" s="5">
        <v>25</v>
      </c>
      <c r="E24" s="5">
        <v>1328</v>
      </c>
      <c r="F24" s="5">
        <v>33200</v>
      </c>
    </row>
    <row r="25" spans="1:6" x14ac:dyDescent="0.4">
      <c r="A25" s="5" t="s">
        <v>9</v>
      </c>
      <c r="B25" s="5" t="s">
        <v>7</v>
      </c>
      <c r="C25" s="5" t="s">
        <v>18</v>
      </c>
      <c r="D25" s="5">
        <v>41</v>
      </c>
      <c r="E25" s="5">
        <v>627</v>
      </c>
      <c r="F25" s="5">
        <v>25707</v>
      </c>
    </row>
    <row r="26" spans="1:6" x14ac:dyDescent="0.4">
      <c r="A26" s="5" t="s">
        <v>19</v>
      </c>
      <c r="B26" s="5" t="s">
        <v>7</v>
      </c>
      <c r="C26" s="5" t="s">
        <v>11</v>
      </c>
      <c r="D26" s="5">
        <v>25</v>
      </c>
      <c r="E26" s="5">
        <v>938</v>
      </c>
      <c r="F26" s="5">
        <v>23450</v>
      </c>
    </row>
    <row r="27" spans="1:6" x14ac:dyDescent="0.4">
      <c r="A27" s="5" t="s">
        <v>17</v>
      </c>
      <c r="B27" s="5" t="s">
        <v>21</v>
      </c>
      <c r="C27" s="5" t="s">
        <v>22</v>
      </c>
      <c r="D27" s="5">
        <v>32</v>
      </c>
      <c r="E27" s="5">
        <v>387</v>
      </c>
      <c r="F27" s="5">
        <v>12384</v>
      </c>
    </row>
    <row r="28" spans="1:6" x14ac:dyDescent="0.4">
      <c r="A28" s="5" t="s">
        <v>17</v>
      </c>
      <c r="B28" s="5" t="s">
        <v>10</v>
      </c>
      <c r="C28" s="5" t="s">
        <v>23</v>
      </c>
      <c r="D28" s="5">
        <v>25</v>
      </c>
      <c r="E28" s="5">
        <v>1107</v>
      </c>
      <c r="F28" s="5">
        <v>27675</v>
      </c>
    </row>
    <row r="29" spans="1:6" x14ac:dyDescent="0.4">
      <c r="A29" s="5" t="s">
        <v>17</v>
      </c>
      <c r="B29" s="5" t="s">
        <v>10</v>
      </c>
      <c r="C29" s="5" t="s">
        <v>11</v>
      </c>
      <c r="D29" s="5">
        <v>18</v>
      </c>
      <c r="E29" s="5">
        <v>244</v>
      </c>
      <c r="F29" s="5">
        <v>4392</v>
      </c>
    </row>
    <row r="30" spans="1:6" x14ac:dyDescent="0.4">
      <c r="A30" s="5" t="s">
        <v>9</v>
      </c>
      <c r="B30" s="5" t="s">
        <v>7</v>
      </c>
      <c r="C30" s="5" t="s">
        <v>24</v>
      </c>
      <c r="D30" s="5">
        <v>35</v>
      </c>
      <c r="E30" s="5">
        <v>1878</v>
      </c>
      <c r="F30" s="5">
        <v>65730</v>
      </c>
    </row>
    <row r="31" spans="1:6" x14ac:dyDescent="0.4">
      <c r="A31" s="5" t="s">
        <v>17</v>
      </c>
      <c r="B31" s="5" t="s">
        <v>7</v>
      </c>
      <c r="C31" s="5" t="s">
        <v>14</v>
      </c>
      <c r="D31" s="5">
        <v>30</v>
      </c>
      <c r="E31" s="5">
        <v>1815</v>
      </c>
      <c r="F31" s="5">
        <v>54450</v>
      </c>
    </row>
    <row r="32" spans="1:6" x14ac:dyDescent="0.4">
      <c r="A32" s="5" t="s">
        <v>9</v>
      </c>
      <c r="B32" s="5" t="s">
        <v>21</v>
      </c>
      <c r="C32" s="5" t="s">
        <v>14</v>
      </c>
      <c r="D32" s="5">
        <v>47</v>
      </c>
      <c r="E32" s="5">
        <v>1261</v>
      </c>
      <c r="F32" s="5">
        <v>59267</v>
      </c>
    </row>
    <row r="33" spans="1:6" x14ac:dyDescent="0.4">
      <c r="A33" s="5" t="s">
        <v>17</v>
      </c>
      <c r="B33" s="5" t="s">
        <v>21</v>
      </c>
      <c r="C33" s="5" t="s">
        <v>23</v>
      </c>
      <c r="D33" s="5">
        <v>43</v>
      </c>
      <c r="E33" s="5">
        <v>1038</v>
      </c>
      <c r="F33" s="5">
        <v>44634</v>
      </c>
    </row>
    <row r="34" spans="1:6" x14ac:dyDescent="0.4">
      <c r="A34" s="5" t="s">
        <v>9</v>
      </c>
      <c r="B34" s="5" t="s">
        <v>7</v>
      </c>
      <c r="C34" s="5" t="s">
        <v>16</v>
      </c>
      <c r="D34" s="5">
        <v>12</v>
      </c>
      <c r="E34" s="5">
        <v>832</v>
      </c>
      <c r="F34" s="5">
        <v>9984</v>
      </c>
    </row>
    <row r="35" spans="1:6" x14ac:dyDescent="0.4">
      <c r="A35" s="5" t="s">
        <v>17</v>
      </c>
      <c r="B35" s="5" t="s">
        <v>12</v>
      </c>
      <c r="C35" s="5" t="s">
        <v>20</v>
      </c>
      <c r="D35" s="5">
        <v>19</v>
      </c>
      <c r="E35" s="5">
        <v>781</v>
      </c>
      <c r="F35" s="5">
        <v>14839</v>
      </c>
    </row>
    <row r="36" spans="1:6" x14ac:dyDescent="0.4">
      <c r="A36" s="5" t="s">
        <v>9</v>
      </c>
      <c r="B36" s="5" t="s">
        <v>10</v>
      </c>
      <c r="C36" s="5" t="s">
        <v>18</v>
      </c>
      <c r="D36" s="5">
        <v>3</v>
      </c>
      <c r="E36" s="5">
        <v>198</v>
      </c>
      <c r="F36" s="5">
        <v>594</v>
      </c>
    </row>
    <row r="37" spans="1:6" x14ac:dyDescent="0.4">
      <c r="A37" s="5" t="s">
        <v>6</v>
      </c>
      <c r="B37" s="5" t="s">
        <v>21</v>
      </c>
      <c r="C37" s="5" t="s">
        <v>20</v>
      </c>
      <c r="D37" s="5">
        <v>15</v>
      </c>
      <c r="E37" s="5">
        <v>1643</v>
      </c>
      <c r="F37" s="5">
        <v>24645</v>
      </c>
    </row>
    <row r="38" spans="1:6" x14ac:dyDescent="0.4">
      <c r="A38" s="5" t="s">
        <v>17</v>
      </c>
      <c r="B38" s="5" t="s">
        <v>15</v>
      </c>
      <c r="C38" s="5" t="s">
        <v>24</v>
      </c>
      <c r="D38" s="5">
        <v>12</v>
      </c>
      <c r="E38" s="5">
        <v>1077</v>
      </c>
      <c r="F38" s="5">
        <v>12924</v>
      </c>
    </row>
    <row r="39" spans="1:6" x14ac:dyDescent="0.4">
      <c r="A39" s="5" t="s">
        <v>17</v>
      </c>
      <c r="B39" s="5" t="s">
        <v>7</v>
      </c>
      <c r="C39" s="5" t="s">
        <v>22</v>
      </c>
      <c r="D39" s="5">
        <v>21</v>
      </c>
      <c r="E39" s="5">
        <v>467</v>
      </c>
      <c r="F39" s="5">
        <v>9807</v>
      </c>
    </row>
    <row r="40" spans="1:6" x14ac:dyDescent="0.4">
      <c r="A40" s="5" t="s">
        <v>19</v>
      </c>
      <c r="B40" s="5" t="s">
        <v>10</v>
      </c>
      <c r="C40" s="5" t="s">
        <v>20</v>
      </c>
      <c r="D40" s="5">
        <v>36</v>
      </c>
      <c r="E40" s="5">
        <v>1035</v>
      </c>
      <c r="F40" s="5">
        <v>37260</v>
      </c>
    </row>
    <row r="41" spans="1:6" x14ac:dyDescent="0.4">
      <c r="A41" s="5" t="s">
        <v>6</v>
      </c>
      <c r="B41" s="5" t="s">
        <v>12</v>
      </c>
      <c r="C41" s="5" t="s">
        <v>13</v>
      </c>
      <c r="D41" s="5">
        <v>43</v>
      </c>
      <c r="E41" s="5">
        <v>1122</v>
      </c>
      <c r="F41" s="5">
        <v>48246</v>
      </c>
    </row>
    <row r="42" spans="1:6" x14ac:dyDescent="0.4">
      <c r="A42" s="5" t="s">
        <v>17</v>
      </c>
      <c r="B42" s="5" t="s">
        <v>21</v>
      </c>
      <c r="C42" s="5" t="s">
        <v>8</v>
      </c>
      <c r="D42" s="5">
        <v>29</v>
      </c>
      <c r="E42" s="5">
        <v>611</v>
      </c>
      <c r="F42" s="5">
        <v>17719</v>
      </c>
    </row>
    <row r="43" spans="1:6" x14ac:dyDescent="0.4">
      <c r="A43" s="5" t="s">
        <v>6</v>
      </c>
      <c r="B43" s="5" t="s">
        <v>15</v>
      </c>
      <c r="C43" s="5" t="s">
        <v>18</v>
      </c>
      <c r="D43" s="5">
        <v>44</v>
      </c>
      <c r="E43" s="5">
        <v>640</v>
      </c>
      <c r="F43" s="5">
        <v>28160</v>
      </c>
    </row>
    <row r="44" spans="1:6" x14ac:dyDescent="0.4">
      <c r="A44" s="5" t="s">
        <v>19</v>
      </c>
      <c r="B44" s="5" t="s">
        <v>12</v>
      </c>
      <c r="C44" s="5" t="s">
        <v>8</v>
      </c>
      <c r="D44" s="5">
        <v>26</v>
      </c>
      <c r="E44" s="5">
        <v>1287</v>
      </c>
      <c r="F44" s="5">
        <v>33462</v>
      </c>
    </row>
    <row r="45" spans="1:6" x14ac:dyDescent="0.4">
      <c r="A45" s="5" t="s">
        <v>19</v>
      </c>
      <c r="B45" s="5" t="s">
        <v>7</v>
      </c>
      <c r="C45" s="5" t="s">
        <v>24</v>
      </c>
      <c r="D45" s="5">
        <v>48</v>
      </c>
      <c r="E45" s="5">
        <v>1224</v>
      </c>
      <c r="F45" s="5">
        <v>58752</v>
      </c>
    </row>
    <row r="46" spans="1:6" x14ac:dyDescent="0.4">
      <c r="A46" s="5" t="s">
        <v>17</v>
      </c>
      <c r="B46" s="5" t="s">
        <v>10</v>
      </c>
      <c r="C46" s="5" t="s">
        <v>13</v>
      </c>
      <c r="D46" s="5">
        <v>25</v>
      </c>
      <c r="E46" s="5">
        <v>1540</v>
      </c>
      <c r="F46" s="5">
        <v>38500</v>
      </c>
    </row>
    <row r="47" spans="1:6" x14ac:dyDescent="0.4">
      <c r="A47" s="5" t="s">
        <v>9</v>
      </c>
      <c r="B47" s="5" t="s">
        <v>15</v>
      </c>
      <c r="C47" s="5" t="s">
        <v>18</v>
      </c>
      <c r="D47" s="5">
        <v>12</v>
      </c>
      <c r="E47" s="5">
        <v>388</v>
      </c>
      <c r="F47" s="5">
        <v>4656</v>
      </c>
    </row>
    <row r="48" spans="1:6" x14ac:dyDescent="0.4">
      <c r="A48" s="5" t="s">
        <v>17</v>
      </c>
      <c r="B48" s="5" t="s">
        <v>21</v>
      </c>
      <c r="C48" s="5" t="s">
        <v>22</v>
      </c>
      <c r="D48" s="5">
        <v>29</v>
      </c>
      <c r="E48" s="5">
        <v>615</v>
      </c>
      <c r="F48" s="5">
        <v>17835</v>
      </c>
    </row>
    <row r="49" spans="1:6" x14ac:dyDescent="0.4">
      <c r="A49" s="5" t="s">
        <v>6</v>
      </c>
      <c r="B49" s="5" t="s">
        <v>7</v>
      </c>
      <c r="C49" s="5" t="s">
        <v>20</v>
      </c>
      <c r="D49" s="5">
        <v>11</v>
      </c>
      <c r="E49" s="5">
        <v>1268</v>
      </c>
      <c r="F49" s="5">
        <v>13948</v>
      </c>
    </row>
    <row r="50" spans="1:6" x14ac:dyDescent="0.4">
      <c r="A50" s="5" t="s">
        <v>6</v>
      </c>
      <c r="B50" s="5" t="s">
        <v>15</v>
      </c>
      <c r="C50" s="5" t="s">
        <v>24</v>
      </c>
      <c r="D50" s="5">
        <v>5</v>
      </c>
      <c r="E50" s="5">
        <v>1453</v>
      </c>
      <c r="F50" s="5">
        <v>7265</v>
      </c>
    </row>
    <row r="51" spans="1:6" x14ac:dyDescent="0.4">
      <c r="A51" s="5" t="s">
        <v>19</v>
      </c>
      <c r="B51" s="5" t="s">
        <v>12</v>
      </c>
      <c r="C51" s="5" t="s">
        <v>24</v>
      </c>
      <c r="D51" s="5">
        <v>39</v>
      </c>
      <c r="E51" s="5">
        <v>1681</v>
      </c>
      <c r="F51" s="5">
        <v>65559</v>
      </c>
    </row>
    <row r="52" spans="1:6" x14ac:dyDescent="0.4">
      <c r="A52" s="5" t="s">
        <v>19</v>
      </c>
      <c r="B52" s="5" t="s">
        <v>10</v>
      </c>
      <c r="C52" s="5" t="s">
        <v>23</v>
      </c>
      <c r="D52" s="5">
        <v>32</v>
      </c>
      <c r="E52" s="5">
        <v>1736</v>
      </c>
      <c r="F52" s="5">
        <v>55552</v>
      </c>
    </row>
    <row r="53" spans="1:6" x14ac:dyDescent="0.4">
      <c r="A53" s="5" t="s">
        <v>6</v>
      </c>
      <c r="B53" s="5" t="s">
        <v>12</v>
      </c>
      <c r="C53" s="5" t="s">
        <v>11</v>
      </c>
      <c r="D53" s="5">
        <v>2</v>
      </c>
      <c r="E53" s="5">
        <v>1972</v>
      </c>
      <c r="F53" s="5">
        <v>3944</v>
      </c>
    </row>
    <row r="54" spans="1:6" x14ac:dyDescent="0.4">
      <c r="A54" s="5" t="s">
        <v>9</v>
      </c>
      <c r="B54" s="5" t="s">
        <v>10</v>
      </c>
      <c r="C54" s="5" t="s">
        <v>24</v>
      </c>
      <c r="D54" s="5">
        <v>39</v>
      </c>
      <c r="E54" s="5">
        <v>691</v>
      </c>
      <c r="F54" s="5">
        <v>26949</v>
      </c>
    </row>
    <row r="55" spans="1:6" x14ac:dyDescent="0.4">
      <c r="A55" s="5" t="s">
        <v>17</v>
      </c>
      <c r="B55" s="5" t="s">
        <v>21</v>
      </c>
      <c r="C55" s="5" t="s">
        <v>22</v>
      </c>
      <c r="D55" s="5">
        <v>36</v>
      </c>
      <c r="E55" s="5">
        <v>214</v>
      </c>
      <c r="F55" s="5">
        <v>7704</v>
      </c>
    </row>
    <row r="56" spans="1:6" x14ac:dyDescent="0.4">
      <c r="A56" s="5" t="s">
        <v>6</v>
      </c>
      <c r="B56" s="5" t="s">
        <v>10</v>
      </c>
      <c r="C56" s="5" t="s">
        <v>20</v>
      </c>
      <c r="D56" s="5">
        <v>40</v>
      </c>
      <c r="E56" s="5">
        <v>347</v>
      </c>
      <c r="F56" s="5">
        <v>13880</v>
      </c>
    </row>
    <row r="57" spans="1:6" x14ac:dyDescent="0.4">
      <c r="A57" s="5" t="s">
        <v>9</v>
      </c>
      <c r="B57" s="5" t="s">
        <v>10</v>
      </c>
      <c r="C57" s="5" t="s">
        <v>8</v>
      </c>
      <c r="D57" s="5">
        <v>18</v>
      </c>
      <c r="E57" s="5">
        <v>1988</v>
      </c>
      <c r="F57" s="5">
        <v>35784</v>
      </c>
    </row>
    <row r="58" spans="1:6" x14ac:dyDescent="0.4">
      <c r="A58" s="5" t="s">
        <v>6</v>
      </c>
      <c r="B58" s="5" t="s">
        <v>7</v>
      </c>
      <c r="C58" s="5" t="s">
        <v>14</v>
      </c>
      <c r="D58" s="5">
        <v>6</v>
      </c>
      <c r="E58" s="5">
        <v>566</v>
      </c>
      <c r="F58" s="5">
        <v>3396</v>
      </c>
    </row>
    <row r="59" spans="1:6" x14ac:dyDescent="0.4">
      <c r="A59" s="5" t="s">
        <v>9</v>
      </c>
      <c r="B59" s="5" t="s">
        <v>21</v>
      </c>
      <c r="C59" s="5" t="s">
        <v>14</v>
      </c>
      <c r="D59" s="5">
        <v>27</v>
      </c>
      <c r="E59" s="5">
        <v>1271</v>
      </c>
      <c r="F59" s="5">
        <v>34317</v>
      </c>
    </row>
    <row r="60" spans="1:6" x14ac:dyDescent="0.4">
      <c r="A60" s="5" t="s">
        <v>19</v>
      </c>
      <c r="B60" s="5" t="s">
        <v>21</v>
      </c>
      <c r="C60" s="5" t="s">
        <v>22</v>
      </c>
      <c r="D60" s="5">
        <v>21</v>
      </c>
      <c r="E60" s="5">
        <v>1594</v>
      </c>
      <c r="F60" s="5">
        <v>33474</v>
      </c>
    </row>
    <row r="61" spans="1:6" x14ac:dyDescent="0.4">
      <c r="A61" s="5" t="s">
        <v>17</v>
      </c>
      <c r="B61" s="5" t="s">
        <v>10</v>
      </c>
      <c r="C61" s="5" t="s">
        <v>22</v>
      </c>
      <c r="D61" s="5">
        <v>30</v>
      </c>
      <c r="E61" s="5">
        <v>109</v>
      </c>
      <c r="F61" s="5">
        <v>3270</v>
      </c>
    </row>
    <row r="62" spans="1:6" x14ac:dyDescent="0.4">
      <c r="A62" s="5" t="s">
        <v>19</v>
      </c>
      <c r="B62" s="5" t="s">
        <v>15</v>
      </c>
      <c r="C62" s="5" t="s">
        <v>23</v>
      </c>
      <c r="D62" s="5">
        <v>37</v>
      </c>
      <c r="E62" s="5">
        <v>602</v>
      </c>
      <c r="F62" s="5">
        <v>22274</v>
      </c>
    </row>
    <row r="63" spans="1:6" x14ac:dyDescent="0.4">
      <c r="A63" s="5" t="s">
        <v>19</v>
      </c>
      <c r="B63" s="5" t="s">
        <v>15</v>
      </c>
      <c r="C63" s="5" t="s">
        <v>22</v>
      </c>
      <c r="D63" s="5">
        <v>25</v>
      </c>
      <c r="E63" s="5">
        <v>668</v>
      </c>
      <c r="F63" s="5">
        <v>16700</v>
      </c>
    </row>
    <row r="64" spans="1:6" x14ac:dyDescent="0.4">
      <c r="A64" s="5" t="s">
        <v>17</v>
      </c>
      <c r="B64" s="5" t="s">
        <v>12</v>
      </c>
      <c r="C64" s="5" t="s">
        <v>11</v>
      </c>
      <c r="D64" s="5">
        <v>47</v>
      </c>
      <c r="E64" s="5">
        <v>543</v>
      </c>
      <c r="F64" s="5">
        <v>25521</v>
      </c>
    </row>
    <row r="65" spans="1:6" x14ac:dyDescent="0.4">
      <c r="A65" s="5" t="s">
        <v>17</v>
      </c>
      <c r="B65" s="5" t="s">
        <v>15</v>
      </c>
      <c r="C65" s="5" t="s">
        <v>13</v>
      </c>
      <c r="D65" s="5">
        <v>20</v>
      </c>
      <c r="E65" s="5">
        <v>876</v>
      </c>
      <c r="F65" s="5">
        <v>17520</v>
      </c>
    </row>
    <row r="66" spans="1:6" x14ac:dyDescent="0.4">
      <c r="A66" s="5" t="s">
        <v>19</v>
      </c>
      <c r="B66" s="5" t="s">
        <v>21</v>
      </c>
      <c r="C66" s="5" t="s">
        <v>22</v>
      </c>
      <c r="D66" s="5">
        <v>20</v>
      </c>
      <c r="E66" s="5">
        <v>1151</v>
      </c>
      <c r="F66" s="5">
        <v>23020</v>
      </c>
    </row>
    <row r="67" spans="1:6" x14ac:dyDescent="0.4">
      <c r="A67" s="5" t="s">
        <v>19</v>
      </c>
      <c r="B67" s="5" t="s">
        <v>12</v>
      </c>
      <c r="C67" s="5" t="s">
        <v>16</v>
      </c>
      <c r="D67" s="5">
        <v>11</v>
      </c>
      <c r="E67" s="5">
        <v>799</v>
      </c>
      <c r="F67" s="5">
        <v>8789</v>
      </c>
    </row>
    <row r="68" spans="1:6" x14ac:dyDescent="0.4">
      <c r="A68" s="5" t="s">
        <v>17</v>
      </c>
      <c r="B68" s="5" t="s">
        <v>10</v>
      </c>
      <c r="C68" s="5" t="s">
        <v>14</v>
      </c>
      <c r="D68" s="5">
        <v>25</v>
      </c>
      <c r="E68" s="5">
        <v>1001</v>
      </c>
      <c r="F68" s="5">
        <v>25025</v>
      </c>
    </row>
    <row r="69" spans="1:6" x14ac:dyDescent="0.4">
      <c r="A69" s="5" t="s">
        <v>6</v>
      </c>
      <c r="B69" s="5" t="s">
        <v>7</v>
      </c>
      <c r="C69" s="5" t="s">
        <v>20</v>
      </c>
      <c r="D69" s="5">
        <v>39</v>
      </c>
      <c r="E69" s="5">
        <v>1420</v>
      </c>
      <c r="F69" s="5">
        <v>55380</v>
      </c>
    </row>
    <row r="70" spans="1:6" x14ac:dyDescent="0.4">
      <c r="A70" s="5" t="s">
        <v>19</v>
      </c>
      <c r="B70" s="5" t="s">
        <v>15</v>
      </c>
      <c r="C70" s="5" t="s">
        <v>13</v>
      </c>
      <c r="D70" s="5">
        <v>23</v>
      </c>
      <c r="E70" s="5">
        <v>1678</v>
      </c>
      <c r="F70" s="5">
        <v>38594</v>
      </c>
    </row>
    <row r="71" spans="1:6" x14ac:dyDescent="0.4">
      <c r="A71" s="5" t="s">
        <v>6</v>
      </c>
      <c r="B71" s="5" t="s">
        <v>10</v>
      </c>
      <c r="C71" s="5" t="s">
        <v>22</v>
      </c>
      <c r="D71" s="5">
        <v>27</v>
      </c>
      <c r="E71" s="5">
        <v>783</v>
      </c>
      <c r="F71" s="5">
        <v>21141</v>
      </c>
    </row>
    <row r="72" spans="1:6" x14ac:dyDescent="0.4">
      <c r="A72" s="5" t="s">
        <v>6</v>
      </c>
      <c r="B72" s="5" t="s">
        <v>10</v>
      </c>
      <c r="C72" s="5" t="s">
        <v>20</v>
      </c>
      <c r="D72" s="5">
        <v>7</v>
      </c>
      <c r="E72" s="5">
        <v>938</v>
      </c>
      <c r="F72" s="5">
        <v>6566</v>
      </c>
    </row>
    <row r="73" spans="1:6" x14ac:dyDescent="0.4">
      <c r="A73" s="5" t="s">
        <v>17</v>
      </c>
      <c r="B73" s="5" t="s">
        <v>21</v>
      </c>
      <c r="C73" s="5" t="s">
        <v>18</v>
      </c>
      <c r="D73" s="5">
        <v>9</v>
      </c>
      <c r="E73" s="5">
        <v>1401</v>
      </c>
      <c r="F73" s="5">
        <v>12609</v>
      </c>
    </row>
    <row r="74" spans="1:6" x14ac:dyDescent="0.4">
      <c r="A74" s="5" t="s">
        <v>17</v>
      </c>
      <c r="B74" s="5" t="s">
        <v>21</v>
      </c>
      <c r="C74" s="5" t="s">
        <v>23</v>
      </c>
      <c r="D74" s="5">
        <v>47</v>
      </c>
      <c r="E74" s="5">
        <v>1941</v>
      </c>
      <c r="F74" s="5">
        <v>91227</v>
      </c>
    </row>
    <row r="75" spans="1:6" x14ac:dyDescent="0.4">
      <c r="A75" s="5" t="s">
        <v>9</v>
      </c>
      <c r="B75" s="5" t="s">
        <v>21</v>
      </c>
      <c r="C75" s="5" t="s">
        <v>20</v>
      </c>
      <c r="D75" s="5">
        <v>28</v>
      </c>
      <c r="E75" s="5">
        <v>930</v>
      </c>
      <c r="F75" s="5">
        <v>26040</v>
      </c>
    </row>
    <row r="76" spans="1:6" x14ac:dyDescent="0.4">
      <c r="A76" s="5" t="s">
        <v>9</v>
      </c>
      <c r="B76" s="5" t="s">
        <v>12</v>
      </c>
      <c r="C76" s="5" t="s">
        <v>11</v>
      </c>
      <c r="D76" s="5">
        <v>31</v>
      </c>
      <c r="E76" s="5">
        <v>669</v>
      </c>
      <c r="F76" s="5">
        <v>20739</v>
      </c>
    </row>
    <row r="77" spans="1:6" x14ac:dyDescent="0.4">
      <c r="A77" s="5" t="s">
        <v>6</v>
      </c>
      <c r="B77" s="5" t="s">
        <v>10</v>
      </c>
      <c r="C77" s="5" t="s">
        <v>14</v>
      </c>
      <c r="D77" s="5">
        <v>7</v>
      </c>
      <c r="E77" s="5">
        <v>1383</v>
      </c>
      <c r="F77" s="5">
        <v>9681</v>
      </c>
    </row>
    <row r="78" spans="1:6" x14ac:dyDescent="0.4">
      <c r="A78" s="5" t="s">
        <v>6</v>
      </c>
      <c r="B78" s="5" t="s">
        <v>15</v>
      </c>
      <c r="C78" s="5" t="s">
        <v>24</v>
      </c>
      <c r="D78" s="5">
        <v>48</v>
      </c>
      <c r="E78" s="5">
        <v>286</v>
      </c>
      <c r="F78" s="5">
        <v>13728</v>
      </c>
    </row>
    <row r="79" spans="1:6" x14ac:dyDescent="0.4">
      <c r="A79" s="5" t="s">
        <v>17</v>
      </c>
      <c r="B79" s="5" t="s">
        <v>21</v>
      </c>
      <c r="C79" s="5" t="s">
        <v>18</v>
      </c>
      <c r="D79" s="5">
        <v>27</v>
      </c>
      <c r="E79" s="5">
        <v>1427</v>
      </c>
      <c r="F79" s="5">
        <v>38529</v>
      </c>
    </row>
    <row r="80" spans="1:6" x14ac:dyDescent="0.4">
      <c r="A80" s="5" t="s">
        <v>6</v>
      </c>
      <c r="B80" s="5" t="s">
        <v>15</v>
      </c>
      <c r="C80" s="5" t="s">
        <v>18</v>
      </c>
      <c r="D80" s="5">
        <v>42</v>
      </c>
      <c r="E80" s="5">
        <v>1931</v>
      </c>
      <c r="F80" s="5">
        <v>81102</v>
      </c>
    </row>
    <row r="81" spans="1:6" x14ac:dyDescent="0.4">
      <c r="A81" s="5" t="s">
        <v>19</v>
      </c>
      <c r="B81" s="5" t="s">
        <v>12</v>
      </c>
      <c r="C81" s="5" t="s">
        <v>23</v>
      </c>
      <c r="D81" s="5">
        <v>33</v>
      </c>
      <c r="E81" s="5">
        <v>325</v>
      </c>
      <c r="F81" s="5">
        <v>10725</v>
      </c>
    </row>
    <row r="82" spans="1:6" x14ac:dyDescent="0.4">
      <c r="A82" s="5" t="s">
        <v>17</v>
      </c>
      <c r="B82" s="5" t="s">
        <v>15</v>
      </c>
      <c r="C82" s="5" t="s">
        <v>16</v>
      </c>
      <c r="D82" s="5">
        <v>42</v>
      </c>
      <c r="E82" s="5">
        <v>971</v>
      </c>
      <c r="F82" s="5">
        <v>40782</v>
      </c>
    </row>
    <row r="83" spans="1:6" x14ac:dyDescent="0.4">
      <c r="A83" s="5" t="s">
        <v>9</v>
      </c>
      <c r="B83" s="5" t="s">
        <v>10</v>
      </c>
      <c r="C83" s="5" t="s">
        <v>8</v>
      </c>
      <c r="D83" s="5">
        <v>4</v>
      </c>
      <c r="E83" s="5">
        <v>1253</v>
      </c>
      <c r="F83" s="5">
        <v>5012</v>
      </c>
    </row>
    <row r="84" spans="1:6" x14ac:dyDescent="0.4">
      <c r="A84" s="5" t="s">
        <v>9</v>
      </c>
      <c r="B84" s="5" t="s">
        <v>12</v>
      </c>
      <c r="C84" s="5" t="s">
        <v>8</v>
      </c>
      <c r="D84" s="5">
        <v>28</v>
      </c>
      <c r="E84" s="5">
        <v>893</v>
      </c>
      <c r="F84" s="5">
        <v>25004</v>
      </c>
    </row>
    <row r="85" spans="1:6" x14ac:dyDescent="0.4">
      <c r="A85" s="5" t="s">
        <v>9</v>
      </c>
      <c r="B85" s="5" t="s">
        <v>21</v>
      </c>
      <c r="C85" s="5" t="s">
        <v>23</v>
      </c>
      <c r="D85" s="5">
        <v>43</v>
      </c>
      <c r="E85" s="5">
        <v>661</v>
      </c>
      <c r="F85" s="5">
        <v>28423</v>
      </c>
    </row>
    <row r="86" spans="1:6" x14ac:dyDescent="0.4">
      <c r="A86" s="5" t="s">
        <v>17</v>
      </c>
      <c r="B86" s="5" t="s">
        <v>21</v>
      </c>
      <c r="C86" s="5" t="s">
        <v>20</v>
      </c>
      <c r="D86" s="5">
        <v>30</v>
      </c>
      <c r="E86" s="5">
        <v>547</v>
      </c>
      <c r="F86" s="5">
        <v>16410</v>
      </c>
    </row>
    <row r="87" spans="1:6" x14ac:dyDescent="0.4">
      <c r="A87" s="5" t="s">
        <v>17</v>
      </c>
      <c r="B87" s="5" t="s">
        <v>15</v>
      </c>
      <c r="C87" s="5" t="s">
        <v>18</v>
      </c>
      <c r="D87" s="5">
        <v>45</v>
      </c>
      <c r="E87" s="5">
        <v>1825</v>
      </c>
      <c r="F87" s="5">
        <v>82125</v>
      </c>
    </row>
    <row r="88" spans="1:6" x14ac:dyDescent="0.4">
      <c r="A88" s="5" t="s">
        <v>19</v>
      </c>
      <c r="B88" s="5" t="s">
        <v>12</v>
      </c>
      <c r="C88" s="5" t="s">
        <v>20</v>
      </c>
      <c r="D88" s="5">
        <v>10</v>
      </c>
      <c r="E88" s="5">
        <v>807</v>
      </c>
      <c r="F88" s="5">
        <v>8070</v>
      </c>
    </row>
    <row r="89" spans="1:6" x14ac:dyDescent="0.4">
      <c r="A89" s="5" t="s">
        <v>19</v>
      </c>
      <c r="B89" s="5" t="s">
        <v>15</v>
      </c>
      <c r="C89" s="5" t="s">
        <v>11</v>
      </c>
      <c r="D89" s="5">
        <v>28</v>
      </c>
      <c r="E89" s="5">
        <v>1244</v>
      </c>
      <c r="F89" s="5">
        <v>34832</v>
      </c>
    </row>
    <row r="90" spans="1:6" x14ac:dyDescent="0.4">
      <c r="A90" s="5" t="s">
        <v>19</v>
      </c>
      <c r="B90" s="5" t="s">
        <v>12</v>
      </c>
      <c r="C90" s="5" t="s">
        <v>23</v>
      </c>
      <c r="D90" s="5">
        <v>33</v>
      </c>
      <c r="E90" s="5">
        <v>334</v>
      </c>
      <c r="F90" s="5">
        <v>11022</v>
      </c>
    </row>
    <row r="91" spans="1:6" x14ac:dyDescent="0.4">
      <c r="A91" s="5" t="s">
        <v>19</v>
      </c>
      <c r="B91" s="5" t="s">
        <v>10</v>
      </c>
      <c r="C91" s="5" t="s">
        <v>11</v>
      </c>
      <c r="D91" s="5">
        <v>19</v>
      </c>
      <c r="E91" s="5">
        <v>1965</v>
      </c>
      <c r="F91" s="5">
        <v>37335</v>
      </c>
    </row>
    <row r="92" spans="1:6" x14ac:dyDescent="0.4">
      <c r="A92" s="5" t="s">
        <v>17</v>
      </c>
      <c r="B92" s="5" t="s">
        <v>12</v>
      </c>
      <c r="C92" s="5" t="s">
        <v>24</v>
      </c>
      <c r="D92" s="5">
        <v>17</v>
      </c>
      <c r="E92" s="5">
        <v>1689</v>
      </c>
      <c r="F92" s="5">
        <v>28713</v>
      </c>
    </row>
    <row r="93" spans="1:6" x14ac:dyDescent="0.4">
      <c r="A93" s="5" t="s">
        <v>17</v>
      </c>
      <c r="B93" s="5" t="s">
        <v>10</v>
      </c>
      <c r="C93" s="5" t="s">
        <v>11</v>
      </c>
      <c r="D93" s="5">
        <v>22</v>
      </c>
      <c r="E93" s="5">
        <v>1136</v>
      </c>
      <c r="F93" s="5">
        <v>24992</v>
      </c>
    </row>
    <row r="94" spans="1:6" x14ac:dyDescent="0.4">
      <c r="A94" s="5" t="s">
        <v>6</v>
      </c>
      <c r="B94" s="5" t="s">
        <v>7</v>
      </c>
      <c r="C94" s="5" t="s">
        <v>16</v>
      </c>
      <c r="D94" s="5">
        <v>25</v>
      </c>
      <c r="E94" s="5">
        <v>611</v>
      </c>
      <c r="F94" s="5">
        <v>15275</v>
      </c>
    </row>
    <row r="95" spans="1:6" x14ac:dyDescent="0.4">
      <c r="A95" s="5" t="s">
        <v>17</v>
      </c>
      <c r="B95" s="5" t="s">
        <v>15</v>
      </c>
      <c r="C95" s="5" t="s">
        <v>16</v>
      </c>
      <c r="D95" s="5">
        <v>34</v>
      </c>
      <c r="E95" s="5">
        <v>168</v>
      </c>
      <c r="F95" s="5">
        <v>5712</v>
      </c>
    </row>
    <row r="96" spans="1:6" x14ac:dyDescent="0.4">
      <c r="A96" s="5" t="s">
        <v>6</v>
      </c>
      <c r="B96" s="5" t="s">
        <v>21</v>
      </c>
      <c r="C96" s="5" t="s">
        <v>20</v>
      </c>
      <c r="D96" s="5">
        <v>42</v>
      </c>
      <c r="E96" s="5">
        <v>639</v>
      </c>
      <c r="F96" s="5">
        <v>26838</v>
      </c>
    </row>
    <row r="97" spans="1:6" x14ac:dyDescent="0.4">
      <c r="A97" s="5" t="s">
        <v>19</v>
      </c>
      <c r="B97" s="5" t="s">
        <v>21</v>
      </c>
      <c r="C97" s="5" t="s">
        <v>22</v>
      </c>
      <c r="D97" s="5">
        <v>21</v>
      </c>
      <c r="E97" s="5">
        <v>123</v>
      </c>
      <c r="F97" s="5">
        <v>2583</v>
      </c>
    </row>
    <row r="98" spans="1:6" x14ac:dyDescent="0.4">
      <c r="A98" s="5" t="s">
        <v>9</v>
      </c>
      <c r="B98" s="5" t="s">
        <v>15</v>
      </c>
      <c r="C98" s="5" t="s">
        <v>11</v>
      </c>
      <c r="D98" s="5">
        <v>29</v>
      </c>
      <c r="E98" s="5">
        <v>1398</v>
      </c>
      <c r="F98" s="5">
        <v>40542</v>
      </c>
    </row>
    <row r="99" spans="1:6" x14ac:dyDescent="0.4">
      <c r="A99" s="5" t="s">
        <v>6</v>
      </c>
      <c r="B99" s="5" t="s">
        <v>10</v>
      </c>
      <c r="C99" s="5" t="s">
        <v>14</v>
      </c>
      <c r="D99" s="5">
        <v>32</v>
      </c>
      <c r="E99" s="5">
        <v>1122</v>
      </c>
      <c r="F99" s="5">
        <v>35904</v>
      </c>
    </row>
    <row r="100" spans="1:6" x14ac:dyDescent="0.4">
      <c r="A100" s="5" t="s">
        <v>9</v>
      </c>
      <c r="B100" s="5" t="s">
        <v>10</v>
      </c>
      <c r="C100" s="5" t="s">
        <v>8</v>
      </c>
      <c r="D100" s="5">
        <v>4</v>
      </c>
      <c r="E100" s="5">
        <v>629</v>
      </c>
      <c r="F100" s="5">
        <v>2516</v>
      </c>
    </row>
    <row r="101" spans="1:6" x14ac:dyDescent="0.4">
      <c r="A101" s="5" t="s">
        <v>9</v>
      </c>
      <c r="B101" s="5" t="s">
        <v>7</v>
      </c>
      <c r="C101" s="5" t="s">
        <v>11</v>
      </c>
      <c r="D101" s="5">
        <v>23</v>
      </c>
      <c r="E101" s="5">
        <v>1430</v>
      </c>
      <c r="F101" s="5">
        <v>32890</v>
      </c>
    </row>
    <row r="102" spans="1:6" x14ac:dyDescent="0.4">
      <c r="A102" s="5" t="s">
        <v>6</v>
      </c>
      <c r="B102" s="5" t="s">
        <v>12</v>
      </c>
      <c r="C102" s="5" t="s">
        <v>18</v>
      </c>
      <c r="D102" s="5">
        <v>36</v>
      </c>
      <c r="E102" s="5">
        <v>261</v>
      </c>
      <c r="F102" s="5">
        <v>9396</v>
      </c>
    </row>
    <row r="103" spans="1:6" x14ac:dyDescent="0.4">
      <c r="A103" s="5" t="s">
        <v>19</v>
      </c>
      <c r="B103" s="5" t="s">
        <v>21</v>
      </c>
      <c r="C103" s="5" t="s">
        <v>16</v>
      </c>
      <c r="D103" s="5">
        <v>32</v>
      </c>
      <c r="E103" s="5">
        <v>506</v>
      </c>
      <c r="F103" s="5">
        <v>16192</v>
      </c>
    </row>
    <row r="104" spans="1:6" x14ac:dyDescent="0.4">
      <c r="A104" s="5" t="s">
        <v>17</v>
      </c>
      <c r="B104" s="5" t="s">
        <v>12</v>
      </c>
      <c r="C104" s="5" t="s">
        <v>22</v>
      </c>
      <c r="D104" s="5">
        <v>27</v>
      </c>
      <c r="E104" s="5">
        <v>941</v>
      </c>
      <c r="F104" s="5">
        <v>25407</v>
      </c>
    </row>
    <row r="105" spans="1:6" x14ac:dyDescent="0.4">
      <c r="A105" s="5" t="s">
        <v>6</v>
      </c>
      <c r="B105" s="5" t="s">
        <v>15</v>
      </c>
      <c r="C105" s="5" t="s">
        <v>8</v>
      </c>
      <c r="D105" s="5">
        <v>30</v>
      </c>
      <c r="E105" s="5">
        <v>803</v>
      </c>
      <c r="F105" s="5">
        <v>24090</v>
      </c>
    </row>
    <row r="106" spans="1:6" x14ac:dyDescent="0.4">
      <c r="A106" s="5" t="s">
        <v>9</v>
      </c>
      <c r="B106" s="5" t="s">
        <v>10</v>
      </c>
      <c r="C106" s="5" t="s">
        <v>13</v>
      </c>
      <c r="D106" s="5">
        <v>41</v>
      </c>
      <c r="E106" s="5">
        <v>1218</v>
      </c>
      <c r="F106" s="5">
        <v>49938</v>
      </c>
    </row>
    <row r="107" spans="1:6" x14ac:dyDescent="0.4">
      <c r="A107" s="5" t="s">
        <v>19</v>
      </c>
      <c r="B107" s="5" t="s">
        <v>7</v>
      </c>
      <c r="C107" s="5" t="s">
        <v>20</v>
      </c>
      <c r="D107" s="5">
        <v>18</v>
      </c>
      <c r="E107" s="5">
        <v>966</v>
      </c>
      <c r="F107" s="5">
        <v>17388</v>
      </c>
    </row>
    <row r="108" spans="1:6" x14ac:dyDescent="0.4">
      <c r="A108" s="5" t="s">
        <v>19</v>
      </c>
      <c r="B108" s="5" t="s">
        <v>7</v>
      </c>
      <c r="C108" s="5" t="s">
        <v>16</v>
      </c>
      <c r="D108" s="5">
        <v>38</v>
      </c>
      <c r="E108" s="5">
        <v>1853</v>
      </c>
      <c r="F108" s="5">
        <v>70414</v>
      </c>
    </row>
    <row r="109" spans="1:6" x14ac:dyDescent="0.4">
      <c r="A109" s="5" t="s">
        <v>9</v>
      </c>
      <c r="B109" s="5" t="s">
        <v>15</v>
      </c>
      <c r="C109" s="5" t="s">
        <v>22</v>
      </c>
      <c r="D109" s="5">
        <v>13</v>
      </c>
      <c r="E109" s="5">
        <v>315</v>
      </c>
      <c r="F109" s="5">
        <v>4095</v>
      </c>
    </row>
    <row r="110" spans="1:6" x14ac:dyDescent="0.4">
      <c r="A110" s="5" t="s">
        <v>19</v>
      </c>
      <c r="B110" s="5" t="s">
        <v>21</v>
      </c>
      <c r="C110" s="5" t="s">
        <v>22</v>
      </c>
      <c r="D110" s="5">
        <v>34</v>
      </c>
      <c r="E110" s="5">
        <v>372</v>
      </c>
      <c r="F110" s="5">
        <v>12648</v>
      </c>
    </row>
    <row r="111" spans="1:6" x14ac:dyDescent="0.4">
      <c r="A111" s="5" t="s">
        <v>9</v>
      </c>
      <c r="B111" s="5" t="s">
        <v>12</v>
      </c>
      <c r="C111" s="5" t="s">
        <v>13</v>
      </c>
      <c r="D111" s="5">
        <v>29</v>
      </c>
      <c r="E111" s="5">
        <v>378</v>
      </c>
      <c r="F111" s="5">
        <v>10962</v>
      </c>
    </row>
    <row r="112" spans="1:6" x14ac:dyDescent="0.4">
      <c r="A112" s="5" t="s">
        <v>9</v>
      </c>
      <c r="B112" s="5" t="s">
        <v>15</v>
      </c>
      <c r="C112" s="5" t="s">
        <v>23</v>
      </c>
      <c r="D112" s="5">
        <v>30</v>
      </c>
      <c r="E112" s="5">
        <v>1233</v>
      </c>
      <c r="F112" s="5">
        <v>36990</v>
      </c>
    </row>
    <row r="113" spans="1:6" x14ac:dyDescent="0.4">
      <c r="A113" s="5" t="s">
        <v>6</v>
      </c>
      <c r="B113" s="5" t="s">
        <v>12</v>
      </c>
      <c r="C113" s="5" t="s">
        <v>11</v>
      </c>
      <c r="D113" s="5">
        <v>26</v>
      </c>
      <c r="E113" s="5">
        <v>686</v>
      </c>
      <c r="F113" s="5">
        <v>17836</v>
      </c>
    </row>
    <row r="114" spans="1:6" x14ac:dyDescent="0.4">
      <c r="A114" s="5" t="s">
        <v>17</v>
      </c>
      <c r="B114" s="5" t="s">
        <v>10</v>
      </c>
      <c r="C114" s="5" t="s">
        <v>16</v>
      </c>
      <c r="D114" s="5">
        <v>20</v>
      </c>
      <c r="E114" s="5">
        <v>502</v>
      </c>
      <c r="F114" s="5">
        <v>10040</v>
      </c>
    </row>
    <row r="115" spans="1:6" x14ac:dyDescent="0.4">
      <c r="A115" s="5" t="s">
        <v>19</v>
      </c>
      <c r="B115" s="5" t="s">
        <v>21</v>
      </c>
      <c r="C115" s="5" t="s">
        <v>13</v>
      </c>
      <c r="D115" s="5">
        <v>25</v>
      </c>
      <c r="E115" s="5">
        <v>1220</v>
      </c>
      <c r="F115" s="5">
        <v>30500</v>
      </c>
    </row>
    <row r="116" spans="1:6" x14ac:dyDescent="0.4">
      <c r="A116" s="5" t="s">
        <v>19</v>
      </c>
      <c r="B116" s="5" t="s">
        <v>10</v>
      </c>
      <c r="C116" s="5" t="s">
        <v>16</v>
      </c>
      <c r="D116" s="5">
        <v>18</v>
      </c>
      <c r="E116" s="5">
        <v>263</v>
      </c>
      <c r="F116" s="5">
        <v>4734</v>
      </c>
    </row>
    <row r="117" spans="1:6" x14ac:dyDescent="0.4">
      <c r="A117" s="5" t="s">
        <v>19</v>
      </c>
      <c r="B117" s="5" t="s">
        <v>21</v>
      </c>
      <c r="C117" s="5" t="s">
        <v>23</v>
      </c>
      <c r="D117" s="5">
        <v>36</v>
      </c>
      <c r="E117" s="5">
        <v>1912</v>
      </c>
      <c r="F117" s="5">
        <v>68832</v>
      </c>
    </row>
    <row r="118" spans="1:6" x14ac:dyDescent="0.4">
      <c r="A118" s="5" t="s">
        <v>6</v>
      </c>
      <c r="B118" s="5" t="s">
        <v>21</v>
      </c>
      <c r="C118" s="5" t="s">
        <v>11</v>
      </c>
      <c r="D118" s="5">
        <v>3</v>
      </c>
      <c r="E118" s="5">
        <v>951</v>
      </c>
      <c r="F118" s="5">
        <v>2853</v>
      </c>
    </row>
    <row r="119" spans="1:6" x14ac:dyDescent="0.4">
      <c r="A119" s="5" t="s">
        <v>6</v>
      </c>
      <c r="B119" s="5" t="s">
        <v>15</v>
      </c>
      <c r="C119" s="5" t="s">
        <v>14</v>
      </c>
      <c r="D119" s="5">
        <v>49</v>
      </c>
      <c r="E119" s="5">
        <v>1647</v>
      </c>
      <c r="F119" s="5">
        <v>80703</v>
      </c>
    </row>
    <row r="120" spans="1:6" x14ac:dyDescent="0.4">
      <c r="A120" s="5" t="s">
        <v>19</v>
      </c>
      <c r="B120" s="5" t="s">
        <v>12</v>
      </c>
      <c r="C120" s="5" t="s">
        <v>11</v>
      </c>
      <c r="D120" s="5">
        <v>1</v>
      </c>
      <c r="E120" s="5">
        <v>1006</v>
      </c>
      <c r="F120" s="5">
        <v>1006</v>
      </c>
    </row>
    <row r="121" spans="1:6" x14ac:dyDescent="0.4">
      <c r="A121" s="5" t="s">
        <v>6</v>
      </c>
      <c r="B121" s="5" t="s">
        <v>21</v>
      </c>
      <c r="C121" s="5" t="s">
        <v>13</v>
      </c>
      <c r="D121" s="5">
        <v>11</v>
      </c>
      <c r="E121" s="5">
        <v>600</v>
      </c>
      <c r="F121" s="5">
        <v>6600</v>
      </c>
    </row>
    <row r="122" spans="1:6" x14ac:dyDescent="0.4">
      <c r="A122" s="5" t="s">
        <v>9</v>
      </c>
      <c r="B122" s="5" t="s">
        <v>21</v>
      </c>
      <c r="C122" s="5" t="s">
        <v>18</v>
      </c>
      <c r="D122" s="5">
        <v>40</v>
      </c>
      <c r="E122" s="5">
        <v>1164</v>
      </c>
      <c r="F122" s="5">
        <v>46560</v>
      </c>
    </row>
    <row r="123" spans="1:6" x14ac:dyDescent="0.4">
      <c r="A123" s="5" t="s">
        <v>6</v>
      </c>
      <c r="B123" s="5" t="s">
        <v>7</v>
      </c>
      <c r="C123" s="5" t="s">
        <v>20</v>
      </c>
      <c r="D123" s="5">
        <v>5</v>
      </c>
      <c r="E123" s="5">
        <v>1170</v>
      </c>
      <c r="F123" s="5">
        <v>5850</v>
      </c>
    </row>
    <row r="124" spans="1:6" x14ac:dyDescent="0.4">
      <c r="A124" s="5" t="s">
        <v>9</v>
      </c>
      <c r="B124" s="5" t="s">
        <v>7</v>
      </c>
      <c r="C124" s="5" t="s">
        <v>16</v>
      </c>
      <c r="D124" s="5">
        <v>7</v>
      </c>
      <c r="E124" s="5">
        <v>560</v>
      </c>
      <c r="F124" s="5">
        <v>3920</v>
      </c>
    </row>
    <row r="125" spans="1:6" x14ac:dyDescent="0.4">
      <c r="A125" s="5" t="s">
        <v>19</v>
      </c>
      <c r="B125" s="5" t="s">
        <v>10</v>
      </c>
      <c r="C125" s="5" t="s">
        <v>13</v>
      </c>
      <c r="D125" s="5">
        <v>32</v>
      </c>
      <c r="E125" s="5">
        <v>155</v>
      </c>
      <c r="F125" s="5">
        <v>4960</v>
      </c>
    </row>
    <row r="126" spans="1:6" x14ac:dyDescent="0.4">
      <c r="A126" s="5" t="s">
        <v>19</v>
      </c>
      <c r="B126" s="5" t="s">
        <v>10</v>
      </c>
      <c r="C126" s="5" t="s">
        <v>14</v>
      </c>
      <c r="D126" s="5">
        <v>21</v>
      </c>
      <c r="E126" s="5">
        <v>1783</v>
      </c>
      <c r="F126" s="5">
        <v>37443</v>
      </c>
    </row>
    <row r="127" spans="1:6" x14ac:dyDescent="0.4">
      <c r="A127" s="5" t="s">
        <v>9</v>
      </c>
      <c r="B127" s="5" t="s">
        <v>12</v>
      </c>
      <c r="C127" s="5" t="s">
        <v>20</v>
      </c>
      <c r="D127" s="5">
        <v>45</v>
      </c>
      <c r="E127" s="5">
        <v>1390</v>
      </c>
      <c r="F127" s="5">
        <v>62550</v>
      </c>
    </row>
    <row r="128" spans="1:6" x14ac:dyDescent="0.4">
      <c r="A128" s="5" t="s">
        <v>19</v>
      </c>
      <c r="B128" s="5" t="s">
        <v>21</v>
      </c>
      <c r="C128" s="5" t="s">
        <v>8</v>
      </c>
      <c r="D128" s="5">
        <v>14</v>
      </c>
      <c r="E128" s="5">
        <v>1678</v>
      </c>
      <c r="F128" s="5">
        <v>23492</v>
      </c>
    </row>
    <row r="129" spans="1:6" x14ac:dyDescent="0.4">
      <c r="A129" s="5" t="s">
        <v>9</v>
      </c>
      <c r="B129" s="5" t="s">
        <v>7</v>
      </c>
      <c r="C129" s="5" t="s">
        <v>8</v>
      </c>
      <c r="D129" s="5">
        <v>31</v>
      </c>
      <c r="E129" s="5">
        <v>1163</v>
      </c>
      <c r="F129" s="5">
        <v>36053</v>
      </c>
    </row>
    <row r="130" spans="1:6" x14ac:dyDescent="0.4">
      <c r="A130" s="5" t="s">
        <v>17</v>
      </c>
      <c r="B130" s="5" t="s">
        <v>15</v>
      </c>
      <c r="C130" s="5" t="s">
        <v>11</v>
      </c>
      <c r="D130" s="5">
        <v>28</v>
      </c>
      <c r="E130" s="5">
        <v>1031</v>
      </c>
      <c r="F130" s="5">
        <v>28868</v>
      </c>
    </row>
    <row r="131" spans="1:6" x14ac:dyDescent="0.4">
      <c r="A131" s="5" t="s">
        <v>17</v>
      </c>
      <c r="B131" s="5" t="s">
        <v>10</v>
      </c>
      <c r="C131" s="5" t="s">
        <v>20</v>
      </c>
      <c r="D131" s="5">
        <v>25</v>
      </c>
      <c r="E131" s="5">
        <v>1005</v>
      </c>
      <c r="F131" s="5">
        <v>25125</v>
      </c>
    </row>
    <row r="132" spans="1:6" x14ac:dyDescent="0.4">
      <c r="A132" s="5" t="s">
        <v>9</v>
      </c>
      <c r="B132" s="5" t="s">
        <v>7</v>
      </c>
      <c r="C132" s="5" t="s">
        <v>14</v>
      </c>
      <c r="D132" s="5">
        <v>25</v>
      </c>
      <c r="E132" s="5">
        <v>1743</v>
      </c>
      <c r="F132" s="5">
        <v>43575</v>
      </c>
    </row>
    <row r="133" spans="1:6" x14ac:dyDescent="0.4">
      <c r="A133" s="5" t="s">
        <v>17</v>
      </c>
      <c r="B133" s="5" t="s">
        <v>21</v>
      </c>
      <c r="C133" s="5" t="s">
        <v>8</v>
      </c>
      <c r="D133" s="5">
        <v>2</v>
      </c>
      <c r="E133" s="5">
        <v>783</v>
      </c>
      <c r="F133" s="5">
        <v>1566</v>
      </c>
    </row>
    <row r="134" spans="1:6" x14ac:dyDescent="0.4">
      <c r="A134" s="5" t="s">
        <v>19</v>
      </c>
      <c r="B134" s="5" t="s">
        <v>12</v>
      </c>
      <c r="C134" s="5" t="s">
        <v>22</v>
      </c>
      <c r="D134" s="5">
        <v>26</v>
      </c>
      <c r="E134" s="5">
        <v>1847</v>
      </c>
      <c r="F134" s="5">
        <v>48022</v>
      </c>
    </row>
    <row r="135" spans="1:6" x14ac:dyDescent="0.4">
      <c r="A135" s="5" t="s">
        <v>17</v>
      </c>
      <c r="B135" s="5" t="s">
        <v>10</v>
      </c>
      <c r="C135" s="5" t="s">
        <v>18</v>
      </c>
      <c r="D135" s="5">
        <v>21</v>
      </c>
      <c r="E135" s="5">
        <v>526</v>
      </c>
      <c r="F135" s="5">
        <v>11046</v>
      </c>
    </row>
    <row r="136" spans="1:6" x14ac:dyDescent="0.4">
      <c r="A136" s="5" t="s">
        <v>9</v>
      </c>
      <c r="B136" s="5" t="s">
        <v>12</v>
      </c>
      <c r="C136" s="5" t="s">
        <v>23</v>
      </c>
      <c r="D136" s="5">
        <v>26</v>
      </c>
      <c r="E136" s="5">
        <v>1423</v>
      </c>
      <c r="F136" s="5">
        <v>36998</v>
      </c>
    </row>
    <row r="137" spans="1:6" x14ac:dyDescent="0.4">
      <c r="A137" s="5" t="s">
        <v>9</v>
      </c>
      <c r="B137" s="5" t="s">
        <v>7</v>
      </c>
      <c r="C137" s="5" t="s">
        <v>14</v>
      </c>
      <c r="D137" s="5">
        <v>14</v>
      </c>
      <c r="E137" s="5">
        <v>532</v>
      </c>
      <c r="F137" s="5">
        <v>7448</v>
      </c>
    </row>
    <row r="138" spans="1:6" x14ac:dyDescent="0.4">
      <c r="A138" s="5" t="s">
        <v>17</v>
      </c>
      <c r="B138" s="5" t="s">
        <v>10</v>
      </c>
      <c r="C138" s="5" t="s">
        <v>20</v>
      </c>
      <c r="D138" s="5">
        <v>29</v>
      </c>
      <c r="E138" s="5">
        <v>1624</v>
      </c>
      <c r="F138" s="5">
        <v>47096</v>
      </c>
    </row>
    <row r="139" spans="1:6" x14ac:dyDescent="0.4">
      <c r="A139" s="5" t="s">
        <v>19</v>
      </c>
      <c r="B139" s="5" t="s">
        <v>7</v>
      </c>
      <c r="C139" s="5" t="s">
        <v>13</v>
      </c>
      <c r="D139" s="5">
        <v>48</v>
      </c>
      <c r="E139" s="5">
        <v>1078</v>
      </c>
      <c r="F139" s="5">
        <v>51744</v>
      </c>
    </row>
    <row r="140" spans="1:6" x14ac:dyDescent="0.4">
      <c r="A140" s="5" t="s">
        <v>19</v>
      </c>
      <c r="B140" s="5" t="s">
        <v>12</v>
      </c>
      <c r="C140" s="5" t="s">
        <v>14</v>
      </c>
      <c r="D140" s="5">
        <v>49</v>
      </c>
      <c r="E140" s="5">
        <v>1252</v>
      </c>
      <c r="F140" s="5">
        <v>61348</v>
      </c>
    </row>
    <row r="141" spans="1:6" x14ac:dyDescent="0.4">
      <c r="A141" s="5" t="s">
        <v>6</v>
      </c>
      <c r="B141" s="5" t="s">
        <v>10</v>
      </c>
      <c r="C141" s="5" t="s">
        <v>16</v>
      </c>
      <c r="D141" s="5">
        <v>11</v>
      </c>
      <c r="E141" s="5">
        <v>1926</v>
      </c>
      <c r="F141" s="5">
        <v>21186</v>
      </c>
    </row>
    <row r="142" spans="1:6" x14ac:dyDescent="0.4">
      <c r="A142" s="5" t="s">
        <v>17</v>
      </c>
      <c r="B142" s="5" t="s">
        <v>15</v>
      </c>
      <c r="C142" s="5" t="s">
        <v>16</v>
      </c>
      <c r="D142" s="5">
        <v>2</v>
      </c>
      <c r="E142" s="5">
        <v>870</v>
      </c>
      <c r="F142" s="5">
        <v>1740</v>
      </c>
    </row>
    <row r="143" spans="1:6" x14ac:dyDescent="0.4">
      <c r="A143" s="5" t="s">
        <v>17</v>
      </c>
      <c r="B143" s="5" t="s">
        <v>12</v>
      </c>
      <c r="C143" s="5" t="s">
        <v>24</v>
      </c>
      <c r="D143" s="5">
        <v>2</v>
      </c>
      <c r="E143" s="5">
        <v>1955</v>
      </c>
      <c r="F143" s="5">
        <v>3910</v>
      </c>
    </row>
    <row r="144" spans="1:6" x14ac:dyDescent="0.4">
      <c r="A144" s="5" t="s">
        <v>9</v>
      </c>
      <c r="B144" s="5" t="s">
        <v>7</v>
      </c>
      <c r="C144" s="5" t="s">
        <v>22</v>
      </c>
      <c r="D144" s="5">
        <v>31</v>
      </c>
      <c r="E144" s="5">
        <v>210</v>
      </c>
      <c r="F144" s="5">
        <v>6510</v>
      </c>
    </row>
    <row r="145" spans="1:6" x14ac:dyDescent="0.4">
      <c r="A145" s="5" t="s">
        <v>9</v>
      </c>
      <c r="B145" s="5" t="s">
        <v>7</v>
      </c>
      <c r="C145" s="5" t="s">
        <v>16</v>
      </c>
      <c r="D145" s="5">
        <v>8</v>
      </c>
      <c r="E145" s="5">
        <v>1429</v>
      </c>
      <c r="F145" s="5">
        <v>11432</v>
      </c>
    </row>
    <row r="146" spans="1:6" x14ac:dyDescent="0.4">
      <c r="A146" s="5" t="s">
        <v>6</v>
      </c>
      <c r="B146" s="5" t="s">
        <v>12</v>
      </c>
      <c r="C146" s="5" t="s">
        <v>14</v>
      </c>
      <c r="D146" s="5">
        <v>17</v>
      </c>
      <c r="E146" s="5">
        <v>391</v>
      </c>
      <c r="F146" s="5">
        <v>6647</v>
      </c>
    </row>
    <row r="147" spans="1:6" x14ac:dyDescent="0.4">
      <c r="A147" s="5" t="s">
        <v>19</v>
      </c>
      <c r="B147" s="5" t="s">
        <v>15</v>
      </c>
      <c r="C147" s="5" t="s">
        <v>8</v>
      </c>
      <c r="D147" s="5">
        <v>19</v>
      </c>
      <c r="E147" s="5">
        <v>1977</v>
      </c>
      <c r="F147" s="5">
        <v>37563</v>
      </c>
    </row>
    <row r="148" spans="1:6" x14ac:dyDescent="0.4">
      <c r="A148" s="5" t="s">
        <v>9</v>
      </c>
      <c r="B148" s="5" t="s">
        <v>12</v>
      </c>
      <c r="C148" s="5" t="s">
        <v>14</v>
      </c>
      <c r="D148" s="5">
        <v>3</v>
      </c>
      <c r="E148" s="5">
        <v>1483</v>
      </c>
      <c r="F148" s="5">
        <v>4449</v>
      </c>
    </row>
    <row r="149" spans="1:6" x14ac:dyDescent="0.4">
      <c r="A149" s="5" t="s">
        <v>6</v>
      </c>
      <c r="B149" s="5" t="s">
        <v>10</v>
      </c>
      <c r="C149" s="5" t="s">
        <v>24</v>
      </c>
      <c r="D149" s="5">
        <v>19</v>
      </c>
      <c r="E149" s="5">
        <v>534</v>
      </c>
      <c r="F149" s="5">
        <v>10146</v>
      </c>
    </row>
    <row r="150" spans="1:6" x14ac:dyDescent="0.4">
      <c r="A150" s="5" t="s">
        <v>6</v>
      </c>
      <c r="B150" s="5" t="s">
        <v>12</v>
      </c>
      <c r="C150" s="5" t="s">
        <v>11</v>
      </c>
      <c r="D150" s="5">
        <v>19</v>
      </c>
      <c r="E150" s="5">
        <v>389</v>
      </c>
      <c r="F150" s="5">
        <v>7391</v>
      </c>
    </row>
    <row r="151" spans="1:6" x14ac:dyDescent="0.4">
      <c r="A151" s="5" t="s">
        <v>17</v>
      </c>
      <c r="B151" s="5" t="s">
        <v>12</v>
      </c>
      <c r="C151" s="5" t="s">
        <v>16</v>
      </c>
      <c r="D151" s="5">
        <v>22</v>
      </c>
      <c r="E151" s="5">
        <v>836</v>
      </c>
      <c r="F151" s="5">
        <v>18392</v>
      </c>
    </row>
    <row r="152" spans="1:6" x14ac:dyDescent="0.4">
      <c r="A152" s="5" t="s">
        <v>17</v>
      </c>
      <c r="B152" s="5" t="s">
        <v>10</v>
      </c>
      <c r="C152" s="5" t="s">
        <v>23</v>
      </c>
      <c r="D152" s="5">
        <v>3</v>
      </c>
      <c r="E152" s="5">
        <v>1964</v>
      </c>
      <c r="F152" s="5">
        <v>5892</v>
      </c>
    </row>
    <row r="153" spans="1:6" x14ac:dyDescent="0.4">
      <c r="A153" s="5" t="s">
        <v>6</v>
      </c>
      <c r="B153" s="5" t="s">
        <v>15</v>
      </c>
      <c r="C153" s="5" t="s">
        <v>20</v>
      </c>
      <c r="D153" s="5">
        <v>41</v>
      </c>
      <c r="E153" s="5">
        <v>1962</v>
      </c>
      <c r="F153" s="5">
        <v>80442</v>
      </c>
    </row>
    <row r="154" spans="1:6" x14ac:dyDescent="0.4">
      <c r="A154" s="5" t="s">
        <v>9</v>
      </c>
      <c r="B154" s="5" t="s">
        <v>15</v>
      </c>
      <c r="C154" s="5" t="s">
        <v>16</v>
      </c>
      <c r="D154" s="5">
        <v>24</v>
      </c>
      <c r="E154" s="5">
        <v>1729</v>
      </c>
      <c r="F154" s="5">
        <v>41496</v>
      </c>
    </row>
    <row r="155" spans="1:6" x14ac:dyDescent="0.4">
      <c r="A155" s="5" t="s">
        <v>19</v>
      </c>
      <c r="B155" s="5" t="s">
        <v>7</v>
      </c>
      <c r="C155" s="5" t="s">
        <v>22</v>
      </c>
      <c r="D155" s="5">
        <v>33</v>
      </c>
      <c r="E155" s="5">
        <v>1620</v>
      </c>
      <c r="F155" s="5">
        <v>53460</v>
      </c>
    </row>
    <row r="156" spans="1:6" x14ac:dyDescent="0.4">
      <c r="A156" s="5" t="s">
        <v>19</v>
      </c>
      <c r="B156" s="5" t="s">
        <v>12</v>
      </c>
      <c r="C156" s="5" t="s">
        <v>18</v>
      </c>
      <c r="D156" s="5">
        <v>34</v>
      </c>
      <c r="E156" s="5">
        <v>676</v>
      </c>
      <c r="F156" s="5">
        <v>22984</v>
      </c>
    </row>
    <row r="157" spans="1:6" x14ac:dyDescent="0.4">
      <c r="A157" s="5" t="s">
        <v>6</v>
      </c>
      <c r="B157" s="5" t="s">
        <v>10</v>
      </c>
      <c r="C157" s="5" t="s">
        <v>20</v>
      </c>
      <c r="D157" s="5">
        <v>18</v>
      </c>
      <c r="E157" s="5">
        <v>1451</v>
      </c>
      <c r="F157" s="5">
        <v>26118</v>
      </c>
    </row>
    <row r="158" spans="1:6" x14ac:dyDescent="0.4">
      <c r="A158" s="5" t="s">
        <v>17</v>
      </c>
      <c r="B158" s="5" t="s">
        <v>15</v>
      </c>
      <c r="C158" s="5" t="s">
        <v>14</v>
      </c>
      <c r="D158" s="5">
        <v>37</v>
      </c>
      <c r="E158" s="5">
        <v>152</v>
      </c>
      <c r="F158" s="5">
        <v>5624</v>
      </c>
    </row>
    <row r="159" spans="1:6" x14ac:dyDescent="0.4">
      <c r="A159" s="5" t="s">
        <v>17</v>
      </c>
      <c r="B159" s="5" t="s">
        <v>12</v>
      </c>
      <c r="C159" s="5" t="s">
        <v>23</v>
      </c>
      <c r="D159" s="5">
        <v>48</v>
      </c>
      <c r="E159" s="5">
        <v>160</v>
      </c>
      <c r="F159" s="5">
        <v>7680</v>
      </c>
    </row>
    <row r="160" spans="1:6" x14ac:dyDescent="0.4">
      <c r="A160" s="5" t="s">
        <v>17</v>
      </c>
      <c r="B160" s="5" t="s">
        <v>10</v>
      </c>
      <c r="C160" s="5" t="s">
        <v>13</v>
      </c>
      <c r="D160" s="5">
        <v>38</v>
      </c>
      <c r="E160" s="5">
        <v>925</v>
      </c>
      <c r="F160" s="5">
        <v>35150</v>
      </c>
    </row>
    <row r="161" spans="1:6" x14ac:dyDescent="0.4">
      <c r="A161" s="5" t="s">
        <v>6</v>
      </c>
      <c r="B161" s="5" t="s">
        <v>10</v>
      </c>
      <c r="C161" s="5" t="s">
        <v>8</v>
      </c>
      <c r="D161" s="5">
        <v>37</v>
      </c>
      <c r="E161" s="5">
        <v>1386</v>
      </c>
      <c r="F161" s="5">
        <v>51282</v>
      </c>
    </row>
    <row r="162" spans="1:6" x14ac:dyDescent="0.4">
      <c r="A162" s="5" t="s">
        <v>17</v>
      </c>
      <c r="B162" s="5" t="s">
        <v>15</v>
      </c>
      <c r="C162" s="5" t="s">
        <v>13</v>
      </c>
      <c r="D162" s="5">
        <v>7</v>
      </c>
      <c r="E162" s="5">
        <v>1520</v>
      </c>
      <c r="F162" s="5">
        <v>10640</v>
      </c>
    </row>
    <row r="163" spans="1:6" x14ac:dyDescent="0.4">
      <c r="A163" s="5" t="s">
        <v>17</v>
      </c>
      <c r="B163" s="5" t="s">
        <v>7</v>
      </c>
      <c r="C163" s="5" t="s">
        <v>8</v>
      </c>
      <c r="D163" s="5">
        <v>24</v>
      </c>
      <c r="E163" s="5">
        <v>1518</v>
      </c>
      <c r="F163" s="5">
        <v>36432</v>
      </c>
    </row>
    <row r="164" spans="1:6" x14ac:dyDescent="0.4">
      <c r="A164" s="5" t="s">
        <v>17</v>
      </c>
      <c r="B164" s="5" t="s">
        <v>15</v>
      </c>
      <c r="C164" s="5" t="s">
        <v>24</v>
      </c>
      <c r="D164" s="5">
        <v>21</v>
      </c>
      <c r="E164" s="5">
        <v>526</v>
      </c>
      <c r="F164" s="5">
        <v>11046</v>
      </c>
    </row>
    <row r="165" spans="1:6" x14ac:dyDescent="0.4">
      <c r="A165" s="5" t="s">
        <v>6</v>
      </c>
      <c r="B165" s="5" t="s">
        <v>10</v>
      </c>
      <c r="C165" s="5" t="s">
        <v>11</v>
      </c>
      <c r="D165" s="5">
        <v>10</v>
      </c>
      <c r="E165" s="5">
        <v>355</v>
      </c>
      <c r="F165" s="5">
        <v>3550</v>
      </c>
    </row>
    <row r="166" spans="1:6" x14ac:dyDescent="0.4">
      <c r="A166" s="5" t="s">
        <v>6</v>
      </c>
      <c r="B166" s="5" t="s">
        <v>10</v>
      </c>
      <c r="C166" s="5" t="s">
        <v>16</v>
      </c>
      <c r="D166" s="5">
        <v>22</v>
      </c>
      <c r="E166" s="5">
        <v>627</v>
      </c>
      <c r="F166" s="5">
        <v>13794</v>
      </c>
    </row>
    <row r="167" spans="1:6" x14ac:dyDescent="0.4">
      <c r="A167" s="5" t="s">
        <v>9</v>
      </c>
      <c r="B167" s="5" t="s">
        <v>12</v>
      </c>
      <c r="C167" s="5" t="s">
        <v>11</v>
      </c>
      <c r="D167" s="5">
        <v>14</v>
      </c>
      <c r="E167" s="5">
        <v>1913</v>
      </c>
      <c r="F167" s="5">
        <v>26782</v>
      </c>
    </row>
    <row r="168" spans="1:6" x14ac:dyDescent="0.4">
      <c r="A168" s="5" t="s">
        <v>9</v>
      </c>
      <c r="B168" s="5" t="s">
        <v>7</v>
      </c>
      <c r="C168" s="5" t="s">
        <v>20</v>
      </c>
      <c r="D168" s="5">
        <v>3</v>
      </c>
      <c r="E168" s="5">
        <v>1378</v>
      </c>
      <c r="F168" s="5">
        <v>4134</v>
      </c>
    </row>
    <row r="169" spans="1:6" x14ac:dyDescent="0.4">
      <c r="A169" s="5" t="s">
        <v>9</v>
      </c>
      <c r="B169" s="5" t="s">
        <v>7</v>
      </c>
      <c r="C169" s="5" t="s">
        <v>24</v>
      </c>
      <c r="D169" s="5">
        <v>19</v>
      </c>
      <c r="E169" s="5">
        <v>1766</v>
      </c>
      <c r="F169" s="5">
        <v>33554</v>
      </c>
    </row>
    <row r="170" spans="1:6" x14ac:dyDescent="0.4">
      <c r="A170" s="5" t="s">
        <v>6</v>
      </c>
      <c r="B170" s="5" t="s">
        <v>21</v>
      </c>
      <c r="C170" s="5" t="s">
        <v>8</v>
      </c>
      <c r="D170" s="5">
        <v>34</v>
      </c>
      <c r="E170" s="5">
        <v>178</v>
      </c>
      <c r="F170" s="5">
        <v>6052</v>
      </c>
    </row>
    <row r="171" spans="1:6" x14ac:dyDescent="0.4">
      <c r="A171" s="5" t="s">
        <v>17</v>
      </c>
      <c r="B171" s="5" t="s">
        <v>10</v>
      </c>
      <c r="C171" s="5" t="s">
        <v>16</v>
      </c>
      <c r="D171" s="5">
        <v>46</v>
      </c>
      <c r="E171" s="5">
        <v>346</v>
      </c>
      <c r="F171" s="5">
        <v>15916</v>
      </c>
    </row>
    <row r="172" spans="1:6" x14ac:dyDescent="0.4">
      <c r="A172" s="5" t="s">
        <v>6</v>
      </c>
      <c r="B172" s="5" t="s">
        <v>15</v>
      </c>
      <c r="C172" s="5" t="s">
        <v>23</v>
      </c>
      <c r="D172" s="5">
        <v>12</v>
      </c>
      <c r="E172" s="5">
        <v>924</v>
      </c>
      <c r="F172" s="5">
        <v>11088</v>
      </c>
    </row>
    <row r="173" spans="1:6" x14ac:dyDescent="0.4">
      <c r="A173" s="5" t="s">
        <v>9</v>
      </c>
      <c r="B173" s="5" t="s">
        <v>12</v>
      </c>
      <c r="C173" s="5" t="s">
        <v>13</v>
      </c>
      <c r="D173" s="5">
        <v>39</v>
      </c>
      <c r="E173" s="5">
        <v>1829</v>
      </c>
      <c r="F173" s="5">
        <v>71331</v>
      </c>
    </row>
    <row r="174" spans="1:6" x14ac:dyDescent="0.4">
      <c r="A174" s="5" t="s">
        <v>19</v>
      </c>
      <c r="B174" s="5" t="s">
        <v>15</v>
      </c>
      <c r="C174" s="5" t="s">
        <v>23</v>
      </c>
      <c r="D174" s="5">
        <v>24</v>
      </c>
      <c r="E174" s="5">
        <v>646</v>
      </c>
      <c r="F174" s="5">
        <v>15504</v>
      </c>
    </row>
    <row r="175" spans="1:6" x14ac:dyDescent="0.4">
      <c r="A175" s="5" t="s">
        <v>9</v>
      </c>
      <c r="B175" s="5" t="s">
        <v>12</v>
      </c>
      <c r="C175" s="5" t="s">
        <v>24</v>
      </c>
      <c r="D175" s="5">
        <v>17</v>
      </c>
      <c r="E175" s="5">
        <v>223</v>
      </c>
      <c r="F175" s="5">
        <v>3791</v>
      </c>
    </row>
    <row r="176" spans="1:6" x14ac:dyDescent="0.4">
      <c r="A176" s="5" t="s">
        <v>19</v>
      </c>
      <c r="B176" s="5" t="s">
        <v>7</v>
      </c>
      <c r="C176" s="5" t="s">
        <v>13</v>
      </c>
      <c r="D176" s="5">
        <v>42</v>
      </c>
      <c r="E176" s="5">
        <v>1258</v>
      </c>
      <c r="F176" s="5">
        <v>52836</v>
      </c>
    </row>
    <row r="177" spans="1:6" x14ac:dyDescent="0.4">
      <c r="A177" s="5" t="s">
        <v>19</v>
      </c>
      <c r="B177" s="5" t="s">
        <v>12</v>
      </c>
      <c r="C177" s="5" t="s">
        <v>13</v>
      </c>
      <c r="D177" s="5">
        <v>38</v>
      </c>
      <c r="E177" s="5">
        <v>1432</v>
      </c>
      <c r="F177" s="5">
        <v>54416</v>
      </c>
    </row>
    <row r="178" spans="1:6" x14ac:dyDescent="0.4">
      <c r="A178" s="5" t="s">
        <v>17</v>
      </c>
      <c r="B178" s="5" t="s">
        <v>21</v>
      </c>
      <c r="C178" s="5" t="s">
        <v>16</v>
      </c>
      <c r="D178" s="5">
        <v>1</v>
      </c>
      <c r="E178" s="5">
        <v>567</v>
      </c>
      <c r="F178" s="5">
        <v>567</v>
      </c>
    </row>
    <row r="179" spans="1:6" x14ac:dyDescent="0.4">
      <c r="A179" s="5" t="s">
        <v>6</v>
      </c>
      <c r="B179" s="5" t="s">
        <v>7</v>
      </c>
      <c r="C179" s="5" t="s">
        <v>8</v>
      </c>
      <c r="D179" s="5">
        <v>10</v>
      </c>
      <c r="E179" s="5">
        <v>408</v>
      </c>
      <c r="F179" s="5">
        <v>4080</v>
      </c>
    </row>
    <row r="180" spans="1:6" x14ac:dyDescent="0.4">
      <c r="A180" s="5" t="s">
        <v>9</v>
      </c>
      <c r="B180" s="5" t="s">
        <v>10</v>
      </c>
      <c r="C180" s="5" t="s">
        <v>11</v>
      </c>
      <c r="D180" s="5">
        <v>1</v>
      </c>
      <c r="E180" s="5">
        <v>1167</v>
      </c>
      <c r="F180" s="5">
        <v>1167</v>
      </c>
    </row>
    <row r="181" spans="1:6" x14ac:dyDescent="0.4">
      <c r="A181" s="5" t="s">
        <v>9</v>
      </c>
      <c r="B181" s="5" t="s">
        <v>15</v>
      </c>
      <c r="C181" s="5" t="s">
        <v>16</v>
      </c>
      <c r="D181" s="5">
        <v>27</v>
      </c>
      <c r="E181" s="5">
        <v>392</v>
      </c>
      <c r="F181" s="5">
        <v>10584</v>
      </c>
    </row>
    <row r="182" spans="1:6" x14ac:dyDescent="0.4">
      <c r="A182" s="5" t="s">
        <v>19</v>
      </c>
      <c r="B182" s="5" t="s">
        <v>10</v>
      </c>
      <c r="C182" s="5" t="s">
        <v>11</v>
      </c>
      <c r="D182" s="5">
        <v>15</v>
      </c>
      <c r="E182" s="5">
        <v>1398</v>
      </c>
      <c r="F182" s="5">
        <v>20970</v>
      </c>
    </row>
    <row r="183" spans="1:6" x14ac:dyDescent="0.4">
      <c r="A183" s="5" t="s">
        <v>9</v>
      </c>
      <c r="B183" s="5" t="s">
        <v>7</v>
      </c>
      <c r="C183" s="5" t="s">
        <v>16</v>
      </c>
      <c r="D183" s="5">
        <v>42</v>
      </c>
      <c r="E183" s="5">
        <v>1174</v>
      </c>
      <c r="F183" s="5">
        <v>49308</v>
      </c>
    </row>
    <row r="184" spans="1:6" x14ac:dyDescent="0.4">
      <c r="A184" s="5" t="s">
        <v>9</v>
      </c>
      <c r="B184" s="5" t="s">
        <v>7</v>
      </c>
      <c r="C184" s="5" t="s">
        <v>24</v>
      </c>
      <c r="D184" s="5">
        <v>23</v>
      </c>
      <c r="E184" s="5">
        <v>1676</v>
      </c>
      <c r="F184" s="5">
        <v>38548</v>
      </c>
    </row>
    <row r="185" spans="1:6" x14ac:dyDescent="0.4">
      <c r="A185" s="5" t="s">
        <v>9</v>
      </c>
      <c r="B185" s="5" t="s">
        <v>21</v>
      </c>
      <c r="C185" s="5" t="s">
        <v>13</v>
      </c>
      <c r="D185" s="5">
        <v>47</v>
      </c>
      <c r="E185" s="5">
        <v>382</v>
      </c>
      <c r="F185" s="5">
        <v>17954</v>
      </c>
    </row>
    <row r="186" spans="1:6" x14ac:dyDescent="0.4">
      <c r="A186" s="5" t="s">
        <v>17</v>
      </c>
      <c r="B186" s="5" t="s">
        <v>7</v>
      </c>
      <c r="C186" s="5" t="s">
        <v>14</v>
      </c>
      <c r="D186" s="5">
        <v>16</v>
      </c>
      <c r="E186" s="5">
        <v>1480</v>
      </c>
      <c r="F186" s="5">
        <v>23680</v>
      </c>
    </row>
    <row r="187" spans="1:6" x14ac:dyDescent="0.4">
      <c r="A187" s="5" t="s">
        <v>9</v>
      </c>
      <c r="B187" s="5" t="s">
        <v>10</v>
      </c>
      <c r="C187" s="5" t="s">
        <v>22</v>
      </c>
      <c r="D187" s="5">
        <v>39</v>
      </c>
      <c r="E187" s="5">
        <v>1321</v>
      </c>
      <c r="F187" s="5">
        <v>51519</v>
      </c>
    </row>
    <row r="188" spans="1:6" x14ac:dyDescent="0.4">
      <c r="A188" s="5" t="s">
        <v>6</v>
      </c>
      <c r="B188" s="5" t="s">
        <v>10</v>
      </c>
      <c r="C188" s="5" t="s">
        <v>23</v>
      </c>
      <c r="D188" s="5">
        <v>47</v>
      </c>
      <c r="E188" s="5">
        <v>451</v>
      </c>
      <c r="F188" s="5">
        <v>21197</v>
      </c>
    </row>
    <row r="189" spans="1:6" x14ac:dyDescent="0.4">
      <c r="A189" s="5" t="s">
        <v>19</v>
      </c>
      <c r="B189" s="5" t="s">
        <v>10</v>
      </c>
      <c r="C189" s="5" t="s">
        <v>22</v>
      </c>
      <c r="D189" s="5">
        <v>11</v>
      </c>
      <c r="E189" s="5">
        <v>1589</v>
      </c>
      <c r="F189" s="5">
        <v>17479</v>
      </c>
    </row>
    <row r="190" spans="1:6" x14ac:dyDescent="0.4">
      <c r="A190" s="5" t="s">
        <v>6</v>
      </c>
      <c r="B190" s="5" t="s">
        <v>12</v>
      </c>
      <c r="C190" s="5" t="s">
        <v>14</v>
      </c>
      <c r="D190" s="5">
        <v>42</v>
      </c>
      <c r="E190" s="5">
        <v>414</v>
      </c>
      <c r="F190" s="5">
        <v>17388</v>
      </c>
    </row>
    <row r="191" spans="1:6" x14ac:dyDescent="0.4">
      <c r="A191" s="5" t="s">
        <v>17</v>
      </c>
      <c r="B191" s="5" t="s">
        <v>7</v>
      </c>
      <c r="C191" s="5" t="s">
        <v>8</v>
      </c>
      <c r="D191" s="5">
        <v>18</v>
      </c>
      <c r="E191" s="5">
        <v>1805</v>
      </c>
      <c r="F191" s="5">
        <v>32490</v>
      </c>
    </row>
    <row r="192" spans="1:6" x14ac:dyDescent="0.4">
      <c r="A192" s="5" t="s">
        <v>19</v>
      </c>
      <c r="B192" s="5" t="s">
        <v>15</v>
      </c>
      <c r="C192" s="5" t="s">
        <v>22</v>
      </c>
      <c r="D192" s="5">
        <v>38</v>
      </c>
      <c r="E192" s="5">
        <v>1875</v>
      </c>
      <c r="F192" s="5">
        <v>71250</v>
      </c>
    </row>
    <row r="193" spans="1:6" x14ac:dyDescent="0.4">
      <c r="A193" s="5" t="s">
        <v>19</v>
      </c>
      <c r="B193" s="5" t="s">
        <v>15</v>
      </c>
      <c r="C193" s="5" t="s">
        <v>22</v>
      </c>
      <c r="D193" s="5">
        <v>13</v>
      </c>
      <c r="E193" s="5">
        <v>154</v>
      </c>
      <c r="F193" s="5">
        <v>2002</v>
      </c>
    </row>
    <row r="194" spans="1:6" x14ac:dyDescent="0.4">
      <c r="A194" s="5" t="s">
        <v>19</v>
      </c>
      <c r="B194" s="5" t="s">
        <v>12</v>
      </c>
      <c r="C194" s="5" t="s">
        <v>20</v>
      </c>
      <c r="D194" s="5">
        <v>7</v>
      </c>
      <c r="E194" s="5">
        <v>585</v>
      </c>
      <c r="F194" s="5">
        <v>4095</v>
      </c>
    </row>
    <row r="195" spans="1:6" x14ac:dyDescent="0.4">
      <c r="A195" s="5" t="s">
        <v>9</v>
      </c>
      <c r="B195" s="5" t="s">
        <v>10</v>
      </c>
      <c r="C195" s="5" t="s">
        <v>14</v>
      </c>
      <c r="D195" s="5">
        <v>47</v>
      </c>
      <c r="E195" s="5">
        <v>1218</v>
      </c>
      <c r="F195" s="5">
        <v>57246</v>
      </c>
    </row>
    <row r="196" spans="1:6" x14ac:dyDescent="0.4">
      <c r="A196" s="5" t="s">
        <v>17</v>
      </c>
      <c r="B196" s="5" t="s">
        <v>15</v>
      </c>
      <c r="C196" s="5" t="s">
        <v>11</v>
      </c>
      <c r="D196" s="5">
        <v>10</v>
      </c>
      <c r="E196" s="5">
        <v>700</v>
      </c>
      <c r="F196" s="5">
        <v>7000</v>
      </c>
    </row>
    <row r="197" spans="1:6" x14ac:dyDescent="0.4">
      <c r="A197" s="5" t="s">
        <v>17</v>
      </c>
      <c r="B197" s="5" t="s">
        <v>7</v>
      </c>
      <c r="C197" s="5" t="s">
        <v>18</v>
      </c>
      <c r="D197" s="5">
        <v>19</v>
      </c>
      <c r="E197" s="5">
        <v>1361</v>
      </c>
      <c r="F197" s="5">
        <v>25859</v>
      </c>
    </row>
    <row r="198" spans="1:6" x14ac:dyDescent="0.4">
      <c r="A198" s="5" t="s">
        <v>6</v>
      </c>
      <c r="B198" s="5" t="s">
        <v>12</v>
      </c>
      <c r="C198" s="5" t="s">
        <v>20</v>
      </c>
      <c r="D198" s="5">
        <v>46</v>
      </c>
      <c r="E198" s="5">
        <v>933</v>
      </c>
      <c r="F198" s="5">
        <v>42918</v>
      </c>
    </row>
    <row r="199" spans="1:6" x14ac:dyDescent="0.4">
      <c r="A199" s="5" t="s">
        <v>17</v>
      </c>
      <c r="B199" s="5" t="s">
        <v>12</v>
      </c>
      <c r="C199" s="5" t="s">
        <v>18</v>
      </c>
      <c r="D199" s="5">
        <v>18</v>
      </c>
      <c r="E199" s="5">
        <v>1791</v>
      </c>
      <c r="F199" s="5">
        <v>32238</v>
      </c>
    </row>
    <row r="200" spans="1:6" x14ac:dyDescent="0.4">
      <c r="A200" s="5" t="s">
        <v>6</v>
      </c>
      <c r="B200" s="5" t="s">
        <v>21</v>
      </c>
      <c r="C200" s="5" t="s">
        <v>18</v>
      </c>
      <c r="D200" s="5">
        <v>1</v>
      </c>
      <c r="E200" s="5">
        <v>142</v>
      </c>
      <c r="F200" s="5">
        <v>142</v>
      </c>
    </row>
    <row r="201" spans="1:6" x14ac:dyDescent="0.4">
      <c r="A201" s="5" t="s">
        <v>6</v>
      </c>
      <c r="B201" s="5" t="s">
        <v>12</v>
      </c>
      <c r="C201" s="5" t="s">
        <v>23</v>
      </c>
      <c r="D201" s="5">
        <v>26</v>
      </c>
      <c r="E201" s="5">
        <v>1663</v>
      </c>
      <c r="F201" s="5">
        <v>43238</v>
      </c>
    </row>
    <row r="202" spans="1:6" x14ac:dyDescent="0.4">
      <c r="A202" s="5" t="s">
        <v>9</v>
      </c>
      <c r="B202" s="5" t="s">
        <v>21</v>
      </c>
      <c r="C202" s="5" t="s">
        <v>14</v>
      </c>
      <c r="D202" s="5">
        <v>28</v>
      </c>
      <c r="E202" s="5">
        <v>664</v>
      </c>
      <c r="F202" s="5">
        <v>18592</v>
      </c>
    </row>
    <row r="203" spans="1:6" x14ac:dyDescent="0.4">
      <c r="A203" s="5" t="s">
        <v>6</v>
      </c>
      <c r="B203" s="5" t="s">
        <v>10</v>
      </c>
      <c r="C203" s="5" t="s">
        <v>22</v>
      </c>
      <c r="D203" s="5">
        <v>7</v>
      </c>
      <c r="E203" s="5">
        <v>1873</v>
      </c>
      <c r="F203" s="5">
        <v>13111</v>
      </c>
    </row>
    <row r="204" spans="1:6" x14ac:dyDescent="0.4">
      <c r="A204" s="5" t="s">
        <v>6</v>
      </c>
      <c r="B204" s="5" t="s">
        <v>15</v>
      </c>
      <c r="C204" s="5" t="s">
        <v>24</v>
      </c>
      <c r="D204" s="5">
        <v>27</v>
      </c>
      <c r="E204" s="5">
        <v>933</v>
      </c>
      <c r="F204" s="5">
        <v>25191</v>
      </c>
    </row>
    <row r="205" spans="1:6" x14ac:dyDescent="0.4">
      <c r="A205" s="5" t="s">
        <v>9</v>
      </c>
      <c r="B205" s="5" t="s">
        <v>7</v>
      </c>
      <c r="C205" s="5" t="s">
        <v>22</v>
      </c>
      <c r="D205" s="5">
        <v>38</v>
      </c>
      <c r="E205" s="5">
        <v>1725</v>
      </c>
      <c r="F205" s="5">
        <v>65550</v>
      </c>
    </row>
    <row r="206" spans="1:6" x14ac:dyDescent="0.4">
      <c r="A206" s="5" t="s">
        <v>19</v>
      </c>
      <c r="B206" s="5" t="s">
        <v>15</v>
      </c>
      <c r="C206" s="5" t="s">
        <v>20</v>
      </c>
      <c r="D206" s="5">
        <v>18</v>
      </c>
      <c r="E206" s="5">
        <v>1105</v>
      </c>
      <c r="F206" s="5">
        <v>19890</v>
      </c>
    </row>
    <row r="207" spans="1:6" x14ac:dyDescent="0.4">
      <c r="A207" s="5" t="s">
        <v>19</v>
      </c>
      <c r="B207" s="5" t="s">
        <v>15</v>
      </c>
      <c r="C207" s="5" t="s">
        <v>23</v>
      </c>
      <c r="D207" s="5">
        <v>22</v>
      </c>
      <c r="E207" s="5">
        <v>1170</v>
      </c>
      <c r="F207" s="5">
        <v>25740</v>
      </c>
    </row>
    <row r="208" spans="1:6" x14ac:dyDescent="0.4">
      <c r="A208" s="5" t="s">
        <v>6</v>
      </c>
      <c r="B208" s="5" t="s">
        <v>7</v>
      </c>
      <c r="C208" s="5" t="s">
        <v>11</v>
      </c>
      <c r="D208" s="5">
        <v>6</v>
      </c>
      <c r="E208" s="5">
        <v>1824</v>
      </c>
      <c r="F208" s="5">
        <v>10944</v>
      </c>
    </row>
    <row r="209" spans="1:6" x14ac:dyDescent="0.4">
      <c r="A209" s="5" t="s">
        <v>9</v>
      </c>
      <c r="B209" s="5" t="s">
        <v>21</v>
      </c>
      <c r="C209" s="5" t="s">
        <v>18</v>
      </c>
      <c r="D209" s="5">
        <v>5</v>
      </c>
      <c r="E209" s="5">
        <v>1185</v>
      </c>
      <c r="F209" s="5">
        <v>5925</v>
      </c>
    </row>
    <row r="210" spans="1:6" x14ac:dyDescent="0.4">
      <c r="A210" s="5" t="s">
        <v>9</v>
      </c>
      <c r="B210" s="5" t="s">
        <v>15</v>
      </c>
      <c r="C210" s="5" t="s">
        <v>13</v>
      </c>
      <c r="D210" s="5">
        <v>5</v>
      </c>
      <c r="E210" s="5">
        <v>213</v>
      </c>
      <c r="F210" s="5">
        <v>1065</v>
      </c>
    </row>
    <row r="211" spans="1:6" x14ac:dyDescent="0.4">
      <c r="A211" s="5" t="s">
        <v>9</v>
      </c>
      <c r="B211" s="5" t="s">
        <v>7</v>
      </c>
      <c r="C211" s="5" t="s">
        <v>16</v>
      </c>
      <c r="D211" s="5">
        <v>47</v>
      </c>
      <c r="E211" s="5">
        <v>1460</v>
      </c>
      <c r="F211" s="5">
        <v>68620</v>
      </c>
    </row>
    <row r="212" spans="1:6" x14ac:dyDescent="0.4">
      <c r="A212" s="5" t="s">
        <v>19</v>
      </c>
      <c r="B212" s="5" t="s">
        <v>12</v>
      </c>
      <c r="C212" s="5" t="s">
        <v>8</v>
      </c>
      <c r="D212" s="5">
        <v>26</v>
      </c>
      <c r="E212" s="5">
        <v>191</v>
      </c>
      <c r="F212" s="5">
        <v>4966</v>
      </c>
    </row>
    <row r="213" spans="1:6" x14ac:dyDescent="0.4">
      <c r="A213" s="5" t="s">
        <v>6</v>
      </c>
      <c r="B213" s="5" t="s">
        <v>15</v>
      </c>
      <c r="C213" s="5" t="s">
        <v>22</v>
      </c>
      <c r="D213" s="5">
        <v>3</v>
      </c>
      <c r="E213" s="5">
        <v>1362</v>
      </c>
      <c r="F213" s="5">
        <v>4086</v>
      </c>
    </row>
    <row r="214" spans="1:6" x14ac:dyDescent="0.4">
      <c r="A214" s="5" t="s">
        <v>17</v>
      </c>
      <c r="B214" s="5" t="s">
        <v>10</v>
      </c>
      <c r="C214" s="5" t="s">
        <v>20</v>
      </c>
      <c r="D214" s="5">
        <v>12</v>
      </c>
      <c r="E214" s="5">
        <v>1194</v>
      </c>
      <c r="F214" s="5">
        <v>14328</v>
      </c>
    </row>
    <row r="215" spans="1:6" x14ac:dyDescent="0.4">
      <c r="A215" s="5" t="s">
        <v>9</v>
      </c>
      <c r="B215" s="5" t="s">
        <v>15</v>
      </c>
      <c r="C215" s="5" t="s">
        <v>24</v>
      </c>
      <c r="D215" s="5">
        <v>3</v>
      </c>
      <c r="E215" s="5">
        <v>1644</v>
      </c>
      <c r="F215" s="5">
        <v>4932</v>
      </c>
    </row>
    <row r="216" spans="1:6" x14ac:dyDescent="0.4">
      <c r="A216" s="5" t="s">
        <v>19</v>
      </c>
      <c r="B216" s="5" t="s">
        <v>10</v>
      </c>
      <c r="C216" s="5" t="s">
        <v>18</v>
      </c>
      <c r="D216" s="5">
        <v>21</v>
      </c>
      <c r="E216" s="5">
        <v>695</v>
      </c>
      <c r="F216" s="5">
        <v>14595</v>
      </c>
    </row>
    <row r="217" spans="1:6" x14ac:dyDescent="0.4">
      <c r="A217" s="5" t="s">
        <v>19</v>
      </c>
      <c r="B217" s="5" t="s">
        <v>12</v>
      </c>
      <c r="C217" s="5" t="s">
        <v>16</v>
      </c>
      <c r="D217" s="5">
        <v>47</v>
      </c>
      <c r="E217" s="5">
        <v>1432</v>
      </c>
      <c r="F217" s="5">
        <v>67304</v>
      </c>
    </row>
    <row r="218" spans="1:6" x14ac:dyDescent="0.4">
      <c r="A218" s="5" t="s">
        <v>6</v>
      </c>
      <c r="B218" s="5" t="s">
        <v>15</v>
      </c>
      <c r="C218" s="5" t="s">
        <v>13</v>
      </c>
      <c r="D218" s="5">
        <v>18</v>
      </c>
      <c r="E218" s="5">
        <v>1496</v>
      </c>
      <c r="F218" s="5">
        <v>26928</v>
      </c>
    </row>
    <row r="219" spans="1:6" x14ac:dyDescent="0.4">
      <c r="A219" s="5" t="s">
        <v>17</v>
      </c>
      <c r="B219" s="5" t="s">
        <v>12</v>
      </c>
      <c r="C219" s="5" t="s">
        <v>16</v>
      </c>
      <c r="D219" s="5">
        <v>3</v>
      </c>
      <c r="E219" s="5">
        <v>1822</v>
      </c>
      <c r="F219" s="5">
        <v>5466</v>
      </c>
    </row>
    <row r="220" spans="1:6" x14ac:dyDescent="0.4">
      <c r="A220" s="5" t="s">
        <v>9</v>
      </c>
      <c r="B220" s="5" t="s">
        <v>21</v>
      </c>
      <c r="C220" s="5" t="s">
        <v>22</v>
      </c>
      <c r="D220" s="5">
        <v>4</v>
      </c>
      <c r="E220" s="5">
        <v>803</v>
      </c>
      <c r="F220" s="5">
        <v>3212</v>
      </c>
    </row>
    <row r="221" spans="1:6" x14ac:dyDescent="0.4">
      <c r="A221" s="5" t="s">
        <v>9</v>
      </c>
      <c r="B221" s="5" t="s">
        <v>7</v>
      </c>
      <c r="C221" s="5" t="s">
        <v>23</v>
      </c>
      <c r="D221" s="5">
        <v>35</v>
      </c>
      <c r="E221" s="5">
        <v>1651</v>
      </c>
      <c r="F221" s="5">
        <v>57785</v>
      </c>
    </row>
    <row r="222" spans="1:6" x14ac:dyDescent="0.4">
      <c r="A222" s="5" t="s">
        <v>6</v>
      </c>
      <c r="B222" s="5" t="s">
        <v>21</v>
      </c>
      <c r="C222" s="5" t="s">
        <v>18</v>
      </c>
      <c r="D222" s="5">
        <v>9</v>
      </c>
      <c r="E222" s="5">
        <v>1391</v>
      </c>
      <c r="F222" s="5">
        <v>12519</v>
      </c>
    </row>
    <row r="223" spans="1:6" x14ac:dyDescent="0.4">
      <c r="A223" s="5" t="s">
        <v>9</v>
      </c>
      <c r="B223" s="5" t="s">
        <v>10</v>
      </c>
      <c r="C223" s="5" t="s">
        <v>18</v>
      </c>
      <c r="D223" s="5">
        <v>43</v>
      </c>
      <c r="E223" s="5">
        <v>541</v>
      </c>
      <c r="F223" s="5">
        <v>23263</v>
      </c>
    </row>
    <row r="224" spans="1:6" x14ac:dyDescent="0.4">
      <c r="A224" s="5" t="s">
        <v>6</v>
      </c>
      <c r="B224" s="5" t="s">
        <v>10</v>
      </c>
      <c r="C224" s="5" t="s">
        <v>13</v>
      </c>
      <c r="D224" s="5">
        <v>33</v>
      </c>
      <c r="E224" s="5">
        <v>450</v>
      </c>
      <c r="F224" s="5">
        <v>14850</v>
      </c>
    </row>
    <row r="225" spans="1:6" x14ac:dyDescent="0.4">
      <c r="A225" s="5" t="s">
        <v>17</v>
      </c>
      <c r="B225" s="5" t="s">
        <v>15</v>
      </c>
      <c r="C225" s="5" t="s">
        <v>16</v>
      </c>
      <c r="D225" s="5">
        <v>23</v>
      </c>
      <c r="E225" s="5">
        <v>977</v>
      </c>
      <c r="F225" s="5">
        <v>22471</v>
      </c>
    </row>
    <row r="226" spans="1:6" x14ac:dyDescent="0.4">
      <c r="A226" s="5" t="s">
        <v>9</v>
      </c>
      <c r="B226" s="5" t="s">
        <v>12</v>
      </c>
      <c r="C226" s="5" t="s">
        <v>13</v>
      </c>
      <c r="D226" s="5">
        <v>48</v>
      </c>
      <c r="E226" s="5">
        <v>357</v>
      </c>
      <c r="F226" s="5">
        <v>17136</v>
      </c>
    </row>
    <row r="227" spans="1:6" x14ac:dyDescent="0.4">
      <c r="A227" s="5" t="s">
        <v>17</v>
      </c>
      <c r="B227" s="5" t="s">
        <v>15</v>
      </c>
      <c r="C227" s="5" t="s">
        <v>24</v>
      </c>
      <c r="D227" s="5">
        <v>22</v>
      </c>
      <c r="E227" s="5">
        <v>1869</v>
      </c>
      <c r="F227" s="5">
        <v>41118</v>
      </c>
    </row>
    <row r="228" spans="1:6" x14ac:dyDescent="0.4">
      <c r="A228" s="5" t="s">
        <v>9</v>
      </c>
      <c r="B228" s="5" t="s">
        <v>15</v>
      </c>
      <c r="C228" s="5" t="s">
        <v>23</v>
      </c>
      <c r="D228" s="5">
        <v>22</v>
      </c>
      <c r="E228" s="5">
        <v>480</v>
      </c>
      <c r="F228" s="5">
        <v>10560</v>
      </c>
    </row>
    <row r="229" spans="1:6" x14ac:dyDescent="0.4">
      <c r="A229" s="5" t="s">
        <v>6</v>
      </c>
      <c r="B229" s="5" t="s">
        <v>21</v>
      </c>
      <c r="C229" s="5" t="s">
        <v>24</v>
      </c>
      <c r="D229" s="5">
        <v>38</v>
      </c>
      <c r="E229" s="5">
        <v>1430</v>
      </c>
      <c r="F229" s="5">
        <v>54340</v>
      </c>
    </row>
    <row r="230" spans="1:6" x14ac:dyDescent="0.4">
      <c r="A230" s="5" t="s">
        <v>6</v>
      </c>
      <c r="B230" s="5" t="s">
        <v>10</v>
      </c>
      <c r="C230" s="5" t="s">
        <v>18</v>
      </c>
      <c r="D230" s="5">
        <v>10</v>
      </c>
      <c r="E230" s="5">
        <v>539</v>
      </c>
      <c r="F230" s="5">
        <v>5390</v>
      </c>
    </row>
    <row r="231" spans="1:6" x14ac:dyDescent="0.4">
      <c r="A231" s="5" t="s">
        <v>9</v>
      </c>
      <c r="B231" s="5" t="s">
        <v>15</v>
      </c>
      <c r="C231" s="5" t="s">
        <v>14</v>
      </c>
      <c r="D231" s="5">
        <v>19</v>
      </c>
      <c r="E231" s="5">
        <v>1624</v>
      </c>
      <c r="F231" s="5">
        <v>30856</v>
      </c>
    </row>
    <row r="232" spans="1:6" x14ac:dyDescent="0.4">
      <c r="A232" s="5" t="s">
        <v>19</v>
      </c>
      <c r="B232" s="5" t="s">
        <v>10</v>
      </c>
      <c r="C232" s="5" t="s">
        <v>20</v>
      </c>
      <c r="D232" s="5">
        <v>2</v>
      </c>
      <c r="E232" s="5">
        <v>1607</v>
      </c>
      <c r="F232" s="5">
        <v>3214</v>
      </c>
    </row>
    <row r="233" spans="1:6" x14ac:dyDescent="0.4">
      <c r="A233" s="5" t="s">
        <v>19</v>
      </c>
      <c r="B233" s="5" t="s">
        <v>21</v>
      </c>
      <c r="C233" s="5" t="s">
        <v>20</v>
      </c>
      <c r="D233" s="5">
        <v>20</v>
      </c>
      <c r="E233" s="5">
        <v>939</v>
      </c>
      <c r="F233" s="5">
        <v>18780</v>
      </c>
    </row>
    <row r="234" spans="1:6" x14ac:dyDescent="0.4">
      <c r="A234" s="5" t="s">
        <v>17</v>
      </c>
      <c r="B234" s="5" t="s">
        <v>7</v>
      </c>
      <c r="C234" s="5" t="s">
        <v>8</v>
      </c>
      <c r="D234" s="5">
        <v>38</v>
      </c>
      <c r="E234" s="5">
        <v>927</v>
      </c>
      <c r="F234" s="5">
        <v>35226</v>
      </c>
    </row>
    <row r="235" spans="1:6" x14ac:dyDescent="0.4">
      <c r="A235" s="5" t="s">
        <v>17</v>
      </c>
      <c r="B235" s="5" t="s">
        <v>21</v>
      </c>
      <c r="C235" s="5" t="s">
        <v>24</v>
      </c>
      <c r="D235" s="5">
        <v>24</v>
      </c>
      <c r="E235" s="5">
        <v>448</v>
      </c>
      <c r="F235" s="5">
        <v>10752</v>
      </c>
    </row>
    <row r="236" spans="1:6" x14ac:dyDescent="0.4">
      <c r="A236" s="5" t="s">
        <v>19</v>
      </c>
      <c r="B236" s="5" t="s">
        <v>21</v>
      </c>
      <c r="C236" s="5" t="s">
        <v>11</v>
      </c>
      <c r="D236" s="5">
        <v>16</v>
      </c>
      <c r="E236" s="5">
        <v>118</v>
      </c>
      <c r="F236" s="5">
        <v>1888</v>
      </c>
    </row>
    <row r="237" spans="1:6" x14ac:dyDescent="0.4">
      <c r="A237" s="5" t="s">
        <v>17</v>
      </c>
      <c r="B237" s="5" t="s">
        <v>15</v>
      </c>
      <c r="C237" s="5" t="s">
        <v>24</v>
      </c>
      <c r="D237" s="5">
        <v>17</v>
      </c>
      <c r="E237" s="5">
        <v>689</v>
      </c>
      <c r="F237" s="5">
        <v>11713</v>
      </c>
    </row>
    <row r="238" spans="1:6" x14ac:dyDescent="0.4">
      <c r="A238" s="5" t="s">
        <v>17</v>
      </c>
      <c r="B238" s="5" t="s">
        <v>21</v>
      </c>
      <c r="C238" s="5" t="s">
        <v>14</v>
      </c>
      <c r="D238" s="5">
        <v>47</v>
      </c>
      <c r="E238" s="5">
        <v>1922</v>
      </c>
      <c r="F238" s="5">
        <v>90334</v>
      </c>
    </row>
    <row r="239" spans="1:6" x14ac:dyDescent="0.4">
      <c r="A239" s="5" t="s">
        <v>6</v>
      </c>
      <c r="B239" s="5" t="s">
        <v>12</v>
      </c>
      <c r="C239" s="5" t="s">
        <v>18</v>
      </c>
      <c r="D239" s="5">
        <v>16</v>
      </c>
      <c r="E239" s="5">
        <v>866</v>
      </c>
      <c r="F239" s="5">
        <v>13856</v>
      </c>
    </row>
    <row r="240" spans="1:6" x14ac:dyDescent="0.4">
      <c r="A240" s="5" t="s">
        <v>6</v>
      </c>
      <c r="B240" s="5" t="s">
        <v>15</v>
      </c>
      <c r="C240" s="5" t="s">
        <v>23</v>
      </c>
      <c r="D240" s="5">
        <v>41</v>
      </c>
      <c r="E240" s="5">
        <v>1923</v>
      </c>
      <c r="F240" s="5">
        <v>78843</v>
      </c>
    </row>
    <row r="241" spans="1:6" x14ac:dyDescent="0.4">
      <c r="A241" s="5" t="s">
        <v>17</v>
      </c>
      <c r="B241" s="5" t="s">
        <v>15</v>
      </c>
      <c r="C241" s="5" t="s">
        <v>20</v>
      </c>
      <c r="D241" s="5">
        <v>22</v>
      </c>
      <c r="E241" s="5">
        <v>545</v>
      </c>
      <c r="F241" s="5">
        <v>11990</v>
      </c>
    </row>
    <row r="242" spans="1:6" x14ac:dyDescent="0.4">
      <c r="A242" s="5" t="s">
        <v>19</v>
      </c>
      <c r="B242" s="5" t="s">
        <v>15</v>
      </c>
      <c r="C242" s="5" t="s">
        <v>23</v>
      </c>
      <c r="D242" s="5">
        <v>11</v>
      </c>
      <c r="E242" s="5">
        <v>1216</v>
      </c>
      <c r="F242" s="5">
        <v>13376</v>
      </c>
    </row>
    <row r="243" spans="1:6" x14ac:dyDescent="0.4">
      <c r="A243" s="5" t="s">
        <v>6</v>
      </c>
      <c r="B243" s="5" t="s">
        <v>10</v>
      </c>
      <c r="C243" s="5" t="s">
        <v>13</v>
      </c>
      <c r="D243" s="5">
        <v>3</v>
      </c>
      <c r="E243" s="5">
        <v>1196</v>
      </c>
      <c r="F243" s="5">
        <v>3588</v>
      </c>
    </row>
    <row r="244" spans="1:6" x14ac:dyDescent="0.4">
      <c r="A244" s="5" t="s">
        <v>6</v>
      </c>
      <c r="B244" s="5" t="s">
        <v>10</v>
      </c>
      <c r="C244" s="5" t="s">
        <v>13</v>
      </c>
      <c r="D244" s="5">
        <v>25</v>
      </c>
      <c r="E244" s="5">
        <v>1454</v>
      </c>
      <c r="F244" s="5">
        <v>36350</v>
      </c>
    </row>
    <row r="245" spans="1:6" x14ac:dyDescent="0.4">
      <c r="A245" s="5" t="s">
        <v>17</v>
      </c>
      <c r="B245" s="5" t="s">
        <v>7</v>
      </c>
      <c r="C245" s="5" t="s">
        <v>11</v>
      </c>
      <c r="D245" s="5">
        <v>42</v>
      </c>
      <c r="E245" s="5">
        <v>398</v>
      </c>
      <c r="F245" s="5">
        <v>16716</v>
      </c>
    </row>
    <row r="246" spans="1:6" x14ac:dyDescent="0.4">
      <c r="A246" s="5" t="s">
        <v>17</v>
      </c>
      <c r="B246" s="5" t="s">
        <v>7</v>
      </c>
      <c r="C246" s="5" t="s">
        <v>14</v>
      </c>
      <c r="D246" s="5">
        <v>48</v>
      </c>
      <c r="E246" s="5">
        <v>1180</v>
      </c>
      <c r="F246" s="5">
        <v>56640</v>
      </c>
    </row>
    <row r="247" spans="1:6" x14ac:dyDescent="0.4">
      <c r="A247" s="5" t="s">
        <v>19</v>
      </c>
      <c r="B247" s="5" t="s">
        <v>12</v>
      </c>
      <c r="C247" s="5" t="s">
        <v>22</v>
      </c>
      <c r="D247" s="5">
        <v>45</v>
      </c>
      <c r="E247" s="5">
        <v>1923</v>
      </c>
      <c r="F247" s="5">
        <v>86535</v>
      </c>
    </row>
    <row r="248" spans="1:6" x14ac:dyDescent="0.4">
      <c r="A248" s="5" t="s">
        <v>9</v>
      </c>
      <c r="B248" s="5" t="s">
        <v>12</v>
      </c>
      <c r="C248" s="5" t="s">
        <v>23</v>
      </c>
      <c r="D248" s="5">
        <v>11</v>
      </c>
      <c r="E248" s="5">
        <v>356</v>
      </c>
      <c r="F248" s="5">
        <v>3916</v>
      </c>
    </row>
    <row r="249" spans="1:6" x14ac:dyDescent="0.4">
      <c r="A249" s="5" t="s">
        <v>17</v>
      </c>
      <c r="B249" s="5" t="s">
        <v>21</v>
      </c>
      <c r="C249" s="5" t="s">
        <v>20</v>
      </c>
      <c r="D249" s="5">
        <v>22</v>
      </c>
      <c r="E249" s="5">
        <v>1835</v>
      </c>
      <c r="F249" s="5">
        <v>40370</v>
      </c>
    </row>
    <row r="250" spans="1:6" x14ac:dyDescent="0.4">
      <c r="A250" s="5" t="s">
        <v>17</v>
      </c>
      <c r="B250" s="5" t="s">
        <v>15</v>
      </c>
      <c r="C250" s="5" t="s">
        <v>11</v>
      </c>
      <c r="D250" s="5">
        <v>14</v>
      </c>
      <c r="E250" s="5">
        <v>425</v>
      </c>
      <c r="F250" s="5">
        <v>5950</v>
      </c>
    </row>
    <row r="251" spans="1:6" x14ac:dyDescent="0.4">
      <c r="A251" s="5" t="s">
        <v>6</v>
      </c>
      <c r="B251" s="5" t="s">
        <v>21</v>
      </c>
      <c r="C251" s="5" t="s">
        <v>18</v>
      </c>
      <c r="D251" s="5">
        <v>22</v>
      </c>
      <c r="E251" s="5">
        <v>929</v>
      </c>
      <c r="F251" s="5">
        <v>20438</v>
      </c>
    </row>
    <row r="252" spans="1:6" x14ac:dyDescent="0.4">
      <c r="A252" s="5" t="s">
        <v>17</v>
      </c>
      <c r="B252" s="5" t="s">
        <v>10</v>
      </c>
      <c r="C252" s="5" t="s">
        <v>22</v>
      </c>
      <c r="D252" s="5">
        <v>4</v>
      </c>
      <c r="E252" s="5">
        <v>971</v>
      </c>
      <c r="F252" s="5">
        <v>3884</v>
      </c>
    </row>
    <row r="253" spans="1:6" x14ac:dyDescent="0.4">
      <c r="A253" s="5" t="s">
        <v>17</v>
      </c>
      <c r="B253" s="5" t="s">
        <v>7</v>
      </c>
      <c r="C253" s="5" t="s">
        <v>20</v>
      </c>
      <c r="D253" s="5">
        <v>21</v>
      </c>
      <c r="E253" s="5">
        <v>1840</v>
      </c>
      <c r="F253" s="5">
        <v>38640</v>
      </c>
    </row>
    <row r="254" spans="1:6" x14ac:dyDescent="0.4">
      <c r="A254" s="5" t="s">
        <v>19</v>
      </c>
      <c r="B254" s="5" t="s">
        <v>10</v>
      </c>
      <c r="C254" s="5" t="s">
        <v>13</v>
      </c>
      <c r="D254" s="5">
        <v>20</v>
      </c>
      <c r="E254" s="5">
        <v>1202</v>
      </c>
      <c r="F254" s="5">
        <v>24040</v>
      </c>
    </row>
    <row r="255" spans="1:6" x14ac:dyDescent="0.4">
      <c r="A255" s="5" t="s">
        <v>6</v>
      </c>
      <c r="B255" s="5" t="s">
        <v>10</v>
      </c>
      <c r="C255" s="5" t="s">
        <v>13</v>
      </c>
      <c r="D255" s="5">
        <v>50</v>
      </c>
      <c r="E255" s="5">
        <v>1391</v>
      </c>
      <c r="F255" s="5">
        <v>69550</v>
      </c>
    </row>
    <row r="256" spans="1:6" x14ac:dyDescent="0.4">
      <c r="A256" s="5" t="s">
        <v>19</v>
      </c>
      <c r="B256" s="5" t="s">
        <v>12</v>
      </c>
      <c r="C256" s="5" t="s">
        <v>23</v>
      </c>
      <c r="D256" s="5">
        <v>34</v>
      </c>
      <c r="E256" s="5">
        <v>1356</v>
      </c>
      <c r="F256" s="5">
        <v>46104</v>
      </c>
    </row>
    <row r="257" spans="1:6" x14ac:dyDescent="0.4">
      <c r="A257" s="5" t="s">
        <v>9</v>
      </c>
      <c r="B257" s="5" t="s">
        <v>10</v>
      </c>
      <c r="C257" s="5" t="s">
        <v>11</v>
      </c>
      <c r="D257" s="5">
        <v>15</v>
      </c>
      <c r="E257" s="5">
        <v>391</v>
      </c>
      <c r="F257" s="5">
        <v>5865</v>
      </c>
    </row>
    <row r="258" spans="1:6" x14ac:dyDescent="0.4">
      <c r="A258" s="5" t="s">
        <v>17</v>
      </c>
      <c r="B258" s="5" t="s">
        <v>10</v>
      </c>
      <c r="C258" s="5" t="s">
        <v>23</v>
      </c>
      <c r="D258" s="5">
        <v>32</v>
      </c>
      <c r="E258" s="5">
        <v>264</v>
      </c>
      <c r="F258" s="5">
        <v>8448</v>
      </c>
    </row>
    <row r="259" spans="1:6" x14ac:dyDescent="0.4">
      <c r="A259" s="5" t="s">
        <v>9</v>
      </c>
      <c r="B259" s="5" t="s">
        <v>15</v>
      </c>
      <c r="C259" s="5" t="s">
        <v>20</v>
      </c>
      <c r="D259" s="5">
        <v>21</v>
      </c>
      <c r="E259" s="5">
        <v>806</v>
      </c>
      <c r="F259" s="5">
        <v>16926</v>
      </c>
    </row>
    <row r="260" spans="1:6" x14ac:dyDescent="0.4">
      <c r="A260" s="5" t="s">
        <v>17</v>
      </c>
      <c r="B260" s="5" t="s">
        <v>12</v>
      </c>
      <c r="C260" s="5" t="s">
        <v>13</v>
      </c>
      <c r="D260" s="5">
        <v>48</v>
      </c>
      <c r="E260" s="5">
        <v>989</v>
      </c>
      <c r="F260" s="5">
        <v>47472</v>
      </c>
    </row>
    <row r="261" spans="1:6" x14ac:dyDescent="0.4">
      <c r="A261" s="5" t="s">
        <v>6</v>
      </c>
      <c r="B261" s="5" t="s">
        <v>21</v>
      </c>
      <c r="C261" s="5" t="s">
        <v>24</v>
      </c>
      <c r="D261" s="5">
        <v>33</v>
      </c>
      <c r="E261" s="5">
        <v>1872</v>
      </c>
      <c r="F261" s="5">
        <v>61776</v>
      </c>
    </row>
    <row r="262" spans="1:6" x14ac:dyDescent="0.4">
      <c r="A262" s="5" t="s">
        <v>9</v>
      </c>
      <c r="B262" s="5" t="s">
        <v>21</v>
      </c>
      <c r="C262" s="5" t="s">
        <v>22</v>
      </c>
      <c r="D262" s="5">
        <v>1</v>
      </c>
      <c r="E262" s="5">
        <v>719</v>
      </c>
      <c r="F262" s="5">
        <v>719</v>
      </c>
    </row>
    <row r="263" spans="1:6" x14ac:dyDescent="0.4">
      <c r="A263" s="5" t="s">
        <v>9</v>
      </c>
      <c r="B263" s="5" t="s">
        <v>15</v>
      </c>
      <c r="C263" s="5" t="s">
        <v>18</v>
      </c>
      <c r="D263" s="5">
        <v>12</v>
      </c>
      <c r="E263" s="5">
        <v>249</v>
      </c>
      <c r="F263" s="5">
        <v>2988</v>
      </c>
    </row>
    <row r="264" spans="1:6" x14ac:dyDescent="0.4">
      <c r="A264" s="5" t="s">
        <v>19</v>
      </c>
      <c r="B264" s="5" t="s">
        <v>12</v>
      </c>
      <c r="C264" s="5" t="s">
        <v>16</v>
      </c>
      <c r="D264" s="5">
        <v>49</v>
      </c>
      <c r="E264" s="5">
        <v>825</v>
      </c>
      <c r="F264" s="5">
        <v>40425</v>
      </c>
    </row>
    <row r="265" spans="1:6" x14ac:dyDescent="0.4">
      <c r="A265" s="5" t="s">
        <v>17</v>
      </c>
      <c r="B265" s="5" t="s">
        <v>15</v>
      </c>
      <c r="C265" s="5" t="s">
        <v>16</v>
      </c>
      <c r="D265" s="5">
        <v>31</v>
      </c>
      <c r="E265" s="5">
        <v>1238</v>
      </c>
      <c r="F265" s="5">
        <v>38378</v>
      </c>
    </row>
    <row r="266" spans="1:6" x14ac:dyDescent="0.4">
      <c r="A266" s="5" t="s">
        <v>6</v>
      </c>
      <c r="B266" s="5" t="s">
        <v>21</v>
      </c>
      <c r="C266" s="5" t="s">
        <v>14</v>
      </c>
      <c r="D266" s="5">
        <v>15</v>
      </c>
      <c r="E266" s="5">
        <v>1114</v>
      </c>
      <c r="F266" s="5">
        <v>16710</v>
      </c>
    </row>
    <row r="267" spans="1:6" x14ac:dyDescent="0.4">
      <c r="A267" s="5" t="s">
        <v>19</v>
      </c>
      <c r="B267" s="5" t="s">
        <v>21</v>
      </c>
      <c r="C267" s="5" t="s">
        <v>24</v>
      </c>
      <c r="D267" s="5">
        <v>39</v>
      </c>
      <c r="E267" s="5">
        <v>1814</v>
      </c>
      <c r="F267" s="5">
        <v>70746</v>
      </c>
    </row>
    <row r="268" spans="1:6" x14ac:dyDescent="0.4">
      <c r="A268" s="5" t="s">
        <v>9</v>
      </c>
      <c r="B268" s="5" t="s">
        <v>21</v>
      </c>
      <c r="C268" s="5" t="s">
        <v>16</v>
      </c>
      <c r="D268" s="5">
        <v>6</v>
      </c>
      <c r="E268" s="5">
        <v>172</v>
      </c>
      <c r="F268" s="5">
        <v>1032</v>
      </c>
    </row>
    <row r="269" spans="1:6" x14ac:dyDescent="0.4">
      <c r="A269" s="5" t="s">
        <v>17</v>
      </c>
      <c r="B269" s="5" t="s">
        <v>10</v>
      </c>
      <c r="C269" s="5" t="s">
        <v>13</v>
      </c>
      <c r="D269" s="5">
        <v>38</v>
      </c>
      <c r="E269" s="5">
        <v>1108</v>
      </c>
      <c r="F269" s="5">
        <v>42104</v>
      </c>
    </row>
    <row r="270" spans="1:6" x14ac:dyDescent="0.4">
      <c r="A270" s="5" t="s">
        <v>9</v>
      </c>
      <c r="B270" s="5" t="s">
        <v>21</v>
      </c>
      <c r="C270" s="5" t="s">
        <v>16</v>
      </c>
      <c r="D270" s="5">
        <v>22</v>
      </c>
      <c r="E270" s="5">
        <v>1927</v>
      </c>
      <c r="F270" s="5">
        <v>42394</v>
      </c>
    </row>
    <row r="271" spans="1:6" x14ac:dyDescent="0.4">
      <c r="A271" s="5" t="s">
        <v>9</v>
      </c>
      <c r="B271" s="5" t="s">
        <v>21</v>
      </c>
      <c r="C271" s="5" t="s">
        <v>16</v>
      </c>
      <c r="D271" s="5">
        <v>25</v>
      </c>
      <c r="E271" s="5">
        <v>923</v>
      </c>
      <c r="F271" s="5">
        <v>23075</v>
      </c>
    </row>
    <row r="272" spans="1:6" x14ac:dyDescent="0.4">
      <c r="A272" s="5" t="s">
        <v>17</v>
      </c>
      <c r="B272" s="5" t="s">
        <v>21</v>
      </c>
      <c r="C272" s="5" t="s">
        <v>14</v>
      </c>
      <c r="D272" s="5">
        <v>43</v>
      </c>
      <c r="E272" s="5">
        <v>1815</v>
      </c>
      <c r="F272" s="5">
        <v>78045</v>
      </c>
    </row>
    <row r="273" spans="1:6" x14ac:dyDescent="0.4">
      <c r="A273" s="5" t="s">
        <v>19</v>
      </c>
      <c r="B273" s="5" t="s">
        <v>7</v>
      </c>
      <c r="C273" s="5" t="s">
        <v>24</v>
      </c>
      <c r="D273" s="5">
        <v>30</v>
      </c>
      <c r="E273" s="5">
        <v>1456</v>
      </c>
      <c r="F273" s="5">
        <v>43680</v>
      </c>
    </row>
    <row r="274" spans="1:6" x14ac:dyDescent="0.4">
      <c r="A274" s="5" t="s">
        <v>19</v>
      </c>
      <c r="B274" s="5" t="s">
        <v>10</v>
      </c>
      <c r="C274" s="5" t="s">
        <v>11</v>
      </c>
      <c r="D274" s="5">
        <v>13</v>
      </c>
      <c r="E274" s="5">
        <v>414</v>
      </c>
      <c r="F274" s="5">
        <v>5382</v>
      </c>
    </row>
    <row r="275" spans="1:6" x14ac:dyDescent="0.4">
      <c r="A275" s="5" t="s">
        <v>17</v>
      </c>
      <c r="B275" s="5" t="s">
        <v>12</v>
      </c>
      <c r="C275" s="5" t="s">
        <v>8</v>
      </c>
      <c r="D275" s="5">
        <v>3</v>
      </c>
      <c r="E275" s="5">
        <v>626</v>
      </c>
      <c r="F275" s="5">
        <v>1878</v>
      </c>
    </row>
    <row r="276" spans="1:6" x14ac:dyDescent="0.4">
      <c r="A276" s="5" t="s">
        <v>19</v>
      </c>
      <c r="B276" s="5" t="s">
        <v>7</v>
      </c>
      <c r="C276" s="5" t="s">
        <v>22</v>
      </c>
      <c r="D276" s="5">
        <v>33</v>
      </c>
      <c r="E276" s="5">
        <v>1084</v>
      </c>
      <c r="F276" s="5">
        <v>35772</v>
      </c>
    </row>
    <row r="277" spans="1:6" x14ac:dyDescent="0.4">
      <c r="A277" s="5" t="s">
        <v>6</v>
      </c>
      <c r="B277" s="5" t="s">
        <v>15</v>
      </c>
      <c r="C277" s="5" t="s">
        <v>23</v>
      </c>
      <c r="D277" s="5">
        <v>44</v>
      </c>
      <c r="E277" s="5">
        <v>555</v>
      </c>
      <c r="F277" s="5">
        <v>24420</v>
      </c>
    </row>
    <row r="278" spans="1:6" x14ac:dyDescent="0.4">
      <c r="A278" s="5" t="s">
        <v>19</v>
      </c>
      <c r="B278" s="5" t="s">
        <v>7</v>
      </c>
      <c r="C278" s="5" t="s">
        <v>14</v>
      </c>
      <c r="D278" s="5">
        <v>15</v>
      </c>
      <c r="E278" s="5">
        <v>1992</v>
      </c>
      <c r="F278" s="5">
        <v>29880</v>
      </c>
    </row>
    <row r="279" spans="1:6" x14ac:dyDescent="0.4">
      <c r="A279" s="5" t="s">
        <v>19</v>
      </c>
      <c r="B279" s="5" t="s">
        <v>21</v>
      </c>
      <c r="C279" s="5" t="s">
        <v>14</v>
      </c>
      <c r="D279" s="5">
        <v>8</v>
      </c>
      <c r="E279" s="5">
        <v>1845</v>
      </c>
      <c r="F279" s="5">
        <v>14760</v>
      </c>
    </row>
    <row r="280" spans="1:6" x14ac:dyDescent="0.4">
      <c r="A280" s="5" t="s">
        <v>17</v>
      </c>
      <c r="B280" s="5" t="s">
        <v>21</v>
      </c>
      <c r="C280" s="5" t="s">
        <v>8</v>
      </c>
      <c r="D280" s="5">
        <v>46</v>
      </c>
      <c r="E280" s="5">
        <v>1964</v>
      </c>
      <c r="F280" s="5">
        <v>90344</v>
      </c>
    </row>
    <row r="281" spans="1:6" x14ac:dyDescent="0.4">
      <c r="A281" s="5" t="s">
        <v>9</v>
      </c>
      <c r="B281" s="5" t="s">
        <v>15</v>
      </c>
      <c r="C281" s="5" t="s">
        <v>14</v>
      </c>
      <c r="D281" s="5">
        <v>44</v>
      </c>
      <c r="E281" s="5">
        <v>1849</v>
      </c>
      <c r="F281" s="5">
        <v>81356</v>
      </c>
    </row>
    <row r="282" spans="1:6" x14ac:dyDescent="0.4">
      <c r="A282" s="5" t="s">
        <v>19</v>
      </c>
      <c r="B282" s="5" t="s">
        <v>7</v>
      </c>
      <c r="C282" s="5" t="s">
        <v>22</v>
      </c>
      <c r="D282" s="5">
        <v>36</v>
      </c>
      <c r="E282" s="5">
        <v>903</v>
      </c>
      <c r="F282" s="5">
        <v>32508</v>
      </c>
    </row>
    <row r="283" spans="1:6" x14ac:dyDescent="0.4">
      <c r="A283" s="5" t="s">
        <v>9</v>
      </c>
      <c r="B283" s="5" t="s">
        <v>21</v>
      </c>
      <c r="C283" s="5" t="s">
        <v>18</v>
      </c>
      <c r="D283" s="5">
        <v>21</v>
      </c>
      <c r="E283" s="5">
        <v>953</v>
      </c>
      <c r="F283" s="5">
        <v>20013</v>
      </c>
    </row>
    <row r="284" spans="1:6" x14ac:dyDescent="0.4">
      <c r="A284" s="5" t="s">
        <v>9</v>
      </c>
      <c r="B284" s="5" t="s">
        <v>10</v>
      </c>
      <c r="C284" s="5" t="s">
        <v>20</v>
      </c>
      <c r="D284" s="5">
        <v>12</v>
      </c>
      <c r="E284" s="5">
        <v>1306</v>
      </c>
      <c r="F284" s="5">
        <v>15672</v>
      </c>
    </row>
    <row r="285" spans="1:6" x14ac:dyDescent="0.4">
      <c r="A285" s="5" t="s">
        <v>19</v>
      </c>
      <c r="B285" s="5" t="s">
        <v>21</v>
      </c>
      <c r="C285" s="5" t="s">
        <v>14</v>
      </c>
      <c r="D285" s="5">
        <v>42</v>
      </c>
      <c r="E285" s="5">
        <v>1566</v>
      </c>
      <c r="F285" s="5">
        <v>65772</v>
      </c>
    </row>
    <row r="286" spans="1:6" x14ac:dyDescent="0.4">
      <c r="A286" s="5" t="s">
        <v>9</v>
      </c>
      <c r="B286" s="5" t="s">
        <v>7</v>
      </c>
      <c r="C286" s="5" t="s">
        <v>24</v>
      </c>
      <c r="D286" s="5">
        <v>30</v>
      </c>
      <c r="E286" s="5">
        <v>318</v>
      </c>
      <c r="F286" s="5">
        <v>9540</v>
      </c>
    </row>
    <row r="287" spans="1:6" x14ac:dyDescent="0.4">
      <c r="A287" s="5" t="s">
        <v>6</v>
      </c>
      <c r="B287" s="5" t="s">
        <v>21</v>
      </c>
      <c r="C287" s="5" t="s">
        <v>16</v>
      </c>
      <c r="D287" s="5">
        <v>28</v>
      </c>
      <c r="E287" s="5">
        <v>1261</v>
      </c>
      <c r="F287" s="5">
        <v>35308</v>
      </c>
    </row>
    <row r="288" spans="1:6" x14ac:dyDescent="0.4">
      <c r="A288" s="5" t="s">
        <v>17</v>
      </c>
      <c r="B288" s="5" t="s">
        <v>10</v>
      </c>
      <c r="C288" s="5" t="s">
        <v>22</v>
      </c>
      <c r="D288" s="5">
        <v>20</v>
      </c>
      <c r="E288" s="5">
        <v>546</v>
      </c>
      <c r="F288" s="5">
        <v>10920</v>
      </c>
    </row>
    <row r="289" spans="1:6" x14ac:dyDescent="0.4">
      <c r="A289" s="5" t="s">
        <v>9</v>
      </c>
      <c r="B289" s="5" t="s">
        <v>15</v>
      </c>
      <c r="C289" s="5" t="s">
        <v>11</v>
      </c>
      <c r="D289" s="5">
        <v>19</v>
      </c>
      <c r="E289" s="5">
        <v>1728</v>
      </c>
      <c r="F289" s="5">
        <v>32832</v>
      </c>
    </row>
    <row r="290" spans="1:6" x14ac:dyDescent="0.4">
      <c r="A290" s="5" t="s">
        <v>19</v>
      </c>
      <c r="B290" s="5" t="s">
        <v>15</v>
      </c>
      <c r="C290" s="5" t="s">
        <v>11</v>
      </c>
      <c r="D290" s="5">
        <v>34</v>
      </c>
      <c r="E290" s="5">
        <v>1985</v>
      </c>
      <c r="F290" s="5">
        <v>67490</v>
      </c>
    </row>
    <row r="291" spans="1:6" x14ac:dyDescent="0.4">
      <c r="A291" s="5" t="s">
        <v>17</v>
      </c>
      <c r="B291" s="5" t="s">
        <v>21</v>
      </c>
      <c r="C291" s="5" t="s">
        <v>24</v>
      </c>
      <c r="D291" s="5">
        <v>1</v>
      </c>
      <c r="E291" s="5">
        <v>300</v>
      </c>
      <c r="F291" s="5">
        <v>300</v>
      </c>
    </row>
    <row r="292" spans="1:6" x14ac:dyDescent="0.4">
      <c r="A292" s="5" t="s">
        <v>19</v>
      </c>
      <c r="B292" s="5" t="s">
        <v>12</v>
      </c>
      <c r="C292" s="5" t="s">
        <v>18</v>
      </c>
      <c r="D292" s="5">
        <v>31</v>
      </c>
      <c r="E292" s="5">
        <v>906</v>
      </c>
      <c r="F292" s="5">
        <v>28086</v>
      </c>
    </row>
    <row r="293" spans="1:6" x14ac:dyDescent="0.4">
      <c r="A293" s="5" t="s">
        <v>17</v>
      </c>
      <c r="B293" s="5" t="s">
        <v>21</v>
      </c>
      <c r="C293" s="5" t="s">
        <v>11</v>
      </c>
      <c r="D293" s="5">
        <v>2</v>
      </c>
      <c r="E293" s="5">
        <v>1098</v>
      </c>
      <c r="F293" s="5">
        <v>2196</v>
      </c>
    </row>
    <row r="294" spans="1:6" x14ac:dyDescent="0.4">
      <c r="A294" s="5" t="s">
        <v>17</v>
      </c>
      <c r="B294" s="5" t="s">
        <v>12</v>
      </c>
      <c r="C294" s="5" t="s">
        <v>13</v>
      </c>
      <c r="D294" s="5">
        <v>6</v>
      </c>
      <c r="E294" s="5">
        <v>111</v>
      </c>
      <c r="F294" s="5">
        <v>666</v>
      </c>
    </row>
    <row r="295" spans="1:6" x14ac:dyDescent="0.4">
      <c r="A295" s="5" t="s">
        <v>17</v>
      </c>
      <c r="B295" s="5" t="s">
        <v>12</v>
      </c>
      <c r="C295" s="5" t="s">
        <v>16</v>
      </c>
      <c r="D295" s="5">
        <v>23</v>
      </c>
      <c r="E295" s="5">
        <v>1624</v>
      </c>
      <c r="F295" s="5">
        <v>37352</v>
      </c>
    </row>
    <row r="296" spans="1:6" x14ac:dyDescent="0.4">
      <c r="A296" s="5" t="s">
        <v>19</v>
      </c>
      <c r="B296" s="5" t="s">
        <v>12</v>
      </c>
      <c r="C296" s="5" t="s">
        <v>18</v>
      </c>
      <c r="D296" s="5">
        <v>46</v>
      </c>
      <c r="E296" s="5">
        <v>1946</v>
      </c>
      <c r="F296" s="5">
        <v>89516</v>
      </c>
    </row>
    <row r="297" spans="1:6" x14ac:dyDescent="0.4">
      <c r="A297" s="5" t="s">
        <v>17</v>
      </c>
      <c r="B297" s="5" t="s">
        <v>7</v>
      </c>
      <c r="C297" s="5" t="s">
        <v>16</v>
      </c>
      <c r="D297" s="5">
        <v>15</v>
      </c>
      <c r="E297" s="5">
        <v>1732</v>
      </c>
      <c r="F297" s="5">
        <v>25980</v>
      </c>
    </row>
    <row r="298" spans="1:6" x14ac:dyDescent="0.4">
      <c r="A298" s="5" t="s">
        <v>6</v>
      </c>
      <c r="B298" s="5" t="s">
        <v>10</v>
      </c>
      <c r="C298" s="5" t="s">
        <v>22</v>
      </c>
      <c r="D298" s="5">
        <v>18</v>
      </c>
      <c r="E298" s="5">
        <v>569</v>
      </c>
      <c r="F298" s="5">
        <v>10242</v>
      </c>
    </row>
    <row r="299" spans="1:6" x14ac:dyDescent="0.4">
      <c r="A299" s="5" t="s">
        <v>6</v>
      </c>
      <c r="B299" s="5" t="s">
        <v>10</v>
      </c>
      <c r="C299" s="5" t="s">
        <v>20</v>
      </c>
      <c r="D299" s="5">
        <v>1</v>
      </c>
      <c r="E299" s="5">
        <v>681</v>
      </c>
      <c r="F299" s="5">
        <v>681</v>
      </c>
    </row>
    <row r="300" spans="1:6" x14ac:dyDescent="0.4">
      <c r="A300" s="5" t="s">
        <v>9</v>
      </c>
      <c r="B300" s="5" t="s">
        <v>15</v>
      </c>
      <c r="C300" s="5" t="s">
        <v>22</v>
      </c>
      <c r="D300" s="5">
        <v>48</v>
      </c>
      <c r="E300" s="5">
        <v>205</v>
      </c>
      <c r="F300" s="5">
        <v>9840</v>
      </c>
    </row>
    <row r="301" spans="1:6" x14ac:dyDescent="0.4">
      <c r="A301" s="5" t="s">
        <v>19</v>
      </c>
      <c r="B301" s="5" t="s">
        <v>15</v>
      </c>
      <c r="C301" s="5" t="s">
        <v>11</v>
      </c>
      <c r="D301" s="5">
        <v>50</v>
      </c>
      <c r="E301" s="5">
        <v>1209</v>
      </c>
      <c r="F301" s="5">
        <v>60450</v>
      </c>
    </row>
    <row r="302" spans="1:6" x14ac:dyDescent="0.4">
      <c r="A302" s="5" t="s">
        <v>6</v>
      </c>
      <c r="B302" s="5" t="s">
        <v>12</v>
      </c>
      <c r="C302" s="5" t="s">
        <v>20</v>
      </c>
      <c r="D302" s="5">
        <v>36</v>
      </c>
      <c r="E302" s="5">
        <v>1008</v>
      </c>
      <c r="F302" s="5">
        <v>36288</v>
      </c>
    </row>
    <row r="303" spans="1:6" x14ac:dyDescent="0.4">
      <c r="A303" s="5" t="s">
        <v>19</v>
      </c>
      <c r="B303" s="5" t="s">
        <v>7</v>
      </c>
      <c r="C303" s="5" t="s">
        <v>14</v>
      </c>
      <c r="D303" s="5">
        <v>9</v>
      </c>
      <c r="E303" s="5">
        <v>411</v>
      </c>
      <c r="F303" s="5">
        <v>3699</v>
      </c>
    </row>
    <row r="304" spans="1:6" x14ac:dyDescent="0.4">
      <c r="A304" s="5" t="s">
        <v>6</v>
      </c>
      <c r="B304" s="5" t="s">
        <v>21</v>
      </c>
      <c r="C304" s="5" t="s">
        <v>18</v>
      </c>
      <c r="D304" s="5">
        <v>11</v>
      </c>
      <c r="E304" s="5">
        <v>1189</v>
      </c>
      <c r="F304" s="5">
        <v>13079</v>
      </c>
    </row>
    <row r="305" spans="1:6" x14ac:dyDescent="0.4">
      <c r="A305" s="5" t="s">
        <v>9</v>
      </c>
      <c r="B305" s="5" t="s">
        <v>7</v>
      </c>
      <c r="C305" s="5" t="s">
        <v>20</v>
      </c>
      <c r="D305" s="5">
        <v>25</v>
      </c>
      <c r="E305" s="5">
        <v>1781</v>
      </c>
      <c r="F305" s="5">
        <v>44525</v>
      </c>
    </row>
    <row r="306" spans="1:6" x14ac:dyDescent="0.4">
      <c r="A306" s="5" t="s">
        <v>19</v>
      </c>
      <c r="B306" s="5" t="s">
        <v>15</v>
      </c>
      <c r="C306" s="5" t="s">
        <v>22</v>
      </c>
      <c r="D306" s="5">
        <v>32</v>
      </c>
      <c r="E306" s="5">
        <v>1865</v>
      </c>
      <c r="F306" s="5">
        <v>59680</v>
      </c>
    </row>
    <row r="307" spans="1:6" x14ac:dyDescent="0.4">
      <c r="A307" s="5" t="s">
        <v>9</v>
      </c>
      <c r="B307" s="5" t="s">
        <v>7</v>
      </c>
      <c r="C307" s="5" t="s">
        <v>18</v>
      </c>
      <c r="D307" s="5">
        <v>31</v>
      </c>
      <c r="E307" s="5">
        <v>1060</v>
      </c>
      <c r="F307" s="5">
        <v>32860</v>
      </c>
    </row>
    <row r="308" spans="1:6" x14ac:dyDescent="0.4">
      <c r="A308" s="5" t="s">
        <v>9</v>
      </c>
      <c r="B308" s="5" t="s">
        <v>12</v>
      </c>
      <c r="C308" s="5" t="s">
        <v>14</v>
      </c>
      <c r="D308" s="5">
        <v>33</v>
      </c>
      <c r="E308" s="5">
        <v>1041</v>
      </c>
      <c r="F308" s="5">
        <v>34353</v>
      </c>
    </row>
    <row r="309" spans="1:6" x14ac:dyDescent="0.4">
      <c r="A309" s="5" t="s">
        <v>17</v>
      </c>
      <c r="B309" s="5" t="s">
        <v>21</v>
      </c>
      <c r="C309" s="5" t="s">
        <v>11</v>
      </c>
      <c r="D309" s="5">
        <v>43</v>
      </c>
      <c r="E309" s="5">
        <v>570</v>
      </c>
      <c r="F309" s="5">
        <v>24510</v>
      </c>
    </row>
    <row r="310" spans="1:6" x14ac:dyDescent="0.4">
      <c r="A310" s="5" t="s">
        <v>19</v>
      </c>
      <c r="B310" s="5" t="s">
        <v>21</v>
      </c>
      <c r="C310" s="5" t="s">
        <v>22</v>
      </c>
      <c r="D310" s="5">
        <v>21</v>
      </c>
      <c r="E310" s="5">
        <v>478</v>
      </c>
      <c r="F310" s="5">
        <v>10038</v>
      </c>
    </row>
    <row r="311" spans="1:6" x14ac:dyDescent="0.4">
      <c r="A311" s="5" t="s">
        <v>19</v>
      </c>
      <c r="B311" s="5" t="s">
        <v>21</v>
      </c>
      <c r="C311" s="5" t="s">
        <v>22</v>
      </c>
      <c r="D311" s="5">
        <v>21</v>
      </c>
      <c r="E311" s="5">
        <v>1025</v>
      </c>
      <c r="F311" s="5">
        <v>21525</v>
      </c>
    </row>
    <row r="312" spans="1:6" x14ac:dyDescent="0.4">
      <c r="A312" s="5" t="s">
        <v>6</v>
      </c>
      <c r="B312" s="5" t="s">
        <v>21</v>
      </c>
      <c r="C312" s="5" t="s">
        <v>24</v>
      </c>
      <c r="D312" s="5">
        <v>34</v>
      </c>
      <c r="E312" s="5">
        <v>1032</v>
      </c>
      <c r="F312" s="5">
        <v>35088</v>
      </c>
    </row>
    <row r="313" spans="1:6" x14ac:dyDescent="0.4">
      <c r="A313" s="5" t="s">
        <v>9</v>
      </c>
      <c r="B313" s="5" t="s">
        <v>15</v>
      </c>
      <c r="C313" s="5" t="s">
        <v>16</v>
      </c>
      <c r="D313" s="5">
        <v>44</v>
      </c>
      <c r="E313" s="5">
        <v>1622</v>
      </c>
      <c r="F313" s="5">
        <v>71368</v>
      </c>
    </row>
    <row r="314" spans="1:6" x14ac:dyDescent="0.4">
      <c r="A314" s="5" t="s">
        <v>9</v>
      </c>
      <c r="B314" s="5" t="s">
        <v>15</v>
      </c>
      <c r="C314" s="5" t="s">
        <v>22</v>
      </c>
      <c r="D314" s="5">
        <v>5</v>
      </c>
      <c r="E314" s="5">
        <v>1745</v>
      </c>
      <c r="F314" s="5">
        <v>8725</v>
      </c>
    </row>
    <row r="315" spans="1:6" x14ac:dyDescent="0.4">
      <c r="A315" s="5" t="s">
        <v>6</v>
      </c>
      <c r="B315" s="5" t="s">
        <v>7</v>
      </c>
      <c r="C315" s="5" t="s">
        <v>18</v>
      </c>
      <c r="D315" s="5">
        <v>25</v>
      </c>
      <c r="E315" s="5">
        <v>1030</v>
      </c>
      <c r="F315" s="5">
        <v>25750</v>
      </c>
    </row>
    <row r="316" spans="1:6" x14ac:dyDescent="0.4">
      <c r="A316" s="5" t="s">
        <v>19</v>
      </c>
      <c r="B316" s="5" t="s">
        <v>7</v>
      </c>
      <c r="C316" s="5" t="s">
        <v>16</v>
      </c>
      <c r="D316" s="5">
        <v>27</v>
      </c>
      <c r="E316" s="5">
        <v>1557</v>
      </c>
      <c r="F316" s="5">
        <v>42039</v>
      </c>
    </row>
    <row r="317" spans="1:6" x14ac:dyDescent="0.4">
      <c r="A317" s="5" t="s">
        <v>19</v>
      </c>
      <c r="B317" s="5" t="s">
        <v>7</v>
      </c>
      <c r="C317" s="5" t="s">
        <v>16</v>
      </c>
      <c r="D317" s="5">
        <v>38</v>
      </c>
      <c r="E317" s="5">
        <v>998</v>
      </c>
      <c r="F317" s="5">
        <v>37924</v>
      </c>
    </row>
    <row r="318" spans="1:6" x14ac:dyDescent="0.4">
      <c r="A318" s="5" t="s">
        <v>17</v>
      </c>
      <c r="B318" s="5" t="s">
        <v>15</v>
      </c>
      <c r="C318" s="5" t="s">
        <v>20</v>
      </c>
      <c r="D318" s="5">
        <v>16</v>
      </c>
      <c r="E318" s="5">
        <v>1792</v>
      </c>
      <c r="F318" s="5">
        <v>28672</v>
      </c>
    </row>
    <row r="319" spans="1:6" x14ac:dyDescent="0.4">
      <c r="A319" s="5" t="s">
        <v>9</v>
      </c>
      <c r="B319" s="5" t="s">
        <v>21</v>
      </c>
      <c r="C319" s="5" t="s">
        <v>14</v>
      </c>
      <c r="D319" s="5">
        <v>1</v>
      </c>
      <c r="E319" s="5">
        <v>1380</v>
      </c>
      <c r="F319" s="5">
        <v>1380</v>
      </c>
    </row>
    <row r="320" spans="1:6" x14ac:dyDescent="0.4">
      <c r="A320" s="5" t="s">
        <v>19</v>
      </c>
      <c r="B320" s="5" t="s">
        <v>15</v>
      </c>
      <c r="C320" s="5" t="s">
        <v>24</v>
      </c>
      <c r="D320" s="5">
        <v>6</v>
      </c>
      <c r="E320" s="5">
        <v>1151</v>
      </c>
      <c r="F320" s="5">
        <v>6906</v>
      </c>
    </row>
    <row r="321" spans="1:6" x14ac:dyDescent="0.4">
      <c r="A321" s="5" t="s">
        <v>6</v>
      </c>
      <c r="B321" s="5" t="s">
        <v>12</v>
      </c>
      <c r="C321" s="5" t="s">
        <v>14</v>
      </c>
      <c r="D321" s="5">
        <v>19</v>
      </c>
      <c r="E321" s="5">
        <v>601</v>
      </c>
      <c r="F321" s="5">
        <v>11419</v>
      </c>
    </row>
    <row r="322" spans="1:6" x14ac:dyDescent="0.4">
      <c r="A322" s="5" t="s">
        <v>6</v>
      </c>
      <c r="B322" s="5" t="s">
        <v>21</v>
      </c>
      <c r="C322" s="5" t="s">
        <v>16</v>
      </c>
      <c r="D322" s="5">
        <v>31</v>
      </c>
      <c r="E322" s="5">
        <v>1948</v>
      </c>
      <c r="F322" s="5">
        <v>60388</v>
      </c>
    </row>
    <row r="323" spans="1:6" x14ac:dyDescent="0.4">
      <c r="A323" s="5" t="s">
        <v>9</v>
      </c>
      <c r="B323" s="5" t="s">
        <v>10</v>
      </c>
      <c r="C323" s="5" t="s">
        <v>22</v>
      </c>
      <c r="D323" s="5">
        <v>32</v>
      </c>
      <c r="E323" s="5">
        <v>603</v>
      </c>
      <c r="F323" s="5">
        <v>19296</v>
      </c>
    </row>
    <row r="324" spans="1:6" x14ac:dyDescent="0.4">
      <c r="A324" s="5" t="s">
        <v>9</v>
      </c>
      <c r="B324" s="5" t="s">
        <v>15</v>
      </c>
      <c r="C324" s="5" t="s">
        <v>8</v>
      </c>
      <c r="D324" s="5">
        <v>24</v>
      </c>
      <c r="E324" s="5">
        <v>1818</v>
      </c>
      <c r="F324" s="5">
        <v>43632</v>
      </c>
    </row>
    <row r="325" spans="1:6" x14ac:dyDescent="0.4">
      <c r="A325" s="5" t="s">
        <v>19</v>
      </c>
      <c r="B325" s="5" t="s">
        <v>15</v>
      </c>
      <c r="C325" s="5" t="s">
        <v>24</v>
      </c>
      <c r="D325" s="5">
        <v>34</v>
      </c>
      <c r="E325" s="5">
        <v>1388</v>
      </c>
      <c r="F325" s="5">
        <v>47192</v>
      </c>
    </row>
    <row r="326" spans="1:6" x14ac:dyDescent="0.4">
      <c r="A326" s="5" t="s">
        <v>9</v>
      </c>
      <c r="B326" s="5" t="s">
        <v>15</v>
      </c>
      <c r="C326" s="5" t="s">
        <v>11</v>
      </c>
      <c r="D326" s="5">
        <v>22</v>
      </c>
      <c r="E326" s="5">
        <v>296</v>
      </c>
      <c r="F326" s="5">
        <v>6512</v>
      </c>
    </row>
    <row r="327" spans="1:6" x14ac:dyDescent="0.4">
      <c r="A327" s="5" t="s">
        <v>19</v>
      </c>
      <c r="B327" s="5" t="s">
        <v>10</v>
      </c>
      <c r="C327" s="5" t="s">
        <v>13</v>
      </c>
      <c r="D327" s="5">
        <v>4</v>
      </c>
      <c r="E327" s="5">
        <v>1222</v>
      </c>
      <c r="F327" s="5">
        <v>4888</v>
      </c>
    </row>
    <row r="328" spans="1:6" x14ac:dyDescent="0.4">
      <c r="A328" s="5" t="s">
        <v>6</v>
      </c>
      <c r="B328" s="5" t="s">
        <v>10</v>
      </c>
      <c r="C328" s="5" t="s">
        <v>13</v>
      </c>
      <c r="D328" s="5">
        <v>22</v>
      </c>
      <c r="E328" s="5">
        <v>610</v>
      </c>
      <c r="F328" s="5">
        <v>13420</v>
      </c>
    </row>
    <row r="329" spans="1:6" x14ac:dyDescent="0.4">
      <c r="A329" s="5" t="s">
        <v>6</v>
      </c>
      <c r="B329" s="5" t="s">
        <v>15</v>
      </c>
      <c r="C329" s="5" t="s">
        <v>18</v>
      </c>
      <c r="D329" s="5">
        <v>45</v>
      </c>
      <c r="E329" s="5">
        <v>1312</v>
      </c>
      <c r="F329" s="5">
        <v>59040</v>
      </c>
    </row>
    <row r="330" spans="1:6" x14ac:dyDescent="0.4">
      <c r="A330" s="5" t="s">
        <v>17</v>
      </c>
      <c r="B330" s="5" t="s">
        <v>21</v>
      </c>
      <c r="C330" s="5" t="s">
        <v>20</v>
      </c>
      <c r="D330" s="5">
        <v>11</v>
      </c>
      <c r="E330" s="5">
        <v>1486</v>
      </c>
      <c r="F330" s="5">
        <v>16346</v>
      </c>
    </row>
    <row r="331" spans="1:6" x14ac:dyDescent="0.4">
      <c r="A331" s="5" t="s">
        <v>19</v>
      </c>
      <c r="B331" s="5" t="s">
        <v>15</v>
      </c>
      <c r="C331" s="5" t="s">
        <v>24</v>
      </c>
      <c r="D331" s="5">
        <v>43</v>
      </c>
      <c r="E331" s="5">
        <v>864</v>
      </c>
      <c r="F331" s="5">
        <v>37152</v>
      </c>
    </row>
    <row r="332" spans="1:6" x14ac:dyDescent="0.4">
      <c r="A332" s="5" t="s">
        <v>17</v>
      </c>
      <c r="B332" s="5" t="s">
        <v>15</v>
      </c>
      <c r="C332" s="5" t="s">
        <v>8</v>
      </c>
      <c r="D332" s="5">
        <v>12</v>
      </c>
      <c r="E332" s="5">
        <v>1668</v>
      </c>
      <c r="F332" s="5">
        <v>20016</v>
      </c>
    </row>
    <row r="333" spans="1:6" x14ac:dyDescent="0.4">
      <c r="A333" s="5" t="s">
        <v>17</v>
      </c>
      <c r="B333" s="5" t="s">
        <v>15</v>
      </c>
      <c r="C333" s="5" t="s">
        <v>13</v>
      </c>
      <c r="D333" s="5">
        <v>28</v>
      </c>
      <c r="E333" s="5">
        <v>1024</v>
      </c>
      <c r="F333" s="5">
        <v>28672</v>
      </c>
    </row>
    <row r="334" spans="1:6" x14ac:dyDescent="0.4">
      <c r="A334" s="5" t="s">
        <v>19</v>
      </c>
      <c r="B334" s="5" t="s">
        <v>12</v>
      </c>
      <c r="C334" s="5" t="s">
        <v>11</v>
      </c>
      <c r="D334" s="5">
        <v>13</v>
      </c>
      <c r="E334" s="5">
        <v>747</v>
      </c>
      <c r="F334" s="5">
        <v>9711</v>
      </c>
    </row>
    <row r="335" spans="1:6" x14ac:dyDescent="0.4">
      <c r="A335" s="5" t="s">
        <v>9</v>
      </c>
      <c r="B335" s="5" t="s">
        <v>12</v>
      </c>
      <c r="C335" s="5" t="s">
        <v>11</v>
      </c>
      <c r="D335" s="5">
        <v>4</v>
      </c>
      <c r="E335" s="5">
        <v>1029</v>
      </c>
      <c r="F335" s="5">
        <v>4116</v>
      </c>
    </row>
    <row r="336" spans="1:6" x14ac:dyDescent="0.4">
      <c r="A336" s="5" t="s">
        <v>17</v>
      </c>
      <c r="B336" s="5" t="s">
        <v>12</v>
      </c>
      <c r="C336" s="5" t="s">
        <v>14</v>
      </c>
      <c r="D336" s="5">
        <v>29</v>
      </c>
      <c r="E336" s="5">
        <v>1307</v>
      </c>
      <c r="F336" s="5">
        <v>37903</v>
      </c>
    </row>
    <row r="337" spans="1:6" x14ac:dyDescent="0.4">
      <c r="A337" s="5" t="s">
        <v>17</v>
      </c>
      <c r="B337" s="5" t="s">
        <v>7</v>
      </c>
      <c r="C337" s="5" t="s">
        <v>16</v>
      </c>
      <c r="D337" s="5">
        <v>30</v>
      </c>
      <c r="E337" s="5">
        <v>1050</v>
      </c>
      <c r="F337" s="5">
        <v>31500</v>
      </c>
    </row>
    <row r="338" spans="1:6" x14ac:dyDescent="0.4">
      <c r="A338" s="5" t="s">
        <v>19</v>
      </c>
      <c r="B338" s="5" t="s">
        <v>10</v>
      </c>
      <c r="C338" s="5" t="s">
        <v>11</v>
      </c>
      <c r="D338" s="5">
        <v>49</v>
      </c>
      <c r="E338" s="5">
        <v>1586</v>
      </c>
      <c r="F338" s="5">
        <v>77714</v>
      </c>
    </row>
    <row r="339" spans="1:6" x14ac:dyDescent="0.4">
      <c r="A339" s="5" t="s">
        <v>6</v>
      </c>
      <c r="B339" s="5" t="s">
        <v>21</v>
      </c>
      <c r="C339" s="5" t="s">
        <v>14</v>
      </c>
      <c r="D339" s="5">
        <v>50</v>
      </c>
      <c r="E339" s="5">
        <v>104</v>
      </c>
      <c r="F339" s="5">
        <v>5200</v>
      </c>
    </row>
    <row r="340" spans="1:6" x14ac:dyDescent="0.4">
      <c r="A340" s="5" t="s">
        <v>9</v>
      </c>
      <c r="B340" s="5" t="s">
        <v>15</v>
      </c>
      <c r="C340" s="5" t="s">
        <v>13</v>
      </c>
      <c r="D340" s="5">
        <v>26</v>
      </c>
      <c r="E340" s="5">
        <v>1694</v>
      </c>
      <c r="F340" s="5">
        <v>44044</v>
      </c>
    </row>
    <row r="341" spans="1:6" x14ac:dyDescent="0.4">
      <c r="A341" s="5" t="s">
        <v>9</v>
      </c>
      <c r="B341" s="5" t="s">
        <v>15</v>
      </c>
      <c r="C341" s="5" t="s">
        <v>8</v>
      </c>
      <c r="D341" s="5">
        <v>14</v>
      </c>
      <c r="E341" s="5">
        <v>790</v>
      </c>
      <c r="F341" s="5">
        <v>11060</v>
      </c>
    </row>
    <row r="342" spans="1:6" x14ac:dyDescent="0.4">
      <c r="A342" s="5" t="s">
        <v>6</v>
      </c>
      <c r="B342" s="5" t="s">
        <v>21</v>
      </c>
      <c r="C342" s="5" t="s">
        <v>8</v>
      </c>
      <c r="D342" s="5">
        <v>47</v>
      </c>
      <c r="E342" s="5">
        <v>1973</v>
      </c>
      <c r="F342" s="5">
        <v>92731</v>
      </c>
    </row>
    <row r="343" spans="1:6" x14ac:dyDescent="0.4">
      <c r="A343" s="5" t="s">
        <v>17</v>
      </c>
      <c r="B343" s="5" t="s">
        <v>12</v>
      </c>
      <c r="C343" s="5" t="s">
        <v>16</v>
      </c>
      <c r="D343" s="5">
        <v>46</v>
      </c>
      <c r="E343" s="5">
        <v>1557</v>
      </c>
      <c r="F343" s="5">
        <v>71622</v>
      </c>
    </row>
    <row r="344" spans="1:6" x14ac:dyDescent="0.4">
      <c r="A344" s="5" t="s">
        <v>17</v>
      </c>
      <c r="B344" s="5" t="s">
        <v>21</v>
      </c>
      <c r="C344" s="5" t="s">
        <v>13</v>
      </c>
      <c r="D344" s="5">
        <v>39</v>
      </c>
      <c r="E344" s="5">
        <v>866</v>
      </c>
      <c r="F344" s="5">
        <v>33774</v>
      </c>
    </row>
    <row r="345" spans="1:6" x14ac:dyDescent="0.4">
      <c r="A345" s="5" t="s">
        <v>19</v>
      </c>
      <c r="B345" s="5" t="s">
        <v>12</v>
      </c>
      <c r="C345" s="5" t="s">
        <v>20</v>
      </c>
      <c r="D345" s="5">
        <v>18</v>
      </c>
      <c r="E345" s="5">
        <v>1217</v>
      </c>
      <c r="F345" s="5">
        <v>21906</v>
      </c>
    </row>
    <row r="346" spans="1:6" x14ac:dyDescent="0.4">
      <c r="A346" s="5" t="s">
        <v>17</v>
      </c>
      <c r="B346" s="5" t="s">
        <v>7</v>
      </c>
      <c r="C346" s="5" t="s">
        <v>22</v>
      </c>
      <c r="D346" s="5">
        <v>22</v>
      </c>
      <c r="E346" s="5">
        <v>363</v>
      </c>
      <c r="F346" s="5">
        <v>7986</v>
      </c>
    </row>
    <row r="347" spans="1:6" x14ac:dyDescent="0.4">
      <c r="A347" s="5" t="s">
        <v>17</v>
      </c>
      <c r="B347" s="5" t="s">
        <v>7</v>
      </c>
      <c r="C347" s="5" t="s">
        <v>23</v>
      </c>
      <c r="D347" s="5">
        <v>21</v>
      </c>
      <c r="E347" s="5">
        <v>308</v>
      </c>
      <c r="F347" s="5">
        <v>6468</v>
      </c>
    </row>
    <row r="348" spans="1:6" x14ac:dyDescent="0.4">
      <c r="A348" s="5" t="s">
        <v>6</v>
      </c>
      <c r="B348" s="5" t="s">
        <v>7</v>
      </c>
      <c r="C348" s="5" t="s">
        <v>24</v>
      </c>
      <c r="D348" s="5">
        <v>24</v>
      </c>
      <c r="E348" s="5">
        <v>1666</v>
      </c>
      <c r="F348" s="5">
        <v>39984</v>
      </c>
    </row>
    <row r="349" spans="1:6" x14ac:dyDescent="0.4">
      <c r="A349" s="5" t="s">
        <v>17</v>
      </c>
      <c r="B349" s="5" t="s">
        <v>15</v>
      </c>
      <c r="C349" s="5" t="s">
        <v>13</v>
      </c>
      <c r="D349" s="5">
        <v>45</v>
      </c>
      <c r="E349" s="5">
        <v>1758</v>
      </c>
      <c r="F349" s="5">
        <v>79110</v>
      </c>
    </row>
    <row r="350" spans="1:6" x14ac:dyDescent="0.4">
      <c r="A350" s="5" t="s">
        <v>17</v>
      </c>
      <c r="B350" s="5" t="s">
        <v>21</v>
      </c>
      <c r="C350" s="5" t="s">
        <v>8</v>
      </c>
      <c r="D350" s="5">
        <v>9</v>
      </c>
      <c r="E350" s="5">
        <v>1355</v>
      </c>
      <c r="F350" s="5">
        <v>12195</v>
      </c>
    </row>
    <row r="351" spans="1:6" x14ac:dyDescent="0.4">
      <c r="A351" s="5" t="s">
        <v>17</v>
      </c>
      <c r="B351" s="5" t="s">
        <v>12</v>
      </c>
      <c r="C351" s="5" t="s">
        <v>20</v>
      </c>
      <c r="D351" s="5">
        <v>3</v>
      </c>
      <c r="E351" s="5">
        <v>1689</v>
      </c>
      <c r="F351" s="5">
        <v>5067</v>
      </c>
    </row>
    <row r="352" spans="1:6" x14ac:dyDescent="0.4">
      <c r="A352" s="5" t="s">
        <v>19</v>
      </c>
      <c r="B352" s="5" t="s">
        <v>10</v>
      </c>
      <c r="C352" s="5" t="s">
        <v>20</v>
      </c>
      <c r="D352" s="5">
        <v>39</v>
      </c>
      <c r="E352" s="5">
        <v>1602</v>
      </c>
      <c r="F352" s="5">
        <v>62478</v>
      </c>
    </row>
    <row r="353" spans="1:6" x14ac:dyDescent="0.4">
      <c r="A353" s="5" t="s">
        <v>6</v>
      </c>
      <c r="B353" s="5" t="s">
        <v>7</v>
      </c>
      <c r="C353" s="5" t="s">
        <v>8</v>
      </c>
      <c r="D353" s="5">
        <v>20</v>
      </c>
      <c r="E353" s="5">
        <v>534</v>
      </c>
      <c r="F353" s="5">
        <v>10680</v>
      </c>
    </row>
    <row r="354" spans="1:6" x14ac:dyDescent="0.4">
      <c r="A354" s="5" t="s">
        <v>19</v>
      </c>
      <c r="B354" s="5" t="s">
        <v>15</v>
      </c>
      <c r="C354" s="5" t="s">
        <v>11</v>
      </c>
      <c r="D354" s="5">
        <v>1</v>
      </c>
      <c r="E354" s="5">
        <v>298</v>
      </c>
      <c r="F354" s="5">
        <v>298</v>
      </c>
    </row>
    <row r="355" spans="1:6" x14ac:dyDescent="0.4">
      <c r="A355" s="5" t="s">
        <v>17</v>
      </c>
      <c r="B355" s="5" t="s">
        <v>15</v>
      </c>
      <c r="C355" s="5" t="s">
        <v>11</v>
      </c>
      <c r="D355" s="5">
        <v>29</v>
      </c>
      <c r="E355" s="5">
        <v>226</v>
      </c>
      <c r="F355" s="5">
        <v>6554</v>
      </c>
    </row>
    <row r="356" spans="1:6" x14ac:dyDescent="0.4">
      <c r="A356" s="5" t="s">
        <v>9</v>
      </c>
      <c r="B356" s="5" t="s">
        <v>10</v>
      </c>
      <c r="C356" s="5" t="s">
        <v>24</v>
      </c>
      <c r="D356" s="5">
        <v>19</v>
      </c>
      <c r="E356" s="5">
        <v>1002</v>
      </c>
      <c r="F356" s="5">
        <v>19038</v>
      </c>
    </row>
    <row r="357" spans="1:6" x14ac:dyDescent="0.4">
      <c r="A357" s="5" t="s">
        <v>17</v>
      </c>
      <c r="B357" s="5" t="s">
        <v>21</v>
      </c>
      <c r="C357" s="5" t="s">
        <v>13</v>
      </c>
      <c r="D357" s="5">
        <v>45</v>
      </c>
      <c r="E357" s="5">
        <v>1169</v>
      </c>
      <c r="F357" s="5">
        <v>52605</v>
      </c>
    </row>
    <row r="358" spans="1:6" x14ac:dyDescent="0.4">
      <c r="A358" s="5" t="s">
        <v>17</v>
      </c>
      <c r="B358" s="5" t="s">
        <v>21</v>
      </c>
      <c r="C358" s="5" t="s">
        <v>18</v>
      </c>
      <c r="D358" s="5">
        <v>2</v>
      </c>
      <c r="E358" s="5">
        <v>996</v>
      </c>
      <c r="F358" s="5">
        <v>1992</v>
      </c>
    </row>
    <row r="359" spans="1:6" x14ac:dyDescent="0.4">
      <c r="A359" s="5" t="s">
        <v>19</v>
      </c>
      <c r="B359" s="5" t="s">
        <v>10</v>
      </c>
      <c r="C359" s="5" t="s">
        <v>22</v>
      </c>
      <c r="D359" s="5">
        <v>23</v>
      </c>
      <c r="E359" s="5">
        <v>1496</v>
      </c>
      <c r="F359" s="5">
        <v>34408</v>
      </c>
    </row>
    <row r="360" spans="1:6" x14ac:dyDescent="0.4">
      <c r="A360" s="5" t="s">
        <v>6</v>
      </c>
      <c r="B360" s="5" t="s">
        <v>12</v>
      </c>
      <c r="C360" s="5" t="s">
        <v>23</v>
      </c>
      <c r="D360" s="5">
        <v>27</v>
      </c>
      <c r="E360" s="5">
        <v>1087</v>
      </c>
      <c r="F360" s="5">
        <v>29349</v>
      </c>
    </row>
    <row r="361" spans="1:6" x14ac:dyDescent="0.4">
      <c r="A361" s="5" t="s">
        <v>6</v>
      </c>
      <c r="B361" s="5" t="s">
        <v>21</v>
      </c>
      <c r="C361" s="5" t="s">
        <v>22</v>
      </c>
      <c r="D361" s="5">
        <v>18</v>
      </c>
      <c r="E361" s="5">
        <v>1665</v>
      </c>
      <c r="F361" s="5">
        <v>29970</v>
      </c>
    </row>
    <row r="362" spans="1:6" x14ac:dyDescent="0.4">
      <c r="A362" s="5" t="s">
        <v>9</v>
      </c>
      <c r="B362" s="5" t="s">
        <v>21</v>
      </c>
      <c r="C362" s="5" t="s">
        <v>20</v>
      </c>
      <c r="D362" s="5">
        <v>7</v>
      </c>
      <c r="E362" s="5">
        <v>1546</v>
      </c>
      <c r="F362" s="5">
        <v>10822</v>
      </c>
    </row>
    <row r="363" spans="1:6" x14ac:dyDescent="0.4">
      <c r="A363" s="5" t="s">
        <v>19</v>
      </c>
      <c r="B363" s="5" t="s">
        <v>10</v>
      </c>
      <c r="C363" s="5" t="s">
        <v>11</v>
      </c>
      <c r="D363" s="5">
        <v>28</v>
      </c>
      <c r="E363" s="5">
        <v>729</v>
      </c>
      <c r="F363" s="5">
        <v>20412</v>
      </c>
    </row>
    <row r="364" spans="1:6" x14ac:dyDescent="0.4">
      <c r="A364" s="5" t="s">
        <v>19</v>
      </c>
      <c r="B364" s="5" t="s">
        <v>10</v>
      </c>
      <c r="C364" s="5" t="s">
        <v>14</v>
      </c>
      <c r="D364" s="5">
        <v>23</v>
      </c>
      <c r="E364" s="5">
        <v>969</v>
      </c>
      <c r="F364" s="5">
        <v>22287</v>
      </c>
    </row>
    <row r="365" spans="1:6" x14ac:dyDescent="0.4">
      <c r="A365" s="5" t="s">
        <v>6</v>
      </c>
      <c r="B365" s="5" t="s">
        <v>10</v>
      </c>
      <c r="C365" s="5" t="s">
        <v>11</v>
      </c>
      <c r="D365" s="5">
        <v>33</v>
      </c>
      <c r="E365" s="5">
        <v>1883</v>
      </c>
      <c r="F365" s="5">
        <v>62139</v>
      </c>
    </row>
    <row r="366" spans="1:6" x14ac:dyDescent="0.4">
      <c r="A366" s="5" t="s">
        <v>17</v>
      </c>
      <c r="B366" s="5" t="s">
        <v>7</v>
      </c>
      <c r="C366" s="5" t="s">
        <v>20</v>
      </c>
      <c r="D366" s="5">
        <v>5</v>
      </c>
      <c r="E366" s="5">
        <v>780</v>
      </c>
      <c r="F366" s="5">
        <v>3900</v>
      </c>
    </row>
    <row r="367" spans="1:6" x14ac:dyDescent="0.4">
      <c r="A367" s="5" t="s">
        <v>19</v>
      </c>
      <c r="B367" s="5" t="s">
        <v>7</v>
      </c>
      <c r="C367" s="5" t="s">
        <v>22</v>
      </c>
      <c r="D367" s="5">
        <v>50</v>
      </c>
      <c r="E367" s="5">
        <v>1087</v>
      </c>
      <c r="F367" s="5">
        <v>54350</v>
      </c>
    </row>
    <row r="368" spans="1:6" x14ac:dyDescent="0.4">
      <c r="A368" s="5" t="s">
        <v>6</v>
      </c>
      <c r="B368" s="5" t="s">
        <v>15</v>
      </c>
      <c r="C368" s="5" t="s">
        <v>8</v>
      </c>
      <c r="D368" s="5">
        <v>30</v>
      </c>
      <c r="E368" s="5">
        <v>872</v>
      </c>
      <c r="F368" s="5">
        <v>26160</v>
      </c>
    </row>
    <row r="369" spans="1:6" x14ac:dyDescent="0.4">
      <c r="A369" s="5" t="s">
        <v>19</v>
      </c>
      <c r="B369" s="5" t="s">
        <v>15</v>
      </c>
      <c r="C369" s="5" t="s">
        <v>13</v>
      </c>
      <c r="D369" s="5">
        <v>34</v>
      </c>
      <c r="E369" s="5">
        <v>916</v>
      </c>
      <c r="F369" s="5">
        <v>31144</v>
      </c>
    </row>
    <row r="370" spans="1:6" x14ac:dyDescent="0.4">
      <c r="A370" s="5" t="s">
        <v>17</v>
      </c>
      <c r="B370" s="5" t="s">
        <v>12</v>
      </c>
      <c r="C370" s="5" t="s">
        <v>24</v>
      </c>
      <c r="D370" s="5">
        <v>10</v>
      </c>
      <c r="E370" s="5">
        <v>1498</v>
      </c>
      <c r="F370" s="5">
        <v>14980</v>
      </c>
    </row>
    <row r="371" spans="1:6" x14ac:dyDescent="0.4">
      <c r="A371" s="5" t="s">
        <v>17</v>
      </c>
      <c r="B371" s="5" t="s">
        <v>21</v>
      </c>
      <c r="C371" s="5" t="s">
        <v>13</v>
      </c>
      <c r="D371" s="5">
        <v>43</v>
      </c>
      <c r="E371" s="5">
        <v>846</v>
      </c>
      <c r="F371" s="5">
        <v>36378</v>
      </c>
    </row>
    <row r="372" spans="1:6" x14ac:dyDescent="0.4">
      <c r="A372" s="5" t="s">
        <v>6</v>
      </c>
      <c r="B372" s="5" t="s">
        <v>15</v>
      </c>
      <c r="C372" s="5" t="s">
        <v>20</v>
      </c>
      <c r="D372" s="5">
        <v>21</v>
      </c>
      <c r="E372" s="5">
        <v>1596</v>
      </c>
      <c r="F372" s="5">
        <v>33516</v>
      </c>
    </row>
    <row r="373" spans="1:6" x14ac:dyDescent="0.4">
      <c r="A373" s="5" t="s">
        <v>19</v>
      </c>
      <c r="B373" s="5" t="s">
        <v>10</v>
      </c>
      <c r="C373" s="5" t="s">
        <v>8</v>
      </c>
      <c r="D373" s="5">
        <v>31</v>
      </c>
      <c r="E373" s="5">
        <v>1766</v>
      </c>
      <c r="F373" s="5">
        <v>54746</v>
      </c>
    </row>
    <row r="374" spans="1:6" x14ac:dyDescent="0.4">
      <c r="A374" s="5" t="s">
        <v>9</v>
      </c>
      <c r="B374" s="5" t="s">
        <v>10</v>
      </c>
      <c r="C374" s="5" t="s">
        <v>11</v>
      </c>
      <c r="D374" s="5">
        <v>44</v>
      </c>
      <c r="E374" s="5">
        <v>1310</v>
      </c>
      <c r="F374" s="5">
        <v>57640</v>
      </c>
    </row>
    <row r="375" spans="1:6" x14ac:dyDescent="0.4">
      <c r="A375" s="5" t="s">
        <v>17</v>
      </c>
      <c r="B375" s="5" t="s">
        <v>10</v>
      </c>
      <c r="C375" s="5" t="s">
        <v>13</v>
      </c>
      <c r="D375" s="5">
        <v>32</v>
      </c>
      <c r="E375" s="5">
        <v>494</v>
      </c>
      <c r="F375" s="5">
        <v>15808</v>
      </c>
    </row>
    <row r="376" spans="1:6" x14ac:dyDescent="0.4">
      <c r="A376" s="5" t="s">
        <v>17</v>
      </c>
      <c r="B376" s="5" t="s">
        <v>7</v>
      </c>
      <c r="C376" s="5" t="s">
        <v>23</v>
      </c>
      <c r="D376" s="5">
        <v>9</v>
      </c>
      <c r="E376" s="5">
        <v>1983</v>
      </c>
      <c r="F376" s="5">
        <v>17847</v>
      </c>
    </row>
    <row r="377" spans="1:6" x14ac:dyDescent="0.4">
      <c r="A377" s="5" t="s">
        <v>19</v>
      </c>
      <c r="B377" s="5" t="s">
        <v>12</v>
      </c>
      <c r="C377" s="5" t="s">
        <v>23</v>
      </c>
      <c r="D377" s="5">
        <v>47</v>
      </c>
      <c r="E377" s="5">
        <v>709</v>
      </c>
      <c r="F377" s="5">
        <v>33323</v>
      </c>
    </row>
    <row r="378" spans="1:6" x14ac:dyDescent="0.4">
      <c r="A378" s="5" t="s">
        <v>19</v>
      </c>
      <c r="B378" s="5" t="s">
        <v>7</v>
      </c>
      <c r="C378" s="5" t="s">
        <v>20</v>
      </c>
      <c r="D378" s="5">
        <v>20</v>
      </c>
      <c r="E378" s="5">
        <v>694</v>
      </c>
      <c r="F378" s="5">
        <v>13880</v>
      </c>
    </row>
    <row r="379" spans="1:6" x14ac:dyDescent="0.4">
      <c r="A379" s="5" t="s">
        <v>19</v>
      </c>
      <c r="B379" s="5" t="s">
        <v>10</v>
      </c>
      <c r="C379" s="5" t="s">
        <v>18</v>
      </c>
      <c r="D379" s="5">
        <v>2</v>
      </c>
      <c r="E379" s="5">
        <v>181</v>
      </c>
      <c r="F379" s="5">
        <v>362</v>
      </c>
    </row>
    <row r="380" spans="1:6" x14ac:dyDescent="0.4">
      <c r="A380" s="5" t="s">
        <v>9</v>
      </c>
      <c r="B380" s="5" t="s">
        <v>12</v>
      </c>
      <c r="C380" s="5" t="s">
        <v>8</v>
      </c>
      <c r="D380" s="5">
        <v>40</v>
      </c>
      <c r="E380" s="5">
        <v>1867</v>
      </c>
      <c r="F380" s="5">
        <v>74680</v>
      </c>
    </row>
    <row r="381" spans="1:6" x14ac:dyDescent="0.4">
      <c r="A381" s="5" t="s">
        <v>19</v>
      </c>
      <c r="B381" s="5" t="s">
        <v>7</v>
      </c>
      <c r="C381" s="5" t="s">
        <v>18</v>
      </c>
      <c r="D381" s="5">
        <v>5</v>
      </c>
      <c r="E381" s="5">
        <v>1906</v>
      </c>
      <c r="F381" s="5">
        <v>9530</v>
      </c>
    </row>
    <row r="382" spans="1:6" x14ac:dyDescent="0.4">
      <c r="A382" s="5" t="s">
        <v>19</v>
      </c>
      <c r="B382" s="5" t="s">
        <v>15</v>
      </c>
      <c r="C382" s="5" t="s">
        <v>24</v>
      </c>
      <c r="D382" s="5">
        <v>16</v>
      </c>
      <c r="E382" s="5">
        <v>1763</v>
      </c>
      <c r="F382" s="5">
        <v>28208</v>
      </c>
    </row>
    <row r="383" spans="1:6" x14ac:dyDescent="0.4">
      <c r="A383" s="5" t="s">
        <v>19</v>
      </c>
      <c r="B383" s="5" t="s">
        <v>12</v>
      </c>
      <c r="C383" s="5" t="s">
        <v>24</v>
      </c>
      <c r="D383" s="5">
        <v>31</v>
      </c>
      <c r="E383" s="5">
        <v>522</v>
      </c>
      <c r="F383" s="5">
        <v>16182</v>
      </c>
    </row>
    <row r="384" spans="1:6" x14ac:dyDescent="0.4">
      <c r="A384" s="5" t="s">
        <v>17</v>
      </c>
      <c r="B384" s="5" t="s">
        <v>10</v>
      </c>
      <c r="C384" s="5" t="s">
        <v>22</v>
      </c>
      <c r="D384" s="5">
        <v>29</v>
      </c>
      <c r="E384" s="5">
        <v>299</v>
      </c>
      <c r="F384" s="5">
        <v>8671</v>
      </c>
    </row>
    <row r="385" spans="1:6" x14ac:dyDescent="0.4">
      <c r="A385" s="5" t="s">
        <v>6</v>
      </c>
      <c r="B385" s="5" t="s">
        <v>10</v>
      </c>
      <c r="C385" s="5" t="s">
        <v>8</v>
      </c>
      <c r="D385" s="5">
        <v>50</v>
      </c>
      <c r="E385" s="5">
        <v>101</v>
      </c>
      <c r="F385" s="5">
        <v>5050</v>
      </c>
    </row>
    <row r="386" spans="1:6" x14ac:dyDescent="0.4">
      <c r="A386" s="5" t="s">
        <v>9</v>
      </c>
      <c r="B386" s="5" t="s">
        <v>7</v>
      </c>
      <c r="C386" s="5" t="s">
        <v>13</v>
      </c>
      <c r="D386" s="5">
        <v>46</v>
      </c>
      <c r="E386" s="5">
        <v>1881</v>
      </c>
      <c r="F386" s="5">
        <v>86526</v>
      </c>
    </row>
    <row r="387" spans="1:6" x14ac:dyDescent="0.4">
      <c r="A387" s="5" t="s">
        <v>9</v>
      </c>
      <c r="B387" s="5" t="s">
        <v>10</v>
      </c>
      <c r="C387" s="5" t="s">
        <v>14</v>
      </c>
      <c r="D387" s="5">
        <v>1</v>
      </c>
      <c r="E387" s="5">
        <v>1050</v>
      </c>
      <c r="F387" s="5">
        <v>1050</v>
      </c>
    </row>
    <row r="388" spans="1:6" x14ac:dyDescent="0.4">
      <c r="A388" s="5" t="s">
        <v>6</v>
      </c>
      <c r="B388" s="5" t="s">
        <v>12</v>
      </c>
      <c r="C388" s="5" t="s">
        <v>18</v>
      </c>
      <c r="D388" s="5">
        <v>46</v>
      </c>
      <c r="E388" s="5">
        <v>1247</v>
      </c>
      <c r="F388" s="5">
        <v>57362</v>
      </c>
    </row>
    <row r="389" spans="1:6" x14ac:dyDescent="0.4">
      <c r="A389" s="5" t="s">
        <v>9</v>
      </c>
      <c r="B389" s="5" t="s">
        <v>7</v>
      </c>
      <c r="C389" s="5" t="s">
        <v>24</v>
      </c>
      <c r="D389" s="5">
        <v>36</v>
      </c>
      <c r="E389" s="5">
        <v>125</v>
      </c>
      <c r="F389" s="5">
        <v>4500</v>
      </c>
    </row>
    <row r="390" spans="1:6" x14ac:dyDescent="0.4">
      <c r="A390" s="5" t="s">
        <v>19</v>
      </c>
      <c r="B390" s="5" t="s">
        <v>10</v>
      </c>
      <c r="C390" s="5" t="s">
        <v>16</v>
      </c>
      <c r="D390" s="5">
        <v>29</v>
      </c>
      <c r="E390" s="5">
        <v>970</v>
      </c>
      <c r="F390" s="5">
        <v>28130</v>
      </c>
    </row>
    <row r="391" spans="1:6" x14ac:dyDescent="0.4">
      <c r="A391" s="5" t="s">
        <v>6</v>
      </c>
      <c r="B391" s="5" t="s">
        <v>15</v>
      </c>
      <c r="C391" s="5" t="s">
        <v>22</v>
      </c>
      <c r="D391" s="5">
        <v>18</v>
      </c>
      <c r="E391" s="5">
        <v>158</v>
      </c>
      <c r="F391" s="5">
        <v>2844</v>
      </c>
    </row>
    <row r="392" spans="1:6" x14ac:dyDescent="0.4">
      <c r="A392" s="5" t="s">
        <v>17</v>
      </c>
      <c r="B392" s="5" t="s">
        <v>7</v>
      </c>
      <c r="C392" s="5" t="s">
        <v>20</v>
      </c>
      <c r="D392" s="5">
        <v>18</v>
      </c>
      <c r="E392" s="5">
        <v>1049</v>
      </c>
      <c r="F392" s="5">
        <v>18882</v>
      </c>
    </row>
    <row r="393" spans="1:6" x14ac:dyDescent="0.4">
      <c r="A393" s="5" t="s">
        <v>9</v>
      </c>
      <c r="B393" s="5" t="s">
        <v>15</v>
      </c>
      <c r="C393" s="5" t="s">
        <v>23</v>
      </c>
      <c r="D393" s="5">
        <v>34</v>
      </c>
      <c r="E393" s="5">
        <v>1495</v>
      </c>
      <c r="F393" s="5">
        <v>50830</v>
      </c>
    </row>
    <row r="394" spans="1:6" x14ac:dyDescent="0.4">
      <c r="A394" s="5" t="s">
        <v>17</v>
      </c>
      <c r="B394" s="5" t="s">
        <v>15</v>
      </c>
      <c r="C394" s="5" t="s">
        <v>8</v>
      </c>
      <c r="D394" s="5">
        <v>7</v>
      </c>
      <c r="E394" s="5">
        <v>226</v>
      </c>
      <c r="F394" s="5">
        <v>1582</v>
      </c>
    </row>
    <row r="395" spans="1:6" x14ac:dyDescent="0.4">
      <c r="A395" s="5" t="s">
        <v>9</v>
      </c>
      <c r="B395" s="5" t="s">
        <v>21</v>
      </c>
      <c r="C395" s="5" t="s">
        <v>23</v>
      </c>
      <c r="D395" s="5">
        <v>46</v>
      </c>
      <c r="E395" s="5">
        <v>259</v>
      </c>
      <c r="F395" s="5">
        <v>11914</v>
      </c>
    </row>
    <row r="396" spans="1:6" x14ac:dyDescent="0.4">
      <c r="A396" s="5" t="s">
        <v>19</v>
      </c>
      <c r="B396" s="5" t="s">
        <v>15</v>
      </c>
      <c r="C396" s="5" t="s">
        <v>23</v>
      </c>
      <c r="D396" s="5">
        <v>16</v>
      </c>
      <c r="E396" s="5">
        <v>683</v>
      </c>
      <c r="F396" s="5">
        <v>10928</v>
      </c>
    </row>
    <row r="397" spans="1:6" x14ac:dyDescent="0.4">
      <c r="A397" s="5" t="s">
        <v>6</v>
      </c>
      <c r="B397" s="5" t="s">
        <v>21</v>
      </c>
      <c r="C397" s="5" t="s">
        <v>23</v>
      </c>
      <c r="D397" s="5">
        <v>46</v>
      </c>
      <c r="E397" s="5">
        <v>1848</v>
      </c>
      <c r="F397" s="5">
        <v>85008</v>
      </c>
    </row>
    <row r="398" spans="1:6" x14ac:dyDescent="0.4">
      <c r="A398" s="5" t="s">
        <v>9</v>
      </c>
      <c r="B398" s="5" t="s">
        <v>7</v>
      </c>
      <c r="C398" s="5" t="s">
        <v>8</v>
      </c>
      <c r="D398" s="5">
        <v>31</v>
      </c>
      <c r="E398" s="5">
        <v>973</v>
      </c>
      <c r="F398" s="5">
        <v>30163</v>
      </c>
    </row>
    <row r="399" spans="1:6" x14ac:dyDescent="0.4">
      <c r="A399" s="5" t="s">
        <v>6</v>
      </c>
      <c r="B399" s="5" t="s">
        <v>15</v>
      </c>
      <c r="C399" s="5" t="s">
        <v>20</v>
      </c>
      <c r="D399" s="5">
        <v>18</v>
      </c>
      <c r="E399" s="5">
        <v>1831</v>
      </c>
      <c r="F399" s="5">
        <v>32958</v>
      </c>
    </row>
    <row r="400" spans="1:6" x14ac:dyDescent="0.4">
      <c r="A400" s="5" t="s">
        <v>19</v>
      </c>
      <c r="B400" s="5" t="s">
        <v>7</v>
      </c>
      <c r="C400" s="5" t="s">
        <v>22</v>
      </c>
      <c r="D400" s="5">
        <v>44</v>
      </c>
      <c r="E400" s="5">
        <v>1206</v>
      </c>
      <c r="F400" s="5">
        <v>53064</v>
      </c>
    </row>
    <row r="401" spans="1:6" x14ac:dyDescent="0.4">
      <c r="A401" s="5" t="s">
        <v>19</v>
      </c>
      <c r="B401" s="5" t="s">
        <v>21</v>
      </c>
      <c r="C401" s="5" t="s">
        <v>18</v>
      </c>
      <c r="D401" s="5">
        <v>28</v>
      </c>
      <c r="E401" s="5">
        <v>1733</v>
      </c>
      <c r="F401" s="5">
        <v>48524</v>
      </c>
    </row>
    <row r="402" spans="1:6" x14ac:dyDescent="0.4">
      <c r="A402" s="5" t="s">
        <v>6</v>
      </c>
      <c r="B402" s="5" t="s">
        <v>7</v>
      </c>
      <c r="C402" s="5" t="s">
        <v>24</v>
      </c>
      <c r="D402" s="5">
        <v>9</v>
      </c>
      <c r="E402" s="5">
        <v>707</v>
      </c>
      <c r="F402" s="5">
        <v>6363</v>
      </c>
    </row>
    <row r="403" spans="1:6" x14ac:dyDescent="0.4">
      <c r="A403" s="5" t="s">
        <v>17</v>
      </c>
      <c r="B403" s="5" t="s">
        <v>10</v>
      </c>
      <c r="C403" s="5" t="s">
        <v>23</v>
      </c>
      <c r="D403" s="5">
        <v>44</v>
      </c>
      <c r="E403" s="5">
        <v>1551</v>
      </c>
      <c r="F403" s="5">
        <v>68244</v>
      </c>
    </row>
    <row r="404" spans="1:6" x14ac:dyDescent="0.4">
      <c r="A404" s="5" t="s">
        <v>9</v>
      </c>
      <c r="B404" s="5" t="s">
        <v>15</v>
      </c>
      <c r="C404" s="5" t="s">
        <v>11</v>
      </c>
      <c r="D404" s="5">
        <v>3</v>
      </c>
      <c r="E404" s="5">
        <v>511</v>
      </c>
      <c r="F404" s="5">
        <v>1533</v>
      </c>
    </row>
    <row r="405" spans="1:6" x14ac:dyDescent="0.4">
      <c r="A405" s="5" t="s">
        <v>19</v>
      </c>
      <c r="B405" s="5" t="s">
        <v>12</v>
      </c>
      <c r="C405" s="5" t="s">
        <v>18</v>
      </c>
      <c r="D405" s="5">
        <v>7</v>
      </c>
      <c r="E405" s="5">
        <v>217</v>
      </c>
      <c r="F405" s="5">
        <v>1519</v>
      </c>
    </row>
    <row r="406" spans="1:6" x14ac:dyDescent="0.4">
      <c r="A406" s="5" t="s">
        <v>19</v>
      </c>
      <c r="B406" s="5" t="s">
        <v>7</v>
      </c>
      <c r="C406" s="5" t="s">
        <v>24</v>
      </c>
      <c r="D406" s="5">
        <v>4</v>
      </c>
      <c r="E406" s="5">
        <v>1955</v>
      </c>
      <c r="F406" s="5">
        <v>7820</v>
      </c>
    </row>
    <row r="407" spans="1:6" x14ac:dyDescent="0.4">
      <c r="A407" s="5" t="s">
        <v>6</v>
      </c>
      <c r="B407" s="5" t="s">
        <v>15</v>
      </c>
      <c r="C407" s="5" t="s">
        <v>18</v>
      </c>
      <c r="D407" s="5">
        <v>10</v>
      </c>
      <c r="E407" s="5">
        <v>1039</v>
      </c>
      <c r="F407" s="5">
        <v>10390</v>
      </c>
    </row>
    <row r="408" spans="1:6" x14ac:dyDescent="0.4">
      <c r="A408" s="5" t="s">
        <v>19</v>
      </c>
      <c r="B408" s="5" t="s">
        <v>7</v>
      </c>
      <c r="C408" s="5" t="s">
        <v>14</v>
      </c>
      <c r="D408" s="5">
        <v>28</v>
      </c>
      <c r="E408" s="5">
        <v>470</v>
      </c>
      <c r="F408" s="5">
        <v>13160</v>
      </c>
    </row>
    <row r="409" spans="1:6" x14ac:dyDescent="0.4">
      <c r="A409" s="5" t="s">
        <v>19</v>
      </c>
      <c r="B409" s="5" t="s">
        <v>15</v>
      </c>
      <c r="C409" s="5" t="s">
        <v>8</v>
      </c>
      <c r="D409" s="5">
        <v>19</v>
      </c>
      <c r="E409" s="5">
        <v>1387</v>
      </c>
      <c r="F409" s="5">
        <v>26353</v>
      </c>
    </row>
    <row r="410" spans="1:6" x14ac:dyDescent="0.4">
      <c r="A410" s="5" t="s">
        <v>17</v>
      </c>
      <c r="B410" s="5" t="s">
        <v>12</v>
      </c>
      <c r="C410" s="5" t="s">
        <v>13</v>
      </c>
      <c r="D410" s="5">
        <v>45</v>
      </c>
      <c r="E410" s="5">
        <v>294</v>
      </c>
      <c r="F410" s="5">
        <v>13230</v>
      </c>
    </row>
    <row r="411" spans="1:6" x14ac:dyDescent="0.4">
      <c r="A411" s="5" t="s">
        <v>6</v>
      </c>
      <c r="B411" s="5" t="s">
        <v>10</v>
      </c>
      <c r="C411" s="5" t="s">
        <v>13</v>
      </c>
      <c r="D411" s="5">
        <v>35</v>
      </c>
      <c r="E411" s="5">
        <v>267</v>
      </c>
      <c r="F411" s="5">
        <v>9345</v>
      </c>
    </row>
    <row r="412" spans="1:6" x14ac:dyDescent="0.4">
      <c r="A412" s="5" t="s">
        <v>9</v>
      </c>
      <c r="B412" s="5" t="s">
        <v>10</v>
      </c>
      <c r="C412" s="5" t="s">
        <v>13</v>
      </c>
      <c r="D412" s="5">
        <v>39</v>
      </c>
      <c r="E412" s="5">
        <v>1749</v>
      </c>
      <c r="F412" s="5">
        <v>68211</v>
      </c>
    </row>
    <row r="413" spans="1:6" x14ac:dyDescent="0.4">
      <c r="A413" s="5" t="s">
        <v>9</v>
      </c>
      <c r="B413" s="5" t="s">
        <v>15</v>
      </c>
      <c r="C413" s="5" t="s">
        <v>24</v>
      </c>
      <c r="D413" s="5">
        <v>34</v>
      </c>
      <c r="E413" s="5">
        <v>316</v>
      </c>
      <c r="F413" s="5">
        <v>10744</v>
      </c>
    </row>
    <row r="414" spans="1:6" x14ac:dyDescent="0.4">
      <c r="A414" s="5" t="s">
        <v>6</v>
      </c>
      <c r="B414" s="5" t="s">
        <v>12</v>
      </c>
      <c r="C414" s="5" t="s">
        <v>23</v>
      </c>
      <c r="D414" s="5">
        <v>32</v>
      </c>
      <c r="E414" s="5">
        <v>863</v>
      </c>
      <c r="F414" s="5">
        <v>27616</v>
      </c>
    </row>
    <row r="415" spans="1:6" x14ac:dyDescent="0.4">
      <c r="A415" s="5" t="s">
        <v>19</v>
      </c>
      <c r="B415" s="5" t="s">
        <v>15</v>
      </c>
      <c r="C415" s="5" t="s">
        <v>16</v>
      </c>
      <c r="D415" s="5">
        <v>29</v>
      </c>
      <c r="E415" s="5">
        <v>449</v>
      </c>
      <c r="F415" s="5">
        <v>13021</v>
      </c>
    </row>
    <row r="416" spans="1:6" x14ac:dyDescent="0.4">
      <c r="A416" s="5" t="s">
        <v>6</v>
      </c>
      <c r="B416" s="5" t="s">
        <v>12</v>
      </c>
      <c r="C416" s="5" t="s">
        <v>24</v>
      </c>
      <c r="D416" s="5">
        <v>24</v>
      </c>
      <c r="E416" s="5">
        <v>1822</v>
      </c>
      <c r="F416" s="5">
        <v>43728</v>
      </c>
    </row>
    <row r="417" spans="1:6" x14ac:dyDescent="0.4">
      <c r="A417" s="5" t="s">
        <v>9</v>
      </c>
      <c r="B417" s="5" t="s">
        <v>12</v>
      </c>
      <c r="C417" s="5" t="s">
        <v>8</v>
      </c>
      <c r="D417" s="5">
        <v>39</v>
      </c>
      <c r="E417" s="5">
        <v>1278</v>
      </c>
      <c r="F417" s="5">
        <v>49842</v>
      </c>
    </row>
    <row r="418" spans="1:6" x14ac:dyDescent="0.4">
      <c r="A418" s="5" t="s">
        <v>9</v>
      </c>
      <c r="B418" s="5" t="s">
        <v>15</v>
      </c>
      <c r="C418" s="5" t="s">
        <v>16</v>
      </c>
      <c r="D418" s="5">
        <v>4</v>
      </c>
      <c r="E418" s="5">
        <v>156</v>
      </c>
      <c r="F418" s="5">
        <v>624</v>
      </c>
    </row>
    <row r="419" spans="1:6" x14ac:dyDescent="0.4">
      <c r="A419" s="5" t="s">
        <v>9</v>
      </c>
      <c r="B419" s="5" t="s">
        <v>15</v>
      </c>
      <c r="C419" s="5" t="s">
        <v>20</v>
      </c>
      <c r="D419" s="5">
        <v>18</v>
      </c>
      <c r="E419" s="5">
        <v>461</v>
      </c>
      <c r="F419" s="5">
        <v>8298</v>
      </c>
    </row>
    <row r="420" spans="1:6" x14ac:dyDescent="0.4">
      <c r="A420" s="5" t="s">
        <v>19</v>
      </c>
      <c r="B420" s="5" t="s">
        <v>10</v>
      </c>
      <c r="C420" s="5" t="s">
        <v>20</v>
      </c>
      <c r="D420" s="5">
        <v>38</v>
      </c>
      <c r="E420" s="5">
        <v>849</v>
      </c>
      <c r="F420" s="5">
        <v>32262</v>
      </c>
    </row>
    <row r="421" spans="1:6" x14ac:dyDescent="0.4">
      <c r="A421" s="5" t="s">
        <v>17</v>
      </c>
      <c r="B421" s="5" t="s">
        <v>21</v>
      </c>
      <c r="C421" s="5" t="s">
        <v>14</v>
      </c>
      <c r="D421" s="5">
        <v>17</v>
      </c>
      <c r="E421" s="5">
        <v>342</v>
      </c>
      <c r="F421" s="5">
        <v>5814</v>
      </c>
    </row>
    <row r="422" spans="1:6" x14ac:dyDescent="0.4">
      <c r="A422" s="5" t="s">
        <v>17</v>
      </c>
      <c r="B422" s="5" t="s">
        <v>15</v>
      </c>
      <c r="C422" s="5" t="s">
        <v>14</v>
      </c>
      <c r="D422" s="5">
        <v>2</v>
      </c>
      <c r="E422" s="5">
        <v>1255</v>
      </c>
      <c r="F422" s="5">
        <v>2510</v>
      </c>
    </row>
    <row r="423" spans="1:6" x14ac:dyDescent="0.4">
      <c r="A423" s="5" t="s">
        <v>19</v>
      </c>
      <c r="B423" s="5" t="s">
        <v>7</v>
      </c>
      <c r="C423" s="5" t="s">
        <v>20</v>
      </c>
      <c r="D423" s="5">
        <v>48</v>
      </c>
      <c r="E423" s="5">
        <v>554</v>
      </c>
      <c r="F423" s="5">
        <v>26592</v>
      </c>
    </row>
    <row r="424" spans="1:6" x14ac:dyDescent="0.4">
      <c r="A424" s="5" t="s">
        <v>19</v>
      </c>
      <c r="B424" s="5" t="s">
        <v>15</v>
      </c>
      <c r="C424" s="5" t="s">
        <v>23</v>
      </c>
      <c r="D424" s="5">
        <v>11</v>
      </c>
      <c r="E424" s="5">
        <v>616</v>
      </c>
      <c r="F424" s="5">
        <v>6776</v>
      </c>
    </row>
    <row r="425" spans="1:6" x14ac:dyDescent="0.4">
      <c r="A425" s="5" t="s">
        <v>6</v>
      </c>
      <c r="B425" s="5" t="s">
        <v>21</v>
      </c>
      <c r="C425" s="5" t="s">
        <v>24</v>
      </c>
      <c r="D425" s="5">
        <v>26</v>
      </c>
      <c r="E425" s="5">
        <v>1425</v>
      </c>
      <c r="F425" s="5">
        <v>37050</v>
      </c>
    </row>
    <row r="426" spans="1:6" x14ac:dyDescent="0.4">
      <c r="A426" s="5" t="s">
        <v>17</v>
      </c>
      <c r="B426" s="5" t="s">
        <v>15</v>
      </c>
      <c r="C426" s="5" t="s">
        <v>14</v>
      </c>
      <c r="D426" s="5">
        <v>4</v>
      </c>
      <c r="E426" s="5">
        <v>1637</v>
      </c>
      <c r="F426" s="5">
        <v>6548</v>
      </c>
    </row>
    <row r="427" spans="1:6" x14ac:dyDescent="0.4">
      <c r="A427" s="5" t="s">
        <v>17</v>
      </c>
      <c r="B427" s="5" t="s">
        <v>21</v>
      </c>
      <c r="C427" s="5" t="s">
        <v>24</v>
      </c>
      <c r="D427" s="5">
        <v>48</v>
      </c>
      <c r="E427" s="5">
        <v>1393</v>
      </c>
      <c r="F427" s="5">
        <v>66864</v>
      </c>
    </row>
    <row r="428" spans="1:6" x14ac:dyDescent="0.4">
      <c r="A428" s="5" t="s">
        <v>17</v>
      </c>
      <c r="B428" s="5" t="s">
        <v>12</v>
      </c>
      <c r="C428" s="5" t="s">
        <v>14</v>
      </c>
      <c r="D428" s="5">
        <v>22</v>
      </c>
      <c r="E428" s="5">
        <v>1212</v>
      </c>
      <c r="F428" s="5">
        <v>26664</v>
      </c>
    </row>
    <row r="429" spans="1:6" x14ac:dyDescent="0.4">
      <c r="A429" s="5" t="s">
        <v>17</v>
      </c>
      <c r="B429" s="5" t="s">
        <v>21</v>
      </c>
      <c r="C429" s="5" t="s">
        <v>11</v>
      </c>
      <c r="D429" s="5">
        <v>40</v>
      </c>
      <c r="E429" s="5">
        <v>609</v>
      </c>
      <c r="F429" s="5">
        <v>24360</v>
      </c>
    </row>
    <row r="430" spans="1:6" x14ac:dyDescent="0.4">
      <c r="A430" s="5" t="s">
        <v>9</v>
      </c>
      <c r="B430" s="5" t="s">
        <v>21</v>
      </c>
      <c r="C430" s="5" t="s">
        <v>11</v>
      </c>
      <c r="D430" s="5">
        <v>11</v>
      </c>
      <c r="E430" s="5">
        <v>189</v>
      </c>
      <c r="F430" s="5">
        <v>2079</v>
      </c>
    </row>
    <row r="431" spans="1:6" x14ac:dyDescent="0.4">
      <c r="A431" s="5" t="s">
        <v>9</v>
      </c>
      <c r="B431" s="5" t="s">
        <v>7</v>
      </c>
      <c r="C431" s="5" t="s">
        <v>13</v>
      </c>
      <c r="D431" s="5">
        <v>28</v>
      </c>
      <c r="E431" s="5">
        <v>1904</v>
      </c>
      <c r="F431" s="5">
        <v>53312</v>
      </c>
    </row>
    <row r="432" spans="1:6" x14ac:dyDescent="0.4">
      <c r="A432" s="5" t="s">
        <v>9</v>
      </c>
      <c r="B432" s="5" t="s">
        <v>12</v>
      </c>
      <c r="C432" s="5" t="s">
        <v>18</v>
      </c>
      <c r="D432" s="5">
        <v>11</v>
      </c>
      <c r="E432" s="5">
        <v>1736</v>
      </c>
      <c r="F432" s="5">
        <v>19096</v>
      </c>
    </row>
    <row r="433" spans="1:6" x14ac:dyDescent="0.4">
      <c r="A433" s="5" t="s">
        <v>17</v>
      </c>
      <c r="B433" s="5" t="s">
        <v>12</v>
      </c>
      <c r="C433" s="5" t="s">
        <v>11</v>
      </c>
      <c r="D433" s="5">
        <v>17</v>
      </c>
      <c r="E433" s="5">
        <v>487</v>
      </c>
      <c r="F433" s="5">
        <v>8279</v>
      </c>
    </row>
    <row r="434" spans="1:6" x14ac:dyDescent="0.4">
      <c r="A434" s="5" t="s">
        <v>9</v>
      </c>
      <c r="B434" s="5" t="s">
        <v>7</v>
      </c>
      <c r="C434" s="5" t="s">
        <v>22</v>
      </c>
      <c r="D434" s="5">
        <v>44</v>
      </c>
      <c r="E434" s="5">
        <v>1374</v>
      </c>
      <c r="F434" s="5">
        <v>60456</v>
      </c>
    </row>
    <row r="435" spans="1:6" x14ac:dyDescent="0.4">
      <c r="A435" s="5" t="s">
        <v>19</v>
      </c>
      <c r="B435" s="5" t="s">
        <v>12</v>
      </c>
      <c r="C435" s="5" t="s">
        <v>18</v>
      </c>
      <c r="D435" s="5">
        <v>13</v>
      </c>
      <c r="E435" s="5">
        <v>1818</v>
      </c>
      <c r="F435" s="5">
        <v>23634</v>
      </c>
    </row>
    <row r="436" spans="1:6" x14ac:dyDescent="0.4">
      <c r="A436" s="5" t="s">
        <v>19</v>
      </c>
      <c r="B436" s="5" t="s">
        <v>21</v>
      </c>
      <c r="C436" s="5" t="s">
        <v>13</v>
      </c>
      <c r="D436" s="5">
        <v>13</v>
      </c>
      <c r="E436" s="5">
        <v>780</v>
      </c>
      <c r="F436" s="5">
        <v>10140</v>
      </c>
    </row>
    <row r="437" spans="1:6" x14ac:dyDescent="0.4">
      <c r="A437" s="5" t="s">
        <v>6</v>
      </c>
      <c r="B437" s="5" t="s">
        <v>7</v>
      </c>
      <c r="C437" s="5" t="s">
        <v>18</v>
      </c>
      <c r="D437" s="5">
        <v>38</v>
      </c>
      <c r="E437" s="5">
        <v>1375</v>
      </c>
      <c r="F437" s="5">
        <v>52250</v>
      </c>
    </row>
    <row r="438" spans="1:6" x14ac:dyDescent="0.4">
      <c r="A438" s="5" t="s">
        <v>9</v>
      </c>
      <c r="B438" s="5" t="s">
        <v>12</v>
      </c>
      <c r="C438" s="5" t="s">
        <v>8</v>
      </c>
      <c r="D438" s="5">
        <v>34</v>
      </c>
      <c r="E438" s="5">
        <v>1180</v>
      </c>
      <c r="F438" s="5">
        <v>40120</v>
      </c>
    </row>
    <row r="439" spans="1:6" x14ac:dyDescent="0.4">
      <c r="A439" s="5" t="s">
        <v>9</v>
      </c>
      <c r="B439" s="5" t="s">
        <v>12</v>
      </c>
      <c r="C439" s="5" t="s">
        <v>22</v>
      </c>
      <c r="D439" s="5">
        <v>1</v>
      </c>
      <c r="E439" s="5">
        <v>195</v>
      </c>
      <c r="F439" s="5">
        <v>195</v>
      </c>
    </row>
    <row r="440" spans="1:6" x14ac:dyDescent="0.4">
      <c r="A440" s="5" t="s">
        <v>6</v>
      </c>
      <c r="B440" s="5" t="s">
        <v>10</v>
      </c>
      <c r="C440" s="5" t="s">
        <v>20</v>
      </c>
      <c r="D440" s="5">
        <v>32</v>
      </c>
      <c r="E440" s="5">
        <v>1363</v>
      </c>
      <c r="F440" s="5">
        <v>43616</v>
      </c>
    </row>
    <row r="441" spans="1:6" x14ac:dyDescent="0.4">
      <c r="A441" s="5" t="s">
        <v>19</v>
      </c>
      <c r="B441" s="5" t="s">
        <v>10</v>
      </c>
      <c r="C441" s="5" t="s">
        <v>24</v>
      </c>
      <c r="D441" s="5">
        <v>1</v>
      </c>
      <c r="E441" s="5">
        <v>1214</v>
      </c>
      <c r="F441" s="5">
        <v>1214</v>
      </c>
    </row>
    <row r="442" spans="1:6" x14ac:dyDescent="0.4">
      <c r="A442" s="5" t="s">
        <v>19</v>
      </c>
      <c r="B442" s="5" t="s">
        <v>21</v>
      </c>
      <c r="C442" s="5" t="s">
        <v>22</v>
      </c>
      <c r="D442" s="5">
        <v>6</v>
      </c>
      <c r="E442" s="5">
        <v>804</v>
      </c>
      <c r="F442" s="5">
        <v>4824</v>
      </c>
    </row>
    <row r="443" spans="1:6" x14ac:dyDescent="0.4">
      <c r="A443" s="5" t="s">
        <v>19</v>
      </c>
      <c r="B443" s="5" t="s">
        <v>10</v>
      </c>
      <c r="C443" s="5" t="s">
        <v>13</v>
      </c>
      <c r="D443" s="5">
        <v>20</v>
      </c>
      <c r="E443" s="5">
        <v>1539</v>
      </c>
      <c r="F443" s="5">
        <v>30780</v>
      </c>
    </row>
    <row r="444" spans="1:6" x14ac:dyDescent="0.4">
      <c r="A444" s="5" t="s">
        <v>9</v>
      </c>
      <c r="B444" s="5" t="s">
        <v>12</v>
      </c>
      <c r="C444" s="5" t="s">
        <v>14</v>
      </c>
      <c r="D444" s="5">
        <v>43</v>
      </c>
      <c r="E444" s="5">
        <v>735</v>
      </c>
      <c r="F444" s="5">
        <v>31605</v>
      </c>
    </row>
    <row r="445" spans="1:6" x14ac:dyDescent="0.4">
      <c r="A445" s="5" t="s">
        <v>19</v>
      </c>
      <c r="B445" s="5" t="s">
        <v>15</v>
      </c>
      <c r="C445" s="5" t="s">
        <v>14</v>
      </c>
      <c r="D445" s="5">
        <v>24</v>
      </c>
      <c r="E445" s="5">
        <v>129</v>
      </c>
      <c r="F445" s="5">
        <v>3096</v>
      </c>
    </row>
    <row r="446" spans="1:6" x14ac:dyDescent="0.4">
      <c r="A446" s="5" t="s">
        <v>19</v>
      </c>
      <c r="B446" s="5" t="s">
        <v>7</v>
      </c>
      <c r="C446" s="5" t="s">
        <v>13</v>
      </c>
      <c r="D446" s="5">
        <v>11</v>
      </c>
      <c r="E446" s="5">
        <v>1519</v>
      </c>
      <c r="F446" s="5">
        <v>16709</v>
      </c>
    </row>
    <row r="447" spans="1:6" x14ac:dyDescent="0.4">
      <c r="A447" s="5" t="s">
        <v>6</v>
      </c>
      <c r="B447" s="5" t="s">
        <v>12</v>
      </c>
      <c r="C447" s="5" t="s">
        <v>14</v>
      </c>
      <c r="D447" s="5">
        <v>17</v>
      </c>
      <c r="E447" s="5">
        <v>428</v>
      </c>
      <c r="F447" s="5">
        <v>7276</v>
      </c>
    </row>
    <row r="448" spans="1:6" x14ac:dyDescent="0.4">
      <c r="A448" s="5" t="s">
        <v>9</v>
      </c>
      <c r="B448" s="5" t="s">
        <v>12</v>
      </c>
      <c r="C448" s="5" t="s">
        <v>11</v>
      </c>
      <c r="D448" s="5">
        <v>11</v>
      </c>
      <c r="E448" s="5">
        <v>1431</v>
      </c>
      <c r="F448" s="5">
        <v>15741</v>
      </c>
    </row>
    <row r="449" spans="1:6" x14ac:dyDescent="0.4">
      <c r="A449" s="5" t="s">
        <v>9</v>
      </c>
      <c r="B449" s="5" t="s">
        <v>21</v>
      </c>
      <c r="C449" s="5" t="s">
        <v>18</v>
      </c>
      <c r="D449" s="5">
        <v>37</v>
      </c>
      <c r="E449" s="5">
        <v>625</v>
      </c>
      <c r="F449" s="5">
        <v>23125</v>
      </c>
    </row>
    <row r="450" spans="1:6" x14ac:dyDescent="0.4">
      <c r="A450" s="5" t="s">
        <v>19</v>
      </c>
      <c r="B450" s="5" t="s">
        <v>21</v>
      </c>
      <c r="C450" s="5" t="s">
        <v>24</v>
      </c>
      <c r="D450" s="5">
        <v>19</v>
      </c>
      <c r="E450" s="5">
        <v>442</v>
      </c>
      <c r="F450" s="5">
        <v>8398</v>
      </c>
    </row>
    <row r="451" spans="1:6" x14ac:dyDescent="0.4">
      <c r="A451" s="5" t="s">
        <v>9</v>
      </c>
      <c r="B451" s="5" t="s">
        <v>12</v>
      </c>
      <c r="C451" s="5" t="s">
        <v>14</v>
      </c>
      <c r="D451" s="5">
        <v>8</v>
      </c>
      <c r="E451" s="5">
        <v>1723</v>
      </c>
      <c r="F451" s="5">
        <v>13784</v>
      </c>
    </row>
    <row r="452" spans="1:6" x14ac:dyDescent="0.4">
      <c r="A452" s="5" t="s">
        <v>19</v>
      </c>
      <c r="B452" s="5" t="s">
        <v>10</v>
      </c>
      <c r="C452" s="5" t="s">
        <v>11</v>
      </c>
      <c r="D452" s="5">
        <v>37</v>
      </c>
      <c r="E452" s="5">
        <v>1675</v>
      </c>
      <c r="F452" s="5">
        <v>61975</v>
      </c>
    </row>
    <row r="453" spans="1:6" x14ac:dyDescent="0.4">
      <c r="A453" s="5" t="s">
        <v>17</v>
      </c>
      <c r="B453" s="5" t="s">
        <v>21</v>
      </c>
      <c r="C453" s="5" t="s">
        <v>18</v>
      </c>
      <c r="D453" s="5">
        <v>29</v>
      </c>
      <c r="E453" s="5">
        <v>1228</v>
      </c>
      <c r="F453" s="5">
        <v>35612</v>
      </c>
    </row>
    <row r="454" spans="1:6" x14ac:dyDescent="0.4">
      <c r="A454" s="5" t="s">
        <v>9</v>
      </c>
      <c r="B454" s="5" t="s">
        <v>12</v>
      </c>
      <c r="C454" s="5" t="s">
        <v>13</v>
      </c>
      <c r="D454" s="5">
        <v>30</v>
      </c>
      <c r="E454" s="5">
        <v>1717</v>
      </c>
      <c r="F454" s="5">
        <v>51510</v>
      </c>
    </row>
    <row r="455" spans="1:6" x14ac:dyDescent="0.4">
      <c r="A455" s="5" t="s">
        <v>19</v>
      </c>
      <c r="B455" s="5" t="s">
        <v>21</v>
      </c>
      <c r="C455" s="5" t="s">
        <v>24</v>
      </c>
      <c r="D455" s="5">
        <v>43</v>
      </c>
      <c r="E455" s="5">
        <v>1279</v>
      </c>
      <c r="F455" s="5">
        <v>54997</v>
      </c>
    </row>
    <row r="456" spans="1:6" x14ac:dyDescent="0.4">
      <c r="A456" s="5" t="s">
        <v>9</v>
      </c>
      <c r="B456" s="5" t="s">
        <v>12</v>
      </c>
      <c r="C456" s="5" t="s">
        <v>11</v>
      </c>
      <c r="D456" s="5">
        <v>17</v>
      </c>
      <c r="E456" s="5">
        <v>1083</v>
      </c>
      <c r="F456" s="5">
        <v>18411</v>
      </c>
    </row>
    <row r="457" spans="1:6" x14ac:dyDescent="0.4">
      <c r="A457" s="5" t="s">
        <v>9</v>
      </c>
      <c r="B457" s="5" t="s">
        <v>12</v>
      </c>
      <c r="C457" s="5" t="s">
        <v>18</v>
      </c>
      <c r="D457" s="5">
        <v>10</v>
      </c>
      <c r="E457" s="5">
        <v>604</v>
      </c>
      <c r="F457" s="5">
        <v>6040</v>
      </c>
    </row>
    <row r="458" spans="1:6" x14ac:dyDescent="0.4">
      <c r="A458" s="5" t="s">
        <v>17</v>
      </c>
      <c r="B458" s="5" t="s">
        <v>10</v>
      </c>
      <c r="C458" s="5" t="s">
        <v>16</v>
      </c>
      <c r="D458" s="5">
        <v>16</v>
      </c>
      <c r="E458" s="5">
        <v>1950</v>
      </c>
      <c r="F458" s="5">
        <v>31200</v>
      </c>
    </row>
    <row r="459" spans="1:6" x14ac:dyDescent="0.4">
      <c r="A459" s="5" t="s">
        <v>19</v>
      </c>
      <c r="B459" s="5" t="s">
        <v>10</v>
      </c>
      <c r="C459" s="5" t="s">
        <v>11</v>
      </c>
      <c r="D459" s="5">
        <v>17</v>
      </c>
      <c r="E459" s="5">
        <v>824</v>
      </c>
      <c r="F459" s="5">
        <v>14008</v>
      </c>
    </row>
    <row r="460" spans="1:6" x14ac:dyDescent="0.4">
      <c r="A460" s="5" t="s">
        <v>19</v>
      </c>
      <c r="B460" s="5" t="s">
        <v>7</v>
      </c>
      <c r="C460" s="5" t="s">
        <v>11</v>
      </c>
      <c r="D460" s="5">
        <v>11</v>
      </c>
      <c r="E460" s="5">
        <v>1873</v>
      </c>
      <c r="F460" s="5">
        <v>20603</v>
      </c>
    </row>
    <row r="461" spans="1:6" x14ac:dyDescent="0.4">
      <c r="A461" s="5" t="s">
        <v>17</v>
      </c>
      <c r="B461" s="5" t="s">
        <v>12</v>
      </c>
      <c r="C461" s="5" t="s">
        <v>11</v>
      </c>
      <c r="D461" s="5">
        <v>3</v>
      </c>
      <c r="E461" s="5">
        <v>1827</v>
      </c>
      <c r="F461" s="5">
        <v>5481</v>
      </c>
    </row>
    <row r="462" spans="1:6" x14ac:dyDescent="0.4">
      <c r="A462" s="5" t="s">
        <v>17</v>
      </c>
      <c r="B462" s="5" t="s">
        <v>10</v>
      </c>
      <c r="C462" s="5" t="s">
        <v>14</v>
      </c>
      <c r="D462" s="5">
        <v>34</v>
      </c>
      <c r="E462" s="5">
        <v>538</v>
      </c>
      <c r="F462" s="5">
        <v>18292</v>
      </c>
    </row>
    <row r="463" spans="1:6" x14ac:dyDescent="0.4">
      <c r="A463" s="5" t="s">
        <v>9</v>
      </c>
      <c r="B463" s="5" t="s">
        <v>21</v>
      </c>
      <c r="C463" s="5" t="s">
        <v>13</v>
      </c>
      <c r="D463" s="5">
        <v>8</v>
      </c>
      <c r="E463" s="5">
        <v>1333</v>
      </c>
      <c r="F463" s="5">
        <v>10664</v>
      </c>
    </row>
    <row r="464" spans="1:6" x14ac:dyDescent="0.4">
      <c r="A464" s="5" t="s">
        <v>9</v>
      </c>
      <c r="B464" s="5" t="s">
        <v>7</v>
      </c>
      <c r="C464" s="5" t="s">
        <v>18</v>
      </c>
      <c r="D464" s="5">
        <v>41</v>
      </c>
      <c r="E464" s="5">
        <v>444</v>
      </c>
      <c r="F464" s="5">
        <v>18204</v>
      </c>
    </row>
    <row r="465" spans="1:6" x14ac:dyDescent="0.4">
      <c r="A465" s="5" t="s">
        <v>6</v>
      </c>
      <c r="B465" s="5" t="s">
        <v>7</v>
      </c>
      <c r="C465" s="5" t="s">
        <v>13</v>
      </c>
      <c r="D465" s="5">
        <v>1</v>
      </c>
      <c r="E465" s="5">
        <v>1404</v>
      </c>
      <c r="F465" s="5">
        <v>1404</v>
      </c>
    </row>
    <row r="466" spans="1:6" x14ac:dyDescent="0.4">
      <c r="A466" s="5" t="s">
        <v>19</v>
      </c>
      <c r="B466" s="5" t="s">
        <v>21</v>
      </c>
      <c r="C466" s="5" t="s">
        <v>16</v>
      </c>
      <c r="D466" s="5">
        <v>37</v>
      </c>
      <c r="E466" s="5">
        <v>260</v>
      </c>
      <c r="F466" s="5">
        <v>9620</v>
      </c>
    </row>
    <row r="467" spans="1:6" x14ac:dyDescent="0.4">
      <c r="A467" s="5" t="s">
        <v>9</v>
      </c>
      <c r="B467" s="5" t="s">
        <v>7</v>
      </c>
      <c r="C467" s="5" t="s">
        <v>23</v>
      </c>
      <c r="D467" s="5">
        <v>41</v>
      </c>
      <c r="E467" s="5">
        <v>731</v>
      </c>
      <c r="F467" s="5">
        <v>29971</v>
      </c>
    </row>
    <row r="468" spans="1:6" x14ac:dyDescent="0.4">
      <c r="A468" s="5" t="s">
        <v>6</v>
      </c>
      <c r="B468" s="5" t="s">
        <v>15</v>
      </c>
      <c r="C468" s="5" t="s">
        <v>11</v>
      </c>
      <c r="D468" s="5">
        <v>30</v>
      </c>
      <c r="E468" s="5">
        <v>117</v>
      </c>
      <c r="F468" s="5">
        <v>3510</v>
      </c>
    </row>
    <row r="469" spans="1:6" x14ac:dyDescent="0.4">
      <c r="A469" s="5" t="s">
        <v>9</v>
      </c>
      <c r="B469" s="5" t="s">
        <v>21</v>
      </c>
      <c r="C469" s="5" t="s">
        <v>23</v>
      </c>
      <c r="D469" s="5">
        <v>22</v>
      </c>
      <c r="E469" s="5">
        <v>1112</v>
      </c>
      <c r="F469" s="5">
        <v>24464</v>
      </c>
    </row>
    <row r="470" spans="1:6" x14ac:dyDescent="0.4">
      <c r="A470" s="5" t="s">
        <v>9</v>
      </c>
      <c r="B470" s="5" t="s">
        <v>15</v>
      </c>
      <c r="C470" s="5" t="s">
        <v>20</v>
      </c>
      <c r="D470" s="5">
        <v>42</v>
      </c>
      <c r="E470" s="5">
        <v>660</v>
      </c>
      <c r="F470" s="5">
        <v>27720</v>
      </c>
    </row>
    <row r="471" spans="1:6" x14ac:dyDescent="0.4">
      <c r="A471" s="5" t="s">
        <v>9</v>
      </c>
      <c r="B471" s="5" t="s">
        <v>7</v>
      </c>
      <c r="C471" s="5" t="s">
        <v>20</v>
      </c>
      <c r="D471" s="5">
        <v>48</v>
      </c>
      <c r="E471" s="5">
        <v>1611</v>
      </c>
      <c r="F471" s="5">
        <v>77328</v>
      </c>
    </row>
    <row r="472" spans="1:6" x14ac:dyDescent="0.4">
      <c r="A472" s="5" t="s">
        <v>19</v>
      </c>
      <c r="B472" s="5" t="s">
        <v>21</v>
      </c>
      <c r="C472" s="5" t="s">
        <v>24</v>
      </c>
      <c r="D472" s="5">
        <v>43</v>
      </c>
      <c r="E472" s="5">
        <v>1648</v>
      </c>
      <c r="F472" s="5">
        <v>70864</v>
      </c>
    </row>
    <row r="473" spans="1:6" x14ac:dyDescent="0.4">
      <c r="A473" s="5" t="s">
        <v>17</v>
      </c>
      <c r="B473" s="5" t="s">
        <v>15</v>
      </c>
      <c r="C473" s="5" t="s">
        <v>18</v>
      </c>
      <c r="D473" s="5">
        <v>9</v>
      </c>
      <c r="E473" s="5">
        <v>761</v>
      </c>
      <c r="F473" s="5">
        <v>6849</v>
      </c>
    </row>
    <row r="474" spans="1:6" x14ac:dyDescent="0.4">
      <c r="A474" s="5" t="s">
        <v>19</v>
      </c>
      <c r="B474" s="5" t="s">
        <v>10</v>
      </c>
      <c r="C474" s="5" t="s">
        <v>20</v>
      </c>
      <c r="D474" s="5">
        <v>25</v>
      </c>
      <c r="E474" s="5">
        <v>810</v>
      </c>
      <c r="F474" s="5">
        <v>20250</v>
      </c>
    </row>
    <row r="475" spans="1:6" x14ac:dyDescent="0.4">
      <c r="A475" s="5" t="s">
        <v>6</v>
      </c>
      <c r="B475" s="5" t="s">
        <v>15</v>
      </c>
      <c r="C475" s="5" t="s">
        <v>20</v>
      </c>
      <c r="D475" s="5">
        <v>5</v>
      </c>
      <c r="E475" s="5">
        <v>1857</v>
      </c>
      <c r="F475" s="5">
        <v>9285</v>
      </c>
    </row>
    <row r="476" spans="1:6" x14ac:dyDescent="0.4">
      <c r="A476" s="5" t="s">
        <v>9</v>
      </c>
      <c r="B476" s="5" t="s">
        <v>15</v>
      </c>
      <c r="C476" s="5" t="s">
        <v>23</v>
      </c>
      <c r="D476" s="5">
        <v>44</v>
      </c>
      <c r="E476" s="5">
        <v>1111</v>
      </c>
      <c r="F476" s="5">
        <v>48884</v>
      </c>
    </row>
    <row r="477" spans="1:6" x14ac:dyDescent="0.4">
      <c r="A477" s="5" t="s">
        <v>19</v>
      </c>
      <c r="B477" s="5" t="s">
        <v>21</v>
      </c>
      <c r="C477" s="5" t="s">
        <v>20</v>
      </c>
      <c r="D477" s="5">
        <v>7</v>
      </c>
      <c r="E477" s="5">
        <v>388</v>
      </c>
      <c r="F477" s="5">
        <v>2716</v>
      </c>
    </row>
    <row r="478" spans="1:6" x14ac:dyDescent="0.4">
      <c r="A478" s="5" t="s">
        <v>17</v>
      </c>
      <c r="B478" s="5" t="s">
        <v>12</v>
      </c>
      <c r="C478" s="5" t="s">
        <v>11</v>
      </c>
      <c r="D478" s="5">
        <v>15</v>
      </c>
      <c r="E478" s="5">
        <v>700</v>
      </c>
      <c r="F478" s="5">
        <v>10500</v>
      </c>
    </row>
    <row r="479" spans="1:6" x14ac:dyDescent="0.4">
      <c r="A479" s="5" t="s">
        <v>9</v>
      </c>
      <c r="B479" s="5" t="s">
        <v>10</v>
      </c>
      <c r="C479" s="5" t="s">
        <v>18</v>
      </c>
      <c r="D479" s="5">
        <v>43</v>
      </c>
      <c r="E479" s="5">
        <v>573</v>
      </c>
      <c r="F479" s="5">
        <v>24639</v>
      </c>
    </row>
    <row r="480" spans="1:6" x14ac:dyDescent="0.4">
      <c r="A480" s="5" t="s">
        <v>19</v>
      </c>
      <c r="B480" s="5" t="s">
        <v>7</v>
      </c>
      <c r="C480" s="5" t="s">
        <v>20</v>
      </c>
      <c r="D480" s="5">
        <v>4</v>
      </c>
      <c r="E480" s="5">
        <v>1287</v>
      </c>
      <c r="F480" s="5">
        <v>5148</v>
      </c>
    </row>
    <row r="481" spans="1:6" x14ac:dyDescent="0.4">
      <c r="A481" s="5" t="s">
        <v>6</v>
      </c>
      <c r="B481" s="5" t="s">
        <v>15</v>
      </c>
      <c r="C481" s="5" t="s">
        <v>16</v>
      </c>
      <c r="D481" s="5">
        <v>31</v>
      </c>
      <c r="E481" s="5">
        <v>1464</v>
      </c>
      <c r="F481" s="5">
        <v>45384</v>
      </c>
    </row>
    <row r="482" spans="1:6" x14ac:dyDescent="0.4">
      <c r="A482" s="5" t="s">
        <v>17</v>
      </c>
      <c r="B482" s="5" t="s">
        <v>10</v>
      </c>
      <c r="C482" s="5" t="s">
        <v>22</v>
      </c>
      <c r="D482" s="5">
        <v>24</v>
      </c>
      <c r="E482" s="5">
        <v>186</v>
      </c>
      <c r="F482" s="5">
        <v>4464</v>
      </c>
    </row>
    <row r="483" spans="1:6" x14ac:dyDescent="0.4">
      <c r="A483" s="5" t="s">
        <v>19</v>
      </c>
      <c r="B483" s="5" t="s">
        <v>7</v>
      </c>
      <c r="C483" s="5" t="s">
        <v>22</v>
      </c>
      <c r="D483" s="5">
        <v>14</v>
      </c>
      <c r="E483" s="5">
        <v>1089</v>
      </c>
      <c r="F483" s="5">
        <v>15246</v>
      </c>
    </row>
    <row r="484" spans="1:6" x14ac:dyDescent="0.4">
      <c r="A484" s="5" t="s">
        <v>17</v>
      </c>
      <c r="B484" s="5" t="s">
        <v>15</v>
      </c>
      <c r="C484" s="5" t="s">
        <v>11</v>
      </c>
      <c r="D484" s="5">
        <v>46</v>
      </c>
      <c r="E484" s="5">
        <v>577</v>
      </c>
      <c r="F484" s="5">
        <v>26542</v>
      </c>
    </row>
    <row r="485" spans="1:6" x14ac:dyDescent="0.4">
      <c r="A485" s="5" t="s">
        <v>17</v>
      </c>
      <c r="B485" s="5" t="s">
        <v>21</v>
      </c>
      <c r="C485" s="5" t="s">
        <v>8</v>
      </c>
      <c r="D485" s="5">
        <v>25</v>
      </c>
      <c r="E485" s="5">
        <v>710</v>
      </c>
      <c r="F485" s="5">
        <v>17750</v>
      </c>
    </row>
    <row r="486" spans="1:6" x14ac:dyDescent="0.4">
      <c r="A486" s="5" t="s">
        <v>6</v>
      </c>
      <c r="B486" s="5" t="s">
        <v>12</v>
      </c>
      <c r="C486" s="5" t="s">
        <v>20</v>
      </c>
      <c r="D486" s="5">
        <v>43</v>
      </c>
      <c r="E486" s="5">
        <v>1340</v>
      </c>
      <c r="F486" s="5">
        <v>57620</v>
      </c>
    </row>
    <row r="487" spans="1:6" x14ac:dyDescent="0.4">
      <c r="A487" s="5" t="s">
        <v>6</v>
      </c>
      <c r="B487" s="5" t="s">
        <v>15</v>
      </c>
      <c r="C487" s="5" t="s">
        <v>20</v>
      </c>
      <c r="D487" s="5">
        <v>39</v>
      </c>
      <c r="E487" s="5">
        <v>534</v>
      </c>
      <c r="F487" s="5">
        <v>20826</v>
      </c>
    </row>
    <row r="488" spans="1:6" x14ac:dyDescent="0.4">
      <c r="A488" s="5" t="s">
        <v>17</v>
      </c>
      <c r="B488" s="5" t="s">
        <v>12</v>
      </c>
      <c r="C488" s="5" t="s">
        <v>16</v>
      </c>
      <c r="D488" s="5">
        <v>20</v>
      </c>
      <c r="E488" s="5">
        <v>1917</v>
      </c>
      <c r="F488" s="5">
        <v>38340</v>
      </c>
    </row>
    <row r="489" spans="1:6" x14ac:dyDescent="0.4">
      <c r="A489" s="5" t="s">
        <v>9</v>
      </c>
      <c r="B489" s="5" t="s">
        <v>10</v>
      </c>
      <c r="C489" s="5" t="s">
        <v>8</v>
      </c>
      <c r="D489" s="5">
        <v>47</v>
      </c>
      <c r="E489" s="5">
        <v>514</v>
      </c>
      <c r="F489" s="5">
        <v>24158</v>
      </c>
    </row>
    <row r="490" spans="1:6" x14ac:dyDescent="0.4">
      <c r="A490" s="5" t="s">
        <v>17</v>
      </c>
      <c r="B490" s="5" t="s">
        <v>12</v>
      </c>
      <c r="C490" s="5" t="s">
        <v>20</v>
      </c>
      <c r="D490" s="5">
        <v>1</v>
      </c>
      <c r="E490" s="5">
        <v>472</v>
      </c>
      <c r="F490" s="5">
        <v>472</v>
      </c>
    </row>
    <row r="491" spans="1:6" x14ac:dyDescent="0.4">
      <c r="A491" s="5" t="s">
        <v>19</v>
      </c>
      <c r="B491" s="5" t="s">
        <v>10</v>
      </c>
      <c r="C491" s="5" t="s">
        <v>11</v>
      </c>
      <c r="D491" s="5">
        <v>44</v>
      </c>
      <c r="E491" s="5">
        <v>1563</v>
      </c>
      <c r="F491" s="5">
        <v>68772</v>
      </c>
    </row>
    <row r="492" spans="1:6" x14ac:dyDescent="0.4">
      <c r="A492" s="5" t="s">
        <v>19</v>
      </c>
      <c r="B492" s="5" t="s">
        <v>7</v>
      </c>
      <c r="C492" s="5" t="s">
        <v>8</v>
      </c>
      <c r="D492" s="5">
        <v>39</v>
      </c>
      <c r="E492" s="5">
        <v>1199</v>
      </c>
      <c r="F492" s="5">
        <v>46761</v>
      </c>
    </row>
    <row r="493" spans="1:6" x14ac:dyDescent="0.4">
      <c r="A493" s="5" t="s">
        <v>17</v>
      </c>
      <c r="B493" s="5" t="s">
        <v>10</v>
      </c>
      <c r="C493" s="5" t="s">
        <v>24</v>
      </c>
      <c r="D493" s="5">
        <v>43</v>
      </c>
      <c r="E493" s="5">
        <v>1759</v>
      </c>
      <c r="F493" s="5">
        <v>75637</v>
      </c>
    </row>
    <row r="494" spans="1:6" x14ac:dyDescent="0.4">
      <c r="A494" s="5" t="s">
        <v>19</v>
      </c>
      <c r="B494" s="5" t="s">
        <v>12</v>
      </c>
      <c r="C494" s="5" t="s">
        <v>24</v>
      </c>
      <c r="D494" s="5">
        <v>40</v>
      </c>
      <c r="E494" s="5">
        <v>1738</v>
      </c>
      <c r="F494" s="5">
        <v>69520</v>
      </c>
    </row>
    <row r="495" spans="1:6" x14ac:dyDescent="0.4">
      <c r="A495" s="5" t="s">
        <v>6</v>
      </c>
      <c r="B495" s="5" t="s">
        <v>15</v>
      </c>
      <c r="C495" s="5" t="s">
        <v>13</v>
      </c>
      <c r="D495" s="5">
        <v>33</v>
      </c>
      <c r="E495" s="5">
        <v>339</v>
      </c>
      <c r="F495" s="5">
        <v>11187</v>
      </c>
    </row>
    <row r="496" spans="1:6" x14ac:dyDescent="0.4">
      <c r="A496" s="5" t="s">
        <v>6</v>
      </c>
      <c r="B496" s="5" t="s">
        <v>15</v>
      </c>
      <c r="C496" s="5" t="s">
        <v>22</v>
      </c>
      <c r="D496" s="5">
        <v>23</v>
      </c>
      <c r="E496" s="5">
        <v>119</v>
      </c>
      <c r="F496" s="5">
        <v>2737</v>
      </c>
    </row>
    <row r="497" spans="1:6" x14ac:dyDescent="0.4">
      <c r="A497" s="5" t="s">
        <v>9</v>
      </c>
      <c r="B497" s="5" t="s">
        <v>21</v>
      </c>
      <c r="C497" s="5" t="s">
        <v>20</v>
      </c>
      <c r="D497" s="5">
        <v>27</v>
      </c>
      <c r="E497" s="5">
        <v>1187</v>
      </c>
      <c r="F497" s="5">
        <v>32049</v>
      </c>
    </row>
    <row r="498" spans="1:6" x14ac:dyDescent="0.4">
      <c r="A498" s="5" t="s">
        <v>6</v>
      </c>
      <c r="B498" s="5" t="s">
        <v>21</v>
      </c>
      <c r="C498" s="5" t="s">
        <v>20</v>
      </c>
      <c r="D498" s="5">
        <v>41</v>
      </c>
      <c r="E498" s="5">
        <v>1321</v>
      </c>
      <c r="F498" s="5">
        <v>54161</v>
      </c>
    </row>
    <row r="499" spans="1:6" x14ac:dyDescent="0.4">
      <c r="A499" s="5" t="s">
        <v>17</v>
      </c>
      <c r="B499" s="5" t="s">
        <v>7</v>
      </c>
      <c r="C499" s="5" t="s">
        <v>24</v>
      </c>
      <c r="D499" s="5">
        <v>6</v>
      </c>
      <c r="E499" s="5">
        <v>690</v>
      </c>
      <c r="F499" s="5">
        <v>4140</v>
      </c>
    </row>
    <row r="500" spans="1:6" x14ac:dyDescent="0.4">
      <c r="A500" s="5" t="s">
        <v>19</v>
      </c>
      <c r="B500" s="5" t="s">
        <v>12</v>
      </c>
      <c r="C500" s="5" t="s">
        <v>8</v>
      </c>
      <c r="D500" s="5">
        <v>47</v>
      </c>
      <c r="E500" s="5">
        <v>658</v>
      </c>
      <c r="F500" s="5">
        <v>30926</v>
      </c>
    </row>
    <row r="501" spans="1:6" x14ac:dyDescent="0.4">
      <c r="A501" s="5" t="s">
        <v>9</v>
      </c>
      <c r="B501" s="5" t="s">
        <v>7</v>
      </c>
      <c r="C501" s="5" t="s">
        <v>16</v>
      </c>
      <c r="D501" s="5">
        <v>36</v>
      </c>
      <c r="E501" s="5">
        <v>622</v>
      </c>
      <c r="F501" s="5">
        <v>22392</v>
      </c>
    </row>
    <row r="502" spans="1:6" x14ac:dyDescent="0.4">
      <c r="A502" s="5" t="s">
        <v>19</v>
      </c>
      <c r="B502" s="5" t="s">
        <v>7</v>
      </c>
      <c r="C502" s="5" t="s">
        <v>24</v>
      </c>
      <c r="D502" s="5">
        <v>12</v>
      </c>
      <c r="E502" s="5">
        <v>1636</v>
      </c>
      <c r="F502" s="5">
        <v>19632</v>
      </c>
    </row>
    <row r="503" spans="1:6" x14ac:dyDescent="0.4">
      <c r="A503" s="5" t="s">
        <v>17</v>
      </c>
      <c r="B503" s="5" t="s">
        <v>12</v>
      </c>
      <c r="C503" s="5" t="s">
        <v>16</v>
      </c>
      <c r="D503" s="5">
        <v>29</v>
      </c>
      <c r="E503" s="5">
        <v>1813</v>
      </c>
      <c r="F503" s="5">
        <v>52577</v>
      </c>
    </row>
    <row r="504" spans="1:6" x14ac:dyDescent="0.4">
      <c r="A504" s="5" t="s">
        <v>19</v>
      </c>
      <c r="B504" s="5" t="s">
        <v>12</v>
      </c>
      <c r="C504" s="5" t="s">
        <v>23</v>
      </c>
      <c r="D504" s="5">
        <v>9</v>
      </c>
      <c r="E504" s="5">
        <v>415</v>
      </c>
      <c r="F504" s="5">
        <v>3735</v>
      </c>
    </row>
    <row r="505" spans="1:6" x14ac:dyDescent="0.4">
      <c r="A505" s="5" t="s">
        <v>6</v>
      </c>
      <c r="B505" s="5" t="s">
        <v>12</v>
      </c>
      <c r="C505" s="5" t="s">
        <v>16</v>
      </c>
      <c r="D505" s="5">
        <v>50</v>
      </c>
      <c r="E505" s="5">
        <v>1083</v>
      </c>
      <c r="F505" s="5">
        <v>54150</v>
      </c>
    </row>
    <row r="506" spans="1:6" x14ac:dyDescent="0.4">
      <c r="A506" s="5" t="s">
        <v>6</v>
      </c>
      <c r="B506" s="5" t="s">
        <v>10</v>
      </c>
      <c r="C506" s="5" t="s">
        <v>16</v>
      </c>
      <c r="D506" s="5">
        <v>37</v>
      </c>
      <c r="E506" s="5">
        <v>1578</v>
      </c>
      <c r="F506" s="5">
        <v>58386</v>
      </c>
    </row>
    <row r="507" spans="1:6" x14ac:dyDescent="0.4">
      <c r="A507" s="5" t="s">
        <v>6</v>
      </c>
      <c r="B507" s="5" t="s">
        <v>7</v>
      </c>
      <c r="C507" s="5" t="s">
        <v>20</v>
      </c>
      <c r="D507" s="5">
        <v>41</v>
      </c>
      <c r="E507" s="5">
        <v>1097</v>
      </c>
      <c r="F507" s="5">
        <v>44977</v>
      </c>
    </row>
    <row r="508" spans="1:6" x14ac:dyDescent="0.4">
      <c r="A508" s="5" t="s">
        <v>17</v>
      </c>
      <c r="B508" s="5" t="s">
        <v>15</v>
      </c>
      <c r="C508" s="5" t="s">
        <v>16</v>
      </c>
      <c r="D508" s="5">
        <v>6</v>
      </c>
      <c r="E508" s="5">
        <v>147</v>
      </c>
      <c r="F508" s="5">
        <v>882</v>
      </c>
    </row>
    <row r="509" spans="1:6" x14ac:dyDescent="0.4">
      <c r="A509" s="5" t="s">
        <v>17</v>
      </c>
      <c r="B509" s="5" t="s">
        <v>15</v>
      </c>
      <c r="C509" s="5" t="s">
        <v>16</v>
      </c>
      <c r="D509" s="5">
        <v>11</v>
      </c>
      <c r="E509" s="5">
        <v>1311</v>
      </c>
      <c r="F509" s="5">
        <v>14421</v>
      </c>
    </row>
    <row r="510" spans="1:6" x14ac:dyDescent="0.4">
      <c r="A510" s="5" t="s">
        <v>19</v>
      </c>
      <c r="B510" s="5" t="s">
        <v>10</v>
      </c>
      <c r="C510" s="5" t="s">
        <v>16</v>
      </c>
      <c r="D510" s="5">
        <v>12</v>
      </c>
      <c r="E510" s="5">
        <v>629</v>
      </c>
      <c r="F510" s="5">
        <v>7548</v>
      </c>
    </row>
    <row r="511" spans="1:6" x14ac:dyDescent="0.4">
      <c r="A511" s="5" t="s">
        <v>6</v>
      </c>
      <c r="B511" s="5" t="s">
        <v>21</v>
      </c>
      <c r="C511" s="5" t="s">
        <v>16</v>
      </c>
      <c r="D511" s="5">
        <v>25</v>
      </c>
      <c r="E511" s="5">
        <v>665</v>
      </c>
      <c r="F511" s="5">
        <v>16625</v>
      </c>
    </row>
    <row r="512" spans="1:6" x14ac:dyDescent="0.4">
      <c r="A512" s="5" t="s">
        <v>9</v>
      </c>
      <c r="B512" s="5" t="s">
        <v>7</v>
      </c>
      <c r="C512" s="5" t="s">
        <v>11</v>
      </c>
      <c r="D512" s="5">
        <v>7</v>
      </c>
      <c r="E512" s="5">
        <v>1630</v>
      </c>
      <c r="F512" s="5">
        <v>11410</v>
      </c>
    </row>
    <row r="513" spans="1:6" x14ac:dyDescent="0.4">
      <c r="A513" s="5" t="s">
        <v>17</v>
      </c>
      <c r="B513" s="5" t="s">
        <v>15</v>
      </c>
      <c r="C513" s="5" t="s">
        <v>20</v>
      </c>
      <c r="D513" s="5">
        <v>30</v>
      </c>
      <c r="E513" s="5">
        <v>968</v>
      </c>
      <c r="F513" s="5">
        <v>29040</v>
      </c>
    </row>
    <row r="514" spans="1:6" x14ac:dyDescent="0.4">
      <c r="A514" s="5" t="s">
        <v>9</v>
      </c>
      <c r="B514" s="5" t="s">
        <v>7</v>
      </c>
      <c r="C514" s="5" t="s">
        <v>22</v>
      </c>
      <c r="D514" s="5">
        <v>28</v>
      </c>
      <c r="E514" s="5">
        <v>130</v>
      </c>
      <c r="F514" s="5">
        <v>3640</v>
      </c>
    </row>
    <row r="515" spans="1:6" x14ac:dyDescent="0.4">
      <c r="A515" s="5" t="s">
        <v>19</v>
      </c>
      <c r="B515" s="5" t="s">
        <v>12</v>
      </c>
      <c r="C515" s="5" t="s">
        <v>14</v>
      </c>
      <c r="D515" s="5">
        <v>1</v>
      </c>
      <c r="E515" s="5">
        <v>1124</v>
      </c>
      <c r="F515" s="5">
        <v>1124</v>
      </c>
    </row>
    <row r="516" spans="1:6" x14ac:dyDescent="0.4">
      <c r="A516" s="5" t="s">
        <v>9</v>
      </c>
      <c r="B516" s="5" t="s">
        <v>7</v>
      </c>
      <c r="C516" s="5" t="s">
        <v>16</v>
      </c>
      <c r="D516" s="5">
        <v>30</v>
      </c>
      <c r="E516" s="5">
        <v>1673</v>
      </c>
      <c r="F516" s="5">
        <v>50190</v>
      </c>
    </row>
    <row r="517" spans="1:6" x14ac:dyDescent="0.4">
      <c r="A517" s="5" t="s">
        <v>9</v>
      </c>
      <c r="B517" s="5" t="s">
        <v>7</v>
      </c>
      <c r="C517" s="5" t="s">
        <v>22</v>
      </c>
      <c r="D517" s="5">
        <v>40</v>
      </c>
      <c r="E517" s="5">
        <v>316</v>
      </c>
      <c r="F517" s="5">
        <v>12640</v>
      </c>
    </row>
    <row r="518" spans="1:6" x14ac:dyDescent="0.4">
      <c r="A518" s="5" t="s">
        <v>6</v>
      </c>
      <c r="B518" s="5" t="s">
        <v>15</v>
      </c>
      <c r="C518" s="5" t="s">
        <v>8</v>
      </c>
      <c r="D518" s="5">
        <v>35</v>
      </c>
      <c r="E518" s="5">
        <v>1062</v>
      </c>
      <c r="F518" s="5">
        <v>37170</v>
      </c>
    </row>
    <row r="519" spans="1:6" x14ac:dyDescent="0.4">
      <c r="A519" s="5" t="s">
        <v>19</v>
      </c>
      <c r="B519" s="5" t="s">
        <v>7</v>
      </c>
      <c r="C519" s="5" t="s">
        <v>18</v>
      </c>
      <c r="D519" s="5">
        <v>26</v>
      </c>
      <c r="E519" s="5">
        <v>1841</v>
      </c>
      <c r="F519" s="5">
        <v>47866</v>
      </c>
    </row>
    <row r="520" spans="1:6" x14ac:dyDescent="0.4">
      <c r="A520" s="5" t="s">
        <v>9</v>
      </c>
      <c r="B520" s="5" t="s">
        <v>15</v>
      </c>
      <c r="C520" s="5" t="s">
        <v>22</v>
      </c>
      <c r="D520" s="5">
        <v>15</v>
      </c>
      <c r="E520" s="5">
        <v>467</v>
      </c>
      <c r="F520" s="5">
        <v>7005</v>
      </c>
    </row>
    <row r="521" spans="1:6" x14ac:dyDescent="0.4">
      <c r="A521" s="5" t="s">
        <v>17</v>
      </c>
      <c r="B521" s="5" t="s">
        <v>12</v>
      </c>
      <c r="C521" s="5" t="s">
        <v>22</v>
      </c>
      <c r="D521" s="5">
        <v>17</v>
      </c>
      <c r="E521" s="5">
        <v>1273</v>
      </c>
      <c r="F521" s="5">
        <v>21641</v>
      </c>
    </row>
    <row r="522" spans="1:6" x14ac:dyDescent="0.4">
      <c r="A522" s="5" t="s">
        <v>9</v>
      </c>
      <c r="B522" s="5" t="s">
        <v>7</v>
      </c>
      <c r="C522" s="5" t="s">
        <v>20</v>
      </c>
      <c r="D522" s="5">
        <v>49</v>
      </c>
      <c r="E522" s="5">
        <v>1419</v>
      </c>
      <c r="F522" s="5">
        <v>69531</v>
      </c>
    </row>
    <row r="523" spans="1:6" x14ac:dyDescent="0.4">
      <c r="A523" s="5" t="s">
        <v>19</v>
      </c>
      <c r="B523" s="5" t="s">
        <v>10</v>
      </c>
      <c r="C523" s="5" t="s">
        <v>11</v>
      </c>
      <c r="D523" s="5">
        <v>20</v>
      </c>
      <c r="E523" s="5">
        <v>966</v>
      </c>
      <c r="F523" s="5">
        <v>19320</v>
      </c>
    </row>
    <row r="524" spans="1:6" x14ac:dyDescent="0.4">
      <c r="A524" s="5" t="s">
        <v>17</v>
      </c>
      <c r="B524" s="5" t="s">
        <v>12</v>
      </c>
      <c r="C524" s="5" t="s">
        <v>14</v>
      </c>
      <c r="D524" s="5">
        <v>13</v>
      </c>
      <c r="E524" s="5">
        <v>423</v>
      </c>
      <c r="F524" s="5">
        <v>5499</v>
      </c>
    </row>
    <row r="525" spans="1:6" x14ac:dyDescent="0.4">
      <c r="A525" s="5" t="s">
        <v>9</v>
      </c>
      <c r="B525" s="5" t="s">
        <v>10</v>
      </c>
      <c r="C525" s="5" t="s">
        <v>23</v>
      </c>
      <c r="D525" s="5">
        <v>33</v>
      </c>
      <c r="E525" s="5">
        <v>1036</v>
      </c>
      <c r="F525" s="5">
        <v>34188</v>
      </c>
    </row>
    <row r="526" spans="1:6" x14ac:dyDescent="0.4">
      <c r="A526" s="5" t="s">
        <v>19</v>
      </c>
      <c r="B526" s="5" t="s">
        <v>12</v>
      </c>
      <c r="C526" s="5" t="s">
        <v>13</v>
      </c>
      <c r="D526" s="5">
        <v>49</v>
      </c>
      <c r="E526" s="5">
        <v>1028</v>
      </c>
      <c r="F526" s="5">
        <v>50372</v>
      </c>
    </row>
    <row r="527" spans="1:6" x14ac:dyDescent="0.4">
      <c r="A527" s="5" t="s">
        <v>17</v>
      </c>
      <c r="B527" s="5" t="s">
        <v>15</v>
      </c>
      <c r="C527" s="5" t="s">
        <v>14</v>
      </c>
      <c r="D527" s="5">
        <v>5</v>
      </c>
      <c r="E527" s="5">
        <v>595</v>
      </c>
      <c r="F527" s="5">
        <v>2975</v>
      </c>
    </row>
    <row r="528" spans="1:6" x14ac:dyDescent="0.4">
      <c r="A528" s="5" t="s">
        <v>6</v>
      </c>
      <c r="B528" s="5" t="s">
        <v>12</v>
      </c>
      <c r="C528" s="5" t="s">
        <v>14</v>
      </c>
      <c r="D528" s="5">
        <v>32</v>
      </c>
      <c r="E528" s="5">
        <v>391</v>
      </c>
      <c r="F528" s="5">
        <v>12512</v>
      </c>
    </row>
    <row r="529" spans="1:6" x14ac:dyDescent="0.4">
      <c r="A529" s="5" t="s">
        <v>6</v>
      </c>
      <c r="B529" s="5" t="s">
        <v>7</v>
      </c>
      <c r="C529" s="5" t="s">
        <v>16</v>
      </c>
      <c r="D529" s="5">
        <v>44</v>
      </c>
      <c r="E529" s="5">
        <v>652</v>
      </c>
      <c r="F529" s="5">
        <v>28688</v>
      </c>
    </row>
    <row r="530" spans="1:6" x14ac:dyDescent="0.4">
      <c r="A530" s="5" t="s">
        <v>6</v>
      </c>
      <c r="B530" s="5" t="s">
        <v>21</v>
      </c>
      <c r="C530" s="5" t="s">
        <v>23</v>
      </c>
      <c r="D530" s="5">
        <v>46</v>
      </c>
      <c r="E530" s="5">
        <v>188</v>
      </c>
      <c r="F530" s="5">
        <v>8648</v>
      </c>
    </row>
    <row r="531" spans="1:6" x14ac:dyDescent="0.4">
      <c r="A531" s="5" t="s">
        <v>17</v>
      </c>
      <c r="B531" s="5" t="s">
        <v>21</v>
      </c>
      <c r="C531" s="5" t="s">
        <v>11</v>
      </c>
      <c r="D531" s="5">
        <v>26</v>
      </c>
      <c r="E531" s="5">
        <v>672</v>
      </c>
      <c r="F531" s="5">
        <v>17472</v>
      </c>
    </row>
    <row r="532" spans="1:6" x14ac:dyDescent="0.4">
      <c r="A532" s="5" t="s">
        <v>19</v>
      </c>
      <c r="B532" s="5" t="s">
        <v>21</v>
      </c>
      <c r="C532" s="5" t="s">
        <v>8</v>
      </c>
      <c r="D532" s="5">
        <v>49</v>
      </c>
      <c r="E532" s="5">
        <v>1485</v>
      </c>
      <c r="F532" s="5">
        <v>72765</v>
      </c>
    </row>
    <row r="533" spans="1:6" x14ac:dyDescent="0.4">
      <c r="A533" s="5" t="s">
        <v>19</v>
      </c>
      <c r="B533" s="5" t="s">
        <v>21</v>
      </c>
      <c r="C533" s="5" t="s">
        <v>13</v>
      </c>
      <c r="D533" s="5">
        <v>27</v>
      </c>
      <c r="E533" s="5">
        <v>700</v>
      </c>
      <c r="F533" s="5">
        <v>18900</v>
      </c>
    </row>
    <row r="534" spans="1:6" x14ac:dyDescent="0.4">
      <c r="A534" s="5" t="s">
        <v>19</v>
      </c>
      <c r="B534" s="5" t="s">
        <v>7</v>
      </c>
      <c r="C534" s="5" t="s">
        <v>8</v>
      </c>
      <c r="D534" s="5">
        <v>7</v>
      </c>
      <c r="E534" s="5">
        <v>1383</v>
      </c>
      <c r="F534" s="5">
        <v>9681</v>
      </c>
    </row>
    <row r="535" spans="1:6" x14ac:dyDescent="0.4">
      <c r="A535" s="5" t="s">
        <v>17</v>
      </c>
      <c r="B535" s="5" t="s">
        <v>10</v>
      </c>
      <c r="C535" s="5" t="s">
        <v>18</v>
      </c>
      <c r="D535" s="5">
        <v>44</v>
      </c>
      <c r="E535" s="5">
        <v>1775</v>
      </c>
      <c r="F535" s="5">
        <v>78100</v>
      </c>
    </row>
    <row r="536" spans="1:6" x14ac:dyDescent="0.4">
      <c r="A536" s="5" t="s">
        <v>6</v>
      </c>
      <c r="B536" s="5" t="s">
        <v>10</v>
      </c>
      <c r="C536" s="5" t="s">
        <v>8</v>
      </c>
      <c r="D536" s="5">
        <v>17</v>
      </c>
      <c r="E536" s="5">
        <v>1832</v>
      </c>
      <c r="F536" s="5">
        <v>31144</v>
      </c>
    </row>
    <row r="537" spans="1:6" x14ac:dyDescent="0.4">
      <c r="A537" s="5" t="s">
        <v>6</v>
      </c>
      <c r="B537" s="5" t="s">
        <v>12</v>
      </c>
      <c r="C537" s="5" t="s">
        <v>14</v>
      </c>
      <c r="D537" s="5">
        <v>6</v>
      </c>
      <c r="E537" s="5">
        <v>752</v>
      </c>
      <c r="F537" s="5">
        <v>4512</v>
      </c>
    </row>
    <row r="538" spans="1:6" x14ac:dyDescent="0.4">
      <c r="A538" s="5" t="s">
        <v>6</v>
      </c>
      <c r="B538" s="5" t="s">
        <v>7</v>
      </c>
      <c r="C538" s="5" t="s">
        <v>11</v>
      </c>
      <c r="D538" s="5">
        <v>21</v>
      </c>
      <c r="E538" s="5">
        <v>1255</v>
      </c>
      <c r="F538" s="5">
        <v>26355</v>
      </c>
    </row>
    <row r="539" spans="1:6" x14ac:dyDescent="0.4">
      <c r="A539" s="5" t="s">
        <v>9</v>
      </c>
      <c r="B539" s="5" t="s">
        <v>12</v>
      </c>
      <c r="C539" s="5" t="s">
        <v>18</v>
      </c>
      <c r="D539" s="5">
        <v>45</v>
      </c>
      <c r="E539" s="5">
        <v>1124</v>
      </c>
      <c r="F539" s="5">
        <v>50580</v>
      </c>
    </row>
    <row r="540" spans="1:6" x14ac:dyDescent="0.4">
      <c r="A540" s="5" t="s">
        <v>19</v>
      </c>
      <c r="B540" s="5" t="s">
        <v>21</v>
      </c>
      <c r="C540" s="5" t="s">
        <v>20</v>
      </c>
      <c r="D540" s="5">
        <v>24</v>
      </c>
      <c r="E540" s="5">
        <v>1034</v>
      </c>
      <c r="F540" s="5">
        <v>24816</v>
      </c>
    </row>
    <row r="541" spans="1:6" x14ac:dyDescent="0.4">
      <c r="A541" s="5" t="s">
        <v>17</v>
      </c>
      <c r="B541" s="5" t="s">
        <v>7</v>
      </c>
      <c r="C541" s="5" t="s">
        <v>16</v>
      </c>
      <c r="D541" s="5">
        <v>12</v>
      </c>
      <c r="E541" s="5">
        <v>695</v>
      </c>
      <c r="F541" s="5">
        <v>8340</v>
      </c>
    </row>
    <row r="542" spans="1:6" x14ac:dyDescent="0.4">
      <c r="A542" s="5" t="s">
        <v>17</v>
      </c>
      <c r="B542" s="5" t="s">
        <v>7</v>
      </c>
      <c r="C542" s="5" t="s">
        <v>13</v>
      </c>
      <c r="D542" s="5">
        <v>38</v>
      </c>
      <c r="E542" s="5">
        <v>1123</v>
      </c>
      <c r="F542" s="5">
        <v>42674</v>
      </c>
    </row>
    <row r="543" spans="1:6" x14ac:dyDescent="0.4">
      <c r="A543" s="5" t="s">
        <v>6</v>
      </c>
      <c r="B543" s="5" t="s">
        <v>15</v>
      </c>
      <c r="C543" s="5" t="s">
        <v>11</v>
      </c>
      <c r="D543" s="5">
        <v>3</v>
      </c>
      <c r="E543" s="5">
        <v>718</v>
      </c>
      <c r="F543" s="5">
        <v>2154</v>
      </c>
    </row>
    <row r="544" spans="1:6" x14ac:dyDescent="0.4">
      <c r="A544" s="5" t="s">
        <v>9</v>
      </c>
      <c r="B544" s="5" t="s">
        <v>21</v>
      </c>
      <c r="C544" s="5" t="s">
        <v>24</v>
      </c>
      <c r="D544" s="5">
        <v>12</v>
      </c>
      <c r="E544" s="5">
        <v>459</v>
      </c>
      <c r="F544" s="5">
        <v>5508</v>
      </c>
    </row>
    <row r="545" spans="1:6" x14ac:dyDescent="0.4">
      <c r="A545" s="5" t="s">
        <v>17</v>
      </c>
      <c r="B545" s="5" t="s">
        <v>15</v>
      </c>
      <c r="C545" s="5" t="s">
        <v>13</v>
      </c>
      <c r="D545" s="5">
        <v>43</v>
      </c>
      <c r="E545" s="5">
        <v>116</v>
      </c>
      <c r="F545" s="5">
        <v>4988</v>
      </c>
    </row>
    <row r="546" spans="1:6" x14ac:dyDescent="0.4">
      <c r="A546" s="5" t="s">
        <v>19</v>
      </c>
      <c r="B546" s="5" t="s">
        <v>12</v>
      </c>
      <c r="C546" s="5" t="s">
        <v>16</v>
      </c>
      <c r="D546" s="5">
        <v>17</v>
      </c>
      <c r="E546" s="5">
        <v>1547</v>
      </c>
      <c r="F546" s="5">
        <v>26299</v>
      </c>
    </row>
    <row r="547" spans="1:6" x14ac:dyDescent="0.4">
      <c r="A547" s="5" t="s">
        <v>6</v>
      </c>
      <c r="B547" s="5" t="s">
        <v>12</v>
      </c>
      <c r="C547" s="5" t="s">
        <v>18</v>
      </c>
      <c r="D547" s="5">
        <v>29</v>
      </c>
      <c r="E547" s="5">
        <v>1370</v>
      </c>
      <c r="F547" s="5">
        <v>39730</v>
      </c>
    </row>
    <row r="548" spans="1:6" x14ac:dyDescent="0.4">
      <c r="A548" s="5" t="s">
        <v>6</v>
      </c>
      <c r="B548" s="5" t="s">
        <v>21</v>
      </c>
      <c r="C548" s="5" t="s">
        <v>16</v>
      </c>
      <c r="D548" s="5">
        <v>37</v>
      </c>
      <c r="E548" s="5">
        <v>1337</v>
      </c>
      <c r="F548" s="5">
        <v>49469</v>
      </c>
    </row>
    <row r="549" spans="1:6" x14ac:dyDescent="0.4">
      <c r="A549" s="5" t="s">
        <v>17</v>
      </c>
      <c r="B549" s="5" t="s">
        <v>10</v>
      </c>
      <c r="C549" s="5" t="s">
        <v>8</v>
      </c>
      <c r="D549" s="5">
        <v>36</v>
      </c>
      <c r="E549" s="5">
        <v>345</v>
      </c>
      <c r="F549" s="5">
        <v>12420</v>
      </c>
    </row>
    <row r="550" spans="1:6" x14ac:dyDescent="0.4">
      <c r="A550" s="5" t="s">
        <v>6</v>
      </c>
      <c r="B550" s="5" t="s">
        <v>15</v>
      </c>
      <c r="C550" s="5" t="s">
        <v>14</v>
      </c>
      <c r="D550" s="5">
        <v>43</v>
      </c>
      <c r="E550" s="5">
        <v>1618</v>
      </c>
      <c r="F550" s="5">
        <v>69574</v>
      </c>
    </row>
    <row r="551" spans="1:6" x14ac:dyDescent="0.4">
      <c r="A551" s="5" t="s">
        <v>6</v>
      </c>
      <c r="B551" s="5" t="s">
        <v>21</v>
      </c>
      <c r="C551" s="5" t="s">
        <v>20</v>
      </c>
      <c r="D551" s="5">
        <v>12</v>
      </c>
      <c r="E551" s="5">
        <v>1049</v>
      </c>
      <c r="F551" s="5">
        <v>12588</v>
      </c>
    </row>
    <row r="552" spans="1:6" x14ac:dyDescent="0.4">
      <c r="A552" s="5" t="s">
        <v>19</v>
      </c>
      <c r="B552" s="5" t="s">
        <v>21</v>
      </c>
      <c r="C552" s="5" t="s">
        <v>23</v>
      </c>
      <c r="D552" s="5">
        <v>45</v>
      </c>
      <c r="E552" s="5">
        <v>1043</v>
      </c>
      <c r="F552" s="5">
        <v>46935</v>
      </c>
    </row>
    <row r="553" spans="1:6" x14ac:dyDescent="0.4">
      <c r="A553" s="5" t="s">
        <v>6</v>
      </c>
      <c r="B553" s="5" t="s">
        <v>10</v>
      </c>
      <c r="C553" s="5" t="s">
        <v>8</v>
      </c>
      <c r="D553" s="5">
        <v>3</v>
      </c>
      <c r="E553" s="5">
        <v>376</v>
      </c>
      <c r="F553" s="5">
        <v>1128</v>
      </c>
    </row>
    <row r="554" spans="1:6" x14ac:dyDescent="0.4">
      <c r="A554" s="5" t="s">
        <v>9</v>
      </c>
      <c r="B554" s="5" t="s">
        <v>7</v>
      </c>
      <c r="C554" s="5" t="s">
        <v>11</v>
      </c>
      <c r="D554" s="5">
        <v>15</v>
      </c>
      <c r="E554" s="5">
        <v>1742</v>
      </c>
      <c r="F554" s="5">
        <v>26130</v>
      </c>
    </row>
    <row r="555" spans="1:6" x14ac:dyDescent="0.4">
      <c r="A555" s="5" t="s">
        <v>17</v>
      </c>
      <c r="B555" s="5" t="s">
        <v>21</v>
      </c>
      <c r="C555" s="5" t="s">
        <v>16</v>
      </c>
      <c r="D555" s="5">
        <v>30</v>
      </c>
      <c r="E555" s="5">
        <v>1546</v>
      </c>
      <c r="F555" s="5">
        <v>46380</v>
      </c>
    </row>
    <row r="556" spans="1:6" x14ac:dyDescent="0.4">
      <c r="A556" s="5" t="s">
        <v>6</v>
      </c>
      <c r="B556" s="5" t="s">
        <v>12</v>
      </c>
      <c r="C556" s="5" t="s">
        <v>13</v>
      </c>
      <c r="D556" s="5">
        <v>36</v>
      </c>
      <c r="E556" s="5">
        <v>1693</v>
      </c>
      <c r="F556" s="5">
        <v>60948</v>
      </c>
    </row>
    <row r="557" spans="1:6" x14ac:dyDescent="0.4">
      <c r="A557" s="5" t="s">
        <v>17</v>
      </c>
      <c r="B557" s="5" t="s">
        <v>15</v>
      </c>
      <c r="C557" s="5" t="s">
        <v>8</v>
      </c>
      <c r="D557" s="5">
        <v>3</v>
      </c>
      <c r="E557" s="5">
        <v>1833</v>
      </c>
      <c r="F557" s="5">
        <v>5499</v>
      </c>
    </row>
    <row r="558" spans="1:6" x14ac:dyDescent="0.4">
      <c r="A558" s="5" t="s">
        <v>19</v>
      </c>
      <c r="B558" s="5" t="s">
        <v>7</v>
      </c>
      <c r="C558" s="5" t="s">
        <v>24</v>
      </c>
      <c r="D558" s="5">
        <v>35</v>
      </c>
      <c r="E558" s="5">
        <v>130</v>
      </c>
      <c r="F558" s="5">
        <v>4550</v>
      </c>
    </row>
    <row r="559" spans="1:6" x14ac:dyDescent="0.4">
      <c r="A559" s="5" t="s">
        <v>9</v>
      </c>
      <c r="B559" s="5" t="s">
        <v>12</v>
      </c>
      <c r="C559" s="5" t="s">
        <v>20</v>
      </c>
      <c r="D559" s="5">
        <v>26</v>
      </c>
      <c r="E559" s="5">
        <v>659</v>
      </c>
      <c r="F559" s="5">
        <v>17134</v>
      </c>
    </row>
    <row r="560" spans="1:6" x14ac:dyDescent="0.4">
      <c r="A560" s="5" t="s">
        <v>9</v>
      </c>
      <c r="B560" s="5" t="s">
        <v>10</v>
      </c>
      <c r="C560" s="5" t="s">
        <v>14</v>
      </c>
      <c r="D560" s="5">
        <v>32</v>
      </c>
      <c r="E560" s="5">
        <v>1693</v>
      </c>
      <c r="F560" s="5">
        <v>54176</v>
      </c>
    </row>
    <row r="561" spans="1:6" x14ac:dyDescent="0.4">
      <c r="A561" s="5" t="s">
        <v>17</v>
      </c>
      <c r="B561" s="5" t="s">
        <v>15</v>
      </c>
      <c r="C561" s="5" t="s">
        <v>16</v>
      </c>
      <c r="D561" s="5">
        <v>24</v>
      </c>
      <c r="E561" s="5">
        <v>660</v>
      </c>
      <c r="F561" s="5">
        <v>15840</v>
      </c>
    </row>
    <row r="562" spans="1:6" x14ac:dyDescent="0.4">
      <c r="A562" s="5" t="s">
        <v>9</v>
      </c>
      <c r="B562" s="5" t="s">
        <v>12</v>
      </c>
      <c r="C562" s="5" t="s">
        <v>18</v>
      </c>
      <c r="D562" s="5">
        <v>29</v>
      </c>
      <c r="E562" s="5">
        <v>1957</v>
      </c>
      <c r="F562" s="5">
        <v>56753</v>
      </c>
    </row>
    <row r="563" spans="1:6" x14ac:dyDescent="0.4">
      <c r="A563" s="5" t="s">
        <v>17</v>
      </c>
      <c r="B563" s="5" t="s">
        <v>7</v>
      </c>
      <c r="C563" s="5" t="s">
        <v>14</v>
      </c>
      <c r="D563" s="5">
        <v>28</v>
      </c>
      <c r="E563" s="5">
        <v>529</v>
      </c>
      <c r="F563" s="5">
        <v>14812</v>
      </c>
    </row>
    <row r="564" spans="1:6" x14ac:dyDescent="0.4">
      <c r="A564" s="5" t="s">
        <v>19</v>
      </c>
      <c r="B564" s="5" t="s">
        <v>10</v>
      </c>
      <c r="C564" s="5" t="s">
        <v>18</v>
      </c>
      <c r="D564" s="5">
        <v>42</v>
      </c>
      <c r="E564" s="5">
        <v>1297</v>
      </c>
      <c r="F564" s="5">
        <v>54474</v>
      </c>
    </row>
    <row r="565" spans="1:6" x14ac:dyDescent="0.4">
      <c r="A565" s="5" t="s">
        <v>6</v>
      </c>
      <c r="B565" s="5" t="s">
        <v>10</v>
      </c>
      <c r="C565" s="5" t="s">
        <v>18</v>
      </c>
      <c r="D565" s="5">
        <v>13</v>
      </c>
      <c r="E565" s="5">
        <v>1504</v>
      </c>
      <c r="F565" s="5">
        <v>19552</v>
      </c>
    </row>
    <row r="566" spans="1:6" x14ac:dyDescent="0.4">
      <c r="A566" s="5" t="s">
        <v>9</v>
      </c>
      <c r="B566" s="5" t="s">
        <v>21</v>
      </c>
      <c r="C566" s="5" t="s">
        <v>13</v>
      </c>
      <c r="D566" s="5">
        <v>45</v>
      </c>
      <c r="E566" s="5">
        <v>1016</v>
      </c>
      <c r="F566" s="5">
        <v>45720</v>
      </c>
    </row>
    <row r="567" spans="1:6" x14ac:dyDescent="0.4">
      <c r="A567" s="5" t="s">
        <v>9</v>
      </c>
      <c r="B567" s="5" t="s">
        <v>10</v>
      </c>
      <c r="C567" s="5" t="s">
        <v>14</v>
      </c>
      <c r="D567" s="5">
        <v>30</v>
      </c>
      <c r="E567" s="5">
        <v>289</v>
      </c>
      <c r="F567" s="5">
        <v>8670</v>
      </c>
    </row>
    <row r="568" spans="1:6" x14ac:dyDescent="0.4">
      <c r="A568" s="5" t="s">
        <v>6</v>
      </c>
      <c r="B568" s="5" t="s">
        <v>21</v>
      </c>
      <c r="C568" s="5" t="s">
        <v>8</v>
      </c>
      <c r="D568" s="5">
        <v>47</v>
      </c>
      <c r="E568" s="5">
        <v>675</v>
      </c>
      <c r="F568" s="5">
        <v>31725</v>
      </c>
    </row>
    <row r="569" spans="1:6" x14ac:dyDescent="0.4">
      <c r="A569" s="5" t="s">
        <v>17</v>
      </c>
      <c r="B569" s="5" t="s">
        <v>21</v>
      </c>
      <c r="C569" s="5" t="s">
        <v>18</v>
      </c>
      <c r="D569" s="5">
        <v>14</v>
      </c>
      <c r="E569" s="5">
        <v>1194</v>
      </c>
      <c r="F569" s="5">
        <v>16716</v>
      </c>
    </row>
    <row r="570" spans="1:6" x14ac:dyDescent="0.4">
      <c r="A570" s="5" t="s">
        <v>19</v>
      </c>
      <c r="B570" s="5" t="s">
        <v>21</v>
      </c>
      <c r="C570" s="5" t="s">
        <v>11</v>
      </c>
      <c r="D570" s="5">
        <v>32</v>
      </c>
      <c r="E570" s="5">
        <v>1252</v>
      </c>
      <c r="F570" s="5">
        <v>40064</v>
      </c>
    </row>
    <row r="571" spans="1:6" x14ac:dyDescent="0.4">
      <c r="A571" s="5" t="s">
        <v>6</v>
      </c>
      <c r="B571" s="5" t="s">
        <v>7</v>
      </c>
      <c r="C571" s="5" t="s">
        <v>23</v>
      </c>
      <c r="D571" s="5">
        <v>22</v>
      </c>
      <c r="E571" s="5">
        <v>1531</v>
      </c>
      <c r="F571" s="5">
        <v>33682</v>
      </c>
    </row>
    <row r="572" spans="1:6" x14ac:dyDescent="0.4">
      <c r="A572" s="5" t="s">
        <v>17</v>
      </c>
      <c r="B572" s="5" t="s">
        <v>15</v>
      </c>
      <c r="C572" s="5" t="s">
        <v>8</v>
      </c>
      <c r="D572" s="5">
        <v>12</v>
      </c>
      <c r="E572" s="5">
        <v>608</v>
      </c>
      <c r="F572" s="5">
        <v>7296</v>
      </c>
    </row>
    <row r="573" spans="1:6" x14ac:dyDescent="0.4">
      <c r="A573" s="5" t="s">
        <v>6</v>
      </c>
      <c r="B573" s="5" t="s">
        <v>15</v>
      </c>
      <c r="C573" s="5" t="s">
        <v>16</v>
      </c>
      <c r="D573" s="5">
        <v>8</v>
      </c>
      <c r="E573" s="5">
        <v>1675</v>
      </c>
      <c r="F573" s="5">
        <v>13400</v>
      </c>
    </row>
    <row r="574" spans="1:6" x14ac:dyDescent="0.4">
      <c r="A574" s="5" t="s">
        <v>17</v>
      </c>
      <c r="B574" s="5" t="s">
        <v>7</v>
      </c>
      <c r="C574" s="5" t="s">
        <v>24</v>
      </c>
      <c r="D574" s="5">
        <v>32</v>
      </c>
      <c r="E574" s="5">
        <v>1294</v>
      </c>
      <c r="F574" s="5">
        <v>41408</v>
      </c>
    </row>
    <row r="575" spans="1:6" x14ac:dyDescent="0.4">
      <c r="A575" s="5" t="s">
        <v>17</v>
      </c>
      <c r="B575" s="5" t="s">
        <v>7</v>
      </c>
      <c r="C575" s="5" t="s">
        <v>20</v>
      </c>
      <c r="D575" s="5">
        <v>40</v>
      </c>
      <c r="E575" s="5">
        <v>291</v>
      </c>
      <c r="F575" s="5">
        <v>11640</v>
      </c>
    </row>
    <row r="576" spans="1:6" x14ac:dyDescent="0.4">
      <c r="A576" s="5" t="s">
        <v>19</v>
      </c>
      <c r="B576" s="5" t="s">
        <v>12</v>
      </c>
      <c r="C576" s="5" t="s">
        <v>23</v>
      </c>
      <c r="D576" s="5">
        <v>1</v>
      </c>
      <c r="E576" s="5">
        <v>1666</v>
      </c>
      <c r="F576" s="5">
        <v>1666</v>
      </c>
    </row>
    <row r="577" spans="1:6" x14ac:dyDescent="0.4">
      <c r="A577" s="5" t="s">
        <v>9</v>
      </c>
      <c r="B577" s="5" t="s">
        <v>12</v>
      </c>
      <c r="C577" s="5" t="s">
        <v>18</v>
      </c>
      <c r="D577" s="5">
        <v>39</v>
      </c>
      <c r="E577" s="5">
        <v>1676</v>
      </c>
      <c r="F577" s="5">
        <v>65364</v>
      </c>
    </row>
    <row r="578" spans="1:6" x14ac:dyDescent="0.4">
      <c r="A578" s="5" t="s">
        <v>19</v>
      </c>
      <c r="B578" s="5" t="s">
        <v>15</v>
      </c>
      <c r="C578" s="5" t="s">
        <v>18</v>
      </c>
      <c r="D578" s="5">
        <v>28</v>
      </c>
      <c r="E578" s="5">
        <v>1919</v>
      </c>
      <c r="F578" s="5">
        <v>53732</v>
      </c>
    </row>
    <row r="579" spans="1:6" x14ac:dyDescent="0.4">
      <c r="A579" s="5" t="s">
        <v>9</v>
      </c>
      <c r="B579" s="5" t="s">
        <v>15</v>
      </c>
      <c r="C579" s="5" t="s">
        <v>20</v>
      </c>
      <c r="D579" s="5">
        <v>30</v>
      </c>
      <c r="E579" s="5">
        <v>834</v>
      </c>
      <c r="F579" s="5">
        <v>25020</v>
      </c>
    </row>
    <row r="580" spans="1:6" x14ac:dyDescent="0.4">
      <c r="A580" s="5" t="s">
        <v>17</v>
      </c>
      <c r="B580" s="5" t="s">
        <v>10</v>
      </c>
      <c r="C580" s="5" t="s">
        <v>8</v>
      </c>
      <c r="D580" s="5">
        <v>6</v>
      </c>
      <c r="E580" s="5">
        <v>1771</v>
      </c>
      <c r="F580" s="5">
        <v>10626</v>
      </c>
    </row>
    <row r="581" spans="1:6" x14ac:dyDescent="0.4">
      <c r="A581" s="5" t="s">
        <v>17</v>
      </c>
      <c r="B581" s="5" t="s">
        <v>12</v>
      </c>
      <c r="C581" s="5" t="s">
        <v>18</v>
      </c>
      <c r="D581" s="5">
        <v>50</v>
      </c>
      <c r="E581" s="5">
        <v>1036</v>
      </c>
      <c r="F581" s="5">
        <v>51800</v>
      </c>
    </row>
    <row r="582" spans="1:6" x14ac:dyDescent="0.4">
      <c r="A582" s="5" t="s">
        <v>19</v>
      </c>
      <c r="B582" s="5" t="s">
        <v>21</v>
      </c>
      <c r="C582" s="5" t="s">
        <v>8</v>
      </c>
      <c r="D582" s="5">
        <v>13</v>
      </c>
      <c r="E582" s="5">
        <v>1523</v>
      </c>
      <c r="F582" s="5">
        <v>19799</v>
      </c>
    </row>
    <row r="583" spans="1:6" x14ac:dyDescent="0.4">
      <c r="A583" s="5" t="s">
        <v>9</v>
      </c>
      <c r="B583" s="5" t="s">
        <v>12</v>
      </c>
      <c r="C583" s="5" t="s">
        <v>24</v>
      </c>
      <c r="D583" s="5">
        <v>8</v>
      </c>
      <c r="E583" s="5">
        <v>1742</v>
      </c>
      <c r="F583" s="5">
        <v>13936</v>
      </c>
    </row>
    <row r="584" spans="1:6" x14ac:dyDescent="0.4">
      <c r="A584" s="5" t="s">
        <v>9</v>
      </c>
      <c r="B584" s="5" t="s">
        <v>15</v>
      </c>
      <c r="C584" s="5" t="s">
        <v>13</v>
      </c>
      <c r="D584" s="5">
        <v>20</v>
      </c>
      <c r="E584" s="5">
        <v>482</v>
      </c>
      <c r="F584" s="5">
        <v>9640</v>
      </c>
    </row>
    <row r="585" spans="1:6" x14ac:dyDescent="0.4">
      <c r="A585" s="5" t="s">
        <v>9</v>
      </c>
      <c r="B585" s="5" t="s">
        <v>12</v>
      </c>
      <c r="C585" s="5" t="s">
        <v>20</v>
      </c>
      <c r="D585" s="5">
        <v>50</v>
      </c>
      <c r="E585" s="5">
        <v>732</v>
      </c>
      <c r="F585" s="5">
        <v>36600</v>
      </c>
    </row>
    <row r="586" spans="1:6" x14ac:dyDescent="0.4">
      <c r="A586" s="5" t="s">
        <v>19</v>
      </c>
      <c r="B586" s="5" t="s">
        <v>12</v>
      </c>
      <c r="C586" s="5" t="s">
        <v>24</v>
      </c>
      <c r="D586" s="5">
        <v>41</v>
      </c>
      <c r="E586" s="5">
        <v>188</v>
      </c>
      <c r="F586" s="5">
        <v>7708</v>
      </c>
    </row>
    <row r="587" spans="1:6" x14ac:dyDescent="0.4">
      <c r="A587" s="5" t="s">
        <v>19</v>
      </c>
      <c r="B587" s="5" t="s">
        <v>12</v>
      </c>
      <c r="C587" s="5" t="s">
        <v>16</v>
      </c>
      <c r="D587" s="5">
        <v>11</v>
      </c>
      <c r="E587" s="5">
        <v>151</v>
      </c>
      <c r="F587" s="5">
        <v>1661</v>
      </c>
    </row>
    <row r="588" spans="1:6" x14ac:dyDescent="0.4">
      <c r="A588" s="5" t="s">
        <v>19</v>
      </c>
      <c r="B588" s="5" t="s">
        <v>10</v>
      </c>
      <c r="C588" s="5" t="s">
        <v>16</v>
      </c>
      <c r="D588" s="5">
        <v>12</v>
      </c>
      <c r="E588" s="5">
        <v>1727</v>
      </c>
      <c r="F588" s="5">
        <v>20724</v>
      </c>
    </row>
    <row r="589" spans="1:6" x14ac:dyDescent="0.4">
      <c r="A589" s="5" t="s">
        <v>9</v>
      </c>
      <c r="B589" s="5" t="s">
        <v>12</v>
      </c>
      <c r="C589" s="5" t="s">
        <v>14</v>
      </c>
      <c r="D589" s="5">
        <v>9</v>
      </c>
      <c r="E589" s="5">
        <v>759</v>
      </c>
      <c r="F589" s="5">
        <v>6831</v>
      </c>
    </row>
    <row r="590" spans="1:6" x14ac:dyDescent="0.4">
      <c r="A590" s="5" t="s">
        <v>19</v>
      </c>
      <c r="B590" s="5" t="s">
        <v>10</v>
      </c>
      <c r="C590" s="5" t="s">
        <v>11</v>
      </c>
      <c r="D590" s="5">
        <v>6</v>
      </c>
      <c r="E590" s="5">
        <v>649</v>
      </c>
      <c r="F590" s="5">
        <v>3894</v>
      </c>
    </row>
    <row r="591" spans="1:6" x14ac:dyDescent="0.4">
      <c r="A591" s="5" t="s">
        <v>19</v>
      </c>
      <c r="B591" s="5" t="s">
        <v>15</v>
      </c>
      <c r="C591" s="5" t="s">
        <v>23</v>
      </c>
      <c r="D591" s="5">
        <v>27</v>
      </c>
      <c r="E591" s="5">
        <v>1198</v>
      </c>
      <c r="F591" s="5">
        <v>32346</v>
      </c>
    </row>
    <row r="592" spans="1:6" x14ac:dyDescent="0.4">
      <c r="A592" s="5" t="s">
        <v>9</v>
      </c>
      <c r="B592" s="5" t="s">
        <v>7</v>
      </c>
      <c r="C592" s="5" t="s">
        <v>24</v>
      </c>
      <c r="D592" s="5">
        <v>10</v>
      </c>
      <c r="E592" s="5">
        <v>1211</v>
      </c>
      <c r="F592" s="5">
        <v>12110</v>
      </c>
    </row>
    <row r="593" spans="1:6" x14ac:dyDescent="0.4">
      <c r="A593" s="5" t="s">
        <v>17</v>
      </c>
      <c r="B593" s="5" t="s">
        <v>21</v>
      </c>
      <c r="C593" s="5" t="s">
        <v>20</v>
      </c>
      <c r="D593" s="5">
        <v>11</v>
      </c>
      <c r="E593" s="5">
        <v>426</v>
      </c>
      <c r="F593" s="5">
        <v>4686</v>
      </c>
    </row>
    <row r="594" spans="1:6" x14ac:dyDescent="0.4">
      <c r="A594" s="5" t="s">
        <v>19</v>
      </c>
      <c r="B594" s="5" t="s">
        <v>10</v>
      </c>
      <c r="C594" s="5" t="s">
        <v>20</v>
      </c>
      <c r="D594" s="5">
        <v>42</v>
      </c>
      <c r="E594" s="5">
        <v>908</v>
      </c>
      <c r="F594" s="5">
        <v>38136</v>
      </c>
    </row>
    <row r="595" spans="1:6" x14ac:dyDescent="0.4">
      <c r="A595" s="5" t="s">
        <v>9</v>
      </c>
      <c r="B595" s="5" t="s">
        <v>12</v>
      </c>
      <c r="C595" s="5" t="s">
        <v>14</v>
      </c>
      <c r="D595" s="5">
        <v>24</v>
      </c>
      <c r="E595" s="5">
        <v>1169</v>
      </c>
      <c r="F595" s="5">
        <v>28056</v>
      </c>
    </row>
    <row r="596" spans="1:6" x14ac:dyDescent="0.4">
      <c r="A596" s="5" t="s">
        <v>17</v>
      </c>
      <c r="B596" s="5" t="s">
        <v>12</v>
      </c>
      <c r="C596" s="5" t="s">
        <v>23</v>
      </c>
      <c r="D596" s="5">
        <v>28</v>
      </c>
      <c r="E596" s="5">
        <v>101</v>
      </c>
      <c r="F596" s="5">
        <v>2828</v>
      </c>
    </row>
    <row r="597" spans="1:6" x14ac:dyDescent="0.4">
      <c r="A597" s="5" t="s">
        <v>17</v>
      </c>
      <c r="B597" s="5" t="s">
        <v>21</v>
      </c>
      <c r="C597" s="5" t="s">
        <v>14</v>
      </c>
      <c r="D597" s="5">
        <v>21</v>
      </c>
      <c r="E597" s="5">
        <v>380</v>
      </c>
      <c r="F597" s="5">
        <v>7980</v>
      </c>
    </row>
    <row r="598" spans="1:6" x14ac:dyDescent="0.4">
      <c r="A598" s="5" t="s">
        <v>19</v>
      </c>
      <c r="B598" s="5" t="s">
        <v>21</v>
      </c>
      <c r="C598" s="5" t="s">
        <v>18</v>
      </c>
      <c r="D598" s="5">
        <v>35</v>
      </c>
      <c r="E598" s="5">
        <v>1417</v>
      </c>
      <c r="F598" s="5">
        <v>49595</v>
      </c>
    </row>
    <row r="599" spans="1:6" x14ac:dyDescent="0.4">
      <c r="A599" s="5" t="s">
        <v>6</v>
      </c>
      <c r="B599" s="5" t="s">
        <v>12</v>
      </c>
      <c r="C599" s="5" t="s">
        <v>16</v>
      </c>
      <c r="D599" s="5">
        <v>26</v>
      </c>
      <c r="E599" s="5">
        <v>1325</v>
      </c>
      <c r="F599" s="5">
        <v>34450</v>
      </c>
    </row>
    <row r="600" spans="1:6" x14ac:dyDescent="0.4">
      <c r="A600" s="5" t="s">
        <v>9</v>
      </c>
      <c r="B600" s="5" t="s">
        <v>21</v>
      </c>
      <c r="C600" s="5" t="s">
        <v>20</v>
      </c>
      <c r="D600" s="5">
        <v>44</v>
      </c>
      <c r="E600" s="5">
        <v>1594</v>
      </c>
      <c r="F600" s="5">
        <v>70136</v>
      </c>
    </row>
    <row r="601" spans="1:6" x14ac:dyDescent="0.4">
      <c r="A601" s="5" t="s">
        <v>19</v>
      </c>
      <c r="B601" s="5" t="s">
        <v>10</v>
      </c>
      <c r="C601" s="5" t="s">
        <v>20</v>
      </c>
      <c r="D601" s="5">
        <v>34</v>
      </c>
      <c r="E601" s="5">
        <v>558</v>
      </c>
      <c r="F601" s="5">
        <v>18972</v>
      </c>
    </row>
    <row r="602" spans="1:6" x14ac:dyDescent="0.4">
      <c r="A602" s="5" t="s">
        <v>17</v>
      </c>
      <c r="B602" s="5" t="s">
        <v>12</v>
      </c>
      <c r="C602" s="5" t="s">
        <v>22</v>
      </c>
      <c r="D602" s="5">
        <v>1</v>
      </c>
      <c r="E602" s="5">
        <v>686</v>
      </c>
      <c r="F602" s="5">
        <v>686</v>
      </c>
    </row>
    <row r="603" spans="1:6" x14ac:dyDescent="0.4">
      <c r="A603" s="5" t="s">
        <v>9</v>
      </c>
      <c r="B603" s="5" t="s">
        <v>15</v>
      </c>
      <c r="C603" s="5" t="s">
        <v>14</v>
      </c>
      <c r="D603" s="5">
        <v>14</v>
      </c>
      <c r="E603" s="5">
        <v>856</v>
      </c>
      <c r="F603" s="5">
        <v>11984</v>
      </c>
    </row>
    <row r="604" spans="1:6" x14ac:dyDescent="0.4">
      <c r="A604" s="5" t="s">
        <v>19</v>
      </c>
      <c r="B604" s="5" t="s">
        <v>15</v>
      </c>
      <c r="C604" s="5" t="s">
        <v>23</v>
      </c>
      <c r="D604" s="5">
        <v>34</v>
      </c>
      <c r="E604" s="5">
        <v>1256</v>
      </c>
      <c r="F604" s="5">
        <v>42704</v>
      </c>
    </row>
    <row r="605" spans="1:6" x14ac:dyDescent="0.4">
      <c r="A605" s="5" t="s">
        <v>17</v>
      </c>
      <c r="B605" s="5" t="s">
        <v>15</v>
      </c>
      <c r="C605" s="5" t="s">
        <v>22</v>
      </c>
      <c r="D605" s="5">
        <v>3</v>
      </c>
      <c r="E605" s="5">
        <v>1373</v>
      </c>
      <c r="F605" s="5">
        <v>4119</v>
      </c>
    </row>
    <row r="606" spans="1:6" x14ac:dyDescent="0.4">
      <c r="A606" s="5" t="s">
        <v>19</v>
      </c>
      <c r="B606" s="5" t="s">
        <v>12</v>
      </c>
      <c r="C606" s="5" t="s">
        <v>8</v>
      </c>
      <c r="D606" s="5">
        <v>15</v>
      </c>
      <c r="E606" s="5">
        <v>1014</v>
      </c>
      <c r="F606" s="5">
        <v>15210</v>
      </c>
    </row>
    <row r="607" spans="1:6" x14ac:dyDescent="0.4">
      <c r="A607" s="5" t="s">
        <v>9</v>
      </c>
      <c r="B607" s="5" t="s">
        <v>15</v>
      </c>
      <c r="C607" s="5" t="s">
        <v>8</v>
      </c>
      <c r="D607" s="5">
        <v>25</v>
      </c>
      <c r="E607" s="5">
        <v>911</v>
      </c>
      <c r="F607" s="5">
        <v>22775</v>
      </c>
    </row>
    <row r="608" spans="1:6" x14ac:dyDescent="0.4">
      <c r="A608" s="5" t="s">
        <v>17</v>
      </c>
      <c r="B608" s="5" t="s">
        <v>15</v>
      </c>
      <c r="C608" s="5" t="s">
        <v>22</v>
      </c>
      <c r="D608" s="5">
        <v>1</v>
      </c>
      <c r="E608" s="5">
        <v>1130</v>
      </c>
      <c r="F608" s="5">
        <v>1130</v>
      </c>
    </row>
    <row r="609" spans="1:6" x14ac:dyDescent="0.4">
      <c r="A609" s="5" t="s">
        <v>19</v>
      </c>
      <c r="B609" s="5" t="s">
        <v>21</v>
      </c>
      <c r="C609" s="5" t="s">
        <v>24</v>
      </c>
      <c r="D609" s="5">
        <v>50</v>
      </c>
      <c r="E609" s="5">
        <v>174</v>
      </c>
      <c r="F609" s="5">
        <v>8700</v>
      </c>
    </row>
    <row r="610" spans="1:6" x14ac:dyDescent="0.4">
      <c r="A610" s="5" t="s">
        <v>17</v>
      </c>
      <c r="B610" s="5" t="s">
        <v>10</v>
      </c>
      <c r="C610" s="5" t="s">
        <v>8</v>
      </c>
      <c r="D610" s="5">
        <v>9</v>
      </c>
      <c r="E610" s="5">
        <v>1023</v>
      </c>
      <c r="F610" s="5">
        <v>9207</v>
      </c>
    </row>
    <row r="611" spans="1:6" x14ac:dyDescent="0.4">
      <c r="A611" s="5" t="s">
        <v>9</v>
      </c>
      <c r="B611" s="5" t="s">
        <v>10</v>
      </c>
      <c r="C611" s="5" t="s">
        <v>20</v>
      </c>
      <c r="D611" s="5">
        <v>20</v>
      </c>
      <c r="E611" s="5">
        <v>945</v>
      </c>
      <c r="F611" s="5">
        <v>18900</v>
      </c>
    </row>
    <row r="612" spans="1:6" x14ac:dyDescent="0.4">
      <c r="A612" s="5" t="s">
        <v>6</v>
      </c>
      <c r="B612" s="5" t="s">
        <v>12</v>
      </c>
      <c r="C612" s="5" t="s">
        <v>20</v>
      </c>
      <c r="D612" s="5">
        <v>19</v>
      </c>
      <c r="E612" s="5">
        <v>700</v>
      </c>
      <c r="F612" s="5">
        <v>13300</v>
      </c>
    </row>
    <row r="613" spans="1:6" x14ac:dyDescent="0.4">
      <c r="A613" s="5" t="s">
        <v>9</v>
      </c>
      <c r="B613" s="5" t="s">
        <v>12</v>
      </c>
      <c r="C613" s="5" t="s">
        <v>11</v>
      </c>
      <c r="D613" s="5">
        <v>17</v>
      </c>
      <c r="E613" s="5">
        <v>860</v>
      </c>
      <c r="F613" s="5">
        <v>14620</v>
      </c>
    </row>
    <row r="614" spans="1:6" x14ac:dyDescent="0.4">
      <c r="A614" s="5" t="s">
        <v>19</v>
      </c>
      <c r="B614" s="5" t="s">
        <v>15</v>
      </c>
      <c r="C614" s="5" t="s">
        <v>23</v>
      </c>
      <c r="D614" s="5">
        <v>44</v>
      </c>
      <c r="E614" s="5">
        <v>110</v>
      </c>
      <c r="F614" s="5">
        <v>4840</v>
      </c>
    </row>
    <row r="615" spans="1:6" x14ac:dyDescent="0.4">
      <c r="A615" s="5" t="s">
        <v>9</v>
      </c>
      <c r="B615" s="5" t="s">
        <v>12</v>
      </c>
      <c r="C615" s="5" t="s">
        <v>8</v>
      </c>
      <c r="D615" s="5">
        <v>48</v>
      </c>
      <c r="E615" s="5">
        <v>1248</v>
      </c>
      <c r="F615" s="5">
        <v>59904</v>
      </c>
    </row>
    <row r="616" spans="1:6" x14ac:dyDescent="0.4">
      <c r="A616" s="5" t="s">
        <v>9</v>
      </c>
      <c r="B616" s="5" t="s">
        <v>15</v>
      </c>
      <c r="C616" s="5" t="s">
        <v>24</v>
      </c>
      <c r="D616" s="5">
        <v>28</v>
      </c>
      <c r="E616" s="5">
        <v>1859</v>
      </c>
      <c r="F616" s="5">
        <v>52052</v>
      </c>
    </row>
    <row r="617" spans="1:6" x14ac:dyDescent="0.4">
      <c r="A617" s="5" t="s">
        <v>9</v>
      </c>
      <c r="B617" s="5" t="s">
        <v>21</v>
      </c>
      <c r="C617" s="5" t="s">
        <v>14</v>
      </c>
      <c r="D617" s="5">
        <v>2</v>
      </c>
      <c r="E617" s="5">
        <v>1341</v>
      </c>
      <c r="F617" s="5">
        <v>2682</v>
      </c>
    </row>
    <row r="618" spans="1:6" x14ac:dyDescent="0.4">
      <c r="A618" s="5" t="s">
        <v>19</v>
      </c>
      <c r="B618" s="5" t="s">
        <v>7</v>
      </c>
      <c r="C618" s="5" t="s">
        <v>24</v>
      </c>
      <c r="D618" s="5">
        <v>35</v>
      </c>
      <c r="E618" s="5">
        <v>845</v>
      </c>
      <c r="F618" s="5">
        <v>29575</v>
      </c>
    </row>
    <row r="619" spans="1:6" x14ac:dyDescent="0.4">
      <c r="A619" s="5" t="s">
        <v>19</v>
      </c>
      <c r="B619" s="5" t="s">
        <v>12</v>
      </c>
      <c r="C619" s="5" t="s">
        <v>23</v>
      </c>
      <c r="D619" s="5">
        <v>1</v>
      </c>
      <c r="E619" s="5">
        <v>995</v>
      </c>
      <c r="F619" s="5">
        <v>995</v>
      </c>
    </row>
    <row r="620" spans="1:6" x14ac:dyDescent="0.4">
      <c r="A620" s="5" t="s">
        <v>19</v>
      </c>
      <c r="B620" s="5" t="s">
        <v>12</v>
      </c>
      <c r="C620" s="5" t="s">
        <v>11</v>
      </c>
      <c r="D620" s="5">
        <v>49</v>
      </c>
      <c r="E620" s="5">
        <v>1002</v>
      </c>
      <c r="F620" s="5">
        <v>49098</v>
      </c>
    </row>
    <row r="621" spans="1:6" x14ac:dyDescent="0.4">
      <c r="A621" s="5" t="s">
        <v>9</v>
      </c>
      <c r="B621" s="5" t="s">
        <v>15</v>
      </c>
      <c r="C621" s="5" t="s">
        <v>16</v>
      </c>
      <c r="D621" s="5">
        <v>7</v>
      </c>
      <c r="E621" s="5">
        <v>1256</v>
      </c>
      <c r="F621" s="5">
        <v>8792</v>
      </c>
    </row>
    <row r="622" spans="1:6" x14ac:dyDescent="0.4">
      <c r="A622" s="5" t="s">
        <v>17</v>
      </c>
      <c r="B622" s="5" t="s">
        <v>21</v>
      </c>
      <c r="C622" s="5" t="s">
        <v>11</v>
      </c>
      <c r="D622" s="5">
        <v>32</v>
      </c>
      <c r="E622" s="5">
        <v>319</v>
      </c>
      <c r="F622" s="5">
        <v>10208</v>
      </c>
    </row>
    <row r="623" spans="1:6" x14ac:dyDescent="0.4">
      <c r="A623" s="5" t="s">
        <v>17</v>
      </c>
      <c r="B623" s="5" t="s">
        <v>10</v>
      </c>
      <c r="C623" s="5" t="s">
        <v>14</v>
      </c>
      <c r="D623" s="5">
        <v>39</v>
      </c>
      <c r="E623" s="5">
        <v>1968</v>
      </c>
      <c r="F623" s="5">
        <v>76752</v>
      </c>
    </row>
    <row r="624" spans="1:6" x14ac:dyDescent="0.4">
      <c r="A624" s="5" t="s">
        <v>6</v>
      </c>
      <c r="B624" s="5" t="s">
        <v>12</v>
      </c>
      <c r="C624" s="5" t="s">
        <v>20</v>
      </c>
      <c r="D624" s="5">
        <v>31</v>
      </c>
      <c r="E624" s="5">
        <v>990</v>
      </c>
      <c r="F624" s="5">
        <v>30690</v>
      </c>
    </row>
    <row r="625" spans="1:6" x14ac:dyDescent="0.4">
      <c r="A625" s="5" t="s">
        <v>9</v>
      </c>
      <c r="B625" s="5" t="s">
        <v>12</v>
      </c>
      <c r="C625" s="5" t="s">
        <v>8</v>
      </c>
      <c r="D625" s="5">
        <v>27</v>
      </c>
      <c r="E625" s="5">
        <v>475</v>
      </c>
      <c r="F625" s="5">
        <v>12825</v>
      </c>
    </row>
    <row r="626" spans="1:6" x14ac:dyDescent="0.4">
      <c r="A626" s="5" t="s">
        <v>19</v>
      </c>
      <c r="B626" s="5" t="s">
        <v>10</v>
      </c>
      <c r="C626" s="5" t="s">
        <v>22</v>
      </c>
      <c r="D626" s="5">
        <v>33</v>
      </c>
      <c r="E626" s="5">
        <v>1353</v>
      </c>
      <c r="F626" s="5">
        <v>44649</v>
      </c>
    </row>
    <row r="627" spans="1:6" x14ac:dyDescent="0.4">
      <c r="A627" s="5" t="s">
        <v>6</v>
      </c>
      <c r="B627" s="5" t="s">
        <v>15</v>
      </c>
      <c r="C627" s="5" t="s">
        <v>24</v>
      </c>
      <c r="D627" s="5">
        <v>30</v>
      </c>
      <c r="E627" s="5">
        <v>686</v>
      </c>
      <c r="F627" s="5">
        <v>20580</v>
      </c>
    </row>
    <row r="628" spans="1:6" x14ac:dyDescent="0.4">
      <c r="A628" s="5" t="s">
        <v>19</v>
      </c>
      <c r="B628" s="5" t="s">
        <v>15</v>
      </c>
      <c r="C628" s="5" t="s">
        <v>16</v>
      </c>
      <c r="D628" s="5">
        <v>1</v>
      </c>
      <c r="E628" s="5">
        <v>1116</v>
      </c>
      <c r="F628" s="5">
        <v>1116</v>
      </c>
    </row>
    <row r="629" spans="1:6" x14ac:dyDescent="0.4">
      <c r="A629" s="5" t="s">
        <v>9</v>
      </c>
      <c r="B629" s="5" t="s">
        <v>7</v>
      </c>
      <c r="C629" s="5" t="s">
        <v>23</v>
      </c>
      <c r="D629" s="5">
        <v>46</v>
      </c>
      <c r="E629" s="5">
        <v>1481</v>
      </c>
      <c r="F629" s="5">
        <v>68126</v>
      </c>
    </row>
    <row r="630" spans="1:6" x14ac:dyDescent="0.4">
      <c r="A630" s="5" t="s">
        <v>6</v>
      </c>
      <c r="B630" s="5" t="s">
        <v>12</v>
      </c>
      <c r="C630" s="5" t="s">
        <v>11</v>
      </c>
      <c r="D630" s="5">
        <v>45</v>
      </c>
      <c r="E630" s="5">
        <v>691</v>
      </c>
      <c r="F630" s="5">
        <v>31095</v>
      </c>
    </row>
    <row r="631" spans="1:6" x14ac:dyDescent="0.4">
      <c r="A631" s="5" t="s">
        <v>17</v>
      </c>
      <c r="B631" s="5" t="s">
        <v>10</v>
      </c>
      <c r="C631" s="5" t="s">
        <v>16</v>
      </c>
      <c r="D631" s="5">
        <v>39</v>
      </c>
      <c r="E631" s="5">
        <v>1869</v>
      </c>
      <c r="F631" s="5">
        <v>72891</v>
      </c>
    </row>
    <row r="632" spans="1:6" x14ac:dyDescent="0.4">
      <c r="A632" s="5" t="s">
        <v>19</v>
      </c>
      <c r="B632" s="5" t="s">
        <v>7</v>
      </c>
      <c r="C632" s="5" t="s">
        <v>18</v>
      </c>
      <c r="D632" s="5">
        <v>25</v>
      </c>
      <c r="E632" s="5">
        <v>793</v>
      </c>
      <c r="F632" s="5">
        <v>19825</v>
      </c>
    </row>
    <row r="633" spans="1:6" x14ac:dyDescent="0.4">
      <c r="A633" s="5" t="s">
        <v>9</v>
      </c>
      <c r="B633" s="5" t="s">
        <v>15</v>
      </c>
      <c r="C633" s="5" t="s">
        <v>11</v>
      </c>
      <c r="D633" s="5">
        <v>21</v>
      </c>
      <c r="E633" s="5">
        <v>318</v>
      </c>
      <c r="F633" s="5">
        <v>6678</v>
      </c>
    </row>
    <row r="634" spans="1:6" x14ac:dyDescent="0.4">
      <c r="A634" s="5" t="s">
        <v>9</v>
      </c>
      <c r="B634" s="5" t="s">
        <v>15</v>
      </c>
      <c r="C634" s="5" t="s">
        <v>13</v>
      </c>
      <c r="D634" s="5">
        <v>7</v>
      </c>
      <c r="E634" s="5">
        <v>1572</v>
      </c>
      <c r="F634" s="5">
        <v>11004</v>
      </c>
    </row>
    <row r="635" spans="1:6" x14ac:dyDescent="0.4">
      <c r="A635" s="5" t="s">
        <v>9</v>
      </c>
      <c r="B635" s="5" t="s">
        <v>12</v>
      </c>
      <c r="C635" s="5" t="s">
        <v>11</v>
      </c>
      <c r="D635" s="5">
        <v>4</v>
      </c>
      <c r="E635" s="5">
        <v>1199</v>
      </c>
      <c r="F635" s="5">
        <v>4796</v>
      </c>
    </row>
    <row r="636" spans="1:6" x14ac:dyDescent="0.4">
      <c r="A636" s="5" t="s">
        <v>19</v>
      </c>
      <c r="B636" s="5" t="s">
        <v>15</v>
      </c>
      <c r="C636" s="5" t="s">
        <v>16</v>
      </c>
      <c r="D636" s="5">
        <v>41</v>
      </c>
      <c r="E636" s="5">
        <v>1930</v>
      </c>
      <c r="F636" s="5">
        <v>79130</v>
      </c>
    </row>
    <row r="637" spans="1:6" x14ac:dyDescent="0.4">
      <c r="A637" s="5" t="s">
        <v>9</v>
      </c>
      <c r="B637" s="5" t="s">
        <v>7</v>
      </c>
      <c r="C637" s="5" t="s">
        <v>20</v>
      </c>
      <c r="D637" s="5">
        <v>25</v>
      </c>
      <c r="E637" s="5">
        <v>1356</v>
      </c>
      <c r="F637" s="5">
        <v>33900</v>
      </c>
    </row>
    <row r="638" spans="1:6" x14ac:dyDescent="0.4">
      <c r="A638" s="5" t="s">
        <v>6</v>
      </c>
      <c r="B638" s="5" t="s">
        <v>15</v>
      </c>
      <c r="C638" s="5" t="s">
        <v>13</v>
      </c>
      <c r="D638" s="5">
        <v>27</v>
      </c>
      <c r="E638" s="5">
        <v>982</v>
      </c>
      <c r="F638" s="5">
        <v>26514</v>
      </c>
    </row>
    <row r="639" spans="1:6" x14ac:dyDescent="0.4">
      <c r="A639" s="5" t="s">
        <v>17</v>
      </c>
      <c r="B639" s="5" t="s">
        <v>7</v>
      </c>
      <c r="C639" s="5" t="s">
        <v>8</v>
      </c>
      <c r="D639" s="5">
        <v>18</v>
      </c>
      <c r="E639" s="5">
        <v>1335</v>
      </c>
      <c r="F639" s="5">
        <v>24030</v>
      </c>
    </row>
    <row r="640" spans="1:6" x14ac:dyDescent="0.4">
      <c r="A640" s="5" t="s">
        <v>19</v>
      </c>
      <c r="B640" s="5" t="s">
        <v>15</v>
      </c>
      <c r="C640" s="5" t="s">
        <v>18</v>
      </c>
      <c r="D640" s="5">
        <v>36</v>
      </c>
      <c r="E640" s="5">
        <v>1502</v>
      </c>
      <c r="F640" s="5">
        <v>54072</v>
      </c>
    </row>
    <row r="641" spans="1:6" x14ac:dyDescent="0.4">
      <c r="A641" s="5" t="s">
        <v>19</v>
      </c>
      <c r="B641" s="5" t="s">
        <v>21</v>
      </c>
      <c r="C641" s="5" t="s">
        <v>24</v>
      </c>
      <c r="D641" s="5">
        <v>10</v>
      </c>
      <c r="E641" s="5">
        <v>1003</v>
      </c>
      <c r="F641" s="5">
        <v>10030</v>
      </c>
    </row>
    <row r="642" spans="1:6" x14ac:dyDescent="0.4">
      <c r="A642" s="5" t="s">
        <v>9</v>
      </c>
      <c r="B642" s="5" t="s">
        <v>12</v>
      </c>
      <c r="C642" s="5" t="s">
        <v>18</v>
      </c>
      <c r="D642" s="5">
        <v>23</v>
      </c>
      <c r="E642" s="5">
        <v>1418</v>
      </c>
      <c r="F642" s="5">
        <v>32614</v>
      </c>
    </row>
    <row r="643" spans="1:6" x14ac:dyDescent="0.4">
      <c r="A643" s="5" t="s">
        <v>17</v>
      </c>
      <c r="B643" s="5" t="s">
        <v>12</v>
      </c>
      <c r="C643" s="5" t="s">
        <v>23</v>
      </c>
      <c r="D643" s="5">
        <v>17</v>
      </c>
      <c r="E643" s="5">
        <v>1810</v>
      </c>
      <c r="F643" s="5">
        <v>30770</v>
      </c>
    </row>
    <row r="644" spans="1:6" x14ac:dyDescent="0.4">
      <c r="A644" s="5" t="s">
        <v>17</v>
      </c>
      <c r="B644" s="5" t="s">
        <v>15</v>
      </c>
      <c r="C644" s="5" t="s">
        <v>14</v>
      </c>
      <c r="D644" s="5">
        <v>31</v>
      </c>
      <c r="E644" s="5">
        <v>1524</v>
      </c>
      <c r="F644" s="5">
        <v>47244</v>
      </c>
    </row>
    <row r="645" spans="1:6" x14ac:dyDescent="0.4">
      <c r="A645" s="5" t="s">
        <v>6</v>
      </c>
      <c r="B645" s="5" t="s">
        <v>7</v>
      </c>
      <c r="C645" s="5" t="s">
        <v>11</v>
      </c>
      <c r="D645" s="5">
        <v>14</v>
      </c>
      <c r="E645" s="5">
        <v>1179</v>
      </c>
      <c r="F645" s="5">
        <v>16506</v>
      </c>
    </row>
    <row r="646" spans="1:6" x14ac:dyDescent="0.4">
      <c r="A646" s="5" t="s">
        <v>9</v>
      </c>
      <c r="B646" s="5" t="s">
        <v>21</v>
      </c>
      <c r="C646" s="5" t="s">
        <v>24</v>
      </c>
      <c r="D646" s="5">
        <v>48</v>
      </c>
      <c r="E646" s="5">
        <v>1219</v>
      </c>
      <c r="F646" s="5">
        <v>58512</v>
      </c>
    </row>
    <row r="647" spans="1:6" x14ac:dyDescent="0.4">
      <c r="A647" s="5" t="s">
        <v>6</v>
      </c>
      <c r="B647" s="5" t="s">
        <v>7</v>
      </c>
      <c r="C647" s="5" t="s">
        <v>16</v>
      </c>
      <c r="D647" s="5">
        <v>42</v>
      </c>
      <c r="E647" s="5">
        <v>152</v>
      </c>
      <c r="F647" s="5">
        <v>6384</v>
      </c>
    </row>
    <row r="648" spans="1:6" x14ac:dyDescent="0.4">
      <c r="A648" s="5" t="s">
        <v>9</v>
      </c>
      <c r="B648" s="5" t="s">
        <v>15</v>
      </c>
      <c r="C648" s="5" t="s">
        <v>22</v>
      </c>
      <c r="D648" s="5">
        <v>22</v>
      </c>
      <c r="E648" s="5">
        <v>1685</v>
      </c>
      <c r="F648" s="5">
        <v>37070</v>
      </c>
    </row>
    <row r="649" spans="1:6" x14ac:dyDescent="0.4">
      <c r="A649" s="5" t="s">
        <v>17</v>
      </c>
      <c r="B649" s="5" t="s">
        <v>15</v>
      </c>
      <c r="C649" s="5" t="s">
        <v>8</v>
      </c>
      <c r="D649" s="5">
        <v>34</v>
      </c>
      <c r="E649" s="5">
        <v>942</v>
      </c>
      <c r="F649" s="5">
        <v>32028</v>
      </c>
    </row>
    <row r="650" spans="1:6" x14ac:dyDescent="0.4">
      <c r="A650" s="5" t="s">
        <v>19</v>
      </c>
      <c r="B650" s="5" t="s">
        <v>15</v>
      </c>
      <c r="C650" s="5" t="s">
        <v>22</v>
      </c>
      <c r="D650" s="5">
        <v>40</v>
      </c>
      <c r="E650" s="5">
        <v>1483</v>
      </c>
      <c r="F650" s="5">
        <v>59320</v>
      </c>
    </row>
    <row r="651" spans="1:6" x14ac:dyDescent="0.4">
      <c r="A651" s="5" t="s">
        <v>19</v>
      </c>
      <c r="B651" s="5" t="s">
        <v>12</v>
      </c>
      <c r="C651" s="5" t="s">
        <v>14</v>
      </c>
      <c r="D651" s="5">
        <v>31</v>
      </c>
      <c r="E651" s="5">
        <v>155</v>
      </c>
      <c r="F651" s="5">
        <v>4805</v>
      </c>
    </row>
    <row r="652" spans="1:6" x14ac:dyDescent="0.4">
      <c r="A652" s="5" t="s">
        <v>19</v>
      </c>
      <c r="B652" s="5" t="s">
        <v>12</v>
      </c>
      <c r="C652" s="5" t="s">
        <v>24</v>
      </c>
      <c r="D652" s="5">
        <v>26</v>
      </c>
      <c r="E652" s="5">
        <v>1365</v>
      </c>
      <c r="F652" s="5">
        <v>35490</v>
      </c>
    </row>
    <row r="653" spans="1:6" x14ac:dyDescent="0.4">
      <c r="A653" s="5" t="s">
        <v>17</v>
      </c>
      <c r="B653" s="5" t="s">
        <v>10</v>
      </c>
      <c r="C653" s="5" t="s">
        <v>14</v>
      </c>
      <c r="D653" s="5">
        <v>31</v>
      </c>
      <c r="E653" s="5">
        <v>178</v>
      </c>
      <c r="F653" s="5">
        <v>5518</v>
      </c>
    </row>
    <row r="654" spans="1:6" x14ac:dyDescent="0.4">
      <c r="A654" s="5" t="s">
        <v>19</v>
      </c>
      <c r="B654" s="5" t="s">
        <v>15</v>
      </c>
      <c r="C654" s="5" t="s">
        <v>24</v>
      </c>
      <c r="D654" s="5">
        <v>32</v>
      </c>
      <c r="E654" s="5">
        <v>911</v>
      </c>
      <c r="F654" s="5">
        <v>29152</v>
      </c>
    </row>
    <row r="655" spans="1:6" x14ac:dyDescent="0.4">
      <c r="A655" s="5" t="s">
        <v>6</v>
      </c>
      <c r="B655" s="5" t="s">
        <v>7</v>
      </c>
      <c r="C655" s="5" t="s">
        <v>16</v>
      </c>
      <c r="D655" s="5">
        <v>37</v>
      </c>
      <c r="E655" s="5">
        <v>1699</v>
      </c>
      <c r="F655" s="5">
        <v>62863</v>
      </c>
    </row>
    <row r="656" spans="1:6" x14ac:dyDescent="0.4">
      <c r="A656" s="5" t="s">
        <v>17</v>
      </c>
      <c r="B656" s="5" t="s">
        <v>12</v>
      </c>
      <c r="C656" s="5" t="s">
        <v>22</v>
      </c>
      <c r="D656" s="5">
        <v>13</v>
      </c>
      <c r="E656" s="5">
        <v>490</v>
      </c>
      <c r="F656" s="5">
        <v>6370</v>
      </c>
    </row>
    <row r="657" spans="1:6" x14ac:dyDescent="0.4">
      <c r="A657" s="5" t="s">
        <v>9</v>
      </c>
      <c r="B657" s="5" t="s">
        <v>21</v>
      </c>
      <c r="C657" s="5" t="s">
        <v>8</v>
      </c>
      <c r="D657" s="5">
        <v>1</v>
      </c>
      <c r="E657" s="5">
        <v>1877</v>
      </c>
      <c r="F657" s="5">
        <v>1877</v>
      </c>
    </row>
    <row r="658" spans="1:6" x14ac:dyDescent="0.4">
      <c r="A658" s="5" t="s">
        <v>19</v>
      </c>
      <c r="B658" s="5" t="s">
        <v>12</v>
      </c>
      <c r="C658" s="5" t="s">
        <v>16</v>
      </c>
      <c r="D658" s="5">
        <v>42</v>
      </c>
      <c r="E658" s="5">
        <v>1626</v>
      </c>
      <c r="F658" s="5">
        <v>68292</v>
      </c>
    </row>
    <row r="659" spans="1:6" x14ac:dyDescent="0.4">
      <c r="A659" s="5" t="s">
        <v>17</v>
      </c>
      <c r="B659" s="5" t="s">
        <v>15</v>
      </c>
      <c r="C659" s="5" t="s">
        <v>16</v>
      </c>
      <c r="D659" s="5">
        <v>16</v>
      </c>
      <c r="E659" s="5">
        <v>544</v>
      </c>
      <c r="F659" s="5">
        <v>8704</v>
      </c>
    </row>
    <row r="660" spans="1:6" x14ac:dyDescent="0.4">
      <c r="A660" s="5" t="s">
        <v>6</v>
      </c>
      <c r="B660" s="5" t="s">
        <v>15</v>
      </c>
      <c r="C660" s="5" t="s">
        <v>16</v>
      </c>
      <c r="D660" s="5">
        <v>3</v>
      </c>
      <c r="E660" s="5">
        <v>1039</v>
      </c>
      <c r="F660" s="5">
        <v>3117</v>
      </c>
    </row>
    <row r="661" spans="1:6" x14ac:dyDescent="0.4">
      <c r="A661" s="5" t="s">
        <v>9</v>
      </c>
      <c r="B661" s="5" t="s">
        <v>7</v>
      </c>
      <c r="C661" s="5" t="s">
        <v>24</v>
      </c>
      <c r="D661" s="5">
        <v>11</v>
      </c>
      <c r="E661" s="5">
        <v>841</v>
      </c>
      <c r="F661" s="5">
        <v>9251</v>
      </c>
    </row>
    <row r="662" spans="1:6" x14ac:dyDescent="0.4">
      <c r="A662" s="5" t="s">
        <v>19</v>
      </c>
      <c r="B662" s="5" t="s">
        <v>7</v>
      </c>
      <c r="C662" s="5" t="s">
        <v>16</v>
      </c>
      <c r="D662" s="5">
        <v>43</v>
      </c>
      <c r="E662" s="5">
        <v>1765</v>
      </c>
      <c r="F662" s="5">
        <v>75895</v>
      </c>
    </row>
    <row r="663" spans="1:6" x14ac:dyDescent="0.4">
      <c r="A663" s="5" t="s">
        <v>9</v>
      </c>
      <c r="B663" s="5" t="s">
        <v>10</v>
      </c>
      <c r="C663" s="5" t="s">
        <v>22</v>
      </c>
      <c r="D663" s="5">
        <v>43</v>
      </c>
      <c r="E663" s="5">
        <v>218</v>
      </c>
      <c r="F663" s="5">
        <v>9374</v>
      </c>
    </row>
    <row r="664" spans="1:6" x14ac:dyDescent="0.4">
      <c r="A664" s="5" t="s">
        <v>9</v>
      </c>
      <c r="B664" s="5" t="s">
        <v>7</v>
      </c>
      <c r="C664" s="5" t="s">
        <v>20</v>
      </c>
      <c r="D664" s="5">
        <v>21</v>
      </c>
      <c r="E664" s="5">
        <v>1384</v>
      </c>
      <c r="F664" s="5">
        <v>29064</v>
      </c>
    </row>
    <row r="665" spans="1:6" x14ac:dyDescent="0.4">
      <c r="A665" s="5" t="s">
        <v>19</v>
      </c>
      <c r="B665" s="5" t="s">
        <v>10</v>
      </c>
      <c r="C665" s="5" t="s">
        <v>24</v>
      </c>
      <c r="D665" s="5">
        <v>7</v>
      </c>
      <c r="E665" s="5">
        <v>329</v>
      </c>
      <c r="F665" s="5">
        <v>2303</v>
      </c>
    </row>
    <row r="666" spans="1:6" x14ac:dyDescent="0.4">
      <c r="A666" s="5" t="s">
        <v>17</v>
      </c>
      <c r="B666" s="5" t="s">
        <v>12</v>
      </c>
      <c r="C666" s="5" t="s">
        <v>16</v>
      </c>
      <c r="D666" s="5">
        <v>19</v>
      </c>
      <c r="E666" s="5">
        <v>1407</v>
      </c>
      <c r="F666" s="5">
        <v>26733</v>
      </c>
    </row>
    <row r="667" spans="1:6" x14ac:dyDescent="0.4">
      <c r="A667" s="5" t="s">
        <v>17</v>
      </c>
      <c r="B667" s="5" t="s">
        <v>15</v>
      </c>
      <c r="C667" s="5" t="s">
        <v>22</v>
      </c>
      <c r="D667" s="5">
        <v>50</v>
      </c>
      <c r="E667" s="5">
        <v>502</v>
      </c>
      <c r="F667" s="5">
        <v>25100</v>
      </c>
    </row>
    <row r="668" spans="1:6" x14ac:dyDescent="0.4">
      <c r="A668" s="5" t="s">
        <v>6</v>
      </c>
      <c r="B668" s="5" t="s">
        <v>21</v>
      </c>
      <c r="C668" s="5" t="s">
        <v>23</v>
      </c>
      <c r="D668" s="5">
        <v>26</v>
      </c>
      <c r="E668" s="5">
        <v>498</v>
      </c>
      <c r="F668" s="5">
        <v>12948</v>
      </c>
    </row>
    <row r="669" spans="1:6" x14ac:dyDescent="0.4">
      <c r="A669" s="5" t="s">
        <v>6</v>
      </c>
      <c r="B669" s="5" t="s">
        <v>7</v>
      </c>
      <c r="C669" s="5" t="s">
        <v>18</v>
      </c>
      <c r="D669" s="5">
        <v>12</v>
      </c>
      <c r="E669" s="5">
        <v>422</v>
      </c>
      <c r="F669" s="5">
        <v>5064</v>
      </c>
    </row>
    <row r="670" spans="1:6" x14ac:dyDescent="0.4">
      <c r="A670" s="5" t="s">
        <v>17</v>
      </c>
      <c r="B670" s="5" t="s">
        <v>15</v>
      </c>
      <c r="C670" s="5" t="s">
        <v>23</v>
      </c>
      <c r="D670" s="5">
        <v>36</v>
      </c>
      <c r="E670" s="5">
        <v>643</v>
      </c>
      <c r="F670" s="5">
        <v>23148</v>
      </c>
    </row>
    <row r="671" spans="1:6" x14ac:dyDescent="0.4">
      <c r="A671" s="5" t="s">
        <v>9</v>
      </c>
      <c r="B671" s="5" t="s">
        <v>7</v>
      </c>
      <c r="C671" s="5" t="s">
        <v>16</v>
      </c>
      <c r="D671" s="5">
        <v>23</v>
      </c>
      <c r="E671" s="5">
        <v>277</v>
      </c>
      <c r="F671" s="5">
        <v>6371</v>
      </c>
    </row>
    <row r="672" spans="1:6" x14ac:dyDescent="0.4">
      <c r="A672" s="5" t="s">
        <v>17</v>
      </c>
      <c r="B672" s="5" t="s">
        <v>21</v>
      </c>
      <c r="C672" s="5" t="s">
        <v>13</v>
      </c>
      <c r="D672" s="5">
        <v>24</v>
      </c>
      <c r="E672" s="5">
        <v>1127</v>
      </c>
      <c r="F672" s="5">
        <v>27048</v>
      </c>
    </row>
    <row r="673" spans="1:6" x14ac:dyDescent="0.4">
      <c r="A673" s="5" t="s">
        <v>17</v>
      </c>
      <c r="B673" s="5" t="s">
        <v>10</v>
      </c>
      <c r="C673" s="5" t="s">
        <v>20</v>
      </c>
      <c r="D673" s="5">
        <v>17</v>
      </c>
      <c r="E673" s="5">
        <v>734</v>
      </c>
      <c r="F673" s="5">
        <v>12478</v>
      </c>
    </row>
    <row r="674" spans="1:6" x14ac:dyDescent="0.4">
      <c r="A674" s="5" t="s">
        <v>6</v>
      </c>
      <c r="B674" s="5" t="s">
        <v>7</v>
      </c>
      <c r="C674" s="5" t="s">
        <v>11</v>
      </c>
      <c r="D674" s="5">
        <v>18</v>
      </c>
      <c r="E674" s="5">
        <v>1364</v>
      </c>
      <c r="F674" s="5">
        <v>24552</v>
      </c>
    </row>
    <row r="675" spans="1:6" x14ac:dyDescent="0.4">
      <c r="A675" s="5" t="s">
        <v>9</v>
      </c>
      <c r="B675" s="5" t="s">
        <v>15</v>
      </c>
      <c r="C675" s="5" t="s">
        <v>14</v>
      </c>
      <c r="D675" s="5">
        <v>38</v>
      </c>
      <c r="E675" s="5">
        <v>177</v>
      </c>
      <c r="F675" s="5">
        <v>6726</v>
      </c>
    </row>
    <row r="676" spans="1:6" x14ac:dyDescent="0.4">
      <c r="A676" s="5" t="s">
        <v>9</v>
      </c>
      <c r="B676" s="5" t="s">
        <v>10</v>
      </c>
      <c r="C676" s="5" t="s">
        <v>11</v>
      </c>
      <c r="D676" s="5">
        <v>47</v>
      </c>
      <c r="E676" s="5">
        <v>1055</v>
      </c>
      <c r="F676" s="5">
        <v>49585</v>
      </c>
    </row>
    <row r="677" spans="1:6" x14ac:dyDescent="0.4">
      <c r="A677" s="5" t="s">
        <v>17</v>
      </c>
      <c r="B677" s="5" t="s">
        <v>21</v>
      </c>
      <c r="C677" s="5" t="s">
        <v>11</v>
      </c>
      <c r="D677" s="5">
        <v>7</v>
      </c>
      <c r="E677" s="5">
        <v>505</v>
      </c>
      <c r="F677" s="5">
        <v>3535</v>
      </c>
    </row>
    <row r="678" spans="1:6" x14ac:dyDescent="0.4">
      <c r="A678" s="5" t="s">
        <v>19</v>
      </c>
      <c r="B678" s="5" t="s">
        <v>15</v>
      </c>
      <c r="C678" s="5" t="s">
        <v>24</v>
      </c>
      <c r="D678" s="5">
        <v>26</v>
      </c>
      <c r="E678" s="5">
        <v>1816</v>
      </c>
      <c r="F678" s="5">
        <v>47216</v>
      </c>
    </row>
    <row r="679" spans="1:6" x14ac:dyDescent="0.4">
      <c r="A679" s="5" t="s">
        <v>6</v>
      </c>
      <c r="B679" s="5" t="s">
        <v>10</v>
      </c>
      <c r="C679" s="5" t="s">
        <v>14</v>
      </c>
      <c r="D679" s="5">
        <v>42</v>
      </c>
      <c r="E679" s="5">
        <v>305</v>
      </c>
      <c r="F679" s="5">
        <v>12810</v>
      </c>
    </row>
    <row r="680" spans="1:6" x14ac:dyDescent="0.4">
      <c r="A680" s="5" t="s">
        <v>19</v>
      </c>
      <c r="B680" s="5" t="s">
        <v>21</v>
      </c>
      <c r="C680" s="5" t="s">
        <v>16</v>
      </c>
      <c r="D680" s="5">
        <v>8</v>
      </c>
      <c r="E680" s="5">
        <v>1325</v>
      </c>
      <c r="F680" s="5">
        <v>10600</v>
      </c>
    </row>
    <row r="681" spans="1:6" x14ac:dyDescent="0.4">
      <c r="A681" s="5" t="s">
        <v>19</v>
      </c>
      <c r="B681" s="5" t="s">
        <v>21</v>
      </c>
      <c r="C681" s="5" t="s">
        <v>20</v>
      </c>
      <c r="D681" s="5">
        <v>3</v>
      </c>
      <c r="E681" s="5">
        <v>1165</v>
      </c>
      <c r="F681" s="5">
        <v>3495</v>
      </c>
    </row>
    <row r="682" spans="1:6" x14ac:dyDescent="0.4">
      <c r="A682" s="5" t="s">
        <v>19</v>
      </c>
      <c r="B682" s="5" t="s">
        <v>10</v>
      </c>
      <c r="C682" s="5" t="s">
        <v>20</v>
      </c>
      <c r="D682" s="5">
        <v>49</v>
      </c>
      <c r="E682" s="5">
        <v>1349</v>
      </c>
      <c r="F682" s="5">
        <v>66101</v>
      </c>
    </row>
    <row r="683" spans="1:6" x14ac:dyDescent="0.4">
      <c r="A683" s="5" t="s">
        <v>17</v>
      </c>
      <c r="B683" s="5" t="s">
        <v>7</v>
      </c>
      <c r="C683" s="5" t="s">
        <v>23</v>
      </c>
      <c r="D683" s="5">
        <v>8</v>
      </c>
      <c r="E683" s="5">
        <v>671</v>
      </c>
      <c r="F683" s="5">
        <v>5368</v>
      </c>
    </row>
    <row r="684" spans="1:6" x14ac:dyDescent="0.4">
      <c r="A684" s="5" t="s">
        <v>9</v>
      </c>
      <c r="B684" s="5" t="s">
        <v>12</v>
      </c>
      <c r="C684" s="5" t="s">
        <v>20</v>
      </c>
      <c r="D684" s="5">
        <v>20</v>
      </c>
      <c r="E684" s="5">
        <v>1606</v>
      </c>
      <c r="F684" s="5">
        <v>32120</v>
      </c>
    </row>
    <row r="685" spans="1:6" x14ac:dyDescent="0.4">
      <c r="A685" s="5" t="s">
        <v>6</v>
      </c>
      <c r="B685" s="5" t="s">
        <v>7</v>
      </c>
      <c r="C685" s="5" t="s">
        <v>22</v>
      </c>
      <c r="D685" s="5">
        <v>7</v>
      </c>
      <c r="E685" s="5">
        <v>412</v>
      </c>
      <c r="F685" s="5">
        <v>2884</v>
      </c>
    </row>
    <row r="686" spans="1:6" x14ac:dyDescent="0.4">
      <c r="A686" s="5" t="s">
        <v>9</v>
      </c>
      <c r="B686" s="5" t="s">
        <v>21</v>
      </c>
      <c r="C686" s="5" t="s">
        <v>22</v>
      </c>
      <c r="D686" s="5">
        <v>9</v>
      </c>
      <c r="E686" s="5">
        <v>735</v>
      </c>
      <c r="F686" s="5">
        <v>6615</v>
      </c>
    </row>
    <row r="687" spans="1:6" x14ac:dyDescent="0.4">
      <c r="A687" s="5" t="s">
        <v>17</v>
      </c>
      <c r="B687" s="5" t="s">
        <v>12</v>
      </c>
      <c r="C687" s="5" t="s">
        <v>13</v>
      </c>
      <c r="D687" s="5">
        <v>44</v>
      </c>
      <c r="E687" s="5">
        <v>741</v>
      </c>
      <c r="F687" s="5">
        <v>32604</v>
      </c>
    </row>
    <row r="688" spans="1:6" x14ac:dyDescent="0.4">
      <c r="A688" s="5" t="s">
        <v>9</v>
      </c>
      <c r="B688" s="5" t="s">
        <v>10</v>
      </c>
      <c r="C688" s="5" t="s">
        <v>24</v>
      </c>
      <c r="D688" s="5">
        <v>44</v>
      </c>
      <c r="E688" s="5">
        <v>391</v>
      </c>
      <c r="F688" s="5">
        <v>17204</v>
      </c>
    </row>
    <row r="689" spans="1:6" x14ac:dyDescent="0.4">
      <c r="A689" s="5" t="s">
        <v>19</v>
      </c>
      <c r="B689" s="5" t="s">
        <v>12</v>
      </c>
      <c r="C689" s="5" t="s">
        <v>22</v>
      </c>
      <c r="D689" s="5">
        <v>19</v>
      </c>
      <c r="E689" s="5">
        <v>1970</v>
      </c>
      <c r="F689" s="5">
        <v>37430</v>
      </c>
    </row>
    <row r="690" spans="1:6" x14ac:dyDescent="0.4">
      <c r="A690" s="5" t="s">
        <v>9</v>
      </c>
      <c r="B690" s="5" t="s">
        <v>7</v>
      </c>
      <c r="C690" s="5" t="s">
        <v>13</v>
      </c>
      <c r="D690" s="5">
        <v>16</v>
      </c>
      <c r="E690" s="5">
        <v>1968</v>
      </c>
      <c r="F690" s="5">
        <v>31488</v>
      </c>
    </row>
    <row r="691" spans="1:6" x14ac:dyDescent="0.4">
      <c r="A691" s="5" t="s">
        <v>9</v>
      </c>
      <c r="B691" s="5" t="s">
        <v>10</v>
      </c>
      <c r="C691" s="5" t="s">
        <v>13</v>
      </c>
      <c r="D691" s="5">
        <v>26</v>
      </c>
      <c r="E691" s="5">
        <v>819</v>
      </c>
      <c r="F691" s="5">
        <v>21294</v>
      </c>
    </row>
    <row r="692" spans="1:6" x14ac:dyDescent="0.4">
      <c r="A692" s="5" t="s">
        <v>17</v>
      </c>
      <c r="B692" s="5" t="s">
        <v>21</v>
      </c>
      <c r="C692" s="5" t="s">
        <v>16</v>
      </c>
      <c r="D692" s="5">
        <v>15</v>
      </c>
      <c r="E692" s="5">
        <v>438</v>
      </c>
      <c r="F692" s="5">
        <v>6570</v>
      </c>
    </row>
    <row r="693" spans="1:6" x14ac:dyDescent="0.4">
      <c r="A693" s="5" t="s">
        <v>6</v>
      </c>
      <c r="B693" s="5" t="s">
        <v>7</v>
      </c>
      <c r="C693" s="5" t="s">
        <v>18</v>
      </c>
      <c r="D693" s="5">
        <v>14</v>
      </c>
      <c r="E693" s="5">
        <v>140</v>
      </c>
      <c r="F693" s="5">
        <v>1960</v>
      </c>
    </row>
    <row r="694" spans="1:6" x14ac:dyDescent="0.4">
      <c r="A694" s="5" t="s">
        <v>17</v>
      </c>
      <c r="B694" s="5" t="s">
        <v>12</v>
      </c>
      <c r="C694" s="5" t="s">
        <v>23</v>
      </c>
      <c r="D694" s="5">
        <v>39</v>
      </c>
      <c r="E694" s="5">
        <v>717</v>
      </c>
      <c r="F694" s="5">
        <v>27963</v>
      </c>
    </row>
    <row r="695" spans="1:6" x14ac:dyDescent="0.4">
      <c r="A695" s="5" t="s">
        <v>19</v>
      </c>
      <c r="B695" s="5" t="s">
        <v>15</v>
      </c>
      <c r="C695" s="5" t="s">
        <v>18</v>
      </c>
      <c r="D695" s="5">
        <v>49</v>
      </c>
      <c r="E695" s="5">
        <v>1028</v>
      </c>
      <c r="F695" s="5">
        <v>50372</v>
      </c>
    </row>
    <row r="696" spans="1:6" x14ac:dyDescent="0.4">
      <c r="A696" s="5" t="s">
        <v>9</v>
      </c>
      <c r="B696" s="5" t="s">
        <v>12</v>
      </c>
      <c r="C696" s="5" t="s">
        <v>20</v>
      </c>
      <c r="D696" s="5">
        <v>3</v>
      </c>
      <c r="E696" s="5">
        <v>1487</v>
      </c>
      <c r="F696" s="5">
        <v>4461</v>
      </c>
    </row>
    <row r="697" spans="1:6" x14ac:dyDescent="0.4">
      <c r="A697" s="5" t="s">
        <v>17</v>
      </c>
      <c r="B697" s="5" t="s">
        <v>7</v>
      </c>
      <c r="C697" s="5" t="s">
        <v>20</v>
      </c>
      <c r="D697" s="5">
        <v>8</v>
      </c>
      <c r="E697" s="5">
        <v>396</v>
      </c>
      <c r="F697" s="5">
        <v>3168</v>
      </c>
    </row>
    <row r="698" spans="1:6" x14ac:dyDescent="0.4">
      <c r="A698" s="5" t="s">
        <v>6</v>
      </c>
      <c r="B698" s="5" t="s">
        <v>21</v>
      </c>
      <c r="C698" s="5" t="s">
        <v>23</v>
      </c>
      <c r="D698" s="5">
        <v>36</v>
      </c>
      <c r="E698" s="5">
        <v>458</v>
      </c>
      <c r="F698" s="5">
        <v>16488</v>
      </c>
    </row>
    <row r="699" spans="1:6" x14ac:dyDescent="0.4">
      <c r="A699" s="5" t="s">
        <v>17</v>
      </c>
      <c r="B699" s="5" t="s">
        <v>7</v>
      </c>
      <c r="C699" s="5" t="s">
        <v>23</v>
      </c>
      <c r="D699" s="5">
        <v>22</v>
      </c>
      <c r="E699" s="5">
        <v>988</v>
      </c>
      <c r="F699" s="5">
        <v>21736</v>
      </c>
    </row>
    <row r="700" spans="1:6" x14ac:dyDescent="0.4">
      <c r="A700" s="5" t="s">
        <v>17</v>
      </c>
      <c r="B700" s="5" t="s">
        <v>12</v>
      </c>
      <c r="C700" s="5" t="s">
        <v>24</v>
      </c>
      <c r="D700" s="5">
        <v>39</v>
      </c>
      <c r="E700" s="5">
        <v>981</v>
      </c>
      <c r="F700" s="5">
        <v>38259</v>
      </c>
    </row>
    <row r="701" spans="1:6" x14ac:dyDescent="0.4">
      <c r="A701" s="5" t="s">
        <v>17</v>
      </c>
      <c r="B701" s="5" t="s">
        <v>15</v>
      </c>
      <c r="C701" s="5" t="s">
        <v>14</v>
      </c>
      <c r="D701" s="5">
        <v>37</v>
      </c>
      <c r="E701" s="5">
        <v>128</v>
      </c>
      <c r="F701" s="5">
        <v>4736</v>
      </c>
    </row>
    <row r="702" spans="1:6" x14ac:dyDescent="0.4">
      <c r="A702" s="5" t="s">
        <v>19</v>
      </c>
      <c r="B702" s="5" t="s">
        <v>21</v>
      </c>
      <c r="C702" s="5" t="s">
        <v>13</v>
      </c>
      <c r="D702" s="5">
        <v>32</v>
      </c>
      <c r="E702" s="5">
        <v>1148</v>
      </c>
      <c r="F702" s="5">
        <v>36736</v>
      </c>
    </row>
    <row r="703" spans="1:6" x14ac:dyDescent="0.4">
      <c r="A703" s="5" t="s">
        <v>9</v>
      </c>
      <c r="B703" s="5" t="s">
        <v>21</v>
      </c>
      <c r="C703" s="5" t="s">
        <v>22</v>
      </c>
      <c r="D703" s="5">
        <v>23</v>
      </c>
      <c r="E703" s="5">
        <v>1893</v>
      </c>
      <c r="F703" s="5">
        <v>43539</v>
      </c>
    </row>
    <row r="704" spans="1:6" x14ac:dyDescent="0.4">
      <c r="A704" s="5" t="s">
        <v>6</v>
      </c>
      <c r="B704" s="5" t="s">
        <v>21</v>
      </c>
      <c r="C704" s="5" t="s">
        <v>18</v>
      </c>
      <c r="D704" s="5">
        <v>13</v>
      </c>
      <c r="E704" s="5">
        <v>864</v>
      </c>
      <c r="F704" s="5">
        <v>11232</v>
      </c>
    </row>
    <row r="705" spans="1:6" x14ac:dyDescent="0.4">
      <c r="A705" s="5" t="s">
        <v>17</v>
      </c>
      <c r="B705" s="5" t="s">
        <v>7</v>
      </c>
      <c r="C705" s="5" t="s">
        <v>22</v>
      </c>
      <c r="D705" s="5">
        <v>26</v>
      </c>
      <c r="E705" s="5">
        <v>1151</v>
      </c>
      <c r="F705" s="5">
        <v>29926</v>
      </c>
    </row>
    <row r="706" spans="1:6" x14ac:dyDescent="0.4">
      <c r="A706" s="5" t="s">
        <v>9</v>
      </c>
      <c r="B706" s="5" t="s">
        <v>10</v>
      </c>
      <c r="C706" s="5" t="s">
        <v>14</v>
      </c>
      <c r="D706" s="5">
        <v>25</v>
      </c>
      <c r="E706" s="5">
        <v>461</v>
      </c>
      <c r="F706" s="5">
        <v>11525</v>
      </c>
    </row>
    <row r="707" spans="1:6" x14ac:dyDescent="0.4">
      <c r="A707" s="5" t="s">
        <v>19</v>
      </c>
      <c r="B707" s="5" t="s">
        <v>7</v>
      </c>
      <c r="C707" s="5" t="s">
        <v>24</v>
      </c>
      <c r="D707" s="5">
        <v>6</v>
      </c>
      <c r="E707" s="5">
        <v>866</v>
      </c>
      <c r="F707" s="5">
        <v>5196</v>
      </c>
    </row>
    <row r="708" spans="1:6" x14ac:dyDescent="0.4">
      <c r="A708" s="5" t="s">
        <v>6</v>
      </c>
      <c r="B708" s="5" t="s">
        <v>7</v>
      </c>
      <c r="C708" s="5" t="s">
        <v>23</v>
      </c>
      <c r="D708" s="5">
        <v>22</v>
      </c>
      <c r="E708" s="5">
        <v>869</v>
      </c>
      <c r="F708" s="5">
        <v>19118</v>
      </c>
    </row>
    <row r="709" spans="1:6" x14ac:dyDescent="0.4">
      <c r="A709" s="5" t="s">
        <v>19</v>
      </c>
      <c r="B709" s="5" t="s">
        <v>7</v>
      </c>
      <c r="C709" s="5" t="s">
        <v>23</v>
      </c>
      <c r="D709" s="5">
        <v>24</v>
      </c>
      <c r="E709" s="5">
        <v>1069</v>
      </c>
      <c r="F709" s="5">
        <v>25656</v>
      </c>
    </row>
    <row r="710" spans="1:6" x14ac:dyDescent="0.4">
      <c r="A710" s="5" t="s">
        <v>6</v>
      </c>
      <c r="B710" s="5" t="s">
        <v>21</v>
      </c>
      <c r="C710" s="5" t="s">
        <v>16</v>
      </c>
      <c r="D710" s="5">
        <v>19</v>
      </c>
      <c r="E710" s="5">
        <v>1906</v>
      </c>
      <c r="F710" s="5">
        <v>36214</v>
      </c>
    </row>
    <row r="711" spans="1:6" x14ac:dyDescent="0.4">
      <c r="A711" s="5" t="s">
        <v>9</v>
      </c>
      <c r="B711" s="5" t="s">
        <v>15</v>
      </c>
      <c r="C711" s="5" t="s">
        <v>16</v>
      </c>
      <c r="D711" s="5">
        <v>49</v>
      </c>
      <c r="E711" s="5">
        <v>390</v>
      </c>
      <c r="F711" s="5">
        <v>19110</v>
      </c>
    </row>
    <row r="712" spans="1:6" x14ac:dyDescent="0.4">
      <c r="A712" s="5" t="s">
        <v>9</v>
      </c>
      <c r="B712" s="5" t="s">
        <v>12</v>
      </c>
      <c r="C712" s="5" t="s">
        <v>14</v>
      </c>
      <c r="D712" s="5">
        <v>3</v>
      </c>
      <c r="E712" s="5">
        <v>230</v>
      </c>
      <c r="F712" s="5">
        <v>690</v>
      </c>
    </row>
    <row r="713" spans="1:6" x14ac:dyDescent="0.4">
      <c r="A713" s="5" t="s">
        <v>6</v>
      </c>
      <c r="B713" s="5" t="s">
        <v>7</v>
      </c>
      <c r="C713" s="5" t="s">
        <v>23</v>
      </c>
      <c r="D713" s="5">
        <v>19</v>
      </c>
      <c r="E713" s="5">
        <v>809</v>
      </c>
      <c r="F713" s="5">
        <v>15371</v>
      </c>
    </row>
    <row r="714" spans="1:6" x14ac:dyDescent="0.4">
      <c r="A714" s="5" t="s">
        <v>9</v>
      </c>
      <c r="B714" s="5" t="s">
        <v>21</v>
      </c>
      <c r="C714" s="5" t="s">
        <v>14</v>
      </c>
      <c r="D714" s="5">
        <v>36</v>
      </c>
      <c r="E714" s="5">
        <v>425</v>
      </c>
      <c r="F714" s="5">
        <v>15300</v>
      </c>
    </row>
    <row r="715" spans="1:6" x14ac:dyDescent="0.4">
      <c r="A715" s="5" t="s">
        <v>17</v>
      </c>
      <c r="B715" s="5" t="s">
        <v>7</v>
      </c>
      <c r="C715" s="5" t="s">
        <v>20</v>
      </c>
      <c r="D715" s="5">
        <v>47</v>
      </c>
      <c r="E715" s="5">
        <v>627</v>
      </c>
      <c r="F715" s="5">
        <v>29469</v>
      </c>
    </row>
    <row r="716" spans="1:6" x14ac:dyDescent="0.4">
      <c r="A716" s="5" t="s">
        <v>6</v>
      </c>
      <c r="B716" s="5" t="s">
        <v>12</v>
      </c>
      <c r="C716" s="5" t="s">
        <v>18</v>
      </c>
      <c r="D716" s="5">
        <v>27</v>
      </c>
      <c r="E716" s="5">
        <v>1604</v>
      </c>
      <c r="F716" s="5">
        <v>43308</v>
      </c>
    </row>
    <row r="717" spans="1:6" x14ac:dyDescent="0.4">
      <c r="A717" s="5" t="s">
        <v>9</v>
      </c>
      <c r="B717" s="5" t="s">
        <v>10</v>
      </c>
      <c r="C717" s="5" t="s">
        <v>20</v>
      </c>
      <c r="D717" s="5">
        <v>45</v>
      </c>
      <c r="E717" s="5">
        <v>1044</v>
      </c>
      <c r="F717" s="5">
        <v>46980</v>
      </c>
    </row>
    <row r="718" spans="1:6" x14ac:dyDescent="0.4">
      <c r="A718" s="5" t="s">
        <v>6</v>
      </c>
      <c r="B718" s="5" t="s">
        <v>10</v>
      </c>
      <c r="C718" s="5" t="s">
        <v>24</v>
      </c>
      <c r="D718" s="5">
        <v>13</v>
      </c>
      <c r="E718" s="5">
        <v>1565</v>
      </c>
      <c r="F718" s="5">
        <v>20345</v>
      </c>
    </row>
    <row r="719" spans="1:6" x14ac:dyDescent="0.4">
      <c r="A719" s="5" t="s">
        <v>17</v>
      </c>
      <c r="B719" s="5" t="s">
        <v>10</v>
      </c>
      <c r="C719" s="5" t="s">
        <v>24</v>
      </c>
      <c r="D719" s="5">
        <v>4</v>
      </c>
      <c r="E719" s="5">
        <v>1747</v>
      </c>
      <c r="F719" s="5">
        <v>6988</v>
      </c>
    </row>
    <row r="720" spans="1:6" x14ac:dyDescent="0.4">
      <c r="A720" s="5" t="s">
        <v>19</v>
      </c>
      <c r="B720" s="5" t="s">
        <v>15</v>
      </c>
      <c r="C720" s="5" t="s">
        <v>24</v>
      </c>
      <c r="D720" s="5">
        <v>6</v>
      </c>
      <c r="E720" s="5">
        <v>358</v>
      </c>
      <c r="F720" s="5">
        <v>2148</v>
      </c>
    </row>
    <row r="721" spans="1:6" x14ac:dyDescent="0.4">
      <c r="A721" s="5" t="s">
        <v>9</v>
      </c>
      <c r="B721" s="5" t="s">
        <v>12</v>
      </c>
      <c r="C721" s="5" t="s">
        <v>14</v>
      </c>
      <c r="D721" s="5">
        <v>38</v>
      </c>
      <c r="E721" s="5">
        <v>790</v>
      </c>
      <c r="F721" s="5">
        <v>30020</v>
      </c>
    </row>
    <row r="722" spans="1:6" x14ac:dyDescent="0.4">
      <c r="A722" s="5" t="s">
        <v>6</v>
      </c>
      <c r="B722" s="5" t="s">
        <v>10</v>
      </c>
      <c r="C722" s="5" t="s">
        <v>14</v>
      </c>
      <c r="D722" s="5">
        <v>20</v>
      </c>
      <c r="E722" s="5">
        <v>1482</v>
      </c>
      <c r="F722" s="5">
        <v>29640</v>
      </c>
    </row>
    <row r="723" spans="1:6" x14ac:dyDescent="0.4">
      <c r="A723" s="5" t="s">
        <v>19</v>
      </c>
      <c r="B723" s="5" t="s">
        <v>10</v>
      </c>
      <c r="C723" s="5" t="s">
        <v>11</v>
      </c>
      <c r="D723" s="5">
        <v>41</v>
      </c>
      <c r="E723" s="5">
        <v>382</v>
      </c>
      <c r="F723" s="5">
        <v>15662</v>
      </c>
    </row>
    <row r="724" spans="1:6" x14ac:dyDescent="0.4">
      <c r="A724" s="5" t="s">
        <v>9</v>
      </c>
      <c r="B724" s="5" t="s">
        <v>15</v>
      </c>
      <c r="C724" s="5" t="s">
        <v>8</v>
      </c>
      <c r="D724" s="5">
        <v>5</v>
      </c>
      <c r="E724" s="5">
        <v>1516</v>
      </c>
      <c r="F724" s="5">
        <v>7580</v>
      </c>
    </row>
    <row r="725" spans="1:6" x14ac:dyDescent="0.4">
      <c r="A725" s="5" t="s">
        <v>6</v>
      </c>
      <c r="B725" s="5" t="s">
        <v>7</v>
      </c>
      <c r="C725" s="5" t="s">
        <v>14</v>
      </c>
      <c r="D725" s="5">
        <v>34</v>
      </c>
      <c r="E725" s="5">
        <v>746</v>
      </c>
      <c r="F725" s="5">
        <v>25364</v>
      </c>
    </row>
    <row r="726" spans="1:6" x14ac:dyDescent="0.4">
      <c r="A726" s="5" t="s">
        <v>17</v>
      </c>
      <c r="B726" s="5" t="s">
        <v>21</v>
      </c>
      <c r="C726" s="5" t="s">
        <v>24</v>
      </c>
      <c r="D726" s="5">
        <v>31</v>
      </c>
      <c r="E726" s="5">
        <v>484</v>
      </c>
      <c r="F726" s="5">
        <v>15004</v>
      </c>
    </row>
    <row r="727" spans="1:6" x14ac:dyDescent="0.4">
      <c r="A727" s="5" t="s">
        <v>9</v>
      </c>
      <c r="B727" s="5" t="s">
        <v>10</v>
      </c>
      <c r="C727" s="5" t="s">
        <v>11</v>
      </c>
      <c r="D727" s="5">
        <v>4</v>
      </c>
      <c r="E727" s="5">
        <v>1362</v>
      </c>
      <c r="F727" s="5">
        <v>5448</v>
      </c>
    </row>
    <row r="728" spans="1:6" x14ac:dyDescent="0.4">
      <c r="A728" s="5" t="s">
        <v>9</v>
      </c>
      <c r="B728" s="5" t="s">
        <v>15</v>
      </c>
      <c r="C728" s="5" t="s">
        <v>18</v>
      </c>
      <c r="D728" s="5">
        <v>33</v>
      </c>
      <c r="E728" s="5">
        <v>978</v>
      </c>
      <c r="F728" s="5">
        <v>32274</v>
      </c>
    </row>
    <row r="729" spans="1:6" x14ac:dyDescent="0.4">
      <c r="A729" s="5" t="s">
        <v>19</v>
      </c>
      <c r="B729" s="5" t="s">
        <v>7</v>
      </c>
      <c r="C729" s="5" t="s">
        <v>23</v>
      </c>
      <c r="D729" s="5">
        <v>8</v>
      </c>
      <c r="E729" s="5">
        <v>1324</v>
      </c>
      <c r="F729" s="5">
        <v>10592</v>
      </c>
    </row>
    <row r="730" spans="1:6" x14ac:dyDescent="0.4">
      <c r="A730" s="5" t="s">
        <v>19</v>
      </c>
      <c r="B730" s="5" t="s">
        <v>21</v>
      </c>
      <c r="C730" s="5" t="s">
        <v>16</v>
      </c>
      <c r="D730" s="5">
        <v>47</v>
      </c>
      <c r="E730" s="5">
        <v>1617</v>
      </c>
      <c r="F730" s="5">
        <v>75999</v>
      </c>
    </row>
    <row r="731" spans="1:6" x14ac:dyDescent="0.4">
      <c r="A731" s="5" t="s">
        <v>19</v>
      </c>
      <c r="B731" s="5" t="s">
        <v>7</v>
      </c>
      <c r="C731" s="5" t="s">
        <v>13</v>
      </c>
      <c r="D731" s="5">
        <v>9</v>
      </c>
      <c r="E731" s="5">
        <v>418</v>
      </c>
      <c r="F731" s="5">
        <v>3762</v>
      </c>
    </row>
    <row r="732" spans="1:6" x14ac:dyDescent="0.4">
      <c r="A732" s="5" t="s">
        <v>17</v>
      </c>
      <c r="B732" s="5" t="s">
        <v>7</v>
      </c>
      <c r="C732" s="5" t="s">
        <v>11</v>
      </c>
      <c r="D732" s="5">
        <v>9</v>
      </c>
      <c r="E732" s="5">
        <v>1758</v>
      </c>
      <c r="F732" s="5">
        <v>15822</v>
      </c>
    </row>
    <row r="733" spans="1:6" x14ac:dyDescent="0.4">
      <c r="A733" s="5" t="s">
        <v>17</v>
      </c>
      <c r="B733" s="5" t="s">
        <v>7</v>
      </c>
      <c r="C733" s="5" t="s">
        <v>18</v>
      </c>
      <c r="D733" s="5">
        <v>8</v>
      </c>
      <c r="E733" s="5">
        <v>1097</v>
      </c>
      <c r="F733" s="5">
        <v>8776</v>
      </c>
    </row>
    <row r="734" spans="1:6" x14ac:dyDescent="0.4">
      <c r="A734" s="5" t="s">
        <v>19</v>
      </c>
      <c r="B734" s="5" t="s">
        <v>10</v>
      </c>
      <c r="C734" s="5" t="s">
        <v>8</v>
      </c>
      <c r="D734" s="5">
        <v>37</v>
      </c>
      <c r="E734" s="5">
        <v>1490</v>
      </c>
      <c r="F734" s="5">
        <v>55130</v>
      </c>
    </row>
    <row r="735" spans="1:6" x14ac:dyDescent="0.4">
      <c r="A735" s="5" t="s">
        <v>19</v>
      </c>
      <c r="B735" s="5" t="s">
        <v>7</v>
      </c>
      <c r="C735" s="5" t="s">
        <v>14</v>
      </c>
      <c r="D735" s="5">
        <v>47</v>
      </c>
      <c r="E735" s="5">
        <v>957</v>
      </c>
      <c r="F735" s="5">
        <v>44979</v>
      </c>
    </row>
    <row r="736" spans="1:6" x14ac:dyDescent="0.4">
      <c r="A736" s="5" t="s">
        <v>9</v>
      </c>
      <c r="B736" s="5" t="s">
        <v>7</v>
      </c>
      <c r="C736" s="5" t="s">
        <v>14</v>
      </c>
      <c r="D736" s="5">
        <v>26</v>
      </c>
      <c r="E736" s="5">
        <v>163</v>
      </c>
      <c r="F736" s="5">
        <v>4238</v>
      </c>
    </row>
    <row r="737" spans="1:6" x14ac:dyDescent="0.4">
      <c r="A737" s="5" t="s">
        <v>9</v>
      </c>
      <c r="B737" s="5" t="s">
        <v>10</v>
      </c>
      <c r="C737" s="5" t="s">
        <v>11</v>
      </c>
      <c r="D737" s="5">
        <v>18</v>
      </c>
      <c r="E737" s="5">
        <v>1062</v>
      </c>
      <c r="F737" s="5">
        <v>19116</v>
      </c>
    </row>
    <row r="738" spans="1:6" x14ac:dyDescent="0.4">
      <c r="A738" s="5" t="s">
        <v>19</v>
      </c>
      <c r="B738" s="5" t="s">
        <v>12</v>
      </c>
      <c r="C738" s="5" t="s">
        <v>13</v>
      </c>
      <c r="D738" s="5">
        <v>26</v>
      </c>
      <c r="E738" s="5">
        <v>1022</v>
      </c>
      <c r="F738" s="5">
        <v>26572</v>
      </c>
    </row>
    <row r="739" spans="1:6" x14ac:dyDescent="0.4">
      <c r="A739" s="5" t="s">
        <v>6</v>
      </c>
      <c r="B739" s="5" t="s">
        <v>10</v>
      </c>
      <c r="C739" s="5" t="s">
        <v>13</v>
      </c>
      <c r="D739" s="5">
        <v>16</v>
      </c>
      <c r="E739" s="5">
        <v>1649</v>
      </c>
      <c r="F739" s="5">
        <v>26384</v>
      </c>
    </row>
    <row r="740" spans="1:6" x14ac:dyDescent="0.4">
      <c r="A740" s="5" t="s">
        <v>19</v>
      </c>
      <c r="B740" s="5" t="s">
        <v>12</v>
      </c>
      <c r="C740" s="5" t="s">
        <v>23</v>
      </c>
      <c r="D740" s="5">
        <v>49</v>
      </c>
      <c r="E740" s="5">
        <v>1054</v>
      </c>
      <c r="F740" s="5">
        <v>51646</v>
      </c>
    </row>
    <row r="741" spans="1:6" x14ac:dyDescent="0.4">
      <c r="A741" s="5" t="s">
        <v>17</v>
      </c>
      <c r="B741" s="5" t="s">
        <v>15</v>
      </c>
      <c r="C741" s="5" t="s">
        <v>11</v>
      </c>
      <c r="D741" s="5">
        <v>23</v>
      </c>
      <c r="E741" s="5">
        <v>111</v>
      </c>
      <c r="F741" s="5">
        <v>2553</v>
      </c>
    </row>
    <row r="742" spans="1:6" x14ac:dyDescent="0.4">
      <c r="A742" s="5" t="s">
        <v>17</v>
      </c>
      <c r="B742" s="5" t="s">
        <v>15</v>
      </c>
      <c r="C742" s="5" t="s">
        <v>16</v>
      </c>
      <c r="D742" s="5">
        <v>21</v>
      </c>
      <c r="E742" s="5">
        <v>944</v>
      </c>
      <c r="F742" s="5">
        <v>19824</v>
      </c>
    </row>
    <row r="743" spans="1:6" x14ac:dyDescent="0.4">
      <c r="A743" s="5" t="s">
        <v>19</v>
      </c>
      <c r="B743" s="5" t="s">
        <v>12</v>
      </c>
      <c r="C743" s="5" t="s">
        <v>22</v>
      </c>
      <c r="D743" s="5">
        <v>18</v>
      </c>
      <c r="E743" s="5">
        <v>1586</v>
      </c>
      <c r="F743" s="5">
        <v>28548</v>
      </c>
    </row>
    <row r="744" spans="1:6" x14ac:dyDescent="0.4">
      <c r="A744" s="5" t="s">
        <v>17</v>
      </c>
      <c r="B744" s="5" t="s">
        <v>7</v>
      </c>
      <c r="C744" s="5" t="s">
        <v>13</v>
      </c>
      <c r="D744" s="5">
        <v>32</v>
      </c>
      <c r="E744" s="5">
        <v>312</v>
      </c>
      <c r="F744" s="5">
        <v>9984</v>
      </c>
    </row>
    <row r="745" spans="1:6" x14ac:dyDescent="0.4">
      <c r="A745" s="5" t="s">
        <v>19</v>
      </c>
      <c r="B745" s="5" t="s">
        <v>15</v>
      </c>
      <c r="C745" s="5" t="s">
        <v>20</v>
      </c>
      <c r="D745" s="5">
        <v>41</v>
      </c>
      <c r="E745" s="5">
        <v>1100</v>
      </c>
      <c r="F745" s="5">
        <v>45100</v>
      </c>
    </row>
    <row r="746" spans="1:6" x14ac:dyDescent="0.4">
      <c r="A746" s="5" t="s">
        <v>19</v>
      </c>
      <c r="B746" s="5" t="s">
        <v>12</v>
      </c>
      <c r="C746" s="5" t="s">
        <v>23</v>
      </c>
      <c r="D746" s="5">
        <v>44</v>
      </c>
      <c r="E746" s="5">
        <v>1348</v>
      </c>
      <c r="F746" s="5">
        <v>59312</v>
      </c>
    </row>
    <row r="747" spans="1:6" x14ac:dyDescent="0.4">
      <c r="A747" s="5" t="s">
        <v>6</v>
      </c>
      <c r="B747" s="5" t="s">
        <v>7</v>
      </c>
      <c r="C747" s="5" t="s">
        <v>20</v>
      </c>
      <c r="D747" s="5">
        <v>45</v>
      </c>
      <c r="E747" s="5">
        <v>1744</v>
      </c>
      <c r="F747" s="5">
        <v>78480</v>
      </c>
    </row>
    <row r="748" spans="1:6" x14ac:dyDescent="0.4">
      <c r="A748" s="5" t="s">
        <v>9</v>
      </c>
      <c r="B748" s="5" t="s">
        <v>12</v>
      </c>
      <c r="C748" s="5" t="s">
        <v>18</v>
      </c>
      <c r="D748" s="5">
        <v>14</v>
      </c>
      <c r="E748" s="5">
        <v>1264</v>
      </c>
      <c r="F748" s="5">
        <v>17696</v>
      </c>
    </row>
    <row r="749" spans="1:6" x14ac:dyDescent="0.4">
      <c r="A749" s="5" t="s">
        <v>9</v>
      </c>
      <c r="B749" s="5" t="s">
        <v>21</v>
      </c>
      <c r="C749" s="5" t="s">
        <v>24</v>
      </c>
      <c r="D749" s="5">
        <v>41</v>
      </c>
      <c r="E749" s="5">
        <v>1199</v>
      </c>
      <c r="F749" s="5">
        <v>49159</v>
      </c>
    </row>
    <row r="750" spans="1:6" x14ac:dyDescent="0.4">
      <c r="A750" s="5" t="s">
        <v>9</v>
      </c>
      <c r="B750" s="5" t="s">
        <v>12</v>
      </c>
      <c r="C750" s="5" t="s">
        <v>11</v>
      </c>
      <c r="D750" s="5">
        <v>44</v>
      </c>
      <c r="E750" s="5">
        <v>1159</v>
      </c>
      <c r="F750" s="5">
        <v>50996</v>
      </c>
    </row>
    <row r="751" spans="1:6" x14ac:dyDescent="0.4">
      <c r="A751" s="5" t="s">
        <v>9</v>
      </c>
      <c r="B751" s="5" t="s">
        <v>15</v>
      </c>
      <c r="C751" s="5" t="s">
        <v>13</v>
      </c>
      <c r="D751" s="5">
        <v>40</v>
      </c>
      <c r="E751" s="5">
        <v>764</v>
      </c>
      <c r="F751" s="5">
        <v>30560</v>
      </c>
    </row>
    <row r="752" spans="1:6" x14ac:dyDescent="0.4">
      <c r="A752" s="5" t="s">
        <v>9</v>
      </c>
      <c r="B752" s="5" t="s">
        <v>10</v>
      </c>
      <c r="C752" s="5" t="s">
        <v>13</v>
      </c>
      <c r="D752" s="5">
        <v>21</v>
      </c>
      <c r="E752" s="5">
        <v>111</v>
      </c>
      <c r="F752" s="5">
        <v>2331</v>
      </c>
    </row>
    <row r="753" spans="1:6" x14ac:dyDescent="0.4">
      <c r="A753" s="5" t="s">
        <v>6</v>
      </c>
      <c r="B753" s="5" t="s">
        <v>15</v>
      </c>
      <c r="C753" s="5" t="s">
        <v>13</v>
      </c>
      <c r="D753" s="5">
        <v>2</v>
      </c>
      <c r="E753" s="5">
        <v>1071</v>
      </c>
      <c r="F753" s="5">
        <v>2142</v>
      </c>
    </row>
    <row r="754" spans="1:6" x14ac:dyDescent="0.4">
      <c r="A754" s="5" t="s">
        <v>19</v>
      </c>
      <c r="B754" s="5" t="s">
        <v>15</v>
      </c>
      <c r="C754" s="5" t="s">
        <v>18</v>
      </c>
      <c r="D754" s="5">
        <v>38</v>
      </c>
      <c r="E754" s="5">
        <v>162</v>
      </c>
      <c r="F754" s="5">
        <v>6156</v>
      </c>
    </row>
    <row r="755" spans="1:6" x14ac:dyDescent="0.4">
      <c r="A755" s="5" t="s">
        <v>19</v>
      </c>
      <c r="B755" s="5" t="s">
        <v>12</v>
      </c>
      <c r="C755" s="5" t="s">
        <v>14</v>
      </c>
      <c r="D755" s="5">
        <v>1</v>
      </c>
      <c r="E755" s="5">
        <v>836</v>
      </c>
      <c r="F755" s="5">
        <v>836</v>
      </c>
    </row>
    <row r="756" spans="1:6" x14ac:dyDescent="0.4">
      <c r="A756" s="5" t="s">
        <v>17</v>
      </c>
      <c r="B756" s="5" t="s">
        <v>12</v>
      </c>
      <c r="C756" s="5" t="s">
        <v>16</v>
      </c>
      <c r="D756" s="5">
        <v>11</v>
      </c>
      <c r="E756" s="5">
        <v>264</v>
      </c>
      <c r="F756" s="5">
        <v>2904</v>
      </c>
    </row>
    <row r="757" spans="1:6" x14ac:dyDescent="0.4">
      <c r="A757" s="5" t="s">
        <v>9</v>
      </c>
      <c r="B757" s="5" t="s">
        <v>7</v>
      </c>
      <c r="C757" s="5" t="s">
        <v>22</v>
      </c>
      <c r="D757" s="5">
        <v>27</v>
      </c>
      <c r="E757" s="5">
        <v>1389</v>
      </c>
      <c r="F757" s="5">
        <v>37503</v>
      </c>
    </row>
    <row r="758" spans="1:6" x14ac:dyDescent="0.4">
      <c r="A758" s="5" t="s">
        <v>17</v>
      </c>
      <c r="B758" s="5" t="s">
        <v>21</v>
      </c>
      <c r="C758" s="5" t="s">
        <v>13</v>
      </c>
      <c r="D758" s="5">
        <v>6</v>
      </c>
      <c r="E758" s="5">
        <v>680</v>
      </c>
      <c r="F758" s="5">
        <v>4080</v>
      </c>
    </row>
    <row r="759" spans="1:6" x14ac:dyDescent="0.4">
      <c r="A759" s="5" t="s">
        <v>19</v>
      </c>
      <c r="B759" s="5" t="s">
        <v>21</v>
      </c>
      <c r="C759" s="5" t="s">
        <v>14</v>
      </c>
      <c r="D759" s="5">
        <v>40</v>
      </c>
      <c r="E759" s="5">
        <v>679</v>
      </c>
      <c r="F759" s="5">
        <v>27160</v>
      </c>
    </row>
    <row r="760" spans="1:6" x14ac:dyDescent="0.4">
      <c r="A760" s="5" t="s">
        <v>9</v>
      </c>
      <c r="B760" s="5" t="s">
        <v>7</v>
      </c>
      <c r="C760" s="5" t="s">
        <v>16</v>
      </c>
      <c r="D760" s="5">
        <v>2</v>
      </c>
      <c r="E760" s="5">
        <v>1853</v>
      </c>
      <c r="F760" s="5">
        <v>3706</v>
      </c>
    </row>
    <row r="761" spans="1:6" x14ac:dyDescent="0.4">
      <c r="A761" s="5" t="s">
        <v>6</v>
      </c>
      <c r="B761" s="5" t="s">
        <v>15</v>
      </c>
      <c r="C761" s="5" t="s">
        <v>13</v>
      </c>
      <c r="D761" s="5">
        <v>31</v>
      </c>
      <c r="E761" s="5">
        <v>1292</v>
      </c>
      <c r="F761" s="5">
        <v>40052</v>
      </c>
    </row>
    <row r="762" spans="1:6" x14ac:dyDescent="0.4">
      <c r="A762" s="5" t="s">
        <v>6</v>
      </c>
      <c r="B762" s="5" t="s">
        <v>12</v>
      </c>
      <c r="C762" s="5" t="s">
        <v>20</v>
      </c>
      <c r="D762" s="5">
        <v>26</v>
      </c>
      <c r="E762" s="5">
        <v>1348</v>
      </c>
      <c r="F762" s="5">
        <v>35048</v>
      </c>
    </row>
    <row r="763" spans="1:6" x14ac:dyDescent="0.4">
      <c r="A763" s="5" t="s">
        <v>19</v>
      </c>
      <c r="B763" s="5" t="s">
        <v>12</v>
      </c>
      <c r="C763" s="5" t="s">
        <v>23</v>
      </c>
      <c r="D763" s="5">
        <v>17</v>
      </c>
      <c r="E763" s="5">
        <v>1921</v>
      </c>
      <c r="F763" s="5">
        <v>32657</v>
      </c>
    </row>
    <row r="764" spans="1:6" x14ac:dyDescent="0.4">
      <c r="A764" s="5" t="s">
        <v>17</v>
      </c>
      <c r="B764" s="5" t="s">
        <v>21</v>
      </c>
      <c r="C764" s="5" t="s">
        <v>18</v>
      </c>
      <c r="D764" s="5">
        <v>2</v>
      </c>
      <c r="E764" s="5">
        <v>687</v>
      </c>
      <c r="F764" s="5">
        <v>1374</v>
      </c>
    </row>
    <row r="765" spans="1:6" x14ac:dyDescent="0.4">
      <c r="A765" s="5" t="s">
        <v>19</v>
      </c>
      <c r="B765" s="5" t="s">
        <v>7</v>
      </c>
      <c r="C765" s="5" t="s">
        <v>16</v>
      </c>
      <c r="D765" s="5">
        <v>2</v>
      </c>
      <c r="E765" s="5">
        <v>1134</v>
      </c>
      <c r="F765" s="5">
        <v>2268</v>
      </c>
    </row>
    <row r="766" spans="1:6" x14ac:dyDescent="0.4">
      <c r="A766" s="5" t="s">
        <v>19</v>
      </c>
      <c r="B766" s="5" t="s">
        <v>12</v>
      </c>
      <c r="C766" s="5" t="s">
        <v>14</v>
      </c>
      <c r="D766" s="5">
        <v>35</v>
      </c>
      <c r="E766" s="5">
        <v>1004</v>
      </c>
      <c r="F766" s="5">
        <v>35140</v>
      </c>
    </row>
    <row r="767" spans="1:6" x14ac:dyDescent="0.4">
      <c r="A767" s="5" t="s">
        <v>17</v>
      </c>
      <c r="B767" s="5" t="s">
        <v>7</v>
      </c>
      <c r="C767" s="5" t="s">
        <v>11</v>
      </c>
      <c r="D767" s="5">
        <v>9</v>
      </c>
      <c r="E767" s="5">
        <v>1516</v>
      </c>
      <c r="F767" s="5">
        <v>13644</v>
      </c>
    </row>
    <row r="768" spans="1:6" x14ac:dyDescent="0.4">
      <c r="A768" s="5" t="s">
        <v>9</v>
      </c>
      <c r="B768" s="5" t="s">
        <v>12</v>
      </c>
      <c r="C768" s="5" t="s">
        <v>13</v>
      </c>
      <c r="D768" s="5">
        <v>33</v>
      </c>
      <c r="E768" s="5">
        <v>634</v>
      </c>
      <c r="F768" s="5">
        <v>20922</v>
      </c>
    </row>
    <row r="769" spans="1:6" x14ac:dyDescent="0.4">
      <c r="A769" s="5" t="s">
        <v>19</v>
      </c>
      <c r="B769" s="5" t="s">
        <v>15</v>
      </c>
      <c r="C769" s="5" t="s">
        <v>18</v>
      </c>
      <c r="D769" s="5">
        <v>46</v>
      </c>
      <c r="E769" s="5">
        <v>1002</v>
      </c>
      <c r="F769" s="5">
        <v>46092</v>
      </c>
    </row>
    <row r="770" spans="1:6" x14ac:dyDescent="0.4">
      <c r="A770" s="5" t="s">
        <v>9</v>
      </c>
      <c r="B770" s="5" t="s">
        <v>12</v>
      </c>
      <c r="C770" s="5" t="s">
        <v>13</v>
      </c>
      <c r="D770" s="5">
        <v>9</v>
      </c>
      <c r="E770" s="5">
        <v>113</v>
      </c>
      <c r="F770" s="5">
        <v>1017</v>
      </c>
    </row>
    <row r="771" spans="1:6" x14ac:dyDescent="0.4">
      <c r="A771" s="5" t="s">
        <v>9</v>
      </c>
      <c r="B771" s="5" t="s">
        <v>21</v>
      </c>
      <c r="C771" s="5" t="s">
        <v>14</v>
      </c>
      <c r="D771" s="5">
        <v>38</v>
      </c>
      <c r="E771" s="5">
        <v>414</v>
      </c>
      <c r="F771" s="5">
        <v>15732</v>
      </c>
    </row>
    <row r="772" spans="1:6" x14ac:dyDescent="0.4">
      <c r="A772" s="5" t="s">
        <v>9</v>
      </c>
      <c r="B772" s="5" t="s">
        <v>10</v>
      </c>
      <c r="C772" s="5" t="s">
        <v>22</v>
      </c>
      <c r="D772" s="5">
        <v>15</v>
      </c>
      <c r="E772" s="5">
        <v>597</v>
      </c>
      <c r="F772" s="5">
        <v>8955</v>
      </c>
    </row>
    <row r="773" spans="1:6" x14ac:dyDescent="0.4">
      <c r="A773" s="5" t="s">
        <v>19</v>
      </c>
      <c r="B773" s="5" t="s">
        <v>7</v>
      </c>
      <c r="C773" s="5" t="s">
        <v>18</v>
      </c>
      <c r="D773" s="5">
        <v>27</v>
      </c>
      <c r="E773" s="5">
        <v>658</v>
      </c>
      <c r="F773" s="5">
        <v>17766</v>
      </c>
    </row>
    <row r="774" spans="1:6" x14ac:dyDescent="0.4">
      <c r="A774" s="5" t="s">
        <v>17</v>
      </c>
      <c r="B774" s="5" t="s">
        <v>21</v>
      </c>
      <c r="C774" s="5" t="s">
        <v>11</v>
      </c>
      <c r="D774" s="5">
        <v>10</v>
      </c>
      <c r="E774" s="5">
        <v>1490</v>
      </c>
      <c r="F774" s="5">
        <v>14900</v>
      </c>
    </row>
    <row r="775" spans="1:6" x14ac:dyDescent="0.4">
      <c r="A775" s="5" t="s">
        <v>9</v>
      </c>
      <c r="B775" s="5" t="s">
        <v>12</v>
      </c>
      <c r="C775" s="5" t="s">
        <v>11</v>
      </c>
      <c r="D775" s="5">
        <v>38</v>
      </c>
      <c r="E775" s="5">
        <v>1992</v>
      </c>
      <c r="F775" s="5">
        <v>75696</v>
      </c>
    </row>
    <row r="776" spans="1:6" x14ac:dyDescent="0.4">
      <c r="A776" s="5" t="s">
        <v>9</v>
      </c>
      <c r="B776" s="5" t="s">
        <v>7</v>
      </c>
      <c r="C776" s="5" t="s">
        <v>23</v>
      </c>
      <c r="D776" s="5">
        <v>26</v>
      </c>
      <c r="E776" s="5">
        <v>154</v>
      </c>
      <c r="F776" s="5">
        <v>4004</v>
      </c>
    </row>
    <row r="777" spans="1:6" x14ac:dyDescent="0.4">
      <c r="A777" s="5" t="s">
        <v>19</v>
      </c>
      <c r="B777" s="5" t="s">
        <v>21</v>
      </c>
      <c r="C777" s="5" t="s">
        <v>24</v>
      </c>
      <c r="D777" s="5">
        <v>7</v>
      </c>
      <c r="E777" s="5">
        <v>1748</v>
      </c>
      <c r="F777" s="5">
        <v>12236</v>
      </c>
    </row>
    <row r="778" spans="1:6" x14ac:dyDescent="0.4">
      <c r="A778" s="5" t="s">
        <v>9</v>
      </c>
      <c r="B778" s="5" t="s">
        <v>15</v>
      </c>
      <c r="C778" s="5" t="s">
        <v>14</v>
      </c>
      <c r="D778" s="5">
        <v>37</v>
      </c>
      <c r="E778" s="5">
        <v>1418</v>
      </c>
      <c r="F778" s="5">
        <v>52466</v>
      </c>
    </row>
    <row r="779" spans="1:6" x14ac:dyDescent="0.4">
      <c r="A779" s="5" t="s">
        <v>9</v>
      </c>
      <c r="B779" s="5" t="s">
        <v>21</v>
      </c>
      <c r="C779" s="5" t="s">
        <v>22</v>
      </c>
      <c r="D779" s="5">
        <v>10</v>
      </c>
      <c r="E779" s="5">
        <v>643</v>
      </c>
      <c r="F779" s="5">
        <v>6430</v>
      </c>
    </row>
    <row r="780" spans="1:6" x14ac:dyDescent="0.4">
      <c r="A780" s="5" t="s">
        <v>17</v>
      </c>
      <c r="B780" s="5" t="s">
        <v>7</v>
      </c>
      <c r="C780" s="5" t="s">
        <v>23</v>
      </c>
      <c r="D780" s="5">
        <v>30</v>
      </c>
      <c r="E780" s="5">
        <v>685</v>
      </c>
      <c r="F780" s="5">
        <v>20550</v>
      </c>
    </row>
    <row r="781" spans="1:6" x14ac:dyDescent="0.4">
      <c r="A781" s="5" t="s">
        <v>19</v>
      </c>
      <c r="B781" s="5" t="s">
        <v>7</v>
      </c>
      <c r="C781" s="5" t="s">
        <v>16</v>
      </c>
      <c r="D781" s="5">
        <v>10</v>
      </c>
      <c r="E781" s="5">
        <v>1291</v>
      </c>
      <c r="F781" s="5">
        <v>12910</v>
      </c>
    </row>
    <row r="782" spans="1:6" x14ac:dyDescent="0.4">
      <c r="A782" s="5" t="s">
        <v>6</v>
      </c>
      <c r="B782" s="5" t="s">
        <v>15</v>
      </c>
      <c r="C782" s="5" t="s">
        <v>23</v>
      </c>
      <c r="D782" s="5">
        <v>49</v>
      </c>
      <c r="E782" s="5">
        <v>348</v>
      </c>
      <c r="F782" s="5">
        <v>17052</v>
      </c>
    </row>
    <row r="783" spans="1:6" x14ac:dyDescent="0.4">
      <c r="A783" s="5" t="s">
        <v>9</v>
      </c>
      <c r="B783" s="5" t="s">
        <v>15</v>
      </c>
      <c r="C783" s="5" t="s">
        <v>20</v>
      </c>
      <c r="D783" s="5">
        <v>4</v>
      </c>
      <c r="E783" s="5">
        <v>1636</v>
      </c>
      <c r="F783" s="5">
        <v>6544</v>
      </c>
    </row>
    <row r="784" spans="1:6" x14ac:dyDescent="0.4">
      <c r="A784" s="5" t="s">
        <v>6</v>
      </c>
      <c r="B784" s="5" t="s">
        <v>12</v>
      </c>
      <c r="C784" s="5" t="s">
        <v>16</v>
      </c>
      <c r="D784" s="5">
        <v>17</v>
      </c>
      <c r="E784" s="5">
        <v>1727</v>
      </c>
      <c r="F784" s="5">
        <v>29359</v>
      </c>
    </row>
    <row r="785" spans="1:6" x14ac:dyDescent="0.4">
      <c r="A785" s="5" t="s">
        <v>6</v>
      </c>
      <c r="B785" s="5" t="s">
        <v>12</v>
      </c>
      <c r="C785" s="5" t="s">
        <v>16</v>
      </c>
      <c r="D785" s="5">
        <v>13</v>
      </c>
      <c r="E785" s="5">
        <v>1192</v>
      </c>
      <c r="F785" s="5">
        <v>15496</v>
      </c>
    </row>
    <row r="786" spans="1:6" x14ac:dyDescent="0.4">
      <c r="A786" s="5" t="s">
        <v>9</v>
      </c>
      <c r="B786" s="5" t="s">
        <v>10</v>
      </c>
      <c r="C786" s="5" t="s">
        <v>8</v>
      </c>
      <c r="D786" s="5">
        <v>21</v>
      </c>
      <c r="E786" s="5">
        <v>115</v>
      </c>
      <c r="F786" s="5">
        <v>2415</v>
      </c>
    </row>
    <row r="787" spans="1:6" x14ac:dyDescent="0.4">
      <c r="A787" s="5" t="s">
        <v>17</v>
      </c>
      <c r="B787" s="5" t="s">
        <v>12</v>
      </c>
      <c r="C787" s="5" t="s">
        <v>24</v>
      </c>
      <c r="D787" s="5">
        <v>17</v>
      </c>
      <c r="E787" s="5">
        <v>290</v>
      </c>
      <c r="F787" s="5">
        <v>4930</v>
      </c>
    </row>
    <row r="788" spans="1:6" x14ac:dyDescent="0.4">
      <c r="A788" s="5" t="s">
        <v>17</v>
      </c>
      <c r="B788" s="5" t="s">
        <v>10</v>
      </c>
      <c r="C788" s="5" t="s">
        <v>18</v>
      </c>
      <c r="D788" s="5">
        <v>44</v>
      </c>
      <c r="E788" s="5">
        <v>1689</v>
      </c>
      <c r="F788" s="5">
        <v>74316</v>
      </c>
    </row>
    <row r="789" spans="1:6" x14ac:dyDescent="0.4">
      <c r="A789" s="5" t="s">
        <v>9</v>
      </c>
      <c r="B789" s="5" t="s">
        <v>15</v>
      </c>
      <c r="C789" s="5" t="s">
        <v>20</v>
      </c>
      <c r="D789" s="5">
        <v>1</v>
      </c>
      <c r="E789" s="5">
        <v>1799</v>
      </c>
      <c r="F789" s="5">
        <v>1799</v>
      </c>
    </row>
    <row r="790" spans="1:6" x14ac:dyDescent="0.4">
      <c r="A790" s="5" t="s">
        <v>9</v>
      </c>
      <c r="B790" s="5" t="s">
        <v>12</v>
      </c>
      <c r="C790" s="5" t="s">
        <v>8</v>
      </c>
      <c r="D790" s="5">
        <v>42</v>
      </c>
      <c r="E790" s="5">
        <v>399</v>
      </c>
      <c r="F790" s="5">
        <v>16758</v>
      </c>
    </row>
    <row r="791" spans="1:6" x14ac:dyDescent="0.4">
      <c r="A791" s="5" t="s">
        <v>6</v>
      </c>
      <c r="B791" s="5" t="s">
        <v>15</v>
      </c>
      <c r="C791" s="5" t="s">
        <v>24</v>
      </c>
      <c r="D791" s="5">
        <v>16</v>
      </c>
      <c r="E791" s="5">
        <v>1014</v>
      </c>
      <c r="F791" s="5">
        <v>16224</v>
      </c>
    </row>
    <row r="792" spans="1:6" x14ac:dyDescent="0.4">
      <c r="A792" s="5" t="s">
        <v>6</v>
      </c>
      <c r="B792" s="5" t="s">
        <v>10</v>
      </c>
      <c r="C792" s="5" t="s">
        <v>23</v>
      </c>
      <c r="D792" s="5">
        <v>49</v>
      </c>
      <c r="E792" s="5">
        <v>505</v>
      </c>
      <c r="F792" s="5">
        <v>24745</v>
      </c>
    </row>
    <row r="793" spans="1:6" x14ac:dyDescent="0.4">
      <c r="A793" s="5" t="s">
        <v>6</v>
      </c>
      <c r="B793" s="5" t="s">
        <v>7</v>
      </c>
      <c r="C793" s="5" t="s">
        <v>16</v>
      </c>
      <c r="D793" s="5">
        <v>22</v>
      </c>
      <c r="E793" s="5">
        <v>1480</v>
      </c>
      <c r="F793" s="5">
        <v>32560</v>
      </c>
    </row>
    <row r="794" spans="1:6" x14ac:dyDescent="0.4">
      <c r="A794" s="5" t="s">
        <v>9</v>
      </c>
      <c r="B794" s="5" t="s">
        <v>12</v>
      </c>
      <c r="C794" s="5" t="s">
        <v>14</v>
      </c>
      <c r="D794" s="5">
        <v>21</v>
      </c>
      <c r="E794" s="5">
        <v>121</v>
      </c>
      <c r="F794" s="5">
        <v>2541</v>
      </c>
    </row>
    <row r="795" spans="1:6" x14ac:dyDescent="0.4">
      <c r="A795" s="5" t="s">
        <v>19</v>
      </c>
      <c r="B795" s="5" t="s">
        <v>10</v>
      </c>
      <c r="C795" s="5" t="s">
        <v>22</v>
      </c>
      <c r="D795" s="5">
        <v>47</v>
      </c>
      <c r="E795" s="5">
        <v>1437</v>
      </c>
      <c r="F795" s="5">
        <v>67539</v>
      </c>
    </row>
    <row r="796" spans="1:6" x14ac:dyDescent="0.4">
      <c r="A796" s="5" t="s">
        <v>6</v>
      </c>
      <c r="B796" s="5" t="s">
        <v>21</v>
      </c>
      <c r="C796" s="5" t="s">
        <v>16</v>
      </c>
      <c r="D796" s="5">
        <v>32</v>
      </c>
      <c r="E796" s="5">
        <v>1068</v>
      </c>
      <c r="F796" s="5">
        <v>34176</v>
      </c>
    </row>
    <row r="797" spans="1:6" x14ac:dyDescent="0.4">
      <c r="A797" s="5" t="s">
        <v>17</v>
      </c>
      <c r="B797" s="5" t="s">
        <v>21</v>
      </c>
      <c r="C797" s="5" t="s">
        <v>16</v>
      </c>
      <c r="D797" s="5">
        <v>42</v>
      </c>
      <c r="E797" s="5">
        <v>1188</v>
      </c>
      <c r="F797" s="5">
        <v>49896</v>
      </c>
    </row>
    <row r="798" spans="1:6" x14ac:dyDescent="0.4">
      <c r="A798" s="5" t="s">
        <v>17</v>
      </c>
      <c r="B798" s="5" t="s">
        <v>7</v>
      </c>
      <c r="C798" s="5" t="s">
        <v>16</v>
      </c>
      <c r="D798" s="5">
        <v>39</v>
      </c>
      <c r="E798" s="5">
        <v>348</v>
      </c>
      <c r="F798" s="5">
        <v>13572</v>
      </c>
    </row>
    <row r="799" spans="1:6" x14ac:dyDescent="0.4">
      <c r="A799" s="5" t="s">
        <v>9</v>
      </c>
      <c r="B799" s="5" t="s">
        <v>12</v>
      </c>
      <c r="C799" s="5" t="s">
        <v>8</v>
      </c>
      <c r="D799" s="5">
        <v>21</v>
      </c>
      <c r="E799" s="5">
        <v>826</v>
      </c>
      <c r="F799" s="5">
        <v>17346</v>
      </c>
    </row>
    <row r="800" spans="1:6" x14ac:dyDescent="0.4">
      <c r="A800" s="5" t="s">
        <v>6</v>
      </c>
      <c r="B800" s="5" t="s">
        <v>7</v>
      </c>
      <c r="C800" s="5" t="s">
        <v>14</v>
      </c>
      <c r="D800" s="5">
        <v>41</v>
      </c>
      <c r="E800" s="5">
        <v>1290</v>
      </c>
      <c r="F800" s="5">
        <v>52890</v>
      </c>
    </row>
    <row r="801" spans="1:6" x14ac:dyDescent="0.4">
      <c r="A801" s="5" t="s">
        <v>17</v>
      </c>
      <c r="B801" s="5" t="s">
        <v>7</v>
      </c>
      <c r="C801" s="5" t="s">
        <v>11</v>
      </c>
      <c r="D801" s="5">
        <v>33</v>
      </c>
      <c r="E801" s="5">
        <v>1378</v>
      </c>
      <c r="F801" s="5">
        <v>45474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1"/>
  <sheetViews>
    <sheetView topLeftCell="B23" workbookViewId="0">
      <selection activeCell="I31" sqref="I31"/>
    </sheetView>
  </sheetViews>
  <sheetFormatPr defaultRowHeight="14.6" x14ac:dyDescent="0.4"/>
  <cols>
    <col min="1" max="1" width="6.765625" bestFit="1" customWidth="1"/>
    <col min="2" max="2" width="9.84375" bestFit="1" customWidth="1"/>
    <col min="3" max="3" width="11" bestFit="1" customWidth="1"/>
    <col min="4" max="4" width="9.4609375" bestFit="1" customWidth="1"/>
    <col min="5" max="5" width="9.07421875" bestFit="1" customWidth="1"/>
    <col min="6" max="6" width="8.3046875" bestFit="1" customWidth="1"/>
    <col min="8" max="8" width="9.765625" bestFit="1" customWidth="1"/>
    <col min="9" max="9" width="50.6914062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/>
      <c r="I1" s="2"/>
    </row>
    <row r="2" spans="1:9" x14ac:dyDescent="0.4">
      <c r="A2" s="5" t="s">
        <v>19</v>
      </c>
      <c r="B2" s="5" t="s">
        <v>10</v>
      </c>
      <c r="C2" s="5" t="s">
        <v>8</v>
      </c>
      <c r="D2" s="5">
        <v>30</v>
      </c>
      <c r="E2" s="5">
        <v>499</v>
      </c>
      <c r="F2" s="5">
        <v>14970</v>
      </c>
      <c r="H2" t="s">
        <v>61</v>
      </c>
      <c r="I2" s="13" t="s">
        <v>26</v>
      </c>
    </row>
    <row r="3" spans="1:9" x14ac:dyDescent="0.4">
      <c r="A3" s="5" t="s">
        <v>9</v>
      </c>
      <c r="B3" s="5" t="s">
        <v>10</v>
      </c>
      <c r="C3" s="5" t="s">
        <v>11</v>
      </c>
      <c r="D3" s="5">
        <v>37</v>
      </c>
      <c r="E3" s="5">
        <v>688</v>
      </c>
      <c r="F3" s="5">
        <v>25456</v>
      </c>
      <c r="H3" t="s">
        <v>62</v>
      </c>
      <c r="I3" s="14">
        <f>SUMIF(A2:A801,A2,D2:D801)</f>
        <v>4326</v>
      </c>
    </row>
    <row r="4" spans="1:9" x14ac:dyDescent="0.4">
      <c r="A4" s="5" t="s">
        <v>19</v>
      </c>
      <c r="B4" s="5" t="s">
        <v>10</v>
      </c>
      <c r="C4" s="5" t="s">
        <v>18</v>
      </c>
      <c r="D4" s="5">
        <v>46</v>
      </c>
      <c r="E4" s="5">
        <v>1413</v>
      </c>
      <c r="F4" s="5">
        <v>64998</v>
      </c>
      <c r="H4" t="s">
        <v>63</v>
      </c>
      <c r="I4" s="14">
        <f>SUMIF(A2:A801,A5,D2:D801)</f>
        <v>5242</v>
      </c>
    </row>
    <row r="5" spans="1:9" x14ac:dyDescent="0.4">
      <c r="A5" s="5" t="s">
        <v>6</v>
      </c>
      <c r="B5" s="5" t="s">
        <v>15</v>
      </c>
      <c r="C5" s="5" t="s">
        <v>16</v>
      </c>
      <c r="D5" s="5">
        <v>43</v>
      </c>
      <c r="E5" s="5">
        <v>549</v>
      </c>
      <c r="F5" s="5">
        <v>23607</v>
      </c>
      <c r="H5" t="s">
        <v>64</v>
      </c>
      <c r="I5" s="14">
        <f>SUMIF(A2:A801,A8,D2:D801)</f>
        <v>5878</v>
      </c>
    </row>
    <row r="6" spans="1:9" x14ac:dyDescent="0.4">
      <c r="A6" s="5" t="s">
        <v>19</v>
      </c>
      <c r="B6" s="5" t="s">
        <v>12</v>
      </c>
      <c r="C6" s="5" t="s">
        <v>13</v>
      </c>
      <c r="D6" s="5">
        <v>15</v>
      </c>
      <c r="E6" s="5">
        <v>518</v>
      </c>
      <c r="F6" s="5">
        <v>7770</v>
      </c>
      <c r="H6" t="s">
        <v>65</v>
      </c>
      <c r="I6" s="14">
        <f>SUMIF(A2:A801,A7,D2:D801)</f>
        <v>4844</v>
      </c>
    </row>
    <row r="7" spans="1:9" x14ac:dyDescent="0.4">
      <c r="A7" s="5" t="s">
        <v>9</v>
      </c>
      <c r="B7" s="5" t="s">
        <v>21</v>
      </c>
      <c r="C7" s="5" t="s">
        <v>22</v>
      </c>
      <c r="D7" s="5">
        <v>35</v>
      </c>
      <c r="E7" s="5">
        <v>1848</v>
      </c>
      <c r="F7" s="5">
        <v>64680</v>
      </c>
    </row>
    <row r="8" spans="1:9" x14ac:dyDescent="0.4">
      <c r="A8" s="5" t="s">
        <v>17</v>
      </c>
      <c r="B8" s="5" t="s">
        <v>21</v>
      </c>
      <c r="C8" s="5" t="s">
        <v>16</v>
      </c>
      <c r="D8" s="5">
        <v>22</v>
      </c>
      <c r="E8" s="5">
        <v>1451</v>
      </c>
      <c r="F8" s="5">
        <v>31922</v>
      </c>
      <c r="H8" t="s">
        <v>66</v>
      </c>
      <c r="I8" s="13" t="s">
        <v>27</v>
      </c>
    </row>
    <row r="9" spans="1:9" x14ac:dyDescent="0.4">
      <c r="A9" s="5" t="s">
        <v>9</v>
      </c>
      <c r="B9" s="5" t="s">
        <v>12</v>
      </c>
      <c r="C9" s="5" t="s">
        <v>13</v>
      </c>
      <c r="D9" s="5">
        <v>29</v>
      </c>
      <c r="E9" s="5">
        <v>1788</v>
      </c>
      <c r="F9" s="5">
        <v>51852</v>
      </c>
      <c r="H9" t="s">
        <v>8</v>
      </c>
      <c r="I9" s="14">
        <f>SUMIF(C2:C801,C2,F2:F801)</f>
        <v>1795065</v>
      </c>
    </row>
    <row r="10" spans="1:9" x14ac:dyDescent="0.4">
      <c r="A10" s="5" t="s">
        <v>9</v>
      </c>
      <c r="B10" s="5" t="s">
        <v>12</v>
      </c>
      <c r="C10" s="5" t="s">
        <v>8</v>
      </c>
      <c r="D10" s="5">
        <v>48</v>
      </c>
      <c r="E10" s="5">
        <v>798</v>
      </c>
      <c r="F10" s="5">
        <v>38304</v>
      </c>
      <c r="H10" t="s">
        <v>11</v>
      </c>
      <c r="I10" s="14">
        <f>SUMIF(C2:C801,C3,F2:F801)</f>
        <v>1996026</v>
      </c>
    </row>
    <row r="11" spans="1:9" x14ac:dyDescent="0.4">
      <c r="A11" s="5" t="s">
        <v>6</v>
      </c>
      <c r="B11" s="5" t="s">
        <v>12</v>
      </c>
      <c r="C11" s="5" t="s">
        <v>20</v>
      </c>
      <c r="D11" s="5">
        <v>19</v>
      </c>
      <c r="E11" s="5">
        <v>1629</v>
      </c>
      <c r="F11" s="5">
        <v>30951</v>
      </c>
    </row>
    <row r="12" spans="1:9" x14ac:dyDescent="0.4">
      <c r="A12" s="5" t="s">
        <v>17</v>
      </c>
      <c r="B12" s="5" t="s">
        <v>7</v>
      </c>
      <c r="C12" s="5" t="s">
        <v>23</v>
      </c>
      <c r="D12" s="5">
        <v>19</v>
      </c>
      <c r="E12" s="5">
        <v>1292</v>
      </c>
      <c r="F12" s="5">
        <v>24548</v>
      </c>
      <c r="H12" t="s">
        <v>67</v>
      </c>
      <c r="I12" s="13" t="s">
        <v>31</v>
      </c>
    </row>
    <row r="13" spans="1:9" x14ac:dyDescent="0.4">
      <c r="A13" s="5" t="s">
        <v>6</v>
      </c>
      <c r="B13" s="5" t="s">
        <v>15</v>
      </c>
      <c r="C13" s="5" t="s">
        <v>20</v>
      </c>
      <c r="D13" s="5">
        <v>47</v>
      </c>
      <c r="E13" s="5">
        <v>1888</v>
      </c>
      <c r="F13" s="5">
        <v>88736</v>
      </c>
      <c r="H13" t="s">
        <v>10</v>
      </c>
      <c r="I13" s="14">
        <f>SUMIF(B2:B801,B2,D2:D801)</f>
        <v>4317</v>
      </c>
    </row>
    <row r="14" spans="1:9" x14ac:dyDescent="0.4">
      <c r="A14" s="5" t="s">
        <v>9</v>
      </c>
      <c r="B14" s="5" t="s">
        <v>12</v>
      </c>
      <c r="C14" s="5" t="s">
        <v>8</v>
      </c>
      <c r="D14" s="5">
        <v>28</v>
      </c>
      <c r="E14" s="5">
        <v>650</v>
      </c>
      <c r="F14" s="5">
        <v>18200</v>
      </c>
    </row>
    <row r="15" spans="1:9" x14ac:dyDescent="0.4">
      <c r="A15" s="5" t="s">
        <v>9</v>
      </c>
      <c r="B15" s="5" t="s">
        <v>10</v>
      </c>
      <c r="C15" s="5" t="s">
        <v>22</v>
      </c>
      <c r="D15" s="5">
        <v>29</v>
      </c>
      <c r="E15" s="5">
        <v>539</v>
      </c>
      <c r="F15" s="5">
        <v>15631</v>
      </c>
      <c r="H15" t="s">
        <v>68</v>
      </c>
      <c r="I15" s="13" t="s">
        <v>28</v>
      </c>
    </row>
    <row r="16" spans="1:9" x14ac:dyDescent="0.4">
      <c r="A16" s="5" t="s">
        <v>9</v>
      </c>
      <c r="B16" s="5" t="s">
        <v>7</v>
      </c>
      <c r="C16" s="5" t="s">
        <v>24</v>
      </c>
      <c r="D16" s="5">
        <v>29</v>
      </c>
      <c r="E16" s="5">
        <v>916</v>
      </c>
      <c r="F16" s="5">
        <v>26564</v>
      </c>
      <c r="H16" t="s">
        <v>7</v>
      </c>
      <c r="I16" s="14">
        <f>SUMIF(B2:B801,B12,F2:F801)</f>
        <v>4226340</v>
      </c>
    </row>
    <row r="17" spans="1:9" x14ac:dyDescent="0.4">
      <c r="A17" s="5" t="s">
        <v>9</v>
      </c>
      <c r="B17" s="5" t="s">
        <v>10</v>
      </c>
      <c r="C17" s="5" t="s">
        <v>23</v>
      </c>
      <c r="D17" s="5">
        <v>3</v>
      </c>
      <c r="E17" s="5">
        <v>1986</v>
      </c>
      <c r="F17" s="5">
        <v>5958</v>
      </c>
    </row>
    <row r="18" spans="1:9" x14ac:dyDescent="0.4">
      <c r="A18" s="5" t="s">
        <v>17</v>
      </c>
      <c r="B18" s="5" t="s">
        <v>21</v>
      </c>
      <c r="C18" s="5" t="s">
        <v>13</v>
      </c>
      <c r="D18" s="5">
        <v>11</v>
      </c>
      <c r="E18" s="5">
        <v>560</v>
      </c>
      <c r="F18" s="5">
        <v>6160</v>
      </c>
      <c r="H18" t="s">
        <v>69</v>
      </c>
      <c r="I18" s="13" t="s">
        <v>29</v>
      </c>
    </row>
    <row r="19" spans="1:9" x14ac:dyDescent="0.4">
      <c r="A19" s="5" t="s">
        <v>6</v>
      </c>
      <c r="B19" s="5" t="s">
        <v>12</v>
      </c>
      <c r="C19" s="5" t="s">
        <v>18</v>
      </c>
      <c r="D19" s="5">
        <v>9</v>
      </c>
      <c r="E19" s="5">
        <v>142</v>
      </c>
      <c r="F19" s="5">
        <v>1278</v>
      </c>
      <c r="H19" t="s">
        <v>15</v>
      </c>
      <c r="I19" s="14">
        <f>COUNTIF(B2:B801,B5)</f>
        <v>157</v>
      </c>
    </row>
    <row r="20" spans="1:9" x14ac:dyDescent="0.4">
      <c r="A20" s="5" t="s">
        <v>19</v>
      </c>
      <c r="B20" s="5" t="s">
        <v>7</v>
      </c>
      <c r="C20" s="5" t="s">
        <v>22</v>
      </c>
      <c r="D20" s="5">
        <v>2</v>
      </c>
      <c r="E20" s="5">
        <v>1538</v>
      </c>
      <c r="F20" s="5">
        <v>3076</v>
      </c>
    </row>
    <row r="21" spans="1:9" x14ac:dyDescent="0.4">
      <c r="A21" s="5" t="s">
        <v>19</v>
      </c>
      <c r="B21" s="5" t="s">
        <v>15</v>
      </c>
      <c r="C21" s="5" t="s">
        <v>23</v>
      </c>
      <c r="D21" s="5">
        <v>48</v>
      </c>
      <c r="E21" s="5">
        <v>1365</v>
      </c>
      <c r="F21" s="5">
        <v>65520</v>
      </c>
      <c r="H21" t="s">
        <v>70</v>
      </c>
      <c r="I21" s="13" t="s">
        <v>30</v>
      </c>
    </row>
    <row r="22" spans="1:9" x14ac:dyDescent="0.4">
      <c r="A22" s="5" t="s">
        <v>19</v>
      </c>
      <c r="B22" s="5" t="s">
        <v>21</v>
      </c>
      <c r="C22" s="5" t="s">
        <v>13</v>
      </c>
      <c r="D22" s="5">
        <v>10</v>
      </c>
      <c r="E22" s="5">
        <v>1425</v>
      </c>
      <c r="F22" s="5">
        <v>14250</v>
      </c>
      <c r="H22" t="s">
        <v>62</v>
      </c>
      <c r="I22" s="14">
        <f>COUNTIFS(B2:B801,B2,A2:A801,A2)</f>
        <v>41</v>
      </c>
    </row>
    <row r="23" spans="1:9" x14ac:dyDescent="0.4">
      <c r="A23" s="5" t="s">
        <v>19</v>
      </c>
      <c r="B23" s="5" t="s">
        <v>7</v>
      </c>
      <c r="C23" s="5" t="s">
        <v>16</v>
      </c>
      <c r="D23" s="5">
        <v>21</v>
      </c>
      <c r="E23" s="5">
        <v>1022</v>
      </c>
      <c r="F23" s="5">
        <v>21462</v>
      </c>
      <c r="H23" t="s">
        <v>63</v>
      </c>
      <c r="I23" s="14">
        <f>COUNTIFS(B2:B801,B2,A2:A801,A11)</f>
        <v>44</v>
      </c>
    </row>
    <row r="24" spans="1:9" x14ac:dyDescent="0.4">
      <c r="A24" s="5" t="s">
        <v>9</v>
      </c>
      <c r="B24" s="5" t="s">
        <v>15</v>
      </c>
      <c r="C24" s="5" t="s">
        <v>13</v>
      </c>
      <c r="D24" s="5">
        <v>22</v>
      </c>
      <c r="E24" s="5">
        <v>492</v>
      </c>
      <c r="F24" s="5">
        <v>10824</v>
      </c>
      <c r="H24" t="s">
        <v>64</v>
      </c>
      <c r="I24" s="14">
        <f>COUNTIFS(B2:B801,B2,A2:A801,A18)</f>
        <v>45</v>
      </c>
    </row>
    <row r="25" spans="1:9" x14ac:dyDescent="0.4">
      <c r="A25" s="5" t="s">
        <v>6</v>
      </c>
      <c r="B25" s="5" t="s">
        <v>10</v>
      </c>
      <c r="C25" s="5" t="s">
        <v>16</v>
      </c>
      <c r="D25" s="5">
        <v>32</v>
      </c>
      <c r="E25" s="5">
        <v>1634</v>
      </c>
      <c r="F25" s="5">
        <v>52288</v>
      </c>
      <c r="H25" t="s">
        <v>65</v>
      </c>
      <c r="I25" s="14">
        <f>COUNTIFS(B2:B801,B2,A2:A801,A9)</f>
        <v>42</v>
      </c>
    </row>
    <row r="26" spans="1:9" x14ac:dyDescent="0.4">
      <c r="A26" s="5" t="s">
        <v>19</v>
      </c>
      <c r="B26" s="5" t="s">
        <v>7</v>
      </c>
      <c r="C26" s="5" t="s">
        <v>13</v>
      </c>
      <c r="D26" s="5">
        <v>22</v>
      </c>
      <c r="E26" s="5">
        <v>1625</v>
      </c>
      <c r="F26" s="5">
        <v>35750</v>
      </c>
    </row>
    <row r="27" spans="1:9" x14ac:dyDescent="0.4">
      <c r="A27" s="5" t="s">
        <v>17</v>
      </c>
      <c r="B27" s="5" t="s">
        <v>21</v>
      </c>
      <c r="C27" s="5" t="s">
        <v>18</v>
      </c>
      <c r="D27" s="5">
        <v>36</v>
      </c>
      <c r="E27" s="5">
        <v>550</v>
      </c>
      <c r="F27" s="5">
        <v>19800</v>
      </c>
      <c r="H27" t="s">
        <v>71</v>
      </c>
      <c r="I27" s="13" t="s">
        <v>33</v>
      </c>
    </row>
    <row r="28" spans="1:9" x14ac:dyDescent="0.4">
      <c r="A28" s="5" t="s">
        <v>17</v>
      </c>
      <c r="B28" s="5" t="s">
        <v>21</v>
      </c>
      <c r="C28" s="5" t="s">
        <v>14</v>
      </c>
      <c r="D28" s="5">
        <v>17</v>
      </c>
      <c r="E28" s="5">
        <v>788</v>
      </c>
      <c r="F28" s="5">
        <v>13396</v>
      </c>
      <c r="I28" s="14">
        <f>COUNTIF(F2:F801,"&gt;10000")</f>
        <v>548</v>
      </c>
    </row>
    <row r="29" spans="1:9" x14ac:dyDescent="0.4">
      <c r="A29" s="5" t="s">
        <v>9</v>
      </c>
      <c r="B29" s="5" t="s">
        <v>12</v>
      </c>
      <c r="C29" s="5" t="s">
        <v>22</v>
      </c>
      <c r="D29" s="5">
        <v>46</v>
      </c>
      <c r="E29" s="5">
        <v>1932</v>
      </c>
      <c r="F29" s="5">
        <v>88872</v>
      </c>
    </row>
    <row r="30" spans="1:9" x14ac:dyDescent="0.4">
      <c r="A30" s="5" t="s">
        <v>6</v>
      </c>
      <c r="B30" s="5" t="s">
        <v>12</v>
      </c>
      <c r="C30" s="5" t="s">
        <v>16</v>
      </c>
      <c r="D30" s="5">
        <v>29</v>
      </c>
      <c r="E30" s="5">
        <v>305</v>
      </c>
      <c r="F30" s="5">
        <v>8845</v>
      </c>
      <c r="H30" t="s">
        <v>72</v>
      </c>
      <c r="I30" s="13" t="s">
        <v>32</v>
      </c>
    </row>
    <row r="31" spans="1:9" x14ac:dyDescent="0.4">
      <c r="A31" s="5" t="s">
        <v>19</v>
      </c>
      <c r="B31" s="5" t="s">
        <v>15</v>
      </c>
      <c r="C31" s="5" t="s">
        <v>14</v>
      </c>
      <c r="D31" s="5">
        <v>8</v>
      </c>
      <c r="E31" s="5">
        <v>216</v>
      </c>
      <c r="F31" s="5">
        <v>1728</v>
      </c>
      <c r="I31" s="14">
        <f>COUNTIF(F2:F801,"&lt;15000")</f>
        <v>343</v>
      </c>
    </row>
    <row r="32" spans="1:9" x14ac:dyDescent="0.4">
      <c r="A32" s="5" t="s">
        <v>6</v>
      </c>
      <c r="B32" s="5" t="s">
        <v>21</v>
      </c>
      <c r="C32" s="5" t="s">
        <v>24</v>
      </c>
      <c r="D32" s="5">
        <v>5</v>
      </c>
      <c r="E32" s="5">
        <v>448</v>
      </c>
      <c r="F32" s="5">
        <v>2240</v>
      </c>
    </row>
    <row r="33" spans="1:6" x14ac:dyDescent="0.4">
      <c r="A33" s="5" t="s">
        <v>17</v>
      </c>
      <c r="B33" s="5" t="s">
        <v>21</v>
      </c>
      <c r="C33" s="5" t="s">
        <v>18</v>
      </c>
      <c r="D33" s="5">
        <v>38</v>
      </c>
      <c r="E33" s="5">
        <v>512</v>
      </c>
      <c r="F33" s="5">
        <v>19456</v>
      </c>
    </row>
    <row r="34" spans="1:6" x14ac:dyDescent="0.4">
      <c r="A34" s="5" t="s">
        <v>17</v>
      </c>
      <c r="B34" s="5" t="s">
        <v>21</v>
      </c>
      <c r="C34" s="5" t="s">
        <v>11</v>
      </c>
      <c r="D34" s="5">
        <v>8</v>
      </c>
      <c r="E34" s="5">
        <v>1506</v>
      </c>
      <c r="F34" s="5">
        <v>12048</v>
      </c>
    </row>
    <row r="35" spans="1:6" x14ac:dyDescent="0.4">
      <c r="A35" s="5" t="s">
        <v>17</v>
      </c>
      <c r="B35" s="5" t="s">
        <v>12</v>
      </c>
      <c r="C35" s="5" t="s">
        <v>18</v>
      </c>
      <c r="D35" s="5">
        <v>33</v>
      </c>
      <c r="E35" s="5">
        <v>1383</v>
      </c>
      <c r="F35" s="5">
        <v>45639</v>
      </c>
    </row>
    <row r="36" spans="1:6" x14ac:dyDescent="0.4">
      <c r="A36" s="5" t="s">
        <v>6</v>
      </c>
      <c r="B36" s="5" t="s">
        <v>12</v>
      </c>
      <c r="C36" s="5" t="s">
        <v>13</v>
      </c>
      <c r="D36" s="5">
        <v>24</v>
      </c>
      <c r="E36" s="5">
        <v>444</v>
      </c>
      <c r="F36" s="5">
        <v>10656</v>
      </c>
    </row>
    <row r="37" spans="1:6" x14ac:dyDescent="0.4">
      <c r="A37" s="5" t="s">
        <v>9</v>
      </c>
      <c r="B37" s="5" t="s">
        <v>12</v>
      </c>
      <c r="C37" s="5" t="s">
        <v>11</v>
      </c>
      <c r="D37" s="5">
        <v>18</v>
      </c>
      <c r="E37" s="5">
        <v>840</v>
      </c>
      <c r="F37" s="5">
        <v>15120</v>
      </c>
    </row>
    <row r="38" spans="1:6" x14ac:dyDescent="0.4">
      <c r="A38" s="5" t="s">
        <v>19</v>
      </c>
      <c r="B38" s="5" t="s">
        <v>15</v>
      </c>
      <c r="C38" s="5" t="s">
        <v>14</v>
      </c>
      <c r="D38" s="5">
        <v>34</v>
      </c>
      <c r="E38" s="5">
        <v>1048</v>
      </c>
      <c r="F38" s="5">
        <v>35632</v>
      </c>
    </row>
    <row r="39" spans="1:6" x14ac:dyDescent="0.4">
      <c r="A39" s="5" t="s">
        <v>9</v>
      </c>
      <c r="B39" s="5" t="s">
        <v>12</v>
      </c>
      <c r="C39" s="5" t="s">
        <v>8</v>
      </c>
      <c r="D39" s="5">
        <v>34</v>
      </c>
      <c r="E39" s="5">
        <v>751</v>
      </c>
      <c r="F39" s="5">
        <v>25534</v>
      </c>
    </row>
    <row r="40" spans="1:6" x14ac:dyDescent="0.4">
      <c r="A40" s="5" t="s">
        <v>17</v>
      </c>
      <c r="B40" s="5" t="s">
        <v>10</v>
      </c>
      <c r="C40" s="5" t="s">
        <v>14</v>
      </c>
      <c r="D40" s="5">
        <v>30</v>
      </c>
      <c r="E40" s="5">
        <v>1449</v>
      </c>
      <c r="F40" s="5">
        <v>43470</v>
      </c>
    </row>
    <row r="41" spans="1:6" x14ac:dyDescent="0.4">
      <c r="A41" s="5" t="s">
        <v>6</v>
      </c>
      <c r="B41" s="5" t="s">
        <v>12</v>
      </c>
      <c r="C41" s="5" t="s">
        <v>18</v>
      </c>
      <c r="D41" s="5">
        <v>16</v>
      </c>
      <c r="E41" s="5">
        <v>1010</v>
      </c>
      <c r="F41" s="5">
        <v>16160</v>
      </c>
    </row>
    <row r="42" spans="1:6" x14ac:dyDescent="0.4">
      <c r="A42" s="5" t="s">
        <v>6</v>
      </c>
      <c r="B42" s="5" t="s">
        <v>12</v>
      </c>
      <c r="C42" s="5" t="s">
        <v>18</v>
      </c>
      <c r="D42" s="5">
        <v>21</v>
      </c>
      <c r="E42" s="5">
        <v>562</v>
      </c>
      <c r="F42" s="5">
        <v>11802</v>
      </c>
    </row>
    <row r="43" spans="1:6" x14ac:dyDescent="0.4">
      <c r="A43" s="5" t="s">
        <v>17</v>
      </c>
      <c r="B43" s="5" t="s">
        <v>10</v>
      </c>
      <c r="C43" s="5" t="s">
        <v>24</v>
      </c>
      <c r="D43" s="5">
        <v>33</v>
      </c>
      <c r="E43" s="5">
        <v>229</v>
      </c>
      <c r="F43" s="5">
        <v>7557</v>
      </c>
    </row>
    <row r="44" spans="1:6" x14ac:dyDescent="0.4">
      <c r="A44" s="5" t="s">
        <v>6</v>
      </c>
      <c r="B44" s="5" t="s">
        <v>15</v>
      </c>
      <c r="C44" s="5" t="s">
        <v>23</v>
      </c>
      <c r="D44" s="5">
        <v>4</v>
      </c>
      <c r="E44" s="5">
        <v>569</v>
      </c>
      <c r="F44" s="5">
        <v>2276</v>
      </c>
    </row>
    <row r="45" spans="1:6" x14ac:dyDescent="0.4">
      <c r="A45" s="5" t="s">
        <v>17</v>
      </c>
      <c r="B45" s="5" t="s">
        <v>7</v>
      </c>
      <c r="C45" s="5" t="s">
        <v>16</v>
      </c>
      <c r="D45" s="5">
        <v>4</v>
      </c>
      <c r="E45" s="5">
        <v>192</v>
      </c>
      <c r="F45" s="5">
        <v>768</v>
      </c>
    </row>
    <row r="46" spans="1:6" x14ac:dyDescent="0.4">
      <c r="A46" s="5" t="s">
        <v>9</v>
      </c>
      <c r="B46" s="5" t="s">
        <v>15</v>
      </c>
      <c r="C46" s="5" t="s">
        <v>16</v>
      </c>
      <c r="D46" s="5">
        <v>7</v>
      </c>
      <c r="E46" s="5">
        <v>1478</v>
      </c>
      <c r="F46" s="5">
        <v>10346</v>
      </c>
    </row>
    <row r="47" spans="1:6" x14ac:dyDescent="0.4">
      <c r="A47" s="5" t="s">
        <v>19</v>
      </c>
      <c r="B47" s="5" t="s">
        <v>15</v>
      </c>
      <c r="C47" s="5" t="s">
        <v>11</v>
      </c>
      <c r="D47" s="5">
        <v>47</v>
      </c>
      <c r="E47" s="5">
        <v>929</v>
      </c>
      <c r="F47" s="5">
        <v>43663</v>
      </c>
    </row>
    <row r="48" spans="1:6" x14ac:dyDescent="0.4">
      <c r="A48" s="5" t="s">
        <v>19</v>
      </c>
      <c r="B48" s="5" t="s">
        <v>15</v>
      </c>
      <c r="C48" s="5" t="s">
        <v>11</v>
      </c>
      <c r="D48" s="5">
        <v>50</v>
      </c>
      <c r="E48" s="5">
        <v>472</v>
      </c>
      <c r="F48" s="5">
        <v>23600</v>
      </c>
    </row>
    <row r="49" spans="1:6" x14ac:dyDescent="0.4">
      <c r="A49" s="5" t="s">
        <v>6</v>
      </c>
      <c r="B49" s="5" t="s">
        <v>7</v>
      </c>
      <c r="C49" s="5" t="s">
        <v>22</v>
      </c>
      <c r="D49" s="5">
        <v>11</v>
      </c>
      <c r="E49" s="5">
        <v>1266</v>
      </c>
      <c r="F49" s="5">
        <v>13926</v>
      </c>
    </row>
    <row r="50" spans="1:6" x14ac:dyDescent="0.4">
      <c r="A50" s="5" t="s">
        <v>9</v>
      </c>
      <c r="B50" s="5" t="s">
        <v>15</v>
      </c>
      <c r="C50" s="5" t="s">
        <v>13</v>
      </c>
      <c r="D50" s="5">
        <v>29</v>
      </c>
      <c r="E50" s="5">
        <v>710</v>
      </c>
      <c r="F50" s="5">
        <v>20590</v>
      </c>
    </row>
    <row r="51" spans="1:6" x14ac:dyDescent="0.4">
      <c r="A51" s="5" t="s">
        <v>9</v>
      </c>
      <c r="B51" s="5" t="s">
        <v>21</v>
      </c>
      <c r="C51" s="5" t="s">
        <v>22</v>
      </c>
      <c r="D51" s="5">
        <v>50</v>
      </c>
      <c r="E51" s="5">
        <v>111</v>
      </c>
      <c r="F51" s="5">
        <v>5550</v>
      </c>
    </row>
    <row r="52" spans="1:6" x14ac:dyDescent="0.4">
      <c r="A52" s="5" t="s">
        <v>17</v>
      </c>
      <c r="B52" s="5" t="s">
        <v>7</v>
      </c>
      <c r="C52" s="5" t="s">
        <v>20</v>
      </c>
      <c r="D52" s="5">
        <v>14</v>
      </c>
      <c r="E52" s="5">
        <v>1682</v>
      </c>
      <c r="F52" s="5">
        <v>23548</v>
      </c>
    </row>
    <row r="53" spans="1:6" x14ac:dyDescent="0.4">
      <c r="A53" s="5" t="s">
        <v>17</v>
      </c>
      <c r="B53" s="5" t="s">
        <v>10</v>
      </c>
      <c r="C53" s="5" t="s">
        <v>20</v>
      </c>
      <c r="D53" s="5">
        <v>9</v>
      </c>
      <c r="E53" s="5">
        <v>1520</v>
      </c>
      <c r="F53" s="5">
        <v>13680</v>
      </c>
    </row>
    <row r="54" spans="1:6" x14ac:dyDescent="0.4">
      <c r="A54" s="5" t="s">
        <v>9</v>
      </c>
      <c r="B54" s="5" t="s">
        <v>21</v>
      </c>
      <c r="C54" s="5" t="s">
        <v>20</v>
      </c>
      <c r="D54" s="5">
        <v>50</v>
      </c>
      <c r="E54" s="5">
        <v>1445</v>
      </c>
      <c r="F54" s="5">
        <v>72250</v>
      </c>
    </row>
    <row r="55" spans="1:6" x14ac:dyDescent="0.4">
      <c r="A55" s="5" t="s">
        <v>9</v>
      </c>
      <c r="B55" s="5" t="s">
        <v>15</v>
      </c>
      <c r="C55" s="5" t="s">
        <v>13</v>
      </c>
      <c r="D55" s="5">
        <v>43</v>
      </c>
      <c r="E55" s="5">
        <v>933</v>
      </c>
      <c r="F55" s="5">
        <v>40119</v>
      </c>
    </row>
    <row r="56" spans="1:6" x14ac:dyDescent="0.4">
      <c r="A56" s="5" t="s">
        <v>6</v>
      </c>
      <c r="B56" s="5" t="s">
        <v>21</v>
      </c>
      <c r="C56" s="5" t="s">
        <v>13</v>
      </c>
      <c r="D56" s="5">
        <v>31</v>
      </c>
      <c r="E56" s="5">
        <v>836</v>
      </c>
      <c r="F56" s="5">
        <v>25916</v>
      </c>
    </row>
    <row r="57" spans="1:6" x14ac:dyDescent="0.4">
      <c r="A57" s="5" t="s">
        <v>6</v>
      </c>
      <c r="B57" s="5" t="s">
        <v>12</v>
      </c>
      <c r="C57" s="5" t="s">
        <v>11</v>
      </c>
      <c r="D57" s="5">
        <v>18</v>
      </c>
      <c r="E57" s="5">
        <v>1186</v>
      </c>
      <c r="F57" s="5">
        <v>21348</v>
      </c>
    </row>
    <row r="58" spans="1:6" x14ac:dyDescent="0.4">
      <c r="A58" s="5" t="s">
        <v>9</v>
      </c>
      <c r="B58" s="5" t="s">
        <v>10</v>
      </c>
      <c r="C58" s="5" t="s">
        <v>13</v>
      </c>
      <c r="D58" s="5">
        <v>28</v>
      </c>
      <c r="E58" s="5">
        <v>110</v>
      </c>
      <c r="F58" s="5">
        <v>3080</v>
      </c>
    </row>
    <row r="59" spans="1:6" x14ac:dyDescent="0.4">
      <c r="A59" s="5" t="s">
        <v>17</v>
      </c>
      <c r="B59" s="5" t="s">
        <v>10</v>
      </c>
      <c r="C59" s="5" t="s">
        <v>24</v>
      </c>
      <c r="D59" s="5">
        <v>34</v>
      </c>
      <c r="E59" s="5">
        <v>809</v>
      </c>
      <c r="F59" s="5">
        <v>27506</v>
      </c>
    </row>
    <row r="60" spans="1:6" x14ac:dyDescent="0.4">
      <c r="A60" s="5" t="s">
        <v>9</v>
      </c>
      <c r="B60" s="5" t="s">
        <v>12</v>
      </c>
      <c r="C60" s="5" t="s">
        <v>20</v>
      </c>
      <c r="D60" s="5">
        <v>6</v>
      </c>
      <c r="E60" s="5">
        <v>369</v>
      </c>
      <c r="F60" s="5">
        <v>2214</v>
      </c>
    </row>
    <row r="61" spans="1:6" x14ac:dyDescent="0.4">
      <c r="A61" s="5" t="s">
        <v>17</v>
      </c>
      <c r="B61" s="5" t="s">
        <v>15</v>
      </c>
      <c r="C61" s="5" t="s">
        <v>20</v>
      </c>
      <c r="D61" s="5">
        <v>43</v>
      </c>
      <c r="E61" s="5">
        <v>1254</v>
      </c>
      <c r="F61" s="5">
        <v>53922</v>
      </c>
    </row>
    <row r="62" spans="1:6" x14ac:dyDescent="0.4">
      <c r="A62" s="5" t="s">
        <v>19</v>
      </c>
      <c r="B62" s="5" t="s">
        <v>10</v>
      </c>
      <c r="C62" s="5" t="s">
        <v>13</v>
      </c>
      <c r="D62" s="5">
        <v>40</v>
      </c>
      <c r="E62" s="5">
        <v>714</v>
      </c>
      <c r="F62" s="5">
        <v>28560</v>
      </c>
    </row>
    <row r="63" spans="1:6" x14ac:dyDescent="0.4">
      <c r="A63" s="5" t="s">
        <v>6</v>
      </c>
      <c r="B63" s="5" t="s">
        <v>7</v>
      </c>
      <c r="C63" s="5" t="s">
        <v>14</v>
      </c>
      <c r="D63" s="5">
        <v>23</v>
      </c>
      <c r="E63" s="5">
        <v>714</v>
      </c>
      <c r="F63" s="5">
        <v>16422</v>
      </c>
    </row>
    <row r="64" spans="1:6" x14ac:dyDescent="0.4">
      <c r="A64" s="5" t="s">
        <v>17</v>
      </c>
      <c r="B64" s="5" t="s">
        <v>21</v>
      </c>
      <c r="C64" s="5" t="s">
        <v>22</v>
      </c>
      <c r="D64" s="5">
        <v>8</v>
      </c>
      <c r="E64" s="5">
        <v>276</v>
      </c>
      <c r="F64" s="5">
        <v>2208</v>
      </c>
    </row>
    <row r="65" spans="1:6" x14ac:dyDescent="0.4">
      <c r="A65" s="5" t="s">
        <v>19</v>
      </c>
      <c r="B65" s="5" t="s">
        <v>12</v>
      </c>
      <c r="C65" s="5" t="s">
        <v>22</v>
      </c>
      <c r="D65" s="5">
        <v>35</v>
      </c>
      <c r="E65" s="5">
        <v>1102</v>
      </c>
      <c r="F65" s="5">
        <v>38570</v>
      </c>
    </row>
    <row r="66" spans="1:6" x14ac:dyDescent="0.4">
      <c r="A66" s="5" t="s">
        <v>9</v>
      </c>
      <c r="B66" s="5" t="s">
        <v>10</v>
      </c>
      <c r="C66" s="5" t="s">
        <v>22</v>
      </c>
      <c r="D66" s="5">
        <v>47</v>
      </c>
      <c r="E66" s="5">
        <v>929</v>
      </c>
      <c r="F66" s="5">
        <v>43663</v>
      </c>
    </row>
    <row r="67" spans="1:6" x14ac:dyDescent="0.4">
      <c r="A67" s="5" t="s">
        <v>19</v>
      </c>
      <c r="B67" s="5" t="s">
        <v>10</v>
      </c>
      <c r="C67" s="5" t="s">
        <v>16</v>
      </c>
      <c r="D67" s="5">
        <v>11</v>
      </c>
      <c r="E67" s="5">
        <v>1755</v>
      </c>
      <c r="F67" s="5">
        <v>19305</v>
      </c>
    </row>
    <row r="68" spans="1:6" x14ac:dyDescent="0.4">
      <c r="A68" s="5" t="s">
        <v>17</v>
      </c>
      <c r="B68" s="5" t="s">
        <v>10</v>
      </c>
      <c r="C68" s="5" t="s">
        <v>24</v>
      </c>
      <c r="D68" s="5">
        <v>46</v>
      </c>
      <c r="E68" s="5">
        <v>1865</v>
      </c>
      <c r="F68" s="5">
        <v>85790</v>
      </c>
    </row>
    <row r="69" spans="1:6" x14ac:dyDescent="0.4">
      <c r="A69" s="5" t="s">
        <v>6</v>
      </c>
      <c r="B69" s="5" t="s">
        <v>21</v>
      </c>
      <c r="C69" s="5" t="s">
        <v>23</v>
      </c>
      <c r="D69" s="5">
        <v>1</v>
      </c>
      <c r="E69" s="5">
        <v>1082</v>
      </c>
      <c r="F69" s="5">
        <v>1082</v>
      </c>
    </row>
    <row r="70" spans="1:6" x14ac:dyDescent="0.4">
      <c r="A70" s="5" t="s">
        <v>17</v>
      </c>
      <c r="B70" s="5" t="s">
        <v>7</v>
      </c>
      <c r="C70" s="5" t="s">
        <v>8</v>
      </c>
      <c r="D70" s="5">
        <v>42</v>
      </c>
      <c r="E70" s="5">
        <v>330</v>
      </c>
      <c r="F70" s="5">
        <v>13860</v>
      </c>
    </row>
    <row r="71" spans="1:6" x14ac:dyDescent="0.4">
      <c r="A71" s="5" t="s">
        <v>19</v>
      </c>
      <c r="B71" s="5" t="s">
        <v>12</v>
      </c>
      <c r="C71" s="5" t="s">
        <v>20</v>
      </c>
      <c r="D71" s="5">
        <v>20</v>
      </c>
      <c r="E71" s="5">
        <v>1854</v>
      </c>
      <c r="F71" s="5">
        <v>37080</v>
      </c>
    </row>
    <row r="72" spans="1:6" x14ac:dyDescent="0.4">
      <c r="A72" s="5" t="s">
        <v>19</v>
      </c>
      <c r="B72" s="5" t="s">
        <v>7</v>
      </c>
      <c r="C72" s="5" t="s">
        <v>24</v>
      </c>
      <c r="D72" s="5">
        <v>8</v>
      </c>
      <c r="E72" s="5">
        <v>874</v>
      </c>
      <c r="F72" s="5">
        <v>6992</v>
      </c>
    </row>
    <row r="73" spans="1:6" x14ac:dyDescent="0.4">
      <c r="A73" s="5" t="s">
        <v>9</v>
      </c>
      <c r="B73" s="5" t="s">
        <v>15</v>
      </c>
      <c r="C73" s="5" t="s">
        <v>18</v>
      </c>
      <c r="D73" s="5">
        <v>37</v>
      </c>
      <c r="E73" s="5">
        <v>246</v>
      </c>
      <c r="F73" s="5">
        <v>9102</v>
      </c>
    </row>
    <row r="74" spans="1:6" x14ac:dyDescent="0.4">
      <c r="A74" s="5" t="s">
        <v>9</v>
      </c>
      <c r="B74" s="5" t="s">
        <v>7</v>
      </c>
      <c r="C74" s="5" t="s">
        <v>20</v>
      </c>
      <c r="D74" s="5">
        <v>26</v>
      </c>
      <c r="E74" s="5">
        <v>1376</v>
      </c>
      <c r="F74" s="5">
        <v>35776</v>
      </c>
    </row>
    <row r="75" spans="1:6" x14ac:dyDescent="0.4">
      <c r="A75" s="5" t="s">
        <v>19</v>
      </c>
      <c r="B75" s="5" t="s">
        <v>7</v>
      </c>
      <c r="C75" s="5" t="s">
        <v>8</v>
      </c>
      <c r="D75" s="5">
        <v>48</v>
      </c>
      <c r="E75" s="5">
        <v>1848</v>
      </c>
      <c r="F75" s="5">
        <v>88704</v>
      </c>
    </row>
    <row r="76" spans="1:6" x14ac:dyDescent="0.4">
      <c r="A76" s="5" t="s">
        <v>17</v>
      </c>
      <c r="B76" s="5" t="s">
        <v>21</v>
      </c>
      <c r="C76" s="5" t="s">
        <v>16</v>
      </c>
      <c r="D76" s="5">
        <v>11</v>
      </c>
      <c r="E76" s="5">
        <v>551</v>
      </c>
      <c r="F76" s="5">
        <v>6061</v>
      </c>
    </row>
    <row r="77" spans="1:6" x14ac:dyDescent="0.4">
      <c r="A77" s="5" t="s">
        <v>6</v>
      </c>
      <c r="B77" s="5" t="s">
        <v>7</v>
      </c>
      <c r="C77" s="5" t="s">
        <v>13</v>
      </c>
      <c r="D77" s="5">
        <v>36</v>
      </c>
      <c r="E77" s="5">
        <v>1886</v>
      </c>
      <c r="F77" s="5">
        <v>67896</v>
      </c>
    </row>
    <row r="78" spans="1:6" x14ac:dyDescent="0.4">
      <c r="A78" s="5" t="s">
        <v>6</v>
      </c>
      <c r="B78" s="5" t="s">
        <v>21</v>
      </c>
      <c r="C78" s="5" t="s">
        <v>11</v>
      </c>
      <c r="D78" s="5">
        <v>21</v>
      </c>
      <c r="E78" s="5">
        <v>914</v>
      </c>
      <c r="F78" s="5">
        <v>19194</v>
      </c>
    </row>
    <row r="79" spans="1:6" x14ac:dyDescent="0.4">
      <c r="A79" s="5" t="s">
        <v>6</v>
      </c>
      <c r="B79" s="5" t="s">
        <v>10</v>
      </c>
      <c r="C79" s="5" t="s">
        <v>23</v>
      </c>
      <c r="D79" s="5">
        <v>27</v>
      </c>
      <c r="E79" s="5">
        <v>323</v>
      </c>
      <c r="F79" s="5">
        <v>8721</v>
      </c>
    </row>
    <row r="80" spans="1:6" x14ac:dyDescent="0.4">
      <c r="A80" s="5" t="s">
        <v>6</v>
      </c>
      <c r="B80" s="5" t="s">
        <v>15</v>
      </c>
      <c r="C80" s="5" t="s">
        <v>20</v>
      </c>
      <c r="D80" s="5">
        <v>19</v>
      </c>
      <c r="E80" s="5">
        <v>1857</v>
      </c>
      <c r="F80" s="5">
        <v>35283</v>
      </c>
    </row>
    <row r="81" spans="1:6" x14ac:dyDescent="0.4">
      <c r="A81" s="5" t="s">
        <v>9</v>
      </c>
      <c r="B81" s="5" t="s">
        <v>7</v>
      </c>
      <c r="C81" s="5" t="s">
        <v>8</v>
      </c>
      <c r="D81" s="5">
        <v>39</v>
      </c>
      <c r="E81" s="5">
        <v>186</v>
      </c>
      <c r="F81" s="5">
        <v>7254</v>
      </c>
    </row>
    <row r="82" spans="1:6" x14ac:dyDescent="0.4">
      <c r="A82" s="5" t="s">
        <v>6</v>
      </c>
      <c r="B82" s="5" t="s">
        <v>10</v>
      </c>
      <c r="C82" s="5" t="s">
        <v>11</v>
      </c>
      <c r="D82" s="5">
        <v>32</v>
      </c>
      <c r="E82" s="5">
        <v>1295</v>
      </c>
      <c r="F82" s="5">
        <v>41440</v>
      </c>
    </row>
    <row r="83" spans="1:6" x14ac:dyDescent="0.4">
      <c r="A83" s="5" t="s">
        <v>6</v>
      </c>
      <c r="B83" s="5" t="s">
        <v>7</v>
      </c>
      <c r="C83" s="5" t="s">
        <v>20</v>
      </c>
      <c r="D83" s="5">
        <v>32</v>
      </c>
      <c r="E83" s="5">
        <v>486</v>
      </c>
      <c r="F83" s="5">
        <v>15552</v>
      </c>
    </row>
    <row r="84" spans="1:6" x14ac:dyDescent="0.4">
      <c r="A84" s="5" t="s">
        <v>9</v>
      </c>
      <c r="B84" s="5" t="s">
        <v>7</v>
      </c>
      <c r="C84" s="5" t="s">
        <v>22</v>
      </c>
      <c r="D84" s="5">
        <v>8</v>
      </c>
      <c r="E84" s="5">
        <v>550</v>
      </c>
      <c r="F84" s="5">
        <v>4400</v>
      </c>
    </row>
    <row r="85" spans="1:6" x14ac:dyDescent="0.4">
      <c r="A85" s="5" t="s">
        <v>17</v>
      </c>
      <c r="B85" s="5" t="s">
        <v>15</v>
      </c>
      <c r="C85" s="5" t="s">
        <v>22</v>
      </c>
      <c r="D85" s="5">
        <v>25</v>
      </c>
      <c r="E85" s="5">
        <v>1935</v>
      </c>
      <c r="F85" s="5">
        <v>48375</v>
      </c>
    </row>
    <row r="86" spans="1:6" x14ac:dyDescent="0.4">
      <c r="A86" s="5" t="s">
        <v>19</v>
      </c>
      <c r="B86" s="5" t="s">
        <v>21</v>
      </c>
      <c r="C86" s="5" t="s">
        <v>22</v>
      </c>
      <c r="D86" s="5">
        <v>40</v>
      </c>
      <c r="E86" s="5">
        <v>196</v>
      </c>
      <c r="F86" s="5">
        <v>7840</v>
      </c>
    </row>
    <row r="87" spans="1:6" x14ac:dyDescent="0.4">
      <c r="A87" s="5" t="s">
        <v>9</v>
      </c>
      <c r="B87" s="5" t="s">
        <v>21</v>
      </c>
      <c r="C87" s="5" t="s">
        <v>16</v>
      </c>
      <c r="D87" s="5">
        <v>21</v>
      </c>
      <c r="E87" s="5">
        <v>1826</v>
      </c>
      <c r="F87" s="5">
        <v>38346</v>
      </c>
    </row>
    <row r="88" spans="1:6" x14ac:dyDescent="0.4">
      <c r="A88" s="5" t="s">
        <v>6</v>
      </c>
      <c r="B88" s="5" t="s">
        <v>7</v>
      </c>
      <c r="C88" s="5" t="s">
        <v>13</v>
      </c>
      <c r="D88" s="5">
        <v>6</v>
      </c>
      <c r="E88" s="5">
        <v>1495</v>
      </c>
      <c r="F88" s="5">
        <v>8970</v>
      </c>
    </row>
    <row r="89" spans="1:6" x14ac:dyDescent="0.4">
      <c r="A89" s="5" t="s">
        <v>6</v>
      </c>
      <c r="B89" s="5" t="s">
        <v>7</v>
      </c>
      <c r="C89" s="5" t="s">
        <v>11</v>
      </c>
      <c r="D89" s="5">
        <v>26</v>
      </c>
      <c r="E89" s="5">
        <v>1200</v>
      </c>
      <c r="F89" s="5">
        <v>31200</v>
      </c>
    </row>
    <row r="90" spans="1:6" x14ac:dyDescent="0.4">
      <c r="A90" s="5" t="s">
        <v>9</v>
      </c>
      <c r="B90" s="5" t="s">
        <v>15</v>
      </c>
      <c r="C90" s="5" t="s">
        <v>16</v>
      </c>
      <c r="D90" s="5">
        <v>18</v>
      </c>
      <c r="E90" s="5">
        <v>122</v>
      </c>
      <c r="F90" s="5">
        <v>2196</v>
      </c>
    </row>
    <row r="91" spans="1:6" x14ac:dyDescent="0.4">
      <c r="A91" s="5" t="s">
        <v>17</v>
      </c>
      <c r="B91" s="5" t="s">
        <v>15</v>
      </c>
      <c r="C91" s="5" t="s">
        <v>22</v>
      </c>
      <c r="D91" s="5">
        <v>35</v>
      </c>
      <c r="E91" s="5">
        <v>1658</v>
      </c>
      <c r="F91" s="5">
        <v>58030</v>
      </c>
    </row>
    <row r="92" spans="1:6" x14ac:dyDescent="0.4">
      <c r="A92" s="5" t="s">
        <v>17</v>
      </c>
      <c r="B92" s="5" t="s">
        <v>10</v>
      </c>
      <c r="C92" s="5" t="s">
        <v>11</v>
      </c>
      <c r="D92" s="5">
        <v>47</v>
      </c>
      <c r="E92" s="5">
        <v>1553</v>
      </c>
      <c r="F92" s="5">
        <v>72991</v>
      </c>
    </row>
    <row r="93" spans="1:6" x14ac:dyDescent="0.4">
      <c r="A93" s="5" t="s">
        <v>9</v>
      </c>
      <c r="B93" s="5" t="s">
        <v>15</v>
      </c>
      <c r="C93" s="5" t="s">
        <v>22</v>
      </c>
      <c r="D93" s="5">
        <v>26</v>
      </c>
      <c r="E93" s="5">
        <v>1160</v>
      </c>
      <c r="F93" s="5">
        <v>30160</v>
      </c>
    </row>
    <row r="94" spans="1:6" x14ac:dyDescent="0.4">
      <c r="A94" s="5" t="s">
        <v>9</v>
      </c>
      <c r="B94" s="5" t="s">
        <v>21</v>
      </c>
      <c r="C94" s="5" t="s">
        <v>20</v>
      </c>
      <c r="D94" s="5">
        <v>35</v>
      </c>
      <c r="E94" s="5">
        <v>1406</v>
      </c>
      <c r="F94" s="5">
        <v>49210</v>
      </c>
    </row>
    <row r="95" spans="1:6" x14ac:dyDescent="0.4">
      <c r="A95" s="5" t="s">
        <v>19</v>
      </c>
      <c r="B95" s="5" t="s">
        <v>15</v>
      </c>
      <c r="C95" s="5" t="s">
        <v>20</v>
      </c>
      <c r="D95" s="5">
        <v>45</v>
      </c>
      <c r="E95" s="5">
        <v>1939</v>
      </c>
      <c r="F95" s="5">
        <v>87255</v>
      </c>
    </row>
    <row r="96" spans="1:6" x14ac:dyDescent="0.4">
      <c r="A96" s="5" t="s">
        <v>6</v>
      </c>
      <c r="B96" s="5" t="s">
        <v>7</v>
      </c>
      <c r="C96" s="5" t="s">
        <v>18</v>
      </c>
      <c r="D96" s="5">
        <v>26</v>
      </c>
      <c r="E96" s="5">
        <v>641</v>
      </c>
      <c r="F96" s="5">
        <v>16666</v>
      </c>
    </row>
    <row r="97" spans="1:6" x14ac:dyDescent="0.4">
      <c r="A97" s="5" t="s">
        <v>19</v>
      </c>
      <c r="B97" s="5" t="s">
        <v>21</v>
      </c>
      <c r="C97" s="5" t="s">
        <v>16</v>
      </c>
      <c r="D97" s="5">
        <v>26</v>
      </c>
      <c r="E97" s="5">
        <v>732</v>
      </c>
      <c r="F97" s="5">
        <v>19032</v>
      </c>
    </row>
    <row r="98" spans="1:6" x14ac:dyDescent="0.4">
      <c r="A98" s="5" t="s">
        <v>17</v>
      </c>
      <c r="B98" s="5" t="s">
        <v>7</v>
      </c>
      <c r="C98" s="5" t="s">
        <v>16</v>
      </c>
      <c r="D98" s="5">
        <v>10</v>
      </c>
      <c r="E98" s="5">
        <v>772</v>
      </c>
      <c r="F98" s="5">
        <v>7720</v>
      </c>
    </row>
    <row r="99" spans="1:6" x14ac:dyDescent="0.4">
      <c r="A99" s="5" t="s">
        <v>6</v>
      </c>
      <c r="B99" s="5" t="s">
        <v>12</v>
      </c>
      <c r="C99" s="5" t="s">
        <v>14</v>
      </c>
      <c r="D99" s="5">
        <v>15</v>
      </c>
      <c r="E99" s="5">
        <v>1614</v>
      </c>
      <c r="F99" s="5">
        <v>24210</v>
      </c>
    </row>
    <row r="100" spans="1:6" x14ac:dyDescent="0.4">
      <c r="A100" s="5" t="s">
        <v>9</v>
      </c>
      <c r="B100" s="5" t="s">
        <v>7</v>
      </c>
      <c r="C100" s="5" t="s">
        <v>23</v>
      </c>
      <c r="D100" s="5">
        <v>31</v>
      </c>
      <c r="E100" s="5">
        <v>593</v>
      </c>
      <c r="F100" s="5">
        <v>18383</v>
      </c>
    </row>
    <row r="101" spans="1:6" x14ac:dyDescent="0.4">
      <c r="A101" s="5" t="s">
        <v>17</v>
      </c>
      <c r="B101" s="5" t="s">
        <v>7</v>
      </c>
      <c r="C101" s="5" t="s">
        <v>23</v>
      </c>
      <c r="D101" s="5">
        <v>45</v>
      </c>
      <c r="E101" s="5">
        <v>1356</v>
      </c>
      <c r="F101" s="5">
        <v>61020</v>
      </c>
    </row>
    <row r="102" spans="1:6" x14ac:dyDescent="0.4">
      <c r="A102" s="5" t="s">
        <v>6</v>
      </c>
      <c r="B102" s="5" t="s">
        <v>7</v>
      </c>
      <c r="C102" s="5" t="s">
        <v>13</v>
      </c>
      <c r="D102" s="5">
        <v>50</v>
      </c>
      <c r="E102" s="5">
        <v>588</v>
      </c>
      <c r="F102" s="5">
        <v>29400</v>
      </c>
    </row>
    <row r="103" spans="1:6" x14ac:dyDescent="0.4">
      <c r="A103" s="5" t="s">
        <v>17</v>
      </c>
      <c r="B103" s="5" t="s">
        <v>10</v>
      </c>
      <c r="C103" s="5" t="s">
        <v>18</v>
      </c>
      <c r="D103" s="5">
        <v>35</v>
      </c>
      <c r="E103" s="5">
        <v>451</v>
      </c>
      <c r="F103" s="5">
        <v>15785</v>
      </c>
    </row>
    <row r="104" spans="1:6" x14ac:dyDescent="0.4">
      <c r="A104" s="5" t="s">
        <v>9</v>
      </c>
      <c r="B104" s="5" t="s">
        <v>12</v>
      </c>
      <c r="C104" s="5" t="s">
        <v>16</v>
      </c>
      <c r="D104" s="5">
        <v>35</v>
      </c>
      <c r="E104" s="5">
        <v>741</v>
      </c>
      <c r="F104" s="5">
        <v>25935</v>
      </c>
    </row>
    <row r="105" spans="1:6" x14ac:dyDescent="0.4">
      <c r="A105" s="5" t="s">
        <v>6</v>
      </c>
      <c r="B105" s="5" t="s">
        <v>12</v>
      </c>
      <c r="C105" s="5" t="s">
        <v>23</v>
      </c>
      <c r="D105" s="5">
        <v>34</v>
      </c>
      <c r="E105" s="5">
        <v>283</v>
      </c>
      <c r="F105" s="5">
        <v>9622</v>
      </c>
    </row>
    <row r="106" spans="1:6" x14ac:dyDescent="0.4">
      <c r="A106" s="5" t="s">
        <v>9</v>
      </c>
      <c r="B106" s="5" t="s">
        <v>7</v>
      </c>
      <c r="C106" s="5" t="s">
        <v>22</v>
      </c>
      <c r="D106" s="5">
        <v>43</v>
      </c>
      <c r="E106" s="5">
        <v>1654</v>
      </c>
      <c r="F106" s="5">
        <v>71122</v>
      </c>
    </row>
    <row r="107" spans="1:6" x14ac:dyDescent="0.4">
      <c r="A107" s="5" t="s">
        <v>17</v>
      </c>
      <c r="B107" s="5" t="s">
        <v>12</v>
      </c>
      <c r="C107" s="5" t="s">
        <v>24</v>
      </c>
      <c r="D107" s="5">
        <v>23</v>
      </c>
      <c r="E107" s="5">
        <v>1879</v>
      </c>
      <c r="F107" s="5">
        <v>43217</v>
      </c>
    </row>
    <row r="108" spans="1:6" x14ac:dyDescent="0.4">
      <c r="A108" s="5" t="s">
        <v>9</v>
      </c>
      <c r="B108" s="5" t="s">
        <v>15</v>
      </c>
      <c r="C108" s="5" t="s">
        <v>14</v>
      </c>
      <c r="D108" s="5">
        <v>47</v>
      </c>
      <c r="E108" s="5">
        <v>1010</v>
      </c>
      <c r="F108" s="5">
        <v>47470</v>
      </c>
    </row>
    <row r="109" spans="1:6" x14ac:dyDescent="0.4">
      <c r="A109" s="5" t="s">
        <v>6</v>
      </c>
      <c r="B109" s="5" t="s">
        <v>15</v>
      </c>
      <c r="C109" s="5" t="s">
        <v>11</v>
      </c>
      <c r="D109" s="5">
        <v>43</v>
      </c>
      <c r="E109" s="5">
        <v>1353</v>
      </c>
      <c r="F109" s="5">
        <v>58179</v>
      </c>
    </row>
    <row r="110" spans="1:6" x14ac:dyDescent="0.4">
      <c r="A110" s="5" t="s">
        <v>17</v>
      </c>
      <c r="B110" s="5" t="s">
        <v>10</v>
      </c>
      <c r="C110" s="5" t="s">
        <v>20</v>
      </c>
      <c r="D110" s="5">
        <v>25</v>
      </c>
      <c r="E110" s="5">
        <v>174</v>
      </c>
      <c r="F110" s="5">
        <v>4350</v>
      </c>
    </row>
    <row r="111" spans="1:6" x14ac:dyDescent="0.4">
      <c r="A111" s="5" t="s">
        <v>19</v>
      </c>
      <c r="B111" s="5" t="s">
        <v>12</v>
      </c>
      <c r="C111" s="5" t="s">
        <v>23</v>
      </c>
      <c r="D111" s="5">
        <v>46</v>
      </c>
      <c r="E111" s="5">
        <v>1150</v>
      </c>
      <c r="F111" s="5">
        <v>52900</v>
      </c>
    </row>
    <row r="112" spans="1:6" x14ac:dyDescent="0.4">
      <c r="A112" s="5" t="s">
        <v>9</v>
      </c>
      <c r="B112" s="5" t="s">
        <v>15</v>
      </c>
      <c r="C112" s="5" t="s">
        <v>8</v>
      </c>
      <c r="D112" s="5">
        <v>47</v>
      </c>
      <c r="E112" s="5">
        <v>966</v>
      </c>
      <c r="F112" s="5">
        <v>45402</v>
      </c>
    </row>
    <row r="113" spans="1:6" x14ac:dyDescent="0.4">
      <c r="A113" s="5" t="s">
        <v>6</v>
      </c>
      <c r="B113" s="5" t="s">
        <v>10</v>
      </c>
      <c r="C113" s="5" t="s">
        <v>16</v>
      </c>
      <c r="D113" s="5">
        <v>7</v>
      </c>
      <c r="E113" s="5">
        <v>1974</v>
      </c>
      <c r="F113" s="5">
        <v>13818</v>
      </c>
    </row>
    <row r="114" spans="1:6" x14ac:dyDescent="0.4">
      <c r="A114" s="5" t="s">
        <v>17</v>
      </c>
      <c r="B114" s="5" t="s">
        <v>15</v>
      </c>
      <c r="C114" s="5" t="s">
        <v>16</v>
      </c>
      <c r="D114" s="5">
        <v>50</v>
      </c>
      <c r="E114" s="5">
        <v>1483</v>
      </c>
      <c r="F114" s="5">
        <v>74150</v>
      </c>
    </row>
    <row r="115" spans="1:6" x14ac:dyDescent="0.4">
      <c r="A115" s="5" t="s">
        <v>19</v>
      </c>
      <c r="B115" s="5" t="s">
        <v>10</v>
      </c>
      <c r="C115" s="5" t="s">
        <v>13</v>
      </c>
      <c r="D115" s="5">
        <v>29</v>
      </c>
      <c r="E115" s="5">
        <v>118</v>
      </c>
      <c r="F115" s="5">
        <v>3422</v>
      </c>
    </row>
    <row r="116" spans="1:6" x14ac:dyDescent="0.4">
      <c r="A116" s="5" t="s">
        <v>9</v>
      </c>
      <c r="B116" s="5" t="s">
        <v>15</v>
      </c>
      <c r="C116" s="5" t="s">
        <v>18</v>
      </c>
      <c r="D116" s="5">
        <v>22</v>
      </c>
      <c r="E116" s="5">
        <v>627</v>
      </c>
      <c r="F116" s="5">
        <v>13794</v>
      </c>
    </row>
    <row r="117" spans="1:6" x14ac:dyDescent="0.4">
      <c r="A117" s="5" t="s">
        <v>19</v>
      </c>
      <c r="B117" s="5" t="s">
        <v>15</v>
      </c>
      <c r="C117" s="5" t="s">
        <v>20</v>
      </c>
      <c r="D117" s="5">
        <v>37</v>
      </c>
      <c r="E117" s="5">
        <v>142</v>
      </c>
      <c r="F117" s="5">
        <v>5254</v>
      </c>
    </row>
    <row r="118" spans="1:6" x14ac:dyDescent="0.4">
      <c r="A118" s="5" t="s">
        <v>9</v>
      </c>
      <c r="B118" s="5" t="s">
        <v>10</v>
      </c>
      <c r="C118" s="5" t="s">
        <v>23</v>
      </c>
      <c r="D118" s="5">
        <v>3</v>
      </c>
      <c r="E118" s="5">
        <v>1062</v>
      </c>
      <c r="F118" s="5">
        <v>3186</v>
      </c>
    </row>
    <row r="119" spans="1:6" x14ac:dyDescent="0.4">
      <c r="A119" s="5" t="s">
        <v>6</v>
      </c>
      <c r="B119" s="5" t="s">
        <v>21</v>
      </c>
      <c r="C119" s="5" t="s">
        <v>16</v>
      </c>
      <c r="D119" s="5">
        <v>31</v>
      </c>
      <c r="E119" s="5">
        <v>1492</v>
      </c>
      <c r="F119" s="5">
        <v>46252</v>
      </c>
    </row>
    <row r="120" spans="1:6" x14ac:dyDescent="0.4">
      <c r="A120" s="5" t="s">
        <v>6</v>
      </c>
      <c r="B120" s="5" t="s">
        <v>7</v>
      </c>
      <c r="C120" s="5" t="s">
        <v>14</v>
      </c>
      <c r="D120" s="5">
        <v>6</v>
      </c>
      <c r="E120" s="5">
        <v>507</v>
      </c>
      <c r="F120" s="5">
        <v>3042</v>
      </c>
    </row>
    <row r="121" spans="1:6" x14ac:dyDescent="0.4">
      <c r="A121" s="5" t="s">
        <v>9</v>
      </c>
      <c r="B121" s="5" t="s">
        <v>10</v>
      </c>
      <c r="C121" s="5" t="s">
        <v>14</v>
      </c>
      <c r="D121" s="5">
        <v>32</v>
      </c>
      <c r="E121" s="5">
        <v>514</v>
      </c>
      <c r="F121" s="5">
        <v>16448</v>
      </c>
    </row>
    <row r="122" spans="1:6" x14ac:dyDescent="0.4">
      <c r="A122" s="5" t="s">
        <v>6</v>
      </c>
      <c r="B122" s="5" t="s">
        <v>12</v>
      </c>
      <c r="C122" s="5" t="s">
        <v>13</v>
      </c>
      <c r="D122" s="5">
        <v>31</v>
      </c>
      <c r="E122" s="5">
        <v>1116</v>
      </c>
      <c r="F122" s="5">
        <v>34596</v>
      </c>
    </row>
    <row r="123" spans="1:6" x14ac:dyDescent="0.4">
      <c r="A123" s="5" t="s">
        <v>17</v>
      </c>
      <c r="B123" s="5" t="s">
        <v>10</v>
      </c>
      <c r="C123" s="5" t="s">
        <v>11</v>
      </c>
      <c r="D123" s="5">
        <v>19</v>
      </c>
      <c r="E123" s="5">
        <v>684</v>
      </c>
      <c r="F123" s="5">
        <v>12996</v>
      </c>
    </row>
    <row r="124" spans="1:6" x14ac:dyDescent="0.4">
      <c r="A124" s="5" t="s">
        <v>17</v>
      </c>
      <c r="B124" s="5" t="s">
        <v>10</v>
      </c>
      <c r="C124" s="5" t="s">
        <v>24</v>
      </c>
      <c r="D124" s="5">
        <v>14</v>
      </c>
      <c r="E124" s="5">
        <v>1045</v>
      </c>
      <c r="F124" s="5">
        <v>14630</v>
      </c>
    </row>
    <row r="125" spans="1:6" x14ac:dyDescent="0.4">
      <c r="A125" s="5" t="s">
        <v>9</v>
      </c>
      <c r="B125" s="5" t="s">
        <v>10</v>
      </c>
      <c r="C125" s="5" t="s">
        <v>13</v>
      </c>
      <c r="D125" s="5">
        <v>33</v>
      </c>
      <c r="E125" s="5">
        <v>1901</v>
      </c>
      <c r="F125" s="5">
        <v>62733</v>
      </c>
    </row>
    <row r="126" spans="1:6" x14ac:dyDescent="0.4">
      <c r="A126" s="5" t="s">
        <v>9</v>
      </c>
      <c r="B126" s="5" t="s">
        <v>15</v>
      </c>
      <c r="C126" s="5" t="s">
        <v>24</v>
      </c>
      <c r="D126" s="5">
        <v>16</v>
      </c>
      <c r="E126" s="5">
        <v>1401</v>
      </c>
      <c r="F126" s="5">
        <v>22416</v>
      </c>
    </row>
    <row r="127" spans="1:6" x14ac:dyDescent="0.4">
      <c r="A127" s="5" t="s">
        <v>6</v>
      </c>
      <c r="B127" s="5" t="s">
        <v>7</v>
      </c>
      <c r="C127" s="5" t="s">
        <v>18</v>
      </c>
      <c r="D127" s="5">
        <v>49</v>
      </c>
      <c r="E127" s="5">
        <v>195</v>
      </c>
      <c r="F127" s="5">
        <v>9555</v>
      </c>
    </row>
    <row r="128" spans="1:6" x14ac:dyDescent="0.4">
      <c r="A128" s="5" t="s">
        <v>6</v>
      </c>
      <c r="B128" s="5" t="s">
        <v>12</v>
      </c>
      <c r="C128" s="5" t="s">
        <v>18</v>
      </c>
      <c r="D128" s="5">
        <v>48</v>
      </c>
      <c r="E128" s="5">
        <v>914</v>
      </c>
      <c r="F128" s="5">
        <v>43872</v>
      </c>
    </row>
    <row r="129" spans="1:6" x14ac:dyDescent="0.4">
      <c r="A129" s="5" t="s">
        <v>6</v>
      </c>
      <c r="B129" s="5" t="s">
        <v>10</v>
      </c>
      <c r="C129" s="5" t="s">
        <v>13</v>
      </c>
      <c r="D129" s="5">
        <v>11</v>
      </c>
      <c r="E129" s="5">
        <v>428</v>
      </c>
      <c r="F129" s="5">
        <v>4708</v>
      </c>
    </row>
    <row r="130" spans="1:6" x14ac:dyDescent="0.4">
      <c r="A130" s="5" t="s">
        <v>17</v>
      </c>
      <c r="B130" s="5" t="s">
        <v>15</v>
      </c>
      <c r="C130" s="5" t="s">
        <v>22</v>
      </c>
      <c r="D130" s="5">
        <v>33</v>
      </c>
      <c r="E130" s="5">
        <v>689</v>
      </c>
      <c r="F130" s="5">
        <v>22737</v>
      </c>
    </row>
    <row r="131" spans="1:6" x14ac:dyDescent="0.4">
      <c r="A131" s="5" t="s">
        <v>6</v>
      </c>
      <c r="B131" s="5" t="s">
        <v>10</v>
      </c>
      <c r="C131" s="5" t="s">
        <v>16</v>
      </c>
      <c r="D131" s="5">
        <v>11</v>
      </c>
      <c r="E131" s="5">
        <v>724</v>
      </c>
      <c r="F131" s="5">
        <v>7964</v>
      </c>
    </row>
    <row r="132" spans="1:6" x14ac:dyDescent="0.4">
      <c r="A132" s="5" t="s">
        <v>6</v>
      </c>
      <c r="B132" s="5" t="s">
        <v>12</v>
      </c>
      <c r="C132" s="5" t="s">
        <v>13</v>
      </c>
      <c r="D132" s="5">
        <v>32</v>
      </c>
      <c r="E132" s="5">
        <v>644</v>
      </c>
      <c r="F132" s="5">
        <v>20608</v>
      </c>
    </row>
    <row r="133" spans="1:6" x14ac:dyDescent="0.4">
      <c r="A133" s="5" t="s">
        <v>19</v>
      </c>
      <c r="B133" s="5" t="s">
        <v>10</v>
      </c>
      <c r="C133" s="5" t="s">
        <v>22</v>
      </c>
      <c r="D133" s="5">
        <v>43</v>
      </c>
      <c r="E133" s="5">
        <v>1489</v>
      </c>
      <c r="F133" s="5">
        <v>64027</v>
      </c>
    </row>
    <row r="134" spans="1:6" x14ac:dyDescent="0.4">
      <c r="A134" s="5" t="s">
        <v>6</v>
      </c>
      <c r="B134" s="5" t="s">
        <v>15</v>
      </c>
      <c r="C134" s="5" t="s">
        <v>11</v>
      </c>
      <c r="D134" s="5">
        <v>37</v>
      </c>
      <c r="E134" s="5">
        <v>624</v>
      </c>
      <c r="F134" s="5">
        <v>23088</v>
      </c>
    </row>
    <row r="135" spans="1:6" x14ac:dyDescent="0.4">
      <c r="A135" s="5" t="s">
        <v>6</v>
      </c>
      <c r="B135" s="5" t="s">
        <v>21</v>
      </c>
      <c r="C135" s="5" t="s">
        <v>20</v>
      </c>
      <c r="D135" s="5">
        <v>31</v>
      </c>
      <c r="E135" s="5">
        <v>1504</v>
      </c>
      <c r="F135" s="5">
        <v>46624</v>
      </c>
    </row>
    <row r="136" spans="1:6" x14ac:dyDescent="0.4">
      <c r="A136" s="5" t="s">
        <v>17</v>
      </c>
      <c r="B136" s="5" t="s">
        <v>15</v>
      </c>
      <c r="C136" s="5" t="s">
        <v>20</v>
      </c>
      <c r="D136" s="5">
        <v>4</v>
      </c>
      <c r="E136" s="5">
        <v>1390</v>
      </c>
      <c r="F136" s="5">
        <v>5560</v>
      </c>
    </row>
    <row r="137" spans="1:6" x14ac:dyDescent="0.4">
      <c r="A137" s="5" t="s">
        <v>17</v>
      </c>
      <c r="B137" s="5" t="s">
        <v>12</v>
      </c>
      <c r="C137" s="5" t="s">
        <v>13</v>
      </c>
      <c r="D137" s="5">
        <v>22</v>
      </c>
      <c r="E137" s="5">
        <v>580</v>
      </c>
      <c r="F137" s="5">
        <v>12760</v>
      </c>
    </row>
    <row r="138" spans="1:6" x14ac:dyDescent="0.4">
      <c r="A138" s="5" t="s">
        <v>17</v>
      </c>
      <c r="B138" s="5" t="s">
        <v>10</v>
      </c>
      <c r="C138" s="5" t="s">
        <v>20</v>
      </c>
      <c r="D138" s="5">
        <v>23</v>
      </c>
      <c r="E138" s="5">
        <v>827</v>
      </c>
      <c r="F138" s="5">
        <v>19021</v>
      </c>
    </row>
    <row r="139" spans="1:6" x14ac:dyDescent="0.4">
      <c r="A139" s="5" t="s">
        <v>6</v>
      </c>
      <c r="B139" s="5" t="s">
        <v>10</v>
      </c>
      <c r="C139" s="5" t="s">
        <v>8</v>
      </c>
      <c r="D139" s="5">
        <v>16</v>
      </c>
      <c r="E139" s="5">
        <v>354</v>
      </c>
      <c r="F139" s="5">
        <v>5664</v>
      </c>
    </row>
    <row r="140" spans="1:6" x14ac:dyDescent="0.4">
      <c r="A140" s="5" t="s">
        <v>17</v>
      </c>
      <c r="B140" s="5" t="s">
        <v>10</v>
      </c>
      <c r="C140" s="5" t="s">
        <v>13</v>
      </c>
      <c r="D140" s="5">
        <v>49</v>
      </c>
      <c r="E140" s="5">
        <v>1951</v>
      </c>
      <c r="F140" s="5">
        <v>95599</v>
      </c>
    </row>
    <row r="141" spans="1:6" x14ac:dyDescent="0.4">
      <c r="A141" s="5" t="s">
        <v>9</v>
      </c>
      <c r="B141" s="5" t="s">
        <v>12</v>
      </c>
      <c r="C141" s="5" t="s">
        <v>13</v>
      </c>
      <c r="D141" s="5">
        <v>35</v>
      </c>
      <c r="E141" s="5">
        <v>675</v>
      </c>
      <c r="F141" s="5">
        <v>23625</v>
      </c>
    </row>
    <row r="142" spans="1:6" x14ac:dyDescent="0.4">
      <c r="A142" s="5" t="s">
        <v>17</v>
      </c>
      <c r="B142" s="5" t="s">
        <v>21</v>
      </c>
      <c r="C142" s="5" t="s">
        <v>20</v>
      </c>
      <c r="D142" s="5">
        <v>14</v>
      </c>
      <c r="E142" s="5">
        <v>1287</v>
      </c>
      <c r="F142" s="5">
        <v>18018</v>
      </c>
    </row>
    <row r="143" spans="1:6" x14ac:dyDescent="0.4">
      <c r="A143" s="5" t="s">
        <v>19</v>
      </c>
      <c r="B143" s="5" t="s">
        <v>21</v>
      </c>
      <c r="C143" s="5" t="s">
        <v>11</v>
      </c>
      <c r="D143" s="5">
        <v>25</v>
      </c>
      <c r="E143" s="5">
        <v>1365</v>
      </c>
      <c r="F143" s="5">
        <v>34125</v>
      </c>
    </row>
    <row r="144" spans="1:6" x14ac:dyDescent="0.4">
      <c r="A144" s="5" t="s">
        <v>9</v>
      </c>
      <c r="B144" s="5" t="s">
        <v>12</v>
      </c>
      <c r="C144" s="5" t="s">
        <v>22</v>
      </c>
      <c r="D144" s="5">
        <v>13</v>
      </c>
      <c r="E144" s="5">
        <v>383</v>
      </c>
      <c r="F144" s="5">
        <v>4979</v>
      </c>
    </row>
    <row r="145" spans="1:6" x14ac:dyDescent="0.4">
      <c r="A145" s="5" t="s">
        <v>9</v>
      </c>
      <c r="B145" s="5" t="s">
        <v>7</v>
      </c>
      <c r="C145" s="5" t="s">
        <v>8</v>
      </c>
      <c r="D145" s="5">
        <v>31</v>
      </c>
      <c r="E145" s="5">
        <v>959</v>
      </c>
      <c r="F145" s="5">
        <v>29729</v>
      </c>
    </row>
    <row r="146" spans="1:6" x14ac:dyDescent="0.4">
      <c r="A146" s="5" t="s">
        <v>17</v>
      </c>
      <c r="B146" s="5" t="s">
        <v>12</v>
      </c>
      <c r="C146" s="5" t="s">
        <v>23</v>
      </c>
      <c r="D146" s="5">
        <v>6</v>
      </c>
      <c r="E146" s="5">
        <v>1458</v>
      </c>
      <c r="F146" s="5">
        <v>8748</v>
      </c>
    </row>
    <row r="147" spans="1:6" x14ac:dyDescent="0.4">
      <c r="A147" s="5" t="s">
        <v>19</v>
      </c>
      <c r="B147" s="5" t="s">
        <v>21</v>
      </c>
      <c r="C147" s="5" t="s">
        <v>20</v>
      </c>
      <c r="D147" s="5">
        <v>5</v>
      </c>
      <c r="E147" s="5">
        <v>462</v>
      </c>
      <c r="F147" s="5">
        <v>2310</v>
      </c>
    </row>
    <row r="148" spans="1:6" x14ac:dyDescent="0.4">
      <c r="A148" s="5" t="s">
        <v>19</v>
      </c>
      <c r="B148" s="5" t="s">
        <v>10</v>
      </c>
      <c r="C148" s="5" t="s">
        <v>16</v>
      </c>
      <c r="D148" s="5">
        <v>33</v>
      </c>
      <c r="E148" s="5">
        <v>963</v>
      </c>
      <c r="F148" s="5">
        <v>31779</v>
      </c>
    </row>
    <row r="149" spans="1:6" x14ac:dyDescent="0.4">
      <c r="A149" s="5" t="s">
        <v>17</v>
      </c>
      <c r="B149" s="5" t="s">
        <v>10</v>
      </c>
      <c r="C149" s="5" t="s">
        <v>24</v>
      </c>
      <c r="D149" s="5">
        <v>44</v>
      </c>
      <c r="E149" s="5">
        <v>620</v>
      </c>
      <c r="F149" s="5">
        <v>27280</v>
      </c>
    </row>
    <row r="150" spans="1:6" x14ac:dyDescent="0.4">
      <c r="A150" s="5" t="s">
        <v>6</v>
      </c>
      <c r="B150" s="5" t="s">
        <v>10</v>
      </c>
      <c r="C150" s="5" t="s">
        <v>22</v>
      </c>
      <c r="D150" s="5">
        <v>50</v>
      </c>
      <c r="E150" s="5">
        <v>1286</v>
      </c>
      <c r="F150" s="5">
        <v>64300</v>
      </c>
    </row>
    <row r="151" spans="1:6" x14ac:dyDescent="0.4">
      <c r="A151" s="5" t="s">
        <v>6</v>
      </c>
      <c r="B151" s="5" t="s">
        <v>15</v>
      </c>
      <c r="C151" s="5" t="s">
        <v>13</v>
      </c>
      <c r="D151" s="5">
        <v>21</v>
      </c>
      <c r="E151" s="5">
        <v>997</v>
      </c>
      <c r="F151" s="5">
        <v>20937</v>
      </c>
    </row>
    <row r="152" spans="1:6" x14ac:dyDescent="0.4">
      <c r="A152" s="5" t="s">
        <v>17</v>
      </c>
      <c r="B152" s="5" t="s">
        <v>21</v>
      </c>
      <c r="C152" s="5" t="s">
        <v>20</v>
      </c>
      <c r="D152" s="5">
        <v>39</v>
      </c>
      <c r="E152" s="5">
        <v>1288</v>
      </c>
      <c r="F152" s="5">
        <v>50232</v>
      </c>
    </row>
    <row r="153" spans="1:6" x14ac:dyDescent="0.4">
      <c r="A153" s="5" t="s">
        <v>17</v>
      </c>
      <c r="B153" s="5" t="s">
        <v>10</v>
      </c>
      <c r="C153" s="5" t="s">
        <v>16</v>
      </c>
      <c r="D153" s="5">
        <v>22</v>
      </c>
      <c r="E153" s="5">
        <v>826</v>
      </c>
      <c r="F153" s="5">
        <v>18172</v>
      </c>
    </row>
    <row r="154" spans="1:6" x14ac:dyDescent="0.4">
      <c r="A154" s="5" t="s">
        <v>6</v>
      </c>
      <c r="B154" s="5" t="s">
        <v>12</v>
      </c>
      <c r="C154" s="5" t="s">
        <v>20</v>
      </c>
      <c r="D154" s="5">
        <v>5</v>
      </c>
      <c r="E154" s="5">
        <v>578</v>
      </c>
      <c r="F154" s="5">
        <v>2890</v>
      </c>
    </row>
    <row r="155" spans="1:6" x14ac:dyDescent="0.4">
      <c r="A155" s="5" t="s">
        <v>17</v>
      </c>
      <c r="B155" s="5" t="s">
        <v>21</v>
      </c>
      <c r="C155" s="5" t="s">
        <v>24</v>
      </c>
      <c r="D155" s="5">
        <v>32</v>
      </c>
      <c r="E155" s="5">
        <v>154</v>
      </c>
      <c r="F155" s="5">
        <v>4928</v>
      </c>
    </row>
    <row r="156" spans="1:6" x14ac:dyDescent="0.4">
      <c r="A156" s="5" t="s">
        <v>19</v>
      </c>
      <c r="B156" s="5" t="s">
        <v>10</v>
      </c>
      <c r="C156" s="5" t="s">
        <v>20</v>
      </c>
      <c r="D156" s="5">
        <v>50</v>
      </c>
      <c r="E156" s="5">
        <v>1226</v>
      </c>
      <c r="F156" s="5">
        <v>61300</v>
      </c>
    </row>
    <row r="157" spans="1:6" x14ac:dyDescent="0.4">
      <c r="A157" s="5" t="s">
        <v>6</v>
      </c>
      <c r="B157" s="5" t="s">
        <v>12</v>
      </c>
      <c r="C157" s="5" t="s">
        <v>22</v>
      </c>
      <c r="D157" s="5">
        <v>40</v>
      </c>
      <c r="E157" s="5">
        <v>369</v>
      </c>
      <c r="F157" s="5">
        <v>14760</v>
      </c>
    </row>
    <row r="158" spans="1:6" x14ac:dyDescent="0.4">
      <c r="A158" s="5" t="s">
        <v>6</v>
      </c>
      <c r="B158" s="5" t="s">
        <v>12</v>
      </c>
      <c r="C158" s="5" t="s">
        <v>22</v>
      </c>
      <c r="D158" s="5">
        <v>40</v>
      </c>
      <c r="E158" s="5">
        <v>1127</v>
      </c>
      <c r="F158" s="5">
        <v>45080</v>
      </c>
    </row>
    <row r="159" spans="1:6" x14ac:dyDescent="0.4">
      <c r="A159" s="5" t="s">
        <v>19</v>
      </c>
      <c r="B159" s="5" t="s">
        <v>12</v>
      </c>
      <c r="C159" s="5" t="s">
        <v>11</v>
      </c>
      <c r="D159" s="5">
        <v>18</v>
      </c>
      <c r="E159" s="5">
        <v>1988</v>
      </c>
      <c r="F159" s="5">
        <v>35784</v>
      </c>
    </row>
    <row r="160" spans="1:6" x14ac:dyDescent="0.4">
      <c r="A160" s="5" t="s">
        <v>17</v>
      </c>
      <c r="B160" s="5" t="s">
        <v>15</v>
      </c>
      <c r="C160" s="5" t="s">
        <v>14</v>
      </c>
      <c r="D160" s="5">
        <v>31</v>
      </c>
      <c r="E160" s="5">
        <v>1725</v>
      </c>
      <c r="F160" s="5">
        <v>53475</v>
      </c>
    </row>
    <row r="161" spans="1:6" x14ac:dyDescent="0.4">
      <c r="A161" s="5" t="s">
        <v>17</v>
      </c>
      <c r="B161" s="5" t="s">
        <v>10</v>
      </c>
      <c r="C161" s="5" t="s">
        <v>14</v>
      </c>
      <c r="D161" s="5">
        <v>31</v>
      </c>
      <c r="E161" s="5">
        <v>1649</v>
      </c>
      <c r="F161" s="5">
        <v>51119</v>
      </c>
    </row>
    <row r="162" spans="1:6" x14ac:dyDescent="0.4">
      <c r="A162" s="5" t="s">
        <v>6</v>
      </c>
      <c r="B162" s="5" t="s">
        <v>10</v>
      </c>
      <c r="C162" s="5" t="s">
        <v>22</v>
      </c>
      <c r="D162" s="5">
        <v>3</v>
      </c>
      <c r="E162" s="5">
        <v>1796</v>
      </c>
      <c r="F162" s="5">
        <v>5388</v>
      </c>
    </row>
    <row r="163" spans="1:6" x14ac:dyDescent="0.4">
      <c r="A163" s="5" t="s">
        <v>9</v>
      </c>
      <c r="B163" s="5" t="s">
        <v>12</v>
      </c>
      <c r="C163" s="5" t="s">
        <v>16</v>
      </c>
      <c r="D163" s="5">
        <v>9</v>
      </c>
      <c r="E163" s="5">
        <v>1559</v>
      </c>
      <c r="F163" s="5">
        <v>14031</v>
      </c>
    </row>
    <row r="164" spans="1:6" x14ac:dyDescent="0.4">
      <c r="A164" s="5" t="s">
        <v>19</v>
      </c>
      <c r="B164" s="5" t="s">
        <v>10</v>
      </c>
      <c r="C164" s="5" t="s">
        <v>13</v>
      </c>
      <c r="D164" s="5">
        <v>32</v>
      </c>
      <c r="E164" s="5">
        <v>417</v>
      </c>
      <c r="F164" s="5">
        <v>13344</v>
      </c>
    </row>
    <row r="165" spans="1:6" x14ac:dyDescent="0.4">
      <c r="A165" s="5" t="s">
        <v>17</v>
      </c>
      <c r="B165" s="5" t="s">
        <v>15</v>
      </c>
      <c r="C165" s="5" t="s">
        <v>18</v>
      </c>
      <c r="D165" s="5">
        <v>4</v>
      </c>
      <c r="E165" s="5">
        <v>157</v>
      </c>
      <c r="F165" s="5">
        <v>628</v>
      </c>
    </row>
    <row r="166" spans="1:6" x14ac:dyDescent="0.4">
      <c r="A166" s="5" t="s">
        <v>9</v>
      </c>
      <c r="B166" s="5" t="s">
        <v>10</v>
      </c>
      <c r="C166" s="5" t="s">
        <v>22</v>
      </c>
      <c r="D166" s="5">
        <v>48</v>
      </c>
      <c r="E166" s="5">
        <v>1892</v>
      </c>
      <c r="F166" s="5">
        <v>90816</v>
      </c>
    </row>
    <row r="167" spans="1:6" x14ac:dyDescent="0.4">
      <c r="A167" s="5" t="s">
        <v>19</v>
      </c>
      <c r="B167" s="5" t="s">
        <v>12</v>
      </c>
      <c r="C167" s="5" t="s">
        <v>23</v>
      </c>
      <c r="D167" s="5">
        <v>6</v>
      </c>
      <c r="E167" s="5">
        <v>1932</v>
      </c>
      <c r="F167" s="5">
        <v>11592</v>
      </c>
    </row>
    <row r="168" spans="1:6" x14ac:dyDescent="0.4">
      <c r="A168" s="5" t="s">
        <v>17</v>
      </c>
      <c r="B168" s="5" t="s">
        <v>7</v>
      </c>
      <c r="C168" s="5" t="s">
        <v>11</v>
      </c>
      <c r="D168" s="5">
        <v>49</v>
      </c>
      <c r="E168" s="5">
        <v>290</v>
      </c>
      <c r="F168" s="5">
        <v>14210</v>
      </c>
    </row>
    <row r="169" spans="1:6" x14ac:dyDescent="0.4">
      <c r="A169" s="5" t="s">
        <v>6</v>
      </c>
      <c r="B169" s="5" t="s">
        <v>12</v>
      </c>
      <c r="C169" s="5" t="s">
        <v>13</v>
      </c>
      <c r="D169" s="5">
        <v>36</v>
      </c>
      <c r="E169" s="5">
        <v>602</v>
      </c>
      <c r="F169" s="5">
        <v>21672</v>
      </c>
    </row>
    <row r="170" spans="1:6" x14ac:dyDescent="0.4">
      <c r="A170" s="5" t="s">
        <v>9</v>
      </c>
      <c r="B170" s="5" t="s">
        <v>15</v>
      </c>
      <c r="C170" s="5" t="s">
        <v>22</v>
      </c>
      <c r="D170" s="5">
        <v>12</v>
      </c>
      <c r="E170" s="5">
        <v>1711</v>
      </c>
      <c r="F170" s="5">
        <v>20532</v>
      </c>
    </row>
    <row r="171" spans="1:6" x14ac:dyDescent="0.4">
      <c r="A171" s="5" t="s">
        <v>6</v>
      </c>
      <c r="B171" s="5" t="s">
        <v>15</v>
      </c>
      <c r="C171" s="5" t="s">
        <v>22</v>
      </c>
      <c r="D171" s="5">
        <v>12</v>
      </c>
      <c r="E171" s="5">
        <v>1857</v>
      </c>
      <c r="F171" s="5">
        <v>22284</v>
      </c>
    </row>
    <row r="172" spans="1:6" x14ac:dyDescent="0.4">
      <c r="A172" s="5" t="s">
        <v>6</v>
      </c>
      <c r="B172" s="5" t="s">
        <v>10</v>
      </c>
      <c r="C172" s="5" t="s">
        <v>23</v>
      </c>
      <c r="D172" s="5">
        <v>47</v>
      </c>
      <c r="E172" s="5">
        <v>1199</v>
      </c>
      <c r="F172" s="5">
        <v>56353</v>
      </c>
    </row>
    <row r="173" spans="1:6" x14ac:dyDescent="0.4">
      <c r="A173" s="5" t="s">
        <v>19</v>
      </c>
      <c r="B173" s="5" t="s">
        <v>15</v>
      </c>
      <c r="C173" s="5" t="s">
        <v>8</v>
      </c>
      <c r="D173" s="5">
        <v>43</v>
      </c>
      <c r="E173" s="5">
        <v>1817</v>
      </c>
      <c r="F173" s="5">
        <v>78131</v>
      </c>
    </row>
    <row r="174" spans="1:6" x14ac:dyDescent="0.4">
      <c r="A174" s="5" t="s">
        <v>6</v>
      </c>
      <c r="B174" s="5" t="s">
        <v>15</v>
      </c>
      <c r="C174" s="5" t="s">
        <v>20</v>
      </c>
      <c r="D174" s="5">
        <v>41</v>
      </c>
      <c r="E174" s="5">
        <v>296</v>
      </c>
      <c r="F174" s="5">
        <v>12136</v>
      </c>
    </row>
    <row r="175" spans="1:6" x14ac:dyDescent="0.4">
      <c r="A175" s="5" t="s">
        <v>19</v>
      </c>
      <c r="B175" s="5" t="s">
        <v>7</v>
      </c>
      <c r="C175" s="5" t="s">
        <v>20</v>
      </c>
      <c r="D175" s="5">
        <v>5</v>
      </c>
      <c r="E175" s="5">
        <v>855</v>
      </c>
      <c r="F175" s="5">
        <v>4275</v>
      </c>
    </row>
    <row r="176" spans="1:6" x14ac:dyDescent="0.4">
      <c r="A176" s="5" t="s">
        <v>17</v>
      </c>
      <c r="B176" s="5" t="s">
        <v>15</v>
      </c>
      <c r="C176" s="5" t="s">
        <v>24</v>
      </c>
      <c r="D176" s="5">
        <v>5</v>
      </c>
      <c r="E176" s="5">
        <v>1700</v>
      </c>
      <c r="F176" s="5">
        <v>8500</v>
      </c>
    </row>
    <row r="177" spans="1:6" x14ac:dyDescent="0.4">
      <c r="A177" s="5" t="s">
        <v>19</v>
      </c>
      <c r="B177" s="5" t="s">
        <v>10</v>
      </c>
      <c r="C177" s="5" t="s">
        <v>18</v>
      </c>
      <c r="D177" s="5">
        <v>24</v>
      </c>
      <c r="E177" s="5">
        <v>178</v>
      </c>
      <c r="F177" s="5">
        <v>4272</v>
      </c>
    </row>
    <row r="178" spans="1:6" x14ac:dyDescent="0.4">
      <c r="A178" s="5" t="s">
        <v>19</v>
      </c>
      <c r="B178" s="5" t="s">
        <v>10</v>
      </c>
      <c r="C178" s="5" t="s">
        <v>13</v>
      </c>
      <c r="D178" s="5">
        <v>14</v>
      </c>
      <c r="E178" s="5">
        <v>124</v>
      </c>
      <c r="F178" s="5">
        <v>1736</v>
      </c>
    </row>
    <row r="179" spans="1:6" x14ac:dyDescent="0.4">
      <c r="A179" s="5" t="s">
        <v>19</v>
      </c>
      <c r="B179" s="5" t="s">
        <v>7</v>
      </c>
      <c r="C179" s="5" t="s">
        <v>22</v>
      </c>
      <c r="D179" s="5">
        <v>16</v>
      </c>
      <c r="E179" s="5">
        <v>525</v>
      </c>
      <c r="F179" s="5">
        <v>8400</v>
      </c>
    </row>
    <row r="180" spans="1:6" x14ac:dyDescent="0.4">
      <c r="A180" s="5" t="s">
        <v>17</v>
      </c>
      <c r="B180" s="5" t="s">
        <v>7</v>
      </c>
      <c r="C180" s="5" t="s">
        <v>24</v>
      </c>
      <c r="D180" s="5">
        <v>36</v>
      </c>
      <c r="E180" s="5">
        <v>700</v>
      </c>
      <c r="F180" s="5">
        <v>25200</v>
      </c>
    </row>
    <row r="181" spans="1:6" x14ac:dyDescent="0.4">
      <c r="A181" s="5" t="s">
        <v>6</v>
      </c>
      <c r="B181" s="5" t="s">
        <v>7</v>
      </c>
      <c r="C181" s="5" t="s">
        <v>20</v>
      </c>
      <c r="D181" s="5">
        <v>8</v>
      </c>
      <c r="E181" s="5">
        <v>1451</v>
      </c>
      <c r="F181" s="5">
        <v>11608</v>
      </c>
    </row>
    <row r="182" spans="1:6" x14ac:dyDescent="0.4">
      <c r="A182" s="5" t="s">
        <v>19</v>
      </c>
      <c r="B182" s="5" t="s">
        <v>12</v>
      </c>
      <c r="C182" s="5" t="s">
        <v>11</v>
      </c>
      <c r="D182" s="5">
        <v>20</v>
      </c>
      <c r="E182" s="5">
        <v>698</v>
      </c>
      <c r="F182" s="5">
        <v>13960</v>
      </c>
    </row>
    <row r="183" spans="1:6" x14ac:dyDescent="0.4">
      <c r="A183" s="5" t="s">
        <v>9</v>
      </c>
      <c r="B183" s="5" t="s">
        <v>10</v>
      </c>
      <c r="C183" s="5" t="s">
        <v>24</v>
      </c>
      <c r="D183" s="5">
        <v>35</v>
      </c>
      <c r="E183" s="5">
        <v>1115</v>
      </c>
      <c r="F183" s="5">
        <v>39025</v>
      </c>
    </row>
    <row r="184" spans="1:6" x14ac:dyDescent="0.4">
      <c r="A184" s="5" t="s">
        <v>19</v>
      </c>
      <c r="B184" s="5" t="s">
        <v>15</v>
      </c>
      <c r="C184" s="5" t="s">
        <v>22</v>
      </c>
      <c r="D184" s="5">
        <v>2</v>
      </c>
      <c r="E184" s="5">
        <v>700</v>
      </c>
      <c r="F184" s="5">
        <v>1400</v>
      </c>
    </row>
    <row r="185" spans="1:6" x14ac:dyDescent="0.4">
      <c r="A185" s="5" t="s">
        <v>17</v>
      </c>
      <c r="B185" s="5" t="s">
        <v>7</v>
      </c>
      <c r="C185" s="5" t="s">
        <v>23</v>
      </c>
      <c r="D185" s="5">
        <v>18</v>
      </c>
      <c r="E185" s="5">
        <v>376</v>
      </c>
      <c r="F185" s="5">
        <v>6768</v>
      </c>
    </row>
    <row r="186" spans="1:6" x14ac:dyDescent="0.4">
      <c r="A186" s="5" t="s">
        <v>6</v>
      </c>
      <c r="B186" s="5" t="s">
        <v>21</v>
      </c>
      <c r="C186" s="5" t="s">
        <v>24</v>
      </c>
      <c r="D186" s="5">
        <v>23</v>
      </c>
      <c r="E186" s="5">
        <v>1727</v>
      </c>
      <c r="F186" s="5">
        <v>39721</v>
      </c>
    </row>
    <row r="187" spans="1:6" x14ac:dyDescent="0.4">
      <c r="A187" s="5" t="s">
        <v>9</v>
      </c>
      <c r="B187" s="5" t="s">
        <v>12</v>
      </c>
      <c r="C187" s="5" t="s">
        <v>11</v>
      </c>
      <c r="D187" s="5">
        <v>48</v>
      </c>
      <c r="E187" s="5">
        <v>868</v>
      </c>
      <c r="F187" s="5">
        <v>41664</v>
      </c>
    </row>
    <row r="188" spans="1:6" x14ac:dyDescent="0.4">
      <c r="A188" s="5" t="s">
        <v>6</v>
      </c>
      <c r="B188" s="5" t="s">
        <v>7</v>
      </c>
      <c r="C188" s="5" t="s">
        <v>24</v>
      </c>
      <c r="D188" s="5">
        <v>5</v>
      </c>
      <c r="E188" s="5">
        <v>1805</v>
      </c>
      <c r="F188" s="5">
        <v>9025</v>
      </c>
    </row>
    <row r="189" spans="1:6" x14ac:dyDescent="0.4">
      <c r="A189" s="5" t="s">
        <v>19</v>
      </c>
      <c r="B189" s="5" t="s">
        <v>10</v>
      </c>
      <c r="C189" s="5" t="s">
        <v>22</v>
      </c>
      <c r="D189" s="5">
        <v>12</v>
      </c>
      <c r="E189" s="5">
        <v>1720</v>
      </c>
      <c r="F189" s="5">
        <v>20640</v>
      </c>
    </row>
    <row r="190" spans="1:6" x14ac:dyDescent="0.4">
      <c r="A190" s="5" t="s">
        <v>6</v>
      </c>
      <c r="B190" s="5" t="s">
        <v>15</v>
      </c>
      <c r="C190" s="5" t="s">
        <v>20</v>
      </c>
      <c r="D190" s="5">
        <v>43</v>
      </c>
      <c r="E190" s="5">
        <v>1245</v>
      </c>
      <c r="F190" s="5">
        <v>53535</v>
      </c>
    </row>
    <row r="191" spans="1:6" x14ac:dyDescent="0.4">
      <c r="A191" s="5" t="s">
        <v>17</v>
      </c>
      <c r="B191" s="5" t="s">
        <v>15</v>
      </c>
      <c r="C191" s="5" t="s">
        <v>16</v>
      </c>
      <c r="D191" s="5">
        <v>36</v>
      </c>
      <c r="E191" s="5">
        <v>612</v>
      </c>
      <c r="F191" s="5">
        <v>22032</v>
      </c>
    </row>
    <row r="192" spans="1:6" x14ac:dyDescent="0.4">
      <c r="A192" s="5" t="s">
        <v>19</v>
      </c>
      <c r="B192" s="5" t="s">
        <v>7</v>
      </c>
      <c r="C192" s="5" t="s">
        <v>16</v>
      </c>
      <c r="D192" s="5">
        <v>29</v>
      </c>
      <c r="E192" s="5">
        <v>417</v>
      </c>
      <c r="F192" s="5">
        <v>12093</v>
      </c>
    </row>
    <row r="193" spans="1:6" x14ac:dyDescent="0.4">
      <c r="A193" s="5" t="s">
        <v>6</v>
      </c>
      <c r="B193" s="5" t="s">
        <v>12</v>
      </c>
      <c r="C193" s="5" t="s">
        <v>24</v>
      </c>
      <c r="D193" s="5">
        <v>50</v>
      </c>
      <c r="E193" s="5">
        <v>377</v>
      </c>
      <c r="F193" s="5">
        <v>18850</v>
      </c>
    </row>
    <row r="194" spans="1:6" x14ac:dyDescent="0.4">
      <c r="A194" s="5" t="s">
        <v>17</v>
      </c>
      <c r="B194" s="5" t="s">
        <v>12</v>
      </c>
      <c r="C194" s="5" t="s">
        <v>18</v>
      </c>
      <c r="D194" s="5">
        <v>26</v>
      </c>
      <c r="E194" s="5">
        <v>135</v>
      </c>
      <c r="F194" s="5">
        <v>3510</v>
      </c>
    </row>
    <row r="195" spans="1:6" x14ac:dyDescent="0.4">
      <c r="A195" s="5" t="s">
        <v>17</v>
      </c>
      <c r="B195" s="5" t="s">
        <v>21</v>
      </c>
      <c r="C195" s="5" t="s">
        <v>22</v>
      </c>
      <c r="D195" s="5">
        <v>12</v>
      </c>
      <c r="E195" s="5">
        <v>163</v>
      </c>
      <c r="F195" s="5">
        <v>1956</v>
      </c>
    </row>
    <row r="196" spans="1:6" x14ac:dyDescent="0.4">
      <c r="A196" s="5" t="s">
        <v>17</v>
      </c>
      <c r="B196" s="5" t="s">
        <v>21</v>
      </c>
      <c r="C196" s="5" t="s">
        <v>8</v>
      </c>
      <c r="D196" s="5">
        <v>18</v>
      </c>
      <c r="E196" s="5">
        <v>1463</v>
      </c>
      <c r="F196" s="5">
        <v>26334</v>
      </c>
    </row>
    <row r="197" spans="1:6" x14ac:dyDescent="0.4">
      <c r="A197" s="5" t="s">
        <v>6</v>
      </c>
      <c r="B197" s="5" t="s">
        <v>7</v>
      </c>
      <c r="C197" s="5" t="s">
        <v>8</v>
      </c>
      <c r="D197" s="5">
        <v>5</v>
      </c>
      <c r="E197" s="5">
        <v>952</v>
      </c>
      <c r="F197" s="5">
        <v>4760</v>
      </c>
    </row>
    <row r="198" spans="1:6" x14ac:dyDescent="0.4">
      <c r="A198" s="5" t="s">
        <v>9</v>
      </c>
      <c r="B198" s="5" t="s">
        <v>12</v>
      </c>
      <c r="C198" s="5" t="s">
        <v>13</v>
      </c>
      <c r="D198" s="5">
        <v>22</v>
      </c>
      <c r="E198" s="5">
        <v>605</v>
      </c>
      <c r="F198" s="5">
        <v>13310</v>
      </c>
    </row>
    <row r="199" spans="1:6" x14ac:dyDescent="0.4">
      <c r="A199" s="5" t="s">
        <v>6</v>
      </c>
      <c r="B199" s="5" t="s">
        <v>21</v>
      </c>
      <c r="C199" s="5" t="s">
        <v>8</v>
      </c>
      <c r="D199" s="5">
        <v>22</v>
      </c>
      <c r="E199" s="5">
        <v>294</v>
      </c>
      <c r="F199" s="5">
        <v>6468</v>
      </c>
    </row>
    <row r="200" spans="1:6" x14ac:dyDescent="0.4">
      <c r="A200" s="5" t="s">
        <v>17</v>
      </c>
      <c r="B200" s="5" t="s">
        <v>12</v>
      </c>
      <c r="C200" s="5" t="s">
        <v>20</v>
      </c>
      <c r="D200" s="5">
        <v>25</v>
      </c>
      <c r="E200" s="5">
        <v>710</v>
      </c>
      <c r="F200" s="5">
        <v>17750</v>
      </c>
    </row>
    <row r="201" spans="1:6" x14ac:dyDescent="0.4">
      <c r="A201" s="5" t="s">
        <v>6</v>
      </c>
      <c r="B201" s="5" t="s">
        <v>7</v>
      </c>
      <c r="C201" s="5" t="s">
        <v>16</v>
      </c>
      <c r="D201" s="5">
        <v>50</v>
      </c>
      <c r="E201" s="5">
        <v>1070</v>
      </c>
      <c r="F201" s="5">
        <v>53500</v>
      </c>
    </row>
    <row r="202" spans="1:6" x14ac:dyDescent="0.4">
      <c r="A202" s="5" t="s">
        <v>17</v>
      </c>
      <c r="B202" s="5" t="s">
        <v>7</v>
      </c>
      <c r="C202" s="5" t="s">
        <v>20</v>
      </c>
      <c r="D202" s="5">
        <v>24</v>
      </c>
      <c r="E202" s="5">
        <v>487</v>
      </c>
      <c r="F202" s="5">
        <v>11688</v>
      </c>
    </row>
    <row r="203" spans="1:6" x14ac:dyDescent="0.4">
      <c r="A203" s="5" t="s">
        <v>17</v>
      </c>
      <c r="B203" s="5" t="s">
        <v>12</v>
      </c>
      <c r="C203" s="5" t="s">
        <v>24</v>
      </c>
      <c r="D203" s="5">
        <v>1</v>
      </c>
      <c r="E203" s="5">
        <v>498</v>
      </c>
      <c r="F203" s="5">
        <v>498</v>
      </c>
    </row>
    <row r="204" spans="1:6" x14ac:dyDescent="0.4">
      <c r="A204" s="5" t="s">
        <v>17</v>
      </c>
      <c r="B204" s="5" t="s">
        <v>21</v>
      </c>
      <c r="C204" s="5" t="s">
        <v>14</v>
      </c>
      <c r="D204" s="5">
        <v>18</v>
      </c>
      <c r="E204" s="5">
        <v>974</v>
      </c>
      <c r="F204" s="5">
        <v>17532</v>
      </c>
    </row>
    <row r="205" spans="1:6" x14ac:dyDescent="0.4">
      <c r="A205" s="5" t="s">
        <v>19</v>
      </c>
      <c r="B205" s="5" t="s">
        <v>15</v>
      </c>
      <c r="C205" s="5" t="s">
        <v>11</v>
      </c>
      <c r="D205" s="5">
        <v>25</v>
      </c>
      <c r="E205" s="5">
        <v>370</v>
      </c>
      <c r="F205" s="5">
        <v>9250</v>
      </c>
    </row>
    <row r="206" spans="1:6" x14ac:dyDescent="0.4">
      <c r="A206" s="5" t="s">
        <v>9</v>
      </c>
      <c r="B206" s="5" t="s">
        <v>12</v>
      </c>
      <c r="C206" s="5" t="s">
        <v>20</v>
      </c>
      <c r="D206" s="5">
        <v>17</v>
      </c>
      <c r="E206" s="5">
        <v>1053</v>
      </c>
      <c r="F206" s="5">
        <v>17901</v>
      </c>
    </row>
    <row r="207" spans="1:6" x14ac:dyDescent="0.4">
      <c r="A207" s="5" t="s">
        <v>19</v>
      </c>
      <c r="B207" s="5" t="s">
        <v>21</v>
      </c>
      <c r="C207" s="5" t="s">
        <v>13</v>
      </c>
      <c r="D207" s="5">
        <v>3</v>
      </c>
      <c r="E207" s="5">
        <v>1026</v>
      </c>
      <c r="F207" s="5">
        <v>3078</v>
      </c>
    </row>
    <row r="208" spans="1:6" x14ac:dyDescent="0.4">
      <c r="A208" s="5" t="s">
        <v>19</v>
      </c>
      <c r="B208" s="5" t="s">
        <v>7</v>
      </c>
      <c r="C208" s="5" t="s">
        <v>13</v>
      </c>
      <c r="D208" s="5">
        <v>33</v>
      </c>
      <c r="E208" s="5">
        <v>1931</v>
      </c>
      <c r="F208" s="5">
        <v>63723</v>
      </c>
    </row>
    <row r="209" spans="1:6" x14ac:dyDescent="0.4">
      <c r="A209" s="5" t="s">
        <v>6</v>
      </c>
      <c r="B209" s="5" t="s">
        <v>15</v>
      </c>
      <c r="C209" s="5" t="s">
        <v>14</v>
      </c>
      <c r="D209" s="5">
        <v>30</v>
      </c>
      <c r="E209" s="5">
        <v>1259</v>
      </c>
      <c r="F209" s="5">
        <v>37770</v>
      </c>
    </row>
    <row r="210" spans="1:6" x14ac:dyDescent="0.4">
      <c r="A210" s="5" t="s">
        <v>19</v>
      </c>
      <c r="B210" s="5" t="s">
        <v>12</v>
      </c>
      <c r="C210" s="5" t="s">
        <v>24</v>
      </c>
      <c r="D210" s="5">
        <v>39</v>
      </c>
      <c r="E210" s="5">
        <v>1949</v>
      </c>
      <c r="F210" s="5">
        <v>76011</v>
      </c>
    </row>
    <row r="211" spans="1:6" x14ac:dyDescent="0.4">
      <c r="A211" s="5" t="s">
        <v>6</v>
      </c>
      <c r="B211" s="5" t="s">
        <v>21</v>
      </c>
      <c r="C211" s="5" t="s">
        <v>8</v>
      </c>
      <c r="D211" s="5">
        <v>8</v>
      </c>
      <c r="E211" s="5">
        <v>1509</v>
      </c>
      <c r="F211" s="5">
        <v>12072</v>
      </c>
    </row>
    <row r="212" spans="1:6" x14ac:dyDescent="0.4">
      <c r="A212" s="5" t="s">
        <v>17</v>
      </c>
      <c r="B212" s="5" t="s">
        <v>21</v>
      </c>
      <c r="C212" s="5" t="s">
        <v>11</v>
      </c>
      <c r="D212" s="5">
        <v>13</v>
      </c>
      <c r="E212" s="5">
        <v>1928</v>
      </c>
      <c r="F212" s="5">
        <v>25064</v>
      </c>
    </row>
    <row r="213" spans="1:6" x14ac:dyDescent="0.4">
      <c r="A213" s="5" t="s">
        <v>6</v>
      </c>
      <c r="B213" s="5" t="s">
        <v>12</v>
      </c>
      <c r="C213" s="5" t="s">
        <v>8</v>
      </c>
      <c r="D213" s="5">
        <v>13</v>
      </c>
      <c r="E213" s="5">
        <v>1761</v>
      </c>
      <c r="F213" s="5">
        <v>22893</v>
      </c>
    </row>
    <row r="214" spans="1:6" x14ac:dyDescent="0.4">
      <c r="A214" s="5" t="s">
        <v>9</v>
      </c>
      <c r="B214" s="5" t="s">
        <v>15</v>
      </c>
      <c r="C214" s="5" t="s">
        <v>11</v>
      </c>
      <c r="D214" s="5">
        <v>12</v>
      </c>
      <c r="E214" s="5">
        <v>422</v>
      </c>
      <c r="F214" s="5">
        <v>5064</v>
      </c>
    </row>
    <row r="215" spans="1:6" x14ac:dyDescent="0.4">
      <c r="A215" s="5" t="s">
        <v>19</v>
      </c>
      <c r="B215" s="5" t="s">
        <v>12</v>
      </c>
      <c r="C215" s="5" t="s">
        <v>24</v>
      </c>
      <c r="D215" s="5">
        <v>38</v>
      </c>
      <c r="E215" s="5">
        <v>568</v>
      </c>
      <c r="F215" s="5">
        <v>21584</v>
      </c>
    </row>
    <row r="216" spans="1:6" x14ac:dyDescent="0.4">
      <c r="A216" s="5" t="s">
        <v>9</v>
      </c>
      <c r="B216" s="5" t="s">
        <v>21</v>
      </c>
      <c r="C216" s="5" t="s">
        <v>20</v>
      </c>
      <c r="D216" s="5">
        <v>31</v>
      </c>
      <c r="E216" s="5">
        <v>1623</v>
      </c>
      <c r="F216" s="5">
        <v>50313</v>
      </c>
    </row>
    <row r="217" spans="1:6" x14ac:dyDescent="0.4">
      <c r="A217" s="5" t="s">
        <v>19</v>
      </c>
      <c r="B217" s="5" t="s">
        <v>21</v>
      </c>
      <c r="C217" s="5" t="s">
        <v>22</v>
      </c>
      <c r="D217" s="5">
        <v>32</v>
      </c>
      <c r="E217" s="5">
        <v>1217</v>
      </c>
      <c r="F217" s="5">
        <v>38944</v>
      </c>
    </row>
    <row r="218" spans="1:6" x14ac:dyDescent="0.4">
      <c r="A218" s="5" t="s">
        <v>17</v>
      </c>
      <c r="B218" s="5" t="s">
        <v>15</v>
      </c>
      <c r="C218" s="5" t="s">
        <v>16</v>
      </c>
      <c r="D218" s="5">
        <v>20</v>
      </c>
      <c r="E218" s="5">
        <v>336</v>
      </c>
      <c r="F218" s="5">
        <v>6720</v>
      </c>
    </row>
    <row r="219" spans="1:6" x14ac:dyDescent="0.4">
      <c r="A219" s="5" t="s">
        <v>6</v>
      </c>
      <c r="B219" s="5" t="s">
        <v>15</v>
      </c>
      <c r="C219" s="5" t="s">
        <v>18</v>
      </c>
      <c r="D219" s="5">
        <v>29</v>
      </c>
      <c r="E219" s="5">
        <v>1879</v>
      </c>
      <c r="F219" s="5">
        <v>54491</v>
      </c>
    </row>
    <row r="220" spans="1:6" x14ac:dyDescent="0.4">
      <c r="A220" s="5" t="s">
        <v>17</v>
      </c>
      <c r="B220" s="5" t="s">
        <v>15</v>
      </c>
      <c r="C220" s="5" t="s">
        <v>20</v>
      </c>
      <c r="D220" s="5">
        <v>39</v>
      </c>
      <c r="E220" s="5">
        <v>1221</v>
      </c>
      <c r="F220" s="5">
        <v>47619</v>
      </c>
    </row>
    <row r="221" spans="1:6" x14ac:dyDescent="0.4">
      <c r="A221" s="5" t="s">
        <v>9</v>
      </c>
      <c r="B221" s="5" t="s">
        <v>15</v>
      </c>
      <c r="C221" s="5" t="s">
        <v>11</v>
      </c>
      <c r="D221" s="5">
        <v>25</v>
      </c>
      <c r="E221" s="5">
        <v>1420</v>
      </c>
      <c r="F221" s="5">
        <v>35500</v>
      </c>
    </row>
    <row r="222" spans="1:6" x14ac:dyDescent="0.4">
      <c r="A222" s="5" t="s">
        <v>19</v>
      </c>
      <c r="B222" s="5" t="s">
        <v>21</v>
      </c>
      <c r="C222" s="5" t="s">
        <v>11</v>
      </c>
      <c r="D222" s="5">
        <v>44</v>
      </c>
      <c r="E222" s="5">
        <v>1840</v>
      </c>
      <c r="F222" s="5">
        <v>80960</v>
      </c>
    </row>
    <row r="223" spans="1:6" x14ac:dyDescent="0.4">
      <c r="A223" s="5" t="s">
        <v>19</v>
      </c>
      <c r="B223" s="5" t="s">
        <v>7</v>
      </c>
      <c r="C223" s="5" t="s">
        <v>18</v>
      </c>
      <c r="D223" s="5">
        <v>30</v>
      </c>
      <c r="E223" s="5">
        <v>287</v>
      </c>
      <c r="F223" s="5">
        <v>8610</v>
      </c>
    </row>
    <row r="224" spans="1:6" x14ac:dyDescent="0.4">
      <c r="A224" s="5" t="s">
        <v>9</v>
      </c>
      <c r="B224" s="5" t="s">
        <v>12</v>
      </c>
      <c r="C224" s="5" t="s">
        <v>22</v>
      </c>
      <c r="D224" s="5">
        <v>38</v>
      </c>
      <c r="E224" s="5">
        <v>1734</v>
      </c>
      <c r="F224" s="5">
        <v>65892</v>
      </c>
    </row>
    <row r="225" spans="1:6" x14ac:dyDescent="0.4">
      <c r="A225" s="5" t="s">
        <v>9</v>
      </c>
      <c r="B225" s="5" t="s">
        <v>7</v>
      </c>
      <c r="C225" s="5" t="s">
        <v>16</v>
      </c>
      <c r="D225" s="5">
        <v>23</v>
      </c>
      <c r="E225" s="5">
        <v>783</v>
      </c>
      <c r="F225" s="5">
        <v>18009</v>
      </c>
    </row>
    <row r="226" spans="1:6" x14ac:dyDescent="0.4">
      <c r="A226" s="5" t="s">
        <v>6</v>
      </c>
      <c r="B226" s="5" t="s">
        <v>7</v>
      </c>
      <c r="C226" s="5" t="s">
        <v>18</v>
      </c>
      <c r="D226" s="5">
        <v>3</v>
      </c>
      <c r="E226" s="5">
        <v>566</v>
      </c>
      <c r="F226" s="5">
        <v>1698</v>
      </c>
    </row>
    <row r="227" spans="1:6" x14ac:dyDescent="0.4">
      <c r="A227" s="5" t="s">
        <v>9</v>
      </c>
      <c r="B227" s="5" t="s">
        <v>7</v>
      </c>
      <c r="C227" s="5" t="s">
        <v>16</v>
      </c>
      <c r="D227" s="5">
        <v>16</v>
      </c>
      <c r="E227" s="5">
        <v>397</v>
      </c>
      <c r="F227" s="5">
        <v>6352</v>
      </c>
    </row>
    <row r="228" spans="1:6" x14ac:dyDescent="0.4">
      <c r="A228" s="5" t="s">
        <v>19</v>
      </c>
      <c r="B228" s="5" t="s">
        <v>7</v>
      </c>
      <c r="C228" s="5" t="s">
        <v>11</v>
      </c>
      <c r="D228" s="5">
        <v>46</v>
      </c>
      <c r="E228" s="5">
        <v>1408</v>
      </c>
      <c r="F228" s="5">
        <v>64768</v>
      </c>
    </row>
    <row r="229" spans="1:6" x14ac:dyDescent="0.4">
      <c r="A229" s="5" t="s">
        <v>9</v>
      </c>
      <c r="B229" s="5" t="s">
        <v>10</v>
      </c>
      <c r="C229" s="5" t="s">
        <v>11</v>
      </c>
      <c r="D229" s="5">
        <v>3</v>
      </c>
      <c r="E229" s="5">
        <v>1362</v>
      </c>
      <c r="F229" s="5">
        <v>4086</v>
      </c>
    </row>
    <row r="230" spans="1:6" x14ac:dyDescent="0.4">
      <c r="A230" s="5" t="s">
        <v>9</v>
      </c>
      <c r="B230" s="5" t="s">
        <v>7</v>
      </c>
      <c r="C230" s="5" t="s">
        <v>22</v>
      </c>
      <c r="D230" s="5">
        <v>9</v>
      </c>
      <c r="E230" s="5">
        <v>1274</v>
      </c>
      <c r="F230" s="5">
        <v>11466</v>
      </c>
    </row>
    <row r="231" spans="1:6" x14ac:dyDescent="0.4">
      <c r="A231" s="5" t="s">
        <v>19</v>
      </c>
      <c r="B231" s="5" t="s">
        <v>10</v>
      </c>
      <c r="C231" s="5" t="s">
        <v>23</v>
      </c>
      <c r="D231" s="5">
        <v>14</v>
      </c>
      <c r="E231" s="5">
        <v>880</v>
      </c>
      <c r="F231" s="5">
        <v>12320</v>
      </c>
    </row>
    <row r="232" spans="1:6" x14ac:dyDescent="0.4">
      <c r="A232" s="5" t="s">
        <v>9</v>
      </c>
      <c r="B232" s="5" t="s">
        <v>7</v>
      </c>
      <c r="C232" s="5" t="s">
        <v>11</v>
      </c>
      <c r="D232" s="5">
        <v>32</v>
      </c>
      <c r="E232" s="5">
        <v>769</v>
      </c>
      <c r="F232" s="5">
        <v>24608</v>
      </c>
    </row>
    <row r="233" spans="1:6" x14ac:dyDescent="0.4">
      <c r="A233" s="5" t="s">
        <v>6</v>
      </c>
      <c r="B233" s="5" t="s">
        <v>10</v>
      </c>
      <c r="C233" s="5" t="s">
        <v>16</v>
      </c>
      <c r="D233" s="5">
        <v>5</v>
      </c>
      <c r="E233" s="5">
        <v>1539</v>
      </c>
      <c r="F233" s="5">
        <v>7695</v>
      </c>
    </row>
    <row r="234" spans="1:6" x14ac:dyDescent="0.4">
      <c r="A234" s="5" t="s">
        <v>17</v>
      </c>
      <c r="B234" s="5" t="s">
        <v>15</v>
      </c>
      <c r="C234" s="5" t="s">
        <v>22</v>
      </c>
      <c r="D234" s="5">
        <v>14</v>
      </c>
      <c r="E234" s="5">
        <v>826</v>
      </c>
      <c r="F234" s="5">
        <v>11564</v>
      </c>
    </row>
    <row r="235" spans="1:6" x14ac:dyDescent="0.4">
      <c r="A235" s="5" t="s">
        <v>9</v>
      </c>
      <c r="B235" s="5" t="s">
        <v>10</v>
      </c>
      <c r="C235" s="5" t="s">
        <v>22</v>
      </c>
      <c r="D235" s="5">
        <v>18</v>
      </c>
      <c r="E235" s="5">
        <v>337</v>
      </c>
      <c r="F235" s="5">
        <v>6066</v>
      </c>
    </row>
    <row r="236" spans="1:6" x14ac:dyDescent="0.4">
      <c r="A236" s="5" t="s">
        <v>9</v>
      </c>
      <c r="B236" s="5" t="s">
        <v>15</v>
      </c>
      <c r="C236" s="5" t="s">
        <v>11</v>
      </c>
      <c r="D236" s="5">
        <v>40</v>
      </c>
      <c r="E236" s="5">
        <v>935</v>
      </c>
      <c r="F236" s="5">
        <v>37400</v>
      </c>
    </row>
    <row r="237" spans="1:6" x14ac:dyDescent="0.4">
      <c r="A237" s="5" t="s">
        <v>6</v>
      </c>
      <c r="B237" s="5" t="s">
        <v>10</v>
      </c>
      <c r="C237" s="5" t="s">
        <v>18</v>
      </c>
      <c r="D237" s="5">
        <v>41</v>
      </c>
      <c r="E237" s="5">
        <v>228</v>
      </c>
      <c r="F237" s="5">
        <v>9348</v>
      </c>
    </row>
    <row r="238" spans="1:6" x14ac:dyDescent="0.4">
      <c r="A238" s="5" t="s">
        <v>9</v>
      </c>
      <c r="B238" s="5" t="s">
        <v>12</v>
      </c>
      <c r="C238" s="5" t="s">
        <v>24</v>
      </c>
      <c r="D238" s="5">
        <v>20</v>
      </c>
      <c r="E238" s="5">
        <v>1383</v>
      </c>
      <c r="F238" s="5">
        <v>27660</v>
      </c>
    </row>
    <row r="239" spans="1:6" x14ac:dyDescent="0.4">
      <c r="A239" s="5" t="s">
        <v>6</v>
      </c>
      <c r="B239" s="5" t="s">
        <v>15</v>
      </c>
      <c r="C239" s="5" t="s">
        <v>16</v>
      </c>
      <c r="D239" s="5">
        <v>27</v>
      </c>
      <c r="E239" s="5">
        <v>254</v>
      </c>
      <c r="F239" s="5">
        <v>6858</v>
      </c>
    </row>
    <row r="240" spans="1:6" x14ac:dyDescent="0.4">
      <c r="A240" s="5" t="s">
        <v>17</v>
      </c>
      <c r="B240" s="5" t="s">
        <v>10</v>
      </c>
      <c r="C240" s="5" t="s">
        <v>16</v>
      </c>
      <c r="D240" s="5">
        <v>22</v>
      </c>
      <c r="E240" s="5">
        <v>1149</v>
      </c>
      <c r="F240" s="5">
        <v>25278</v>
      </c>
    </row>
    <row r="241" spans="1:6" x14ac:dyDescent="0.4">
      <c r="A241" s="5" t="s">
        <v>19</v>
      </c>
      <c r="B241" s="5" t="s">
        <v>7</v>
      </c>
      <c r="C241" s="5" t="s">
        <v>20</v>
      </c>
      <c r="D241" s="5">
        <v>6</v>
      </c>
      <c r="E241" s="5">
        <v>1779</v>
      </c>
      <c r="F241" s="5">
        <v>10674</v>
      </c>
    </row>
    <row r="242" spans="1:6" x14ac:dyDescent="0.4">
      <c r="A242" s="5" t="s">
        <v>19</v>
      </c>
      <c r="B242" s="5" t="s">
        <v>21</v>
      </c>
      <c r="C242" s="5" t="s">
        <v>8</v>
      </c>
      <c r="D242" s="5">
        <v>7</v>
      </c>
      <c r="E242" s="5">
        <v>194</v>
      </c>
      <c r="F242" s="5">
        <v>1358</v>
      </c>
    </row>
    <row r="243" spans="1:6" x14ac:dyDescent="0.4">
      <c r="A243" s="5" t="s">
        <v>17</v>
      </c>
      <c r="B243" s="5" t="s">
        <v>10</v>
      </c>
      <c r="C243" s="5" t="s">
        <v>22</v>
      </c>
      <c r="D243" s="5">
        <v>19</v>
      </c>
      <c r="E243" s="5">
        <v>1267</v>
      </c>
      <c r="F243" s="5">
        <v>24073</v>
      </c>
    </row>
    <row r="244" spans="1:6" x14ac:dyDescent="0.4">
      <c r="A244" s="5" t="s">
        <v>9</v>
      </c>
      <c r="B244" s="5" t="s">
        <v>21</v>
      </c>
      <c r="C244" s="5" t="s">
        <v>8</v>
      </c>
      <c r="D244" s="5">
        <v>44</v>
      </c>
      <c r="E244" s="5">
        <v>1394</v>
      </c>
      <c r="F244" s="5">
        <v>61336</v>
      </c>
    </row>
    <row r="245" spans="1:6" x14ac:dyDescent="0.4">
      <c r="A245" s="5" t="s">
        <v>6</v>
      </c>
      <c r="B245" s="5" t="s">
        <v>10</v>
      </c>
      <c r="C245" s="5" t="s">
        <v>8</v>
      </c>
      <c r="D245" s="5">
        <v>6</v>
      </c>
      <c r="E245" s="5">
        <v>228</v>
      </c>
      <c r="F245" s="5">
        <v>1368</v>
      </c>
    </row>
    <row r="246" spans="1:6" x14ac:dyDescent="0.4">
      <c r="A246" s="5" t="s">
        <v>17</v>
      </c>
      <c r="B246" s="5" t="s">
        <v>15</v>
      </c>
      <c r="C246" s="5" t="s">
        <v>22</v>
      </c>
      <c r="D246" s="5">
        <v>3</v>
      </c>
      <c r="E246" s="5">
        <v>652</v>
      </c>
      <c r="F246" s="5">
        <v>1956</v>
      </c>
    </row>
    <row r="247" spans="1:6" x14ac:dyDescent="0.4">
      <c r="A247" s="5" t="s">
        <v>9</v>
      </c>
      <c r="B247" s="5" t="s">
        <v>15</v>
      </c>
      <c r="C247" s="5" t="s">
        <v>22</v>
      </c>
      <c r="D247" s="5">
        <v>31</v>
      </c>
      <c r="E247" s="5">
        <v>520</v>
      </c>
      <c r="F247" s="5">
        <v>16120</v>
      </c>
    </row>
    <row r="248" spans="1:6" x14ac:dyDescent="0.4">
      <c r="A248" s="5" t="s">
        <v>6</v>
      </c>
      <c r="B248" s="5" t="s">
        <v>10</v>
      </c>
      <c r="C248" s="5" t="s">
        <v>16</v>
      </c>
      <c r="D248" s="5">
        <v>14</v>
      </c>
      <c r="E248" s="5">
        <v>766</v>
      </c>
      <c r="F248" s="5">
        <v>10724</v>
      </c>
    </row>
    <row r="249" spans="1:6" x14ac:dyDescent="0.4">
      <c r="A249" s="5" t="s">
        <v>17</v>
      </c>
      <c r="B249" s="5" t="s">
        <v>7</v>
      </c>
      <c r="C249" s="5" t="s">
        <v>13</v>
      </c>
      <c r="D249" s="5">
        <v>46</v>
      </c>
      <c r="E249" s="5">
        <v>811</v>
      </c>
      <c r="F249" s="5">
        <v>37306</v>
      </c>
    </row>
    <row r="250" spans="1:6" x14ac:dyDescent="0.4">
      <c r="A250" s="5" t="s">
        <v>6</v>
      </c>
      <c r="B250" s="5" t="s">
        <v>12</v>
      </c>
      <c r="C250" s="5" t="s">
        <v>22</v>
      </c>
      <c r="D250" s="5">
        <v>38</v>
      </c>
      <c r="E250" s="5">
        <v>411</v>
      </c>
      <c r="F250" s="5">
        <v>15618</v>
      </c>
    </row>
    <row r="251" spans="1:6" x14ac:dyDescent="0.4">
      <c r="A251" s="5" t="s">
        <v>6</v>
      </c>
      <c r="B251" s="5" t="s">
        <v>10</v>
      </c>
      <c r="C251" s="5" t="s">
        <v>20</v>
      </c>
      <c r="D251" s="5">
        <v>24</v>
      </c>
      <c r="E251" s="5">
        <v>793</v>
      </c>
      <c r="F251" s="5">
        <v>19032</v>
      </c>
    </row>
    <row r="252" spans="1:6" x14ac:dyDescent="0.4">
      <c r="A252" s="5" t="s">
        <v>9</v>
      </c>
      <c r="B252" s="5" t="s">
        <v>21</v>
      </c>
      <c r="C252" s="5" t="s">
        <v>20</v>
      </c>
      <c r="D252" s="5">
        <v>32</v>
      </c>
      <c r="E252" s="5">
        <v>294</v>
      </c>
      <c r="F252" s="5">
        <v>9408</v>
      </c>
    </row>
    <row r="253" spans="1:6" x14ac:dyDescent="0.4">
      <c r="A253" s="5" t="s">
        <v>17</v>
      </c>
      <c r="B253" s="5" t="s">
        <v>12</v>
      </c>
      <c r="C253" s="5" t="s">
        <v>14</v>
      </c>
      <c r="D253" s="5">
        <v>1</v>
      </c>
      <c r="E253" s="5">
        <v>632</v>
      </c>
      <c r="F253" s="5">
        <v>632</v>
      </c>
    </row>
    <row r="254" spans="1:6" x14ac:dyDescent="0.4">
      <c r="A254" s="5" t="s">
        <v>9</v>
      </c>
      <c r="B254" s="5" t="s">
        <v>10</v>
      </c>
      <c r="C254" s="5" t="s">
        <v>24</v>
      </c>
      <c r="D254" s="5">
        <v>8</v>
      </c>
      <c r="E254" s="5">
        <v>1068</v>
      </c>
      <c r="F254" s="5">
        <v>8544</v>
      </c>
    </row>
    <row r="255" spans="1:6" x14ac:dyDescent="0.4">
      <c r="A255" s="5" t="s">
        <v>6</v>
      </c>
      <c r="B255" s="5" t="s">
        <v>21</v>
      </c>
      <c r="C255" s="5" t="s">
        <v>23</v>
      </c>
      <c r="D255" s="5">
        <v>45</v>
      </c>
      <c r="E255" s="5">
        <v>1236</v>
      </c>
      <c r="F255" s="5">
        <v>55620</v>
      </c>
    </row>
    <row r="256" spans="1:6" x14ac:dyDescent="0.4">
      <c r="A256" s="5" t="s">
        <v>9</v>
      </c>
      <c r="B256" s="5" t="s">
        <v>10</v>
      </c>
      <c r="C256" s="5" t="s">
        <v>16</v>
      </c>
      <c r="D256" s="5">
        <v>46</v>
      </c>
      <c r="E256" s="5">
        <v>732</v>
      </c>
      <c r="F256" s="5">
        <v>33672</v>
      </c>
    </row>
    <row r="257" spans="1:6" x14ac:dyDescent="0.4">
      <c r="A257" s="5" t="s">
        <v>9</v>
      </c>
      <c r="B257" s="5" t="s">
        <v>10</v>
      </c>
      <c r="C257" s="5" t="s">
        <v>8</v>
      </c>
      <c r="D257" s="5">
        <v>10</v>
      </c>
      <c r="E257" s="5">
        <v>868</v>
      </c>
      <c r="F257" s="5">
        <v>8680</v>
      </c>
    </row>
    <row r="258" spans="1:6" x14ac:dyDescent="0.4">
      <c r="A258" s="5" t="s">
        <v>19</v>
      </c>
      <c r="B258" s="5" t="s">
        <v>7</v>
      </c>
      <c r="C258" s="5" t="s">
        <v>11</v>
      </c>
      <c r="D258" s="5">
        <v>35</v>
      </c>
      <c r="E258" s="5">
        <v>1896</v>
      </c>
      <c r="F258" s="5">
        <v>66360</v>
      </c>
    </row>
    <row r="259" spans="1:6" x14ac:dyDescent="0.4">
      <c r="A259" s="5" t="s">
        <v>19</v>
      </c>
      <c r="B259" s="5" t="s">
        <v>12</v>
      </c>
      <c r="C259" s="5" t="s">
        <v>16</v>
      </c>
      <c r="D259" s="5">
        <v>32</v>
      </c>
      <c r="E259" s="5">
        <v>814</v>
      </c>
      <c r="F259" s="5">
        <v>26048</v>
      </c>
    </row>
    <row r="260" spans="1:6" x14ac:dyDescent="0.4">
      <c r="A260" s="5" t="s">
        <v>17</v>
      </c>
      <c r="B260" s="5" t="s">
        <v>21</v>
      </c>
      <c r="C260" s="5" t="s">
        <v>14</v>
      </c>
      <c r="D260" s="5">
        <v>36</v>
      </c>
      <c r="E260" s="5">
        <v>1084</v>
      </c>
      <c r="F260" s="5">
        <v>39024</v>
      </c>
    </row>
    <row r="261" spans="1:6" x14ac:dyDescent="0.4">
      <c r="A261" s="5" t="s">
        <v>17</v>
      </c>
      <c r="B261" s="5" t="s">
        <v>21</v>
      </c>
      <c r="C261" s="5" t="s">
        <v>14</v>
      </c>
      <c r="D261" s="5">
        <v>32</v>
      </c>
      <c r="E261" s="5">
        <v>1484</v>
      </c>
      <c r="F261" s="5">
        <v>47488</v>
      </c>
    </row>
    <row r="262" spans="1:6" x14ac:dyDescent="0.4">
      <c r="A262" s="5" t="s">
        <v>17</v>
      </c>
      <c r="B262" s="5" t="s">
        <v>21</v>
      </c>
      <c r="C262" s="5" t="s">
        <v>22</v>
      </c>
      <c r="D262" s="5">
        <v>11</v>
      </c>
      <c r="E262" s="5">
        <v>1986</v>
      </c>
      <c r="F262" s="5">
        <v>21846</v>
      </c>
    </row>
    <row r="263" spans="1:6" x14ac:dyDescent="0.4">
      <c r="A263" s="5" t="s">
        <v>17</v>
      </c>
      <c r="B263" s="5" t="s">
        <v>15</v>
      </c>
      <c r="C263" s="5" t="s">
        <v>18</v>
      </c>
      <c r="D263" s="5">
        <v>26</v>
      </c>
      <c r="E263" s="5">
        <v>1053</v>
      </c>
      <c r="F263" s="5">
        <v>27378</v>
      </c>
    </row>
    <row r="264" spans="1:6" x14ac:dyDescent="0.4">
      <c r="A264" s="5" t="s">
        <v>17</v>
      </c>
      <c r="B264" s="5" t="s">
        <v>10</v>
      </c>
      <c r="C264" s="5" t="s">
        <v>24</v>
      </c>
      <c r="D264" s="5">
        <v>40</v>
      </c>
      <c r="E264" s="5">
        <v>1038</v>
      </c>
      <c r="F264" s="5">
        <v>41520</v>
      </c>
    </row>
    <row r="265" spans="1:6" x14ac:dyDescent="0.4">
      <c r="A265" s="5" t="s">
        <v>6</v>
      </c>
      <c r="B265" s="5" t="s">
        <v>12</v>
      </c>
      <c r="C265" s="5" t="s">
        <v>20</v>
      </c>
      <c r="D265" s="5">
        <v>39</v>
      </c>
      <c r="E265" s="5">
        <v>1016</v>
      </c>
      <c r="F265" s="5">
        <v>39624</v>
      </c>
    </row>
    <row r="266" spans="1:6" x14ac:dyDescent="0.4">
      <c r="A266" s="5" t="s">
        <v>9</v>
      </c>
      <c r="B266" s="5" t="s">
        <v>10</v>
      </c>
      <c r="C266" s="5" t="s">
        <v>22</v>
      </c>
      <c r="D266" s="5">
        <v>46</v>
      </c>
      <c r="E266" s="5">
        <v>776</v>
      </c>
      <c r="F266" s="5">
        <v>35696</v>
      </c>
    </row>
    <row r="267" spans="1:6" x14ac:dyDescent="0.4">
      <c r="A267" s="5" t="s">
        <v>6</v>
      </c>
      <c r="B267" s="5" t="s">
        <v>12</v>
      </c>
      <c r="C267" s="5" t="s">
        <v>18</v>
      </c>
      <c r="D267" s="5">
        <v>23</v>
      </c>
      <c r="E267" s="5">
        <v>501</v>
      </c>
      <c r="F267" s="5">
        <v>11523</v>
      </c>
    </row>
    <row r="268" spans="1:6" x14ac:dyDescent="0.4">
      <c r="A268" s="5" t="s">
        <v>6</v>
      </c>
      <c r="B268" s="5" t="s">
        <v>12</v>
      </c>
      <c r="C268" s="5" t="s">
        <v>8</v>
      </c>
      <c r="D268" s="5">
        <v>27</v>
      </c>
      <c r="E268" s="5">
        <v>1715</v>
      </c>
      <c r="F268" s="5">
        <v>46305</v>
      </c>
    </row>
    <row r="269" spans="1:6" x14ac:dyDescent="0.4">
      <c r="A269" s="5" t="s">
        <v>9</v>
      </c>
      <c r="B269" s="5" t="s">
        <v>21</v>
      </c>
      <c r="C269" s="5" t="s">
        <v>23</v>
      </c>
      <c r="D269" s="5">
        <v>29</v>
      </c>
      <c r="E269" s="5">
        <v>1715</v>
      </c>
      <c r="F269" s="5">
        <v>49735</v>
      </c>
    </row>
    <row r="270" spans="1:6" x14ac:dyDescent="0.4">
      <c r="A270" s="5" t="s">
        <v>19</v>
      </c>
      <c r="B270" s="5" t="s">
        <v>15</v>
      </c>
      <c r="C270" s="5" t="s">
        <v>24</v>
      </c>
      <c r="D270" s="5">
        <v>14</v>
      </c>
      <c r="E270" s="5">
        <v>1517</v>
      </c>
      <c r="F270" s="5">
        <v>21238</v>
      </c>
    </row>
    <row r="271" spans="1:6" x14ac:dyDescent="0.4">
      <c r="A271" s="5" t="s">
        <v>6</v>
      </c>
      <c r="B271" s="5" t="s">
        <v>21</v>
      </c>
      <c r="C271" s="5" t="s">
        <v>22</v>
      </c>
      <c r="D271" s="5">
        <v>30</v>
      </c>
      <c r="E271" s="5">
        <v>1706</v>
      </c>
      <c r="F271" s="5">
        <v>51180</v>
      </c>
    </row>
    <row r="272" spans="1:6" x14ac:dyDescent="0.4">
      <c r="A272" s="5" t="s">
        <v>6</v>
      </c>
      <c r="B272" s="5" t="s">
        <v>15</v>
      </c>
      <c r="C272" s="5" t="s">
        <v>13</v>
      </c>
      <c r="D272" s="5">
        <v>49</v>
      </c>
      <c r="E272" s="5">
        <v>861</v>
      </c>
      <c r="F272" s="5">
        <v>42189</v>
      </c>
    </row>
    <row r="273" spans="1:6" x14ac:dyDescent="0.4">
      <c r="A273" s="5" t="s">
        <v>6</v>
      </c>
      <c r="B273" s="5" t="s">
        <v>10</v>
      </c>
      <c r="C273" s="5" t="s">
        <v>8</v>
      </c>
      <c r="D273" s="5">
        <v>44</v>
      </c>
      <c r="E273" s="5">
        <v>906</v>
      </c>
      <c r="F273" s="5">
        <v>39864</v>
      </c>
    </row>
    <row r="274" spans="1:6" x14ac:dyDescent="0.4">
      <c r="A274" s="5" t="s">
        <v>17</v>
      </c>
      <c r="B274" s="5" t="s">
        <v>15</v>
      </c>
      <c r="C274" s="5" t="s">
        <v>14</v>
      </c>
      <c r="D274" s="5">
        <v>29</v>
      </c>
      <c r="E274" s="5">
        <v>1314</v>
      </c>
      <c r="F274" s="5">
        <v>38106</v>
      </c>
    </row>
    <row r="275" spans="1:6" x14ac:dyDescent="0.4">
      <c r="A275" s="5" t="s">
        <v>6</v>
      </c>
      <c r="B275" s="5" t="s">
        <v>7</v>
      </c>
      <c r="C275" s="5" t="s">
        <v>24</v>
      </c>
      <c r="D275" s="5">
        <v>30</v>
      </c>
      <c r="E275" s="5">
        <v>572</v>
      </c>
      <c r="F275" s="5">
        <v>17160</v>
      </c>
    </row>
    <row r="276" spans="1:6" x14ac:dyDescent="0.4">
      <c r="A276" s="5" t="s">
        <v>19</v>
      </c>
      <c r="B276" s="5" t="s">
        <v>15</v>
      </c>
      <c r="C276" s="5" t="s">
        <v>23</v>
      </c>
      <c r="D276" s="5">
        <v>13</v>
      </c>
      <c r="E276" s="5">
        <v>470</v>
      </c>
      <c r="F276" s="5">
        <v>6110</v>
      </c>
    </row>
    <row r="277" spans="1:6" x14ac:dyDescent="0.4">
      <c r="A277" s="5" t="s">
        <v>17</v>
      </c>
      <c r="B277" s="5" t="s">
        <v>12</v>
      </c>
      <c r="C277" s="5" t="s">
        <v>18</v>
      </c>
      <c r="D277" s="5">
        <v>2</v>
      </c>
      <c r="E277" s="5">
        <v>1301</v>
      </c>
      <c r="F277" s="5">
        <v>2602</v>
      </c>
    </row>
    <row r="278" spans="1:6" x14ac:dyDescent="0.4">
      <c r="A278" s="5" t="s">
        <v>6</v>
      </c>
      <c r="B278" s="5" t="s">
        <v>7</v>
      </c>
      <c r="C278" s="5" t="s">
        <v>20</v>
      </c>
      <c r="D278" s="5">
        <v>46</v>
      </c>
      <c r="E278" s="5">
        <v>1589</v>
      </c>
      <c r="F278" s="5">
        <v>73094</v>
      </c>
    </row>
    <row r="279" spans="1:6" x14ac:dyDescent="0.4">
      <c r="A279" s="5" t="s">
        <v>17</v>
      </c>
      <c r="B279" s="5" t="s">
        <v>12</v>
      </c>
      <c r="C279" s="5" t="s">
        <v>23</v>
      </c>
      <c r="D279" s="5">
        <v>48</v>
      </c>
      <c r="E279" s="5">
        <v>850</v>
      </c>
      <c r="F279" s="5">
        <v>40800</v>
      </c>
    </row>
    <row r="280" spans="1:6" x14ac:dyDescent="0.4">
      <c r="A280" s="5" t="s">
        <v>17</v>
      </c>
      <c r="B280" s="5" t="s">
        <v>12</v>
      </c>
      <c r="C280" s="5" t="s">
        <v>20</v>
      </c>
      <c r="D280" s="5">
        <v>23</v>
      </c>
      <c r="E280" s="5">
        <v>769</v>
      </c>
      <c r="F280" s="5">
        <v>17687</v>
      </c>
    </row>
    <row r="281" spans="1:6" x14ac:dyDescent="0.4">
      <c r="A281" s="5" t="s">
        <v>17</v>
      </c>
      <c r="B281" s="5" t="s">
        <v>10</v>
      </c>
      <c r="C281" s="5" t="s">
        <v>14</v>
      </c>
      <c r="D281" s="5">
        <v>16</v>
      </c>
      <c r="E281" s="5">
        <v>845</v>
      </c>
      <c r="F281" s="5">
        <v>13520</v>
      </c>
    </row>
    <row r="282" spans="1:6" x14ac:dyDescent="0.4">
      <c r="A282" s="5" t="s">
        <v>9</v>
      </c>
      <c r="B282" s="5" t="s">
        <v>10</v>
      </c>
      <c r="C282" s="5" t="s">
        <v>22</v>
      </c>
      <c r="D282" s="5">
        <v>46</v>
      </c>
      <c r="E282" s="5">
        <v>1097</v>
      </c>
      <c r="F282" s="5">
        <v>50462</v>
      </c>
    </row>
    <row r="283" spans="1:6" x14ac:dyDescent="0.4">
      <c r="A283" s="5" t="s">
        <v>9</v>
      </c>
      <c r="B283" s="5" t="s">
        <v>12</v>
      </c>
      <c r="C283" s="5" t="s">
        <v>23</v>
      </c>
      <c r="D283" s="5">
        <v>48</v>
      </c>
      <c r="E283" s="5">
        <v>1579</v>
      </c>
      <c r="F283" s="5">
        <v>75792</v>
      </c>
    </row>
    <row r="284" spans="1:6" x14ac:dyDescent="0.4">
      <c r="A284" s="5" t="s">
        <v>9</v>
      </c>
      <c r="B284" s="5" t="s">
        <v>15</v>
      </c>
      <c r="C284" s="5" t="s">
        <v>22</v>
      </c>
      <c r="D284" s="5">
        <v>9</v>
      </c>
      <c r="E284" s="5">
        <v>1865</v>
      </c>
      <c r="F284" s="5">
        <v>16785</v>
      </c>
    </row>
    <row r="285" spans="1:6" x14ac:dyDescent="0.4">
      <c r="A285" s="5" t="s">
        <v>17</v>
      </c>
      <c r="B285" s="5" t="s">
        <v>7</v>
      </c>
      <c r="C285" s="5" t="s">
        <v>24</v>
      </c>
      <c r="D285" s="5">
        <v>4</v>
      </c>
      <c r="E285" s="5">
        <v>802</v>
      </c>
      <c r="F285" s="5">
        <v>3208</v>
      </c>
    </row>
    <row r="286" spans="1:6" x14ac:dyDescent="0.4">
      <c r="A286" s="5" t="s">
        <v>17</v>
      </c>
      <c r="B286" s="5" t="s">
        <v>12</v>
      </c>
      <c r="C286" s="5" t="s">
        <v>16</v>
      </c>
      <c r="D286" s="5">
        <v>1</v>
      </c>
      <c r="E286" s="5">
        <v>1470</v>
      </c>
      <c r="F286" s="5">
        <v>1470</v>
      </c>
    </row>
    <row r="287" spans="1:6" x14ac:dyDescent="0.4">
      <c r="A287" s="5" t="s">
        <v>9</v>
      </c>
      <c r="B287" s="5" t="s">
        <v>12</v>
      </c>
      <c r="C287" s="5" t="s">
        <v>16</v>
      </c>
      <c r="D287" s="5">
        <v>36</v>
      </c>
      <c r="E287" s="5">
        <v>379</v>
      </c>
      <c r="F287" s="5">
        <v>13644</v>
      </c>
    </row>
    <row r="288" spans="1:6" x14ac:dyDescent="0.4">
      <c r="A288" s="5" t="s">
        <v>9</v>
      </c>
      <c r="B288" s="5" t="s">
        <v>15</v>
      </c>
      <c r="C288" s="5" t="s">
        <v>13</v>
      </c>
      <c r="D288" s="5">
        <v>46</v>
      </c>
      <c r="E288" s="5">
        <v>1398</v>
      </c>
      <c r="F288" s="5">
        <v>64308</v>
      </c>
    </row>
    <row r="289" spans="1:6" x14ac:dyDescent="0.4">
      <c r="A289" s="5" t="s">
        <v>17</v>
      </c>
      <c r="B289" s="5" t="s">
        <v>7</v>
      </c>
      <c r="C289" s="5" t="s">
        <v>8</v>
      </c>
      <c r="D289" s="5">
        <v>41</v>
      </c>
      <c r="E289" s="5">
        <v>1926</v>
      </c>
      <c r="F289" s="5">
        <v>78966</v>
      </c>
    </row>
    <row r="290" spans="1:6" x14ac:dyDescent="0.4">
      <c r="A290" s="5" t="s">
        <v>17</v>
      </c>
      <c r="B290" s="5" t="s">
        <v>21</v>
      </c>
      <c r="C290" s="5" t="s">
        <v>24</v>
      </c>
      <c r="D290" s="5">
        <v>6</v>
      </c>
      <c r="E290" s="5">
        <v>1392</v>
      </c>
      <c r="F290" s="5">
        <v>8352</v>
      </c>
    </row>
    <row r="291" spans="1:6" x14ac:dyDescent="0.4">
      <c r="A291" s="5" t="s">
        <v>19</v>
      </c>
      <c r="B291" s="5" t="s">
        <v>15</v>
      </c>
      <c r="C291" s="5" t="s">
        <v>24</v>
      </c>
      <c r="D291" s="5">
        <v>31</v>
      </c>
      <c r="E291" s="5">
        <v>1418</v>
      </c>
      <c r="F291" s="5">
        <v>43958</v>
      </c>
    </row>
    <row r="292" spans="1:6" x14ac:dyDescent="0.4">
      <c r="A292" s="5" t="s">
        <v>9</v>
      </c>
      <c r="B292" s="5" t="s">
        <v>21</v>
      </c>
      <c r="C292" s="5" t="s">
        <v>22</v>
      </c>
      <c r="D292" s="5">
        <v>19</v>
      </c>
      <c r="E292" s="5">
        <v>1443</v>
      </c>
      <c r="F292" s="5">
        <v>27417</v>
      </c>
    </row>
    <row r="293" spans="1:6" x14ac:dyDescent="0.4">
      <c r="A293" s="5" t="s">
        <v>17</v>
      </c>
      <c r="B293" s="5" t="s">
        <v>7</v>
      </c>
      <c r="C293" s="5" t="s">
        <v>22</v>
      </c>
      <c r="D293" s="5">
        <v>26</v>
      </c>
      <c r="E293" s="5">
        <v>1192</v>
      </c>
      <c r="F293" s="5">
        <v>30992</v>
      </c>
    </row>
    <row r="294" spans="1:6" x14ac:dyDescent="0.4">
      <c r="A294" s="5" t="s">
        <v>9</v>
      </c>
      <c r="B294" s="5" t="s">
        <v>15</v>
      </c>
      <c r="C294" s="5" t="s">
        <v>20</v>
      </c>
      <c r="D294" s="5">
        <v>6</v>
      </c>
      <c r="E294" s="5">
        <v>680</v>
      </c>
      <c r="F294" s="5">
        <v>4080</v>
      </c>
    </row>
    <row r="295" spans="1:6" x14ac:dyDescent="0.4">
      <c r="A295" s="5" t="s">
        <v>9</v>
      </c>
      <c r="B295" s="5" t="s">
        <v>15</v>
      </c>
      <c r="C295" s="5" t="s">
        <v>22</v>
      </c>
      <c r="D295" s="5">
        <v>32</v>
      </c>
      <c r="E295" s="5">
        <v>1477</v>
      </c>
      <c r="F295" s="5">
        <v>47264</v>
      </c>
    </row>
    <row r="296" spans="1:6" x14ac:dyDescent="0.4">
      <c r="A296" s="5" t="s">
        <v>9</v>
      </c>
      <c r="B296" s="5" t="s">
        <v>21</v>
      </c>
      <c r="C296" s="5" t="s">
        <v>22</v>
      </c>
      <c r="D296" s="5">
        <v>17</v>
      </c>
      <c r="E296" s="5">
        <v>335</v>
      </c>
      <c r="F296" s="5">
        <v>5695</v>
      </c>
    </row>
    <row r="297" spans="1:6" x14ac:dyDescent="0.4">
      <c r="A297" s="5" t="s">
        <v>17</v>
      </c>
      <c r="B297" s="5" t="s">
        <v>7</v>
      </c>
      <c r="C297" s="5" t="s">
        <v>16</v>
      </c>
      <c r="D297" s="5">
        <v>3</v>
      </c>
      <c r="E297" s="5">
        <v>355</v>
      </c>
      <c r="F297" s="5">
        <v>1065</v>
      </c>
    </row>
    <row r="298" spans="1:6" x14ac:dyDescent="0.4">
      <c r="A298" s="5" t="s">
        <v>9</v>
      </c>
      <c r="B298" s="5" t="s">
        <v>15</v>
      </c>
      <c r="C298" s="5" t="s">
        <v>16</v>
      </c>
      <c r="D298" s="5">
        <v>36</v>
      </c>
      <c r="E298" s="5">
        <v>1407</v>
      </c>
      <c r="F298" s="5">
        <v>50652</v>
      </c>
    </row>
    <row r="299" spans="1:6" x14ac:dyDescent="0.4">
      <c r="A299" s="5" t="s">
        <v>19</v>
      </c>
      <c r="B299" s="5" t="s">
        <v>21</v>
      </c>
      <c r="C299" s="5" t="s">
        <v>24</v>
      </c>
      <c r="D299" s="5">
        <v>2</v>
      </c>
      <c r="E299" s="5">
        <v>216</v>
      </c>
      <c r="F299" s="5">
        <v>432</v>
      </c>
    </row>
    <row r="300" spans="1:6" x14ac:dyDescent="0.4">
      <c r="A300" s="5" t="s">
        <v>19</v>
      </c>
      <c r="B300" s="5" t="s">
        <v>15</v>
      </c>
      <c r="C300" s="5" t="s">
        <v>14</v>
      </c>
      <c r="D300" s="5">
        <v>38</v>
      </c>
      <c r="E300" s="5">
        <v>602</v>
      </c>
      <c r="F300" s="5">
        <v>22876</v>
      </c>
    </row>
    <row r="301" spans="1:6" x14ac:dyDescent="0.4">
      <c r="A301" s="5" t="s">
        <v>19</v>
      </c>
      <c r="B301" s="5" t="s">
        <v>21</v>
      </c>
      <c r="C301" s="5" t="s">
        <v>18</v>
      </c>
      <c r="D301" s="5">
        <v>9</v>
      </c>
      <c r="E301" s="5">
        <v>447</v>
      </c>
      <c r="F301" s="5">
        <v>4023</v>
      </c>
    </row>
    <row r="302" spans="1:6" x14ac:dyDescent="0.4">
      <c r="A302" s="5" t="s">
        <v>9</v>
      </c>
      <c r="B302" s="5" t="s">
        <v>15</v>
      </c>
      <c r="C302" s="5" t="s">
        <v>8</v>
      </c>
      <c r="D302" s="5">
        <v>2</v>
      </c>
      <c r="E302" s="5">
        <v>1322</v>
      </c>
      <c r="F302" s="5">
        <v>2644</v>
      </c>
    </row>
    <row r="303" spans="1:6" x14ac:dyDescent="0.4">
      <c r="A303" s="5" t="s">
        <v>17</v>
      </c>
      <c r="B303" s="5" t="s">
        <v>15</v>
      </c>
      <c r="C303" s="5" t="s">
        <v>18</v>
      </c>
      <c r="D303" s="5">
        <v>19</v>
      </c>
      <c r="E303" s="5">
        <v>310</v>
      </c>
      <c r="F303" s="5">
        <v>5890</v>
      </c>
    </row>
    <row r="304" spans="1:6" x14ac:dyDescent="0.4">
      <c r="A304" s="5" t="s">
        <v>17</v>
      </c>
      <c r="B304" s="5" t="s">
        <v>15</v>
      </c>
      <c r="C304" s="5" t="s">
        <v>8</v>
      </c>
      <c r="D304" s="5">
        <v>40</v>
      </c>
      <c r="E304" s="5">
        <v>1932</v>
      </c>
      <c r="F304" s="5">
        <v>77280</v>
      </c>
    </row>
    <row r="305" spans="1:6" x14ac:dyDescent="0.4">
      <c r="A305" s="5" t="s">
        <v>6</v>
      </c>
      <c r="B305" s="5" t="s">
        <v>7</v>
      </c>
      <c r="C305" s="5" t="s">
        <v>13</v>
      </c>
      <c r="D305" s="5">
        <v>5</v>
      </c>
      <c r="E305" s="5">
        <v>1696</v>
      </c>
      <c r="F305" s="5">
        <v>8480</v>
      </c>
    </row>
    <row r="306" spans="1:6" x14ac:dyDescent="0.4">
      <c r="A306" s="5" t="s">
        <v>17</v>
      </c>
      <c r="B306" s="5" t="s">
        <v>12</v>
      </c>
      <c r="C306" s="5" t="s">
        <v>20</v>
      </c>
      <c r="D306" s="5">
        <v>28</v>
      </c>
      <c r="E306" s="5">
        <v>1396</v>
      </c>
      <c r="F306" s="5">
        <v>39088</v>
      </c>
    </row>
    <row r="307" spans="1:6" x14ac:dyDescent="0.4">
      <c r="A307" s="5" t="s">
        <v>19</v>
      </c>
      <c r="B307" s="5" t="s">
        <v>15</v>
      </c>
      <c r="C307" s="5" t="s">
        <v>23</v>
      </c>
      <c r="D307" s="5">
        <v>8</v>
      </c>
      <c r="E307" s="5">
        <v>1222</v>
      </c>
      <c r="F307" s="5">
        <v>9776</v>
      </c>
    </row>
    <row r="308" spans="1:6" x14ac:dyDescent="0.4">
      <c r="A308" s="5" t="s">
        <v>19</v>
      </c>
      <c r="B308" s="5" t="s">
        <v>12</v>
      </c>
      <c r="C308" s="5" t="s">
        <v>16</v>
      </c>
      <c r="D308" s="5">
        <v>43</v>
      </c>
      <c r="E308" s="5">
        <v>1716</v>
      </c>
      <c r="F308" s="5">
        <v>73788</v>
      </c>
    </row>
    <row r="309" spans="1:6" x14ac:dyDescent="0.4">
      <c r="A309" s="5" t="s">
        <v>19</v>
      </c>
      <c r="B309" s="5" t="s">
        <v>10</v>
      </c>
      <c r="C309" s="5" t="s">
        <v>23</v>
      </c>
      <c r="D309" s="5">
        <v>17</v>
      </c>
      <c r="E309" s="5">
        <v>1140</v>
      </c>
      <c r="F309" s="5">
        <v>19380</v>
      </c>
    </row>
    <row r="310" spans="1:6" x14ac:dyDescent="0.4">
      <c r="A310" s="5" t="s">
        <v>9</v>
      </c>
      <c r="B310" s="5" t="s">
        <v>7</v>
      </c>
      <c r="C310" s="5" t="s">
        <v>14</v>
      </c>
      <c r="D310" s="5">
        <v>10</v>
      </c>
      <c r="E310" s="5">
        <v>1852</v>
      </c>
      <c r="F310" s="5">
        <v>18520</v>
      </c>
    </row>
    <row r="311" spans="1:6" x14ac:dyDescent="0.4">
      <c r="A311" s="5" t="s">
        <v>9</v>
      </c>
      <c r="B311" s="5" t="s">
        <v>12</v>
      </c>
      <c r="C311" s="5" t="s">
        <v>18</v>
      </c>
      <c r="D311" s="5">
        <v>18</v>
      </c>
      <c r="E311" s="5">
        <v>923</v>
      </c>
      <c r="F311" s="5">
        <v>16614</v>
      </c>
    </row>
    <row r="312" spans="1:6" x14ac:dyDescent="0.4">
      <c r="A312" s="5" t="s">
        <v>17</v>
      </c>
      <c r="B312" s="5" t="s">
        <v>12</v>
      </c>
      <c r="C312" s="5" t="s">
        <v>8</v>
      </c>
      <c r="D312" s="5">
        <v>47</v>
      </c>
      <c r="E312" s="5">
        <v>1193</v>
      </c>
      <c r="F312" s="5">
        <v>56071</v>
      </c>
    </row>
    <row r="313" spans="1:6" x14ac:dyDescent="0.4">
      <c r="A313" s="5" t="s">
        <v>6</v>
      </c>
      <c r="B313" s="5" t="s">
        <v>21</v>
      </c>
      <c r="C313" s="5" t="s">
        <v>14</v>
      </c>
      <c r="D313" s="5">
        <v>23</v>
      </c>
      <c r="E313" s="5">
        <v>869</v>
      </c>
      <c r="F313" s="5">
        <v>19987</v>
      </c>
    </row>
    <row r="314" spans="1:6" x14ac:dyDescent="0.4">
      <c r="A314" s="5" t="s">
        <v>17</v>
      </c>
      <c r="B314" s="5" t="s">
        <v>12</v>
      </c>
      <c r="C314" s="5" t="s">
        <v>22</v>
      </c>
      <c r="D314" s="5">
        <v>27</v>
      </c>
      <c r="E314" s="5">
        <v>1653</v>
      </c>
      <c r="F314" s="5">
        <v>44631</v>
      </c>
    </row>
    <row r="315" spans="1:6" x14ac:dyDescent="0.4">
      <c r="A315" s="5" t="s">
        <v>17</v>
      </c>
      <c r="B315" s="5" t="s">
        <v>15</v>
      </c>
      <c r="C315" s="5" t="s">
        <v>14</v>
      </c>
      <c r="D315" s="5">
        <v>25</v>
      </c>
      <c r="E315" s="5">
        <v>1893</v>
      </c>
      <c r="F315" s="5">
        <v>47325</v>
      </c>
    </row>
    <row r="316" spans="1:6" x14ac:dyDescent="0.4">
      <c r="A316" s="5" t="s">
        <v>17</v>
      </c>
      <c r="B316" s="5" t="s">
        <v>10</v>
      </c>
      <c r="C316" s="5" t="s">
        <v>14</v>
      </c>
      <c r="D316" s="5">
        <v>5</v>
      </c>
      <c r="E316" s="5">
        <v>1595</v>
      </c>
      <c r="F316" s="5">
        <v>7975</v>
      </c>
    </row>
    <row r="317" spans="1:6" x14ac:dyDescent="0.4">
      <c r="A317" s="5" t="s">
        <v>19</v>
      </c>
      <c r="B317" s="5" t="s">
        <v>7</v>
      </c>
      <c r="C317" s="5" t="s">
        <v>8</v>
      </c>
      <c r="D317" s="5">
        <v>6</v>
      </c>
      <c r="E317" s="5">
        <v>662</v>
      </c>
      <c r="F317" s="5">
        <v>3972</v>
      </c>
    </row>
    <row r="318" spans="1:6" x14ac:dyDescent="0.4">
      <c r="A318" s="5" t="s">
        <v>9</v>
      </c>
      <c r="B318" s="5" t="s">
        <v>10</v>
      </c>
      <c r="C318" s="5" t="s">
        <v>11</v>
      </c>
      <c r="D318" s="5">
        <v>41</v>
      </c>
      <c r="E318" s="5">
        <v>1080</v>
      </c>
      <c r="F318" s="5">
        <v>44280</v>
      </c>
    </row>
    <row r="319" spans="1:6" x14ac:dyDescent="0.4">
      <c r="A319" s="5" t="s">
        <v>17</v>
      </c>
      <c r="B319" s="5" t="s">
        <v>15</v>
      </c>
      <c r="C319" s="5" t="s">
        <v>16</v>
      </c>
      <c r="D319" s="5">
        <v>29</v>
      </c>
      <c r="E319" s="5">
        <v>932</v>
      </c>
      <c r="F319" s="5">
        <v>27028</v>
      </c>
    </row>
    <row r="320" spans="1:6" x14ac:dyDescent="0.4">
      <c r="A320" s="5" t="s">
        <v>6</v>
      </c>
      <c r="B320" s="5" t="s">
        <v>15</v>
      </c>
      <c r="C320" s="5" t="s">
        <v>23</v>
      </c>
      <c r="D320" s="5">
        <v>29</v>
      </c>
      <c r="E320" s="5">
        <v>675</v>
      </c>
      <c r="F320" s="5">
        <v>19575</v>
      </c>
    </row>
    <row r="321" spans="1:6" x14ac:dyDescent="0.4">
      <c r="A321" s="5" t="s">
        <v>19</v>
      </c>
      <c r="B321" s="5" t="s">
        <v>15</v>
      </c>
      <c r="C321" s="5" t="s">
        <v>22</v>
      </c>
      <c r="D321" s="5">
        <v>24</v>
      </c>
      <c r="E321" s="5">
        <v>1928</v>
      </c>
      <c r="F321" s="5">
        <v>46272</v>
      </c>
    </row>
    <row r="322" spans="1:6" x14ac:dyDescent="0.4">
      <c r="A322" s="5" t="s">
        <v>17</v>
      </c>
      <c r="B322" s="5" t="s">
        <v>21</v>
      </c>
      <c r="C322" s="5" t="s">
        <v>11</v>
      </c>
      <c r="D322" s="5">
        <v>1</v>
      </c>
      <c r="E322" s="5">
        <v>1599</v>
      </c>
      <c r="F322" s="5">
        <v>1599</v>
      </c>
    </row>
    <row r="323" spans="1:6" x14ac:dyDescent="0.4">
      <c r="A323" s="5" t="s">
        <v>19</v>
      </c>
      <c r="B323" s="5" t="s">
        <v>15</v>
      </c>
      <c r="C323" s="5" t="s">
        <v>13</v>
      </c>
      <c r="D323" s="5">
        <v>34</v>
      </c>
      <c r="E323" s="5">
        <v>1641</v>
      </c>
      <c r="F323" s="5">
        <v>55794</v>
      </c>
    </row>
    <row r="324" spans="1:6" x14ac:dyDescent="0.4">
      <c r="A324" s="5" t="s">
        <v>17</v>
      </c>
      <c r="B324" s="5" t="s">
        <v>21</v>
      </c>
      <c r="C324" s="5" t="s">
        <v>8</v>
      </c>
      <c r="D324" s="5">
        <v>12</v>
      </c>
      <c r="E324" s="5">
        <v>153</v>
      </c>
      <c r="F324" s="5">
        <v>1836</v>
      </c>
    </row>
    <row r="325" spans="1:6" x14ac:dyDescent="0.4">
      <c r="A325" s="5" t="s">
        <v>17</v>
      </c>
      <c r="B325" s="5" t="s">
        <v>10</v>
      </c>
      <c r="C325" s="5" t="s">
        <v>24</v>
      </c>
      <c r="D325" s="5">
        <v>24</v>
      </c>
      <c r="E325" s="5">
        <v>1995</v>
      </c>
      <c r="F325" s="5">
        <v>47880</v>
      </c>
    </row>
    <row r="326" spans="1:6" x14ac:dyDescent="0.4">
      <c r="A326" s="5" t="s">
        <v>17</v>
      </c>
      <c r="B326" s="5" t="s">
        <v>10</v>
      </c>
      <c r="C326" s="5" t="s">
        <v>18</v>
      </c>
      <c r="D326" s="5">
        <v>34</v>
      </c>
      <c r="E326" s="5">
        <v>1239</v>
      </c>
      <c r="F326" s="5">
        <v>42126</v>
      </c>
    </row>
    <row r="327" spans="1:6" x14ac:dyDescent="0.4">
      <c r="A327" s="5" t="s">
        <v>6</v>
      </c>
      <c r="B327" s="5" t="s">
        <v>12</v>
      </c>
      <c r="C327" s="5" t="s">
        <v>22</v>
      </c>
      <c r="D327" s="5">
        <v>8</v>
      </c>
      <c r="E327" s="5">
        <v>132</v>
      </c>
      <c r="F327" s="5">
        <v>1056</v>
      </c>
    </row>
    <row r="328" spans="1:6" x14ac:dyDescent="0.4">
      <c r="A328" s="5" t="s">
        <v>17</v>
      </c>
      <c r="B328" s="5" t="s">
        <v>21</v>
      </c>
      <c r="C328" s="5" t="s">
        <v>20</v>
      </c>
      <c r="D328" s="5">
        <v>31</v>
      </c>
      <c r="E328" s="5">
        <v>605</v>
      </c>
      <c r="F328" s="5">
        <v>18755</v>
      </c>
    </row>
    <row r="329" spans="1:6" x14ac:dyDescent="0.4">
      <c r="A329" s="5" t="s">
        <v>9</v>
      </c>
      <c r="B329" s="5" t="s">
        <v>10</v>
      </c>
      <c r="C329" s="5" t="s">
        <v>20</v>
      </c>
      <c r="D329" s="5">
        <v>37</v>
      </c>
      <c r="E329" s="5">
        <v>1146</v>
      </c>
      <c r="F329" s="5">
        <v>42402</v>
      </c>
    </row>
    <row r="330" spans="1:6" x14ac:dyDescent="0.4">
      <c r="A330" s="5" t="s">
        <v>9</v>
      </c>
      <c r="B330" s="5" t="s">
        <v>12</v>
      </c>
      <c r="C330" s="5" t="s">
        <v>13</v>
      </c>
      <c r="D330" s="5">
        <v>14</v>
      </c>
      <c r="E330" s="5">
        <v>1458</v>
      </c>
      <c r="F330" s="5">
        <v>20412</v>
      </c>
    </row>
    <row r="331" spans="1:6" x14ac:dyDescent="0.4">
      <c r="A331" s="5" t="s">
        <v>9</v>
      </c>
      <c r="B331" s="5" t="s">
        <v>21</v>
      </c>
      <c r="C331" s="5" t="s">
        <v>13</v>
      </c>
      <c r="D331" s="5">
        <v>12</v>
      </c>
      <c r="E331" s="5">
        <v>461</v>
      </c>
      <c r="F331" s="5">
        <v>5532</v>
      </c>
    </row>
    <row r="332" spans="1:6" x14ac:dyDescent="0.4">
      <c r="A332" s="5" t="s">
        <v>9</v>
      </c>
      <c r="B332" s="5" t="s">
        <v>21</v>
      </c>
      <c r="C332" s="5" t="s">
        <v>23</v>
      </c>
      <c r="D332" s="5">
        <v>2</v>
      </c>
      <c r="E332" s="5">
        <v>117</v>
      </c>
      <c r="F332" s="5">
        <v>234</v>
      </c>
    </row>
    <row r="333" spans="1:6" x14ac:dyDescent="0.4">
      <c r="A333" s="5" t="s">
        <v>19</v>
      </c>
      <c r="B333" s="5" t="s">
        <v>12</v>
      </c>
      <c r="C333" s="5" t="s">
        <v>16</v>
      </c>
      <c r="D333" s="5">
        <v>26</v>
      </c>
      <c r="E333" s="5">
        <v>463</v>
      </c>
      <c r="F333" s="5">
        <v>12038</v>
      </c>
    </row>
    <row r="334" spans="1:6" x14ac:dyDescent="0.4">
      <c r="A334" s="5" t="s">
        <v>6</v>
      </c>
      <c r="B334" s="5" t="s">
        <v>7</v>
      </c>
      <c r="C334" s="5" t="s">
        <v>24</v>
      </c>
      <c r="D334" s="5">
        <v>20</v>
      </c>
      <c r="E334" s="5">
        <v>250</v>
      </c>
      <c r="F334" s="5">
        <v>5000</v>
      </c>
    </row>
    <row r="335" spans="1:6" x14ac:dyDescent="0.4">
      <c r="A335" s="5" t="s">
        <v>9</v>
      </c>
      <c r="B335" s="5" t="s">
        <v>15</v>
      </c>
      <c r="C335" s="5" t="s">
        <v>11</v>
      </c>
      <c r="D335" s="5">
        <v>14</v>
      </c>
      <c r="E335" s="5">
        <v>1024</v>
      </c>
      <c r="F335" s="5">
        <v>14336</v>
      </c>
    </row>
    <row r="336" spans="1:6" x14ac:dyDescent="0.4">
      <c r="A336" s="5" t="s">
        <v>19</v>
      </c>
      <c r="B336" s="5" t="s">
        <v>10</v>
      </c>
      <c r="C336" s="5" t="s">
        <v>20</v>
      </c>
      <c r="D336" s="5">
        <v>1</v>
      </c>
      <c r="E336" s="5">
        <v>1419</v>
      </c>
      <c r="F336" s="5">
        <v>1419</v>
      </c>
    </row>
    <row r="337" spans="1:6" x14ac:dyDescent="0.4">
      <c r="A337" s="5" t="s">
        <v>19</v>
      </c>
      <c r="B337" s="5" t="s">
        <v>15</v>
      </c>
      <c r="C337" s="5" t="s">
        <v>18</v>
      </c>
      <c r="D337" s="5">
        <v>47</v>
      </c>
      <c r="E337" s="5">
        <v>978</v>
      </c>
      <c r="F337" s="5">
        <v>45966</v>
      </c>
    </row>
    <row r="338" spans="1:6" x14ac:dyDescent="0.4">
      <c r="A338" s="5" t="s">
        <v>6</v>
      </c>
      <c r="B338" s="5" t="s">
        <v>7</v>
      </c>
      <c r="C338" s="5" t="s">
        <v>8</v>
      </c>
      <c r="D338" s="5">
        <v>50</v>
      </c>
      <c r="E338" s="5">
        <v>983</v>
      </c>
      <c r="F338" s="5">
        <v>49150</v>
      </c>
    </row>
    <row r="339" spans="1:6" x14ac:dyDescent="0.4">
      <c r="A339" s="5" t="s">
        <v>17</v>
      </c>
      <c r="B339" s="5" t="s">
        <v>10</v>
      </c>
      <c r="C339" s="5" t="s">
        <v>18</v>
      </c>
      <c r="D339" s="5">
        <v>16</v>
      </c>
      <c r="E339" s="5">
        <v>178</v>
      </c>
      <c r="F339" s="5">
        <v>2848</v>
      </c>
    </row>
    <row r="340" spans="1:6" x14ac:dyDescent="0.4">
      <c r="A340" s="5" t="s">
        <v>17</v>
      </c>
      <c r="B340" s="5" t="s">
        <v>15</v>
      </c>
      <c r="C340" s="5" t="s">
        <v>8</v>
      </c>
      <c r="D340" s="5">
        <v>25</v>
      </c>
      <c r="E340" s="5">
        <v>1798</v>
      </c>
      <c r="F340" s="5">
        <v>44950</v>
      </c>
    </row>
    <row r="341" spans="1:6" x14ac:dyDescent="0.4">
      <c r="A341" s="5" t="s">
        <v>9</v>
      </c>
      <c r="B341" s="5" t="s">
        <v>7</v>
      </c>
      <c r="C341" s="5" t="s">
        <v>22</v>
      </c>
      <c r="D341" s="5">
        <v>39</v>
      </c>
      <c r="E341" s="5">
        <v>1454</v>
      </c>
      <c r="F341" s="5">
        <v>56706</v>
      </c>
    </row>
    <row r="342" spans="1:6" x14ac:dyDescent="0.4">
      <c r="A342" s="5" t="s">
        <v>6</v>
      </c>
      <c r="B342" s="5" t="s">
        <v>21</v>
      </c>
      <c r="C342" s="5" t="s">
        <v>16</v>
      </c>
      <c r="D342" s="5">
        <v>3</v>
      </c>
      <c r="E342" s="5">
        <v>1878</v>
      </c>
      <c r="F342" s="5">
        <v>5634</v>
      </c>
    </row>
    <row r="343" spans="1:6" x14ac:dyDescent="0.4">
      <c r="A343" s="5" t="s">
        <v>9</v>
      </c>
      <c r="B343" s="5" t="s">
        <v>21</v>
      </c>
      <c r="C343" s="5" t="s">
        <v>14</v>
      </c>
      <c r="D343" s="5">
        <v>37</v>
      </c>
      <c r="E343" s="5">
        <v>791</v>
      </c>
      <c r="F343" s="5">
        <v>29267</v>
      </c>
    </row>
    <row r="344" spans="1:6" x14ac:dyDescent="0.4">
      <c r="A344" s="5" t="s">
        <v>19</v>
      </c>
      <c r="B344" s="5" t="s">
        <v>7</v>
      </c>
      <c r="C344" s="5" t="s">
        <v>14</v>
      </c>
      <c r="D344" s="5">
        <v>45</v>
      </c>
      <c r="E344" s="5">
        <v>1084</v>
      </c>
      <c r="F344" s="5">
        <v>48780</v>
      </c>
    </row>
    <row r="345" spans="1:6" x14ac:dyDescent="0.4">
      <c r="A345" s="5" t="s">
        <v>17</v>
      </c>
      <c r="B345" s="5" t="s">
        <v>10</v>
      </c>
      <c r="C345" s="5" t="s">
        <v>23</v>
      </c>
      <c r="D345" s="5">
        <v>2</v>
      </c>
      <c r="E345" s="5">
        <v>1435</v>
      </c>
      <c r="F345" s="5">
        <v>2870</v>
      </c>
    </row>
    <row r="346" spans="1:6" x14ac:dyDescent="0.4">
      <c r="A346" s="5" t="s">
        <v>17</v>
      </c>
      <c r="B346" s="5" t="s">
        <v>15</v>
      </c>
      <c r="C346" s="5" t="s">
        <v>14</v>
      </c>
      <c r="D346" s="5">
        <v>43</v>
      </c>
      <c r="E346" s="5">
        <v>1926</v>
      </c>
      <c r="F346" s="5">
        <v>82818</v>
      </c>
    </row>
    <row r="347" spans="1:6" x14ac:dyDescent="0.4">
      <c r="A347" s="5" t="s">
        <v>9</v>
      </c>
      <c r="B347" s="5" t="s">
        <v>10</v>
      </c>
      <c r="C347" s="5" t="s">
        <v>18</v>
      </c>
      <c r="D347" s="5">
        <v>45</v>
      </c>
      <c r="E347" s="5">
        <v>1387</v>
      </c>
      <c r="F347" s="5">
        <v>62415</v>
      </c>
    </row>
    <row r="348" spans="1:6" x14ac:dyDescent="0.4">
      <c r="A348" s="5" t="s">
        <v>19</v>
      </c>
      <c r="B348" s="5" t="s">
        <v>7</v>
      </c>
      <c r="C348" s="5" t="s">
        <v>14</v>
      </c>
      <c r="D348" s="5">
        <v>24</v>
      </c>
      <c r="E348" s="5">
        <v>157</v>
      </c>
      <c r="F348" s="5">
        <v>3768</v>
      </c>
    </row>
    <row r="349" spans="1:6" x14ac:dyDescent="0.4">
      <c r="A349" s="5" t="s">
        <v>6</v>
      </c>
      <c r="B349" s="5" t="s">
        <v>10</v>
      </c>
      <c r="C349" s="5" t="s">
        <v>20</v>
      </c>
      <c r="D349" s="5">
        <v>3</v>
      </c>
      <c r="E349" s="5">
        <v>645</v>
      </c>
      <c r="F349" s="5">
        <v>1935</v>
      </c>
    </row>
    <row r="350" spans="1:6" x14ac:dyDescent="0.4">
      <c r="A350" s="5" t="s">
        <v>17</v>
      </c>
      <c r="B350" s="5" t="s">
        <v>15</v>
      </c>
      <c r="C350" s="5" t="s">
        <v>8</v>
      </c>
      <c r="D350" s="5">
        <v>3</v>
      </c>
      <c r="E350" s="5">
        <v>492</v>
      </c>
      <c r="F350" s="5">
        <v>1476</v>
      </c>
    </row>
    <row r="351" spans="1:6" x14ac:dyDescent="0.4">
      <c r="A351" s="5" t="s">
        <v>9</v>
      </c>
      <c r="B351" s="5" t="s">
        <v>21</v>
      </c>
      <c r="C351" s="5" t="s">
        <v>23</v>
      </c>
      <c r="D351" s="5">
        <v>34</v>
      </c>
      <c r="E351" s="5">
        <v>820</v>
      </c>
      <c r="F351" s="5">
        <v>27880</v>
      </c>
    </row>
    <row r="352" spans="1:6" x14ac:dyDescent="0.4">
      <c r="A352" s="5" t="s">
        <v>19</v>
      </c>
      <c r="B352" s="5" t="s">
        <v>12</v>
      </c>
      <c r="C352" s="5" t="s">
        <v>14</v>
      </c>
      <c r="D352" s="5">
        <v>21</v>
      </c>
      <c r="E352" s="5">
        <v>970</v>
      </c>
      <c r="F352" s="5">
        <v>20370</v>
      </c>
    </row>
    <row r="353" spans="1:6" x14ac:dyDescent="0.4">
      <c r="A353" s="5" t="s">
        <v>19</v>
      </c>
      <c r="B353" s="5" t="s">
        <v>15</v>
      </c>
      <c r="C353" s="5" t="s">
        <v>18</v>
      </c>
      <c r="D353" s="5">
        <v>48</v>
      </c>
      <c r="E353" s="5">
        <v>1055</v>
      </c>
      <c r="F353" s="5">
        <v>50640</v>
      </c>
    </row>
    <row r="354" spans="1:6" x14ac:dyDescent="0.4">
      <c r="A354" s="5" t="s">
        <v>9</v>
      </c>
      <c r="B354" s="5" t="s">
        <v>10</v>
      </c>
      <c r="C354" s="5" t="s">
        <v>23</v>
      </c>
      <c r="D354" s="5">
        <v>48</v>
      </c>
      <c r="E354" s="5">
        <v>256</v>
      </c>
      <c r="F354" s="5">
        <v>12288</v>
      </c>
    </row>
    <row r="355" spans="1:6" x14ac:dyDescent="0.4">
      <c r="A355" s="5" t="s">
        <v>6</v>
      </c>
      <c r="B355" s="5" t="s">
        <v>10</v>
      </c>
      <c r="C355" s="5" t="s">
        <v>13</v>
      </c>
      <c r="D355" s="5">
        <v>39</v>
      </c>
      <c r="E355" s="5">
        <v>205</v>
      </c>
      <c r="F355" s="5">
        <v>7995</v>
      </c>
    </row>
    <row r="356" spans="1:6" x14ac:dyDescent="0.4">
      <c r="A356" s="5" t="s">
        <v>6</v>
      </c>
      <c r="B356" s="5" t="s">
        <v>21</v>
      </c>
      <c r="C356" s="5" t="s">
        <v>23</v>
      </c>
      <c r="D356" s="5">
        <v>6</v>
      </c>
      <c r="E356" s="5">
        <v>719</v>
      </c>
      <c r="F356" s="5">
        <v>4314</v>
      </c>
    </row>
    <row r="357" spans="1:6" x14ac:dyDescent="0.4">
      <c r="A357" s="5" t="s">
        <v>9</v>
      </c>
      <c r="B357" s="5" t="s">
        <v>10</v>
      </c>
      <c r="C357" s="5" t="s">
        <v>8</v>
      </c>
      <c r="D357" s="5">
        <v>2</v>
      </c>
      <c r="E357" s="5">
        <v>201</v>
      </c>
      <c r="F357" s="5">
        <v>402</v>
      </c>
    </row>
    <row r="358" spans="1:6" x14ac:dyDescent="0.4">
      <c r="A358" s="5" t="s">
        <v>19</v>
      </c>
      <c r="B358" s="5" t="s">
        <v>10</v>
      </c>
      <c r="C358" s="5" t="s">
        <v>23</v>
      </c>
      <c r="D358" s="5">
        <v>29</v>
      </c>
      <c r="E358" s="5">
        <v>1593</v>
      </c>
      <c r="F358" s="5">
        <v>46197</v>
      </c>
    </row>
    <row r="359" spans="1:6" x14ac:dyDescent="0.4">
      <c r="A359" s="5" t="s">
        <v>19</v>
      </c>
      <c r="B359" s="5" t="s">
        <v>7</v>
      </c>
      <c r="C359" s="5" t="s">
        <v>16</v>
      </c>
      <c r="D359" s="5">
        <v>20</v>
      </c>
      <c r="E359" s="5">
        <v>804</v>
      </c>
      <c r="F359" s="5">
        <v>16080</v>
      </c>
    </row>
    <row r="360" spans="1:6" x14ac:dyDescent="0.4">
      <c r="A360" s="5" t="s">
        <v>19</v>
      </c>
      <c r="B360" s="5" t="s">
        <v>12</v>
      </c>
      <c r="C360" s="5" t="s">
        <v>22</v>
      </c>
      <c r="D360" s="5">
        <v>6</v>
      </c>
      <c r="E360" s="5">
        <v>1341</v>
      </c>
      <c r="F360" s="5">
        <v>8046</v>
      </c>
    </row>
    <row r="361" spans="1:6" x14ac:dyDescent="0.4">
      <c r="A361" s="5" t="s">
        <v>6</v>
      </c>
      <c r="B361" s="5" t="s">
        <v>7</v>
      </c>
      <c r="C361" s="5" t="s">
        <v>23</v>
      </c>
      <c r="D361" s="5">
        <v>17</v>
      </c>
      <c r="E361" s="5">
        <v>481</v>
      </c>
      <c r="F361" s="5">
        <v>8177</v>
      </c>
    </row>
    <row r="362" spans="1:6" x14ac:dyDescent="0.4">
      <c r="A362" s="5" t="s">
        <v>19</v>
      </c>
      <c r="B362" s="5" t="s">
        <v>7</v>
      </c>
      <c r="C362" s="5" t="s">
        <v>23</v>
      </c>
      <c r="D362" s="5">
        <v>16</v>
      </c>
      <c r="E362" s="5">
        <v>909</v>
      </c>
      <c r="F362" s="5">
        <v>14544</v>
      </c>
    </row>
    <row r="363" spans="1:6" x14ac:dyDescent="0.4">
      <c r="A363" s="5" t="s">
        <v>19</v>
      </c>
      <c r="B363" s="5" t="s">
        <v>21</v>
      </c>
      <c r="C363" s="5" t="s">
        <v>20</v>
      </c>
      <c r="D363" s="5">
        <v>47</v>
      </c>
      <c r="E363" s="5">
        <v>1952</v>
      </c>
      <c r="F363" s="5">
        <v>91744</v>
      </c>
    </row>
    <row r="364" spans="1:6" x14ac:dyDescent="0.4">
      <c r="A364" s="5" t="s">
        <v>17</v>
      </c>
      <c r="B364" s="5" t="s">
        <v>10</v>
      </c>
      <c r="C364" s="5" t="s">
        <v>16</v>
      </c>
      <c r="D364" s="5">
        <v>20</v>
      </c>
      <c r="E364" s="5">
        <v>150</v>
      </c>
      <c r="F364" s="5">
        <v>3000</v>
      </c>
    </row>
    <row r="365" spans="1:6" x14ac:dyDescent="0.4">
      <c r="A365" s="5" t="s">
        <v>9</v>
      </c>
      <c r="B365" s="5" t="s">
        <v>10</v>
      </c>
      <c r="C365" s="5" t="s">
        <v>14</v>
      </c>
      <c r="D365" s="5">
        <v>40</v>
      </c>
      <c r="E365" s="5">
        <v>642</v>
      </c>
      <c r="F365" s="5">
        <v>25680</v>
      </c>
    </row>
    <row r="366" spans="1:6" x14ac:dyDescent="0.4">
      <c r="A366" s="5" t="s">
        <v>17</v>
      </c>
      <c r="B366" s="5" t="s">
        <v>15</v>
      </c>
      <c r="C366" s="5" t="s">
        <v>13</v>
      </c>
      <c r="D366" s="5">
        <v>41</v>
      </c>
      <c r="E366" s="5">
        <v>1745</v>
      </c>
      <c r="F366" s="5">
        <v>71545</v>
      </c>
    </row>
    <row r="367" spans="1:6" x14ac:dyDescent="0.4">
      <c r="A367" s="5" t="s">
        <v>19</v>
      </c>
      <c r="B367" s="5" t="s">
        <v>15</v>
      </c>
      <c r="C367" s="5" t="s">
        <v>20</v>
      </c>
      <c r="D367" s="5">
        <v>14</v>
      </c>
      <c r="E367" s="5">
        <v>1615</v>
      </c>
      <c r="F367" s="5">
        <v>22610</v>
      </c>
    </row>
    <row r="368" spans="1:6" x14ac:dyDescent="0.4">
      <c r="A368" s="5" t="s">
        <v>17</v>
      </c>
      <c r="B368" s="5" t="s">
        <v>7</v>
      </c>
      <c r="C368" s="5" t="s">
        <v>22</v>
      </c>
      <c r="D368" s="5">
        <v>40</v>
      </c>
      <c r="E368" s="5">
        <v>1658</v>
      </c>
      <c r="F368" s="5">
        <v>66320</v>
      </c>
    </row>
    <row r="369" spans="1:6" x14ac:dyDescent="0.4">
      <c r="A369" s="5" t="s">
        <v>19</v>
      </c>
      <c r="B369" s="5" t="s">
        <v>15</v>
      </c>
      <c r="C369" s="5" t="s">
        <v>18</v>
      </c>
      <c r="D369" s="5">
        <v>22</v>
      </c>
      <c r="E369" s="5">
        <v>279</v>
      </c>
      <c r="F369" s="5">
        <v>6138</v>
      </c>
    </row>
    <row r="370" spans="1:6" x14ac:dyDescent="0.4">
      <c r="A370" s="5" t="s">
        <v>19</v>
      </c>
      <c r="B370" s="5" t="s">
        <v>21</v>
      </c>
      <c r="C370" s="5" t="s">
        <v>14</v>
      </c>
      <c r="D370" s="5">
        <v>49</v>
      </c>
      <c r="E370" s="5">
        <v>1937</v>
      </c>
      <c r="F370" s="5">
        <v>94913</v>
      </c>
    </row>
    <row r="371" spans="1:6" x14ac:dyDescent="0.4">
      <c r="A371" s="5" t="s">
        <v>9</v>
      </c>
      <c r="B371" s="5" t="s">
        <v>10</v>
      </c>
      <c r="C371" s="5" t="s">
        <v>20</v>
      </c>
      <c r="D371" s="5">
        <v>37</v>
      </c>
      <c r="E371" s="5">
        <v>1414</v>
      </c>
      <c r="F371" s="5">
        <v>52318</v>
      </c>
    </row>
    <row r="372" spans="1:6" x14ac:dyDescent="0.4">
      <c r="A372" s="5" t="s">
        <v>17</v>
      </c>
      <c r="B372" s="5" t="s">
        <v>21</v>
      </c>
      <c r="C372" s="5" t="s">
        <v>18</v>
      </c>
      <c r="D372" s="5">
        <v>49</v>
      </c>
      <c r="E372" s="5">
        <v>1209</v>
      </c>
      <c r="F372" s="5">
        <v>59241</v>
      </c>
    </row>
    <row r="373" spans="1:6" x14ac:dyDescent="0.4">
      <c r="A373" s="5" t="s">
        <v>19</v>
      </c>
      <c r="B373" s="5" t="s">
        <v>7</v>
      </c>
      <c r="C373" s="5" t="s">
        <v>22</v>
      </c>
      <c r="D373" s="5">
        <v>37</v>
      </c>
      <c r="E373" s="5">
        <v>566</v>
      </c>
      <c r="F373" s="5">
        <v>20942</v>
      </c>
    </row>
    <row r="374" spans="1:6" x14ac:dyDescent="0.4">
      <c r="A374" s="5" t="s">
        <v>6</v>
      </c>
      <c r="B374" s="5" t="s">
        <v>10</v>
      </c>
      <c r="C374" s="5" t="s">
        <v>18</v>
      </c>
      <c r="D374" s="5">
        <v>48</v>
      </c>
      <c r="E374" s="5">
        <v>1991</v>
      </c>
      <c r="F374" s="5">
        <v>95568</v>
      </c>
    </row>
    <row r="375" spans="1:6" x14ac:dyDescent="0.4">
      <c r="A375" s="5" t="s">
        <v>6</v>
      </c>
      <c r="B375" s="5" t="s">
        <v>7</v>
      </c>
      <c r="C375" s="5" t="s">
        <v>22</v>
      </c>
      <c r="D375" s="5">
        <v>22</v>
      </c>
      <c r="E375" s="5">
        <v>526</v>
      </c>
      <c r="F375" s="5">
        <v>11572</v>
      </c>
    </row>
    <row r="376" spans="1:6" x14ac:dyDescent="0.4">
      <c r="A376" s="5" t="s">
        <v>17</v>
      </c>
      <c r="B376" s="5" t="s">
        <v>15</v>
      </c>
      <c r="C376" s="5" t="s">
        <v>16</v>
      </c>
      <c r="D376" s="5">
        <v>7</v>
      </c>
      <c r="E376" s="5">
        <v>169</v>
      </c>
      <c r="F376" s="5">
        <v>1183</v>
      </c>
    </row>
    <row r="377" spans="1:6" x14ac:dyDescent="0.4">
      <c r="A377" s="5" t="s">
        <v>17</v>
      </c>
      <c r="B377" s="5" t="s">
        <v>12</v>
      </c>
      <c r="C377" s="5" t="s">
        <v>23</v>
      </c>
      <c r="D377" s="5">
        <v>39</v>
      </c>
      <c r="E377" s="5">
        <v>345</v>
      </c>
      <c r="F377" s="5">
        <v>13455</v>
      </c>
    </row>
    <row r="378" spans="1:6" x14ac:dyDescent="0.4">
      <c r="A378" s="5" t="s">
        <v>17</v>
      </c>
      <c r="B378" s="5" t="s">
        <v>21</v>
      </c>
      <c r="C378" s="5" t="s">
        <v>11</v>
      </c>
      <c r="D378" s="5">
        <v>27</v>
      </c>
      <c r="E378" s="5">
        <v>1401</v>
      </c>
      <c r="F378" s="5">
        <v>37827</v>
      </c>
    </row>
    <row r="379" spans="1:6" x14ac:dyDescent="0.4">
      <c r="A379" s="5" t="s">
        <v>9</v>
      </c>
      <c r="B379" s="5" t="s">
        <v>12</v>
      </c>
      <c r="C379" s="5" t="s">
        <v>18</v>
      </c>
      <c r="D379" s="5">
        <v>3</v>
      </c>
      <c r="E379" s="5">
        <v>1759</v>
      </c>
      <c r="F379" s="5">
        <v>5277</v>
      </c>
    </row>
    <row r="380" spans="1:6" x14ac:dyDescent="0.4">
      <c r="A380" s="5" t="s">
        <v>19</v>
      </c>
      <c r="B380" s="5" t="s">
        <v>21</v>
      </c>
      <c r="C380" s="5" t="s">
        <v>14</v>
      </c>
      <c r="D380" s="5">
        <v>18</v>
      </c>
      <c r="E380" s="5">
        <v>312</v>
      </c>
      <c r="F380" s="5">
        <v>5616</v>
      </c>
    </row>
    <row r="381" spans="1:6" x14ac:dyDescent="0.4">
      <c r="A381" s="5" t="s">
        <v>19</v>
      </c>
      <c r="B381" s="5" t="s">
        <v>10</v>
      </c>
      <c r="C381" s="5" t="s">
        <v>14</v>
      </c>
      <c r="D381" s="5">
        <v>20</v>
      </c>
      <c r="E381" s="5">
        <v>1306</v>
      </c>
      <c r="F381" s="5">
        <v>26120</v>
      </c>
    </row>
    <row r="382" spans="1:6" x14ac:dyDescent="0.4">
      <c r="A382" s="5" t="s">
        <v>19</v>
      </c>
      <c r="B382" s="5" t="s">
        <v>15</v>
      </c>
      <c r="C382" s="5" t="s">
        <v>18</v>
      </c>
      <c r="D382" s="5">
        <v>14</v>
      </c>
      <c r="E382" s="5">
        <v>311</v>
      </c>
      <c r="F382" s="5">
        <v>4354</v>
      </c>
    </row>
    <row r="383" spans="1:6" x14ac:dyDescent="0.4">
      <c r="A383" s="5" t="s">
        <v>17</v>
      </c>
      <c r="B383" s="5" t="s">
        <v>12</v>
      </c>
      <c r="C383" s="5" t="s">
        <v>14</v>
      </c>
      <c r="D383" s="5">
        <v>29</v>
      </c>
      <c r="E383" s="5">
        <v>1132</v>
      </c>
      <c r="F383" s="5">
        <v>32828</v>
      </c>
    </row>
    <row r="384" spans="1:6" x14ac:dyDescent="0.4">
      <c r="A384" s="5" t="s">
        <v>6</v>
      </c>
      <c r="B384" s="5" t="s">
        <v>12</v>
      </c>
      <c r="C384" s="5" t="s">
        <v>18</v>
      </c>
      <c r="D384" s="5">
        <v>49</v>
      </c>
      <c r="E384" s="5">
        <v>627</v>
      </c>
      <c r="F384" s="5">
        <v>30723</v>
      </c>
    </row>
    <row r="385" spans="1:6" x14ac:dyDescent="0.4">
      <c r="A385" s="5" t="s">
        <v>17</v>
      </c>
      <c r="B385" s="5" t="s">
        <v>7</v>
      </c>
      <c r="C385" s="5" t="s">
        <v>13</v>
      </c>
      <c r="D385" s="5">
        <v>17</v>
      </c>
      <c r="E385" s="5">
        <v>307</v>
      </c>
      <c r="F385" s="5">
        <v>5219</v>
      </c>
    </row>
    <row r="386" spans="1:6" x14ac:dyDescent="0.4">
      <c r="A386" s="5" t="s">
        <v>6</v>
      </c>
      <c r="B386" s="5" t="s">
        <v>7</v>
      </c>
      <c r="C386" s="5" t="s">
        <v>20</v>
      </c>
      <c r="D386" s="5">
        <v>47</v>
      </c>
      <c r="E386" s="5">
        <v>912</v>
      </c>
      <c r="F386" s="5">
        <v>42864</v>
      </c>
    </row>
    <row r="387" spans="1:6" x14ac:dyDescent="0.4">
      <c r="A387" s="5" t="s">
        <v>9</v>
      </c>
      <c r="B387" s="5" t="s">
        <v>7</v>
      </c>
      <c r="C387" s="5" t="s">
        <v>22</v>
      </c>
      <c r="D387" s="5">
        <v>45</v>
      </c>
      <c r="E387" s="5">
        <v>1521</v>
      </c>
      <c r="F387" s="5">
        <v>68445</v>
      </c>
    </row>
    <row r="388" spans="1:6" x14ac:dyDescent="0.4">
      <c r="A388" s="5" t="s">
        <v>9</v>
      </c>
      <c r="B388" s="5" t="s">
        <v>7</v>
      </c>
      <c r="C388" s="5" t="s">
        <v>14</v>
      </c>
      <c r="D388" s="5">
        <v>22</v>
      </c>
      <c r="E388" s="5">
        <v>1192</v>
      </c>
      <c r="F388" s="5">
        <v>26224</v>
      </c>
    </row>
    <row r="389" spans="1:6" x14ac:dyDescent="0.4">
      <c r="A389" s="5" t="s">
        <v>6</v>
      </c>
      <c r="B389" s="5" t="s">
        <v>10</v>
      </c>
      <c r="C389" s="5" t="s">
        <v>11</v>
      </c>
      <c r="D389" s="5">
        <v>31</v>
      </c>
      <c r="E389" s="5">
        <v>1200</v>
      </c>
      <c r="F389" s="5">
        <v>37200</v>
      </c>
    </row>
    <row r="390" spans="1:6" x14ac:dyDescent="0.4">
      <c r="A390" s="5" t="s">
        <v>19</v>
      </c>
      <c r="B390" s="5" t="s">
        <v>10</v>
      </c>
      <c r="C390" s="5" t="s">
        <v>18</v>
      </c>
      <c r="D390" s="5">
        <v>31</v>
      </c>
      <c r="E390" s="5">
        <v>268</v>
      </c>
      <c r="F390" s="5">
        <v>8308</v>
      </c>
    </row>
    <row r="391" spans="1:6" x14ac:dyDescent="0.4">
      <c r="A391" s="5" t="s">
        <v>19</v>
      </c>
      <c r="B391" s="5" t="s">
        <v>10</v>
      </c>
      <c r="C391" s="5" t="s">
        <v>11</v>
      </c>
      <c r="D391" s="5">
        <v>21</v>
      </c>
      <c r="E391" s="5">
        <v>1784</v>
      </c>
      <c r="F391" s="5">
        <v>37464</v>
      </c>
    </row>
    <row r="392" spans="1:6" x14ac:dyDescent="0.4">
      <c r="A392" s="5" t="s">
        <v>6</v>
      </c>
      <c r="B392" s="5" t="s">
        <v>12</v>
      </c>
      <c r="C392" s="5" t="s">
        <v>18</v>
      </c>
      <c r="D392" s="5">
        <v>48</v>
      </c>
      <c r="E392" s="5">
        <v>1646</v>
      </c>
      <c r="F392" s="5">
        <v>79008</v>
      </c>
    </row>
    <row r="393" spans="1:6" x14ac:dyDescent="0.4">
      <c r="A393" s="5" t="s">
        <v>6</v>
      </c>
      <c r="B393" s="5" t="s">
        <v>12</v>
      </c>
      <c r="C393" s="5" t="s">
        <v>18</v>
      </c>
      <c r="D393" s="5">
        <v>50</v>
      </c>
      <c r="E393" s="5">
        <v>843</v>
      </c>
      <c r="F393" s="5">
        <v>42150</v>
      </c>
    </row>
    <row r="394" spans="1:6" x14ac:dyDescent="0.4">
      <c r="A394" s="5" t="s">
        <v>6</v>
      </c>
      <c r="B394" s="5" t="s">
        <v>7</v>
      </c>
      <c r="C394" s="5" t="s">
        <v>8</v>
      </c>
      <c r="D394" s="5">
        <v>32</v>
      </c>
      <c r="E394" s="5">
        <v>624</v>
      </c>
      <c r="F394" s="5">
        <v>19968</v>
      </c>
    </row>
    <row r="395" spans="1:6" x14ac:dyDescent="0.4">
      <c r="A395" s="5" t="s">
        <v>17</v>
      </c>
      <c r="B395" s="5" t="s">
        <v>12</v>
      </c>
      <c r="C395" s="5" t="s">
        <v>16</v>
      </c>
      <c r="D395" s="5">
        <v>11</v>
      </c>
      <c r="E395" s="5">
        <v>950</v>
      </c>
      <c r="F395" s="5">
        <v>10450</v>
      </c>
    </row>
    <row r="396" spans="1:6" x14ac:dyDescent="0.4">
      <c r="A396" s="5" t="s">
        <v>9</v>
      </c>
      <c r="B396" s="5" t="s">
        <v>7</v>
      </c>
      <c r="C396" s="5" t="s">
        <v>23</v>
      </c>
      <c r="D396" s="5">
        <v>11</v>
      </c>
      <c r="E396" s="5">
        <v>1023</v>
      </c>
      <c r="F396" s="5">
        <v>11253</v>
      </c>
    </row>
    <row r="397" spans="1:6" x14ac:dyDescent="0.4">
      <c r="A397" s="5" t="s">
        <v>9</v>
      </c>
      <c r="B397" s="5" t="s">
        <v>21</v>
      </c>
      <c r="C397" s="5" t="s">
        <v>20</v>
      </c>
      <c r="D397" s="5">
        <v>20</v>
      </c>
      <c r="E397" s="5">
        <v>174</v>
      </c>
      <c r="F397" s="5">
        <v>3480</v>
      </c>
    </row>
    <row r="398" spans="1:6" x14ac:dyDescent="0.4">
      <c r="A398" s="5" t="s">
        <v>19</v>
      </c>
      <c r="B398" s="5" t="s">
        <v>12</v>
      </c>
      <c r="C398" s="5" t="s">
        <v>22</v>
      </c>
      <c r="D398" s="5">
        <v>3</v>
      </c>
      <c r="E398" s="5">
        <v>1040</v>
      </c>
      <c r="F398" s="5">
        <v>3120</v>
      </c>
    </row>
    <row r="399" spans="1:6" x14ac:dyDescent="0.4">
      <c r="A399" s="5" t="s">
        <v>17</v>
      </c>
      <c r="B399" s="5" t="s">
        <v>7</v>
      </c>
      <c r="C399" s="5" t="s">
        <v>8</v>
      </c>
      <c r="D399" s="5">
        <v>48</v>
      </c>
      <c r="E399" s="5">
        <v>1818</v>
      </c>
      <c r="F399" s="5">
        <v>87264</v>
      </c>
    </row>
    <row r="400" spans="1:6" x14ac:dyDescent="0.4">
      <c r="A400" s="5" t="s">
        <v>17</v>
      </c>
      <c r="B400" s="5" t="s">
        <v>12</v>
      </c>
      <c r="C400" s="5" t="s">
        <v>20</v>
      </c>
      <c r="D400" s="5">
        <v>11</v>
      </c>
      <c r="E400" s="5">
        <v>867</v>
      </c>
      <c r="F400" s="5">
        <v>9537</v>
      </c>
    </row>
    <row r="401" spans="1:6" x14ac:dyDescent="0.4">
      <c r="A401" s="5" t="s">
        <v>19</v>
      </c>
      <c r="B401" s="5" t="s">
        <v>15</v>
      </c>
      <c r="C401" s="5" t="s">
        <v>14</v>
      </c>
      <c r="D401" s="5">
        <v>35</v>
      </c>
      <c r="E401" s="5">
        <v>954</v>
      </c>
      <c r="F401" s="5">
        <v>33390</v>
      </c>
    </row>
    <row r="402" spans="1:6" x14ac:dyDescent="0.4">
      <c r="A402" s="5" t="s">
        <v>19</v>
      </c>
      <c r="B402" s="5" t="s">
        <v>21</v>
      </c>
      <c r="C402" s="5" t="s">
        <v>11</v>
      </c>
      <c r="D402" s="5">
        <v>4</v>
      </c>
      <c r="E402" s="5">
        <v>1829</v>
      </c>
      <c r="F402" s="5">
        <v>7316</v>
      </c>
    </row>
    <row r="403" spans="1:6" x14ac:dyDescent="0.4">
      <c r="A403" s="5" t="s">
        <v>17</v>
      </c>
      <c r="B403" s="5" t="s">
        <v>12</v>
      </c>
      <c r="C403" s="5" t="s">
        <v>14</v>
      </c>
      <c r="D403" s="5">
        <v>43</v>
      </c>
      <c r="E403" s="5">
        <v>1702</v>
      </c>
      <c r="F403" s="5">
        <v>73186</v>
      </c>
    </row>
    <row r="404" spans="1:6" x14ac:dyDescent="0.4">
      <c r="A404" s="5" t="s">
        <v>17</v>
      </c>
      <c r="B404" s="5" t="s">
        <v>15</v>
      </c>
      <c r="C404" s="5" t="s">
        <v>20</v>
      </c>
      <c r="D404" s="5">
        <v>20</v>
      </c>
      <c r="E404" s="5">
        <v>342</v>
      </c>
      <c r="F404" s="5">
        <v>6840</v>
      </c>
    </row>
    <row r="405" spans="1:6" x14ac:dyDescent="0.4">
      <c r="A405" s="5" t="s">
        <v>17</v>
      </c>
      <c r="B405" s="5" t="s">
        <v>10</v>
      </c>
      <c r="C405" s="5" t="s">
        <v>18</v>
      </c>
      <c r="D405" s="5">
        <v>49</v>
      </c>
      <c r="E405" s="5">
        <v>1783</v>
      </c>
      <c r="F405" s="5">
        <v>87367</v>
      </c>
    </row>
    <row r="406" spans="1:6" x14ac:dyDescent="0.4">
      <c r="A406" s="5" t="s">
        <v>17</v>
      </c>
      <c r="B406" s="5" t="s">
        <v>7</v>
      </c>
      <c r="C406" s="5" t="s">
        <v>18</v>
      </c>
      <c r="D406" s="5">
        <v>48</v>
      </c>
      <c r="E406" s="5">
        <v>114</v>
      </c>
      <c r="F406" s="5">
        <v>5472</v>
      </c>
    </row>
    <row r="407" spans="1:6" x14ac:dyDescent="0.4">
      <c r="A407" s="5" t="s">
        <v>9</v>
      </c>
      <c r="B407" s="5" t="s">
        <v>21</v>
      </c>
      <c r="C407" s="5" t="s">
        <v>24</v>
      </c>
      <c r="D407" s="5">
        <v>30</v>
      </c>
      <c r="E407" s="5">
        <v>1433</v>
      </c>
      <c r="F407" s="5">
        <v>42990</v>
      </c>
    </row>
    <row r="408" spans="1:6" x14ac:dyDescent="0.4">
      <c r="A408" s="5" t="s">
        <v>17</v>
      </c>
      <c r="B408" s="5" t="s">
        <v>15</v>
      </c>
      <c r="C408" s="5" t="s">
        <v>11</v>
      </c>
      <c r="D408" s="5">
        <v>18</v>
      </c>
      <c r="E408" s="5">
        <v>1745</v>
      </c>
      <c r="F408" s="5">
        <v>31410</v>
      </c>
    </row>
    <row r="409" spans="1:6" x14ac:dyDescent="0.4">
      <c r="A409" s="5" t="s">
        <v>19</v>
      </c>
      <c r="B409" s="5" t="s">
        <v>21</v>
      </c>
      <c r="C409" s="5" t="s">
        <v>13</v>
      </c>
      <c r="D409" s="5">
        <v>27</v>
      </c>
      <c r="E409" s="5">
        <v>830</v>
      </c>
      <c r="F409" s="5">
        <v>22410</v>
      </c>
    </row>
    <row r="410" spans="1:6" x14ac:dyDescent="0.4">
      <c r="A410" s="5" t="s">
        <v>9</v>
      </c>
      <c r="B410" s="5" t="s">
        <v>12</v>
      </c>
      <c r="C410" s="5" t="s">
        <v>18</v>
      </c>
      <c r="D410" s="5">
        <v>17</v>
      </c>
      <c r="E410" s="5">
        <v>764</v>
      </c>
      <c r="F410" s="5">
        <v>12988</v>
      </c>
    </row>
    <row r="411" spans="1:6" x14ac:dyDescent="0.4">
      <c r="A411" s="5" t="s">
        <v>9</v>
      </c>
      <c r="B411" s="5" t="s">
        <v>7</v>
      </c>
      <c r="C411" s="5" t="s">
        <v>14</v>
      </c>
      <c r="D411" s="5">
        <v>23</v>
      </c>
      <c r="E411" s="5">
        <v>936</v>
      </c>
      <c r="F411" s="5">
        <v>21528</v>
      </c>
    </row>
    <row r="412" spans="1:6" x14ac:dyDescent="0.4">
      <c r="A412" s="5" t="s">
        <v>17</v>
      </c>
      <c r="B412" s="5" t="s">
        <v>21</v>
      </c>
      <c r="C412" s="5" t="s">
        <v>22</v>
      </c>
      <c r="D412" s="5">
        <v>50</v>
      </c>
      <c r="E412" s="5">
        <v>1919</v>
      </c>
      <c r="F412" s="5">
        <v>95950</v>
      </c>
    </row>
    <row r="413" spans="1:6" x14ac:dyDescent="0.4">
      <c r="A413" s="5" t="s">
        <v>17</v>
      </c>
      <c r="B413" s="5" t="s">
        <v>15</v>
      </c>
      <c r="C413" s="5" t="s">
        <v>22</v>
      </c>
      <c r="D413" s="5">
        <v>6</v>
      </c>
      <c r="E413" s="5">
        <v>529</v>
      </c>
      <c r="F413" s="5">
        <v>3174</v>
      </c>
    </row>
    <row r="414" spans="1:6" x14ac:dyDescent="0.4">
      <c r="A414" s="5" t="s">
        <v>9</v>
      </c>
      <c r="B414" s="5" t="s">
        <v>10</v>
      </c>
      <c r="C414" s="5" t="s">
        <v>20</v>
      </c>
      <c r="D414" s="5">
        <v>36</v>
      </c>
      <c r="E414" s="5">
        <v>1378</v>
      </c>
      <c r="F414" s="5">
        <v>49608</v>
      </c>
    </row>
    <row r="415" spans="1:6" x14ac:dyDescent="0.4">
      <c r="A415" s="5" t="s">
        <v>6</v>
      </c>
      <c r="B415" s="5" t="s">
        <v>21</v>
      </c>
      <c r="C415" s="5" t="s">
        <v>22</v>
      </c>
      <c r="D415" s="5">
        <v>13</v>
      </c>
      <c r="E415" s="5">
        <v>1794</v>
      </c>
      <c r="F415" s="5">
        <v>23322</v>
      </c>
    </row>
    <row r="416" spans="1:6" x14ac:dyDescent="0.4">
      <c r="A416" s="5" t="s">
        <v>19</v>
      </c>
      <c r="B416" s="5" t="s">
        <v>15</v>
      </c>
      <c r="C416" s="5" t="s">
        <v>18</v>
      </c>
      <c r="D416" s="5">
        <v>33</v>
      </c>
      <c r="E416" s="5">
        <v>1789</v>
      </c>
      <c r="F416" s="5">
        <v>59037</v>
      </c>
    </row>
    <row r="417" spans="1:6" x14ac:dyDescent="0.4">
      <c r="A417" s="5" t="s">
        <v>17</v>
      </c>
      <c r="B417" s="5" t="s">
        <v>12</v>
      </c>
      <c r="C417" s="5" t="s">
        <v>20</v>
      </c>
      <c r="D417" s="5">
        <v>14</v>
      </c>
      <c r="E417" s="5">
        <v>410</v>
      </c>
      <c r="F417" s="5">
        <v>5740</v>
      </c>
    </row>
    <row r="418" spans="1:6" x14ac:dyDescent="0.4">
      <c r="A418" s="5" t="s">
        <v>19</v>
      </c>
      <c r="B418" s="5" t="s">
        <v>7</v>
      </c>
      <c r="C418" s="5" t="s">
        <v>14</v>
      </c>
      <c r="D418" s="5">
        <v>19</v>
      </c>
      <c r="E418" s="5">
        <v>1781</v>
      </c>
      <c r="F418" s="5">
        <v>33839</v>
      </c>
    </row>
    <row r="419" spans="1:6" x14ac:dyDescent="0.4">
      <c r="A419" s="5" t="s">
        <v>6</v>
      </c>
      <c r="B419" s="5" t="s">
        <v>10</v>
      </c>
      <c r="C419" s="5" t="s">
        <v>13</v>
      </c>
      <c r="D419" s="5">
        <v>22</v>
      </c>
      <c r="E419" s="5">
        <v>1400</v>
      </c>
      <c r="F419" s="5">
        <v>30800</v>
      </c>
    </row>
    <row r="420" spans="1:6" x14ac:dyDescent="0.4">
      <c r="A420" s="5" t="s">
        <v>6</v>
      </c>
      <c r="B420" s="5" t="s">
        <v>10</v>
      </c>
      <c r="C420" s="5" t="s">
        <v>23</v>
      </c>
      <c r="D420" s="5">
        <v>10</v>
      </c>
      <c r="E420" s="5">
        <v>905</v>
      </c>
      <c r="F420" s="5">
        <v>9050</v>
      </c>
    </row>
    <row r="421" spans="1:6" x14ac:dyDescent="0.4">
      <c r="A421" s="5" t="s">
        <v>17</v>
      </c>
      <c r="B421" s="5" t="s">
        <v>15</v>
      </c>
      <c r="C421" s="5" t="s">
        <v>23</v>
      </c>
      <c r="D421" s="5">
        <v>13</v>
      </c>
      <c r="E421" s="5">
        <v>674</v>
      </c>
      <c r="F421" s="5">
        <v>8762</v>
      </c>
    </row>
    <row r="422" spans="1:6" x14ac:dyDescent="0.4">
      <c r="A422" s="5" t="s">
        <v>19</v>
      </c>
      <c r="B422" s="5" t="s">
        <v>21</v>
      </c>
      <c r="C422" s="5" t="s">
        <v>24</v>
      </c>
      <c r="D422" s="5">
        <v>48</v>
      </c>
      <c r="E422" s="5">
        <v>1417</v>
      </c>
      <c r="F422" s="5">
        <v>68016</v>
      </c>
    </row>
    <row r="423" spans="1:6" x14ac:dyDescent="0.4">
      <c r="A423" s="5" t="s">
        <v>17</v>
      </c>
      <c r="B423" s="5" t="s">
        <v>15</v>
      </c>
      <c r="C423" s="5" t="s">
        <v>8</v>
      </c>
      <c r="D423" s="5">
        <v>44</v>
      </c>
      <c r="E423" s="5">
        <v>1659</v>
      </c>
      <c r="F423" s="5">
        <v>72996</v>
      </c>
    </row>
    <row r="424" spans="1:6" x14ac:dyDescent="0.4">
      <c r="A424" s="5" t="s">
        <v>6</v>
      </c>
      <c r="B424" s="5" t="s">
        <v>21</v>
      </c>
      <c r="C424" s="5" t="s">
        <v>8</v>
      </c>
      <c r="D424" s="5">
        <v>45</v>
      </c>
      <c r="E424" s="5">
        <v>1533</v>
      </c>
      <c r="F424" s="5">
        <v>68985</v>
      </c>
    </row>
    <row r="425" spans="1:6" x14ac:dyDescent="0.4">
      <c r="A425" s="5" t="s">
        <v>6</v>
      </c>
      <c r="B425" s="5" t="s">
        <v>7</v>
      </c>
      <c r="C425" s="5" t="s">
        <v>23</v>
      </c>
      <c r="D425" s="5">
        <v>48</v>
      </c>
      <c r="E425" s="5">
        <v>785</v>
      </c>
      <c r="F425" s="5">
        <v>37680</v>
      </c>
    </row>
    <row r="426" spans="1:6" x14ac:dyDescent="0.4">
      <c r="A426" s="5" t="s">
        <v>9</v>
      </c>
      <c r="B426" s="5" t="s">
        <v>12</v>
      </c>
      <c r="C426" s="5" t="s">
        <v>24</v>
      </c>
      <c r="D426" s="5">
        <v>45</v>
      </c>
      <c r="E426" s="5">
        <v>1155</v>
      </c>
      <c r="F426" s="5">
        <v>51975</v>
      </c>
    </row>
    <row r="427" spans="1:6" x14ac:dyDescent="0.4">
      <c r="A427" s="5" t="s">
        <v>17</v>
      </c>
      <c r="B427" s="5" t="s">
        <v>21</v>
      </c>
      <c r="C427" s="5" t="s">
        <v>8</v>
      </c>
      <c r="D427" s="5">
        <v>15</v>
      </c>
      <c r="E427" s="5">
        <v>456</v>
      </c>
      <c r="F427" s="5">
        <v>6840</v>
      </c>
    </row>
    <row r="428" spans="1:6" x14ac:dyDescent="0.4">
      <c r="A428" s="5" t="s">
        <v>19</v>
      </c>
      <c r="B428" s="5" t="s">
        <v>7</v>
      </c>
      <c r="C428" s="5" t="s">
        <v>11</v>
      </c>
      <c r="D428" s="5">
        <v>39</v>
      </c>
      <c r="E428" s="5">
        <v>280</v>
      </c>
      <c r="F428" s="5">
        <v>10920</v>
      </c>
    </row>
    <row r="429" spans="1:6" x14ac:dyDescent="0.4">
      <c r="A429" s="5" t="s">
        <v>19</v>
      </c>
      <c r="B429" s="5" t="s">
        <v>10</v>
      </c>
      <c r="C429" s="5" t="s">
        <v>11</v>
      </c>
      <c r="D429" s="5">
        <v>5</v>
      </c>
      <c r="E429" s="5">
        <v>1283</v>
      </c>
      <c r="F429" s="5">
        <v>6415</v>
      </c>
    </row>
    <row r="430" spans="1:6" x14ac:dyDescent="0.4">
      <c r="A430" s="5" t="s">
        <v>9</v>
      </c>
      <c r="B430" s="5" t="s">
        <v>10</v>
      </c>
      <c r="C430" s="5" t="s">
        <v>13</v>
      </c>
      <c r="D430" s="5">
        <v>12</v>
      </c>
      <c r="E430" s="5">
        <v>421</v>
      </c>
      <c r="F430" s="5">
        <v>5052</v>
      </c>
    </row>
    <row r="431" spans="1:6" x14ac:dyDescent="0.4">
      <c r="A431" s="5" t="s">
        <v>9</v>
      </c>
      <c r="B431" s="5" t="s">
        <v>21</v>
      </c>
      <c r="C431" s="5" t="s">
        <v>18</v>
      </c>
      <c r="D431" s="5">
        <v>10</v>
      </c>
      <c r="E431" s="5">
        <v>1628</v>
      </c>
      <c r="F431" s="5">
        <v>16280</v>
      </c>
    </row>
    <row r="432" spans="1:6" x14ac:dyDescent="0.4">
      <c r="A432" s="5" t="s">
        <v>17</v>
      </c>
      <c r="B432" s="5" t="s">
        <v>15</v>
      </c>
      <c r="C432" s="5" t="s">
        <v>11</v>
      </c>
      <c r="D432" s="5">
        <v>33</v>
      </c>
      <c r="E432" s="5">
        <v>1835</v>
      </c>
      <c r="F432" s="5">
        <v>60555</v>
      </c>
    </row>
    <row r="433" spans="1:6" x14ac:dyDescent="0.4">
      <c r="A433" s="5" t="s">
        <v>17</v>
      </c>
      <c r="B433" s="5" t="s">
        <v>15</v>
      </c>
      <c r="C433" s="5" t="s">
        <v>16</v>
      </c>
      <c r="D433" s="5">
        <v>35</v>
      </c>
      <c r="E433" s="5">
        <v>629</v>
      </c>
      <c r="F433" s="5">
        <v>22015</v>
      </c>
    </row>
    <row r="434" spans="1:6" x14ac:dyDescent="0.4">
      <c r="A434" s="5" t="s">
        <v>17</v>
      </c>
      <c r="B434" s="5" t="s">
        <v>12</v>
      </c>
      <c r="C434" s="5" t="s">
        <v>16</v>
      </c>
      <c r="D434" s="5">
        <v>45</v>
      </c>
      <c r="E434" s="5">
        <v>1579</v>
      </c>
      <c r="F434" s="5">
        <v>71055</v>
      </c>
    </row>
    <row r="435" spans="1:6" x14ac:dyDescent="0.4">
      <c r="A435" s="5" t="s">
        <v>19</v>
      </c>
      <c r="B435" s="5" t="s">
        <v>15</v>
      </c>
      <c r="C435" s="5" t="s">
        <v>13</v>
      </c>
      <c r="D435" s="5">
        <v>11</v>
      </c>
      <c r="E435" s="5">
        <v>615</v>
      </c>
      <c r="F435" s="5">
        <v>6765</v>
      </c>
    </row>
    <row r="436" spans="1:6" x14ac:dyDescent="0.4">
      <c r="A436" s="5" t="s">
        <v>17</v>
      </c>
      <c r="B436" s="5" t="s">
        <v>15</v>
      </c>
      <c r="C436" s="5" t="s">
        <v>23</v>
      </c>
      <c r="D436" s="5">
        <v>44</v>
      </c>
      <c r="E436" s="5">
        <v>1239</v>
      </c>
      <c r="F436" s="5">
        <v>54516</v>
      </c>
    </row>
    <row r="437" spans="1:6" x14ac:dyDescent="0.4">
      <c r="A437" s="5" t="s">
        <v>6</v>
      </c>
      <c r="B437" s="5" t="s">
        <v>10</v>
      </c>
      <c r="C437" s="5" t="s">
        <v>11</v>
      </c>
      <c r="D437" s="5">
        <v>26</v>
      </c>
      <c r="E437" s="5">
        <v>1537</v>
      </c>
      <c r="F437" s="5">
        <v>39962</v>
      </c>
    </row>
    <row r="438" spans="1:6" x14ac:dyDescent="0.4">
      <c r="A438" s="5" t="s">
        <v>17</v>
      </c>
      <c r="B438" s="5" t="s">
        <v>21</v>
      </c>
      <c r="C438" s="5" t="s">
        <v>13</v>
      </c>
      <c r="D438" s="5">
        <v>7</v>
      </c>
      <c r="E438" s="5">
        <v>1895</v>
      </c>
      <c r="F438" s="5">
        <v>13265</v>
      </c>
    </row>
    <row r="439" spans="1:6" x14ac:dyDescent="0.4">
      <c r="A439" s="5" t="s">
        <v>17</v>
      </c>
      <c r="B439" s="5" t="s">
        <v>12</v>
      </c>
      <c r="C439" s="5" t="s">
        <v>24</v>
      </c>
      <c r="D439" s="5">
        <v>5</v>
      </c>
      <c r="E439" s="5">
        <v>884</v>
      </c>
      <c r="F439" s="5">
        <v>4420</v>
      </c>
    </row>
    <row r="440" spans="1:6" x14ac:dyDescent="0.4">
      <c r="A440" s="5" t="s">
        <v>6</v>
      </c>
      <c r="B440" s="5" t="s">
        <v>7</v>
      </c>
      <c r="C440" s="5" t="s">
        <v>22</v>
      </c>
      <c r="D440" s="5">
        <v>3</v>
      </c>
      <c r="E440" s="5">
        <v>375</v>
      </c>
      <c r="F440" s="5">
        <v>1125</v>
      </c>
    </row>
    <row r="441" spans="1:6" x14ac:dyDescent="0.4">
      <c r="A441" s="5" t="s">
        <v>9</v>
      </c>
      <c r="B441" s="5" t="s">
        <v>12</v>
      </c>
      <c r="C441" s="5" t="s">
        <v>22</v>
      </c>
      <c r="D441" s="5">
        <v>40</v>
      </c>
      <c r="E441" s="5">
        <v>1703</v>
      </c>
      <c r="F441" s="5">
        <v>68120</v>
      </c>
    </row>
    <row r="442" spans="1:6" x14ac:dyDescent="0.4">
      <c r="A442" s="5" t="s">
        <v>17</v>
      </c>
      <c r="B442" s="5" t="s">
        <v>10</v>
      </c>
      <c r="C442" s="5" t="s">
        <v>16</v>
      </c>
      <c r="D442" s="5">
        <v>2</v>
      </c>
      <c r="E442" s="5">
        <v>1921</v>
      </c>
      <c r="F442" s="5">
        <v>3842</v>
      </c>
    </row>
    <row r="443" spans="1:6" x14ac:dyDescent="0.4">
      <c r="A443" s="5" t="s">
        <v>6</v>
      </c>
      <c r="B443" s="5" t="s">
        <v>21</v>
      </c>
      <c r="C443" s="5" t="s">
        <v>13</v>
      </c>
      <c r="D443" s="5">
        <v>5</v>
      </c>
      <c r="E443" s="5">
        <v>524</v>
      </c>
      <c r="F443" s="5">
        <v>2620</v>
      </c>
    </row>
    <row r="444" spans="1:6" x14ac:dyDescent="0.4">
      <c r="A444" s="5" t="s">
        <v>6</v>
      </c>
      <c r="B444" s="5" t="s">
        <v>7</v>
      </c>
      <c r="C444" s="5" t="s">
        <v>16</v>
      </c>
      <c r="D444" s="5">
        <v>20</v>
      </c>
      <c r="E444" s="5">
        <v>1652</v>
      </c>
      <c r="F444" s="5">
        <v>33040</v>
      </c>
    </row>
    <row r="445" spans="1:6" x14ac:dyDescent="0.4">
      <c r="A445" s="5" t="s">
        <v>17</v>
      </c>
      <c r="B445" s="5" t="s">
        <v>12</v>
      </c>
      <c r="C445" s="5" t="s">
        <v>8</v>
      </c>
      <c r="D445" s="5">
        <v>50</v>
      </c>
      <c r="E445" s="5">
        <v>957</v>
      </c>
      <c r="F445" s="5">
        <v>47850</v>
      </c>
    </row>
    <row r="446" spans="1:6" x14ac:dyDescent="0.4">
      <c r="A446" s="5" t="s">
        <v>6</v>
      </c>
      <c r="B446" s="5" t="s">
        <v>12</v>
      </c>
      <c r="C446" s="5" t="s">
        <v>22</v>
      </c>
      <c r="D446" s="5">
        <v>44</v>
      </c>
      <c r="E446" s="5">
        <v>445</v>
      </c>
      <c r="F446" s="5">
        <v>19580</v>
      </c>
    </row>
    <row r="447" spans="1:6" x14ac:dyDescent="0.4">
      <c r="A447" s="5" t="s">
        <v>6</v>
      </c>
      <c r="B447" s="5" t="s">
        <v>7</v>
      </c>
      <c r="C447" s="5" t="s">
        <v>24</v>
      </c>
      <c r="D447" s="5">
        <v>37</v>
      </c>
      <c r="E447" s="5">
        <v>258</v>
      </c>
      <c r="F447" s="5">
        <v>9546</v>
      </c>
    </row>
    <row r="448" spans="1:6" x14ac:dyDescent="0.4">
      <c r="A448" s="5" t="s">
        <v>9</v>
      </c>
      <c r="B448" s="5" t="s">
        <v>12</v>
      </c>
      <c r="C448" s="5" t="s">
        <v>14</v>
      </c>
      <c r="D448" s="5">
        <v>31</v>
      </c>
      <c r="E448" s="5">
        <v>1488</v>
      </c>
      <c r="F448" s="5">
        <v>46128</v>
      </c>
    </row>
    <row r="449" spans="1:6" x14ac:dyDescent="0.4">
      <c r="A449" s="5" t="s">
        <v>9</v>
      </c>
      <c r="B449" s="5" t="s">
        <v>10</v>
      </c>
      <c r="C449" s="5" t="s">
        <v>8</v>
      </c>
      <c r="D449" s="5">
        <v>5</v>
      </c>
      <c r="E449" s="5">
        <v>1010</v>
      </c>
      <c r="F449" s="5">
        <v>5050</v>
      </c>
    </row>
    <row r="450" spans="1:6" x14ac:dyDescent="0.4">
      <c r="A450" s="5" t="s">
        <v>9</v>
      </c>
      <c r="B450" s="5" t="s">
        <v>12</v>
      </c>
      <c r="C450" s="5" t="s">
        <v>22</v>
      </c>
      <c r="D450" s="5">
        <v>16</v>
      </c>
      <c r="E450" s="5">
        <v>1933</v>
      </c>
      <c r="F450" s="5">
        <v>30928</v>
      </c>
    </row>
    <row r="451" spans="1:6" x14ac:dyDescent="0.4">
      <c r="A451" s="5" t="s">
        <v>6</v>
      </c>
      <c r="B451" s="5" t="s">
        <v>10</v>
      </c>
      <c r="C451" s="5" t="s">
        <v>14</v>
      </c>
      <c r="D451" s="5">
        <v>5</v>
      </c>
      <c r="E451" s="5">
        <v>1822</v>
      </c>
      <c r="F451" s="5">
        <v>9110</v>
      </c>
    </row>
    <row r="452" spans="1:6" x14ac:dyDescent="0.4">
      <c r="A452" s="5" t="s">
        <v>9</v>
      </c>
      <c r="B452" s="5" t="s">
        <v>15</v>
      </c>
      <c r="C452" s="5" t="s">
        <v>13</v>
      </c>
      <c r="D452" s="5">
        <v>12</v>
      </c>
      <c r="E452" s="5">
        <v>148</v>
      </c>
      <c r="F452" s="5">
        <v>1776</v>
      </c>
    </row>
    <row r="453" spans="1:6" x14ac:dyDescent="0.4">
      <c r="A453" s="5" t="s">
        <v>17</v>
      </c>
      <c r="B453" s="5" t="s">
        <v>10</v>
      </c>
      <c r="C453" s="5" t="s">
        <v>22</v>
      </c>
      <c r="D453" s="5">
        <v>11</v>
      </c>
      <c r="E453" s="5">
        <v>409</v>
      </c>
      <c r="F453" s="5">
        <v>4499</v>
      </c>
    </row>
    <row r="454" spans="1:6" x14ac:dyDescent="0.4">
      <c r="A454" s="5" t="s">
        <v>6</v>
      </c>
      <c r="B454" s="5" t="s">
        <v>12</v>
      </c>
      <c r="C454" s="5" t="s">
        <v>20</v>
      </c>
      <c r="D454" s="5">
        <v>43</v>
      </c>
      <c r="E454" s="5">
        <v>1871</v>
      </c>
      <c r="F454" s="5">
        <v>80453</v>
      </c>
    </row>
    <row r="455" spans="1:6" x14ac:dyDescent="0.4">
      <c r="A455" s="5" t="s">
        <v>19</v>
      </c>
      <c r="B455" s="5" t="s">
        <v>12</v>
      </c>
      <c r="C455" s="5" t="s">
        <v>16</v>
      </c>
      <c r="D455" s="5">
        <v>46</v>
      </c>
      <c r="E455" s="5">
        <v>1305</v>
      </c>
      <c r="F455" s="5">
        <v>60030</v>
      </c>
    </row>
    <row r="456" spans="1:6" x14ac:dyDescent="0.4">
      <c r="A456" s="5" t="s">
        <v>6</v>
      </c>
      <c r="B456" s="5" t="s">
        <v>12</v>
      </c>
      <c r="C456" s="5" t="s">
        <v>16</v>
      </c>
      <c r="D456" s="5">
        <v>27</v>
      </c>
      <c r="E456" s="5">
        <v>1646</v>
      </c>
      <c r="F456" s="5">
        <v>44442</v>
      </c>
    </row>
    <row r="457" spans="1:6" x14ac:dyDescent="0.4">
      <c r="A457" s="5" t="s">
        <v>9</v>
      </c>
      <c r="B457" s="5" t="s">
        <v>21</v>
      </c>
      <c r="C457" s="5" t="s">
        <v>22</v>
      </c>
      <c r="D457" s="5">
        <v>35</v>
      </c>
      <c r="E457" s="5">
        <v>1774</v>
      </c>
      <c r="F457" s="5">
        <v>62090</v>
      </c>
    </row>
    <row r="458" spans="1:6" x14ac:dyDescent="0.4">
      <c r="A458" s="5" t="s">
        <v>17</v>
      </c>
      <c r="B458" s="5" t="s">
        <v>10</v>
      </c>
      <c r="C458" s="5" t="s">
        <v>18</v>
      </c>
      <c r="D458" s="5">
        <v>17</v>
      </c>
      <c r="E458" s="5">
        <v>287</v>
      </c>
      <c r="F458" s="5">
        <v>4879</v>
      </c>
    </row>
    <row r="459" spans="1:6" x14ac:dyDescent="0.4">
      <c r="A459" s="5" t="s">
        <v>17</v>
      </c>
      <c r="B459" s="5" t="s">
        <v>7</v>
      </c>
      <c r="C459" s="5" t="s">
        <v>11</v>
      </c>
      <c r="D459" s="5">
        <v>36</v>
      </c>
      <c r="E459" s="5">
        <v>1908</v>
      </c>
      <c r="F459" s="5">
        <v>68688</v>
      </c>
    </row>
    <row r="460" spans="1:6" x14ac:dyDescent="0.4">
      <c r="A460" s="5" t="s">
        <v>17</v>
      </c>
      <c r="B460" s="5" t="s">
        <v>21</v>
      </c>
      <c r="C460" s="5" t="s">
        <v>11</v>
      </c>
      <c r="D460" s="5">
        <v>30</v>
      </c>
      <c r="E460" s="5">
        <v>1078</v>
      </c>
      <c r="F460" s="5">
        <v>32340</v>
      </c>
    </row>
    <row r="461" spans="1:6" x14ac:dyDescent="0.4">
      <c r="A461" s="5" t="s">
        <v>9</v>
      </c>
      <c r="B461" s="5" t="s">
        <v>15</v>
      </c>
      <c r="C461" s="5" t="s">
        <v>22</v>
      </c>
      <c r="D461" s="5">
        <v>10</v>
      </c>
      <c r="E461" s="5">
        <v>1250</v>
      </c>
      <c r="F461" s="5">
        <v>12500</v>
      </c>
    </row>
    <row r="462" spans="1:6" x14ac:dyDescent="0.4">
      <c r="A462" s="5" t="s">
        <v>19</v>
      </c>
      <c r="B462" s="5" t="s">
        <v>21</v>
      </c>
      <c r="C462" s="5" t="s">
        <v>11</v>
      </c>
      <c r="D462" s="5">
        <v>2</v>
      </c>
      <c r="E462" s="5">
        <v>1497</v>
      </c>
      <c r="F462" s="5">
        <v>2994</v>
      </c>
    </row>
    <row r="463" spans="1:6" x14ac:dyDescent="0.4">
      <c r="A463" s="5" t="s">
        <v>17</v>
      </c>
      <c r="B463" s="5" t="s">
        <v>7</v>
      </c>
      <c r="C463" s="5" t="s">
        <v>14</v>
      </c>
      <c r="D463" s="5">
        <v>4</v>
      </c>
      <c r="E463" s="5">
        <v>380</v>
      </c>
      <c r="F463" s="5">
        <v>1520</v>
      </c>
    </row>
    <row r="464" spans="1:6" x14ac:dyDescent="0.4">
      <c r="A464" s="5" t="s">
        <v>17</v>
      </c>
      <c r="B464" s="5" t="s">
        <v>10</v>
      </c>
      <c r="C464" s="5" t="s">
        <v>22</v>
      </c>
      <c r="D464" s="5">
        <v>41</v>
      </c>
      <c r="E464" s="5">
        <v>508</v>
      </c>
      <c r="F464" s="5">
        <v>20828</v>
      </c>
    </row>
    <row r="465" spans="1:6" x14ac:dyDescent="0.4">
      <c r="A465" s="5" t="s">
        <v>9</v>
      </c>
      <c r="B465" s="5" t="s">
        <v>15</v>
      </c>
      <c r="C465" s="5" t="s">
        <v>11</v>
      </c>
      <c r="D465" s="5">
        <v>17</v>
      </c>
      <c r="E465" s="5">
        <v>1009</v>
      </c>
      <c r="F465" s="5">
        <v>17153</v>
      </c>
    </row>
    <row r="466" spans="1:6" x14ac:dyDescent="0.4">
      <c r="A466" s="5" t="s">
        <v>6</v>
      </c>
      <c r="B466" s="5" t="s">
        <v>12</v>
      </c>
      <c r="C466" s="5" t="s">
        <v>11</v>
      </c>
      <c r="D466" s="5">
        <v>22</v>
      </c>
      <c r="E466" s="5">
        <v>1130</v>
      </c>
      <c r="F466" s="5">
        <v>24860</v>
      </c>
    </row>
    <row r="467" spans="1:6" x14ac:dyDescent="0.4">
      <c r="A467" s="5" t="s">
        <v>6</v>
      </c>
      <c r="B467" s="5" t="s">
        <v>15</v>
      </c>
      <c r="C467" s="5" t="s">
        <v>13</v>
      </c>
      <c r="D467" s="5">
        <v>4</v>
      </c>
      <c r="E467" s="5">
        <v>1133</v>
      </c>
      <c r="F467" s="5">
        <v>4532</v>
      </c>
    </row>
    <row r="468" spans="1:6" x14ac:dyDescent="0.4">
      <c r="A468" s="5" t="s">
        <v>17</v>
      </c>
      <c r="B468" s="5" t="s">
        <v>15</v>
      </c>
      <c r="C468" s="5" t="s">
        <v>18</v>
      </c>
      <c r="D468" s="5">
        <v>43</v>
      </c>
      <c r="E468" s="5">
        <v>1373</v>
      </c>
      <c r="F468" s="5">
        <v>59039</v>
      </c>
    </row>
    <row r="469" spans="1:6" x14ac:dyDescent="0.4">
      <c r="A469" s="5" t="s">
        <v>17</v>
      </c>
      <c r="B469" s="5" t="s">
        <v>7</v>
      </c>
      <c r="C469" s="5" t="s">
        <v>23</v>
      </c>
      <c r="D469" s="5">
        <v>20</v>
      </c>
      <c r="E469" s="5">
        <v>868</v>
      </c>
      <c r="F469" s="5">
        <v>17360</v>
      </c>
    </row>
    <row r="470" spans="1:6" x14ac:dyDescent="0.4">
      <c r="A470" s="5" t="s">
        <v>19</v>
      </c>
      <c r="B470" s="5" t="s">
        <v>12</v>
      </c>
      <c r="C470" s="5" t="s">
        <v>23</v>
      </c>
      <c r="D470" s="5">
        <v>9</v>
      </c>
      <c r="E470" s="5">
        <v>1596</v>
      </c>
      <c r="F470" s="5">
        <v>14364</v>
      </c>
    </row>
    <row r="471" spans="1:6" x14ac:dyDescent="0.4">
      <c r="A471" s="5" t="s">
        <v>17</v>
      </c>
      <c r="B471" s="5" t="s">
        <v>15</v>
      </c>
      <c r="C471" s="5" t="s">
        <v>23</v>
      </c>
      <c r="D471" s="5">
        <v>49</v>
      </c>
      <c r="E471" s="5">
        <v>1505</v>
      </c>
      <c r="F471" s="5">
        <v>73745</v>
      </c>
    </row>
    <row r="472" spans="1:6" x14ac:dyDescent="0.4">
      <c r="A472" s="5" t="s">
        <v>19</v>
      </c>
      <c r="B472" s="5" t="s">
        <v>7</v>
      </c>
      <c r="C472" s="5" t="s">
        <v>13</v>
      </c>
      <c r="D472" s="5">
        <v>37</v>
      </c>
      <c r="E472" s="5">
        <v>904</v>
      </c>
      <c r="F472" s="5">
        <v>33448</v>
      </c>
    </row>
    <row r="473" spans="1:6" x14ac:dyDescent="0.4">
      <c r="A473" s="5" t="s">
        <v>17</v>
      </c>
      <c r="B473" s="5" t="s">
        <v>7</v>
      </c>
      <c r="C473" s="5" t="s">
        <v>14</v>
      </c>
      <c r="D473" s="5">
        <v>25</v>
      </c>
      <c r="E473" s="5">
        <v>1845</v>
      </c>
      <c r="F473" s="5">
        <v>46125</v>
      </c>
    </row>
    <row r="474" spans="1:6" x14ac:dyDescent="0.4">
      <c r="A474" s="5" t="s">
        <v>6</v>
      </c>
      <c r="B474" s="5" t="s">
        <v>7</v>
      </c>
      <c r="C474" s="5" t="s">
        <v>13</v>
      </c>
      <c r="D474" s="5">
        <v>46</v>
      </c>
      <c r="E474" s="5">
        <v>1267</v>
      </c>
      <c r="F474" s="5">
        <v>58282</v>
      </c>
    </row>
    <row r="475" spans="1:6" x14ac:dyDescent="0.4">
      <c r="A475" s="5" t="s">
        <v>9</v>
      </c>
      <c r="B475" s="5" t="s">
        <v>10</v>
      </c>
      <c r="C475" s="5" t="s">
        <v>13</v>
      </c>
      <c r="D475" s="5">
        <v>6</v>
      </c>
      <c r="E475" s="5">
        <v>879</v>
      </c>
      <c r="F475" s="5">
        <v>5274</v>
      </c>
    </row>
    <row r="476" spans="1:6" x14ac:dyDescent="0.4">
      <c r="A476" s="5" t="s">
        <v>9</v>
      </c>
      <c r="B476" s="5" t="s">
        <v>7</v>
      </c>
      <c r="C476" s="5" t="s">
        <v>18</v>
      </c>
      <c r="D476" s="5">
        <v>38</v>
      </c>
      <c r="E476" s="5">
        <v>180</v>
      </c>
      <c r="F476" s="5">
        <v>6840</v>
      </c>
    </row>
    <row r="477" spans="1:6" x14ac:dyDescent="0.4">
      <c r="A477" s="5" t="s">
        <v>6</v>
      </c>
      <c r="B477" s="5" t="s">
        <v>7</v>
      </c>
      <c r="C477" s="5" t="s">
        <v>24</v>
      </c>
      <c r="D477" s="5">
        <v>15</v>
      </c>
      <c r="E477" s="5">
        <v>543</v>
      </c>
      <c r="F477" s="5">
        <v>8145</v>
      </c>
    </row>
    <row r="478" spans="1:6" x14ac:dyDescent="0.4">
      <c r="A478" s="5" t="s">
        <v>19</v>
      </c>
      <c r="B478" s="5" t="s">
        <v>15</v>
      </c>
      <c r="C478" s="5" t="s">
        <v>13</v>
      </c>
      <c r="D478" s="5">
        <v>25</v>
      </c>
      <c r="E478" s="5">
        <v>554</v>
      </c>
      <c r="F478" s="5">
        <v>13850</v>
      </c>
    </row>
    <row r="479" spans="1:6" x14ac:dyDescent="0.4">
      <c r="A479" s="5" t="s">
        <v>6</v>
      </c>
      <c r="B479" s="5" t="s">
        <v>10</v>
      </c>
      <c r="C479" s="5" t="s">
        <v>13</v>
      </c>
      <c r="D479" s="5">
        <v>8</v>
      </c>
      <c r="E479" s="5">
        <v>1383</v>
      </c>
      <c r="F479" s="5">
        <v>11064</v>
      </c>
    </row>
    <row r="480" spans="1:6" x14ac:dyDescent="0.4">
      <c r="A480" s="5" t="s">
        <v>19</v>
      </c>
      <c r="B480" s="5" t="s">
        <v>15</v>
      </c>
      <c r="C480" s="5" t="s">
        <v>18</v>
      </c>
      <c r="D480" s="5">
        <v>48</v>
      </c>
      <c r="E480" s="5">
        <v>1972</v>
      </c>
      <c r="F480" s="5">
        <v>94656</v>
      </c>
    </row>
    <row r="481" spans="1:6" x14ac:dyDescent="0.4">
      <c r="A481" s="5" t="s">
        <v>17</v>
      </c>
      <c r="B481" s="5" t="s">
        <v>21</v>
      </c>
      <c r="C481" s="5" t="s">
        <v>8</v>
      </c>
      <c r="D481" s="5">
        <v>28</v>
      </c>
      <c r="E481" s="5">
        <v>1664</v>
      </c>
      <c r="F481" s="5">
        <v>46592</v>
      </c>
    </row>
    <row r="482" spans="1:6" x14ac:dyDescent="0.4">
      <c r="A482" s="5" t="s">
        <v>6</v>
      </c>
      <c r="B482" s="5" t="s">
        <v>15</v>
      </c>
      <c r="C482" s="5" t="s">
        <v>24</v>
      </c>
      <c r="D482" s="5">
        <v>37</v>
      </c>
      <c r="E482" s="5">
        <v>1801</v>
      </c>
      <c r="F482" s="5">
        <v>66637</v>
      </c>
    </row>
    <row r="483" spans="1:6" x14ac:dyDescent="0.4">
      <c r="A483" s="5" t="s">
        <v>19</v>
      </c>
      <c r="B483" s="5" t="s">
        <v>10</v>
      </c>
      <c r="C483" s="5" t="s">
        <v>24</v>
      </c>
      <c r="D483" s="5">
        <v>49</v>
      </c>
      <c r="E483" s="5">
        <v>1690</v>
      </c>
      <c r="F483" s="5">
        <v>82810</v>
      </c>
    </row>
    <row r="484" spans="1:6" x14ac:dyDescent="0.4">
      <c r="A484" s="5" t="s">
        <v>17</v>
      </c>
      <c r="B484" s="5" t="s">
        <v>15</v>
      </c>
      <c r="C484" s="5" t="s">
        <v>22</v>
      </c>
      <c r="D484" s="5">
        <v>39</v>
      </c>
      <c r="E484" s="5">
        <v>1644</v>
      </c>
      <c r="F484" s="5">
        <v>64116</v>
      </c>
    </row>
    <row r="485" spans="1:6" x14ac:dyDescent="0.4">
      <c r="A485" s="5" t="s">
        <v>9</v>
      </c>
      <c r="B485" s="5" t="s">
        <v>10</v>
      </c>
      <c r="C485" s="5" t="s">
        <v>24</v>
      </c>
      <c r="D485" s="5">
        <v>43</v>
      </c>
      <c r="E485" s="5">
        <v>1253</v>
      </c>
      <c r="F485" s="5">
        <v>53879</v>
      </c>
    </row>
    <row r="486" spans="1:6" x14ac:dyDescent="0.4">
      <c r="A486" s="5" t="s">
        <v>6</v>
      </c>
      <c r="B486" s="5" t="s">
        <v>7</v>
      </c>
      <c r="C486" s="5" t="s">
        <v>8</v>
      </c>
      <c r="D486" s="5">
        <v>23</v>
      </c>
      <c r="E486" s="5">
        <v>1291</v>
      </c>
      <c r="F486" s="5">
        <v>29693</v>
      </c>
    </row>
    <row r="487" spans="1:6" x14ac:dyDescent="0.4">
      <c r="A487" s="5" t="s">
        <v>6</v>
      </c>
      <c r="B487" s="5" t="s">
        <v>10</v>
      </c>
      <c r="C487" s="5" t="s">
        <v>22</v>
      </c>
      <c r="D487" s="5">
        <v>45</v>
      </c>
      <c r="E487" s="5">
        <v>1074</v>
      </c>
      <c r="F487" s="5">
        <v>48330</v>
      </c>
    </row>
    <row r="488" spans="1:6" x14ac:dyDescent="0.4">
      <c r="A488" s="5" t="s">
        <v>9</v>
      </c>
      <c r="B488" s="5" t="s">
        <v>12</v>
      </c>
      <c r="C488" s="5" t="s">
        <v>22</v>
      </c>
      <c r="D488" s="5">
        <v>31</v>
      </c>
      <c r="E488" s="5">
        <v>1238</v>
      </c>
      <c r="F488" s="5">
        <v>38378</v>
      </c>
    </row>
    <row r="489" spans="1:6" x14ac:dyDescent="0.4">
      <c r="A489" s="5" t="s">
        <v>19</v>
      </c>
      <c r="B489" s="5" t="s">
        <v>10</v>
      </c>
      <c r="C489" s="5" t="s">
        <v>20</v>
      </c>
      <c r="D489" s="5">
        <v>45</v>
      </c>
      <c r="E489" s="5">
        <v>1458</v>
      </c>
      <c r="F489" s="5">
        <v>65610</v>
      </c>
    </row>
    <row r="490" spans="1:6" x14ac:dyDescent="0.4">
      <c r="A490" s="5" t="s">
        <v>6</v>
      </c>
      <c r="B490" s="5" t="s">
        <v>7</v>
      </c>
      <c r="C490" s="5" t="s">
        <v>11</v>
      </c>
      <c r="D490" s="5">
        <v>40</v>
      </c>
      <c r="E490" s="5">
        <v>1513</v>
      </c>
      <c r="F490" s="5">
        <v>60520</v>
      </c>
    </row>
    <row r="491" spans="1:6" x14ac:dyDescent="0.4">
      <c r="A491" s="5" t="s">
        <v>6</v>
      </c>
      <c r="B491" s="5" t="s">
        <v>10</v>
      </c>
      <c r="C491" s="5" t="s">
        <v>11</v>
      </c>
      <c r="D491" s="5">
        <v>19</v>
      </c>
      <c r="E491" s="5">
        <v>779</v>
      </c>
      <c r="F491" s="5">
        <v>14801</v>
      </c>
    </row>
    <row r="492" spans="1:6" x14ac:dyDescent="0.4">
      <c r="A492" s="5" t="s">
        <v>17</v>
      </c>
      <c r="B492" s="5" t="s">
        <v>21</v>
      </c>
      <c r="C492" s="5" t="s">
        <v>24</v>
      </c>
      <c r="D492" s="5">
        <v>19</v>
      </c>
      <c r="E492" s="5">
        <v>1374</v>
      </c>
      <c r="F492" s="5">
        <v>26106</v>
      </c>
    </row>
    <row r="493" spans="1:6" x14ac:dyDescent="0.4">
      <c r="A493" s="5" t="s">
        <v>19</v>
      </c>
      <c r="B493" s="5" t="s">
        <v>7</v>
      </c>
      <c r="C493" s="5" t="s">
        <v>24</v>
      </c>
      <c r="D493" s="5">
        <v>4</v>
      </c>
      <c r="E493" s="5">
        <v>1000</v>
      </c>
      <c r="F493" s="5">
        <v>4000</v>
      </c>
    </row>
    <row r="494" spans="1:6" x14ac:dyDescent="0.4">
      <c r="A494" s="5" t="s">
        <v>9</v>
      </c>
      <c r="B494" s="5" t="s">
        <v>10</v>
      </c>
      <c r="C494" s="5" t="s">
        <v>14</v>
      </c>
      <c r="D494" s="5">
        <v>38</v>
      </c>
      <c r="E494" s="5">
        <v>320</v>
      </c>
      <c r="F494" s="5">
        <v>12160</v>
      </c>
    </row>
    <row r="495" spans="1:6" x14ac:dyDescent="0.4">
      <c r="A495" s="5" t="s">
        <v>19</v>
      </c>
      <c r="B495" s="5" t="s">
        <v>12</v>
      </c>
      <c r="C495" s="5" t="s">
        <v>24</v>
      </c>
      <c r="D495" s="5">
        <v>4</v>
      </c>
      <c r="E495" s="5">
        <v>308</v>
      </c>
      <c r="F495" s="5">
        <v>1232</v>
      </c>
    </row>
    <row r="496" spans="1:6" x14ac:dyDescent="0.4">
      <c r="A496" s="5" t="s">
        <v>17</v>
      </c>
      <c r="B496" s="5" t="s">
        <v>7</v>
      </c>
      <c r="C496" s="5" t="s">
        <v>16</v>
      </c>
      <c r="D496" s="5">
        <v>14</v>
      </c>
      <c r="E496" s="5">
        <v>1788</v>
      </c>
      <c r="F496" s="5">
        <v>25032</v>
      </c>
    </row>
    <row r="497" spans="1:6" x14ac:dyDescent="0.4">
      <c r="A497" s="5" t="s">
        <v>19</v>
      </c>
      <c r="B497" s="5" t="s">
        <v>7</v>
      </c>
      <c r="C497" s="5" t="s">
        <v>14</v>
      </c>
      <c r="D497" s="5">
        <v>15</v>
      </c>
      <c r="E497" s="5">
        <v>203</v>
      </c>
      <c r="F497" s="5">
        <v>3045</v>
      </c>
    </row>
    <row r="498" spans="1:6" x14ac:dyDescent="0.4">
      <c r="A498" s="5" t="s">
        <v>9</v>
      </c>
      <c r="B498" s="5" t="s">
        <v>12</v>
      </c>
      <c r="C498" s="5" t="s">
        <v>11</v>
      </c>
      <c r="D498" s="5">
        <v>5</v>
      </c>
      <c r="E498" s="5">
        <v>430</v>
      </c>
      <c r="F498" s="5">
        <v>2150</v>
      </c>
    </row>
    <row r="499" spans="1:6" x14ac:dyDescent="0.4">
      <c r="A499" s="5" t="s">
        <v>9</v>
      </c>
      <c r="B499" s="5" t="s">
        <v>12</v>
      </c>
      <c r="C499" s="5" t="s">
        <v>14</v>
      </c>
      <c r="D499" s="5">
        <v>34</v>
      </c>
      <c r="E499" s="5">
        <v>1721</v>
      </c>
      <c r="F499" s="5">
        <v>58514</v>
      </c>
    </row>
    <row r="500" spans="1:6" x14ac:dyDescent="0.4">
      <c r="A500" s="5" t="s">
        <v>6</v>
      </c>
      <c r="B500" s="5" t="s">
        <v>12</v>
      </c>
      <c r="C500" s="5" t="s">
        <v>14</v>
      </c>
      <c r="D500" s="5">
        <v>4</v>
      </c>
      <c r="E500" s="5">
        <v>1010</v>
      </c>
      <c r="F500" s="5">
        <v>4040</v>
      </c>
    </row>
    <row r="501" spans="1:6" x14ac:dyDescent="0.4">
      <c r="A501" s="5" t="s">
        <v>9</v>
      </c>
      <c r="B501" s="5" t="s">
        <v>21</v>
      </c>
      <c r="C501" s="5" t="s">
        <v>22</v>
      </c>
      <c r="D501" s="5">
        <v>6</v>
      </c>
      <c r="E501" s="5">
        <v>1925</v>
      </c>
      <c r="F501" s="5">
        <v>11550</v>
      </c>
    </row>
    <row r="502" spans="1:6" x14ac:dyDescent="0.4">
      <c r="A502" s="5" t="s">
        <v>9</v>
      </c>
      <c r="B502" s="5" t="s">
        <v>21</v>
      </c>
      <c r="C502" s="5" t="s">
        <v>20</v>
      </c>
      <c r="D502" s="5">
        <v>18</v>
      </c>
      <c r="E502" s="5">
        <v>1628</v>
      </c>
      <c r="F502" s="5">
        <v>29304</v>
      </c>
    </row>
    <row r="503" spans="1:6" x14ac:dyDescent="0.4">
      <c r="A503" s="5" t="s">
        <v>9</v>
      </c>
      <c r="B503" s="5" t="s">
        <v>7</v>
      </c>
      <c r="C503" s="5" t="s">
        <v>14</v>
      </c>
      <c r="D503" s="5">
        <v>6</v>
      </c>
      <c r="E503" s="5">
        <v>1900</v>
      </c>
      <c r="F503" s="5">
        <v>11400</v>
      </c>
    </row>
    <row r="504" spans="1:6" x14ac:dyDescent="0.4">
      <c r="A504" s="5" t="s">
        <v>17</v>
      </c>
      <c r="B504" s="5" t="s">
        <v>10</v>
      </c>
      <c r="C504" s="5" t="s">
        <v>20</v>
      </c>
      <c r="D504" s="5">
        <v>49</v>
      </c>
      <c r="E504" s="5">
        <v>1636</v>
      </c>
      <c r="F504" s="5">
        <v>80164</v>
      </c>
    </row>
    <row r="505" spans="1:6" x14ac:dyDescent="0.4">
      <c r="A505" s="5" t="s">
        <v>6</v>
      </c>
      <c r="B505" s="5" t="s">
        <v>7</v>
      </c>
      <c r="C505" s="5" t="s">
        <v>8</v>
      </c>
      <c r="D505" s="5">
        <v>43</v>
      </c>
      <c r="E505" s="5">
        <v>493</v>
      </c>
      <c r="F505" s="5">
        <v>21199</v>
      </c>
    </row>
    <row r="506" spans="1:6" x14ac:dyDescent="0.4">
      <c r="A506" s="5" t="s">
        <v>17</v>
      </c>
      <c r="B506" s="5" t="s">
        <v>21</v>
      </c>
      <c r="C506" s="5" t="s">
        <v>23</v>
      </c>
      <c r="D506" s="5">
        <v>20</v>
      </c>
      <c r="E506" s="5">
        <v>510</v>
      </c>
      <c r="F506" s="5">
        <v>10200</v>
      </c>
    </row>
    <row r="507" spans="1:6" x14ac:dyDescent="0.4">
      <c r="A507" s="5" t="s">
        <v>17</v>
      </c>
      <c r="B507" s="5" t="s">
        <v>10</v>
      </c>
      <c r="C507" s="5" t="s">
        <v>20</v>
      </c>
      <c r="D507" s="5">
        <v>38</v>
      </c>
      <c r="E507" s="5">
        <v>1279</v>
      </c>
      <c r="F507" s="5">
        <v>48602</v>
      </c>
    </row>
    <row r="508" spans="1:6" x14ac:dyDescent="0.4">
      <c r="A508" s="5" t="s">
        <v>6</v>
      </c>
      <c r="B508" s="5" t="s">
        <v>21</v>
      </c>
      <c r="C508" s="5" t="s">
        <v>16</v>
      </c>
      <c r="D508" s="5">
        <v>35</v>
      </c>
      <c r="E508" s="5">
        <v>610</v>
      </c>
      <c r="F508" s="5">
        <v>21350</v>
      </c>
    </row>
    <row r="509" spans="1:6" x14ac:dyDescent="0.4">
      <c r="A509" s="5" t="s">
        <v>9</v>
      </c>
      <c r="B509" s="5" t="s">
        <v>10</v>
      </c>
      <c r="C509" s="5" t="s">
        <v>13</v>
      </c>
      <c r="D509" s="5">
        <v>28</v>
      </c>
      <c r="E509" s="5">
        <v>1843</v>
      </c>
      <c r="F509" s="5">
        <v>51604</v>
      </c>
    </row>
    <row r="510" spans="1:6" x14ac:dyDescent="0.4">
      <c r="A510" s="5" t="s">
        <v>6</v>
      </c>
      <c r="B510" s="5" t="s">
        <v>21</v>
      </c>
      <c r="C510" s="5" t="s">
        <v>16</v>
      </c>
      <c r="D510" s="5">
        <v>28</v>
      </c>
      <c r="E510" s="5">
        <v>1798</v>
      </c>
      <c r="F510" s="5">
        <v>50344</v>
      </c>
    </row>
    <row r="511" spans="1:6" x14ac:dyDescent="0.4">
      <c r="A511" s="5" t="s">
        <v>6</v>
      </c>
      <c r="B511" s="5" t="s">
        <v>10</v>
      </c>
      <c r="C511" s="5" t="s">
        <v>16</v>
      </c>
      <c r="D511" s="5">
        <v>2</v>
      </c>
      <c r="E511" s="5">
        <v>1558</v>
      </c>
      <c r="F511" s="5">
        <v>3116</v>
      </c>
    </row>
    <row r="512" spans="1:6" x14ac:dyDescent="0.4">
      <c r="A512" s="5" t="s">
        <v>6</v>
      </c>
      <c r="B512" s="5" t="s">
        <v>12</v>
      </c>
      <c r="C512" s="5" t="s">
        <v>18</v>
      </c>
      <c r="D512" s="5">
        <v>14</v>
      </c>
      <c r="E512" s="5">
        <v>1942</v>
      </c>
      <c r="F512" s="5">
        <v>27188</v>
      </c>
    </row>
    <row r="513" spans="1:6" x14ac:dyDescent="0.4">
      <c r="A513" s="5" t="s">
        <v>17</v>
      </c>
      <c r="B513" s="5" t="s">
        <v>21</v>
      </c>
      <c r="C513" s="5" t="s">
        <v>8</v>
      </c>
      <c r="D513" s="5">
        <v>26</v>
      </c>
      <c r="E513" s="5">
        <v>1232</v>
      </c>
      <c r="F513" s="5">
        <v>32032</v>
      </c>
    </row>
    <row r="514" spans="1:6" x14ac:dyDescent="0.4">
      <c r="A514" s="5" t="s">
        <v>17</v>
      </c>
      <c r="B514" s="5" t="s">
        <v>15</v>
      </c>
      <c r="C514" s="5" t="s">
        <v>24</v>
      </c>
      <c r="D514" s="5">
        <v>13</v>
      </c>
      <c r="E514" s="5">
        <v>460</v>
      </c>
      <c r="F514" s="5">
        <v>5980</v>
      </c>
    </row>
    <row r="515" spans="1:6" x14ac:dyDescent="0.4">
      <c r="A515" s="5" t="s">
        <v>17</v>
      </c>
      <c r="B515" s="5" t="s">
        <v>10</v>
      </c>
      <c r="C515" s="5" t="s">
        <v>23</v>
      </c>
      <c r="D515" s="5">
        <v>11</v>
      </c>
      <c r="E515" s="5">
        <v>513</v>
      </c>
      <c r="F515" s="5">
        <v>5643</v>
      </c>
    </row>
    <row r="516" spans="1:6" x14ac:dyDescent="0.4">
      <c r="A516" s="5" t="s">
        <v>19</v>
      </c>
      <c r="B516" s="5" t="s">
        <v>21</v>
      </c>
      <c r="C516" s="5" t="s">
        <v>18</v>
      </c>
      <c r="D516" s="5">
        <v>39</v>
      </c>
      <c r="E516" s="5">
        <v>1869</v>
      </c>
      <c r="F516" s="5">
        <v>72891</v>
      </c>
    </row>
    <row r="517" spans="1:6" x14ac:dyDescent="0.4">
      <c r="A517" s="5" t="s">
        <v>6</v>
      </c>
      <c r="B517" s="5" t="s">
        <v>15</v>
      </c>
      <c r="C517" s="5" t="s">
        <v>20</v>
      </c>
      <c r="D517" s="5">
        <v>15</v>
      </c>
      <c r="E517" s="5">
        <v>1541</v>
      </c>
      <c r="F517" s="5">
        <v>23115</v>
      </c>
    </row>
    <row r="518" spans="1:6" x14ac:dyDescent="0.4">
      <c r="A518" s="5" t="s">
        <v>19</v>
      </c>
      <c r="B518" s="5" t="s">
        <v>7</v>
      </c>
      <c r="C518" s="5" t="s">
        <v>24</v>
      </c>
      <c r="D518" s="5">
        <v>33</v>
      </c>
      <c r="E518" s="5">
        <v>1779</v>
      </c>
      <c r="F518" s="5">
        <v>58707</v>
      </c>
    </row>
    <row r="519" spans="1:6" x14ac:dyDescent="0.4">
      <c r="A519" s="5" t="s">
        <v>19</v>
      </c>
      <c r="B519" s="5" t="s">
        <v>21</v>
      </c>
      <c r="C519" s="5" t="s">
        <v>23</v>
      </c>
      <c r="D519" s="5">
        <v>28</v>
      </c>
      <c r="E519" s="5">
        <v>1032</v>
      </c>
      <c r="F519" s="5">
        <v>28896</v>
      </c>
    </row>
    <row r="520" spans="1:6" x14ac:dyDescent="0.4">
      <c r="A520" s="5" t="s">
        <v>19</v>
      </c>
      <c r="B520" s="5" t="s">
        <v>7</v>
      </c>
      <c r="C520" s="5" t="s">
        <v>22</v>
      </c>
      <c r="D520" s="5">
        <v>32</v>
      </c>
      <c r="E520" s="5">
        <v>170</v>
      </c>
      <c r="F520" s="5">
        <v>5440</v>
      </c>
    </row>
    <row r="521" spans="1:6" x14ac:dyDescent="0.4">
      <c r="A521" s="5" t="s">
        <v>9</v>
      </c>
      <c r="B521" s="5" t="s">
        <v>10</v>
      </c>
      <c r="C521" s="5" t="s">
        <v>24</v>
      </c>
      <c r="D521" s="5">
        <v>27</v>
      </c>
      <c r="E521" s="5">
        <v>570</v>
      </c>
      <c r="F521" s="5">
        <v>15390</v>
      </c>
    </row>
    <row r="522" spans="1:6" x14ac:dyDescent="0.4">
      <c r="A522" s="5" t="s">
        <v>17</v>
      </c>
      <c r="B522" s="5" t="s">
        <v>7</v>
      </c>
      <c r="C522" s="5" t="s">
        <v>8</v>
      </c>
      <c r="D522" s="5">
        <v>23</v>
      </c>
      <c r="E522" s="5">
        <v>961</v>
      </c>
      <c r="F522" s="5">
        <v>22103</v>
      </c>
    </row>
    <row r="523" spans="1:6" x14ac:dyDescent="0.4">
      <c r="A523" s="5" t="s">
        <v>6</v>
      </c>
      <c r="B523" s="5" t="s">
        <v>21</v>
      </c>
      <c r="C523" s="5" t="s">
        <v>22</v>
      </c>
      <c r="D523" s="5">
        <v>32</v>
      </c>
      <c r="E523" s="5">
        <v>335</v>
      </c>
      <c r="F523" s="5">
        <v>10720</v>
      </c>
    </row>
    <row r="524" spans="1:6" x14ac:dyDescent="0.4">
      <c r="A524" s="5" t="s">
        <v>19</v>
      </c>
      <c r="B524" s="5" t="s">
        <v>21</v>
      </c>
      <c r="C524" s="5" t="s">
        <v>18</v>
      </c>
      <c r="D524" s="5">
        <v>12</v>
      </c>
      <c r="E524" s="5">
        <v>854</v>
      </c>
      <c r="F524" s="5">
        <v>10248</v>
      </c>
    </row>
    <row r="525" spans="1:6" x14ac:dyDescent="0.4">
      <c r="A525" s="5" t="s">
        <v>9</v>
      </c>
      <c r="B525" s="5" t="s">
        <v>10</v>
      </c>
      <c r="C525" s="5" t="s">
        <v>18</v>
      </c>
      <c r="D525" s="5">
        <v>6</v>
      </c>
      <c r="E525" s="5">
        <v>733</v>
      </c>
      <c r="F525" s="5">
        <v>4398</v>
      </c>
    </row>
    <row r="526" spans="1:6" x14ac:dyDescent="0.4">
      <c r="A526" s="5" t="s">
        <v>19</v>
      </c>
      <c r="B526" s="5" t="s">
        <v>7</v>
      </c>
      <c r="C526" s="5" t="s">
        <v>8</v>
      </c>
      <c r="D526" s="5">
        <v>14</v>
      </c>
      <c r="E526" s="5">
        <v>1702</v>
      </c>
      <c r="F526" s="5">
        <v>23828</v>
      </c>
    </row>
    <row r="527" spans="1:6" x14ac:dyDescent="0.4">
      <c r="A527" s="5" t="s">
        <v>19</v>
      </c>
      <c r="B527" s="5" t="s">
        <v>10</v>
      </c>
      <c r="C527" s="5" t="s">
        <v>13</v>
      </c>
      <c r="D527" s="5">
        <v>1</v>
      </c>
      <c r="E527" s="5">
        <v>748</v>
      </c>
      <c r="F527" s="5">
        <v>748</v>
      </c>
    </row>
    <row r="528" spans="1:6" x14ac:dyDescent="0.4">
      <c r="A528" s="5" t="s">
        <v>19</v>
      </c>
      <c r="B528" s="5" t="s">
        <v>12</v>
      </c>
      <c r="C528" s="5" t="s">
        <v>14</v>
      </c>
      <c r="D528" s="5">
        <v>30</v>
      </c>
      <c r="E528" s="5">
        <v>1266</v>
      </c>
      <c r="F528" s="5">
        <v>37980</v>
      </c>
    </row>
    <row r="529" spans="1:6" x14ac:dyDescent="0.4">
      <c r="A529" s="5" t="s">
        <v>17</v>
      </c>
      <c r="B529" s="5" t="s">
        <v>21</v>
      </c>
      <c r="C529" s="5" t="s">
        <v>22</v>
      </c>
      <c r="D529" s="5">
        <v>48</v>
      </c>
      <c r="E529" s="5">
        <v>1510</v>
      </c>
      <c r="F529" s="5">
        <v>72480</v>
      </c>
    </row>
    <row r="530" spans="1:6" x14ac:dyDescent="0.4">
      <c r="A530" s="5" t="s">
        <v>17</v>
      </c>
      <c r="B530" s="5" t="s">
        <v>15</v>
      </c>
      <c r="C530" s="5" t="s">
        <v>23</v>
      </c>
      <c r="D530" s="5">
        <v>30</v>
      </c>
      <c r="E530" s="5">
        <v>324</v>
      </c>
      <c r="F530" s="5">
        <v>9720</v>
      </c>
    </row>
    <row r="531" spans="1:6" x14ac:dyDescent="0.4">
      <c r="A531" s="5" t="s">
        <v>9</v>
      </c>
      <c r="B531" s="5" t="s">
        <v>21</v>
      </c>
      <c r="C531" s="5" t="s">
        <v>24</v>
      </c>
      <c r="D531" s="5">
        <v>8</v>
      </c>
      <c r="E531" s="5">
        <v>797</v>
      </c>
      <c r="F531" s="5">
        <v>6376</v>
      </c>
    </row>
    <row r="532" spans="1:6" x14ac:dyDescent="0.4">
      <c r="A532" s="5" t="s">
        <v>17</v>
      </c>
      <c r="B532" s="5" t="s">
        <v>15</v>
      </c>
      <c r="C532" s="5" t="s">
        <v>16</v>
      </c>
      <c r="D532" s="5">
        <v>22</v>
      </c>
      <c r="E532" s="5">
        <v>263</v>
      </c>
      <c r="F532" s="5">
        <v>5786</v>
      </c>
    </row>
    <row r="533" spans="1:6" x14ac:dyDescent="0.4">
      <c r="A533" s="5" t="s">
        <v>19</v>
      </c>
      <c r="B533" s="5" t="s">
        <v>15</v>
      </c>
      <c r="C533" s="5" t="s">
        <v>16</v>
      </c>
      <c r="D533" s="5">
        <v>13</v>
      </c>
      <c r="E533" s="5">
        <v>998</v>
      </c>
      <c r="F533" s="5">
        <v>12974</v>
      </c>
    </row>
    <row r="534" spans="1:6" x14ac:dyDescent="0.4">
      <c r="A534" s="5" t="s">
        <v>19</v>
      </c>
      <c r="B534" s="5" t="s">
        <v>21</v>
      </c>
      <c r="C534" s="5" t="s">
        <v>24</v>
      </c>
      <c r="D534" s="5">
        <v>12</v>
      </c>
      <c r="E534" s="5">
        <v>794</v>
      </c>
      <c r="F534" s="5">
        <v>9528</v>
      </c>
    </row>
    <row r="535" spans="1:6" x14ac:dyDescent="0.4">
      <c r="A535" s="5" t="s">
        <v>6</v>
      </c>
      <c r="B535" s="5" t="s">
        <v>15</v>
      </c>
      <c r="C535" s="5" t="s">
        <v>16</v>
      </c>
      <c r="D535" s="5">
        <v>22</v>
      </c>
      <c r="E535" s="5">
        <v>1033</v>
      </c>
      <c r="F535" s="5">
        <v>22726</v>
      </c>
    </row>
    <row r="536" spans="1:6" x14ac:dyDescent="0.4">
      <c r="A536" s="5" t="s">
        <v>9</v>
      </c>
      <c r="B536" s="5" t="s">
        <v>12</v>
      </c>
      <c r="C536" s="5" t="s">
        <v>23</v>
      </c>
      <c r="D536" s="5">
        <v>44</v>
      </c>
      <c r="E536" s="5">
        <v>359</v>
      </c>
      <c r="F536" s="5">
        <v>15796</v>
      </c>
    </row>
    <row r="537" spans="1:6" x14ac:dyDescent="0.4">
      <c r="A537" s="5" t="s">
        <v>9</v>
      </c>
      <c r="B537" s="5" t="s">
        <v>21</v>
      </c>
      <c r="C537" s="5" t="s">
        <v>18</v>
      </c>
      <c r="D537" s="5">
        <v>6</v>
      </c>
      <c r="E537" s="5">
        <v>155</v>
      </c>
      <c r="F537" s="5">
        <v>930</v>
      </c>
    </row>
    <row r="538" spans="1:6" x14ac:dyDescent="0.4">
      <c r="A538" s="5" t="s">
        <v>19</v>
      </c>
      <c r="B538" s="5" t="s">
        <v>12</v>
      </c>
      <c r="C538" s="5" t="s">
        <v>23</v>
      </c>
      <c r="D538" s="5">
        <v>20</v>
      </c>
      <c r="E538" s="5">
        <v>1160</v>
      </c>
      <c r="F538" s="5">
        <v>23200</v>
      </c>
    </row>
    <row r="539" spans="1:6" x14ac:dyDescent="0.4">
      <c r="A539" s="5" t="s">
        <v>17</v>
      </c>
      <c r="B539" s="5" t="s">
        <v>12</v>
      </c>
      <c r="C539" s="5" t="s">
        <v>24</v>
      </c>
      <c r="D539" s="5">
        <v>8</v>
      </c>
      <c r="E539" s="5">
        <v>1977</v>
      </c>
      <c r="F539" s="5">
        <v>15816</v>
      </c>
    </row>
    <row r="540" spans="1:6" x14ac:dyDescent="0.4">
      <c r="A540" s="5" t="s">
        <v>17</v>
      </c>
      <c r="B540" s="5" t="s">
        <v>10</v>
      </c>
      <c r="C540" s="5" t="s">
        <v>11</v>
      </c>
      <c r="D540" s="5">
        <v>28</v>
      </c>
      <c r="E540" s="5">
        <v>385</v>
      </c>
      <c r="F540" s="5">
        <v>10780</v>
      </c>
    </row>
    <row r="541" spans="1:6" x14ac:dyDescent="0.4">
      <c r="A541" s="5" t="s">
        <v>9</v>
      </c>
      <c r="B541" s="5" t="s">
        <v>12</v>
      </c>
      <c r="C541" s="5" t="s">
        <v>24</v>
      </c>
      <c r="D541" s="5">
        <v>43</v>
      </c>
      <c r="E541" s="5">
        <v>1679</v>
      </c>
      <c r="F541" s="5">
        <v>72197</v>
      </c>
    </row>
    <row r="542" spans="1:6" x14ac:dyDescent="0.4">
      <c r="A542" s="5" t="s">
        <v>17</v>
      </c>
      <c r="B542" s="5" t="s">
        <v>21</v>
      </c>
      <c r="C542" s="5" t="s">
        <v>22</v>
      </c>
      <c r="D542" s="5">
        <v>15</v>
      </c>
      <c r="E542" s="5">
        <v>1701</v>
      </c>
      <c r="F542" s="5">
        <v>25515</v>
      </c>
    </row>
    <row r="543" spans="1:6" x14ac:dyDescent="0.4">
      <c r="A543" s="5" t="s">
        <v>6</v>
      </c>
      <c r="B543" s="5" t="s">
        <v>10</v>
      </c>
      <c r="C543" s="5" t="s">
        <v>23</v>
      </c>
      <c r="D543" s="5">
        <v>12</v>
      </c>
      <c r="E543" s="5">
        <v>318</v>
      </c>
      <c r="F543" s="5">
        <v>3816</v>
      </c>
    </row>
    <row r="544" spans="1:6" x14ac:dyDescent="0.4">
      <c r="A544" s="5" t="s">
        <v>6</v>
      </c>
      <c r="B544" s="5" t="s">
        <v>10</v>
      </c>
      <c r="C544" s="5" t="s">
        <v>11</v>
      </c>
      <c r="D544" s="5">
        <v>28</v>
      </c>
      <c r="E544" s="5">
        <v>348</v>
      </c>
      <c r="F544" s="5">
        <v>9744</v>
      </c>
    </row>
    <row r="545" spans="1:6" x14ac:dyDescent="0.4">
      <c r="A545" s="5" t="s">
        <v>6</v>
      </c>
      <c r="B545" s="5" t="s">
        <v>21</v>
      </c>
      <c r="C545" s="5" t="s">
        <v>13</v>
      </c>
      <c r="D545" s="5">
        <v>43</v>
      </c>
      <c r="E545" s="5">
        <v>1488</v>
      </c>
      <c r="F545" s="5">
        <v>63984</v>
      </c>
    </row>
    <row r="546" spans="1:6" x14ac:dyDescent="0.4">
      <c r="A546" s="5" t="s">
        <v>17</v>
      </c>
      <c r="B546" s="5" t="s">
        <v>12</v>
      </c>
      <c r="C546" s="5" t="s">
        <v>20</v>
      </c>
      <c r="D546" s="5">
        <v>36</v>
      </c>
      <c r="E546" s="5">
        <v>706</v>
      </c>
      <c r="F546" s="5">
        <v>25416</v>
      </c>
    </row>
    <row r="547" spans="1:6" x14ac:dyDescent="0.4">
      <c r="A547" s="5" t="s">
        <v>6</v>
      </c>
      <c r="B547" s="5" t="s">
        <v>12</v>
      </c>
      <c r="C547" s="5" t="s">
        <v>23</v>
      </c>
      <c r="D547" s="5">
        <v>39</v>
      </c>
      <c r="E547" s="5">
        <v>435</v>
      </c>
      <c r="F547" s="5">
        <v>16965</v>
      </c>
    </row>
    <row r="548" spans="1:6" x14ac:dyDescent="0.4">
      <c r="A548" s="5" t="s">
        <v>9</v>
      </c>
      <c r="B548" s="5" t="s">
        <v>12</v>
      </c>
      <c r="C548" s="5" t="s">
        <v>22</v>
      </c>
      <c r="D548" s="5">
        <v>2</v>
      </c>
      <c r="E548" s="5">
        <v>1566</v>
      </c>
      <c r="F548" s="5">
        <v>3132</v>
      </c>
    </row>
    <row r="549" spans="1:6" x14ac:dyDescent="0.4">
      <c r="A549" s="5" t="s">
        <v>6</v>
      </c>
      <c r="B549" s="5" t="s">
        <v>7</v>
      </c>
      <c r="C549" s="5" t="s">
        <v>11</v>
      </c>
      <c r="D549" s="5">
        <v>32</v>
      </c>
      <c r="E549" s="5">
        <v>1500</v>
      </c>
      <c r="F549" s="5">
        <v>48000</v>
      </c>
    </row>
    <row r="550" spans="1:6" x14ac:dyDescent="0.4">
      <c r="A550" s="5" t="s">
        <v>6</v>
      </c>
      <c r="B550" s="5" t="s">
        <v>7</v>
      </c>
      <c r="C550" s="5" t="s">
        <v>14</v>
      </c>
      <c r="D550" s="5">
        <v>2</v>
      </c>
      <c r="E550" s="5">
        <v>1975</v>
      </c>
      <c r="F550" s="5">
        <v>3950</v>
      </c>
    </row>
    <row r="551" spans="1:6" x14ac:dyDescent="0.4">
      <c r="A551" s="5" t="s">
        <v>17</v>
      </c>
      <c r="B551" s="5" t="s">
        <v>7</v>
      </c>
      <c r="C551" s="5" t="s">
        <v>8</v>
      </c>
      <c r="D551" s="5">
        <v>21</v>
      </c>
      <c r="E551" s="5">
        <v>988</v>
      </c>
      <c r="F551" s="5">
        <v>20748</v>
      </c>
    </row>
    <row r="552" spans="1:6" x14ac:dyDescent="0.4">
      <c r="A552" s="5" t="s">
        <v>6</v>
      </c>
      <c r="B552" s="5" t="s">
        <v>21</v>
      </c>
      <c r="C552" s="5" t="s">
        <v>20</v>
      </c>
      <c r="D552" s="5">
        <v>2</v>
      </c>
      <c r="E552" s="5">
        <v>442</v>
      </c>
      <c r="F552" s="5">
        <v>884</v>
      </c>
    </row>
    <row r="553" spans="1:6" x14ac:dyDescent="0.4">
      <c r="A553" s="5" t="s">
        <v>19</v>
      </c>
      <c r="B553" s="5" t="s">
        <v>10</v>
      </c>
      <c r="C553" s="5" t="s">
        <v>8</v>
      </c>
      <c r="D553" s="5">
        <v>14</v>
      </c>
      <c r="E553" s="5">
        <v>1285</v>
      </c>
      <c r="F553" s="5">
        <v>17990</v>
      </c>
    </row>
    <row r="554" spans="1:6" x14ac:dyDescent="0.4">
      <c r="A554" s="5" t="s">
        <v>6</v>
      </c>
      <c r="B554" s="5" t="s">
        <v>15</v>
      </c>
      <c r="C554" s="5" t="s">
        <v>23</v>
      </c>
      <c r="D554" s="5">
        <v>45</v>
      </c>
      <c r="E554" s="5">
        <v>189</v>
      </c>
      <c r="F554" s="5">
        <v>8505</v>
      </c>
    </row>
    <row r="555" spans="1:6" x14ac:dyDescent="0.4">
      <c r="A555" s="5" t="s">
        <v>19</v>
      </c>
      <c r="B555" s="5" t="s">
        <v>10</v>
      </c>
      <c r="C555" s="5" t="s">
        <v>24</v>
      </c>
      <c r="D555" s="5">
        <v>11</v>
      </c>
      <c r="E555" s="5">
        <v>962</v>
      </c>
      <c r="F555" s="5">
        <v>10582</v>
      </c>
    </row>
    <row r="556" spans="1:6" x14ac:dyDescent="0.4">
      <c r="A556" s="5" t="s">
        <v>19</v>
      </c>
      <c r="B556" s="5" t="s">
        <v>10</v>
      </c>
      <c r="C556" s="5" t="s">
        <v>24</v>
      </c>
      <c r="D556" s="5">
        <v>16</v>
      </c>
      <c r="E556" s="5">
        <v>1249</v>
      </c>
      <c r="F556" s="5">
        <v>19984</v>
      </c>
    </row>
    <row r="557" spans="1:6" x14ac:dyDescent="0.4">
      <c r="A557" s="5" t="s">
        <v>19</v>
      </c>
      <c r="B557" s="5" t="s">
        <v>15</v>
      </c>
      <c r="C557" s="5" t="s">
        <v>8</v>
      </c>
      <c r="D557" s="5">
        <v>19</v>
      </c>
      <c r="E557" s="5">
        <v>1383</v>
      </c>
      <c r="F557" s="5">
        <v>26277</v>
      </c>
    </row>
    <row r="558" spans="1:6" x14ac:dyDescent="0.4">
      <c r="A558" s="5" t="s">
        <v>19</v>
      </c>
      <c r="B558" s="5" t="s">
        <v>7</v>
      </c>
      <c r="C558" s="5" t="s">
        <v>24</v>
      </c>
      <c r="D558" s="5">
        <v>19</v>
      </c>
      <c r="E558" s="5">
        <v>850</v>
      </c>
      <c r="F558" s="5">
        <v>16150</v>
      </c>
    </row>
    <row r="559" spans="1:6" x14ac:dyDescent="0.4">
      <c r="A559" s="5" t="s">
        <v>17</v>
      </c>
      <c r="B559" s="5" t="s">
        <v>21</v>
      </c>
      <c r="C559" s="5" t="s">
        <v>24</v>
      </c>
      <c r="D559" s="5">
        <v>7</v>
      </c>
      <c r="E559" s="5">
        <v>1654</v>
      </c>
      <c r="F559" s="5">
        <v>11578</v>
      </c>
    </row>
    <row r="560" spans="1:6" x14ac:dyDescent="0.4">
      <c r="A560" s="5" t="s">
        <v>17</v>
      </c>
      <c r="B560" s="5" t="s">
        <v>7</v>
      </c>
      <c r="C560" s="5" t="s">
        <v>13</v>
      </c>
      <c r="D560" s="5">
        <v>7</v>
      </c>
      <c r="E560" s="5">
        <v>1480</v>
      </c>
      <c r="F560" s="5">
        <v>10360</v>
      </c>
    </row>
    <row r="561" spans="1:6" x14ac:dyDescent="0.4">
      <c r="A561" s="5" t="s">
        <v>6</v>
      </c>
      <c r="B561" s="5" t="s">
        <v>10</v>
      </c>
      <c r="C561" s="5" t="s">
        <v>20</v>
      </c>
      <c r="D561" s="5">
        <v>23</v>
      </c>
      <c r="E561" s="5">
        <v>861</v>
      </c>
      <c r="F561" s="5">
        <v>19803</v>
      </c>
    </row>
    <row r="562" spans="1:6" x14ac:dyDescent="0.4">
      <c r="A562" s="5" t="s">
        <v>6</v>
      </c>
      <c r="B562" s="5" t="s">
        <v>15</v>
      </c>
      <c r="C562" s="5" t="s">
        <v>20</v>
      </c>
      <c r="D562" s="5">
        <v>14</v>
      </c>
      <c r="E562" s="5">
        <v>1761</v>
      </c>
      <c r="F562" s="5">
        <v>24654</v>
      </c>
    </row>
    <row r="563" spans="1:6" x14ac:dyDescent="0.4">
      <c r="A563" s="5" t="s">
        <v>17</v>
      </c>
      <c r="B563" s="5" t="s">
        <v>7</v>
      </c>
      <c r="C563" s="5" t="s">
        <v>18</v>
      </c>
      <c r="D563" s="5">
        <v>43</v>
      </c>
      <c r="E563" s="5">
        <v>1584</v>
      </c>
      <c r="F563" s="5">
        <v>68112</v>
      </c>
    </row>
    <row r="564" spans="1:6" x14ac:dyDescent="0.4">
      <c r="A564" s="5" t="s">
        <v>9</v>
      </c>
      <c r="B564" s="5" t="s">
        <v>15</v>
      </c>
      <c r="C564" s="5" t="s">
        <v>20</v>
      </c>
      <c r="D564" s="5">
        <v>3</v>
      </c>
      <c r="E564" s="5">
        <v>1841</v>
      </c>
      <c r="F564" s="5">
        <v>5523</v>
      </c>
    </row>
    <row r="565" spans="1:6" x14ac:dyDescent="0.4">
      <c r="A565" s="5" t="s">
        <v>6</v>
      </c>
      <c r="B565" s="5" t="s">
        <v>21</v>
      </c>
      <c r="C565" s="5" t="s">
        <v>8</v>
      </c>
      <c r="D565" s="5">
        <v>27</v>
      </c>
      <c r="E565" s="5">
        <v>431</v>
      </c>
      <c r="F565" s="5">
        <v>11637</v>
      </c>
    </row>
    <row r="566" spans="1:6" x14ac:dyDescent="0.4">
      <c r="A566" s="5" t="s">
        <v>19</v>
      </c>
      <c r="B566" s="5" t="s">
        <v>10</v>
      </c>
      <c r="C566" s="5" t="s">
        <v>13</v>
      </c>
      <c r="D566" s="5">
        <v>30</v>
      </c>
      <c r="E566" s="5">
        <v>640</v>
      </c>
      <c r="F566" s="5">
        <v>19200</v>
      </c>
    </row>
    <row r="567" spans="1:6" x14ac:dyDescent="0.4">
      <c r="A567" s="5" t="s">
        <v>9</v>
      </c>
      <c r="B567" s="5" t="s">
        <v>7</v>
      </c>
      <c r="C567" s="5" t="s">
        <v>16</v>
      </c>
      <c r="D567" s="5">
        <v>43</v>
      </c>
      <c r="E567" s="5">
        <v>1420</v>
      </c>
      <c r="F567" s="5">
        <v>61060</v>
      </c>
    </row>
    <row r="568" spans="1:6" x14ac:dyDescent="0.4">
      <c r="A568" s="5" t="s">
        <v>9</v>
      </c>
      <c r="B568" s="5" t="s">
        <v>10</v>
      </c>
      <c r="C568" s="5" t="s">
        <v>24</v>
      </c>
      <c r="D568" s="5">
        <v>46</v>
      </c>
      <c r="E568" s="5">
        <v>1157</v>
      </c>
      <c r="F568" s="5">
        <v>53222</v>
      </c>
    </row>
    <row r="569" spans="1:6" x14ac:dyDescent="0.4">
      <c r="A569" s="5" t="s">
        <v>19</v>
      </c>
      <c r="B569" s="5" t="s">
        <v>10</v>
      </c>
      <c r="C569" s="5" t="s">
        <v>16</v>
      </c>
      <c r="D569" s="5">
        <v>30</v>
      </c>
      <c r="E569" s="5">
        <v>967</v>
      </c>
      <c r="F569" s="5">
        <v>29010</v>
      </c>
    </row>
    <row r="570" spans="1:6" x14ac:dyDescent="0.4">
      <c r="A570" s="5" t="s">
        <v>17</v>
      </c>
      <c r="B570" s="5" t="s">
        <v>10</v>
      </c>
      <c r="C570" s="5" t="s">
        <v>20</v>
      </c>
      <c r="D570" s="5">
        <v>42</v>
      </c>
      <c r="E570" s="5">
        <v>391</v>
      </c>
      <c r="F570" s="5">
        <v>16422</v>
      </c>
    </row>
    <row r="571" spans="1:6" x14ac:dyDescent="0.4">
      <c r="A571" s="5" t="s">
        <v>17</v>
      </c>
      <c r="B571" s="5" t="s">
        <v>7</v>
      </c>
      <c r="C571" s="5" t="s">
        <v>18</v>
      </c>
      <c r="D571" s="5">
        <v>49</v>
      </c>
      <c r="E571" s="5">
        <v>914</v>
      </c>
      <c r="F571" s="5">
        <v>44786</v>
      </c>
    </row>
    <row r="572" spans="1:6" x14ac:dyDescent="0.4">
      <c r="A572" s="5" t="s">
        <v>6</v>
      </c>
      <c r="B572" s="5" t="s">
        <v>21</v>
      </c>
      <c r="C572" s="5" t="s">
        <v>16</v>
      </c>
      <c r="D572" s="5">
        <v>22</v>
      </c>
      <c r="E572" s="5">
        <v>1037</v>
      </c>
      <c r="F572" s="5">
        <v>22814</v>
      </c>
    </row>
    <row r="573" spans="1:6" x14ac:dyDescent="0.4">
      <c r="A573" s="5" t="s">
        <v>17</v>
      </c>
      <c r="B573" s="5" t="s">
        <v>15</v>
      </c>
      <c r="C573" s="5" t="s">
        <v>13</v>
      </c>
      <c r="D573" s="5">
        <v>22</v>
      </c>
      <c r="E573" s="5">
        <v>463</v>
      </c>
      <c r="F573" s="5">
        <v>10186</v>
      </c>
    </row>
    <row r="574" spans="1:6" x14ac:dyDescent="0.4">
      <c r="A574" s="5" t="s">
        <v>6</v>
      </c>
      <c r="B574" s="5" t="s">
        <v>10</v>
      </c>
      <c r="C574" s="5" t="s">
        <v>23</v>
      </c>
      <c r="D574" s="5">
        <v>45</v>
      </c>
      <c r="E574" s="5">
        <v>1296</v>
      </c>
      <c r="F574" s="5">
        <v>58320</v>
      </c>
    </row>
    <row r="575" spans="1:6" x14ac:dyDescent="0.4">
      <c r="A575" s="5" t="s">
        <v>6</v>
      </c>
      <c r="B575" s="5" t="s">
        <v>7</v>
      </c>
      <c r="C575" s="5" t="s">
        <v>22</v>
      </c>
      <c r="D575" s="5">
        <v>19</v>
      </c>
      <c r="E575" s="5">
        <v>1388</v>
      </c>
      <c r="F575" s="5">
        <v>26372</v>
      </c>
    </row>
    <row r="576" spans="1:6" x14ac:dyDescent="0.4">
      <c r="A576" s="5" t="s">
        <v>17</v>
      </c>
      <c r="B576" s="5" t="s">
        <v>10</v>
      </c>
      <c r="C576" s="5" t="s">
        <v>14</v>
      </c>
      <c r="D576" s="5">
        <v>39</v>
      </c>
      <c r="E576" s="5">
        <v>1146</v>
      </c>
      <c r="F576" s="5">
        <v>44694</v>
      </c>
    </row>
    <row r="577" spans="1:6" x14ac:dyDescent="0.4">
      <c r="A577" s="5" t="s">
        <v>9</v>
      </c>
      <c r="B577" s="5" t="s">
        <v>10</v>
      </c>
      <c r="C577" s="5" t="s">
        <v>22</v>
      </c>
      <c r="D577" s="5">
        <v>44</v>
      </c>
      <c r="E577" s="5">
        <v>1321</v>
      </c>
      <c r="F577" s="5">
        <v>58124</v>
      </c>
    </row>
    <row r="578" spans="1:6" x14ac:dyDescent="0.4">
      <c r="A578" s="5" t="s">
        <v>19</v>
      </c>
      <c r="B578" s="5" t="s">
        <v>10</v>
      </c>
      <c r="C578" s="5" t="s">
        <v>13</v>
      </c>
      <c r="D578" s="5">
        <v>3</v>
      </c>
      <c r="E578" s="5">
        <v>1943</v>
      </c>
      <c r="F578" s="5">
        <v>5829</v>
      </c>
    </row>
    <row r="579" spans="1:6" x14ac:dyDescent="0.4">
      <c r="A579" s="5" t="s">
        <v>19</v>
      </c>
      <c r="B579" s="5" t="s">
        <v>15</v>
      </c>
      <c r="C579" s="5" t="s">
        <v>23</v>
      </c>
      <c r="D579" s="5">
        <v>32</v>
      </c>
      <c r="E579" s="5">
        <v>1752</v>
      </c>
      <c r="F579" s="5">
        <v>56064</v>
      </c>
    </row>
    <row r="580" spans="1:6" x14ac:dyDescent="0.4">
      <c r="A580" s="5" t="s">
        <v>17</v>
      </c>
      <c r="B580" s="5" t="s">
        <v>21</v>
      </c>
      <c r="C580" s="5" t="s">
        <v>13</v>
      </c>
      <c r="D580" s="5">
        <v>20</v>
      </c>
      <c r="E580" s="5">
        <v>1361</v>
      </c>
      <c r="F580" s="5">
        <v>27220</v>
      </c>
    </row>
    <row r="581" spans="1:6" x14ac:dyDescent="0.4">
      <c r="A581" s="5" t="s">
        <v>17</v>
      </c>
      <c r="B581" s="5" t="s">
        <v>10</v>
      </c>
      <c r="C581" s="5" t="s">
        <v>23</v>
      </c>
      <c r="D581" s="5">
        <v>21</v>
      </c>
      <c r="E581" s="5">
        <v>1295</v>
      </c>
      <c r="F581" s="5">
        <v>27195</v>
      </c>
    </row>
    <row r="582" spans="1:6" x14ac:dyDescent="0.4">
      <c r="A582" s="5" t="s">
        <v>19</v>
      </c>
      <c r="B582" s="5" t="s">
        <v>10</v>
      </c>
      <c r="C582" s="5" t="s">
        <v>14</v>
      </c>
      <c r="D582" s="5">
        <v>29</v>
      </c>
      <c r="E582" s="5">
        <v>625</v>
      </c>
      <c r="F582" s="5">
        <v>18125</v>
      </c>
    </row>
    <row r="583" spans="1:6" x14ac:dyDescent="0.4">
      <c r="A583" s="5" t="s">
        <v>17</v>
      </c>
      <c r="B583" s="5" t="s">
        <v>21</v>
      </c>
      <c r="C583" s="5" t="s">
        <v>8</v>
      </c>
      <c r="D583" s="5">
        <v>8</v>
      </c>
      <c r="E583" s="5">
        <v>1793</v>
      </c>
      <c r="F583" s="5">
        <v>14344</v>
      </c>
    </row>
    <row r="584" spans="1:6" x14ac:dyDescent="0.4">
      <c r="A584" s="5" t="s">
        <v>17</v>
      </c>
      <c r="B584" s="5" t="s">
        <v>10</v>
      </c>
      <c r="C584" s="5" t="s">
        <v>18</v>
      </c>
      <c r="D584" s="5">
        <v>40</v>
      </c>
      <c r="E584" s="5">
        <v>1513</v>
      </c>
      <c r="F584" s="5">
        <v>60520</v>
      </c>
    </row>
    <row r="585" spans="1:6" x14ac:dyDescent="0.4">
      <c r="A585" s="5" t="s">
        <v>6</v>
      </c>
      <c r="B585" s="5" t="s">
        <v>15</v>
      </c>
      <c r="C585" s="5" t="s">
        <v>8</v>
      </c>
      <c r="D585" s="5">
        <v>41</v>
      </c>
      <c r="E585" s="5">
        <v>200</v>
      </c>
      <c r="F585" s="5">
        <v>8200</v>
      </c>
    </row>
    <row r="586" spans="1:6" x14ac:dyDescent="0.4">
      <c r="A586" s="5" t="s">
        <v>19</v>
      </c>
      <c r="B586" s="5" t="s">
        <v>21</v>
      </c>
      <c r="C586" s="5" t="s">
        <v>13</v>
      </c>
      <c r="D586" s="5">
        <v>24</v>
      </c>
      <c r="E586" s="5">
        <v>777</v>
      </c>
      <c r="F586" s="5">
        <v>18648</v>
      </c>
    </row>
    <row r="587" spans="1:6" x14ac:dyDescent="0.4">
      <c r="A587" s="5" t="s">
        <v>19</v>
      </c>
      <c r="B587" s="5" t="s">
        <v>12</v>
      </c>
      <c r="C587" s="5" t="s">
        <v>11</v>
      </c>
      <c r="D587" s="5">
        <v>21</v>
      </c>
      <c r="E587" s="5">
        <v>1231</v>
      </c>
      <c r="F587" s="5">
        <v>25851</v>
      </c>
    </row>
    <row r="588" spans="1:6" x14ac:dyDescent="0.4">
      <c r="A588" s="5" t="s">
        <v>9</v>
      </c>
      <c r="B588" s="5" t="s">
        <v>15</v>
      </c>
      <c r="C588" s="5" t="s">
        <v>18</v>
      </c>
      <c r="D588" s="5">
        <v>41</v>
      </c>
      <c r="E588" s="5">
        <v>268</v>
      </c>
      <c r="F588" s="5">
        <v>10988</v>
      </c>
    </row>
    <row r="589" spans="1:6" x14ac:dyDescent="0.4">
      <c r="A589" s="5" t="s">
        <v>19</v>
      </c>
      <c r="B589" s="5" t="s">
        <v>7</v>
      </c>
      <c r="C589" s="5" t="s">
        <v>20</v>
      </c>
      <c r="D589" s="5">
        <v>15</v>
      </c>
      <c r="E589" s="5">
        <v>1827</v>
      </c>
      <c r="F589" s="5">
        <v>27405</v>
      </c>
    </row>
    <row r="590" spans="1:6" x14ac:dyDescent="0.4">
      <c r="A590" s="5" t="s">
        <v>17</v>
      </c>
      <c r="B590" s="5" t="s">
        <v>7</v>
      </c>
      <c r="C590" s="5" t="s">
        <v>22</v>
      </c>
      <c r="D590" s="5">
        <v>13</v>
      </c>
      <c r="E590" s="5">
        <v>1754</v>
      </c>
      <c r="F590" s="5">
        <v>22802</v>
      </c>
    </row>
    <row r="591" spans="1:6" x14ac:dyDescent="0.4">
      <c r="A591" s="5" t="s">
        <v>6</v>
      </c>
      <c r="B591" s="5" t="s">
        <v>12</v>
      </c>
      <c r="C591" s="5" t="s">
        <v>23</v>
      </c>
      <c r="D591" s="5">
        <v>8</v>
      </c>
      <c r="E591" s="5">
        <v>212</v>
      </c>
      <c r="F591" s="5">
        <v>1696</v>
      </c>
    </row>
    <row r="592" spans="1:6" x14ac:dyDescent="0.4">
      <c r="A592" s="5" t="s">
        <v>6</v>
      </c>
      <c r="B592" s="5" t="s">
        <v>15</v>
      </c>
      <c r="C592" s="5" t="s">
        <v>16</v>
      </c>
      <c r="D592" s="5">
        <v>16</v>
      </c>
      <c r="E592" s="5">
        <v>1430</v>
      </c>
      <c r="F592" s="5">
        <v>22880</v>
      </c>
    </row>
    <row r="593" spans="1:6" x14ac:dyDescent="0.4">
      <c r="A593" s="5" t="s">
        <v>19</v>
      </c>
      <c r="B593" s="5" t="s">
        <v>12</v>
      </c>
      <c r="C593" s="5" t="s">
        <v>22</v>
      </c>
      <c r="D593" s="5">
        <v>42</v>
      </c>
      <c r="E593" s="5">
        <v>1707</v>
      </c>
      <c r="F593" s="5">
        <v>71694</v>
      </c>
    </row>
    <row r="594" spans="1:6" x14ac:dyDescent="0.4">
      <c r="A594" s="5" t="s">
        <v>17</v>
      </c>
      <c r="B594" s="5" t="s">
        <v>15</v>
      </c>
      <c r="C594" s="5" t="s">
        <v>22</v>
      </c>
      <c r="D594" s="5">
        <v>39</v>
      </c>
      <c r="E594" s="5">
        <v>1697</v>
      </c>
      <c r="F594" s="5">
        <v>66183</v>
      </c>
    </row>
    <row r="595" spans="1:6" x14ac:dyDescent="0.4">
      <c r="A595" s="5" t="s">
        <v>9</v>
      </c>
      <c r="B595" s="5" t="s">
        <v>10</v>
      </c>
      <c r="C595" s="5" t="s">
        <v>13</v>
      </c>
      <c r="D595" s="5">
        <v>10</v>
      </c>
      <c r="E595" s="5">
        <v>1685</v>
      </c>
      <c r="F595" s="5">
        <v>16850</v>
      </c>
    </row>
    <row r="596" spans="1:6" x14ac:dyDescent="0.4">
      <c r="A596" s="5" t="s">
        <v>19</v>
      </c>
      <c r="B596" s="5" t="s">
        <v>10</v>
      </c>
      <c r="C596" s="5" t="s">
        <v>14</v>
      </c>
      <c r="D596" s="5">
        <v>3</v>
      </c>
      <c r="E596" s="5">
        <v>1680</v>
      </c>
      <c r="F596" s="5">
        <v>5040</v>
      </c>
    </row>
    <row r="597" spans="1:6" x14ac:dyDescent="0.4">
      <c r="A597" s="5" t="s">
        <v>6</v>
      </c>
      <c r="B597" s="5" t="s">
        <v>12</v>
      </c>
      <c r="C597" s="5" t="s">
        <v>11</v>
      </c>
      <c r="D597" s="5">
        <v>39</v>
      </c>
      <c r="E597" s="5">
        <v>1752</v>
      </c>
      <c r="F597" s="5">
        <v>68328</v>
      </c>
    </row>
    <row r="598" spans="1:6" x14ac:dyDescent="0.4">
      <c r="A598" s="5" t="s">
        <v>19</v>
      </c>
      <c r="B598" s="5" t="s">
        <v>10</v>
      </c>
      <c r="C598" s="5" t="s">
        <v>13</v>
      </c>
      <c r="D598" s="5">
        <v>6</v>
      </c>
      <c r="E598" s="5">
        <v>766</v>
      </c>
      <c r="F598" s="5">
        <v>4596</v>
      </c>
    </row>
    <row r="599" spans="1:6" x14ac:dyDescent="0.4">
      <c r="A599" s="5" t="s">
        <v>6</v>
      </c>
      <c r="B599" s="5" t="s">
        <v>10</v>
      </c>
      <c r="C599" s="5" t="s">
        <v>13</v>
      </c>
      <c r="D599" s="5">
        <v>35</v>
      </c>
      <c r="E599" s="5">
        <v>163</v>
      </c>
      <c r="F599" s="5">
        <v>5705</v>
      </c>
    </row>
    <row r="600" spans="1:6" x14ac:dyDescent="0.4">
      <c r="A600" s="5" t="s">
        <v>17</v>
      </c>
      <c r="B600" s="5" t="s">
        <v>7</v>
      </c>
      <c r="C600" s="5" t="s">
        <v>16</v>
      </c>
      <c r="D600" s="5">
        <v>29</v>
      </c>
      <c r="E600" s="5">
        <v>783</v>
      </c>
      <c r="F600" s="5">
        <v>22707</v>
      </c>
    </row>
    <row r="601" spans="1:6" x14ac:dyDescent="0.4">
      <c r="A601" s="5" t="s">
        <v>17</v>
      </c>
      <c r="B601" s="5" t="s">
        <v>10</v>
      </c>
      <c r="C601" s="5" t="s">
        <v>13</v>
      </c>
      <c r="D601" s="5">
        <v>37</v>
      </c>
      <c r="E601" s="5">
        <v>137</v>
      </c>
      <c r="F601" s="5">
        <v>5069</v>
      </c>
    </row>
    <row r="602" spans="1:6" x14ac:dyDescent="0.4">
      <c r="A602" s="5" t="s">
        <v>6</v>
      </c>
      <c r="B602" s="5" t="s">
        <v>7</v>
      </c>
      <c r="C602" s="5" t="s">
        <v>14</v>
      </c>
      <c r="D602" s="5">
        <v>46</v>
      </c>
      <c r="E602" s="5">
        <v>120</v>
      </c>
      <c r="F602" s="5">
        <v>5520</v>
      </c>
    </row>
    <row r="603" spans="1:6" x14ac:dyDescent="0.4">
      <c r="A603" s="5" t="s">
        <v>9</v>
      </c>
      <c r="B603" s="5" t="s">
        <v>12</v>
      </c>
      <c r="C603" s="5" t="s">
        <v>24</v>
      </c>
      <c r="D603" s="5">
        <v>47</v>
      </c>
      <c r="E603" s="5">
        <v>230</v>
      </c>
      <c r="F603" s="5">
        <v>10810</v>
      </c>
    </row>
    <row r="604" spans="1:6" x14ac:dyDescent="0.4">
      <c r="A604" s="5" t="s">
        <v>6</v>
      </c>
      <c r="B604" s="5" t="s">
        <v>10</v>
      </c>
      <c r="C604" s="5" t="s">
        <v>20</v>
      </c>
      <c r="D604" s="5">
        <v>19</v>
      </c>
      <c r="E604" s="5">
        <v>115</v>
      </c>
      <c r="F604" s="5">
        <v>2185</v>
      </c>
    </row>
    <row r="605" spans="1:6" x14ac:dyDescent="0.4">
      <c r="A605" s="5" t="s">
        <v>9</v>
      </c>
      <c r="B605" s="5" t="s">
        <v>15</v>
      </c>
      <c r="C605" s="5" t="s">
        <v>24</v>
      </c>
      <c r="D605" s="5">
        <v>41</v>
      </c>
      <c r="E605" s="5">
        <v>1293</v>
      </c>
      <c r="F605" s="5">
        <v>53013</v>
      </c>
    </row>
    <row r="606" spans="1:6" x14ac:dyDescent="0.4">
      <c r="A606" s="5" t="s">
        <v>19</v>
      </c>
      <c r="B606" s="5" t="s">
        <v>7</v>
      </c>
      <c r="C606" s="5" t="s">
        <v>16</v>
      </c>
      <c r="D606" s="5">
        <v>29</v>
      </c>
      <c r="E606" s="5">
        <v>256</v>
      </c>
      <c r="F606" s="5">
        <v>7424</v>
      </c>
    </row>
    <row r="607" spans="1:6" x14ac:dyDescent="0.4">
      <c r="A607" s="5" t="s">
        <v>17</v>
      </c>
      <c r="B607" s="5" t="s">
        <v>7</v>
      </c>
      <c r="C607" s="5" t="s">
        <v>13</v>
      </c>
      <c r="D607" s="5">
        <v>24</v>
      </c>
      <c r="E607" s="5">
        <v>437</v>
      </c>
      <c r="F607" s="5">
        <v>10488</v>
      </c>
    </row>
    <row r="608" spans="1:6" x14ac:dyDescent="0.4">
      <c r="A608" s="5" t="s">
        <v>9</v>
      </c>
      <c r="B608" s="5" t="s">
        <v>10</v>
      </c>
      <c r="C608" s="5" t="s">
        <v>11</v>
      </c>
      <c r="D608" s="5">
        <v>50</v>
      </c>
      <c r="E608" s="5">
        <v>1792</v>
      </c>
      <c r="F608" s="5">
        <v>89600</v>
      </c>
    </row>
    <row r="609" spans="1:6" x14ac:dyDescent="0.4">
      <c r="A609" s="5" t="s">
        <v>6</v>
      </c>
      <c r="B609" s="5" t="s">
        <v>12</v>
      </c>
      <c r="C609" s="5" t="s">
        <v>22</v>
      </c>
      <c r="D609" s="5">
        <v>42</v>
      </c>
      <c r="E609" s="5">
        <v>1963</v>
      </c>
      <c r="F609" s="5">
        <v>82446</v>
      </c>
    </row>
    <row r="610" spans="1:6" x14ac:dyDescent="0.4">
      <c r="A610" s="5" t="s">
        <v>9</v>
      </c>
      <c r="B610" s="5" t="s">
        <v>7</v>
      </c>
      <c r="C610" s="5" t="s">
        <v>18</v>
      </c>
      <c r="D610" s="5">
        <v>35</v>
      </c>
      <c r="E610" s="5">
        <v>1449</v>
      </c>
      <c r="F610" s="5">
        <v>50715</v>
      </c>
    </row>
    <row r="611" spans="1:6" x14ac:dyDescent="0.4">
      <c r="A611" s="5" t="s">
        <v>17</v>
      </c>
      <c r="B611" s="5" t="s">
        <v>21</v>
      </c>
      <c r="C611" s="5" t="s">
        <v>20</v>
      </c>
      <c r="D611" s="5">
        <v>50</v>
      </c>
      <c r="E611" s="5">
        <v>837</v>
      </c>
      <c r="F611" s="5">
        <v>41850</v>
      </c>
    </row>
    <row r="612" spans="1:6" x14ac:dyDescent="0.4">
      <c r="A612" s="5" t="s">
        <v>19</v>
      </c>
      <c r="B612" s="5" t="s">
        <v>10</v>
      </c>
      <c r="C612" s="5" t="s">
        <v>18</v>
      </c>
      <c r="D612" s="5">
        <v>23</v>
      </c>
      <c r="E612" s="5">
        <v>229</v>
      </c>
      <c r="F612" s="5">
        <v>5267</v>
      </c>
    </row>
    <row r="613" spans="1:6" x14ac:dyDescent="0.4">
      <c r="A613" s="5" t="s">
        <v>19</v>
      </c>
      <c r="B613" s="5" t="s">
        <v>21</v>
      </c>
      <c r="C613" s="5" t="s">
        <v>11</v>
      </c>
      <c r="D613" s="5">
        <v>18</v>
      </c>
      <c r="E613" s="5">
        <v>864</v>
      </c>
      <c r="F613" s="5">
        <v>15552</v>
      </c>
    </row>
    <row r="614" spans="1:6" x14ac:dyDescent="0.4">
      <c r="A614" s="5" t="s">
        <v>6</v>
      </c>
      <c r="B614" s="5" t="s">
        <v>10</v>
      </c>
      <c r="C614" s="5" t="s">
        <v>8</v>
      </c>
      <c r="D614" s="5">
        <v>33</v>
      </c>
      <c r="E614" s="5">
        <v>1227</v>
      </c>
      <c r="F614" s="5">
        <v>40491</v>
      </c>
    </row>
    <row r="615" spans="1:6" x14ac:dyDescent="0.4">
      <c r="A615" s="5" t="s">
        <v>17</v>
      </c>
      <c r="B615" s="5" t="s">
        <v>21</v>
      </c>
      <c r="C615" s="5" t="s">
        <v>11</v>
      </c>
      <c r="D615" s="5">
        <v>39</v>
      </c>
      <c r="E615" s="5">
        <v>1205</v>
      </c>
      <c r="F615" s="5">
        <v>46995</v>
      </c>
    </row>
    <row r="616" spans="1:6" x14ac:dyDescent="0.4">
      <c r="A616" s="5" t="s">
        <v>6</v>
      </c>
      <c r="B616" s="5" t="s">
        <v>7</v>
      </c>
      <c r="C616" s="5" t="s">
        <v>20</v>
      </c>
      <c r="D616" s="5">
        <v>32</v>
      </c>
      <c r="E616" s="5">
        <v>707</v>
      </c>
      <c r="F616" s="5">
        <v>22624</v>
      </c>
    </row>
    <row r="617" spans="1:6" x14ac:dyDescent="0.4">
      <c r="A617" s="5" t="s">
        <v>17</v>
      </c>
      <c r="B617" s="5" t="s">
        <v>21</v>
      </c>
      <c r="C617" s="5" t="s">
        <v>13</v>
      </c>
      <c r="D617" s="5">
        <v>19</v>
      </c>
      <c r="E617" s="5">
        <v>447</v>
      </c>
      <c r="F617" s="5">
        <v>8493</v>
      </c>
    </row>
    <row r="618" spans="1:6" x14ac:dyDescent="0.4">
      <c r="A618" s="5" t="s">
        <v>6</v>
      </c>
      <c r="B618" s="5" t="s">
        <v>21</v>
      </c>
      <c r="C618" s="5" t="s">
        <v>16</v>
      </c>
      <c r="D618" s="5">
        <v>50</v>
      </c>
      <c r="E618" s="5">
        <v>902</v>
      </c>
      <c r="F618" s="5">
        <v>45100</v>
      </c>
    </row>
    <row r="619" spans="1:6" x14ac:dyDescent="0.4">
      <c r="A619" s="5" t="s">
        <v>19</v>
      </c>
      <c r="B619" s="5" t="s">
        <v>12</v>
      </c>
      <c r="C619" s="5" t="s">
        <v>16</v>
      </c>
      <c r="D619" s="5">
        <v>11</v>
      </c>
      <c r="E619" s="5">
        <v>1534</v>
      </c>
      <c r="F619" s="5">
        <v>16874</v>
      </c>
    </row>
    <row r="620" spans="1:6" x14ac:dyDescent="0.4">
      <c r="A620" s="5" t="s">
        <v>19</v>
      </c>
      <c r="B620" s="5" t="s">
        <v>12</v>
      </c>
      <c r="C620" s="5" t="s">
        <v>20</v>
      </c>
      <c r="D620" s="5">
        <v>36</v>
      </c>
      <c r="E620" s="5">
        <v>1974</v>
      </c>
      <c r="F620" s="5">
        <v>71064</v>
      </c>
    </row>
    <row r="621" spans="1:6" x14ac:dyDescent="0.4">
      <c r="A621" s="5" t="s">
        <v>6</v>
      </c>
      <c r="B621" s="5" t="s">
        <v>15</v>
      </c>
      <c r="C621" s="5" t="s">
        <v>11</v>
      </c>
      <c r="D621" s="5">
        <v>17</v>
      </c>
      <c r="E621" s="5">
        <v>629</v>
      </c>
      <c r="F621" s="5">
        <v>10693</v>
      </c>
    </row>
    <row r="622" spans="1:6" x14ac:dyDescent="0.4">
      <c r="A622" s="5" t="s">
        <v>9</v>
      </c>
      <c r="B622" s="5" t="s">
        <v>7</v>
      </c>
      <c r="C622" s="5" t="s">
        <v>20</v>
      </c>
      <c r="D622" s="5">
        <v>5</v>
      </c>
      <c r="E622" s="5">
        <v>1841</v>
      </c>
      <c r="F622" s="5">
        <v>9205</v>
      </c>
    </row>
    <row r="623" spans="1:6" x14ac:dyDescent="0.4">
      <c r="A623" s="5" t="s">
        <v>6</v>
      </c>
      <c r="B623" s="5" t="s">
        <v>7</v>
      </c>
      <c r="C623" s="5" t="s">
        <v>23</v>
      </c>
      <c r="D623" s="5">
        <v>9</v>
      </c>
      <c r="E623" s="5">
        <v>1204</v>
      </c>
      <c r="F623" s="5">
        <v>10836</v>
      </c>
    </row>
    <row r="624" spans="1:6" x14ac:dyDescent="0.4">
      <c r="A624" s="5" t="s">
        <v>19</v>
      </c>
      <c r="B624" s="5" t="s">
        <v>15</v>
      </c>
      <c r="C624" s="5" t="s">
        <v>23</v>
      </c>
      <c r="D624" s="5">
        <v>13</v>
      </c>
      <c r="E624" s="5">
        <v>752</v>
      </c>
      <c r="F624" s="5">
        <v>9776</v>
      </c>
    </row>
    <row r="625" spans="1:6" x14ac:dyDescent="0.4">
      <c r="A625" s="5" t="s">
        <v>19</v>
      </c>
      <c r="B625" s="5" t="s">
        <v>21</v>
      </c>
      <c r="C625" s="5" t="s">
        <v>16</v>
      </c>
      <c r="D625" s="5">
        <v>1</v>
      </c>
      <c r="E625" s="5">
        <v>928</v>
      </c>
      <c r="F625" s="5">
        <v>928</v>
      </c>
    </row>
    <row r="626" spans="1:6" x14ac:dyDescent="0.4">
      <c r="A626" s="5" t="s">
        <v>9</v>
      </c>
      <c r="B626" s="5" t="s">
        <v>7</v>
      </c>
      <c r="C626" s="5" t="s">
        <v>24</v>
      </c>
      <c r="D626" s="5">
        <v>12</v>
      </c>
      <c r="E626" s="5">
        <v>1944</v>
      </c>
      <c r="F626" s="5">
        <v>23328</v>
      </c>
    </row>
    <row r="627" spans="1:6" x14ac:dyDescent="0.4">
      <c r="A627" s="5" t="s">
        <v>9</v>
      </c>
      <c r="B627" s="5" t="s">
        <v>12</v>
      </c>
      <c r="C627" s="5" t="s">
        <v>23</v>
      </c>
      <c r="D627" s="5">
        <v>31</v>
      </c>
      <c r="E627" s="5">
        <v>1340</v>
      </c>
      <c r="F627" s="5">
        <v>41540</v>
      </c>
    </row>
    <row r="628" spans="1:6" x14ac:dyDescent="0.4">
      <c r="A628" s="5" t="s">
        <v>19</v>
      </c>
      <c r="B628" s="5" t="s">
        <v>15</v>
      </c>
      <c r="C628" s="5" t="s">
        <v>14</v>
      </c>
      <c r="D628" s="5">
        <v>27</v>
      </c>
      <c r="E628" s="5">
        <v>1509</v>
      </c>
      <c r="F628" s="5">
        <v>40743</v>
      </c>
    </row>
    <row r="629" spans="1:6" x14ac:dyDescent="0.4">
      <c r="A629" s="5" t="s">
        <v>17</v>
      </c>
      <c r="B629" s="5" t="s">
        <v>21</v>
      </c>
      <c r="C629" s="5" t="s">
        <v>23</v>
      </c>
      <c r="D629" s="5">
        <v>7</v>
      </c>
      <c r="E629" s="5">
        <v>486</v>
      </c>
      <c r="F629" s="5">
        <v>3402</v>
      </c>
    </row>
    <row r="630" spans="1:6" x14ac:dyDescent="0.4">
      <c r="A630" s="5" t="s">
        <v>9</v>
      </c>
      <c r="B630" s="5" t="s">
        <v>7</v>
      </c>
      <c r="C630" s="5" t="s">
        <v>23</v>
      </c>
      <c r="D630" s="5">
        <v>28</v>
      </c>
      <c r="E630" s="5">
        <v>168</v>
      </c>
      <c r="F630" s="5">
        <v>4704</v>
      </c>
    </row>
    <row r="631" spans="1:6" x14ac:dyDescent="0.4">
      <c r="A631" s="5" t="s">
        <v>6</v>
      </c>
      <c r="B631" s="5" t="s">
        <v>15</v>
      </c>
      <c r="C631" s="5" t="s">
        <v>20</v>
      </c>
      <c r="D631" s="5">
        <v>9</v>
      </c>
      <c r="E631" s="5">
        <v>1991</v>
      </c>
      <c r="F631" s="5">
        <v>17919</v>
      </c>
    </row>
    <row r="632" spans="1:6" x14ac:dyDescent="0.4">
      <c r="A632" s="5" t="s">
        <v>19</v>
      </c>
      <c r="B632" s="5" t="s">
        <v>7</v>
      </c>
      <c r="C632" s="5" t="s">
        <v>16</v>
      </c>
      <c r="D632" s="5">
        <v>1</v>
      </c>
      <c r="E632" s="5">
        <v>1079</v>
      </c>
      <c r="F632" s="5">
        <v>1079</v>
      </c>
    </row>
    <row r="633" spans="1:6" x14ac:dyDescent="0.4">
      <c r="A633" s="5" t="s">
        <v>19</v>
      </c>
      <c r="B633" s="5" t="s">
        <v>7</v>
      </c>
      <c r="C633" s="5" t="s">
        <v>8</v>
      </c>
      <c r="D633" s="5">
        <v>3</v>
      </c>
      <c r="E633" s="5">
        <v>1790</v>
      </c>
      <c r="F633" s="5">
        <v>5370</v>
      </c>
    </row>
    <row r="634" spans="1:6" x14ac:dyDescent="0.4">
      <c r="A634" s="5" t="s">
        <v>9</v>
      </c>
      <c r="B634" s="5" t="s">
        <v>21</v>
      </c>
      <c r="C634" s="5" t="s">
        <v>20</v>
      </c>
      <c r="D634" s="5">
        <v>11</v>
      </c>
      <c r="E634" s="5">
        <v>149</v>
      </c>
      <c r="F634" s="5">
        <v>1639</v>
      </c>
    </row>
    <row r="635" spans="1:6" x14ac:dyDescent="0.4">
      <c r="A635" s="5" t="s">
        <v>19</v>
      </c>
      <c r="B635" s="5" t="s">
        <v>7</v>
      </c>
      <c r="C635" s="5" t="s">
        <v>11</v>
      </c>
      <c r="D635" s="5">
        <v>7</v>
      </c>
      <c r="E635" s="5">
        <v>840</v>
      </c>
      <c r="F635" s="5">
        <v>5880</v>
      </c>
    </row>
    <row r="636" spans="1:6" x14ac:dyDescent="0.4">
      <c r="A636" s="5" t="s">
        <v>19</v>
      </c>
      <c r="B636" s="5" t="s">
        <v>10</v>
      </c>
      <c r="C636" s="5" t="s">
        <v>16</v>
      </c>
      <c r="D636" s="5">
        <v>23</v>
      </c>
      <c r="E636" s="5">
        <v>225</v>
      </c>
      <c r="F636" s="5">
        <v>5175</v>
      </c>
    </row>
    <row r="637" spans="1:6" x14ac:dyDescent="0.4">
      <c r="A637" s="5" t="s">
        <v>17</v>
      </c>
      <c r="B637" s="5" t="s">
        <v>12</v>
      </c>
      <c r="C637" s="5" t="s">
        <v>18</v>
      </c>
      <c r="D637" s="5">
        <v>42</v>
      </c>
      <c r="E637" s="5">
        <v>593</v>
      </c>
      <c r="F637" s="5">
        <v>24906</v>
      </c>
    </row>
    <row r="638" spans="1:6" x14ac:dyDescent="0.4">
      <c r="A638" s="5" t="s">
        <v>6</v>
      </c>
      <c r="B638" s="5" t="s">
        <v>10</v>
      </c>
      <c r="C638" s="5" t="s">
        <v>14</v>
      </c>
      <c r="D638" s="5">
        <v>10</v>
      </c>
      <c r="E638" s="5">
        <v>1814</v>
      </c>
      <c r="F638" s="5">
        <v>18140</v>
      </c>
    </row>
    <row r="639" spans="1:6" x14ac:dyDescent="0.4">
      <c r="A639" s="5" t="s">
        <v>9</v>
      </c>
      <c r="B639" s="5" t="s">
        <v>12</v>
      </c>
      <c r="C639" s="5" t="s">
        <v>14</v>
      </c>
      <c r="D639" s="5">
        <v>37</v>
      </c>
      <c r="E639" s="5">
        <v>1180</v>
      </c>
      <c r="F639" s="5">
        <v>43660</v>
      </c>
    </row>
    <row r="640" spans="1:6" x14ac:dyDescent="0.4">
      <c r="A640" s="5" t="s">
        <v>17</v>
      </c>
      <c r="B640" s="5" t="s">
        <v>12</v>
      </c>
      <c r="C640" s="5" t="s">
        <v>24</v>
      </c>
      <c r="D640" s="5">
        <v>8</v>
      </c>
      <c r="E640" s="5">
        <v>568</v>
      </c>
      <c r="F640" s="5">
        <v>4544</v>
      </c>
    </row>
    <row r="641" spans="1:6" x14ac:dyDescent="0.4">
      <c r="A641" s="5" t="s">
        <v>6</v>
      </c>
      <c r="B641" s="5" t="s">
        <v>21</v>
      </c>
      <c r="C641" s="5" t="s">
        <v>11</v>
      </c>
      <c r="D641" s="5">
        <v>38</v>
      </c>
      <c r="E641" s="5">
        <v>341</v>
      </c>
      <c r="F641" s="5">
        <v>12958</v>
      </c>
    </row>
    <row r="642" spans="1:6" x14ac:dyDescent="0.4">
      <c r="A642" s="5" t="s">
        <v>6</v>
      </c>
      <c r="B642" s="5" t="s">
        <v>10</v>
      </c>
      <c r="C642" s="5" t="s">
        <v>13</v>
      </c>
      <c r="D642" s="5">
        <v>34</v>
      </c>
      <c r="E642" s="5">
        <v>500</v>
      </c>
      <c r="F642" s="5">
        <v>17000</v>
      </c>
    </row>
    <row r="643" spans="1:6" x14ac:dyDescent="0.4">
      <c r="A643" s="5" t="s">
        <v>17</v>
      </c>
      <c r="B643" s="5" t="s">
        <v>7</v>
      </c>
      <c r="C643" s="5" t="s">
        <v>20</v>
      </c>
      <c r="D643" s="5">
        <v>47</v>
      </c>
      <c r="E643" s="5">
        <v>1727</v>
      </c>
      <c r="F643" s="5">
        <v>81169</v>
      </c>
    </row>
    <row r="644" spans="1:6" x14ac:dyDescent="0.4">
      <c r="A644" s="5" t="s">
        <v>17</v>
      </c>
      <c r="B644" s="5" t="s">
        <v>21</v>
      </c>
      <c r="C644" s="5" t="s">
        <v>23</v>
      </c>
      <c r="D644" s="5">
        <v>49</v>
      </c>
      <c r="E644" s="5">
        <v>1107</v>
      </c>
      <c r="F644" s="5">
        <v>54243</v>
      </c>
    </row>
    <row r="645" spans="1:6" x14ac:dyDescent="0.4">
      <c r="A645" s="5" t="s">
        <v>17</v>
      </c>
      <c r="B645" s="5" t="s">
        <v>21</v>
      </c>
      <c r="C645" s="5" t="s">
        <v>16</v>
      </c>
      <c r="D645" s="5">
        <v>48</v>
      </c>
      <c r="E645" s="5">
        <v>1012</v>
      </c>
      <c r="F645" s="5">
        <v>48576</v>
      </c>
    </row>
    <row r="646" spans="1:6" x14ac:dyDescent="0.4">
      <c r="A646" s="5" t="s">
        <v>6</v>
      </c>
      <c r="B646" s="5" t="s">
        <v>12</v>
      </c>
      <c r="C646" s="5" t="s">
        <v>14</v>
      </c>
      <c r="D646" s="5">
        <v>1</v>
      </c>
      <c r="E646" s="5">
        <v>1152</v>
      </c>
      <c r="F646" s="5">
        <v>1152</v>
      </c>
    </row>
    <row r="647" spans="1:6" x14ac:dyDescent="0.4">
      <c r="A647" s="5" t="s">
        <v>9</v>
      </c>
      <c r="B647" s="5" t="s">
        <v>21</v>
      </c>
      <c r="C647" s="5" t="s">
        <v>16</v>
      </c>
      <c r="D647" s="5">
        <v>18</v>
      </c>
      <c r="E647" s="5">
        <v>1578</v>
      </c>
      <c r="F647" s="5">
        <v>28404</v>
      </c>
    </row>
    <row r="648" spans="1:6" x14ac:dyDescent="0.4">
      <c r="A648" s="5" t="s">
        <v>9</v>
      </c>
      <c r="B648" s="5" t="s">
        <v>12</v>
      </c>
      <c r="C648" s="5" t="s">
        <v>22</v>
      </c>
      <c r="D648" s="5">
        <v>46</v>
      </c>
      <c r="E648" s="5">
        <v>1865</v>
      </c>
      <c r="F648" s="5">
        <v>85790</v>
      </c>
    </row>
    <row r="649" spans="1:6" x14ac:dyDescent="0.4">
      <c r="A649" s="5" t="s">
        <v>17</v>
      </c>
      <c r="B649" s="5" t="s">
        <v>21</v>
      </c>
      <c r="C649" s="5" t="s">
        <v>16</v>
      </c>
      <c r="D649" s="5">
        <v>41</v>
      </c>
      <c r="E649" s="5">
        <v>590</v>
      </c>
      <c r="F649" s="5">
        <v>24190</v>
      </c>
    </row>
    <row r="650" spans="1:6" x14ac:dyDescent="0.4">
      <c r="A650" s="5" t="s">
        <v>17</v>
      </c>
      <c r="B650" s="5" t="s">
        <v>7</v>
      </c>
      <c r="C650" s="5" t="s">
        <v>18</v>
      </c>
      <c r="D650" s="5">
        <v>45</v>
      </c>
      <c r="E650" s="5">
        <v>651</v>
      </c>
      <c r="F650" s="5">
        <v>29295</v>
      </c>
    </row>
    <row r="651" spans="1:6" x14ac:dyDescent="0.4">
      <c r="A651" s="5" t="s">
        <v>6</v>
      </c>
      <c r="B651" s="5" t="s">
        <v>7</v>
      </c>
      <c r="C651" s="5" t="s">
        <v>14</v>
      </c>
      <c r="D651" s="5">
        <v>16</v>
      </c>
      <c r="E651" s="5">
        <v>143</v>
      </c>
      <c r="F651" s="5">
        <v>2288</v>
      </c>
    </row>
    <row r="652" spans="1:6" x14ac:dyDescent="0.4">
      <c r="A652" s="5" t="s">
        <v>9</v>
      </c>
      <c r="B652" s="5" t="s">
        <v>7</v>
      </c>
      <c r="C652" s="5" t="s">
        <v>18</v>
      </c>
      <c r="D652" s="5">
        <v>36</v>
      </c>
      <c r="E652" s="5">
        <v>1330</v>
      </c>
      <c r="F652" s="5">
        <v>47880</v>
      </c>
    </row>
    <row r="653" spans="1:6" x14ac:dyDescent="0.4">
      <c r="A653" s="5" t="s">
        <v>9</v>
      </c>
      <c r="B653" s="5" t="s">
        <v>12</v>
      </c>
      <c r="C653" s="5" t="s">
        <v>13</v>
      </c>
      <c r="D653" s="5">
        <v>3</v>
      </c>
      <c r="E653" s="5">
        <v>1247</v>
      </c>
      <c r="F653" s="5">
        <v>3741</v>
      </c>
    </row>
    <row r="654" spans="1:6" x14ac:dyDescent="0.4">
      <c r="A654" s="5" t="s">
        <v>17</v>
      </c>
      <c r="B654" s="5" t="s">
        <v>12</v>
      </c>
      <c r="C654" s="5" t="s">
        <v>23</v>
      </c>
      <c r="D654" s="5">
        <v>16</v>
      </c>
      <c r="E654" s="5">
        <v>1574</v>
      </c>
      <c r="F654" s="5">
        <v>25184</v>
      </c>
    </row>
    <row r="655" spans="1:6" x14ac:dyDescent="0.4">
      <c r="A655" s="5" t="s">
        <v>9</v>
      </c>
      <c r="B655" s="5" t="s">
        <v>15</v>
      </c>
      <c r="C655" s="5" t="s">
        <v>24</v>
      </c>
      <c r="D655" s="5">
        <v>7</v>
      </c>
      <c r="E655" s="5">
        <v>735</v>
      </c>
      <c r="F655" s="5">
        <v>5145</v>
      </c>
    </row>
    <row r="656" spans="1:6" x14ac:dyDescent="0.4">
      <c r="A656" s="5" t="s">
        <v>6</v>
      </c>
      <c r="B656" s="5" t="s">
        <v>12</v>
      </c>
      <c r="C656" s="5" t="s">
        <v>13</v>
      </c>
      <c r="D656" s="5">
        <v>21</v>
      </c>
      <c r="E656" s="5">
        <v>174</v>
      </c>
      <c r="F656" s="5">
        <v>3654</v>
      </c>
    </row>
    <row r="657" spans="1:6" x14ac:dyDescent="0.4">
      <c r="A657" s="5" t="s">
        <v>9</v>
      </c>
      <c r="B657" s="5" t="s">
        <v>15</v>
      </c>
      <c r="C657" s="5" t="s">
        <v>22</v>
      </c>
      <c r="D657" s="5">
        <v>36</v>
      </c>
      <c r="E657" s="5">
        <v>726</v>
      </c>
      <c r="F657" s="5">
        <v>26136</v>
      </c>
    </row>
    <row r="658" spans="1:6" x14ac:dyDescent="0.4">
      <c r="A658" s="5" t="s">
        <v>17</v>
      </c>
      <c r="B658" s="5" t="s">
        <v>7</v>
      </c>
      <c r="C658" s="5" t="s">
        <v>13</v>
      </c>
      <c r="D658" s="5">
        <v>23</v>
      </c>
      <c r="E658" s="5">
        <v>1353</v>
      </c>
      <c r="F658" s="5">
        <v>31119</v>
      </c>
    </row>
    <row r="659" spans="1:6" x14ac:dyDescent="0.4">
      <c r="A659" s="5" t="s">
        <v>19</v>
      </c>
      <c r="B659" s="5" t="s">
        <v>21</v>
      </c>
      <c r="C659" s="5" t="s">
        <v>24</v>
      </c>
      <c r="D659" s="5">
        <v>11</v>
      </c>
      <c r="E659" s="5">
        <v>1802</v>
      </c>
      <c r="F659" s="5">
        <v>19822</v>
      </c>
    </row>
    <row r="660" spans="1:6" x14ac:dyDescent="0.4">
      <c r="A660" s="5" t="s">
        <v>17</v>
      </c>
      <c r="B660" s="5" t="s">
        <v>10</v>
      </c>
      <c r="C660" s="5" t="s">
        <v>22</v>
      </c>
      <c r="D660" s="5">
        <v>36</v>
      </c>
      <c r="E660" s="5">
        <v>1447</v>
      </c>
      <c r="F660" s="5">
        <v>52092</v>
      </c>
    </row>
    <row r="661" spans="1:6" x14ac:dyDescent="0.4">
      <c r="A661" s="5" t="s">
        <v>6</v>
      </c>
      <c r="B661" s="5" t="s">
        <v>21</v>
      </c>
      <c r="C661" s="5" t="s">
        <v>11</v>
      </c>
      <c r="D661" s="5">
        <v>43</v>
      </c>
      <c r="E661" s="5">
        <v>226</v>
      </c>
      <c r="F661" s="5">
        <v>9718</v>
      </c>
    </row>
    <row r="662" spans="1:6" x14ac:dyDescent="0.4">
      <c r="A662" s="5" t="s">
        <v>9</v>
      </c>
      <c r="B662" s="5" t="s">
        <v>7</v>
      </c>
      <c r="C662" s="5" t="s">
        <v>8</v>
      </c>
      <c r="D662" s="5">
        <v>15</v>
      </c>
      <c r="E662" s="5">
        <v>1862</v>
      </c>
      <c r="F662" s="5">
        <v>27930</v>
      </c>
    </row>
    <row r="663" spans="1:6" x14ac:dyDescent="0.4">
      <c r="A663" s="5" t="s">
        <v>19</v>
      </c>
      <c r="B663" s="5" t="s">
        <v>15</v>
      </c>
      <c r="C663" s="5" t="s">
        <v>16</v>
      </c>
      <c r="D663" s="5">
        <v>50</v>
      </c>
      <c r="E663" s="5">
        <v>1052</v>
      </c>
      <c r="F663" s="5">
        <v>52600</v>
      </c>
    </row>
    <row r="664" spans="1:6" x14ac:dyDescent="0.4">
      <c r="A664" s="5" t="s">
        <v>6</v>
      </c>
      <c r="B664" s="5" t="s">
        <v>10</v>
      </c>
      <c r="C664" s="5" t="s">
        <v>22</v>
      </c>
      <c r="D664" s="5">
        <v>2</v>
      </c>
      <c r="E664" s="5">
        <v>991</v>
      </c>
      <c r="F664" s="5">
        <v>1982</v>
      </c>
    </row>
    <row r="665" spans="1:6" x14ac:dyDescent="0.4">
      <c r="A665" s="5" t="s">
        <v>19</v>
      </c>
      <c r="B665" s="5" t="s">
        <v>15</v>
      </c>
      <c r="C665" s="5" t="s">
        <v>8</v>
      </c>
      <c r="D665" s="5">
        <v>34</v>
      </c>
      <c r="E665" s="5">
        <v>306</v>
      </c>
      <c r="F665" s="5">
        <v>10404</v>
      </c>
    </row>
    <row r="666" spans="1:6" x14ac:dyDescent="0.4">
      <c r="A666" s="5" t="s">
        <v>6</v>
      </c>
      <c r="B666" s="5" t="s">
        <v>21</v>
      </c>
      <c r="C666" s="5" t="s">
        <v>11</v>
      </c>
      <c r="D666" s="5">
        <v>21</v>
      </c>
      <c r="E666" s="5">
        <v>1353</v>
      </c>
      <c r="F666" s="5">
        <v>28413</v>
      </c>
    </row>
    <row r="667" spans="1:6" x14ac:dyDescent="0.4">
      <c r="A667" s="5" t="s">
        <v>9</v>
      </c>
      <c r="B667" s="5" t="s">
        <v>21</v>
      </c>
      <c r="C667" s="5" t="s">
        <v>11</v>
      </c>
      <c r="D667" s="5">
        <v>24</v>
      </c>
      <c r="E667" s="5">
        <v>322</v>
      </c>
      <c r="F667" s="5">
        <v>7728</v>
      </c>
    </row>
    <row r="668" spans="1:6" x14ac:dyDescent="0.4">
      <c r="A668" s="5" t="s">
        <v>19</v>
      </c>
      <c r="B668" s="5" t="s">
        <v>12</v>
      </c>
      <c r="C668" s="5" t="s">
        <v>22</v>
      </c>
      <c r="D668" s="5">
        <v>6</v>
      </c>
      <c r="E668" s="5">
        <v>986</v>
      </c>
      <c r="F668" s="5">
        <v>5916</v>
      </c>
    </row>
    <row r="669" spans="1:6" x14ac:dyDescent="0.4">
      <c r="A669" s="5" t="s">
        <v>17</v>
      </c>
      <c r="B669" s="5" t="s">
        <v>12</v>
      </c>
      <c r="C669" s="5" t="s">
        <v>24</v>
      </c>
      <c r="D669" s="5">
        <v>28</v>
      </c>
      <c r="E669" s="5">
        <v>382</v>
      </c>
      <c r="F669" s="5">
        <v>10696</v>
      </c>
    </row>
    <row r="670" spans="1:6" x14ac:dyDescent="0.4">
      <c r="A670" s="5" t="s">
        <v>17</v>
      </c>
      <c r="B670" s="5" t="s">
        <v>21</v>
      </c>
      <c r="C670" s="5" t="s">
        <v>24</v>
      </c>
      <c r="D670" s="5">
        <v>22</v>
      </c>
      <c r="E670" s="5">
        <v>352</v>
      </c>
      <c r="F670" s="5">
        <v>7744</v>
      </c>
    </row>
    <row r="671" spans="1:6" x14ac:dyDescent="0.4">
      <c r="A671" s="5" t="s">
        <v>17</v>
      </c>
      <c r="B671" s="5" t="s">
        <v>7</v>
      </c>
      <c r="C671" s="5" t="s">
        <v>18</v>
      </c>
      <c r="D671" s="5">
        <v>39</v>
      </c>
      <c r="E671" s="5">
        <v>1122</v>
      </c>
      <c r="F671" s="5">
        <v>43758</v>
      </c>
    </row>
    <row r="672" spans="1:6" x14ac:dyDescent="0.4">
      <c r="A672" s="5" t="s">
        <v>6</v>
      </c>
      <c r="B672" s="5" t="s">
        <v>15</v>
      </c>
      <c r="C672" s="5" t="s">
        <v>13</v>
      </c>
      <c r="D672" s="5">
        <v>2</v>
      </c>
      <c r="E672" s="5">
        <v>1198</v>
      </c>
      <c r="F672" s="5">
        <v>2396</v>
      </c>
    </row>
    <row r="673" spans="1:6" x14ac:dyDescent="0.4">
      <c r="A673" s="5" t="s">
        <v>9</v>
      </c>
      <c r="B673" s="5" t="s">
        <v>7</v>
      </c>
      <c r="C673" s="5" t="s">
        <v>13</v>
      </c>
      <c r="D673" s="5">
        <v>26</v>
      </c>
      <c r="E673" s="5">
        <v>1264</v>
      </c>
      <c r="F673" s="5">
        <v>32864</v>
      </c>
    </row>
    <row r="674" spans="1:6" x14ac:dyDescent="0.4">
      <c r="A674" s="5" t="s">
        <v>9</v>
      </c>
      <c r="B674" s="5" t="s">
        <v>12</v>
      </c>
      <c r="C674" s="5" t="s">
        <v>16</v>
      </c>
      <c r="D674" s="5">
        <v>50</v>
      </c>
      <c r="E674" s="5">
        <v>274</v>
      </c>
      <c r="F674" s="5">
        <v>13700</v>
      </c>
    </row>
    <row r="675" spans="1:6" x14ac:dyDescent="0.4">
      <c r="A675" s="5" t="s">
        <v>9</v>
      </c>
      <c r="B675" s="5" t="s">
        <v>21</v>
      </c>
      <c r="C675" s="5" t="s">
        <v>20</v>
      </c>
      <c r="D675" s="5">
        <v>5</v>
      </c>
      <c r="E675" s="5">
        <v>1288</v>
      </c>
      <c r="F675" s="5">
        <v>6440</v>
      </c>
    </row>
    <row r="676" spans="1:6" x14ac:dyDescent="0.4">
      <c r="A676" s="5" t="s">
        <v>17</v>
      </c>
      <c r="B676" s="5" t="s">
        <v>21</v>
      </c>
      <c r="C676" s="5" t="s">
        <v>20</v>
      </c>
      <c r="D676" s="5">
        <v>30</v>
      </c>
      <c r="E676" s="5">
        <v>913</v>
      </c>
      <c r="F676" s="5">
        <v>27390</v>
      </c>
    </row>
    <row r="677" spans="1:6" x14ac:dyDescent="0.4">
      <c r="A677" s="5" t="s">
        <v>19</v>
      </c>
      <c r="B677" s="5" t="s">
        <v>7</v>
      </c>
      <c r="C677" s="5" t="s">
        <v>14</v>
      </c>
      <c r="D677" s="5">
        <v>46</v>
      </c>
      <c r="E677" s="5">
        <v>1179</v>
      </c>
      <c r="F677" s="5">
        <v>54234</v>
      </c>
    </row>
    <row r="678" spans="1:6" x14ac:dyDescent="0.4">
      <c r="A678" s="5" t="s">
        <v>17</v>
      </c>
      <c r="B678" s="5" t="s">
        <v>21</v>
      </c>
      <c r="C678" s="5" t="s">
        <v>14</v>
      </c>
      <c r="D678" s="5">
        <v>19</v>
      </c>
      <c r="E678" s="5">
        <v>1370</v>
      </c>
      <c r="F678" s="5">
        <v>26030</v>
      </c>
    </row>
    <row r="679" spans="1:6" x14ac:dyDescent="0.4">
      <c r="A679" s="5" t="s">
        <v>19</v>
      </c>
      <c r="B679" s="5" t="s">
        <v>21</v>
      </c>
      <c r="C679" s="5" t="s">
        <v>8</v>
      </c>
      <c r="D679" s="5">
        <v>18</v>
      </c>
      <c r="E679" s="5">
        <v>653</v>
      </c>
      <c r="F679" s="5">
        <v>11754</v>
      </c>
    </row>
    <row r="680" spans="1:6" x14ac:dyDescent="0.4">
      <c r="A680" s="5" t="s">
        <v>9</v>
      </c>
      <c r="B680" s="5" t="s">
        <v>15</v>
      </c>
      <c r="C680" s="5" t="s">
        <v>13</v>
      </c>
      <c r="D680" s="5">
        <v>22</v>
      </c>
      <c r="E680" s="5">
        <v>1957</v>
      </c>
      <c r="F680" s="5">
        <v>43054</v>
      </c>
    </row>
    <row r="681" spans="1:6" x14ac:dyDescent="0.4">
      <c r="A681" s="5" t="s">
        <v>6</v>
      </c>
      <c r="B681" s="5" t="s">
        <v>15</v>
      </c>
      <c r="C681" s="5" t="s">
        <v>16</v>
      </c>
      <c r="D681" s="5">
        <v>14</v>
      </c>
      <c r="E681" s="5">
        <v>544</v>
      </c>
      <c r="F681" s="5">
        <v>7616</v>
      </c>
    </row>
    <row r="682" spans="1:6" x14ac:dyDescent="0.4">
      <c r="A682" s="5" t="s">
        <v>19</v>
      </c>
      <c r="B682" s="5" t="s">
        <v>10</v>
      </c>
      <c r="C682" s="5" t="s">
        <v>11</v>
      </c>
      <c r="D682" s="5">
        <v>15</v>
      </c>
      <c r="E682" s="5">
        <v>417</v>
      </c>
      <c r="F682" s="5">
        <v>6255</v>
      </c>
    </row>
    <row r="683" spans="1:6" x14ac:dyDescent="0.4">
      <c r="A683" s="5" t="s">
        <v>9</v>
      </c>
      <c r="B683" s="5" t="s">
        <v>10</v>
      </c>
      <c r="C683" s="5" t="s">
        <v>11</v>
      </c>
      <c r="D683" s="5">
        <v>4</v>
      </c>
      <c r="E683" s="5">
        <v>1066</v>
      </c>
      <c r="F683" s="5">
        <v>4264</v>
      </c>
    </row>
    <row r="684" spans="1:6" x14ac:dyDescent="0.4">
      <c r="A684" s="5" t="s">
        <v>17</v>
      </c>
      <c r="B684" s="5" t="s">
        <v>7</v>
      </c>
      <c r="C684" s="5" t="s">
        <v>8</v>
      </c>
      <c r="D684" s="5">
        <v>3</v>
      </c>
      <c r="E684" s="5">
        <v>1101</v>
      </c>
      <c r="F684" s="5">
        <v>3303</v>
      </c>
    </row>
    <row r="685" spans="1:6" x14ac:dyDescent="0.4">
      <c r="A685" s="5" t="s">
        <v>9</v>
      </c>
      <c r="B685" s="5" t="s">
        <v>15</v>
      </c>
      <c r="C685" s="5" t="s">
        <v>24</v>
      </c>
      <c r="D685" s="5">
        <v>29</v>
      </c>
      <c r="E685" s="5">
        <v>521</v>
      </c>
      <c r="F685" s="5">
        <v>15109</v>
      </c>
    </row>
    <row r="686" spans="1:6" x14ac:dyDescent="0.4">
      <c r="A686" s="5" t="s">
        <v>19</v>
      </c>
      <c r="B686" s="5" t="s">
        <v>15</v>
      </c>
      <c r="C686" s="5" t="s">
        <v>11</v>
      </c>
      <c r="D686" s="5">
        <v>15</v>
      </c>
      <c r="E686" s="5">
        <v>331</v>
      </c>
      <c r="F686" s="5">
        <v>4965</v>
      </c>
    </row>
    <row r="687" spans="1:6" x14ac:dyDescent="0.4">
      <c r="A687" s="5" t="s">
        <v>19</v>
      </c>
      <c r="B687" s="5" t="s">
        <v>15</v>
      </c>
      <c r="C687" s="5" t="s">
        <v>18</v>
      </c>
      <c r="D687" s="5">
        <v>27</v>
      </c>
      <c r="E687" s="5">
        <v>1937</v>
      </c>
      <c r="F687" s="5">
        <v>52299</v>
      </c>
    </row>
    <row r="688" spans="1:6" x14ac:dyDescent="0.4">
      <c r="A688" s="5" t="s">
        <v>17</v>
      </c>
      <c r="B688" s="5" t="s">
        <v>7</v>
      </c>
      <c r="C688" s="5" t="s">
        <v>13</v>
      </c>
      <c r="D688" s="5">
        <v>35</v>
      </c>
      <c r="E688" s="5">
        <v>1653</v>
      </c>
      <c r="F688" s="5">
        <v>57855</v>
      </c>
    </row>
    <row r="689" spans="1:6" x14ac:dyDescent="0.4">
      <c r="A689" s="5" t="s">
        <v>17</v>
      </c>
      <c r="B689" s="5" t="s">
        <v>12</v>
      </c>
      <c r="C689" s="5" t="s">
        <v>23</v>
      </c>
      <c r="D689" s="5">
        <v>11</v>
      </c>
      <c r="E689" s="5">
        <v>1462</v>
      </c>
      <c r="F689" s="5">
        <v>16082</v>
      </c>
    </row>
    <row r="690" spans="1:6" x14ac:dyDescent="0.4">
      <c r="A690" s="5" t="s">
        <v>9</v>
      </c>
      <c r="B690" s="5" t="s">
        <v>10</v>
      </c>
      <c r="C690" s="5" t="s">
        <v>20</v>
      </c>
      <c r="D690" s="5">
        <v>5</v>
      </c>
      <c r="E690" s="5">
        <v>231</v>
      </c>
      <c r="F690" s="5">
        <v>1155</v>
      </c>
    </row>
    <row r="691" spans="1:6" x14ac:dyDescent="0.4">
      <c r="A691" s="5" t="s">
        <v>6</v>
      </c>
      <c r="B691" s="5" t="s">
        <v>7</v>
      </c>
      <c r="C691" s="5" t="s">
        <v>16</v>
      </c>
      <c r="D691" s="5">
        <v>18</v>
      </c>
      <c r="E691" s="5">
        <v>1853</v>
      </c>
      <c r="F691" s="5">
        <v>33354</v>
      </c>
    </row>
    <row r="692" spans="1:6" x14ac:dyDescent="0.4">
      <c r="A692" s="5" t="s">
        <v>6</v>
      </c>
      <c r="B692" s="5" t="s">
        <v>15</v>
      </c>
      <c r="C692" s="5" t="s">
        <v>20</v>
      </c>
      <c r="D692" s="5">
        <v>10</v>
      </c>
      <c r="E692" s="5">
        <v>1442</v>
      </c>
      <c r="F692" s="5">
        <v>14420</v>
      </c>
    </row>
    <row r="693" spans="1:6" x14ac:dyDescent="0.4">
      <c r="A693" s="5" t="s">
        <v>19</v>
      </c>
      <c r="B693" s="5" t="s">
        <v>10</v>
      </c>
      <c r="C693" s="5" t="s">
        <v>11</v>
      </c>
      <c r="D693" s="5">
        <v>2</v>
      </c>
      <c r="E693" s="5">
        <v>1569</v>
      </c>
      <c r="F693" s="5">
        <v>3138</v>
      </c>
    </row>
    <row r="694" spans="1:6" x14ac:dyDescent="0.4">
      <c r="A694" s="5" t="s">
        <v>6</v>
      </c>
      <c r="B694" s="5" t="s">
        <v>15</v>
      </c>
      <c r="C694" s="5" t="s">
        <v>22</v>
      </c>
      <c r="D694" s="5">
        <v>39</v>
      </c>
      <c r="E694" s="5">
        <v>168</v>
      </c>
      <c r="F694" s="5">
        <v>6552</v>
      </c>
    </row>
    <row r="695" spans="1:6" x14ac:dyDescent="0.4">
      <c r="A695" s="5" t="s">
        <v>9</v>
      </c>
      <c r="B695" s="5" t="s">
        <v>12</v>
      </c>
      <c r="C695" s="5" t="s">
        <v>24</v>
      </c>
      <c r="D695" s="5">
        <v>19</v>
      </c>
      <c r="E695" s="5">
        <v>170</v>
      </c>
      <c r="F695" s="5">
        <v>3230</v>
      </c>
    </row>
    <row r="696" spans="1:6" x14ac:dyDescent="0.4">
      <c r="A696" s="5" t="s">
        <v>6</v>
      </c>
      <c r="B696" s="5" t="s">
        <v>10</v>
      </c>
      <c r="C696" s="5" t="s">
        <v>18</v>
      </c>
      <c r="D696" s="5">
        <v>8</v>
      </c>
      <c r="E696" s="5">
        <v>1557</v>
      </c>
      <c r="F696" s="5">
        <v>12456</v>
      </c>
    </row>
    <row r="697" spans="1:6" x14ac:dyDescent="0.4">
      <c r="A697" s="5" t="s">
        <v>9</v>
      </c>
      <c r="B697" s="5" t="s">
        <v>7</v>
      </c>
      <c r="C697" s="5" t="s">
        <v>14</v>
      </c>
      <c r="D697" s="5">
        <v>43</v>
      </c>
      <c r="E697" s="5">
        <v>1102</v>
      </c>
      <c r="F697" s="5">
        <v>47386</v>
      </c>
    </row>
    <row r="698" spans="1:6" x14ac:dyDescent="0.4">
      <c r="A698" s="5" t="s">
        <v>17</v>
      </c>
      <c r="B698" s="5" t="s">
        <v>10</v>
      </c>
      <c r="C698" s="5" t="s">
        <v>13</v>
      </c>
      <c r="D698" s="5">
        <v>5</v>
      </c>
      <c r="E698" s="5">
        <v>1001</v>
      </c>
      <c r="F698" s="5">
        <v>5005</v>
      </c>
    </row>
    <row r="699" spans="1:6" x14ac:dyDescent="0.4">
      <c r="A699" s="5" t="s">
        <v>19</v>
      </c>
      <c r="B699" s="5" t="s">
        <v>12</v>
      </c>
      <c r="C699" s="5" t="s">
        <v>18</v>
      </c>
      <c r="D699" s="5">
        <v>2</v>
      </c>
      <c r="E699" s="5">
        <v>1717</v>
      </c>
      <c r="F699" s="5">
        <v>3434</v>
      </c>
    </row>
    <row r="700" spans="1:6" x14ac:dyDescent="0.4">
      <c r="A700" s="5" t="s">
        <v>17</v>
      </c>
      <c r="B700" s="5" t="s">
        <v>12</v>
      </c>
      <c r="C700" s="5" t="s">
        <v>24</v>
      </c>
      <c r="D700" s="5">
        <v>6</v>
      </c>
      <c r="E700" s="5">
        <v>1697</v>
      </c>
      <c r="F700" s="5">
        <v>10182</v>
      </c>
    </row>
    <row r="701" spans="1:6" x14ac:dyDescent="0.4">
      <c r="A701" s="5" t="s">
        <v>19</v>
      </c>
      <c r="B701" s="5" t="s">
        <v>15</v>
      </c>
      <c r="C701" s="5" t="s">
        <v>14</v>
      </c>
      <c r="D701" s="5">
        <v>9</v>
      </c>
      <c r="E701" s="5">
        <v>1873</v>
      </c>
      <c r="F701" s="5">
        <v>16857</v>
      </c>
    </row>
    <row r="702" spans="1:6" x14ac:dyDescent="0.4">
      <c r="A702" s="5" t="s">
        <v>6</v>
      </c>
      <c r="B702" s="5" t="s">
        <v>15</v>
      </c>
      <c r="C702" s="5" t="s">
        <v>24</v>
      </c>
      <c r="D702" s="5">
        <v>36</v>
      </c>
      <c r="E702" s="5">
        <v>935</v>
      </c>
      <c r="F702" s="5">
        <v>33660</v>
      </c>
    </row>
    <row r="703" spans="1:6" x14ac:dyDescent="0.4">
      <c r="A703" s="5" t="s">
        <v>9</v>
      </c>
      <c r="B703" s="5" t="s">
        <v>21</v>
      </c>
      <c r="C703" s="5" t="s">
        <v>8</v>
      </c>
      <c r="D703" s="5">
        <v>39</v>
      </c>
      <c r="E703" s="5">
        <v>1822</v>
      </c>
      <c r="F703" s="5">
        <v>71058</v>
      </c>
    </row>
    <row r="704" spans="1:6" x14ac:dyDescent="0.4">
      <c r="A704" s="5" t="s">
        <v>17</v>
      </c>
      <c r="B704" s="5" t="s">
        <v>7</v>
      </c>
      <c r="C704" s="5" t="s">
        <v>14</v>
      </c>
      <c r="D704" s="5">
        <v>50</v>
      </c>
      <c r="E704" s="5">
        <v>1669</v>
      </c>
      <c r="F704" s="5">
        <v>83450</v>
      </c>
    </row>
    <row r="705" spans="1:6" x14ac:dyDescent="0.4">
      <c r="A705" s="5" t="s">
        <v>6</v>
      </c>
      <c r="B705" s="5" t="s">
        <v>10</v>
      </c>
      <c r="C705" s="5" t="s">
        <v>24</v>
      </c>
      <c r="D705" s="5">
        <v>50</v>
      </c>
      <c r="E705" s="5">
        <v>1595</v>
      </c>
      <c r="F705" s="5">
        <v>79750</v>
      </c>
    </row>
    <row r="706" spans="1:6" x14ac:dyDescent="0.4">
      <c r="A706" s="5" t="s">
        <v>17</v>
      </c>
      <c r="B706" s="5" t="s">
        <v>7</v>
      </c>
      <c r="C706" s="5" t="s">
        <v>22</v>
      </c>
      <c r="D706" s="5">
        <v>28</v>
      </c>
      <c r="E706" s="5">
        <v>906</v>
      </c>
      <c r="F706" s="5">
        <v>25368</v>
      </c>
    </row>
    <row r="707" spans="1:6" x14ac:dyDescent="0.4">
      <c r="A707" s="5" t="s">
        <v>19</v>
      </c>
      <c r="B707" s="5" t="s">
        <v>12</v>
      </c>
      <c r="C707" s="5" t="s">
        <v>24</v>
      </c>
      <c r="D707" s="5">
        <v>4</v>
      </c>
      <c r="E707" s="5">
        <v>895</v>
      </c>
      <c r="F707" s="5">
        <v>3580</v>
      </c>
    </row>
    <row r="708" spans="1:6" x14ac:dyDescent="0.4">
      <c r="A708" s="5" t="s">
        <v>6</v>
      </c>
      <c r="B708" s="5" t="s">
        <v>7</v>
      </c>
      <c r="C708" s="5" t="s">
        <v>22</v>
      </c>
      <c r="D708" s="5">
        <v>40</v>
      </c>
      <c r="E708" s="5">
        <v>476</v>
      </c>
      <c r="F708" s="5">
        <v>19040</v>
      </c>
    </row>
    <row r="709" spans="1:6" x14ac:dyDescent="0.4">
      <c r="A709" s="5" t="s">
        <v>17</v>
      </c>
      <c r="B709" s="5" t="s">
        <v>7</v>
      </c>
      <c r="C709" s="5" t="s">
        <v>24</v>
      </c>
      <c r="D709" s="5">
        <v>19</v>
      </c>
      <c r="E709" s="5">
        <v>1301</v>
      </c>
      <c r="F709" s="5">
        <v>24719</v>
      </c>
    </row>
    <row r="710" spans="1:6" x14ac:dyDescent="0.4">
      <c r="A710" s="5" t="s">
        <v>19</v>
      </c>
      <c r="B710" s="5" t="s">
        <v>7</v>
      </c>
      <c r="C710" s="5" t="s">
        <v>24</v>
      </c>
      <c r="D710" s="5">
        <v>48</v>
      </c>
      <c r="E710" s="5">
        <v>241</v>
      </c>
      <c r="F710" s="5">
        <v>11568</v>
      </c>
    </row>
    <row r="711" spans="1:6" x14ac:dyDescent="0.4">
      <c r="A711" s="5" t="s">
        <v>19</v>
      </c>
      <c r="B711" s="5" t="s">
        <v>21</v>
      </c>
      <c r="C711" s="5" t="s">
        <v>23</v>
      </c>
      <c r="D711" s="5">
        <v>49</v>
      </c>
      <c r="E711" s="5">
        <v>908</v>
      </c>
      <c r="F711" s="5">
        <v>44492</v>
      </c>
    </row>
    <row r="712" spans="1:6" x14ac:dyDescent="0.4">
      <c r="A712" s="5" t="s">
        <v>17</v>
      </c>
      <c r="B712" s="5" t="s">
        <v>15</v>
      </c>
      <c r="C712" s="5" t="s">
        <v>14</v>
      </c>
      <c r="D712" s="5">
        <v>7</v>
      </c>
      <c r="E712" s="5">
        <v>657</v>
      </c>
      <c r="F712" s="5">
        <v>4599</v>
      </c>
    </row>
    <row r="713" spans="1:6" x14ac:dyDescent="0.4">
      <c r="A713" s="5" t="s">
        <v>9</v>
      </c>
      <c r="B713" s="5" t="s">
        <v>15</v>
      </c>
      <c r="C713" s="5" t="s">
        <v>14</v>
      </c>
      <c r="D713" s="5">
        <v>28</v>
      </c>
      <c r="E713" s="5">
        <v>1803</v>
      </c>
      <c r="F713" s="5">
        <v>50484</v>
      </c>
    </row>
    <row r="714" spans="1:6" x14ac:dyDescent="0.4">
      <c r="A714" s="5" t="s">
        <v>19</v>
      </c>
      <c r="B714" s="5" t="s">
        <v>7</v>
      </c>
      <c r="C714" s="5" t="s">
        <v>11</v>
      </c>
      <c r="D714" s="5">
        <v>6</v>
      </c>
      <c r="E714" s="5">
        <v>359</v>
      </c>
      <c r="F714" s="5">
        <v>2154</v>
      </c>
    </row>
    <row r="715" spans="1:6" x14ac:dyDescent="0.4">
      <c r="A715" s="5" t="s">
        <v>6</v>
      </c>
      <c r="B715" s="5" t="s">
        <v>10</v>
      </c>
      <c r="C715" s="5" t="s">
        <v>11</v>
      </c>
      <c r="D715" s="5">
        <v>27</v>
      </c>
      <c r="E715" s="5">
        <v>1447</v>
      </c>
      <c r="F715" s="5">
        <v>39069</v>
      </c>
    </row>
    <row r="716" spans="1:6" x14ac:dyDescent="0.4">
      <c r="A716" s="5" t="s">
        <v>17</v>
      </c>
      <c r="B716" s="5" t="s">
        <v>7</v>
      </c>
      <c r="C716" s="5" t="s">
        <v>14</v>
      </c>
      <c r="D716" s="5">
        <v>10</v>
      </c>
      <c r="E716" s="5">
        <v>1390</v>
      </c>
      <c r="F716" s="5">
        <v>13900</v>
      </c>
    </row>
    <row r="717" spans="1:6" x14ac:dyDescent="0.4">
      <c r="A717" s="5" t="s">
        <v>19</v>
      </c>
      <c r="B717" s="5" t="s">
        <v>7</v>
      </c>
      <c r="C717" s="5" t="s">
        <v>20</v>
      </c>
      <c r="D717" s="5">
        <v>49</v>
      </c>
      <c r="E717" s="5">
        <v>1877</v>
      </c>
      <c r="F717" s="5">
        <v>91973</v>
      </c>
    </row>
    <row r="718" spans="1:6" x14ac:dyDescent="0.4">
      <c r="A718" s="5" t="s">
        <v>17</v>
      </c>
      <c r="B718" s="5" t="s">
        <v>10</v>
      </c>
      <c r="C718" s="5" t="s">
        <v>20</v>
      </c>
      <c r="D718" s="5">
        <v>42</v>
      </c>
      <c r="E718" s="5">
        <v>1270</v>
      </c>
      <c r="F718" s="5">
        <v>53340</v>
      </c>
    </row>
    <row r="719" spans="1:6" x14ac:dyDescent="0.4">
      <c r="A719" s="5" t="s">
        <v>6</v>
      </c>
      <c r="B719" s="5" t="s">
        <v>12</v>
      </c>
      <c r="C719" s="5" t="s">
        <v>22</v>
      </c>
      <c r="D719" s="5">
        <v>43</v>
      </c>
      <c r="E719" s="5">
        <v>1172</v>
      </c>
      <c r="F719" s="5">
        <v>50396</v>
      </c>
    </row>
    <row r="720" spans="1:6" x14ac:dyDescent="0.4">
      <c r="A720" s="5" t="s">
        <v>19</v>
      </c>
      <c r="B720" s="5" t="s">
        <v>10</v>
      </c>
      <c r="C720" s="5" t="s">
        <v>18</v>
      </c>
      <c r="D720" s="5">
        <v>30</v>
      </c>
      <c r="E720" s="5">
        <v>1891</v>
      </c>
      <c r="F720" s="5">
        <v>56730</v>
      </c>
    </row>
    <row r="721" spans="1:6" x14ac:dyDescent="0.4">
      <c r="A721" s="5" t="s">
        <v>17</v>
      </c>
      <c r="B721" s="5" t="s">
        <v>15</v>
      </c>
      <c r="C721" s="5" t="s">
        <v>13</v>
      </c>
      <c r="D721" s="5">
        <v>42</v>
      </c>
      <c r="E721" s="5">
        <v>1749</v>
      </c>
      <c r="F721" s="5">
        <v>73458</v>
      </c>
    </row>
    <row r="722" spans="1:6" x14ac:dyDescent="0.4">
      <c r="A722" s="5" t="s">
        <v>19</v>
      </c>
      <c r="B722" s="5" t="s">
        <v>21</v>
      </c>
      <c r="C722" s="5" t="s">
        <v>22</v>
      </c>
      <c r="D722" s="5">
        <v>37</v>
      </c>
      <c r="E722" s="5">
        <v>392</v>
      </c>
      <c r="F722" s="5">
        <v>14504</v>
      </c>
    </row>
    <row r="723" spans="1:6" x14ac:dyDescent="0.4">
      <c r="A723" s="5" t="s">
        <v>6</v>
      </c>
      <c r="B723" s="5" t="s">
        <v>21</v>
      </c>
      <c r="C723" s="5" t="s">
        <v>24</v>
      </c>
      <c r="D723" s="5">
        <v>12</v>
      </c>
      <c r="E723" s="5">
        <v>1922</v>
      </c>
      <c r="F723" s="5">
        <v>23064</v>
      </c>
    </row>
    <row r="724" spans="1:6" x14ac:dyDescent="0.4">
      <c r="A724" s="5" t="s">
        <v>6</v>
      </c>
      <c r="B724" s="5" t="s">
        <v>21</v>
      </c>
      <c r="C724" s="5" t="s">
        <v>18</v>
      </c>
      <c r="D724" s="5">
        <v>44</v>
      </c>
      <c r="E724" s="5">
        <v>526</v>
      </c>
      <c r="F724" s="5">
        <v>23144</v>
      </c>
    </row>
    <row r="725" spans="1:6" x14ac:dyDescent="0.4">
      <c r="A725" s="5" t="s">
        <v>6</v>
      </c>
      <c r="B725" s="5" t="s">
        <v>12</v>
      </c>
      <c r="C725" s="5" t="s">
        <v>22</v>
      </c>
      <c r="D725" s="5">
        <v>26</v>
      </c>
      <c r="E725" s="5">
        <v>310</v>
      </c>
      <c r="F725" s="5">
        <v>8060</v>
      </c>
    </row>
    <row r="726" spans="1:6" x14ac:dyDescent="0.4">
      <c r="A726" s="5" t="s">
        <v>9</v>
      </c>
      <c r="B726" s="5" t="s">
        <v>7</v>
      </c>
      <c r="C726" s="5" t="s">
        <v>13</v>
      </c>
      <c r="D726" s="5">
        <v>46</v>
      </c>
      <c r="E726" s="5">
        <v>180</v>
      </c>
      <c r="F726" s="5">
        <v>8280</v>
      </c>
    </row>
    <row r="727" spans="1:6" x14ac:dyDescent="0.4">
      <c r="A727" s="5" t="s">
        <v>17</v>
      </c>
      <c r="B727" s="5" t="s">
        <v>15</v>
      </c>
      <c r="C727" s="5" t="s">
        <v>14</v>
      </c>
      <c r="D727" s="5">
        <v>41</v>
      </c>
      <c r="E727" s="5">
        <v>887</v>
      </c>
      <c r="F727" s="5">
        <v>36367</v>
      </c>
    </row>
    <row r="728" spans="1:6" x14ac:dyDescent="0.4">
      <c r="A728" s="5" t="s">
        <v>17</v>
      </c>
      <c r="B728" s="5" t="s">
        <v>21</v>
      </c>
      <c r="C728" s="5" t="s">
        <v>20</v>
      </c>
      <c r="D728" s="5">
        <v>35</v>
      </c>
      <c r="E728" s="5">
        <v>931</v>
      </c>
      <c r="F728" s="5">
        <v>32585</v>
      </c>
    </row>
    <row r="729" spans="1:6" x14ac:dyDescent="0.4">
      <c r="A729" s="5" t="s">
        <v>6</v>
      </c>
      <c r="B729" s="5" t="s">
        <v>12</v>
      </c>
      <c r="C729" s="5" t="s">
        <v>20</v>
      </c>
      <c r="D729" s="5">
        <v>25</v>
      </c>
      <c r="E729" s="5">
        <v>752</v>
      </c>
      <c r="F729" s="5">
        <v>18800</v>
      </c>
    </row>
    <row r="730" spans="1:6" x14ac:dyDescent="0.4">
      <c r="A730" s="5" t="s">
        <v>17</v>
      </c>
      <c r="B730" s="5" t="s">
        <v>7</v>
      </c>
      <c r="C730" s="5" t="s">
        <v>23</v>
      </c>
      <c r="D730" s="5">
        <v>10</v>
      </c>
      <c r="E730" s="5">
        <v>1397</v>
      </c>
      <c r="F730" s="5">
        <v>13970</v>
      </c>
    </row>
    <row r="731" spans="1:6" x14ac:dyDescent="0.4">
      <c r="A731" s="5" t="s">
        <v>9</v>
      </c>
      <c r="B731" s="5" t="s">
        <v>10</v>
      </c>
      <c r="C731" s="5" t="s">
        <v>18</v>
      </c>
      <c r="D731" s="5">
        <v>3</v>
      </c>
      <c r="E731" s="5">
        <v>571</v>
      </c>
      <c r="F731" s="5">
        <v>1713</v>
      </c>
    </row>
    <row r="732" spans="1:6" x14ac:dyDescent="0.4">
      <c r="A732" s="5" t="s">
        <v>6</v>
      </c>
      <c r="B732" s="5" t="s">
        <v>10</v>
      </c>
      <c r="C732" s="5" t="s">
        <v>13</v>
      </c>
      <c r="D732" s="5">
        <v>49</v>
      </c>
      <c r="E732" s="5">
        <v>876</v>
      </c>
      <c r="F732" s="5">
        <v>42924</v>
      </c>
    </row>
    <row r="733" spans="1:6" x14ac:dyDescent="0.4">
      <c r="A733" s="5" t="s">
        <v>6</v>
      </c>
      <c r="B733" s="5" t="s">
        <v>21</v>
      </c>
      <c r="C733" s="5" t="s">
        <v>13</v>
      </c>
      <c r="D733" s="5">
        <v>34</v>
      </c>
      <c r="E733" s="5">
        <v>1423</v>
      </c>
      <c r="F733" s="5">
        <v>48382</v>
      </c>
    </row>
    <row r="734" spans="1:6" x14ac:dyDescent="0.4">
      <c r="A734" s="5" t="s">
        <v>17</v>
      </c>
      <c r="B734" s="5" t="s">
        <v>7</v>
      </c>
      <c r="C734" s="5" t="s">
        <v>8</v>
      </c>
      <c r="D734" s="5">
        <v>5</v>
      </c>
      <c r="E734" s="5">
        <v>742</v>
      </c>
      <c r="F734" s="5">
        <v>3710</v>
      </c>
    </row>
    <row r="735" spans="1:6" x14ac:dyDescent="0.4">
      <c r="A735" s="5" t="s">
        <v>9</v>
      </c>
      <c r="B735" s="5" t="s">
        <v>21</v>
      </c>
      <c r="C735" s="5" t="s">
        <v>18</v>
      </c>
      <c r="D735" s="5">
        <v>14</v>
      </c>
      <c r="E735" s="5">
        <v>366</v>
      </c>
      <c r="F735" s="5">
        <v>5124</v>
      </c>
    </row>
    <row r="736" spans="1:6" x14ac:dyDescent="0.4">
      <c r="A736" s="5" t="s">
        <v>9</v>
      </c>
      <c r="B736" s="5" t="s">
        <v>15</v>
      </c>
      <c r="C736" s="5" t="s">
        <v>23</v>
      </c>
      <c r="D736" s="5">
        <v>11</v>
      </c>
      <c r="E736" s="5">
        <v>126</v>
      </c>
      <c r="F736" s="5">
        <v>1386</v>
      </c>
    </row>
    <row r="737" spans="1:6" x14ac:dyDescent="0.4">
      <c r="A737" s="5" t="s">
        <v>19</v>
      </c>
      <c r="B737" s="5" t="s">
        <v>7</v>
      </c>
      <c r="C737" s="5" t="s">
        <v>16</v>
      </c>
      <c r="D737" s="5">
        <v>40</v>
      </c>
      <c r="E737" s="5">
        <v>1184</v>
      </c>
      <c r="F737" s="5">
        <v>47360</v>
      </c>
    </row>
    <row r="738" spans="1:6" x14ac:dyDescent="0.4">
      <c r="A738" s="5" t="s">
        <v>9</v>
      </c>
      <c r="B738" s="5" t="s">
        <v>21</v>
      </c>
      <c r="C738" s="5" t="s">
        <v>8</v>
      </c>
      <c r="D738" s="5">
        <v>14</v>
      </c>
      <c r="E738" s="5">
        <v>517</v>
      </c>
      <c r="F738" s="5">
        <v>7238</v>
      </c>
    </row>
    <row r="739" spans="1:6" x14ac:dyDescent="0.4">
      <c r="A739" s="5" t="s">
        <v>6</v>
      </c>
      <c r="B739" s="5" t="s">
        <v>15</v>
      </c>
      <c r="C739" s="5" t="s">
        <v>8</v>
      </c>
      <c r="D739" s="5">
        <v>30</v>
      </c>
      <c r="E739" s="5">
        <v>1763</v>
      </c>
      <c r="F739" s="5">
        <v>52890</v>
      </c>
    </row>
    <row r="740" spans="1:6" x14ac:dyDescent="0.4">
      <c r="A740" s="5" t="s">
        <v>6</v>
      </c>
      <c r="B740" s="5" t="s">
        <v>15</v>
      </c>
      <c r="C740" s="5" t="s">
        <v>20</v>
      </c>
      <c r="D740" s="5">
        <v>45</v>
      </c>
      <c r="E740" s="5">
        <v>1269</v>
      </c>
      <c r="F740" s="5">
        <v>57105</v>
      </c>
    </row>
    <row r="741" spans="1:6" x14ac:dyDescent="0.4">
      <c r="A741" s="5" t="s">
        <v>9</v>
      </c>
      <c r="B741" s="5" t="s">
        <v>7</v>
      </c>
      <c r="C741" s="5" t="s">
        <v>11</v>
      </c>
      <c r="D741" s="5">
        <v>46</v>
      </c>
      <c r="E741" s="5">
        <v>295</v>
      </c>
      <c r="F741" s="5">
        <v>13570</v>
      </c>
    </row>
    <row r="742" spans="1:6" x14ac:dyDescent="0.4">
      <c r="A742" s="5" t="s">
        <v>17</v>
      </c>
      <c r="B742" s="5" t="s">
        <v>12</v>
      </c>
      <c r="C742" s="5" t="s">
        <v>18</v>
      </c>
      <c r="D742" s="5">
        <v>14</v>
      </c>
      <c r="E742" s="5">
        <v>663</v>
      </c>
      <c r="F742" s="5">
        <v>9282</v>
      </c>
    </row>
    <row r="743" spans="1:6" x14ac:dyDescent="0.4">
      <c r="A743" s="5" t="s">
        <v>17</v>
      </c>
      <c r="B743" s="5" t="s">
        <v>10</v>
      </c>
      <c r="C743" s="5" t="s">
        <v>18</v>
      </c>
      <c r="D743" s="5">
        <v>32</v>
      </c>
      <c r="E743" s="5">
        <v>275</v>
      </c>
      <c r="F743" s="5">
        <v>8800</v>
      </c>
    </row>
    <row r="744" spans="1:6" x14ac:dyDescent="0.4">
      <c r="A744" s="5" t="s">
        <v>6</v>
      </c>
      <c r="B744" s="5" t="s">
        <v>21</v>
      </c>
      <c r="C744" s="5" t="s">
        <v>13</v>
      </c>
      <c r="D744" s="5">
        <v>38</v>
      </c>
      <c r="E744" s="5">
        <v>1464</v>
      </c>
      <c r="F744" s="5">
        <v>55632</v>
      </c>
    </row>
    <row r="745" spans="1:6" x14ac:dyDescent="0.4">
      <c r="A745" s="5" t="s">
        <v>17</v>
      </c>
      <c r="B745" s="5" t="s">
        <v>10</v>
      </c>
      <c r="C745" s="5" t="s">
        <v>13</v>
      </c>
      <c r="D745" s="5">
        <v>6</v>
      </c>
      <c r="E745" s="5">
        <v>698</v>
      </c>
      <c r="F745" s="5">
        <v>4188</v>
      </c>
    </row>
    <row r="746" spans="1:6" x14ac:dyDescent="0.4">
      <c r="A746" s="5" t="s">
        <v>19</v>
      </c>
      <c r="B746" s="5" t="s">
        <v>10</v>
      </c>
      <c r="C746" s="5" t="s">
        <v>23</v>
      </c>
      <c r="D746" s="5">
        <v>8</v>
      </c>
      <c r="E746" s="5">
        <v>1963</v>
      </c>
      <c r="F746" s="5">
        <v>15704</v>
      </c>
    </row>
    <row r="747" spans="1:6" x14ac:dyDescent="0.4">
      <c r="A747" s="5" t="s">
        <v>9</v>
      </c>
      <c r="B747" s="5" t="s">
        <v>12</v>
      </c>
      <c r="C747" s="5" t="s">
        <v>22</v>
      </c>
      <c r="D747" s="5">
        <v>4</v>
      </c>
      <c r="E747" s="5">
        <v>1438</v>
      </c>
      <c r="F747" s="5">
        <v>5752</v>
      </c>
    </row>
    <row r="748" spans="1:6" x14ac:dyDescent="0.4">
      <c r="A748" s="5" t="s">
        <v>17</v>
      </c>
      <c r="B748" s="5" t="s">
        <v>15</v>
      </c>
      <c r="C748" s="5" t="s">
        <v>11</v>
      </c>
      <c r="D748" s="5">
        <v>10</v>
      </c>
      <c r="E748" s="5">
        <v>1295</v>
      </c>
      <c r="F748" s="5">
        <v>12950</v>
      </c>
    </row>
    <row r="749" spans="1:6" x14ac:dyDescent="0.4">
      <c r="A749" s="5" t="s">
        <v>19</v>
      </c>
      <c r="B749" s="5" t="s">
        <v>10</v>
      </c>
      <c r="C749" s="5" t="s">
        <v>16</v>
      </c>
      <c r="D749" s="5">
        <v>12</v>
      </c>
      <c r="E749" s="5">
        <v>1017</v>
      </c>
      <c r="F749" s="5">
        <v>12204</v>
      </c>
    </row>
    <row r="750" spans="1:6" x14ac:dyDescent="0.4">
      <c r="A750" s="5" t="s">
        <v>19</v>
      </c>
      <c r="B750" s="5" t="s">
        <v>10</v>
      </c>
      <c r="C750" s="5" t="s">
        <v>13</v>
      </c>
      <c r="D750" s="5">
        <v>25</v>
      </c>
      <c r="E750" s="5">
        <v>688</v>
      </c>
      <c r="F750" s="5">
        <v>17200</v>
      </c>
    </row>
    <row r="751" spans="1:6" x14ac:dyDescent="0.4">
      <c r="A751" s="5" t="s">
        <v>19</v>
      </c>
      <c r="B751" s="5" t="s">
        <v>7</v>
      </c>
      <c r="C751" s="5" t="s">
        <v>23</v>
      </c>
      <c r="D751" s="5">
        <v>29</v>
      </c>
      <c r="E751" s="5">
        <v>347</v>
      </c>
      <c r="F751" s="5">
        <v>10063</v>
      </c>
    </row>
    <row r="752" spans="1:6" x14ac:dyDescent="0.4">
      <c r="A752" s="5" t="s">
        <v>6</v>
      </c>
      <c r="B752" s="5" t="s">
        <v>7</v>
      </c>
      <c r="C752" s="5" t="s">
        <v>18</v>
      </c>
      <c r="D752" s="5">
        <v>25</v>
      </c>
      <c r="E752" s="5">
        <v>219</v>
      </c>
      <c r="F752" s="5">
        <v>5475</v>
      </c>
    </row>
    <row r="753" spans="1:6" x14ac:dyDescent="0.4">
      <c r="A753" s="5" t="s">
        <v>19</v>
      </c>
      <c r="B753" s="5" t="s">
        <v>15</v>
      </c>
      <c r="C753" s="5" t="s">
        <v>22</v>
      </c>
      <c r="D753" s="5">
        <v>31</v>
      </c>
      <c r="E753" s="5">
        <v>896</v>
      </c>
      <c r="F753" s="5">
        <v>27776</v>
      </c>
    </row>
    <row r="754" spans="1:6" x14ac:dyDescent="0.4">
      <c r="A754" s="5" t="s">
        <v>9</v>
      </c>
      <c r="B754" s="5" t="s">
        <v>7</v>
      </c>
      <c r="C754" s="5" t="s">
        <v>22</v>
      </c>
      <c r="D754" s="5">
        <v>43</v>
      </c>
      <c r="E754" s="5">
        <v>1279</v>
      </c>
      <c r="F754" s="5">
        <v>54997</v>
      </c>
    </row>
    <row r="755" spans="1:6" x14ac:dyDescent="0.4">
      <c r="A755" s="5" t="s">
        <v>19</v>
      </c>
      <c r="B755" s="5" t="s">
        <v>21</v>
      </c>
      <c r="C755" s="5" t="s">
        <v>14</v>
      </c>
      <c r="D755" s="5">
        <v>34</v>
      </c>
      <c r="E755" s="5">
        <v>918</v>
      </c>
      <c r="F755" s="5">
        <v>31212</v>
      </c>
    </row>
    <row r="756" spans="1:6" x14ac:dyDescent="0.4">
      <c r="A756" s="5" t="s">
        <v>6</v>
      </c>
      <c r="B756" s="5" t="s">
        <v>21</v>
      </c>
      <c r="C756" s="5" t="s">
        <v>11</v>
      </c>
      <c r="D756" s="5">
        <v>32</v>
      </c>
      <c r="E756" s="5">
        <v>1557</v>
      </c>
      <c r="F756" s="5">
        <v>49824</v>
      </c>
    </row>
    <row r="757" spans="1:6" x14ac:dyDescent="0.4">
      <c r="A757" s="5" t="s">
        <v>17</v>
      </c>
      <c r="B757" s="5" t="s">
        <v>15</v>
      </c>
      <c r="C757" s="5" t="s">
        <v>24</v>
      </c>
      <c r="D757" s="5">
        <v>48</v>
      </c>
      <c r="E757" s="5">
        <v>118</v>
      </c>
      <c r="F757" s="5">
        <v>5664</v>
      </c>
    </row>
    <row r="758" spans="1:6" x14ac:dyDescent="0.4">
      <c r="A758" s="5" t="s">
        <v>17</v>
      </c>
      <c r="B758" s="5" t="s">
        <v>12</v>
      </c>
      <c r="C758" s="5" t="s">
        <v>18</v>
      </c>
      <c r="D758" s="5">
        <v>14</v>
      </c>
      <c r="E758" s="5">
        <v>868</v>
      </c>
      <c r="F758" s="5">
        <v>12152</v>
      </c>
    </row>
    <row r="759" spans="1:6" x14ac:dyDescent="0.4">
      <c r="A759" s="5" t="s">
        <v>9</v>
      </c>
      <c r="B759" s="5" t="s">
        <v>7</v>
      </c>
      <c r="C759" s="5" t="s">
        <v>20</v>
      </c>
      <c r="D759" s="5">
        <v>11</v>
      </c>
      <c r="E759" s="5">
        <v>802</v>
      </c>
      <c r="F759" s="5">
        <v>8822</v>
      </c>
    </row>
    <row r="760" spans="1:6" x14ac:dyDescent="0.4">
      <c r="A760" s="5" t="s">
        <v>6</v>
      </c>
      <c r="B760" s="5" t="s">
        <v>12</v>
      </c>
      <c r="C760" s="5" t="s">
        <v>18</v>
      </c>
      <c r="D760" s="5">
        <v>2</v>
      </c>
      <c r="E760" s="5">
        <v>1111</v>
      </c>
      <c r="F760" s="5">
        <v>2222</v>
      </c>
    </row>
    <row r="761" spans="1:6" x14ac:dyDescent="0.4">
      <c r="A761" s="5" t="s">
        <v>9</v>
      </c>
      <c r="B761" s="5" t="s">
        <v>12</v>
      </c>
      <c r="C761" s="5" t="s">
        <v>23</v>
      </c>
      <c r="D761" s="5">
        <v>45</v>
      </c>
      <c r="E761" s="5">
        <v>335</v>
      </c>
      <c r="F761" s="5">
        <v>15075</v>
      </c>
    </row>
    <row r="762" spans="1:6" x14ac:dyDescent="0.4">
      <c r="A762" s="5" t="s">
        <v>9</v>
      </c>
      <c r="B762" s="5" t="s">
        <v>10</v>
      </c>
      <c r="C762" s="5" t="s">
        <v>16</v>
      </c>
      <c r="D762" s="5">
        <v>1</v>
      </c>
      <c r="E762" s="5">
        <v>1880</v>
      </c>
      <c r="F762" s="5">
        <v>1880</v>
      </c>
    </row>
    <row r="763" spans="1:6" x14ac:dyDescent="0.4">
      <c r="A763" s="5" t="s">
        <v>19</v>
      </c>
      <c r="B763" s="5" t="s">
        <v>7</v>
      </c>
      <c r="C763" s="5" t="s">
        <v>16</v>
      </c>
      <c r="D763" s="5">
        <v>1</v>
      </c>
      <c r="E763" s="5">
        <v>1619</v>
      </c>
      <c r="F763" s="5">
        <v>1619</v>
      </c>
    </row>
    <row r="764" spans="1:6" x14ac:dyDescent="0.4">
      <c r="A764" s="5" t="s">
        <v>6</v>
      </c>
      <c r="B764" s="5" t="s">
        <v>15</v>
      </c>
      <c r="C764" s="5" t="s">
        <v>18</v>
      </c>
      <c r="D764" s="5">
        <v>48</v>
      </c>
      <c r="E764" s="5">
        <v>378</v>
      </c>
      <c r="F764" s="5">
        <v>18144</v>
      </c>
    </row>
    <row r="765" spans="1:6" x14ac:dyDescent="0.4">
      <c r="A765" s="5" t="s">
        <v>9</v>
      </c>
      <c r="B765" s="5" t="s">
        <v>21</v>
      </c>
      <c r="C765" s="5" t="s">
        <v>14</v>
      </c>
      <c r="D765" s="5">
        <v>41</v>
      </c>
      <c r="E765" s="5">
        <v>970</v>
      </c>
      <c r="F765" s="5">
        <v>39770</v>
      </c>
    </row>
    <row r="766" spans="1:6" x14ac:dyDescent="0.4">
      <c r="A766" s="5" t="s">
        <v>17</v>
      </c>
      <c r="B766" s="5" t="s">
        <v>12</v>
      </c>
      <c r="C766" s="5" t="s">
        <v>18</v>
      </c>
      <c r="D766" s="5">
        <v>31</v>
      </c>
      <c r="E766" s="5">
        <v>394</v>
      </c>
      <c r="F766" s="5">
        <v>12214</v>
      </c>
    </row>
    <row r="767" spans="1:6" x14ac:dyDescent="0.4">
      <c r="A767" s="5" t="s">
        <v>9</v>
      </c>
      <c r="B767" s="5" t="s">
        <v>7</v>
      </c>
      <c r="C767" s="5" t="s">
        <v>16</v>
      </c>
      <c r="D767" s="5">
        <v>27</v>
      </c>
      <c r="E767" s="5">
        <v>1108</v>
      </c>
      <c r="F767" s="5">
        <v>29916</v>
      </c>
    </row>
    <row r="768" spans="1:6" x14ac:dyDescent="0.4">
      <c r="A768" s="5" t="s">
        <v>6</v>
      </c>
      <c r="B768" s="5" t="s">
        <v>21</v>
      </c>
      <c r="C768" s="5" t="s">
        <v>16</v>
      </c>
      <c r="D768" s="5">
        <v>16</v>
      </c>
      <c r="E768" s="5">
        <v>261</v>
      </c>
      <c r="F768" s="5">
        <v>4176</v>
      </c>
    </row>
    <row r="769" spans="1:6" x14ac:dyDescent="0.4">
      <c r="A769" s="5" t="s">
        <v>19</v>
      </c>
      <c r="B769" s="5" t="s">
        <v>7</v>
      </c>
      <c r="C769" s="5" t="s">
        <v>22</v>
      </c>
      <c r="D769" s="5">
        <v>24</v>
      </c>
      <c r="E769" s="5">
        <v>1639</v>
      </c>
      <c r="F769" s="5">
        <v>39336</v>
      </c>
    </row>
    <row r="770" spans="1:6" x14ac:dyDescent="0.4">
      <c r="A770" s="5" t="s">
        <v>17</v>
      </c>
      <c r="B770" s="5" t="s">
        <v>21</v>
      </c>
      <c r="C770" s="5" t="s">
        <v>18</v>
      </c>
      <c r="D770" s="5">
        <v>11</v>
      </c>
      <c r="E770" s="5">
        <v>347</v>
      </c>
      <c r="F770" s="5">
        <v>3817</v>
      </c>
    </row>
    <row r="771" spans="1:6" x14ac:dyDescent="0.4">
      <c r="A771" s="5" t="s">
        <v>17</v>
      </c>
      <c r="B771" s="5" t="s">
        <v>12</v>
      </c>
      <c r="C771" s="5" t="s">
        <v>22</v>
      </c>
      <c r="D771" s="5">
        <v>2</v>
      </c>
      <c r="E771" s="5">
        <v>1121</v>
      </c>
      <c r="F771" s="5">
        <v>2242</v>
      </c>
    </row>
    <row r="772" spans="1:6" x14ac:dyDescent="0.4">
      <c r="A772" s="5" t="s">
        <v>9</v>
      </c>
      <c r="B772" s="5" t="s">
        <v>12</v>
      </c>
      <c r="C772" s="5" t="s">
        <v>14</v>
      </c>
      <c r="D772" s="5">
        <v>22</v>
      </c>
      <c r="E772" s="5">
        <v>1583</v>
      </c>
      <c r="F772" s="5">
        <v>34826</v>
      </c>
    </row>
    <row r="773" spans="1:6" x14ac:dyDescent="0.4">
      <c r="A773" s="5" t="s">
        <v>6</v>
      </c>
      <c r="B773" s="5" t="s">
        <v>15</v>
      </c>
      <c r="C773" s="5" t="s">
        <v>11</v>
      </c>
      <c r="D773" s="5">
        <v>2</v>
      </c>
      <c r="E773" s="5">
        <v>1378</v>
      </c>
      <c r="F773" s="5">
        <v>2756</v>
      </c>
    </row>
    <row r="774" spans="1:6" x14ac:dyDescent="0.4">
      <c r="A774" s="5" t="s">
        <v>6</v>
      </c>
      <c r="B774" s="5" t="s">
        <v>12</v>
      </c>
      <c r="C774" s="5" t="s">
        <v>13</v>
      </c>
      <c r="D774" s="5">
        <v>29</v>
      </c>
      <c r="E774" s="5">
        <v>294</v>
      </c>
      <c r="F774" s="5">
        <v>8526</v>
      </c>
    </row>
    <row r="775" spans="1:6" x14ac:dyDescent="0.4">
      <c r="A775" s="5" t="s">
        <v>9</v>
      </c>
      <c r="B775" s="5" t="s">
        <v>12</v>
      </c>
      <c r="C775" s="5" t="s">
        <v>24</v>
      </c>
      <c r="D775" s="5">
        <v>34</v>
      </c>
      <c r="E775" s="5">
        <v>593</v>
      </c>
      <c r="F775" s="5">
        <v>20162</v>
      </c>
    </row>
    <row r="776" spans="1:6" x14ac:dyDescent="0.4">
      <c r="A776" s="5" t="s">
        <v>17</v>
      </c>
      <c r="B776" s="5" t="s">
        <v>15</v>
      </c>
      <c r="C776" s="5" t="s">
        <v>11</v>
      </c>
      <c r="D776" s="5">
        <v>15</v>
      </c>
      <c r="E776" s="5">
        <v>1395</v>
      </c>
      <c r="F776" s="5">
        <v>20925</v>
      </c>
    </row>
    <row r="777" spans="1:6" x14ac:dyDescent="0.4">
      <c r="A777" s="5" t="s">
        <v>17</v>
      </c>
      <c r="B777" s="5" t="s">
        <v>21</v>
      </c>
      <c r="C777" s="5" t="s">
        <v>13</v>
      </c>
      <c r="D777" s="5">
        <v>43</v>
      </c>
      <c r="E777" s="5">
        <v>1250</v>
      </c>
      <c r="F777" s="5">
        <v>53750</v>
      </c>
    </row>
    <row r="778" spans="1:6" x14ac:dyDescent="0.4">
      <c r="A778" s="5" t="s">
        <v>17</v>
      </c>
      <c r="B778" s="5" t="s">
        <v>21</v>
      </c>
      <c r="C778" s="5" t="s">
        <v>24</v>
      </c>
      <c r="D778" s="5">
        <v>17</v>
      </c>
      <c r="E778" s="5">
        <v>1348</v>
      </c>
      <c r="F778" s="5">
        <v>22916</v>
      </c>
    </row>
    <row r="779" spans="1:6" x14ac:dyDescent="0.4">
      <c r="A779" s="5" t="s">
        <v>6</v>
      </c>
      <c r="B779" s="5" t="s">
        <v>7</v>
      </c>
      <c r="C779" s="5" t="s">
        <v>8</v>
      </c>
      <c r="D779" s="5">
        <v>6</v>
      </c>
      <c r="E779" s="5">
        <v>1386</v>
      </c>
      <c r="F779" s="5">
        <v>8316</v>
      </c>
    </row>
    <row r="780" spans="1:6" x14ac:dyDescent="0.4">
      <c r="A780" s="5" t="s">
        <v>6</v>
      </c>
      <c r="B780" s="5" t="s">
        <v>10</v>
      </c>
      <c r="C780" s="5" t="s">
        <v>8</v>
      </c>
      <c r="D780" s="5">
        <v>42</v>
      </c>
      <c r="E780" s="5">
        <v>1277</v>
      </c>
      <c r="F780" s="5">
        <v>53634</v>
      </c>
    </row>
    <row r="781" spans="1:6" x14ac:dyDescent="0.4">
      <c r="A781" s="5" t="s">
        <v>17</v>
      </c>
      <c r="B781" s="5" t="s">
        <v>10</v>
      </c>
      <c r="C781" s="5" t="s">
        <v>22</v>
      </c>
      <c r="D781" s="5">
        <v>29</v>
      </c>
      <c r="E781" s="5">
        <v>1471</v>
      </c>
      <c r="F781" s="5">
        <v>42659</v>
      </c>
    </row>
    <row r="782" spans="1:6" x14ac:dyDescent="0.4">
      <c r="A782" s="5" t="s">
        <v>17</v>
      </c>
      <c r="B782" s="5" t="s">
        <v>21</v>
      </c>
      <c r="C782" s="5" t="s">
        <v>24</v>
      </c>
      <c r="D782" s="5">
        <v>43</v>
      </c>
      <c r="E782" s="5">
        <v>466</v>
      </c>
      <c r="F782" s="5">
        <v>20038</v>
      </c>
    </row>
    <row r="783" spans="1:6" x14ac:dyDescent="0.4">
      <c r="A783" s="5" t="s">
        <v>6</v>
      </c>
      <c r="B783" s="5" t="s">
        <v>15</v>
      </c>
      <c r="C783" s="5" t="s">
        <v>22</v>
      </c>
      <c r="D783" s="5">
        <v>27</v>
      </c>
      <c r="E783" s="5">
        <v>1880</v>
      </c>
      <c r="F783" s="5">
        <v>50760</v>
      </c>
    </row>
    <row r="784" spans="1:6" x14ac:dyDescent="0.4">
      <c r="A784" s="5" t="s">
        <v>17</v>
      </c>
      <c r="B784" s="5" t="s">
        <v>7</v>
      </c>
      <c r="C784" s="5" t="s">
        <v>13</v>
      </c>
      <c r="D784" s="5">
        <v>9</v>
      </c>
      <c r="E784" s="5">
        <v>1246</v>
      </c>
      <c r="F784" s="5">
        <v>11214</v>
      </c>
    </row>
    <row r="785" spans="1:6" x14ac:dyDescent="0.4">
      <c r="A785" s="5" t="s">
        <v>19</v>
      </c>
      <c r="B785" s="5" t="s">
        <v>7</v>
      </c>
      <c r="C785" s="5" t="s">
        <v>24</v>
      </c>
      <c r="D785" s="5">
        <v>49</v>
      </c>
      <c r="E785" s="5">
        <v>813</v>
      </c>
      <c r="F785" s="5">
        <v>39837</v>
      </c>
    </row>
    <row r="786" spans="1:6" x14ac:dyDescent="0.4">
      <c r="A786" s="5" t="s">
        <v>9</v>
      </c>
      <c r="B786" s="5" t="s">
        <v>21</v>
      </c>
      <c r="C786" s="5" t="s">
        <v>23</v>
      </c>
      <c r="D786" s="5">
        <v>5</v>
      </c>
      <c r="E786" s="5">
        <v>1863</v>
      </c>
      <c r="F786" s="5">
        <v>9315</v>
      </c>
    </row>
    <row r="787" spans="1:6" x14ac:dyDescent="0.4">
      <c r="A787" s="5" t="s">
        <v>17</v>
      </c>
      <c r="B787" s="5" t="s">
        <v>21</v>
      </c>
      <c r="C787" s="5" t="s">
        <v>24</v>
      </c>
      <c r="D787" s="5">
        <v>15</v>
      </c>
      <c r="E787" s="5">
        <v>490</v>
      </c>
      <c r="F787" s="5">
        <v>7350</v>
      </c>
    </row>
    <row r="788" spans="1:6" x14ac:dyDescent="0.4">
      <c r="A788" s="5" t="s">
        <v>9</v>
      </c>
      <c r="B788" s="5" t="s">
        <v>10</v>
      </c>
      <c r="C788" s="5" t="s">
        <v>8</v>
      </c>
      <c r="D788" s="5">
        <v>1</v>
      </c>
      <c r="E788" s="5">
        <v>1434</v>
      </c>
      <c r="F788" s="5">
        <v>1434</v>
      </c>
    </row>
    <row r="789" spans="1:6" x14ac:dyDescent="0.4">
      <c r="A789" s="5" t="s">
        <v>6</v>
      </c>
      <c r="B789" s="5" t="s">
        <v>21</v>
      </c>
      <c r="C789" s="5" t="s">
        <v>13</v>
      </c>
      <c r="D789" s="5">
        <v>20</v>
      </c>
      <c r="E789" s="5">
        <v>110</v>
      </c>
      <c r="F789" s="5">
        <v>2200</v>
      </c>
    </row>
    <row r="790" spans="1:6" x14ac:dyDescent="0.4">
      <c r="A790" s="5" t="s">
        <v>17</v>
      </c>
      <c r="B790" s="5" t="s">
        <v>21</v>
      </c>
      <c r="C790" s="5" t="s">
        <v>24</v>
      </c>
      <c r="D790" s="5">
        <v>48</v>
      </c>
      <c r="E790" s="5">
        <v>1769</v>
      </c>
      <c r="F790" s="5">
        <v>84912</v>
      </c>
    </row>
    <row r="791" spans="1:6" x14ac:dyDescent="0.4">
      <c r="A791" s="5" t="s">
        <v>19</v>
      </c>
      <c r="B791" s="5" t="s">
        <v>12</v>
      </c>
      <c r="C791" s="5" t="s">
        <v>14</v>
      </c>
      <c r="D791" s="5">
        <v>40</v>
      </c>
      <c r="E791" s="5">
        <v>1547</v>
      </c>
      <c r="F791" s="5">
        <v>61880</v>
      </c>
    </row>
    <row r="792" spans="1:6" x14ac:dyDescent="0.4">
      <c r="A792" s="5" t="s">
        <v>17</v>
      </c>
      <c r="B792" s="5" t="s">
        <v>12</v>
      </c>
      <c r="C792" s="5" t="s">
        <v>23</v>
      </c>
      <c r="D792" s="5">
        <v>35</v>
      </c>
      <c r="E792" s="5">
        <v>1991</v>
      </c>
      <c r="F792" s="5">
        <v>69685</v>
      </c>
    </row>
    <row r="793" spans="1:6" x14ac:dyDescent="0.4">
      <c r="A793" s="5" t="s">
        <v>9</v>
      </c>
      <c r="B793" s="5" t="s">
        <v>7</v>
      </c>
      <c r="C793" s="5" t="s">
        <v>18</v>
      </c>
      <c r="D793" s="5">
        <v>15</v>
      </c>
      <c r="E793" s="5">
        <v>299</v>
      </c>
      <c r="F793" s="5">
        <v>4485</v>
      </c>
    </row>
    <row r="794" spans="1:6" x14ac:dyDescent="0.4">
      <c r="A794" s="5" t="s">
        <v>19</v>
      </c>
      <c r="B794" s="5" t="s">
        <v>10</v>
      </c>
      <c r="C794" s="5" t="s">
        <v>18</v>
      </c>
      <c r="D794" s="5">
        <v>47</v>
      </c>
      <c r="E794" s="5">
        <v>107</v>
      </c>
      <c r="F794" s="5">
        <v>5029</v>
      </c>
    </row>
    <row r="795" spans="1:6" x14ac:dyDescent="0.4">
      <c r="A795" s="5" t="s">
        <v>17</v>
      </c>
      <c r="B795" s="5" t="s">
        <v>21</v>
      </c>
      <c r="C795" s="5" t="s">
        <v>20</v>
      </c>
      <c r="D795" s="5">
        <v>49</v>
      </c>
      <c r="E795" s="5">
        <v>859</v>
      </c>
      <c r="F795" s="5">
        <v>42091</v>
      </c>
    </row>
    <row r="796" spans="1:6" x14ac:dyDescent="0.4">
      <c r="A796" s="5" t="s">
        <v>6</v>
      </c>
      <c r="B796" s="5" t="s">
        <v>10</v>
      </c>
      <c r="C796" s="5" t="s">
        <v>20</v>
      </c>
      <c r="D796" s="5">
        <v>27</v>
      </c>
      <c r="E796" s="5">
        <v>605</v>
      </c>
      <c r="F796" s="5">
        <v>16335</v>
      </c>
    </row>
    <row r="797" spans="1:6" x14ac:dyDescent="0.4">
      <c r="A797" s="5" t="s">
        <v>9</v>
      </c>
      <c r="B797" s="5" t="s">
        <v>15</v>
      </c>
      <c r="C797" s="5" t="s">
        <v>14</v>
      </c>
      <c r="D797" s="5">
        <v>46</v>
      </c>
      <c r="E797" s="5">
        <v>197</v>
      </c>
      <c r="F797" s="5">
        <v>9062</v>
      </c>
    </row>
    <row r="798" spans="1:6" x14ac:dyDescent="0.4">
      <c r="A798" s="5" t="s">
        <v>19</v>
      </c>
      <c r="B798" s="5" t="s">
        <v>15</v>
      </c>
      <c r="C798" s="5" t="s">
        <v>24</v>
      </c>
      <c r="D798" s="5">
        <v>6</v>
      </c>
      <c r="E798" s="5">
        <v>839</v>
      </c>
      <c r="F798" s="5">
        <v>5034</v>
      </c>
    </row>
    <row r="799" spans="1:6" x14ac:dyDescent="0.4">
      <c r="A799" s="5" t="s">
        <v>6</v>
      </c>
      <c r="B799" s="5" t="s">
        <v>21</v>
      </c>
      <c r="C799" s="5" t="s">
        <v>24</v>
      </c>
      <c r="D799" s="5">
        <v>12</v>
      </c>
      <c r="E799" s="5">
        <v>879</v>
      </c>
      <c r="F799" s="5">
        <v>10548</v>
      </c>
    </row>
    <row r="800" spans="1:6" x14ac:dyDescent="0.4">
      <c r="A800" s="5" t="s">
        <v>6</v>
      </c>
      <c r="B800" s="5" t="s">
        <v>21</v>
      </c>
      <c r="C800" s="5" t="s">
        <v>16</v>
      </c>
      <c r="D800" s="5">
        <v>15</v>
      </c>
      <c r="E800" s="5">
        <v>1890</v>
      </c>
      <c r="F800" s="5">
        <v>28350</v>
      </c>
    </row>
    <row r="801" spans="1:6" x14ac:dyDescent="0.4">
      <c r="A801" s="5" t="s">
        <v>17</v>
      </c>
      <c r="B801" s="5" t="s">
        <v>7</v>
      </c>
      <c r="C801" s="5" t="s">
        <v>23</v>
      </c>
      <c r="D801" s="5">
        <v>26</v>
      </c>
      <c r="E801" s="5">
        <v>249</v>
      </c>
      <c r="F801" s="5">
        <v>6474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2C36-B136-4A4F-852A-155F53DA34C6}">
  <dimension ref="A1:B14"/>
  <sheetViews>
    <sheetView workbookViewId="0">
      <selection activeCell="D9" sqref="D9"/>
    </sheetView>
  </sheetViews>
  <sheetFormatPr defaultRowHeight="14.6" x14ac:dyDescent="0.4"/>
  <cols>
    <col min="1" max="1" width="12.3828125" bestFit="1" customWidth="1"/>
    <col min="2" max="2" width="18.4609375" bestFit="1" customWidth="1"/>
  </cols>
  <sheetData>
    <row r="1" spans="1:2" x14ac:dyDescent="0.4">
      <c r="A1" s="21" t="s">
        <v>0</v>
      </c>
      <c r="B1" s="17" t="s">
        <v>6</v>
      </c>
    </row>
    <row r="3" spans="1:2" x14ac:dyDescent="0.4">
      <c r="A3" s="21" t="s">
        <v>75</v>
      </c>
      <c r="B3" t="s">
        <v>77</v>
      </c>
    </row>
    <row r="4" spans="1:2" x14ac:dyDescent="0.4">
      <c r="A4" s="19" t="s">
        <v>20</v>
      </c>
      <c r="B4" s="15">
        <v>17</v>
      </c>
    </row>
    <row r="5" spans="1:2" x14ac:dyDescent="0.4">
      <c r="A5" s="19" t="s">
        <v>13</v>
      </c>
      <c r="B5" s="15">
        <v>20</v>
      </c>
    </row>
    <row r="6" spans="1:2" x14ac:dyDescent="0.4">
      <c r="A6" s="19" t="s">
        <v>24</v>
      </c>
      <c r="B6" s="15">
        <v>23</v>
      </c>
    </row>
    <row r="7" spans="1:2" x14ac:dyDescent="0.4">
      <c r="A7" s="19" t="s">
        <v>8</v>
      </c>
      <c r="B7" s="15">
        <v>15</v>
      </c>
    </row>
    <row r="8" spans="1:2" x14ac:dyDescent="0.4">
      <c r="A8" s="19" t="s">
        <v>18</v>
      </c>
      <c r="B8" s="15">
        <v>24</v>
      </c>
    </row>
    <row r="9" spans="1:2" x14ac:dyDescent="0.4">
      <c r="A9" s="19" t="s">
        <v>11</v>
      </c>
      <c r="B9" s="15">
        <v>29</v>
      </c>
    </row>
    <row r="10" spans="1:2" x14ac:dyDescent="0.4">
      <c r="A10" s="19" t="s">
        <v>16</v>
      </c>
      <c r="B10" s="15">
        <v>19</v>
      </c>
    </row>
    <row r="11" spans="1:2" x14ac:dyDescent="0.4">
      <c r="A11" s="19" t="s">
        <v>22</v>
      </c>
      <c r="B11" s="15">
        <v>22</v>
      </c>
    </row>
    <row r="12" spans="1:2" x14ac:dyDescent="0.4">
      <c r="A12" s="19" t="s">
        <v>14</v>
      </c>
      <c r="B12" s="15">
        <v>17</v>
      </c>
    </row>
    <row r="13" spans="1:2" x14ac:dyDescent="0.4">
      <c r="A13" s="19" t="s">
        <v>23</v>
      </c>
      <c r="B13" s="15">
        <v>19</v>
      </c>
    </row>
    <row r="14" spans="1:2" x14ac:dyDescent="0.4">
      <c r="A14" s="19" t="s">
        <v>76</v>
      </c>
      <c r="B14" s="15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012A-146F-4DB3-A3A9-D764D8FBFA93}">
  <dimension ref="A1:P801"/>
  <sheetViews>
    <sheetView tabSelected="1" topLeftCell="H1" zoomScale="85" zoomScaleNormal="85" workbookViewId="0">
      <selection activeCell="M6" sqref="M6"/>
    </sheetView>
  </sheetViews>
  <sheetFormatPr defaultRowHeight="14.6" x14ac:dyDescent="0.4"/>
  <cols>
    <col min="1" max="1" width="7" bestFit="1" customWidth="1"/>
    <col min="2" max="2" width="10" bestFit="1" customWidth="1"/>
    <col min="3" max="3" width="11.07421875" bestFit="1" customWidth="1"/>
    <col min="4" max="4" width="9.53515625" bestFit="1" customWidth="1"/>
    <col min="5" max="5" width="9.23046875" bestFit="1" customWidth="1"/>
    <col min="6" max="6" width="8.4609375" bestFit="1" customWidth="1"/>
    <col min="7" max="7" width="11" customWidth="1"/>
    <col min="8" max="8" width="13.84375" customWidth="1"/>
    <col min="11" max="11" width="13.765625" customWidth="1"/>
    <col min="12" max="12" width="112.765625" bestFit="1" customWidth="1"/>
    <col min="13" max="13" width="10.765625" bestFit="1" customWidth="1"/>
    <col min="14" max="14" width="6" bestFit="1" customWidth="1"/>
    <col min="15" max="15" width="5.23046875" bestFit="1" customWidth="1"/>
    <col min="16" max="16" width="10.7656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</v>
      </c>
      <c r="H1" s="12" t="s">
        <v>58</v>
      </c>
      <c r="I1" s="12" t="s">
        <v>59</v>
      </c>
      <c r="K1" s="5" t="s">
        <v>78</v>
      </c>
      <c r="L1" s="12" t="s">
        <v>79</v>
      </c>
    </row>
    <row r="2" spans="1:16" x14ac:dyDescent="0.4">
      <c r="A2" s="5" t="s">
        <v>6</v>
      </c>
      <c r="B2" s="5" t="s">
        <v>7</v>
      </c>
      <c r="C2" s="5" t="s">
        <v>8</v>
      </c>
      <c r="D2" s="5">
        <v>17</v>
      </c>
      <c r="E2" s="5">
        <v>289</v>
      </c>
      <c r="F2" s="5">
        <v>4913</v>
      </c>
      <c r="G2" s="6">
        <f ca="1">RANDBETWEEN(DATE(2024,1,1),DATE(2025,12,31))</f>
        <v>45879</v>
      </c>
      <c r="H2" s="4" t="str">
        <f ca="1">TEXT(G2,"mmmm")</f>
        <v>August</v>
      </c>
      <c r="I2" t="str">
        <f ca="1">TEXT(G2,"yyyy")</f>
        <v>2025</v>
      </c>
      <c r="K2" t="s">
        <v>61</v>
      </c>
      <c r="L2" s="13" t="s">
        <v>35</v>
      </c>
    </row>
    <row r="3" spans="1:16" x14ac:dyDescent="0.4">
      <c r="A3" s="5" t="s">
        <v>9</v>
      </c>
      <c r="B3" s="5" t="s">
        <v>10</v>
      </c>
      <c r="C3" s="5" t="s">
        <v>11</v>
      </c>
      <c r="D3" s="5">
        <v>39</v>
      </c>
      <c r="E3" s="5">
        <v>1306</v>
      </c>
      <c r="F3" s="5">
        <v>50934</v>
      </c>
      <c r="G3" s="6">
        <f t="shared" ref="G3:G66" ca="1" si="0">RANDBETWEEN(DATE(2024,1,1),DATE(2025,12,31))</f>
        <v>45632</v>
      </c>
      <c r="H3" s="4" t="str">
        <f t="shared" ref="H3:H66" ca="1" si="1">TEXT(G3,"mmmm")</f>
        <v>December</v>
      </c>
      <c r="I3" t="str">
        <f t="shared" ref="I3:I66" ca="1" si="2">TEXT(G3,"yyyy")</f>
        <v>2024</v>
      </c>
      <c r="L3" s="14">
        <f>SUMIFS(F2:F801,C2:C801,C3,A2:A801,A8)</f>
        <v>592043</v>
      </c>
    </row>
    <row r="4" spans="1:16" x14ac:dyDescent="0.4">
      <c r="A4" s="5" t="s">
        <v>6</v>
      </c>
      <c r="B4" s="5" t="s">
        <v>12</v>
      </c>
      <c r="C4" s="5" t="s">
        <v>13</v>
      </c>
      <c r="D4" s="5">
        <v>49</v>
      </c>
      <c r="E4" s="5">
        <v>240</v>
      </c>
      <c r="F4" s="5">
        <v>11760</v>
      </c>
      <c r="G4" s="6">
        <f t="shared" ca="1" si="0"/>
        <v>45589</v>
      </c>
      <c r="H4" s="4" t="str">
        <f t="shared" ca="1" si="1"/>
        <v>October</v>
      </c>
      <c r="I4" t="str">
        <f t="shared" ca="1" si="2"/>
        <v>2024</v>
      </c>
      <c r="J4" s="23"/>
      <c r="K4" s="23"/>
      <c r="N4" s="5"/>
    </row>
    <row r="5" spans="1:16" x14ac:dyDescent="0.4">
      <c r="A5" s="5" t="s">
        <v>6</v>
      </c>
      <c r="B5" s="5" t="s">
        <v>7</v>
      </c>
      <c r="C5" s="5" t="s">
        <v>14</v>
      </c>
      <c r="D5" s="5">
        <v>13</v>
      </c>
      <c r="E5" s="5">
        <v>1854</v>
      </c>
      <c r="F5" s="5">
        <v>24102</v>
      </c>
      <c r="G5" s="6">
        <f t="shared" ca="1" si="0"/>
        <v>45553</v>
      </c>
      <c r="H5" s="4" t="str">
        <f t="shared" ca="1" si="1"/>
        <v>September</v>
      </c>
      <c r="I5" t="str">
        <f t="shared" ca="1" si="2"/>
        <v>2024</v>
      </c>
      <c r="J5" s="23"/>
      <c r="K5" s="23" t="s">
        <v>66</v>
      </c>
      <c r="L5" s="13" t="s">
        <v>36</v>
      </c>
      <c r="P5" s="5"/>
    </row>
    <row r="6" spans="1:16" x14ac:dyDescent="0.4">
      <c r="A6" s="5" t="s">
        <v>9</v>
      </c>
      <c r="B6" s="5" t="s">
        <v>15</v>
      </c>
      <c r="C6" s="5" t="s">
        <v>16</v>
      </c>
      <c r="D6" s="5">
        <v>35</v>
      </c>
      <c r="E6" s="5">
        <v>1443</v>
      </c>
      <c r="F6" s="5">
        <v>50505</v>
      </c>
      <c r="G6" s="6">
        <f t="shared" ca="1" si="0"/>
        <v>45662</v>
      </c>
      <c r="H6" s="4" t="str">
        <f t="shared" ca="1" si="1"/>
        <v>January</v>
      </c>
      <c r="I6" t="str">
        <f t="shared" ca="1" si="2"/>
        <v>2025</v>
      </c>
      <c r="J6" s="23"/>
      <c r="K6" s="23"/>
      <c r="L6" s="14">
        <f ca="1">SUMIFS(F2:F801,B2:B801,B3,H2:H801,H6)</f>
        <v>418651</v>
      </c>
      <c r="P6" s="5"/>
    </row>
    <row r="7" spans="1:16" x14ac:dyDescent="0.4">
      <c r="A7" s="5" t="s">
        <v>9</v>
      </c>
      <c r="B7" s="5" t="s">
        <v>10</v>
      </c>
      <c r="C7" s="5" t="s">
        <v>11</v>
      </c>
      <c r="D7" s="5">
        <v>30</v>
      </c>
      <c r="E7" s="5">
        <v>673</v>
      </c>
      <c r="F7" s="5">
        <v>20190</v>
      </c>
      <c r="G7" s="6">
        <f t="shared" ca="1" si="0"/>
        <v>45623</v>
      </c>
      <c r="H7" s="4" t="str">
        <f t="shared" ca="1" si="1"/>
        <v>November</v>
      </c>
      <c r="I7" t="str">
        <f t="shared" ca="1" si="2"/>
        <v>2024</v>
      </c>
      <c r="J7" s="23"/>
      <c r="K7" s="23"/>
      <c r="P7" s="5"/>
    </row>
    <row r="8" spans="1:16" x14ac:dyDescent="0.4">
      <c r="A8" s="5" t="s">
        <v>17</v>
      </c>
      <c r="B8" s="5" t="s">
        <v>7</v>
      </c>
      <c r="C8" s="5" t="s">
        <v>18</v>
      </c>
      <c r="D8" s="5">
        <v>49</v>
      </c>
      <c r="E8" s="5">
        <v>1486</v>
      </c>
      <c r="F8" s="5">
        <v>72814</v>
      </c>
      <c r="G8" s="6">
        <f t="shared" ca="1" si="0"/>
        <v>45956</v>
      </c>
      <c r="H8" s="4" t="str">
        <f t="shared" ca="1" si="1"/>
        <v>October</v>
      </c>
      <c r="I8" t="str">
        <f t="shared" ca="1" si="2"/>
        <v>2025</v>
      </c>
      <c r="K8" t="s">
        <v>67</v>
      </c>
      <c r="L8" s="13" t="s">
        <v>37</v>
      </c>
      <c r="P8" s="5"/>
    </row>
    <row r="9" spans="1:16" x14ac:dyDescent="0.4">
      <c r="A9" s="5" t="s">
        <v>19</v>
      </c>
      <c r="B9" s="5" t="s">
        <v>7</v>
      </c>
      <c r="C9" s="5" t="s">
        <v>20</v>
      </c>
      <c r="D9" s="5">
        <v>44</v>
      </c>
      <c r="E9" s="5">
        <v>1727</v>
      </c>
      <c r="F9" s="5">
        <v>75988</v>
      </c>
      <c r="G9" s="6">
        <f t="shared" ca="1" si="0"/>
        <v>45365</v>
      </c>
      <c r="H9" s="4" t="str">
        <f t="shared" ca="1" si="1"/>
        <v>March</v>
      </c>
      <c r="I9" t="str">
        <f t="shared" ca="1" si="2"/>
        <v>2024</v>
      </c>
      <c r="L9" s="14">
        <f>SUMIFS(F2:F801,B2:B801,B6,A2:A801,A3)</f>
        <v>688726</v>
      </c>
      <c r="P9" s="5"/>
    </row>
    <row r="10" spans="1:16" x14ac:dyDescent="0.4">
      <c r="A10" s="5" t="s">
        <v>19</v>
      </c>
      <c r="B10" s="5" t="s">
        <v>21</v>
      </c>
      <c r="C10" s="5" t="s">
        <v>11</v>
      </c>
      <c r="D10" s="5">
        <v>23</v>
      </c>
      <c r="E10" s="5">
        <v>710</v>
      </c>
      <c r="F10" s="5">
        <v>16330</v>
      </c>
      <c r="G10" s="6">
        <f t="shared" ca="1" si="0"/>
        <v>45407</v>
      </c>
      <c r="H10" s="4" t="str">
        <f t="shared" ca="1" si="1"/>
        <v>April</v>
      </c>
      <c r="I10" t="str">
        <f t="shared" ca="1" si="2"/>
        <v>2024</v>
      </c>
      <c r="P10" s="5"/>
    </row>
    <row r="11" spans="1:16" x14ac:dyDescent="0.4">
      <c r="A11" s="5" t="s">
        <v>19</v>
      </c>
      <c r="B11" s="5" t="s">
        <v>10</v>
      </c>
      <c r="C11" s="5" t="s">
        <v>18</v>
      </c>
      <c r="D11" s="5">
        <v>17</v>
      </c>
      <c r="E11" s="5">
        <v>1002</v>
      </c>
      <c r="F11" s="5">
        <v>17034</v>
      </c>
      <c r="G11" s="6">
        <f t="shared" ca="1" si="0"/>
        <v>45833</v>
      </c>
      <c r="H11" s="4" t="str">
        <f t="shared" ca="1" si="1"/>
        <v>June</v>
      </c>
      <c r="I11" t="str">
        <f t="shared" ca="1" si="2"/>
        <v>2025</v>
      </c>
      <c r="K11" t="s">
        <v>68</v>
      </c>
      <c r="L11" s="13" t="s">
        <v>38</v>
      </c>
      <c r="P11" s="5"/>
    </row>
    <row r="12" spans="1:16" x14ac:dyDescent="0.4">
      <c r="A12" s="5" t="s">
        <v>19</v>
      </c>
      <c r="B12" s="5" t="s">
        <v>7</v>
      </c>
      <c r="C12" s="5" t="s">
        <v>14</v>
      </c>
      <c r="D12" s="5">
        <v>8</v>
      </c>
      <c r="E12" s="5">
        <v>1800</v>
      </c>
      <c r="F12" s="5">
        <v>14400</v>
      </c>
      <c r="G12" s="6">
        <f t="shared" ca="1" si="0"/>
        <v>45627</v>
      </c>
      <c r="H12" s="4" t="str">
        <f t="shared" ca="1" si="1"/>
        <v>December</v>
      </c>
      <c r="I12" t="str">
        <f t="shared" ca="1" si="2"/>
        <v>2024</v>
      </c>
      <c r="L12" s="14">
        <f>SUMIFS(F2:F801,C2:C801,C2,D2:D801,"&gt;50")</f>
        <v>0</v>
      </c>
      <c r="P12" s="5"/>
    </row>
    <row r="13" spans="1:16" x14ac:dyDescent="0.4">
      <c r="A13" s="5" t="s">
        <v>6</v>
      </c>
      <c r="B13" s="5" t="s">
        <v>10</v>
      </c>
      <c r="C13" s="5" t="s">
        <v>11</v>
      </c>
      <c r="D13" s="5">
        <v>17</v>
      </c>
      <c r="E13" s="5">
        <v>1211</v>
      </c>
      <c r="F13" s="5">
        <v>20587</v>
      </c>
      <c r="G13" s="6">
        <f t="shared" ca="1" si="0"/>
        <v>45733</v>
      </c>
      <c r="H13" s="4" t="str">
        <f t="shared" ca="1" si="1"/>
        <v>March</v>
      </c>
      <c r="I13" t="str">
        <f t="shared" ca="1" si="2"/>
        <v>2025</v>
      </c>
      <c r="P13" s="5"/>
    </row>
    <row r="14" spans="1:16" x14ac:dyDescent="0.4">
      <c r="A14" s="5" t="s">
        <v>6</v>
      </c>
      <c r="B14" s="5" t="s">
        <v>10</v>
      </c>
      <c r="C14" s="5" t="s">
        <v>11</v>
      </c>
      <c r="D14" s="5">
        <v>6</v>
      </c>
      <c r="E14" s="5">
        <v>1493</v>
      </c>
      <c r="F14" s="5">
        <v>8958</v>
      </c>
      <c r="G14" s="6">
        <f t="shared" ca="1" si="0"/>
        <v>45314</v>
      </c>
      <c r="H14" s="4" t="str">
        <f t="shared" ca="1" si="1"/>
        <v>January</v>
      </c>
      <c r="I14" t="str">
        <f t="shared" ca="1" si="2"/>
        <v>2024</v>
      </c>
      <c r="K14" t="s">
        <v>69</v>
      </c>
      <c r="L14" s="13" t="s">
        <v>39</v>
      </c>
      <c r="P14" s="5"/>
    </row>
    <row r="15" spans="1:16" x14ac:dyDescent="0.4">
      <c r="A15" s="5" t="s">
        <v>19</v>
      </c>
      <c r="B15" s="5" t="s">
        <v>7</v>
      </c>
      <c r="C15" s="5" t="s">
        <v>22</v>
      </c>
      <c r="D15" s="5">
        <v>2</v>
      </c>
      <c r="E15" s="5">
        <v>1933</v>
      </c>
      <c r="F15" s="5">
        <v>3866</v>
      </c>
      <c r="G15" s="6">
        <f t="shared" ca="1" si="0"/>
        <v>45787</v>
      </c>
      <c r="H15" s="4" t="str">
        <f t="shared" ca="1" si="1"/>
        <v>May</v>
      </c>
      <c r="I15" t="str">
        <f t="shared" ca="1" si="2"/>
        <v>2025</v>
      </c>
      <c r="L15" s="14">
        <f ca="1">SUMIFS(F2:F801,A2:A801,A10,I2:I801,I3)</f>
        <v>3223543</v>
      </c>
    </row>
    <row r="16" spans="1:16" x14ac:dyDescent="0.4">
      <c r="A16" s="5" t="s">
        <v>6</v>
      </c>
      <c r="B16" s="5" t="s">
        <v>7</v>
      </c>
      <c r="C16" s="5" t="s">
        <v>18</v>
      </c>
      <c r="D16" s="5">
        <v>30</v>
      </c>
      <c r="E16" s="5">
        <v>396</v>
      </c>
      <c r="F16" s="5">
        <v>11880</v>
      </c>
      <c r="G16" s="6">
        <f t="shared" ca="1" si="0"/>
        <v>45294</v>
      </c>
      <c r="H16" s="4" t="str">
        <f t="shared" ca="1" si="1"/>
        <v>January</v>
      </c>
      <c r="I16" t="str">
        <f t="shared" ca="1" si="2"/>
        <v>2024</v>
      </c>
    </row>
    <row r="17" spans="1:12" x14ac:dyDescent="0.4">
      <c r="A17" s="5" t="s">
        <v>9</v>
      </c>
      <c r="B17" s="5" t="s">
        <v>12</v>
      </c>
      <c r="C17" s="5" t="s">
        <v>23</v>
      </c>
      <c r="D17" s="5">
        <v>24</v>
      </c>
      <c r="E17" s="5">
        <v>317</v>
      </c>
      <c r="F17" s="5">
        <v>7608</v>
      </c>
      <c r="G17" s="6">
        <f t="shared" ca="1" si="0"/>
        <v>45742</v>
      </c>
      <c r="H17" s="4" t="str">
        <f t="shared" ca="1" si="1"/>
        <v>March</v>
      </c>
      <c r="I17" t="str">
        <f t="shared" ca="1" si="2"/>
        <v>2025</v>
      </c>
      <c r="K17" t="s">
        <v>70</v>
      </c>
      <c r="L17" s="13" t="s">
        <v>40</v>
      </c>
    </row>
    <row r="18" spans="1:12" x14ac:dyDescent="0.4">
      <c r="A18" s="5" t="s">
        <v>17</v>
      </c>
      <c r="B18" s="5" t="s">
        <v>12</v>
      </c>
      <c r="C18" s="5" t="s">
        <v>18</v>
      </c>
      <c r="D18" s="5">
        <v>38</v>
      </c>
      <c r="E18" s="5">
        <v>1458</v>
      </c>
      <c r="F18" s="5">
        <v>55404</v>
      </c>
      <c r="G18" s="6">
        <f t="shared" ca="1" si="0"/>
        <v>45770</v>
      </c>
      <c r="H18" s="4" t="str">
        <f t="shared" ca="1" si="1"/>
        <v>April</v>
      </c>
      <c r="I18" t="str">
        <f t="shared" ca="1" si="2"/>
        <v>2025</v>
      </c>
      <c r="L18" s="14">
        <f>SUMIFS(F2:F801,B2:B801,B4,C2:C801,C3)</f>
        <v>544216</v>
      </c>
    </row>
    <row r="19" spans="1:12" x14ac:dyDescent="0.4">
      <c r="A19" s="5" t="s">
        <v>9</v>
      </c>
      <c r="B19" s="5" t="s">
        <v>21</v>
      </c>
      <c r="C19" s="5" t="s">
        <v>23</v>
      </c>
      <c r="D19" s="5">
        <v>44</v>
      </c>
      <c r="E19" s="5">
        <v>1658</v>
      </c>
      <c r="F19" s="5">
        <v>72952</v>
      </c>
      <c r="G19" s="6">
        <f t="shared" ca="1" si="0"/>
        <v>45995</v>
      </c>
      <c r="H19" s="4" t="str">
        <f t="shared" ca="1" si="1"/>
        <v>December</v>
      </c>
      <c r="I19" t="str">
        <f t="shared" ca="1" si="2"/>
        <v>2025</v>
      </c>
    </row>
    <row r="20" spans="1:12" x14ac:dyDescent="0.4">
      <c r="A20" s="5" t="s">
        <v>9</v>
      </c>
      <c r="B20" s="5" t="s">
        <v>15</v>
      </c>
      <c r="C20" s="5" t="s">
        <v>20</v>
      </c>
      <c r="D20" s="5">
        <v>10</v>
      </c>
      <c r="E20" s="5">
        <v>978</v>
      </c>
      <c r="F20" s="5">
        <v>9780</v>
      </c>
      <c r="G20" s="6">
        <f t="shared" ca="1" si="0"/>
        <v>45331</v>
      </c>
      <c r="H20" s="4" t="str">
        <f t="shared" ca="1" si="1"/>
        <v>February</v>
      </c>
      <c r="I20" t="str">
        <f t="shared" ca="1" si="2"/>
        <v>2024</v>
      </c>
      <c r="K20" t="s">
        <v>71</v>
      </c>
      <c r="L20" s="13" t="s">
        <v>41</v>
      </c>
    </row>
    <row r="21" spans="1:12" x14ac:dyDescent="0.4">
      <c r="A21" s="5" t="s">
        <v>19</v>
      </c>
      <c r="B21" s="5" t="s">
        <v>10</v>
      </c>
      <c r="C21" s="5" t="s">
        <v>8</v>
      </c>
      <c r="D21" s="5">
        <v>40</v>
      </c>
      <c r="E21" s="5">
        <v>522</v>
      </c>
      <c r="F21" s="5">
        <v>20880</v>
      </c>
      <c r="G21" s="6">
        <f t="shared" ca="1" si="0"/>
        <v>45926</v>
      </c>
      <c r="H21" s="4" t="str">
        <f t="shared" ca="1" si="1"/>
        <v>September</v>
      </c>
      <c r="I21" t="str">
        <f t="shared" ca="1" si="2"/>
        <v>2025</v>
      </c>
      <c r="L21" s="14">
        <f>SUMIFS(F2:F801,A2:A801,A2,B2:B801,B6)</f>
        <v>1420556</v>
      </c>
    </row>
    <row r="22" spans="1:12" x14ac:dyDescent="0.4">
      <c r="A22" s="5" t="s">
        <v>9</v>
      </c>
      <c r="B22" s="5" t="s">
        <v>7</v>
      </c>
      <c r="C22" s="5" t="s">
        <v>18</v>
      </c>
      <c r="D22" s="5">
        <v>40</v>
      </c>
      <c r="E22" s="5">
        <v>1199</v>
      </c>
      <c r="F22" s="5">
        <v>47960</v>
      </c>
      <c r="G22" s="6">
        <f t="shared" ca="1" si="0"/>
        <v>45515</v>
      </c>
      <c r="H22" s="4" t="str">
        <f t="shared" ca="1" si="1"/>
        <v>August</v>
      </c>
      <c r="I22" t="str">
        <f t="shared" ca="1" si="2"/>
        <v>2024</v>
      </c>
    </row>
    <row r="23" spans="1:12" x14ac:dyDescent="0.4">
      <c r="A23" s="5" t="s">
        <v>19</v>
      </c>
      <c r="B23" s="5" t="s">
        <v>15</v>
      </c>
      <c r="C23" s="5" t="s">
        <v>16</v>
      </c>
      <c r="D23" s="5">
        <v>12</v>
      </c>
      <c r="E23" s="5">
        <v>1637</v>
      </c>
      <c r="F23" s="5">
        <v>19644</v>
      </c>
      <c r="G23" s="6">
        <f t="shared" ca="1" si="0"/>
        <v>45912</v>
      </c>
      <c r="H23" s="4" t="str">
        <f t="shared" ca="1" si="1"/>
        <v>September</v>
      </c>
      <c r="I23" t="str">
        <f t="shared" ca="1" si="2"/>
        <v>2025</v>
      </c>
      <c r="K23" t="s">
        <v>72</v>
      </c>
      <c r="L23" s="13" t="s">
        <v>42</v>
      </c>
    </row>
    <row r="24" spans="1:12" x14ac:dyDescent="0.4">
      <c r="A24" s="5" t="s">
        <v>9</v>
      </c>
      <c r="B24" s="5" t="s">
        <v>10</v>
      </c>
      <c r="C24" s="5" t="s">
        <v>11</v>
      </c>
      <c r="D24" s="5">
        <v>10</v>
      </c>
      <c r="E24" s="5">
        <v>1566</v>
      </c>
      <c r="F24" s="5">
        <v>15660</v>
      </c>
      <c r="G24" s="6">
        <f t="shared" ca="1" si="0"/>
        <v>46009</v>
      </c>
      <c r="H24" s="4" t="str">
        <f t="shared" ca="1" si="1"/>
        <v>December</v>
      </c>
      <c r="I24" t="str">
        <f t="shared" ca="1" si="2"/>
        <v>2025</v>
      </c>
      <c r="L24" s="14">
        <f ca="1">SUMIFS(F2:F801,C2:C801,C2,G2:G801,"&gt;1-Jul-2024")</f>
        <v>1372031</v>
      </c>
    </row>
    <row r="25" spans="1:12" x14ac:dyDescent="0.4">
      <c r="A25" s="5" t="s">
        <v>19</v>
      </c>
      <c r="B25" s="5" t="s">
        <v>7</v>
      </c>
      <c r="C25" s="5" t="s">
        <v>13</v>
      </c>
      <c r="D25" s="5">
        <v>29</v>
      </c>
      <c r="E25" s="5">
        <v>316</v>
      </c>
      <c r="F25" s="5">
        <v>9164</v>
      </c>
      <c r="G25" s="6">
        <f t="shared" ca="1" si="0"/>
        <v>45992</v>
      </c>
      <c r="H25" s="4" t="str">
        <f t="shared" ca="1" si="1"/>
        <v>December</v>
      </c>
      <c r="I25" t="str">
        <f t="shared" ca="1" si="2"/>
        <v>2025</v>
      </c>
    </row>
    <row r="26" spans="1:12" x14ac:dyDescent="0.4">
      <c r="A26" s="5" t="s">
        <v>9</v>
      </c>
      <c r="B26" s="5" t="s">
        <v>15</v>
      </c>
      <c r="C26" s="5" t="s">
        <v>14</v>
      </c>
      <c r="D26" s="5">
        <v>32</v>
      </c>
      <c r="E26" s="5">
        <v>462</v>
      </c>
      <c r="F26" s="5">
        <v>14784</v>
      </c>
      <c r="G26" s="6">
        <f t="shared" ca="1" si="0"/>
        <v>45522</v>
      </c>
      <c r="H26" s="4" t="str">
        <f t="shared" ca="1" si="1"/>
        <v>August</v>
      </c>
      <c r="I26" t="str">
        <f t="shared" ca="1" si="2"/>
        <v>2024</v>
      </c>
      <c r="K26" t="s">
        <v>73</v>
      </c>
      <c r="L26" s="13" t="s">
        <v>43</v>
      </c>
    </row>
    <row r="27" spans="1:12" x14ac:dyDescent="0.4">
      <c r="A27" s="5" t="s">
        <v>9</v>
      </c>
      <c r="B27" s="5" t="s">
        <v>10</v>
      </c>
      <c r="C27" s="5" t="s">
        <v>8</v>
      </c>
      <c r="D27" s="5">
        <v>22</v>
      </c>
      <c r="E27" s="5">
        <v>240</v>
      </c>
      <c r="F27" s="5">
        <v>5280</v>
      </c>
      <c r="G27" s="6">
        <f t="shared" ca="1" si="0"/>
        <v>45626</v>
      </c>
      <c r="H27" s="4" t="str">
        <f t="shared" ca="1" si="1"/>
        <v>November</v>
      </c>
      <c r="I27" t="str">
        <f t="shared" ca="1" si="2"/>
        <v>2024</v>
      </c>
      <c r="L27" s="14">
        <f>SUMIFS(F2:F801,B2:B801,B6,A2:A801,A8,D2:D801,"&gt;100")</f>
        <v>0</v>
      </c>
    </row>
    <row r="28" spans="1:12" x14ac:dyDescent="0.4">
      <c r="A28" s="5" t="s">
        <v>9</v>
      </c>
      <c r="B28" s="5" t="s">
        <v>12</v>
      </c>
      <c r="C28" s="5" t="s">
        <v>11</v>
      </c>
      <c r="D28" s="5">
        <v>11</v>
      </c>
      <c r="E28" s="5">
        <v>821</v>
      </c>
      <c r="F28" s="5">
        <v>9031</v>
      </c>
      <c r="G28" s="6">
        <f t="shared" ca="1" si="0"/>
        <v>45887</v>
      </c>
      <c r="H28" s="4" t="str">
        <f t="shared" ca="1" si="1"/>
        <v>August</v>
      </c>
      <c r="I28" t="str">
        <f t="shared" ca="1" si="2"/>
        <v>2025</v>
      </c>
    </row>
    <row r="29" spans="1:12" x14ac:dyDescent="0.4">
      <c r="A29" s="5" t="s">
        <v>6</v>
      </c>
      <c r="B29" s="5" t="s">
        <v>15</v>
      </c>
      <c r="C29" s="5" t="s">
        <v>13</v>
      </c>
      <c r="D29" s="5">
        <v>49</v>
      </c>
      <c r="E29" s="5">
        <v>1726</v>
      </c>
      <c r="F29" s="5">
        <v>84574</v>
      </c>
      <c r="G29" s="6">
        <f t="shared" ca="1" si="0"/>
        <v>45659</v>
      </c>
      <c r="H29" s="4" t="str">
        <f t="shared" ca="1" si="1"/>
        <v>January</v>
      </c>
      <c r="I29" t="str">
        <f t="shared" ca="1" si="2"/>
        <v>2025</v>
      </c>
      <c r="K29" t="s">
        <v>74</v>
      </c>
      <c r="L29" s="13" t="s">
        <v>44</v>
      </c>
    </row>
    <row r="30" spans="1:12" x14ac:dyDescent="0.4">
      <c r="A30" s="5" t="s">
        <v>6</v>
      </c>
      <c r="B30" s="5" t="s">
        <v>21</v>
      </c>
      <c r="C30" s="5" t="s">
        <v>16</v>
      </c>
      <c r="D30" s="5">
        <v>24</v>
      </c>
      <c r="E30" s="5">
        <v>631</v>
      </c>
      <c r="F30" s="5">
        <v>15144</v>
      </c>
      <c r="G30" s="6">
        <f t="shared" ca="1" si="0"/>
        <v>45449</v>
      </c>
      <c r="H30" s="4" t="str">
        <f t="shared" ca="1" si="1"/>
        <v>June</v>
      </c>
      <c r="I30" t="str">
        <f t="shared" ca="1" si="2"/>
        <v>2024</v>
      </c>
      <c r="L30" s="14">
        <f ca="1">SUMIFS(F2:F801,A2:A801,A3,G2:G801,"&gt;=1-Jun-2024",G2:G801,"&lt;=30-Jun-2024")</f>
        <v>12185</v>
      </c>
    </row>
    <row r="31" spans="1:12" x14ac:dyDescent="0.4">
      <c r="A31" s="5" t="s">
        <v>17</v>
      </c>
      <c r="B31" s="5" t="s">
        <v>15</v>
      </c>
      <c r="C31" s="5" t="s">
        <v>20</v>
      </c>
      <c r="D31" s="5">
        <v>3</v>
      </c>
      <c r="E31" s="5">
        <v>1582</v>
      </c>
      <c r="F31" s="5">
        <v>4746</v>
      </c>
      <c r="G31" s="6">
        <f t="shared" ca="1" si="0"/>
        <v>45938</v>
      </c>
      <c r="H31" s="4" t="str">
        <f t="shared" ca="1" si="1"/>
        <v>October</v>
      </c>
      <c r="I31" t="str">
        <f t="shared" ca="1" si="2"/>
        <v>2025</v>
      </c>
    </row>
    <row r="32" spans="1:12" x14ac:dyDescent="0.4">
      <c r="A32" s="5" t="s">
        <v>17</v>
      </c>
      <c r="B32" s="5" t="s">
        <v>7</v>
      </c>
      <c r="C32" s="5" t="s">
        <v>23</v>
      </c>
      <c r="D32" s="5">
        <v>31</v>
      </c>
      <c r="E32" s="5">
        <v>807</v>
      </c>
      <c r="F32" s="5">
        <v>25017</v>
      </c>
      <c r="G32" s="6">
        <f t="shared" ca="1" si="0"/>
        <v>45717</v>
      </c>
      <c r="H32" s="4" t="str">
        <f t="shared" ca="1" si="1"/>
        <v>March</v>
      </c>
      <c r="I32" t="str">
        <f t="shared" ca="1" si="2"/>
        <v>2025</v>
      </c>
    </row>
    <row r="33" spans="1:12" x14ac:dyDescent="0.4">
      <c r="A33" s="5" t="s">
        <v>17</v>
      </c>
      <c r="B33" s="5" t="s">
        <v>21</v>
      </c>
      <c r="C33" s="5" t="s">
        <v>24</v>
      </c>
      <c r="D33" s="5">
        <v>24</v>
      </c>
      <c r="E33" s="5">
        <v>1611</v>
      </c>
      <c r="F33" s="5">
        <v>38664</v>
      </c>
      <c r="G33" s="6">
        <f t="shared" ca="1" si="0"/>
        <v>45818</v>
      </c>
      <c r="H33" s="4" t="str">
        <f t="shared" ca="1" si="1"/>
        <v>June</v>
      </c>
      <c r="I33" t="str">
        <f t="shared" ca="1" si="2"/>
        <v>2025</v>
      </c>
      <c r="K33" s="17" t="s">
        <v>78</v>
      </c>
      <c r="L33" s="22" t="s">
        <v>80</v>
      </c>
    </row>
    <row r="34" spans="1:12" x14ac:dyDescent="0.4">
      <c r="A34" s="5" t="s">
        <v>9</v>
      </c>
      <c r="B34" s="5" t="s">
        <v>21</v>
      </c>
      <c r="C34" s="5" t="s">
        <v>11</v>
      </c>
      <c r="D34" s="5">
        <v>3</v>
      </c>
      <c r="E34" s="5">
        <v>559</v>
      </c>
      <c r="F34" s="5">
        <v>1677</v>
      </c>
      <c r="G34" s="6">
        <f t="shared" ca="1" si="0"/>
        <v>45471</v>
      </c>
      <c r="H34" s="4" t="str">
        <f t="shared" ca="1" si="1"/>
        <v>June</v>
      </c>
      <c r="I34" t="str">
        <f t="shared" ca="1" si="2"/>
        <v>2024</v>
      </c>
    </row>
    <row r="35" spans="1:12" x14ac:dyDescent="0.4">
      <c r="A35" s="5" t="s">
        <v>9</v>
      </c>
      <c r="B35" s="5" t="s">
        <v>7</v>
      </c>
      <c r="C35" s="5" t="s">
        <v>11</v>
      </c>
      <c r="D35" s="5">
        <v>23</v>
      </c>
      <c r="E35" s="5">
        <v>1939</v>
      </c>
      <c r="F35" s="5">
        <v>44597</v>
      </c>
      <c r="G35" s="6">
        <f t="shared" ca="1" si="0"/>
        <v>45605</v>
      </c>
      <c r="H35" s="4" t="str">
        <f t="shared" ca="1" si="1"/>
        <v>November</v>
      </c>
      <c r="I35" t="str">
        <f t="shared" ca="1" si="2"/>
        <v>2024</v>
      </c>
    </row>
    <row r="36" spans="1:12" x14ac:dyDescent="0.4">
      <c r="A36" s="5" t="s">
        <v>9</v>
      </c>
      <c r="B36" s="5" t="s">
        <v>15</v>
      </c>
      <c r="C36" s="5" t="s">
        <v>18</v>
      </c>
      <c r="D36" s="5">
        <v>27</v>
      </c>
      <c r="E36" s="5">
        <v>369</v>
      </c>
      <c r="F36" s="5">
        <v>9963</v>
      </c>
      <c r="G36" s="6">
        <f t="shared" ca="1" si="0"/>
        <v>45484</v>
      </c>
      <c r="H36" s="4" t="str">
        <f t="shared" ca="1" si="1"/>
        <v>July</v>
      </c>
      <c r="I36" t="str">
        <f t="shared" ca="1" si="2"/>
        <v>2024</v>
      </c>
      <c r="K36" t="s">
        <v>61</v>
      </c>
      <c r="L36" s="13" t="s">
        <v>46</v>
      </c>
    </row>
    <row r="37" spans="1:12" x14ac:dyDescent="0.4">
      <c r="A37" s="5" t="s">
        <v>6</v>
      </c>
      <c r="B37" s="5" t="s">
        <v>15</v>
      </c>
      <c r="C37" s="5" t="s">
        <v>24</v>
      </c>
      <c r="D37" s="5">
        <v>44</v>
      </c>
      <c r="E37" s="5">
        <v>1829</v>
      </c>
      <c r="F37" s="5">
        <v>80476</v>
      </c>
      <c r="G37" s="6">
        <f t="shared" ca="1" si="0"/>
        <v>45569</v>
      </c>
      <c r="H37" s="4" t="str">
        <f t="shared" ca="1" si="1"/>
        <v>October</v>
      </c>
      <c r="I37" t="str">
        <f t="shared" ca="1" si="2"/>
        <v>2024</v>
      </c>
      <c r="L37" s="14">
        <f>COUNTIFS(C2:C801,C3,A2:A801,A8)</f>
        <v>16</v>
      </c>
    </row>
    <row r="38" spans="1:12" x14ac:dyDescent="0.4">
      <c r="A38" s="5" t="s">
        <v>17</v>
      </c>
      <c r="B38" s="5" t="s">
        <v>15</v>
      </c>
      <c r="C38" s="5" t="s">
        <v>24</v>
      </c>
      <c r="D38" s="5">
        <v>11</v>
      </c>
      <c r="E38" s="5">
        <v>1016</v>
      </c>
      <c r="F38" s="5">
        <v>11176</v>
      </c>
      <c r="G38" s="6">
        <f t="shared" ca="1" si="0"/>
        <v>45767</v>
      </c>
      <c r="H38" s="4" t="str">
        <f t="shared" ca="1" si="1"/>
        <v>April</v>
      </c>
      <c r="I38" t="str">
        <f t="shared" ca="1" si="2"/>
        <v>2025</v>
      </c>
    </row>
    <row r="39" spans="1:12" x14ac:dyDescent="0.4">
      <c r="A39" s="5" t="s">
        <v>6</v>
      </c>
      <c r="B39" s="5" t="s">
        <v>12</v>
      </c>
      <c r="C39" s="5" t="s">
        <v>13</v>
      </c>
      <c r="D39" s="5">
        <v>27</v>
      </c>
      <c r="E39" s="5">
        <v>995</v>
      </c>
      <c r="F39" s="5">
        <v>26865</v>
      </c>
      <c r="G39" s="6">
        <f t="shared" ca="1" si="0"/>
        <v>45867</v>
      </c>
      <c r="H39" s="4" t="str">
        <f t="shared" ca="1" si="1"/>
        <v>July</v>
      </c>
      <c r="I39" t="str">
        <f t="shared" ca="1" si="2"/>
        <v>2025</v>
      </c>
      <c r="K39" t="s">
        <v>66</v>
      </c>
      <c r="L39" s="13" t="s">
        <v>47</v>
      </c>
    </row>
    <row r="40" spans="1:12" x14ac:dyDescent="0.4">
      <c r="A40" s="5" t="s">
        <v>6</v>
      </c>
      <c r="B40" s="5" t="s">
        <v>21</v>
      </c>
      <c r="C40" s="5" t="s">
        <v>16</v>
      </c>
      <c r="D40" s="5">
        <v>49</v>
      </c>
      <c r="E40" s="5">
        <v>1782</v>
      </c>
      <c r="F40" s="5">
        <v>87318</v>
      </c>
      <c r="G40" s="6">
        <f t="shared" ca="1" si="0"/>
        <v>45502</v>
      </c>
      <c r="H40" s="4" t="str">
        <f t="shared" ca="1" si="1"/>
        <v>July</v>
      </c>
      <c r="I40" t="str">
        <f t="shared" ca="1" si="2"/>
        <v>2024</v>
      </c>
      <c r="L40" s="14">
        <f ca="1">COUNTIFS(B2:B801,B3,H2:H801,H3)</f>
        <v>8</v>
      </c>
    </row>
    <row r="41" spans="1:12" x14ac:dyDescent="0.4">
      <c r="A41" s="5" t="s">
        <v>19</v>
      </c>
      <c r="B41" s="5" t="s">
        <v>10</v>
      </c>
      <c r="C41" s="5" t="s">
        <v>24</v>
      </c>
      <c r="D41" s="5">
        <v>19</v>
      </c>
      <c r="E41" s="5">
        <v>1134</v>
      </c>
      <c r="F41" s="5">
        <v>21546</v>
      </c>
      <c r="G41" s="6">
        <f t="shared" ca="1" si="0"/>
        <v>45663</v>
      </c>
      <c r="H41" s="4" t="str">
        <f t="shared" ca="1" si="1"/>
        <v>January</v>
      </c>
      <c r="I41" t="str">
        <f t="shared" ca="1" si="2"/>
        <v>2025</v>
      </c>
    </row>
    <row r="42" spans="1:12" x14ac:dyDescent="0.4">
      <c r="A42" s="5" t="s">
        <v>19</v>
      </c>
      <c r="B42" s="5" t="s">
        <v>15</v>
      </c>
      <c r="C42" s="5" t="s">
        <v>18</v>
      </c>
      <c r="D42" s="5">
        <v>31</v>
      </c>
      <c r="E42" s="5">
        <v>125</v>
      </c>
      <c r="F42" s="5">
        <v>3875</v>
      </c>
      <c r="G42" s="6">
        <f t="shared" ca="1" si="0"/>
        <v>45405</v>
      </c>
      <c r="H42" s="4" t="str">
        <f t="shared" ca="1" si="1"/>
        <v>April</v>
      </c>
      <c r="I42" t="str">
        <f t="shared" ca="1" si="2"/>
        <v>2024</v>
      </c>
      <c r="K42" t="s">
        <v>67</v>
      </c>
      <c r="L42" s="13" t="s">
        <v>48</v>
      </c>
    </row>
    <row r="43" spans="1:12" x14ac:dyDescent="0.4">
      <c r="A43" s="5" t="s">
        <v>6</v>
      </c>
      <c r="B43" s="5" t="s">
        <v>12</v>
      </c>
      <c r="C43" s="5" t="s">
        <v>14</v>
      </c>
      <c r="D43" s="5">
        <v>28</v>
      </c>
      <c r="E43" s="5">
        <v>1314</v>
      </c>
      <c r="F43" s="5">
        <v>36792</v>
      </c>
      <c r="G43" s="6">
        <f t="shared" ca="1" si="0"/>
        <v>45711</v>
      </c>
      <c r="H43" s="4" t="str">
        <f t="shared" ca="1" si="1"/>
        <v>February</v>
      </c>
      <c r="I43" t="str">
        <f t="shared" ca="1" si="2"/>
        <v>2025</v>
      </c>
      <c r="L43" s="14">
        <f ca="1">COUNTIFS(C2:C801,C2,I2:I801,I8)</f>
        <v>41</v>
      </c>
    </row>
    <row r="44" spans="1:12" x14ac:dyDescent="0.4">
      <c r="A44" s="5" t="s">
        <v>17</v>
      </c>
      <c r="B44" s="5" t="s">
        <v>7</v>
      </c>
      <c r="C44" s="5" t="s">
        <v>8</v>
      </c>
      <c r="D44" s="5">
        <v>23</v>
      </c>
      <c r="E44" s="5">
        <v>1098</v>
      </c>
      <c r="F44" s="5">
        <v>25254</v>
      </c>
      <c r="G44" s="6">
        <f t="shared" ca="1" si="0"/>
        <v>45763</v>
      </c>
      <c r="H44" s="4" t="str">
        <f t="shared" ca="1" si="1"/>
        <v>April</v>
      </c>
      <c r="I44" t="str">
        <f t="shared" ca="1" si="2"/>
        <v>2025</v>
      </c>
    </row>
    <row r="45" spans="1:12" x14ac:dyDescent="0.4">
      <c r="A45" s="5" t="s">
        <v>6</v>
      </c>
      <c r="B45" s="5" t="s">
        <v>10</v>
      </c>
      <c r="C45" s="5" t="s">
        <v>22</v>
      </c>
      <c r="D45" s="5">
        <v>9</v>
      </c>
      <c r="E45" s="5">
        <v>971</v>
      </c>
      <c r="F45" s="5">
        <v>8739</v>
      </c>
      <c r="G45" s="6">
        <f t="shared" ca="1" si="0"/>
        <v>45406</v>
      </c>
      <c r="H45" s="4" t="str">
        <f t="shared" ca="1" si="1"/>
        <v>April</v>
      </c>
      <c r="I45" t="str">
        <f t="shared" ca="1" si="2"/>
        <v>2024</v>
      </c>
      <c r="K45" t="s">
        <v>68</v>
      </c>
      <c r="L45" s="13" t="s">
        <v>49</v>
      </c>
    </row>
    <row r="46" spans="1:12" x14ac:dyDescent="0.4">
      <c r="A46" s="5" t="s">
        <v>6</v>
      </c>
      <c r="B46" s="5" t="s">
        <v>15</v>
      </c>
      <c r="C46" s="5" t="s">
        <v>24</v>
      </c>
      <c r="D46" s="5">
        <v>45</v>
      </c>
      <c r="E46" s="5">
        <v>1409</v>
      </c>
      <c r="F46" s="5">
        <v>63405</v>
      </c>
      <c r="G46" s="6">
        <f t="shared" ca="1" si="0"/>
        <v>45643</v>
      </c>
      <c r="H46" s="4" t="str">
        <f t="shared" ca="1" si="1"/>
        <v>December</v>
      </c>
      <c r="I46" t="str">
        <f t="shared" ca="1" si="2"/>
        <v>2024</v>
      </c>
      <c r="L46" s="14">
        <f>COUNTIFS(D2:D801,"&gt;50",A2:A801,A2)</f>
        <v>0</v>
      </c>
    </row>
    <row r="47" spans="1:12" x14ac:dyDescent="0.4">
      <c r="A47" s="5" t="s">
        <v>6</v>
      </c>
      <c r="B47" s="5" t="s">
        <v>12</v>
      </c>
      <c r="C47" s="5" t="s">
        <v>11</v>
      </c>
      <c r="D47" s="5">
        <v>40</v>
      </c>
      <c r="E47" s="5">
        <v>731</v>
      </c>
      <c r="F47" s="5">
        <v>29240</v>
      </c>
      <c r="G47" s="6">
        <f t="shared" ca="1" si="0"/>
        <v>45978</v>
      </c>
      <c r="H47" s="4" t="str">
        <f t="shared" ca="1" si="1"/>
        <v>November</v>
      </c>
      <c r="I47" t="str">
        <f t="shared" ca="1" si="2"/>
        <v>2025</v>
      </c>
    </row>
    <row r="48" spans="1:12" x14ac:dyDescent="0.4">
      <c r="A48" s="5" t="s">
        <v>19</v>
      </c>
      <c r="B48" s="5" t="s">
        <v>15</v>
      </c>
      <c r="C48" s="5" t="s">
        <v>11</v>
      </c>
      <c r="D48" s="5">
        <v>19</v>
      </c>
      <c r="E48" s="5">
        <v>1758</v>
      </c>
      <c r="F48" s="5">
        <v>33402</v>
      </c>
      <c r="G48" s="6">
        <f t="shared" ca="1" si="0"/>
        <v>45913</v>
      </c>
      <c r="H48" s="4" t="str">
        <f t="shared" ca="1" si="1"/>
        <v>September</v>
      </c>
      <c r="I48" t="str">
        <f t="shared" ca="1" si="2"/>
        <v>2025</v>
      </c>
      <c r="K48" t="s">
        <v>69</v>
      </c>
      <c r="L48" s="13" t="s">
        <v>50</v>
      </c>
    </row>
    <row r="49" spans="1:12" x14ac:dyDescent="0.4">
      <c r="A49" s="5" t="s">
        <v>19</v>
      </c>
      <c r="B49" s="5" t="s">
        <v>21</v>
      </c>
      <c r="C49" s="5" t="s">
        <v>8</v>
      </c>
      <c r="D49" s="5">
        <v>50</v>
      </c>
      <c r="E49" s="5">
        <v>1271</v>
      </c>
      <c r="F49" s="5">
        <v>63550</v>
      </c>
      <c r="G49" s="6">
        <f t="shared" ca="1" si="0"/>
        <v>45961</v>
      </c>
      <c r="H49" s="4" t="str">
        <f t="shared" ca="1" si="1"/>
        <v>October</v>
      </c>
      <c r="I49" t="str">
        <f t="shared" ca="1" si="2"/>
        <v>2025</v>
      </c>
      <c r="L49" s="14">
        <f>COUNTIFS(A2:A801,A3,B2:B801,B6)</f>
        <v>31</v>
      </c>
    </row>
    <row r="50" spans="1:12" x14ac:dyDescent="0.4">
      <c r="A50" s="5" t="s">
        <v>17</v>
      </c>
      <c r="B50" s="5" t="s">
        <v>7</v>
      </c>
      <c r="C50" s="5" t="s">
        <v>23</v>
      </c>
      <c r="D50" s="5">
        <v>25</v>
      </c>
      <c r="E50" s="5">
        <v>993</v>
      </c>
      <c r="F50" s="5">
        <v>24825</v>
      </c>
      <c r="G50" s="6">
        <f t="shared" ca="1" si="0"/>
        <v>45824</v>
      </c>
      <c r="H50" s="4" t="str">
        <f t="shared" ca="1" si="1"/>
        <v>June</v>
      </c>
      <c r="I50" t="str">
        <f t="shared" ca="1" si="2"/>
        <v>2025</v>
      </c>
    </row>
    <row r="51" spans="1:12" x14ac:dyDescent="0.4">
      <c r="A51" s="5" t="s">
        <v>17</v>
      </c>
      <c r="B51" s="5" t="s">
        <v>21</v>
      </c>
      <c r="C51" s="5" t="s">
        <v>23</v>
      </c>
      <c r="D51" s="5">
        <v>24</v>
      </c>
      <c r="E51" s="5">
        <v>1491</v>
      </c>
      <c r="F51" s="5">
        <v>35784</v>
      </c>
      <c r="G51" s="6">
        <f t="shared" ca="1" si="0"/>
        <v>45878</v>
      </c>
      <c r="H51" s="4" t="str">
        <f t="shared" ca="1" si="1"/>
        <v>August</v>
      </c>
      <c r="I51" t="str">
        <f t="shared" ca="1" si="2"/>
        <v>2025</v>
      </c>
      <c r="K51" t="s">
        <v>70</v>
      </c>
      <c r="L51" s="13" t="s">
        <v>51</v>
      </c>
    </row>
    <row r="52" spans="1:12" x14ac:dyDescent="0.4">
      <c r="A52" s="5" t="s">
        <v>6</v>
      </c>
      <c r="B52" s="5" t="s">
        <v>15</v>
      </c>
      <c r="C52" s="5" t="s">
        <v>13</v>
      </c>
      <c r="D52" s="5">
        <v>11</v>
      </c>
      <c r="E52" s="5">
        <v>498</v>
      </c>
      <c r="F52" s="5">
        <v>5478</v>
      </c>
      <c r="G52" s="6">
        <f t="shared" ca="1" si="0"/>
        <v>45843</v>
      </c>
      <c r="H52" s="4" t="str">
        <f t="shared" ca="1" si="1"/>
        <v>July</v>
      </c>
      <c r="I52" t="str">
        <f t="shared" ca="1" si="2"/>
        <v>2025</v>
      </c>
      <c r="L52" s="14">
        <f>COUNTIFS(C2:C801,C3,B2:B801,B4)</f>
        <v>20</v>
      </c>
    </row>
    <row r="53" spans="1:12" x14ac:dyDescent="0.4">
      <c r="A53" s="5" t="s">
        <v>17</v>
      </c>
      <c r="B53" s="5" t="s">
        <v>10</v>
      </c>
      <c r="C53" s="5" t="s">
        <v>13</v>
      </c>
      <c r="D53" s="5">
        <v>9</v>
      </c>
      <c r="E53" s="5">
        <v>1933</v>
      </c>
      <c r="F53" s="5">
        <v>17397</v>
      </c>
      <c r="G53" s="6">
        <f t="shared" ca="1" si="0"/>
        <v>45452</v>
      </c>
      <c r="H53" s="4" t="str">
        <f t="shared" ca="1" si="1"/>
        <v>June</v>
      </c>
      <c r="I53" t="str">
        <f t="shared" ca="1" si="2"/>
        <v>2024</v>
      </c>
    </row>
    <row r="54" spans="1:12" x14ac:dyDescent="0.4">
      <c r="A54" s="5" t="s">
        <v>6</v>
      </c>
      <c r="B54" s="5" t="s">
        <v>10</v>
      </c>
      <c r="C54" s="5" t="s">
        <v>20</v>
      </c>
      <c r="D54" s="5">
        <v>15</v>
      </c>
      <c r="E54" s="5">
        <v>156</v>
      </c>
      <c r="F54" s="5">
        <v>2340</v>
      </c>
      <c r="G54" s="6">
        <f t="shared" ca="1" si="0"/>
        <v>45768</v>
      </c>
      <c r="H54" s="4" t="str">
        <f t="shared" ca="1" si="1"/>
        <v>April</v>
      </c>
      <c r="I54" t="str">
        <f t="shared" ca="1" si="2"/>
        <v>2025</v>
      </c>
      <c r="K54" t="s">
        <v>71</v>
      </c>
      <c r="L54" s="13" t="s">
        <v>52</v>
      </c>
    </row>
    <row r="55" spans="1:12" x14ac:dyDescent="0.4">
      <c r="A55" s="5" t="s">
        <v>6</v>
      </c>
      <c r="B55" s="5" t="s">
        <v>12</v>
      </c>
      <c r="C55" s="5" t="s">
        <v>18</v>
      </c>
      <c r="D55" s="5">
        <v>4</v>
      </c>
      <c r="E55" s="5">
        <v>344</v>
      </c>
      <c r="F55" s="5">
        <v>1376</v>
      </c>
      <c r="G55" s="6">
        <f t="shared" ca="1" si="0"/>
        <v>45583</v>
      </c>
      <c r="H55" s="4" t="str">
        <f t="shared" ca="1" si="1"/>
        <v>October</v>
      </c>
      <c r="I55" t="str">
        <f t="shared" ca="1" si="2"/>
        <v>2024</v>
      </c>
      <c r="L55" s="14">
        <f>COUNTIFS(F2:F801,"&gt;5000",A2:A801,A9)</f>
        <v>180</v>
      </c>
    </row>
    <row r="56" spans="1:12" x14ac:dyDescent="0.4">
      <c r="A56" s="5" t="s">
        <v>9</v>
      </c>
      <c r="B56" s="5" t="s">
        <v>10</v>
      </c>
      <c r="C56" s="5" t="s">
        <v>13</v>
      </c>
      <c r="D56" s="5">
        <v>42</v>
      </c>
      <c r="E56" s="5">
        <v>1474</v>
      </c>
      <c r="F56" s="5">
        <v>61908</v>
      </c>
      <c r="G56" s="6">
        <f t="shared" ca="1" si="0"/>
        <v>45492</v>
      </c>
      <c r="H56" s="4" t="str">
        <f t="shared" ca="1" si="1"/>
        <v>July</v>
      </c>
      <c r="I56" t="str">
        <f t="shared" ca="1" si="2"/>
        <v>2024</v>
      </c>
    </row>
    <row r="57" spans="1:12" x14ac:dyDescent="0.4">
      <c r="A57" s="5" t="s">
        <v>6</v>
      </c>
      <c r="B57" s="5" t="s">
        <v>7</v>
      </c>
      <c r="C57" s="5" t="s">
        <v>13</v>
      </c>
      <c r="D57" s="5">
        <v>42</v>
      </c>
      <c r="E57" s="5">
        <v>1508</v>
      </c>
      <c r="F57" s="5">
        <v>63336</v>
      </c>
      <c r="G57" s="6">
        <f t="shared" ca="1" si="0"/>
        <v>45961</v>
      </c>
      <c r="H57" s="4" t="str">
        <f t="shared" ca="1" si="1"/>
        <v>October</v>
      </c>
      <c r="I57" t="str">
        <f t="shared" ca="1" si="2"/>
        <v>2025</v>
      </c>
      <c r="K57" t="s">
        <v>72</v>
      </c>
      <c r="L57" s="13" t="s">
        <v>53</v>
      </c>
    </row>
    <row r="58" spans="1:12" x14ac:dyDescent="0.4">
      <c r="A58" s="5" t="s">
        <v>9</v>
      </c>
      <c r="B58" s="5" t="s">
        <v>10</v>
      </c>
      <c r="C58" s="5" t="s">
        <v>13</v>
      </c>
      <c r="D58" s="5">
        <v>29</v>
      </c>
      <c r="E58" s="5">
        <v>1767</v>
      </c>
      <c r="F58" s="5">
        <v>51243</v>
      </c>
      <c r="G58" s="6">
        <f t="shared" ca="1" si="0"/>
        <v>45308</v>
      </c>
      <c r="H58" s="4" t="str">
        <f t="shared" ca="1" si="1"/>
        <v>January</v>
      </c>
      <c r="I58" t="str">
        <f t="shared" ca="1" si="2"/>
        <v>2024</v>
      </c>
      <c r="L58" s="16">
        <f ca="1">COUNTIFS(G2:G801,"&gt;=1-Jan-2024",G2:G801,"&lt;=31-Mar-2024")</f>
        <v>100</v>
      </c>
    </row>
    <row r="59" spans="1:12" x14ac:dyDescent="0.4">
      <c r="A59" s="5" t="s">
        <v>19</v>
      </c>
      <c r="B59" s="5" t="s">
        <v>15</v>
      </c>
      <c r="C59" s="5" t="s">
        <v>14</v>
      </c>
      <c r="D59" s="5">
        <v>31</v>
      </c>
      <c r="E59" s="5">
        <v>1131</v>
      </c>
      <c r="F59" s="5">
        <v>35061</v>
      </c>
      <c r="G59" s="6">
        <f t="shared" ca="1" si="0"/>
        <v>45883</v>
      </c>
      <c r="H59" s="4" t="str">
        <f t="shared" ca="1" si="1"/>
        <v>August</v>
      </c>
      <c r="I59" t="str">
        <f t="shared" ca="1" si="2"/>
        <v>2025</v>
      </c>
    </row>
    <row r="60" spans="1:12" x14ac:dyDescent="0.4">
      <c r="A60" s="5" t="s">
        <v>17</v>
      </c>
      <c r="B60" s="5" t="s">
        <v>15</v>
      </c>
      <c r="C60" s="5" t="s">
        <v>18</v>
      </c>
      <c r="D60" s="5">
        <v>48</v>
      </c>
      <c r="E60" s="5">
        <v>1430</v>
      </c>
      <c r="F60" s="5">
        <v>68640</v>
      </c>
      <c r="G60" s="6">
        <f t="shared" ca="1" si="0"/>
        <v>45869</v>
      </c>
      <c r="H60" s="4" t="str">
        <f t="shared" ca="1" si="1"/>
        <v>July</v>
      </c>
      <c r="I60" t="str">
        <f t="shared" ca="1" si="2"/>
        <v>2025</v>
      </c>
      <c r="K60" t="s">
        <v>73</v>
      </c>
      <c r="L60" s="18" t="s">
        <v>54</v>
      </c>
    </row>
    <row r="61" spans="1:12" x14ac:dyDescent="0.4">
      <c r="A61" s="5" t="s">
        <v>19</v>
      </c>
      <c r="B61" s="5" t="s">
        <v>15</v>
      </c>
      <c r="C61" s="5" t="s">
        <v>13</v>
      </c>
      <c r="D61" s="5">
        <v>11</v>
      </c>
      <c r="E61" s="5">
        <v>1578</v>
      </c>
      <c r="F61" s="5">
        <v>17358</v>
      </c>
      <c r="G61" s="6">
        <f t="shared" ca="1" si="0"/>
        <v>45871</v>
      </c>
      <c r="H61" s="4" t="str">
        <f t="shared" ca="1" si="1"/>
        <v>August</v>
      </c>
      <c r="I61" t="str">
        <f t="shared" ca="1" si="2"/>
        <v>2025</v>
      </c>
      <c r="L61" s="20">
        <f>COUNTIFS(D2:D801,"&lt;20",B2:B801,B3)</f>
        <v>66</v>
      </c>
    </row>
    <row r="62" spans="1:12" x14ac:dyDescent="0.4">
      <c r="A62" s="5" t="s">
        <v>19</v>
      </c>
      <c r="B62" s="5" t="s">
        <v>10</v>
      </c>
      <c r="C62" s="5" t="s">
        <v>11</v>
      </c>
      <c r="D62" s="5">
        <v>32</v>
      </c>
      <c r="E62" s="5">
        <v>803</v>
      </c>
      <c r="F62" s="5">
        <v>25696</v>
      </c>
      <c r="G62" s="6">
        <f t="shared" ca="1" si="0"/>
        <v>45801</v>
      </c>
      <c r="H62" s="4" t="str">
        <f t="shared" ca="1" si="1"/>
        <v>May</v>
      </c>
      <c r="I62" t="str">
        <f t="shared" ca="1" si="2"/>
        <v>2025</v>
      </c>
      <c r="L62" s="4"/>
    </row>
    <row r="63" spans="1:12" x14ac:dyDescent="0.4">
      <c r="A63" s="5" t="s">
        <v>19</v>
      </c>
      <c r="B63" s="5" t="s">
        <v>7</v>
      </c>
      <c r="C63" s="5" t="s">
        <v>13</v>
      </c>
      <c r="D63" s="5">
        <v>16</v>
      </c>
      <c r="E63" s="5">
        <v>563</v>
      </c>
      <c r="F63" s="5">
        <v>9008</v>
      </c>
      <c r="G63" s="6">
        <f t="shared" ca="1" si="0"/>
        <v>45371</v>
      </c>
      <c r="H63" s="4" t="str">
        <f t="shared" ca="1" si="1"/>
        <v>March</v>
      </c>
      <c r="I63" t="str">
        <f t="shared" ca="1" si="2"/>
        <v>2024</v>
      </c>
      <c r="K63" t="s">
        <v>74</v>
      </c>
      <c r="L63" s="18" t="s">
        <v>55</v>
      </c>
    </row>
    <row r="64" spans="1:12" x14ac:dyDescent="0.4">
      <c r="A64" s="5" t="s">
        <v>19</v>
      </c>
      <c r="B64" s="5" t="s">
        <v>7</v>
      </c>
      <c r="C64" s="5" t="s">
        <v>20</v>
      </c>
      <c r="D64" s="5">
        <v>47</v>
      </c>
      <c r="E64" s="5">
        <v>1119</v>
      </c>
      <c r="F64" s="5">
        <v>52593</v>
      </c>
      <c r="G64" s="6">
        <f t="shared" ca="1" si="0"/>
        <v>45920</v>
      </c>
      <c r="H64" s="4" t="str">
        <f t="shared" ca="1" si="1"/>
        <v>September</v>
      </c>
      <c r="I64" t="str">
        <f t="shared" ca="1" si="2"/>
        <v>2025</v>
      </c>
      <c r="L64" s="4"/>
    </row>
    <row r="65" spans="1:12" x14ac:dyDescent="0.4">
      <c r="A65" s="5" t="s">
        <v>9</v>
      </c>
      <c r="B65" s="5" t="s">
        <v>7</v>
      </c>
      <c r="C65" s="5" t="s">
        <v>23</v>
      </c>
      <c r="D65" s="5">
        <v>12</v>
      </c>
      <c r="E65" s="5">
        <v>783</v>
      </c>
      <c r="F65" s="5">
        <v>9396</v>
      </c>
      <c r="G65" s="6">
        <f t="shared" ca="1" si="0"/>
        <v>45368</v>
      </c>
      <c r="H65" s="4" t="str">
        <f t="shared" ca="1" si="1"/>
        <v>March</v>
      </c>
      <c r="I65" t="str">
        <f t="shared" ca="1" si="2"/>
        <v>2024</v>
      </c>
      <c r="L65" s="4"/>
    </row>
    <row r="66" spans="1:12" x14ac:dyDescent="0.4">
      <c r="A66" s="5" t="s">
        <v>19</v>
      </c>
      <c r="B66" s="5" t="s">
        <v>7</v>
      </c>
      <c r="C66" s="5" t="s">
        <v>11</v>
      </c>
      <c r="D66" s="5">
        <v>31</v>
      </c>
      <c r="E66" s="5">
        <v>1124</v>
      </c>
      <c r="F66" s="5">
        <v>34844</v>
      </c>
      <c r="G66" s="6">
        <f t="shared" ca="1" si="0"/>
        <v>45581</v>
      </c>
      <c r="H66" s="4" t="str">
        <f t="shared" ca="1" si="1"/>
        <v>October</v>
      </c>
      <c r="I66" t="str">
        <f t="shared" ca="1" si="2"/>
        <v>2024</v>
      </c>
      <c r="L66" s="4"/>
    </row>
    <row r="67" spans="1:12" x14ac:dyDescent="0.4">
      <c r="A67" s="5" t="s">
        <v>9</v>
      </c>
      <c r="B67" s="5" t="s">
        <v>12</v>
      </c>
      <c r="C67" s="5" t="s">
        <v>14</v>
      </c>
      <c r="D67" s="5">
        <v>28</v>
      </c>
      <c r="E67" s="5">
        <v>1718</v>
      </c>
      <c r="F67" s="5">
        <v>48104</v>
      </c>
      <c r="G67" s="6">
        <f t="shared" ref="G67:G130" ca="1" si="3">RANDBETWEEN(DATE(2024,1,1),DATE(2025,12,31))</f>
        <v>45412</v>
      </c>
      <c r="H67" s="4" t="str">
        <f t="shared" ref="H67:H130" ca="1" si="4">TEXT(G67,"mmmm")</f>
        <v>April</v>
      </c>
      <c r="I67" t="str">
        <f t="shared" ref="I67:I130" ca="1" si="5">TEXT(G67,"yyyy")</f>
        <v>2024</v>
      </c>
      <c r="L67" s="4"/>
    </row>
    <row r="68" spans="1:12" x14ac:dyDescent="0.4">
      <c r="A68" s="5" t="s">
        <v>6</v>
      </c>
      <c r="B68" s="5" t="s">
        <v>10</v>
      </c>
      <c r="C68" s="5" t="s">
        <v>22</v>
      </c>
      <c r="D68" s="5">
        <v>7</v>
      </c>
      <c r="E68" s="5">
        <v>887</v>
      </c>
      <c r="F68" s="5">
        <v>6209</v>
      </c>
      <c r="G68" s="6">
        <f t="shared" ca="1" si="3"/>
        <v>45753</v>
      </c>
      <c r="H68" s="4" t="str">
        <f t="shared" ca="1" si="4"/>
        <v>April</v>
      </c>
      <c r="I68" t="str">
        <f t="shared" ca="1" si="5"/>
        <v>2025</v>
      </c>
      <c r="L68" s="4"/>
    </row>
    <row r="69" spans="1:12" x14ac:dyDescent="0.4">
      <c r="A69" s="5" t="s">
        <v>9</v>
      </c>
      <c r="B69" s="5" t="s">
        <v>7</v>
      </c>
      <c r="C69" s="5" t="s">
        <v>20</v>
      </c>
      <c r="D69" s="5">
        <v>34</v>
      </c>
      <c r="E69" s="5">
        <v>1790</v>
      </c>
      <c r="F69" s="5">
        <v>60860</v>
      </c>
      <c r="G69" s="6">
        <f t="shared" ca="1" si="3"/>
        <v>45972</v>
      </c>
      <c r="H69" s="4" t="str">
        <f t="shared" ca="1" si="4"/>
        <v>November</v>
      </c>
      <c r="I69" t="str">
        <f t="shared" ca="1" si="5"/>
        <v>2025</v>
      </c>
      <c r="L69" s="4"/>
    </row>
    <row r="70" spans="1:12" x14ac:dyDescent="0.4">
      <c r="A70" s="5" t="s">
        <v>17</v>
      </c>
      <c r="B70" s="5" t="s">
        <v>21</v>
      </c>
      <c r="C70" s="5" t="s">
        <v>13</v>
      </c>
      <c r="D70" s="5">
        <v>17</v>
      </c>
      <c r="E70" s="5">
        <v>972</v>
      </c>
      <c r="F70" s="5">
        <v>16524</v>
      </c>
      <c r="G70" s="6">
        <f t="shared" ca="1" si="3"/>
        <v>46005</v>
      </c>
      <c r="H70" s="4" t="str">
        <f t="shared" ca="1" si="4"/>
        <v>December</v>
      </c>
      <c r="I70" t="str">
        <f t="shared" ca="1" si="5"/>
        <v>2025</v>
      </c>
      <c r="L70" s="4"/>
    </row>
    <row r="71" spans="1:12" x14ac:dyDescent="0.4">
      <c r="A71" s="5" t="s">
        <v>6</v>
      </c>
      <c r="B71" s="5" t="s">
        <v>12</v>
      </c>
      <c r="C71" s="5" t="s">
        <v>24</v>
      </c>
      <c r="D71" s="5">
        <v>23</v>
      </c>
      <c r="E71" s="5">
        <v>1747</v>
      </c>
      <c r="F71" s="5">
        <v>40181</v>
      </c>
      <c r="G71" s="6">
        <f t="shared" ca="1" si="3"/>
        <v>45311</v>
      </c>
      <c r="H71" s="4" t="str">
        <f t="shared" ca="1" si="4"/>
        <v>January</v>
      </c>
      <c r="I71" t="str">
        <f t="shared" ca="1" si="5"/>
        <v>2024</v>
      </c>
      <c r="L71" s="4"/>
    </row>
    <row r="72" spans="1:12" x14ac:dyDescent="0.4">
      <c r="A72" s="5" t="s">
        <v>9</v>
      </c>
      <c r="B72" s="5" t="s">
        <v>12</v>
      </c>
      <c r="C72" s="5" t="s">
        <v>24</v>
      </c>
      <c r="D72" s="5">
        <v>1</v>
      </c>
      <c r="E72" s="5">
        <v>1875</v>
      </c>
      <c r="F72" s="5">
        <v>1875</v>
      </c>
      <c r="G72" s="6">
        <f t="shared" ca="1" si="3"/>
        <v>45674</v>
      </c>
      <c r="H72" s="4" t="str">
        <f t="shared" ca="1" si="4"/>
        <v>January</v>
      </c>
      <c r="I72" t="str">
        <f t="shared" ca="1" si="5"/>
        <v>2025</v>
      </c>
      <c r="L72" s="4"/>
    </row>
    <row r="73" spans="1:12" x14ac:dyDescent="0.4">
      <c r="A73" s="5" t="s">
        <v>19</v>
      </c>
      <c r="B73" s="5" t="s">
        <v>12</v>
      </c>
      <c r="C73" s="5" t="s">
        <v>8</v>
      </c>
      <c r="D73" s="5">
        <v>12</v>
      </c>
      <c r="E73" s="5">
        <v>1067</v>
      </c>
      <c r="F73" s="5">
        <v>12804</v>
      </c>
      <c r="G73" s="6">
        <f t="shared" ca="1" si="3"/>
        <v>45366</v>
      </c>
      <c r="H73" s="4" t="str">
        <f t="shared" ca="1" si="4"/>
        <v>March</v>
      </c>
      <c r="I73" t="str">
        <f t="shared" ca="1" si="5"/>
        <v>2024</v>
      </c>
      <c r="L73" s="4"/>
    </row>
    <row r="74" spans="1:12" x14ac:dyDescent="0.4">
      <c r="A74" s="5" t="s">
        <v>17</v>
      </c>
      <c r="B74" s="5" t="s">
        <v>12</v>
      </c>
      <c r="C74" s="5" t="s">
        <v>11</v>
      </c>
      <c r="D74" s="5">
        <v>47</v>
      </c>
      <c r="E74" s="5">
        <v>1685</v>
      </c>
      <c r="F74" s="5">
        <v>79195</v>
      </c>
      <c r="G74" s="6">
        <f t="shared" ca="1" si="3"/>
        <v>45757</v>
      </c>
      <c r="H74" s="4" t="str">
        <f t="shared" ca="1" si="4"/>
        <v>April</v>
      </c>
      <c r="I74" t="str">
        <f t="shared" ca="1" si="5"/>
        <v>2025</v>
      </c>
      <c r="L74" s="4"/>
    </row>
    <row r="75" spans="1:12" x14ac:dyDescent="0.4">
      <c r="A75" s="5" t="s">
        <v>19</v>
      </c>
      <c r="B75" s="5" t="s">
        <v>7</v>
      </c>
      <c r="C75" s="5" t="s">
        <v>23</v>
      </c>
      <c r="D75" s="5">
        <v>40</v>
      </c>
      <c r="E75" s="5">
        <v>991</v>
      </c>
      <c r="F75" s="5">
        <v>39640</v>
      </c>
      <c r="G75" s="6">
        <f t="shared" ca="1" si="3"/>
        <v>45577</v>
      </c>
      <c r="H75" s="4" t="str">
        <f t="shared" ca="1" si="4"/>
        <v>October</v>
      </c>
      <c r="I75" t="str">
        <f t="shared" ca="1" si="5"/>
        <v>2024</v>
      </c>
      <c r="L75" s="4"/>
    </row>
    <row r="76" spans="1:12" x14ac:dyDescent="0.4">
      <c r="A76" s="5" t="s">
        <v>6</v>
      </c>
      <c r="B76" s="5" t="s">
        <v>7</v>
      </c>
      <c r="C76" s="5" t="s">
        <v>14</v>
      </c>
      <c r="D76" s="5">
        <v>36</v>
      </c>
      <c r="E76" s="5">
        <v>1230</v>
      </c>
      <c r="F76" s="5">
        <v>44280</v>
      </c>
      <c r="G76" s="6">
        <f t="shared" ca="1" si="3"/>
        <v>45806</v>
      </c>
      <c r="H76" s="4" t="str">
        <f t="shared" ca="1" si="4"/>
        <v>May</v>
      </c>
      <c r="I76" t="str">
        <f t="shared" ca="1" si="5"/>
        <v>2025</v>
      </c>
      <c r="L76" s="4"/>
    </row>
    <row r="77" spans="1:12" x14ac:dyDescent="0.4">
      <c r="A77" s="5" t="s">
        <v>6</v>
      </c>
      <c r="B77" s="5" t="s">
        <v>21</v>
      </c>
      <c r="C77" s="5" t="s">
        <v>11</v>
      </c>
      <c r="D77" s="5">
        <v>47</v>
      </c>
      <c r="E77" s="5">
        <v>1942</v>
      </c>
      <c r="F77" s="5">
        <v>91274</v>
      </c>
      <c r="G77" s="6">
        <f t="shared" ca="1" si="3"/>
        <v>45749</v>
      </c>
      <c r="H77" s="4" t="str">
        <f t="shared" ca="1" si="4"/>
        <v>April</v>
      </c>
      <c r="I77" t="str">
        <f t="shared" ca="1" si="5"/>
        <v>2025</v>
      </c>
      <c r="L77" s="4"/>
    </row>
    <row r="78" spans="1:12" x14ac:dyDescent="0.4">
      <c r="A78" s="5" t="s">
        <v>17</v>
      </c>
      <c r="B78" s="5" t="s">
        <v>15</v>
      </c>
      <c r="C78" s="5" t="s">
        <v>16</v>
      </c>
      <c r="D78" s="5">
        <v>5</v>
      </c>
      <c r="E78" s="5">
        <v>268</v>
      </c>
      <c r="F78" s="5">
        <v>1340</v>
      </c>
      <c r="G78" s="6">
        <f t="shared" ca="1" si="3"/>
        <v>45429</v>
      </c>
      <c r="H78" s="4" t="str">
        <f t="shared" ca="1" si="4"/>
        <v>May</v>
      </c>
      <c r="I78" t="str">
        <f t="shared" ca="1" si="5"/>
        <v>2024</v>
      </c>
      <c r="L78" s="4"/>
    </row>
    <row r="79" spans="1:12" x14ac:dyDescent="0.4">
      <c r="A79" s="5" t="s">
        <v>17</v>
      </c>
      <c r="B79" s="5" t="s">
        <v>15</v>
      </c>
      <c r="C79" s="5" t="s">
        <v>8</v>
      </c>
      <c r="D79" s="5">
        <v>9</v>
      </c>
      <c r="E79" s="5">
        <v>1177</v>
      </c>
      <c r="F79" s="5">
        <v>10593</v>
      </c>
      <c r="G79" s="6">
        <f t="shared" ca="1" si="3"/>
        <v>45968</v>
      </c>
      <c r="H79" s="4" t="str">
        <f t="shared" ca="1" si="4"/>
        <v>November</v>
      </c>
      <c r="I79" t="str">
        <f t="shared" ca="1" si="5"/>
        <v>2025</v>
      </c>
      <c r="L79" s="4"/>
    </row>
    <row r="80" spans="1:12" x14ac:dyDescent="0.4">
      <c r="A80" s="5" t="s">
        <v>6</v>
      </c>
      <c r="B80" s="5" t="s">
        <v>12</v>
      </c>
      <c r="C80" s="5" t="s">
        <v>23</v>
      </c>
      <c r="D80" s="5">
        <v>26</v>
      </c>
      <c r="E80" s="5">
        <v>1226</v>
      </c>
      <c r="F80" s="5">
        <v>31876</v>
      </c>
      <c r="G80" s="6">
        <f t="shared" ca="1" si="3"/>
        <v>45340</v>
      </c>
      <c r="H80" s="4" t="str">
        <f t="shared" ca="1" si="4"/>
        <v>February</v>
      </c>
      <c r="I80" t="str">
        <f t="shared" ca="1" si="5"/>
        <v>2024</v>
      </c>
      <c r="L80" s="4"/>
    </row>
    <row r="81" spans="1:12" x14ac:dyDescent="0.4">
      <c r="A81" s="5" t="s">
        <v>9</v>
      </c>
      <c r="B81" s="5" t="s">
        <v>12</v>
      </c>
      <c r="C81" s="5" t="s">
        <v>11</v>
      </c>
      <c r="D81" s="5">
        <v>43</v>
      </c>
      <c r="E81" s="5">
        <v>351</v>
      </c>
      <c r="F81" s="5">
        <v>15093</v>
      </c>
      <c r="G81" s="6">
        <f t="shared" ca="1" si="3"/>
        <v>45597</v>
      </c>
      <c r="H81" s="4" t="str">
        <f t="shared" ca="1" si="4"/>
        <v>November</v>
      </c>
      <c r="I81" t="str">
        <f t="shared" ca="1" si="5"/>
        <v>2024</v>
      </c>
      <c r="L81" s="4"/>
    </row>
    <row r="82" spans="1:12" x14ac:dyDescent="0.4">
      <c r="A82" s="5" t="s">
        <v>9</v>
      </c>
      <c r="B82" s="5" t="s">
        <v>7</v>
      </c>
      <c r="C82" s="5" t="s">
        <v>18</v>
      </c>
      <c r="D82" s="5">
        <v>23</v>
      </c>
      <c r="E82" s="5">
        <v>421</v>
      </c>
      <c r="F82" s="5">
        <v>9683</v>
      </c>
      <c r="G82" s="6">
        <f t="shared" ca="1" si="3"/>
        <v>45603</v>
      </c>
      <c r="H82" s="4" t="str">
        <f t="shared" ca="1" si="4"/>
        <v>November</v>
      </c>
      <c r="I82" t="str">
        <f t="shared" ca="1" si="5"/>
        <v>2024</v>
      </c>
      <c r="L82" s="4"/>
    </row>
    <row r="83" spans="1:12" x14ac:dyDescent="0.4">
      <c r="A83" s="5" t="s">
        <v>6</v>
      </c>
      <c r="B83" s="5" t="s">
        <v>7</v>
      </c>
      <c r="C83" s="5" t="s">
        <v>24</v>
      </c>
      <c r="D83" s="5">
        <v>10</v>
      </c>
      <c r="E83" s="5">
        <v>1979</v>
      </c>
      <c r="F83" s="5">
        <v>19790</v>
      </c>
      <c r="G83" s="6">
        <f t="shared" ca="1" si="3"/>
        <v>45562</v>
      </c>
      <c r="H83" s="4" t="str">
        <f t="shared" ca="1" si="4"/>
        <v>September</v>
      </c>
      <c r="I83" t="str">
        <f t="shared" ca="1" si="5"/>
        <v>2024</v>
      </c>
      <c r="L83" s="4"/>
    </row>
    <row r="84" spans="1:12" x14ac:dyDescent="0.4">
      <c r="A84" s="5" t="s">
        <v>19</v>
      </c>
      <c r="B84" s="5" t="s">
        <v>10</v>
      </c>
      <c r="C84" s="5" t="s">
        <v>23</v>
      </c>
      <c r="D84" s="5">
        <v>3</v>
      </c>
      <c r="E84" s="5">
        <v>1053</v>
      </c>
      <c r="F84" s="5">
        <v>3159</v>
      </c>
      <c r="G84" s="6">
        <f t="shared" ca="1" si="3"/>
        <v>45397</v>
      </c>
      <c r="H84" s="4" t="str">
        <f t="shared" ca="1" si="4"/>
        <v>April</v>
      </c>
      <c r="I84" t="str">
        <f t="shared" ca="1" si="5"/>
        <v>2024</v>
      </c>
      <c r="L84" s="4"/>
    </row>
    <row r="85" spans="1:12" x14ac:dyDescent="0.4">
      <c r="A85" s="5" t="s">
        <v>6</v>
      </c>
      <c r="B85" s="5" t="s">
        <v>12</v>
      </c>
      <c r="C85" s="5" t="s">
        <v>11</v>
      </c>
      <c r="D85" s="5">
        <v>9</v>
      </c>
      <c r="E85" s="5">
        <v>356</v>
      </c>
      <c r="F85" s="5">
        <v>3204</v>
      </c>
      <c r="G85" s="6">
        <f t="shared" ca="1" si="3"/>
        <v>45346</v>
      </c>
      <c r="H85" s="4" t="str">
        <f t="shared" ca="1" si="4"/>
        <v>February</v>
      </c>
      <c r="I85" t="str">
        <f t="shared" ca="1" si="5"/>
        <v>2024</v>
      </c>
      <c r="L85" s="4"/>
    </row>
    <row r="86" spans="1:12" x14ac:dyDescent="0.4">
      <c r="A86" s="5" t="s">
        <v>17</v>
      </c>
      <c r="B86" s="5" t="s">
        <v>15</v>
      </c>
      <c r="C86" s="5" t="s">
        <v>14</v>
      </c>
      <c r="D86" s="5">
        <v>44</v>
      </c>
      <c r="E86" s="5">
        <v>1512</v>
      </c>
      <c r="F86" s="5">
        <v>66528</v>
      </c>
      <c r="G86" s="6">
        <f t="shared" ca="1" si="3"/>
        <v>45770</v>
      </c>
      <c r="H86" s="4" t="str">
        <f t="shared" ca="1" si="4"/>
        <v>April</v>
      </c>
      <c r="I86" t="str">
        <f t="shared" ca="1" si="5"/>
        <v>2025</v>
      </c>
      <c r="L86" s="4"/>
    </row>
    <row r="87" spans="1:12" x14ac:dyDescent="0.4">
      <c r="A87" s="5" t="s">
        <v>6</v>
      </c>
      <c r="B87" s="5" t="s">
        <v>10</v>
      </c>
      <c r="C87" s="5" t="s">
        <v>11</v>
      </c>
      <c r="D87" s="5">
        <v>30</v>
      </c>
      <c r="E87" s="5">
        <v>929</v>
      </c>
      <c r="F87" s="5">
        <v>27870</v>
      </c>
      <c r="G87" s="6">
        <f t="shared" ca="1" si="3"/>
        <v>45685</v>
      </c>
      <c r="H87" s="4" t="str">
        <f t="shared" ca="1" si="4"/>
        <v>January</v>
      </c>
      <c r="I87" t="str">
        <f t="shared" ca="1" si="5"/>
        <v>2025</v>
      </c>
      <c r="L87" s="4"/>
    </row>
    <row r="88" spans="1:12" x14ac:dyDescent="0.4">
      <c r="A88" s="5" t="s">
        <v>9</v>
      </c>
      <c r="B88" s="5" t="s">
        <v>21</v>
      </c>
      <c r="C88" s="5" t="s">
        <v>22</v>
      </c>
      <c r="D88" s="5">
        <v>14</v>
      </c>
      <c r="E88" s="5">
        <v>736</v>
      </c>
      <c r="F88" s="5">
        <v>10304</v>
      </c>
      <c r="G88" s="6">
        <f t="shared" ca="1" si="3"/>
        <v>45820</v>
      </c>
      <c r="H88" s="4" t="str">
        <f t="shared" ca="1" si="4"/>
        <v>June</v>
      </c>
      <c r="I88" t="str">
        <f t="shared" ca="1" si="5"/>
        <v>2025</v>
      </c>
      <c r="L88" s="4"/>
    </row>
    <row r="89" spans="1:12" x14ac:dyDescent="0.4">
      <c r="A89" s="5" t="s">
        <v>17</v>
      </c>
      <c r="B89" s="5" t="s">
        <v>21</v>
      </c>
      <c r="C89" s="5" t="s">
        <v>22</v>
      </c>
      <c r="D89" s="5">
        <v>44</v>
      </c>
      <c r="E89" s="5">
        <v>921</v>
      </c>
      <c r="F89" s="5">
        <v>40524</v>
      </c>
      <c r="G89" s="6">
        <f t="shared" ca="1" si="3"/>
        <v>45904</v>
      </c>
      <c r="H89" s="4" t="str">
        <f t="shared" ca="1" si="4"/>
        <v>September</v>
      </c>
      <c r="I89" t="str">
        <f t="shared" ca="1" si="5"/>
        <v>2025</v>
      </c>
      <c r="L89" s="4"/>
    </row>
    <row r="90" spans="1:12" x14ac:dyDescent="0.4">
      <c r="A90" s="5" t="s">
        <v>6</v>
      </c>
      <c r="B90" s="5" t="s">
        <v>7</v>
      </c>
      <c r="C90" s="5" t="s">
        <v>11</v>
      </c>
      <c r="D90" s="5">
        <v>30</v>
      </c>
      <c r="E90" s="5">
        <v>526</v>
      </c>
      <c r="F90" s="5">
        <v>15780</v>
      </c>
      <c r="G90" s="6">
        <f t="shared" ca="1" si="3"/>
        <v>45831</v>
      </c>
      <c r="H90" s="4" t="str">
        <f t="shared" ca="1" si="4"/>
        <v>June</v>
      </c>
      <c r="I90" t="str">
        <f t="shared" ca="1" si="5"/>
        <v>2025</v>
      </c>
      <c r="L90" s="4"/>
    </row>
    <row r="91" spans="1:12" x14ac:dyDescent="0.4">
      <c r="A91" s="5" t="s">
        <v>9</v>
      </c>
      <c r="B91" s="5" t="s">
        <v>12</v>
      </c>
      <c r="C91" s="5" t="s">
        <v>20</v>
      </c>
      <c r="D91" s="5">
        <v>41</v>
      </c>
      <c r="E91" s="5">
        <v>1985</v>
      </c>
      <c r="F91" s="5">
        <v>81385</v>
      </c>
      <c r="G91" s="6">
        <f t="shared" ca="1" si="3"/>
        <v>45857</v>
      </c>
      <c r="H91" s="4" t="str">
        <f t="shared" ca="1" si="4"/>
        <v>July</v>
      </c>
      <c r="I91" t="str">
        <f t="shared" ca="1" si="5"/>
        <v>2025</v>
      </c>
      <c r="L91" s="4"/>
    </row>
    <row r="92" spans="1:12" x14ac:dyDescent="0.4">
      <c r="A92" s="5" t="s">
        <v>17</v>
      </c>
      <c r="B92" s="5" t="s">
        <v>15</v>
      </c>
      <c r="C92" s="5" t="s">
        <v>23</v>
      </c>
      <c r="D92" s="5">
        <v>23</v>
      </c>
      <c r="E92" s="5">
        <v>691</v>
      </c>
      <c r="F92" s="5">
        <v>15893</v>
      </c>
      <c r="G92" s="6">
        <f t="shared" ca="1" si="3"/>
        <v>45346</v>
      </c>
      <c r="H92" s="4" t="str">
        <f t="shared" ca="1" si="4"/>
        <v>February</v>
      </c>
      <c r="I92" t="str">
        <f t="shared" ca="1" si="5"/>
        <v>2024</v>
      </c>
      <c r="L92" s="4"/>
    </row>
    <row r="93" spans="1:12" x14ac:dyDescent="0.4">
      <c r="A93" s="5" t="s">
        <v>19</v>
      </c>
      <c r="B93" s="5" t="s">
        <v>15</v>
      </c>
      <c r="C93" s="5" t="s">
        <v>23</v>
      </c>
      <c r="D93" s="5">
        <v>39</v>
      </c>
      <c r="E93" s="5">
        <v>480</v>
      </c>
      <c r="F93" s="5">
        <v>18720</v>
      </c>
      <c r="G93" s="6">
        <f t="shared" ca="1" si="3"/>
        <v>45966</v>
      </c>
      <c r="H93" s="4" t="str">
        <f t="shared" ca="1" si="4"/>
        <v>November</v>
      </c>
      <c r="I93" t="str">
        <f t="shared" ca="1" si="5"/>
        <v>2025</v>
      </c>
      <c r="L93" s="4"/>
    </row>
    <row r="94" spans="1:12" x14ac:dyDescent="0.4">
      <c r="A94" s="5" t="s">
        <v>9</v>
      </c>
      <c r="B94" s="5" t="s">
        <v>21</v>
      </c>
      <c r="C94" s="5" t="s">
        <v>16</v>
      </c>
      <c r="D94" s="5">
        <v>50</v>
      </c>
      <c r="E94" s="5">
        <v>284</v>
      </c>
      <c r="F94" s="5">
        <v>14200</v>
      </c>
      <c r="G94" s="6">
        <f t="shared" ca="1" si="3"/>
        <v>45710</v>
      </c>
      <c r="H94" s="4" t="str">
        <f t="shared" ca="1" si="4"/>
        <v>February</v>
      </c>
      <c r="I94" t="str">
        <f t="shared" ca="1" si="5"/>
        <v>2025</v>
      </c>
      <c r="L94" s="4"/>
    </row>
    <row r="95" spans="1:12" x14ac:dyDescent="0.4">
      <c r="A95" s="5" t="s">
        <v>9</v>
      </c>
      <c r="B95" s="5" t="s">
        <v>10</v>
      </c>
      <c r="C95" s="5" t="s">
        <v>8</v>
      </c>
      <c r="D95" s="5">
        <v>12</v>
      </c>
      <c r="E95" s="5">
        <v>1662</v>
      </c>
      <c r="F95" s="5">
        <v>19944</v>
      </c>
      <c r="G95" s="6">
        <f t="shared" ca="1" si="3"/>
        <v>45971</v>
      </c>
      <c r="H95" s="4" t="str">
        <f t="shared" ca="1" si="4"/>
        <v>November</v>
      </c>
      <c r="I95" t="str">
        <f t="shared" ca="1" si="5"/>
        <v>2025</v>
      </c>
      <c r="L95" s="4"/>
    </row>
    <row r="96" spans="1:12" x14ac:dyDescent="0.4">
      <c r="A96" s="5" t="s">
        <v>19</v>
      </c>
      <c r="B96" s="5" t="s">
        <v>7</v>
      </c>
      <c r="C96" s="5" t="s">
        <v>11</v>
      </c>
      <c r="D96" s="5">
        <v>37</v>
      </c>
      <c r="E96" s="5">
        <v>628</v>
      </c>
      <c r="F96" s="5">
        <v>23236</v>
      </c>
      <c r="G96" s="6">
        <f t="shared" ca="1" si="3"/>
        <v>45457</v>
      </c>
      <c r="H96" s="4" t="str">
        <f t="shared" ca="1" si="4"/>
        <v>June</v>
      </c>
      <c r="I96" t="str">
        <f t="shared" ca="1" si="5"/>
        <v>2024</v>
      </c>
      <c r="L96" s="4"/>
    </row>
    <row r="97" spans="1:12" x14ac:dyDescent="0.4">
      <c r="A97" s="5" t="s">
        <v>9</v>
      </c>
      <c r="B97" s="5" t="s">
        <v>7</v>
      </c>
      <c r="C97" s="5" t="s">
        <v>16</v>
      </c>
      <c r="D97" s="5">
        <v>21</v>
      </c>
      <c r="E97" s="5">
        <v>334</v>
      </c>
      <c r="F97" s="5">
        <v>7014</v>
      </c>
      <c r="G97" s="6">
        <f t="shared" ca="1" si="3"/>
        <v>45638</v>
      </c>
      <c r="H97" s="4" t="str">
        <f t="shared" ca="1" si="4"/>
        <v>December</v>
      </c>
      <c r="I97" t="str">
        <f t="shared" ca="1" si="5"/>
        <v>2024</v>
      </c>
      <c r="L97" s="4"/>
    </row>
    <row r="98" spans="1:12" x14ac:dyDescent="0.4">
      <c r="A98" s="5" t="s">
        <v>9</v>
      </c>
      <c r="B98" s="5" t="s">
        <v>15</v>
      </c>
      <c r="C98" s="5" t="s">
        <v>13</v>
      </c>
      <c r="D98" s="5">
        <v>36</v>
      </c>
      <c r="E98" s="5">
        <v>252</v>
      </c>
      <c r="F98" s="5">
        <v>9072</v>
      </c>
      <c r="G98" s="6">
        <f t="shared" ca="1" si="3"/>
        <v>45354</v>
      </c>
      <c r="H98" s="4" t="str">
        <f t="shared" ca="1" si="4"/>
        <v>March</v>
      </c>
      <c r="I98" t="str">
        <f t="shared" ca="1" si="5"/>
        <v>2024</v>
      </c>
      <c r="L98" s="4"/>
    </row>
    <row r="99" spans="1:12" x14ac:dyDescent="0.4">
      <c r="A99" s="5" t="s">
        <v>6</v>
      </c>
      <c r="B99" s="5" t="s">
        <v>21</v>
      </c>
      <c r="C99" s="5" t="s">
        <v>11</v>
      </c>
      <c r="D99" s="5">
        <v>41</v>
      </c>
      <c r="E99" s="5">
        <v>1643</v>
      </c>
      <c r="F99" s="5">
        <v>67363</v>
      </c>
      <c r="G99" s="6">
        <f t="shared" ca="1" si="3"/>
        <v>45340</v>
      </c>
      <c r="H99" s="4" t="str">
        <f t="shared" ca="1" si="4"/>
        <v>February</v>
      </c>
      <c r="I99" t="str">
        <f t="shared" ca="1" si="5"/>
        <v>2024</v>
      </c>
      <c r="L99" s="4"/>
    </row>
    <row r="100" spans="1:12" x14ac:dyDescent="0.4">
      <c r="A100" s="5" t="s">
        <v>17</v>
      </c>
      <c r="B100" s="5" t="s">
        <v>12</v>
      </c>
      <c r="C100" s="5" t="s">
        <v>24</v>
      </c>
      <c r="D100" s="5">
        <v>6</v>
      </c>
      <c r="E100" s="5">
        <v>1765</v>
      </c>
      <c r="F100" s="5">
        <v>10590</v>
      </c>
      <c r="G100" s="6">
        <f t="shared" ca="1" si="3"/>
        <v>45860</v>
      </c>
      <c r="H100" s="4" t="str">
        <f t="shared" ca="1" si="4"/>
        <v>July</v>
      </c>
      <c r="I100" t="str">
        <f t="shared" ca="1" si="5"/>
        <v>2025</v>
      </c>
      <c r="L100" s="4"/>
    </row>
    <row r="101" spans="1:12" x14ac:dyDescent="0.4">
      <c r="A101" s="5" t="s">
        <v>9</v>
      </c>
      <c r="B101" s="5" t="s">
        <v>12</v>
      </c>
      <c r="C101" s="5" t="s">
        <v>23</v>
      </c>
      <c r="D101" s="5">
        <v>2</v>
      </c>
      <c r="E101" s="5">
        <v>1949</v>
      </c>
      <c r="F101" s="5">
        <v>3898</v>
      </c>
      <c r="G101" s="6">
        <f t="shared" ca="1" si="3"/>
        <v>45376</v>
      </c>
      <c r="H101" s="4" t="str">
        <f t="shared" ca="1" si="4"/>
        <v>March</v>
      </c>
      <c r="I101" t="str">
        <f t="shared" ca="1" si="5"/>
        <v>2024</v>
      </c>
      <c r="L101" s="4"/>
    </row>
    <row r="102" spans="1:12" x14ac:dyDescent="0.4">
      <c r="A102" s="5" t="s">
        <v>9</v>
      </c>
      <c r="B102" s="5" t="s">
        <v>12</v>
      </c>
      <c r="C102" s="5" t="s">
        <v>18</v>
      </c>
      <c r="D102" s="5">
        <v>13</v>
      </c>
      <c r="E102" s="5">
        <v>1758</v>
      </c>
      <c r="F102" s="5">
        <v>22854</v>
      </c>
      <c r="G102" s="6">
        <f t="shared" ca="1" si="3"/>
        <v>45614</v>
      </c>
      <c r="H102" s="4" t="str">
        <f t="shared" ca="1" si="4"/>
        <v>November</v>
      </c>
      <c r="I102" t="str">
        <f t="shared" ca="1" si="5"/>
        <v>2024</v>
      </c>
      <c r="L102" s="4"/>
    </row>
    <row r="103" spans="1:12" x14ac:dyDescent="0.4">
      <c r="A103" s="5" t="s">
        <v>6</v>
      </c>
      <c r="B103" s="5" t="s">
        <v>15</v>
      </c>
      <c r="C103" s="5" t="s">
        <v>20</v>
      </c>
      <c r="D103" s="5">
        <v>24</v>
      </c>
      <c r="E103" s="5">
        <v>934</v>
      </c>
      <c r="F103" s="5">
        <v>22416</v>
      </c>
      <c r="G103" s="6">
        <f t="shared" ca="1" si="3"/>
        <v>46011</v>
      </c>
      <c r="H103" s="4" t="str">
        <f t="shared" ca="1" si="4"/>
        <v>December</v>
      </c>
      <c r="I103" t="str">
        <f t="shared" ca="1" si="5"/>
        <v>2025</v>
      </c>
      <c r="L103" s="4"/>
    </row>
    <row r="104" spans="1:12" x14ac:dyDescent="0.4">
      <c r="A104" s="5" t="s">
        <v>17</v>
      </c>
      <c r="B104" s="5" t="s">
        <v>7</v>
      </c>
      <c r="C104" s="5" t="s">
        <v>20</v>
      </c>
      <c r="D104" s="5">
        <v>34</v>
      </c>
      <c r="E104" s="5">
        <v>701</v>
      </c>
      <c r="F104" s="5">
        <v>23834</v>
      </c>
      <c r="G104" s="6">
        <f t="shared" ca="1" si="3"/>
        <v>45645</v>
      </c>
      <c r="H104" s="4" t="str">
        <f t="shared" ca="1" si="4"/>
        <v>December</v>
      </c>
      <c r="I104" t="str">
        <f t="shared" ca="1" si="5"/>
        <v>2024</v>
      </c>
      <c r="L104" s="4"/>
    </row>
    <row r="105" spans="1:12" x14ac:dyDescent="0.4">
      <c r="A105" s="5" t="s">
        <v>6</v>
      </c>
      <c r="B105" s="5" t="s">
        <v>12</v>
      </c>
      <c r="C105" s="5" t="s">
        <v>18</v>
      </c>
      <c r="D105" s="5">
        <v>39</v>
      </c>
      <c r="E105" s="5">
        <v>408</v>
      </c>
      <c r="F105" s="5">
        <v>15912</v>
      </c>
      <c r="G105" s="6">
        <f t="shared" ca="1" si="3"/>
        <v>45695</v>
      </c>
      <c r="H105" s="4" t="str">
        <f t="shared" ca="1" si="4"/>
        <v>February</v>
      </c>
      <c r="I105" t="str">
        <f t="shared" ca="1" si="5"/>
        <v>2025</v>
      </c>
      <c r="L105" s="4"/>
    </row>
    <row r="106" spans="1:12" x14ac:dyDescent="0.4">
      <c r="A106" s="5" t="s">
        <v>17</v>
      </c>
      <c r="B106" s="5" t="s">
        <v>7</v>
      </c>
      <c r="C106" s="5" t="s">
        <v>18</v>
      </c>
      <c r="D106" s="5">
        <v>38</v>
      </c>
      <c r="E106" s="5">
        <v>1776</v>
      </c>
      <c r="F106" s="5">
        <v>67488</v>
      </c>
      <c r="G106" s="6">
        <f t="shared" ca="1" si="3"/>
        <v>45605</v>
      </c>
      <c r="H106" s="4" t="str">
        <f t="shared" ca="1" si="4"/>
        <v>November</v>
      </c>
      <c r="I106" t="str">
        <f t="shared" ca="1" si="5"/>
        <v>2024</v>
      </c>
      <c r="L106" s="4"/>
    </row>
    <row r="107" spans="1:12" x14ac:dyDescent="0.4">
      <c r="A107" s="5" t="s">
        <v>6</v>
      </c>
      <c r="B107" s="5" t="s">
        <v>12</v>
      </c>
      <c r="C107" s="5" t="s">
        <v>23</v>
      </c>
      <c r="D107" s="5">
        <v>3</v>
      </c>
      <c r="E107" s="5">
        <v>827</v>
      </c>
      <c r="F107" s="5">
        <v>2481</v>
      </c>
      <c r="G107" s="6">
        <f t="shared" ca="1" si="3"/>
        <v>45562</v>
      </c>
      <c r="H107" s="4" t="str">
        <f t="shared" ca="1" si="4"/>
        <v>September</v>
      </c>
      <c r="I107" t="str">
        <f t="shared" ca="1" si="5"/>
        <v>2024</v>
      </c>
      <c r="L107" s="4"/>
    </row>
    <row r="108" spans="1:12" x14ac:dyDescent="0.4">
      <c r="A108" s="5" t="s">
        <v>17</v>
      </c>
      <c r="B108" s="5" t="s">
        <v>12</v>
      </c>
      <c r="C108" s="5" t="s">
        <v>18</v>
      </c>
      <c r="D108" s="5">
        <v>28</v>
      </c>
      <c r="E108" s="5">
        <v>231</v>
      </c>
      <c r="F108" s="5">
        <v>6468</v>
      </c>
      <c r="G108" s="6">
        <f t="shared" ca="1" si="3"/>
        <v>45574</v>
      </c>
      <c r="H108" s="4" t="str">
        <f t="shared" ca="1" si="4"/>
        <v>October</v>
      </c>
      <c r="I108" t="str">
        <f t="shared" ca="1" si="5"/>
        <v>2024</v>
      </c>
      <c r="L108" s="4"/>
    </row>
    <row r="109" spans="1:12" x14ac:dyDescent="0.4">
      <c r="A109" s="5" t="s">
        <v>9</v>
      </c>
      <c r="B109" s="5" t="s">
        <v>21</v>
      </c>
      <c r="C109" s="5" t="s">
        <v>22</v>
      </c>
      <c r="D109" s="5">
        <v>44</v>
      </c>
      <c r="E109" s="5">
        <v>1566</v>
      </c>
      <c r="F109" s="5">
        <v>68904</v>
      </c>
      <c r="G109" s="6">
        <f t="shared" ca="1" si="3"/>
        <v>45338</v>
      </c>
      <c r="H109" s="4" t="str">
        <f t="shared" ca="1" si="4"/>
        <v>February</v>
      </c>
      <c r="I109" t="str">
        <f t="shared" ca="1" si="5"/>
        <v>2024</v>
      </c>
      <c r="L109" s="4"/>
    </row>
    <row r="110" spans="1:12" x14ac:dyDescent="0.4">
      <c r="A110" s="5" t="s">
        <v>9</v>
      </c>
      <c r="B110" s="5" t="s">
        <v>10</v>
      </c>
      <c r="C110" s="5" t="s">
        <v>8</v>
      </c>
      <c r="D110" s="5">
        <v>47</v>
      </c>
      <c r="E110" s="5">
        <v>1408</v>
      </c>
      <c r="F110" s="5">
        <v>66176</v>
      </c>
      <c r="G110" s="6">
        <f t="shared" ca="1" si="3"/>
        <v>45748</v>
      </c>
      <c r="H110" s="4" t="str">
        <f t="shared" ca="1" si="4"/>
        <v>April</v>
      </c>
      <c r="I110" t="str">
        <f t="shared" ca="1" si="5"/>
        <v>2025</v>
      </c>
      <c r="L110" s="4"/>
    </row>
    <row r="111" spans="1:12" x14ac:dyDescent="0.4">
      <c r="A111" s="5" t="s">
        <v>6</v>
      </c>
      <c r="B111" s="5" t="s">
        <v>12</v>
      </c>
      <c r="C111" s="5" t="s">
        <v>23</v>
      </c>
      <c r="D111" s="5">
        <v>48</v>
      </c>
      <c r="E111" s="5">
        <v>1241</v>
      </c>
      <c r="F111" s="5">
        <v>59568</v>
      </c>
      <c r="G111" s="6">
        <f t="shared" ca="1" si="3"/>
        <v>45390</v>
      </c>
      <c r="H111" s="4" t="str">
        <f t="shared" ca="1" si="4"/>
        <v>April</v>
      </c>
      <c r="I111" t="str">
        <f t="shared" ca="1" si="5"/>
        <v>2024</v>
      </c>
      <c r="L111" s="4"/>
    </row>
    <row r="112" spans="1:12" x14ac:dyDescent="0.4">
      <c r="A112" s="5" t="s">
        <v>19</v>
      </c>
      <c r="B112" s="5" t="s">
        <v>15</v>
      </c>
      <c r="C112" s="5" t="s">
        <v>11</v>
      </c>
      <c r="D112" s="5">
        <v>28</v>
      </c>
      <c r="E112" s="5">
        <v>1262</v>
      </c>
      <c r="F112" s="5">
        <v>35336</v>
      </c>
      <c r="G112" s="6">
        <f t="shared" ca="1" si="3"/>
        <v>45407</v>
      </c>
      <c r="H112" s="4" t="str">
        <f t="shared" ca="1" si="4"/>
        <v>April</v>
      </c>
      <c r="I112" t="str">
        <f t="shared" ca="1" si="5"/>
        <v>2024</v>
      </c>
      <c r="L112" s="4"/>
    </row>
    <row r="113" spans="1:12" x14ac:dyDescent="0.4">
      <c r="A113" s="5" t="s">
        <v>6</v>
      </c>
      <c r="B113" s="5" t="s">
        <v>15</v>
      </c>
      <c r="C113" s="5" t="s">
        <v>20</v>
      </c>
      <c r="D113" s="5">
        <v>35</v>
      </c>
      <c r="E113" s="5">
        <v>953</v>
      </c>
      <c r="F113" s="5">
        <v>33355</v>
      </c>
      <c r="G113" s="6">
        <f t="shared" ca="1" si="3"/>
        <v>45303</v>
      </c>
      <c r="H113" s="4" t="str">
        <f t="shared" ca="1" si="4"/>
        <v>January</v>
      </c>
      <c r="I113" t="str">
        <f t="shared" ca="1" si="5"/>
        <v>2024</v>
      </c>
      <c r="L113" s="4"/>
    </row>
    <row r="114" spans="1:12" x14ac:dyDescent="0.4">
      <c r="A114" s="5" t="s">
        <v>6</v>
      </c>
      <c r="B114" s="5" t="s">
        <v>10</v>
      </c>
      <c r="C114" s="5" t="s">
        <v>18</v>
      </c>
      <c r="D114" s="5">
        <v>1</v>
      </c>
      <c r="E114" s="5">
        <v>1191</v>
      </c>
      <c r="F114" s="5">
        <v>1191</v>
      </c>
      <c r="G114" s="6">
        <f t="shared" ca="1" si="3"/>
        <v>45323</v>
      </c>
      <c r="H114" s="4" t="str">
        <f t="shared" ca="1" si="4"/>
        <v>February</v>
      </c>
      <c r="I114" t="str">
        <f t="shared" ca="1" si="5"/>
        <v>2024</v>
      </c>
      <c r="L114" s="4"/>
    </row>
    <row r="115" spans="1:12" x14ac:dyDescent="0.4">
      <c r="A115" s="5" t="s">
        <v>6</v>
      </c>
      <c r="B115" s="5" t="s">
        <v>10</v>
      </c>
      <c r="C115" s="5" t="s">
        <v>8</v>
      </c>
      <c r="D115" s="5">
        <v>28</v>
      </c>
      <c r="E115" s="5">
        <v>1125</v>
      </c>
      <c r="F115" s="5">
        <v>31500</v>
      </c>
      <c r="G115" s="6">
        <f t="shared" ca="1" si="3"/>
        <v>45456</v>
      </c>
      <c r="H115" s="4" t="str">
        <f t="shared" ca="1" si="4"/>
        <v>June</v>
      </c>
      <c r="I115" t="str">
        <f t="shared" ca="1" si="5"/>
        <v>2024</v>
      </c>
      <c r="L115" s="4"/>
    </row>
    <row r="116" spans="1:12" x14ac:dyDescent="0.4">
      <c r="A116" s="5" t="s">
        <v>9</v>
      </c>
      <c r="B116" s="5" t="s">
        <v>7</v>
      </c>
      <c r="C116" s="5" t="s">
        <v>13</v>
      </c>
      <c r="D116" s="5">
        <v>13</v>
      </c>
      <c r="E116" s="5">
        <v>388</v>
      </c>
      <c r="F116" s="5">
        <v>5044</v>
      </c>
      <c r="G116" s="6">
        <f t="shared" ca="1" si="3"/>
        <v>45429</v>
      </c>
      <c r="H116" s="4" t="str">
        <f t="shared" ca="1" si="4"/>
        <v>May</v>
      </c>
      <c r="I116" t="str">
        <f t="shared" ca="1" si="5"/>
        <v>2024</v>
      </c>
      <c r="L116" s="4"/>
    </row>
    <row r="117" spans="1:12" x14ac:dyDescent="0.4">
      <c r="A117" s="5" t="s">
        <v>6</v>
      </c>
      <c r="B117" s="5" t="s">
        <v>21</v>
      </c>
      <c r="C117" s="5" t="s">
        <v>24</v>
      </c>
      <c r="D117" s="5">
        <v>23</v>
      </c>
      <c r="E117" s="5">
        <v>1827</v>
      </c>
      <c r="F117" s="5">
        <v>42021</v>
      </c>
      <c r="G117" s="6">
        <f t="shared" ca="1" si="3"/>
        <v>45938</v>
      </c>
      <c r="H117" s="4" t="str">
        <f t="shared" ca="1" si="4"/>
        <v>October</v>
      </c>
      <c r="I117" t="str">
        <f t="shared" ca="1" si="5"/>
        <v>2025</v>
      </c>
      <c r="L117" s="4"/>
    </row>
    <row r="118" spans="1:12" x14ac:dyDescent="0.4">
      <c r="A118" s="5" t="s">
        <v>9</v>
      </c>
      <c r="B118" s="5" t="s">
        <v>10</v>
      </c>
      <c r="C118" s="5" t="s">
        <v>24</v>
      </c>
      <c r="D118" s="5">
        <v>12</v>
      </c>
      <c r="E118" s="5">
        <v>1601</v>
      </c>
      <c r="F118" s="5">
        <v>19212</v>
      </c>
      <c r="G118" s="6">
        <f t="shared" ca="1" si="3"/>
        <v>45690</v>
      </c>
      <c r="H118" s="4" t="str">
        <f t="shared" ca="1" si="4"/>
        <v>February</v>
      </c>
      <c r="I118" t="str">
        <f t="shared" ca="1" si="5"/>
        <v>2025</v>
      </c>
      <c r="L118" s="4"/>
    </row>
    <row r="119" spans="1:12" x14ac:dyDescent="0.4">
      <c r="A119" s="5" t="s">
        <v>17</v>
      </c>
      <c r="B119" s="5" t="s">
        <v>21</v>
      </c>
      <c r="C119" s="5" t="s">
        <v>8</v>
      </c>
      <c r="D119" s="5">
        <v>32</v>
      </c>
      <c r="E119" s="5">
        <v>1314</v>
      </c>
      <c r="F119" s="5">
        <v>42048</v>
      </c>
      <c r="G119" s="6">
        <f t="shared" ca="1" si="3"/>
        <v>45427</v>
      </c>
      <c r="H119" s="4" t="str">
        <f t="shared" ca="1" si="4"/>
        <v>May</v>
      </c>
      <c r="I119" t="str">
        <f t="shared" ca="1" si="5"/>
        <v>2024</v>
      </c>
      <c r="L119" s="4"/>
    </row>
    <row r="120" spans="1:12" x14ac:dyDescent="0.4">
      <c r="A120" s="5" t="s">
        <v>19</v>
      </c>
      <c r="B120" s="5" t="s">
        <v>12</v>
      </c>
      <c r="C120" s="5" t="s">
        <v>16</v>
      </c>
      <c r="D120" s="5">
        <v>30</v>
      </c>
      <c r="E120" s="5">
        <v>1065</v>
      </c>
      <c r="F120" s="5">
        <v>31950</v>
      </c>
      <c r="G120" s="6">
        <f t="shared" ca="1" si="3"/>
        <v>45583</v>
      </c>
      <c r="H120" s="4" t="str">
        <f t="shared" ca="1" si="4"/>
        <v>October</v>
      </c>
      <c r="I120" t="str">
        <f t="shared" ca="1" si="5"/>
        <v>2024</v>
      </c>
      <c r="L120" s="4"/>
    </row>
    <row r="121" spans="1:12" x14ac:dyDescent="0.4">
      <c r="A121" s="5" t="s">
        <v>17</v>
      </c>
      <c r="B121" s="5" t="s">
        <v>10</v>
      </c>
      <c r="C121" s="5" t="s">
        <v>16</v>
      </c>
      <c r="D121" s="5">
        <v>5</v>
      </c>
      <c r="E121" s="5">
        <v>109</v>
      </c>
      <c r="F121" s="5">
        <v>545</v>
      </c>
      <c r="G121" s="6">
        <f t="shared" ca="1" si="3"/>
        <v>45601</v>
      </c>
      <c r="H121" s="4" t="str">
        <f t="shared" ca="1" si="4"/>
        <v>November</v>
      </c>
      <c r="I121" t="str">
        <f t="shared" ca="1" si="5"/>
        <v>2024</v>
      </c>
      <c r="L121" s="4"/>
    </row>
    <row r="122" spans="1:12" x14ac:dyDescent="0.4">
      <c r="A122" s="5" t="s">
        <v>9</v>
      </c>
      <c r="B122" s="5" t="s">
        <v>7</v>
      </c>
      <c r="C122" s="5" t="s">
        <v>8</v>
      </c>
      <c r="D122" s="5">
        <v>45</v>
      </c>
      <c r="E122" s="5">
        <v>1503</v>
      </c>
      <c r="F122" s="5">
        <v>67635</v>
      </c>
      <c r="G122" s="6">
        <f t="shared" ca="1" si="3"/>
        <v>45433</v>
      </c>
      <c r="H122" s="4" t="str">
        <f t="shared" ca="1" si="4"/>
        <v>May</v>
      </c>
      <c r="I122" t="str">
        <f t="shared" ca="1" si="5"/>
        <v>2024</v>
      </c>
      <c r="L122" s="4"/>
    </row>
    <row r="123" spans="1:12" x14ac:dyDescent="0.4">
      <c r="A123" s="5" t="s">
        <v>17</v>
      </c>
      <c r="B123" s="5" t="s">
        <v>21</v>
      </c>
      <c r="C123" s="5" t="s">
        <v>16</v>
      </c>
      <c r="D123" s="5">
        <v>30</v>
      </c>
      <c r="E123" s="5">
        <v>735</v>
      </c>
      <c r="F123" s="5">
        <v>22050</v>
      </c>
      <c r="G123" s="6">
        <f t="shared" ca="1" si="3"/>
        <v>45936</v>
      </c>
      <c r="H123" s="4" t="str">
        <f t="shared" ca="1" si="4"/>
        <v>October</v>
      </c>
      <c r="I123" t="str">
        <f t="shared" ca="1" si="5"/>
        <v>2025</v>
      </c>
      <c r="L123" s="4"/>
    </row>
    <row r="124" spans="1:12" x14ac:dyDescent="0.4">
      <c r="A124" s="5" t="s">
        <v>19</v>
      </c>
      <c r="B124" s="5" t="s">
        <v>7</v>
      </c>
      <c r="C124" s="5" t="s">
        <v>24</v>
      </c>
      <c r="D124" s="5">
        <v>4</v>
      </c>
      <c r="E124" s="5">
        <v>1370</v>
      </c>
      <c r="F124" s="5">
        <v>5480</v>
      </c>
      <c r="G124" s="6">
        <f t="shared" ca="1" si="3"/>
        <v>45905</v>
      </c>
      <c r="H124" s="4" t="str">
        <f t="shared" ca="1" si="4"/>
        <v>September</v>
      </c>
      <c r="I124" t="str">
        <f t="shared" ca="1" si="5"/>
        <v>2025</v>
      </c>
      <c r="L124" s="4"/>
    </row>
    <row r="125" spans="1:12" x14ac:dyDescent="0.4">
      <c r="A125" s="5" t="s">
        <v>17</v>
      </c>
      <c r="B125" s="5" t="s">
        <v>12</v>
      </c>
      <c r="C125" s="5" t="s">
        <v>8</v>
      </c>
      <c r="D125" s="5">
        <v>29</v>
      </c>
      <c r="E125" s="5">
        <v>345</v>
      </c>
      <c r="F125" s="5">
        <v>10005</v>
      </c>
      <c r="G125" s="6">
        <f t="shared" ca="1" si="3"/>
        <v>45993</v>
      </c>
      <c r="H125" s="4" t="str">
        <f t="shared" ca="1" si="4"/>
        <v>December</v>
      </c>
      <c r="I125" t="str">
        <f t="shared" ca="1" si="5"/>
        <v>2025</v>
      </c>
      <c r="L125" s="4"/>
    </row>
    <row r="126" spans="1:12" x14ac:dyDescent="0.4">
      <c r="A126" s="5" t="s">
        <v>19</v>
      </c>
      <c r="B126" s="5" t="s">
        <v>21</v>
      </c>
      <c r="C126" s="5" t="s">
        <v>14</v>
      </c>
      <c r="D126" s="5">
        <v>34</v>
      </c>
      <c r="E126" s="5">
        <v>1043</v>
      </c>
      <c r="F126" s="5">
        <v>35462</v>
      </c>
      <c r="G126" s="6">
        <f t="shared" ca="1" si="3"/>
        <v>45499</v>
      </c>
      <c r="H126" s="4" t="str">
        <f t="shared" ca="1" si="4"/>
        <v>July</v>
      </c>
      <c r="I126" t="str">
        <f t="shared" ca="1" si="5"/>
        <v>2024</v>
      </c>
      <c r="L126" s="4"/>
    </row>
    <row r="127" spans="1:12" x14ac:dyDescent="0.4">
      <c r="A127" s="5" t="s">
        <v>9</v>
      </c>
      <c r="B127" s="5" t="s">
        <v>15</v>
      </c>
      <c r="C127" s="5" t="s">
        <v>13</v>
      </c>
      <c r="D127" s="5">
        <v>23</v>
      </c>
      <c r="E127" s="5">
        <v>158</v>
      </c>
      <c r="F127" s="5">
        <v>3634</v>
      </c>
      <c r="G127" s="6">
        <f t="shared" ca="1" si="3"/>
        <v>45554</v>
      </c>
      <c r="H127" s="4" t="str">
        <f t="shared" ca="1" si="4"/>
        <v>September</v>
      </c>
      <c r="I127" t="str">
        <f t="shared" ca="1" si="5"/>
        <v>2024</v>
      </c>
      <c r="L127" s="4"/>
    </row>
    <row r="128" spans="1:12" x14ac:dyDescent="0.4">
      <c r="A128" s="5" t="s">
        <v>19</v>
      </c>
      <c r="B128" s="5" t="s">
        <v>21</v>
      </c>
      <c r="C128" s="5" t="s">
        <v>11</v>
      </c>
      <c r="D128" s="5">
        <v>42</v>
      </c>
      <c r="E128" s="5">
        <v>1836</v>
      </c>
      <c r="F128" s="5">
        <v>77112</v>
      </c>
      <c r="G128" s="6">
        <f t="shared" ca="1" si="3"/>
        <v>45806</v>
      </c>
      <c r="H128" s="4" t="str">
        <f t="shared" ca="1" si="4"/>
        <v>May</v>
      </c>
      <c r="I128" t="str">
        <f t="shared" ca="1" si="5"/>
        <v>2025</v>
      </c>
      <c r="L128" s="4"/>
    </row>
    <row r="129" spans="1:12" x14ac:dyDescent="0.4">
      <c r="A129" s="5" t="s">
        <v>9</v>
      </c>
      <c r="B129" s="5" t="s">
        <v>7</v>
      </c>
      <c r="C129" s="5" t="s">
        <v>16</v>
      </c>
      <c r="D129" s="5">
        <v>10</v>
      </c>
      <c r="E129" s="5">
        <v>371</v>
      </c>
      <c r="F129" s="5">
        <v>3710</v>
      </c>
      <c r="G129" s="6">
        <f t="shared" ca="1" si="3"/>
        <v>45635</v>
      </c>
      <c r="H129" s="4" t="str">
        <f t="shared" ca="1" si="4"/>
        <v>December</v>
      </c>
      <c r="I129" t="str">
        <f t="shared" ca="1" si="5"/>
        <v>2024</v>
      </c>
      <c r="L129" s="4"/>
    </row>
    <row r="130" spans="1:12" x14ac:dyDescent="0.4">
      <c r="A130" s="5" t="s">
        <v>19</v>
      </c>
      <c r="B130" s="5" t="s">
        <v>21</v>
      </c>
      <c r="C130" s="5" t="s">
        <v>8</v>
      </c>
      <c r="D130" s="5">
        <v>33</v>
      </c>
      <c r="E130" s="5">
        <v>447</v>
      </c>
      <c r="F130" s="5">
        <v>14751</v>
      </c>
      <c r="G130" s="6">
        <f t="shared" ca="1" si="3"/>
        <v>45730</v>
      </c>
      <c r="H130" s="4" t="str">
        <f t="shared" ca="1" si="4"/>
        <v>March</v>
      </c>
      <c r="I130" t="str">
        <f t="shared" ca="1" si="5"/>
        <v>2025</v>
      </c>
      <c r="L130" s="4"/>
    </row>
    <row r="131" spans="1:12" x14ac:dyDescent="0.4">
      <c r="A131" s="5" t="s">
        <v>17</v>
      </c>
      <c r="B131" s="5" t="s">
        <v>15</v>
      </c>
      <c r="C131" s="5" t="s">
        <v>16</v>
      </c>
      <c r="D131" s="5">
        <v>48</v>
      </c>
      <c r="E131" s="5">
        <v>838</v>
      </c>
      <c r="F131" s="5">
        <v>40224</v>
      </c>
      <c r="G131" s="6">
        <f t="shared" ref="G131:G194" ca="1" si="6">RANDBETWEEN(DATE(2024,1,1),DATE(2025,12,31))</f>
        <v>45551</v>
      </c>
      <c r="H131" s="4" t="str">
        <f t="shared" ref="H131:H194" ca="1" si="7">TEXT(G131,"mmmm")</f>
        <v>September</v>
      </c>
      <c r="I131" t="str">
        <f t="shared" ref="I131:I194" ca="1" si="8">TEXT(G131,"yyyy")</f>
        <v>2024</v>
      </c>
      <c r="L131" s="4"/>
    </row>
    <row r="132" spans="1:12" x14ac:dyDescent="0.4">
      <c r="A132" s="5" t="s">
        <v>19</v>
      </c>
      <c r="B132" s="5" t="s">
        <v>21</v>
      </c>
      <c r="C132" s="5" t="s">
        <v>14</v>
      </c>
      <c r="D132" s="5">
        <v>37</v>
      </c>
      <c r="E132" s="5">
        <v>971</v>
      </c>
      <c r="F132" s="5">
        <v>35927</v>
      </c>
      <c r="G132" s="6">
        <f t="shared" ca="1" si="6"/>
        <v>45631</v>
      </c>
      <c r="H132" s="4" t="str">
        <f t="shared" ca="1" si="7"/>
        <v>December</v>
      </c>
      <c r="I132" t="str">
        <f t="shared" ca="1" si="8"/>
        <v>2024</v>
      </c>
      <c r="L132" s="4"/>
    </row>
    <row r="133" spans="1:12" x14ac:dyDescent="0.4">
      <c r="A133" s="5" t="s">
        <v>17</v>
      </c>
      <c r="B133" s="5" t="s">
        <v>15</v>
      </c>
      <c r="C133" s="5" t="s">
        <v>16</v>
      </c>
      <c r="D133" s="5">
        <v>18</v>
      </c>
      <c r="E133" s="5">
        <v>619</v>
      </c>
      <c r="F133" s="5">
        <v>11142</v>
      </c>
      <c r="G133" s="6">
        <f t="shared" ca="1" si="6"/>
        <v>45983</v>
      </c>
      <c r="H133" s="4" t="str">
        <f t="shared" ca="1" si="7"/>
        <v>November</v>
      </c>
      <c r="I133" t="str">
        <f t="shared" ca="1" si="8"/>
        <v>2025</v>
      </c>
      <c r="L133" s="4"/>
    </row>
    <row r="134" spans="1:12" x14ac:dyDescent="0.4">
      <c r="A134" s="5" t="s">
        <v>19</v>
      </c>
      <c r="B134" s="5" t="s">
        <v>12</v>
      </c>
      <c r="C134" s="5" t="s">
        <v>8</v>
      </c>
      <c r="D134" s="5">
        <v>19</v>
      </c>
      <c r="E134" s="5">
        <v>743</v>
      </c>
      <c r="F134" s="5">
        <v>14117</v>
      </c>
      <c r="G134" s="6">
        <f t="shared" ca="1" si="6"/>
        <v>45532</v>
      </c>
      <c r="H134" s="4" t="str">
        <f t="shared" ca="1" si="7"/>
        <v>August</v>
      </c>
      <c r="I134" t="str">
        <f t="shared" ca="1" si="8"/>
        <v>2024</v>
      </c>
      <c r="L134" s="4"/>
    </row>
    <row r="135" spans="1:12" x14ac:dyDescent="0.4">
      <c r="A135" s="5" t="s">
        <v>19</v>
      </c>
      <c r="B135" s="5" t="s">
        <v>15</v>
      </c>
      <c r="C135" s="5" t="s">
        <v>8</v>
      </c>
      <c r="D135" s="5">
        <v>18</v>
      </c>
      <c r="E135" s="5">
        <v>224</v>
      </c>
      <c r="F135" s="5">
        <v>4032</v>
      </c>
      <c r="G135" s="6">
        <f t="shared" ca="1" si="6"/>
        <v>45412</v>
      </c>
      <c r="H135" s="4" t="str">
        <f t="shared" ca="1" si="7"/>
        <v>April</v>
      </c>
      <c r="I135" t="str">
        <f t="shared" ca="1" si="8"/>
        <v>2024</v>
      </c>
      <c r="L135" s="4"/>
    </row>
    <row r="136" spans="1:12" x14ac:dyDescent="0.4">
      <c r="A136" s="5" t="s">
        <v>19</v>
      </c>
      <c r="B136" s="5" t="s">
        <v>10</v>
      </c>
      <c r="C136" s="5" t="s">
        <v>23</v>
      </c>
      <c r="D136" s="5">
        <v>6</v>
      </c>
      <c r="E136" s="5">
        <v>956</v>
      </c>
      <c r="F136" s="5">
        <v>5736</v>
      </c>
      <c r="G136" s="6">
        <f t="shared" ca="1" si="6"/>
        <v>45903</v>
      </c>
      <c r="H136" s="4" t="str">
        <f t="shared" ca="1" si="7"/>
        <v>September</v>
      </c>
      <c r="I136" t="str">
        <f t="shared" ca="1" si="8"/>
        <v>2025</v>
      </c>
      <c r="L136" s="4"/>
    </row>
    <row r="137" spans="1:12" x14ac:dyDescent="0.4">
      <c r="A137" s="5" t="s">
        <v>17</v>
      </c>
      <c r="B137" s="5" t="s">
        <v>21</v>
      </c>
      <c r="C137" s="5" t="s">
        <v>13</v>
      </c>
      <c r="D137" s="5">
        <v>28</v>
      </c>
      <c r="E137" s="5">
        <v>1811</v>
      </c>
      <c r="F137" s="5">
        <v>50708</v>
      </c>
      <c r="G137" s="6">
        <f t="shared" ca="1" si="6"/>
        <v>45386</v>
      </c>
      <c r="H137" s="4" t="str">
        <f t="shared" ca="1" si="7"/>
        <v>April</v>
      </c>
      <c r="I137" t="str">
        <f t="shared" ca="1" si="8"/>
        <v>2024</v>
      </c>
      <c r="L137" s="4"/>
    </row>
    <row r="138" spans="1:12" x14ac:dyDescent="0.4">
      <c r="A138" s="5" t="s">
        <v>17</v>
      </c>
      <c r="B138" s="5" t="s">
        <v>15</v>
      </c>
      <c r="C138" s="5" t="s">
        <v>24</v>
      </c>
      <c r="D138" s="5">
        <v>22</v>
      </c>
      <c r="E138" s="5">
        <v>321</v>
      </c>
      <c r="F138" s="5">
        <v>7062</v>
      </c>
      <c r="G138" s="6">
        <f t="shared" ca="1" si="6"/>
        <v>45853</v>
      </c>
      <c r="H138" s="4" t="str">
        <f t="shared" ca="1" si="7"/>
        <v>July</v>
      </c>
      <c r="I138" t="str">
        <f t="shared" ca="1" si="8"/>
        <v>2025</v>
      </c>
      <c r="L138" s="4"/>
    </row>
    <row r="139" spans="1:12" x14ac:dyDescent="0.4">
      <c r="A139" s="5" t="s">
        <v>6</v>
      </c>
      <c r="B139" s="5" t="s">
        <v>21</v>
      </c>
      <c r="C139" s="5" t="s">
        <v>8</v>
      </c>
      <c r="D139" s="5">
        <v>19</v>
      </c>
      <c r="E139" s="5">
        <v>1316</v>
      </c>
      <c r="F139" s="5">
        <v>25004</v>
      </c>
      <c r="G139" s="6">
        <f t="shared" ca="1" si="6"/>
        <v>45937</v>
      </c>
      <c r="H139" s="4" t="str">
        <f t="shared" ca="1" si="7"/>
        <v>October</v>
      </c>
      <c r="I139" t="str">
        <f t="shared" ca="1" si="8"/>
        <v>2025</v>
      </c>
      <c r="L139" s="4"/>
    </row>
    <row r="140" spans="1:12" x14ac:dyDescent="0.4">
      <c r="A140" s="5" t="s">
        <v>17</v>
      </c>
      <c r="B140" s="5" t="s">
        <v>21</v>
      </c>
      <c r="C140" s="5" t="s">
        <v>20</v>
      </c>
      <c r="D140" s="5">
        <v>45</v>
      </c>
      <c r="E140" s="5">
        <v>1060</v>
      </c>
      <c r="F140" s="5">
        <v>47700</v>
      </c>
      <c r="G140" s="6">
        <f t="shared" ca="1" si="6"/>
        <v>45827</v>
      </c>
      <c r="H140" s="4" t="str">
        <f t="shared" ca="1" si="7"/>
        <v>June</v>
      </c>
      <c r="I140" t="str">
        <f t="shared" ca="1" si="8"/>
        <v>2025</v>
      </c>
      <c r="L140" s="4"/>
    </row>
    <row r="141" spans="1:12" x14ac:dyDescent="0.4">
      <c r="A141" s="5" t="s">
        <v>6</v>
      </c>
      <c r="B141" s="5" t="s">
        <v>21</v>
      </c>
      <c r="C141" s="5" t="s">
        <v>8</v>
      </c>
      <c r="D141" s="5">
        <v>19</v>
      </c>
      <c r="E141" s="5">
        <v>1637</v>
      </c>
      <c r="F141" s="5">
        <v>31103</v>
      </c>
      <c r="G141" s="6">
        <f t="shared" ca="1" si="6"/>
        <v>45393</v>
      </c>
      <c r="H141" s="4" t="str">
        <f t="shared" ca="1" si="7"/>
        <v>April</v>
      </c>
      <c r="I141" t="str">
        <f t="shared" ca="1" si="8"/>
        <v>2024</v>
      </c>
      <c r="L141" s="4"/>
    </row>
    <row r="142" spans="1:12" x14ac:dyDescent="0.4">
      <c r="A142" s="5" t="s">
        <v>9</v>
      </c>
      <c r="B142" s="5" t="s">
        <v>12</v>
      </c>
      <c r="C142" s="5" t="s">
        <v>13</v>
      </c>
      <c r="D142" s="5">
        <v>43</v>
      </c>
      <c r="E142" s="5">
        <v>150</v>
      </c>
      <c r="F142" s="5">
        <v>6450</v>
      </c>
      <c r="G142" s="6">
        <f t="shared" ca="1" si="6"/>
        <v>45952</v>
      </c>
      <c r="H142" s="4" t="str">
        <f t="shared" ca="1" si="7"/>
        <v>October</v>
      </c>
      <c r="I142" t="str">
        <f t="shared" ca="1" si="8"/>
        <v>2025</v>
      </c>
      <c r="L142" s="4"/>
    </row>
    <row r="143" spans="1:12" x14ac:dyDescent="0.4">
      <c r="A143" s="5" t="s">
        <v>9</v>
      </c>
      <c r="B143" s="5" t="s">
        <v>21</v>
      </c>
      <c r="C143" s="5" t="s">
        <v>20</v>
      </c>
      <c r="D143" s="5">
        <v>9</v>
      </c>
      <c r="E143" s="5">
        <v>1988</v>
      </c>
      <c r="F143" s="5">
        <v>17892</v>
      </c>
      <c r="G143" s="6">
        <f t="shared" ca="1" si="6"/>
        <v>45639</v>
      </c>
      <c r="H143" s="4" t="str">
        <f t="shared" ca="1" si="7"/>
        <v>December</v>
      </c>
      <c r="I143" t="str">
        <f t="shared" ca="1" si="8"/>
        <v>2024</v>
      </c>
      <c r="L143" s="4"/>
    </row>
    <row r="144" spans="1:12" x14ac:dyDescent="0.4">
      <c r="A144" s="5" t="s">
        <v>19</v>
      </c>
      <c r="B144" s="5" t="s">
        <v>21</v>
      </c>
      <c r="C144" s="5" t="s">
        <v>23</v>
      </c>
      <c r="D144" s="5">
        <v>10</v>
      </c>
      <c r="E144" s="5">
        <v>1262</v>
      </c>
      <c r="F144" s="5">
        <v>12620</v>
      </c>
      <c r="G144" s="6">
        <f t="shared" ca="1" si="6"/>
        <v>45900</v>
      </c>
      <c r="H144" s="4" t="str">
        <f t="shared" ca="1" si="7"/>
        <v>August</v>
      </c>
      <c r="I144" t="str">
        <f t="shared" ca="1" si="8"/>
        <v>2025</v>
      </c>
      <c r="L144" s="4"/>
    </row>
    <row r="145" spans="1:12" x14ac:dyDescent="0.4">
      <c r="A145" s="5" t="s">
        <v>19</v>
      </c>
      <c r="B145" s="5" t="s">
        <v>21</v>
      </c>
      <c r="C145" s="5" t="s">
        <v>8</v>
      </c>
      <c r="D145" s="5">
        <v>23</v>
      </c>
      <c r="E145" s="5">
        <v>1060</v>
      </c>
      <c r="F145" s="5">
        <v>24380</v>
      </c>
      <c r="G145" s="6">
        <f t="shared" ca="1" si="6"/>
        <v>45528</v>
      </c>
      <c r="H145" s="4" t="str">
        <f t="shared" ca="1" si="7"/>
        <v>August</v>
      </c>
      <c r="I145" t="str">
        <f t="shared" ca="1" si="8"/>
        <v>2024</v>
      </c>
      <c r="L145" s="4"/>
    </row>
    <row r="146" spans="1:12" x14ac:dyDescent="0.4">
      <c r="A146" s="5" t="s">
        <v>17</v>
      </c>
      <c r="B146" s="5" t="s">
        <v>12</v>
      </c>
      <c r="C146" s="5" t="s">
        <v>20</v>
      </c>
      <c r="D146" s="5">
        <v>3</v>
      </c>
      <c r="E146" s="5">
        <v>1498</v>
      </c>
      <c r="F146" s="5">
        <v>4494</v>
      </c>
      <c r="G146" s="6">
        <f t="shared" ca="1" si="6"/>
        <v>46004</v>
      </c>
      <c r="H146" s="4" t="str">
        <f t="shared" ca="1" si="7"/>
        <v>December</v>
      </c>
      <c r="I146" t="str">
        <f t="shared" ca="1" si="8"/>
        <v>2025</v>
      </c>
      <c r="L146" s="4"/>
    </row>
    <row r="147" spans="1:12" x14ac:dyDescent="0.4">
      <c r="A147" s="5" t="s">
        <v>19</v>
      </c>
      <c r="B147" s="5" t="s">
        <v>15</v>
      </c>
      <c r="C147" s="5" t="s">
        <v>24</v>
      </c>
      <c r="D147" s="5">
        <v>27</v>
      </c>
      <c r="E147" s="5">
        <v>572</v>
      </c>
      <c r="F147" s="5">
        <v>15444</v>
      </c>
      <c r="G147" s="6">
        <f t="shared" ca="1" si="6"/>
        <v>45646</v>
      </c>
      <c r="H147" s="4" t="str">
        <f t="shared" ca="1" si="7"/>
        <v>December</v>
      </c>
      <c r="I147" t="str">
        <f t="shared" ca="1" si="8"/>
        <v>2024</v>
      </c>
      <c r="L147" s="4"/>
    </row>
    <row r="148" spans="1:12" x14ac:dyDescent="0.4">
      <c r="A148" s="5" t="s">
        <v>19</v>
      </c>
      <c r="B148" s="5" t="s">
        <v>10</v>
      </c>
      <c r="C148" s="5" t="s">
        <v>11</v>
      </c>
      <c r="D148" s="5">
        <v>39</v>
      </c>
      <c r="E148" s="5">
        <v>583</v>
      </c>
      <c r="F148" s="5">
        <v>22737</v>
      </c>
      <c r="G148" s="6">
        <f t="shared" ca="1" si="6"/>
        <v>45713</v>
      </c>
      <c r="H148" s="4" t="str">
        <f t="shared" ca="1" si="7"/>
        <v>February</v>
      </c>
      <c r="I148" t="str">
        <f t="shared" ca="1" si="8"/>
        <v>2025</v>
      </c>
      <c r="L148" s="4"/>
    </row>
    <row r="149" spans="1:12" x14ac:dyDescent="0.4">
      <c r="A149" s="5" t="s">
        <v>17</v>
      </c>
      <c r="B149" s="5" t="s">
        <v>15</v>
      </c>
      <c r="C149" s="5" t="s">
        <v>14</v>
      </c>
      <c r="D149" s="5">
        <v>2</v>
      </c>
      <c r="E149" s="5">
        <v>243</v>
      </c>
      <c r="F149" s="5">
        <v>486</v>
      </c>
      <c r="G149" s="6">
        <f t="shared" ca="1" si="6"/>
        <v>45917</v>
      </c>
      <c r="H149" s="4" t="str">
        <f t="shared" ca="1" si="7"/>
        <v>September</v>
      </c>
      <c r="I149" t="str">
        <f t="shared" ca="1" si="8"/>
        <v>2025</v>
      </c>
      <c r="L149" s="4"/>
    </row>
    <row r="150" spans="1:12" x14ac:dyDescent="0.4">
      <c r="A150" s="5" t="s">
        <v>17</v>
      </c>
      <c r="B150" s="5" t="s">
        <v>7</v>
      </c>
      <c r="C150" s="5" t="s">
        <v>20</v>
      </c>
      <c r="D150" s="5">
        <v>5</v>
      </c>
      <c r="E150" s="5">
        <v>1876</v>
      </c>
      <c r="F150" s="5">
        <v>9380</v>
      </c>
      <c r="G150" s="6">
        <f t="shared" ca="1" si="6"/>
        <v>45911</v>
      </c>
      <c r="H150" s="4" t="str">
        <f t="shared" ca="1" si="7"/>
        <v>September</v>
      </c>
      <c r="I150" t="str">
        <f t="shared" ca="1" si="8"/>
        <v>2025</v>
      </c>
      <c r="L150" s="4"/>
    </row>
    <row r="151" spans="1:12" x14ac:dyDescent="0.4">
      <c r="A151" s="5" t="s">
        <v>9</v>
      </c>
      <c r="B151" s="5" t="s">
        <v>12</v>
      </c>
      <c r="C151" s="5" t="s">
        <v>13</v>
      </c>
      <c r="D151" s="5">
        <v>8</v>
      </c>
      <c r="E151" s="5">
        <v>867</v>
      </c>
      <c r="F151" s="5">
        <v>6936</v>
      </c>
      <c r="G151" s="6">
        <f t="shared" ca="1" si="6"/>
        <v>45758</v>
      </c>
      <c r="H151" s="4" t="str">
        <f t="shared" ca="1" si="7"/>
        <v>April</v>
      </c>
      <c r="I151" t="str">
        <f t="shared" ca="1" si="8"/>
        <v>2025</v>
      </c>
      <c r="L151" s="4"/>
    </row>
    <row r="152" spans="1:12" x14ac:dyDescent="0.4">
      <c r="A152" s="5" t="s">
        <v>17</v>
      </c>
      <c r="B152" s="5" t="s">
        <v>7</v>
      </c>
      <c r="C152" s="5" t="s">
        <v>13</v>
      </c>
      <c r="D152" s="5">
        <v>47</v>
      </c>
      <c r="E152" s="5">
        <v>975</v>
      </c>
      <c r="F152" s="5">
        <v>45825</v>
      </c>
      <c r="G152" s="6">
        <f t="shared" ca="1" si="6"/>
        <v>45414</v>
      </c>
      <c r="H152" s="4" t="str">
        <f t="shared" ca="1" si="7"/>
        <v>May</v>
      </c>
      <c r="I152" t="str">
        <f t="shared" ca="1" si="8"/>
        <v>2024</v>
      </c>
      <c r="L152" s="4"/>
    </row>
    <row r="153" spans="1:12" x14ac:dyDescent="0.4">
      <c r="A153" s="5" t="s">
        <v>9</v>
      </c>
      <c r="B153" s="5" t="s">
        <v>15</v>
      </c>
      <c r="C153" s="5" t="s">
        <v>24</v>
      </c>
      <c r="D153" s="5">
        <v>14</v>
      </c>
      <c r="E153" s="5">
        <v>1810</v>
      </c>
      <c r="F153" s="5">
        <v>25340</v>
      </c>
      <c r="G153" s="6">
        <f t="shared" ca="1" si="6"/>
        <v>45620</v>
      </c>
      <c r="H153" s="4" t="str">
        <f t="shared" ca="1" si="7"/>
        <v>November</v>
      </c>
      <c r="I153" t="str">
        <f t="shared" ca="1" si="8"/>
        <v>2024</v>
      </c>
      <c r="L153" s="4"/>
    </row>
    <row r="154" spans="1:12" x14ac:dyDescent="0.4">
      <c r="A154" s="5" t="s">
        <v>6</v>
      </c>
      <c r="B154" s="5" t="s">
        <v>12</v>
      </c>
      <c r="C154" s="5" t="s">
        <v>18</v>
      </c>
      <c r="D154" s="5">
        <v>17</v>
      </c>
      <c r="E154" s="5">
        <v>283</v>
      </c>
      <c r="F154" s="5">
        <v>4811</v>
      </c>
      <c r="G154" s="6">
        <f t="shared" ca="1" si="6"/>
        <v>45964</v>
      </c>
      <c r="H154" s="4" t="str">
        <f t="shared" ca="1" si="7"/>
        <v>November</v>
      </c>
      <c r="I154" t="str">
        <f t="shared" ca="1" si="8"/>
        <v>2025</v>
      </c>
      <c r="L154" s="4"/>
    </row>
    <row r="155" spans="1:12" x14ac:dyDescent="0.4">
      <c r="A155" s="5" t="s">
        <v>9</v>
      </c>
      <c r="B155" s="5" t="s">
        <v>21</v>
      </c>
      <c r="C155" s="5" t="s">
        <v>18</v>
      </c>
      <c r="D155" s="5">
        <v>35</v>
      </c>
      <c r="E155" s="5">
        <v>1789</v>
      </c>
      <c r="F155" s="5">
        <v>62615</v>
      </c>
      <c r="G155" s="6">
        <f t="shared" ca="1" si="6"/>
        <v>45483</v>
      </c>
      <c r="H155" s="4" t="str">
        <f t="shared" ca="1" si="7"/>
        <v>July</v>
      </c>
      <c r="I155" t="str">
        <f t="shared" ca="1" si="8"/>
        <v>2024</v>
      </c>
      <c r="L155" s="4"/>
    </row>
    <row r="156" spans="1:12" x14ac:dyDescent="0.4">
      <c r="A156" s="5" t="s">
        <v>19</v>
      </c>
      <c r="B156" s="5" t="s">
        <v>7</v>
      </c>
      <c r="C156" s="5" t="s">
        <v>24</v>
      </c>
      <c r="D156" s="5">
        <v>43</v>
      </c>
      <c r="E156" s="5">
        <v>1855</v>
      </c>
      <c r="F156" s="5">
        <v>79765</v>
      </c>
      <c r="G156" s="6">
        <f t="shared" ca="1" si="6"/>
        <v>45589</v>
      </c>
      <c r="H156" s="4" t="str">
        <f t="shared" ca="1" si="7"/>
        <v>October</v>
      </c>
      <c r="I156" t="str">
        <f t="shared" ca="1" si="8"/>
        <v>2024</v>
      </c>
      <c r="L156" s="4"/>
    </row>
    <row r="157" spans="1:12" x14ac:dyDescent="0.4">
      <c r="A157" s="5" t="s">
        <v>19</v>
      </c>
      <c r="B157" s="5" t="s">
        <v>7</v>
      </c>
      <c r="C157" s="5" t="s">
        <v>11</v>
      </c>
      <c r="D157" s="5">
        <v>25</v>
      </c>
      <c r="E157" s="5">
        <v>851</v>
      </c>
      <c r="F157" s="5">
        <v>21275</v>
      </c>
      <c r="G157" s="6">
        <f t="shared" ca="1" si="6"/>
        <v>45881</v>
      </c>
      <c r="H157" s="4" t="str">
        <f t="shared" ca="1" si="7"/>
        <v>August</v>
      </c>
      <c r="I157" t="str">
        <f t="shared" ca="1" si="8"/>
        <v>2025</v>
      </c>
      <c r="L157" s="4"/>
    </row>
    <row r="158" spans="1:12" x14ac:dyDescent="0.4">
      <c r="A158" s="5" t="s">
        <v>9</v>
      </c>
      <c r="B158" s="5" t="s">
        <v>7</v>
      </c>
      <c r="C158" s="5" t="s">
        <v>18</v>
      </c>
      <c r="D158" s="5">
        <v>1</v>
      </c>
      <c r="E158" s="5">
        <v>917</v>
      </c>
      <c r="F158" s="5">
        <v>917</v>
      </c>
      <c r="G158" s="6">
        <f t="shared" ca="1" si="6"/>
        <v>45832</v>
      </c>
      <c r="H158" s="4" t="str">
        <f t="shared" ca="1" si="7"/>
        <v>June</v>
      </c>
      <c r="I158" t="str">
        <f t="shared" ca="1" si="8"/>
        <v>2025</v>
      </c>
      <c r="L158" s="4"/>
    </row>
    <row r="159" spans="1:12" x14ac:dyDescent="0.4">
      <c r="A159" s="5" t="s">
        <v>19</v>
      </c>
      <c r="B159" s="5" t="s">
        <v>12</v>
      </c>
      <c r="C159" s="5" t="s">
        <v>13</v>
      </c>
      <c r="D159" s="5">
        <v>25</v>
      </c>
      <c r="E159" s="5">
        <v>979</v>
      </c>
      <c r="F159" s="5">
        <v>24475</v>
      </c>
      <c r="G159" s="6">
        <f t="shared" ca="1" si="6"/>
        <v>45883</v>
      </c>
      <c r="H159" s="4" t="str">
        <f t="shared" ca="1" si="7"/>
        <v>August</v>
      </c>
      <c r="I159" t="str">
        <f t="shared" ca="1" si="8"/>
        <v>2025</v>
      </c>
      <c r="L159" s="4"/>
    </row>
    <row r="160" spans="1:12" x14ac:dyDescent="0.4">
      <c r="A160" s="5" t="s">
        <v>6</v>
      </c>
      <c r="B160" s="5" t="s">
        <v>15</v>
      </c>
      <c r="C160" s="5" t="s">
        <v>20</v>
      </c>
      <c r="D160" s="5">
        <v>44</v>
      </c>
      <c r="E160" s="5">
        <v>182</v>
      </c>
      <c r="F160" s="5">
        <v>8008</v>
      </c>
      <c r="G160" s="6">
        <f t="shared" ca="1" si="6"/>
        <v>45779</v>
      </c>
      <c r="H160" s="4" t="str">
        <f t="shared" ca="1" si="7"/>
        <v>May</v>
      </c>
      <c r="I160" t="str">
        <f t="shared" ca="1" si="8"/>
        <v>2025</v>
      </c>
      <c r="L160" s="4"/>
    </row>
    <row r="161" spans="1:12" x14ac:dyDescent="0.4">
      <c r="A161" s="5" t="s">
        <v>19</v>
      </c>
      <c r="B161" s="5" t="s">
        <v>15</v>
      </c>
      <c r="C161" s="5" t="s">
        <v>22</v>
      </c>
      <c r="D161" s="5">
        <v>46</v>
      </c>
      <c r="E161" s="5">
        <v>1869</v>
      </c>
      <c r="F161" s="5">
        <v>85974</v>
      </c>
      <c r="G161" s="6">
        <f t="shared" ca="1" si="6"/>
        <v>45396</v>
      </c>
      <c r="H161" s="4" t="str">
        <f t="shared" ca="1" si="7"/>
        <v>April</v>
      </c>
      <c r="I161" t="str">
        <f t="shared" ca="1" si="8"/>
        <v>2024</v>
      </c>
      <c r="L161" s="4"/>
    </row>
    <row r="162" spans="1:12" x14ac:dyDescent="0.4">
      <c r="A162" s="5" t="s">
        <v>6</v>
      </c>
      <c r="B162" s="5" t="s">
        <v>21</v>
      </c>
      <c r="C162" s="5" t="s">
        <v>8</v>
      </c>
      <c r="D162" s="5">
        <v>31</v>
      </c>
      <c r="E162" s="5">
        <v>380</v>
      </c>
      <c r="F162" s="5">
        <v>11780</v>
      </c>
      <c r="G162" s="6">
        <f t="shared" ca="1" si="6"/>
        <v>45516</v>
      </c>
      <c r="H162" s="4" t="str">
        <f t="shared" ca="1" si="7"/>
        <v>August</v>
      </c>
      <c r="I162" t="str">
        <f t="shared" ca="1" si="8"/>
        <v>2024</v>
      </c>
      <c r="L162" s="4"/>
    </row>
    <row r="163" spans="1:12" x14ac:dyDescent="0.4">
      <c r="A163" s="5" t="s">
        <v>19</v>
      </c>
      <c r="B163" s="5" t="s">
        <v>7</v>
      </c>
      <c r="C163" s="5" t="s">
        <v>8</v>
      </c>
      <c r="D163" s="5">
        <v>8</v>
      </c>
      <c r="E163" s="5">
        <v>1505</v>
      </c>
      <c r="F163" s="5">
        <v>12040</v>
      </c>
      <c r="G163" s="6">
        <f t="shared" ca="1" si="6"/>
        <v>45344</v>
      </c>
      <c r="H163" s="4" t="str">
        <f t="shared" ca="1" si="7"/>
        <v>February</v>
      </c>
      <c r="I163" t="str">
        <f t="shared" ca="1" si="8"/>
        <v>2024</v>
      </c>
      <c r="L163" s="4"/>
    </row>
    <row r="164" spans="1:12" x14ac:dyDescent="0.4">
      <c r="A164" s="5" t="s">
        <v>17</v>
      </c>
      <c r="B164" s="5" t="s">
        <v>10</v>
      </c>
      <c r="C164" s="5" t="s">
        <v>22</v>
      </c>
      <c r="D164" s="5">
        <v>18</v>
      </c>
      <c r="E164" s="5">
        <v>331</v>
      </c>
      <c r="F164" s="5">
        <v>5958</v>
      </c>
      <c r="G164" s="6">
        <f t="shared" ca="1" si="6"/>
        <v>45965</v>
      </c>
      <c r="H164" s="4" t="str">
        <f t="shared" ca="1" si="7"/>
        <v>November</v>
      </c>
      <c r="I164" t="str">
        <f t="shared" ca="1" si="8"/>
        <v>2025</v>
      </c>
      <c r="L164" s="4"/>
    </row>
    <row r="165" spans="1:12" x14ac:dyDescent="0.4">
      <c r="A165" s="5" t="s">
        <v>19</v>
      </c>
      <c r="B165" s="5" t="s">
        <v>12</v>
      </c>
      <c r="C165" s="5" t="s">
        <v>23</v>
      </c>
      <c r="D165" s="5">
        <v>12</v>
      </c>
      <c r="E165" s="5">
        <v>1397</v>
      </c>
      <c r="F165" s="5">
        <v>16764</v>
      </c>
      <c r="G165" s="6">
        <f t="shared" ca="1" si="6"/>
        <v>45704</v>
      </c>
      <c r="H165" s="4" t="str">
        <f t="shared" ca="1" si="7"/>
        <v>February</v>
      </c>
      <c r="I165" t="str">
        <f t="shared" ca="1" si="8"/>
        <v>2025</v>
      </c>
      <c r="L165" s="4"/>
    </row>
    <row r="166" spans="1:12" x14ac:dyDescent="0.4">
      <c r="A166" s="5" t="s">
        <v>17</v>
      </c>
      <c r="B166" s="5" t="s">
        <v>15</v>
      </c>
      <c r="C166" s="5" t="s">
        <v>20</v>
      </c>
      <c r="D166" s="5">
        <v>19</v>
      </c>
      <c r="E166" s="5">
        <v>136</v>
      </c>
      <c r="F166" s="5">
        <v>2584</v>
      </c>
      <c r="G166" s="6">
        <f t="shared" ca="1" si="6"/>
        <v>45836</v>
      </c>
      <c r="H166" s="4" t="str">
        <f t="shared" ca="1" si="7"/>
        <v>June</v>
      </c>
      <c r="I166" t="str">
        <f t="shared" ca="1" si="8"/>
        <v>2025</v>
      </c>
      <c r="L166" s="4"/>
    </row>
    <row r="167" spans="1:12" x14ac:dyDescent="0.4">
      <c r="A167" s="5" t="s">
        <v>19</v>
      </c>
      <c r="B167" s="5" t="s">
        <v>12</v>
      </c>
      <c r="C167" s="5" t="s">
        <v>8</v>
      </c>
      <c r="D167" s="5">
        <v>35</v>
      </c>
      <c r="E167" s="5">
        <v>1534</v>
      </c>
      <c r="F167" s="5">
        <v>53690</v>
      </c>
      <c r="G167" s="6">
        <f t="shared" ca="1" si="6"/>
        <v>45677</v>
      </c>
      <c r="H167" s="4" t="str">
        <f t="shared" ca="1" si="7"/>
        <v>January</v>
      </c>
      <c r="I167" t="str">
        <f t="shared" ca="1" si="8"/>
        <v>2025</v>
      </c>
      <c r="L167" s="4"/>
    </row>
    <row r="168" spans="1:12" x14ac:dyDescent="0.4">
      <c r="A168" s="5" t="s">
        <v>6</v>
      </c>
      <c r="B168" s="5" t="s">
        <v>15</v>
      </c>
      <c r="C168" s="5" t="s">
        <v>23</v>
      </c>
      <c r="D168" s="5">
        <v>21</v>
      </c>
      <c r="E168" s="5">
        <v>965</v>
      </c>
      <c r="F168" s="5">
        <v>20265</v>
      </c>
      <c r="G168" s="6">
        <f t="shared" ca="1" si="6"/>
        <v>45699</v>
      </c>
      <c r="H168" s="4" t="str">
        <f t="shared" ca="1" si="7"/>
        <v>February</v>
      </c>
      <c r="I168" t="str">
        <f t="shared" ca="1" si="8"/>
        <v>2025</v>
      </c>
      <c r="L168" s="4"/>
    </row>
    <row r="169" spans="1:12" x14ac:dyDescent="0.4">
      <c r="A169" s="5" t="s">
        <v>6</v>
      </c>
      <c r="B169" s="5" t="s">
        <v>10</v>
      </c>
      <c r="C169" s="5" t="s">
        <v>16</v>
      </c>
      <c r="D169" s="5">
        <v>37</v>
      </c>
      <c r="E169" s="5">
        <v>1574</v>
      </c>
      <c r="F169" s="5">
        <v>58238</v>
      </c>
      <c r="G169" s="6">
        <f t="shared" ca="1" si="6"/>
        <v>45660</v>
      </c>
      <c r="H169" s="4" t="str">
        <f t="shared" ca="1" si="7"/>
        <v>January</v>
      </c>
      <c r="I169" t="str">
        <f t="shared" ca="1" si="8"/>
        <v>2025</v>
      </c>
      <c r="L169" s="4"/>
    </row>
    <row r="170" spans="1:12" x14ac:dyDescent="0.4">
      <c r="A170" s="5" t="s">
        <v>17</v>
      </c>
      <c r="B170" s="5" t="s">
        <v>10</v>
      </c>
      <c r="C170" s="5" t="s">
        <v>20</v>
      </c>
      <c r="D170" s="5">
        <v>26</v>
      </c>
      <c r="E170" s="5">
        <v>1213</v>
      </c>
      <c r="F170" s="5">
        <v>31538</v>
      </c>
      <c r="G170" s="6">
        <f t="shared" ca="1" si="6"/>
        <v>45545</v>
      </c>
      <c r="H170" s="4" t="str">
        <f t="shared" ca="1" si="7"/>
        <v>September</v>
      </c>
      <c r="I170" t="str">
        <f t="shared" ca="1" si="8"/>
        <v>2024</v>
      </c>
      <c r="L170" s="4"/>
    </row>
    <row r="171" spans="1:12" x14ac:dyDescent="0.4">
      <c r="A171" s="5" t="s">
        <v>17</v>
      </c>
      <c r="B171" s="5" t="s">
        <v>10</v>
      </c>
      <c r="C171" s="5" t="s">
        <v>16</v>
      </c>
      <c r="D171" s="5">
        <v>12</v>
      </c>
      <c r="E171" s="5">
        <v>1506</v>
      </c>
      <c r="F171" s="5">
        <v>18072</v>
      </c>
      <c r="G171" s="6">
        <f t="shared" ca="1" si="6"/>
        <v>45843</v>
      </c>
      <c r="H171" s="4" t="str">
        <f t="shared" ca="1" si="7"/>
        <v>July</v>
      </c>
      <c r="I171" t="str">
        <f t="shared" ca="1" si="8"/>
        <v>2025</v>
      </c>
      <c r="L171" s="4"/>
    </row>
    <row r="172" spans="1:12" x14ac:dyDescent="0.4">
      <c r="A172" s="5" t="s">
        <v>6</v>
      </c>
      <c r="B172" s="5" t="s">
        <v>10</v>
      </c>
      <c r="C172" s="5" t="s">
        <v>22</v>
      </c>
      <c r="D172" s="5">
        <v>11</v>
      </c>
      <c r="E172" s="5">
        <v>488</v>
      </c>
      <c r="F172" s="5">
        <v>5368</v>
      </c>
      <c r="G172" s="6">
        <f t="shared" ca="1" si="6"/>
        <v>45945</v>
      </c>
      <c r="H172" s="4" t="str">
        <f t="shared" ca="1" si="7"/>
        <v>October</v>
      </c>
      <c r="I172" t="str">
        <f t="shared" ca="1" si="8"/>
        <v>2025</v>
      </c>
      <c r="L172" s="4"/>
    </row>
    <row r="173" spans="1:12" x14ac:dyDescent="0.4">
      <c r="A173" s="5" t="s">
        <v>17</v>
      </c>
      <c r="B173" s="5" t="s">
        <v>21</v>
      </c>
      <c r="C173" s="5" t="s">
        <v>8</v>
      </c>
      <c r="D173" s="5">
        <v>49</v>
      </c>
      <c r="E173" s="5">
        <v>729</v>
      </c>
      <c r="F173" s="5">
        <v>35721</v>
      </c>
      <c r="G173" s="6">
        <f t="shared" ca="1" si="6"/>
        <v>45397</v>
      </c>
      <c r="H173" s="4" t="str">
        <f t="shared" ca="1" si="7"/>
        <v>April</v>
      </c>
      <c r="I173" t="str">
        <f t="shared" ca="1" si="8"/>
        <v>2024</v>
      </c>
      <c r="L173" s="4"/>
    </row>
    <row r="174" spans="1:12" x14ac:dyDescent="0.4">
      <c r="A174" s="5" t="s">
        <v>19</v>
      </c>
      <c r="B174" s="5" t="s">
        <v>10</v>
      </c>
      <c r="C174" s="5" t="s">
        <v>11</v>
      </c>
      <c r="D174" s="5">
        <v>1</v>
      </c>
      <c r="E174" s="5">
        <v>152</v>
      </c>
      <c r="F174" s="5">
        <v>152</v>
      </c>
      <c r="G174" s="6">
        <f t="shared" ca="1" si="6"/>
        <v>45670</v>
      </c>
      <c r="H174" s="4" t="str">
        <f t="shared" ca="1" si="7"/>
        <v>January</v>
      </c>
      <c r="I174" t="str">
        <f t="shared" ca="1" si="8"/>
        <v>2025</v>
      </c>
      <c r="L174" s="4"/>
    </row>
    <row r="175" spans="1:12" x14ac:dyDescent="0.4">
      <c r="A175" s="5" t="s">
        <v>9</v>
      </c>
      <c r="B175" s="5" t="s">
        <v>21</v>
      </c>
      <c r="C175" s="5" t="s">
        <v>8</v>
      </c>
      <c r="D175" s="5">
        <v>12</v>
      </c>
      <c r="E175" s="5">
        <v>1111</v>
      </c>
      <c r="F175" s="5">
        <v>13332</v>
      </c>
      <c r="G175" s="6">
        <f t="shared" ca="1" si="6"/>
        <v>45498</v>
      </c>
      <c r="H175" s="4" t="str">
        <f t="shared" ca="1" si="7"/>
        <v>July</v>
      </c>
      <c r="I175" t="str">
        <f t="shared" ca="1" si="8"/>
        <v>2024</v>
      </c>
      <c r="L175" s="4"/>
    </row>
    <row r="176" spans="1:12" x14ac:dyDescent="0.4">
      <c r="A176" s="5" t="s">
        <v>9</v>
      </c>
      <c r="B176" s="5" t="s">
        <v>12</v>
      </c>
      <c r="C176" s="5" t="s">
        <v>13</v>
      </c>
      <c r="D176" s="5">
        <v>50</v>
      </c>
      <c r="E176" s="5">
        <v>352</v>
      </c>
      <c r="F176" s="5">
        <v>17600</v>
      </c>
      <c r="G176" s="6">
        <f t="shared" ca="1" si="6"/>
        <v>45688</v>
      </c>
      <c r="H176" s="4" t="str">
        <f t="shared" ca="1" si="7"/>
        <v>January</v>
      </c>
      <c r="I176" t="str">
        <f t="shared" ca="1" si="8"/>
        <v>2025</v>
      </c>
      <c r="L176" s="4"/>
    </row>
    <row r="177" spans="1:12" x14ac:dyDescent="0.4">
      <c r="A177" s="5" t="s">
        <v>19</v>
      </c>
      <c r="B177" s="5" t="s">
        <v>10</v>
      </c>
      <c r="C177" s="5" t="s">
        <v>24</v>
      </c>
      <c r="D177" s="5">
        <v>18</v>
      </c>
      <c r="E177" s="5">
        <v>992</v>
      </c>
      <c r="F177" s="5">
        <v>17856</v>
      </c>
      <c r="G177" s="6">
        <f t="shared" ca="1" si="6"/>
        <v>45370</v>
      </c>
      <c r="H177" s="4" t="str">
        <f t="shared" ca="1" si="7"/>
        <v>March</v>
      </c>
      <c r="I177" t="str">
        <f t="shared" ca="1" si="8"/>
        <v>2024</v>
      </c>
      <c r="L177" s="4"/>
    </row>
    <row r="178" spans="1:12" x14ac:dyDescent="0.4">
      <c r="A178" s="5" t="s">
        <v>6</v>
      </c>
      <c r="B178" s="5" t="s">
        <v>21</v>
      </c>
      <c r="C178" s="5" t="s">
        <v>24</v>
      </c>
      <c r="D178" s="5">
        <v>18</v>
      </c>
      <c r="E178" s="5">
        <v>1819</v>
      </c>
      <c r="F178" s="5">
        <v>32742</v>
      </c>
      <c r="G178" s="6">
        <f t="shared" ca="1" si="6"/>
        <v>45762</v>
      </c>
      <c r="H178" s="4" t="str">
        <f t="shared" ca="1" si="7"/>
        <v>April</v>
      </c>
      <c r="I178" t="str">
        <f t="shared" ca="1" si="8"/>
        <v>2025</v>
      </c>
      <c r="L178" s="4"/>
    </row>
    <row r="179" spans="1:12" x14ac:dyDescent="0.4">
      <c r="A179" s="5" t="s">
        <v>6</v>
      </c>
      <c r="B179" s="5" t="s">
        <v>7</v>
      </c>
      <c r="C179" s="5" t="s">
        <v>22</v>
      </c>
      <c r="D179" s="5">
        <v>17</v>
      </c>
      <c r="E179" s="5">
        <v>1766</v>
      </c>
      <c r="F179" s="5">
        <v>30022</v>
      </c>
      <c r="G179" s="6">
        <f t="shared" ca="1" si="6"/>
        <v>45410</v>
      </c>
      <c r="H179" s="4" t="str">
        <f t="shared" ca="1" si="7"/>
        <v>April</v>
      </c>
      <c r="I179" t="str">
        <f t="shared" ca="1" si="8"/>
        <v>2024</v>
      </c>
      <c r="L179" s="4"/>
    </row>
    <row r="180" spans="1:12" x14ac:dyDescent="0.4">
      <c r="A180" s="5" t="s">
        <v>9</v>
      </c>
      <c r="B180" s="5" t="s">
        <v>10</v>
      </c>
      <c r="C180" s="5" t="s">
        <v>8</v>
      </c>
      <c r="D180" s="5">
        <v>19</v>
      </c>
      <c r="E180" s="5">
        <v>1191</v>
      </c>
      <c r="F180" s="5">
        <v>22629</v>
      </c>
      <c r="G180" s="6">
        <f t="shared" ca="1" si="6"/>
        <v>46013</v>
      </c>
      <c r="H180" s="4" t="str">
        <f t="shared" ca="1" si="7"/>
        <v>December</v>
      </c>
      <c r="I180" t="str">
        <f t="shared" ca="1" si="8"/>
        <v>2025</v>
      </c>
      <c r="L180" s="4"/>
    </row>
    <row r="181" spans="1:12" x14ac:dyDescent="0.4">
      <c r="A181" s="5" t="s">
        <v>17</v>
      </c>
      <c r="B181" s="5" t="s">
        <v>15</v>
      </c>
      <c r="C181" s="5" t="s">
        <v>13</v>
      </c>
      <c r="D181" s="5">
        <v>47</v>
      </c>
      <c r="E181" s="5">
        <v>1914</v>
      </c>
      <c r="F181" s="5">
        <v>89958</v>
      </c>
      <c r="G181" s="6">
        <f t="shared" ca="1" si="6"/>
        <v>45508</v>
      </c>
      <c r="H181" s="4" t="str">
        <f t="shared" ca="1" si="7"/>
        <v>August</v>
      </c>
      <c r="I181" t="str">
        <f t="shared" ca="1" si="8"/>
        <v>2024</v>
      </c>
      <c r="L181" s="4"/>
    </row>
    <row r="182" spans="1:12" x14ac:dyDescent="0.4">
      <c r="A182" s="5" t="s">
        <v>9</v>
      </c>
      <c r="B182" s="5" t="s">
        <v>7</v>
      </c>
      <c r="C182" s="5" t="s">
        <v>16</v>
      </c>
      <c r="D182" s="5">
        <v>23</v>
      </c>
      <c r="E182" s="5">
        <v>1412</v>
      </c>
      <c r="F182" s="5">
        <v>32476</v>
      </c>
      <c r="G182" s="6">
        <f t="shared" ca="1" si="6"/>
        <v>45737</v>
      </c>
      <c r="H182" s="4" t="str">
        <f t="shared" ca="1" si="7"/>
        <v>March</v>
      </c>
      <c r="I182" t="str">
        <f t="shared" ca="1" si="8"/>
        <v>2025</v>
      </c>
      <c r="L182" s="4"/>
    </row>
    <row r="183" spans="1:12" x14ac:dyDescent="0.4">
      <c r="A183" s="5" t="s">
        <v>9</v>
      </c>
      <c r="B183" s="5" t="s">
        <v>15</v>
      </c>
      <c r="C183" s="5" t="s">
        <v>8</v>
      </c>
      <c r="D183" s="5">
        <v>42</v>
      </c>
      <c r="E183" s="5">
        <v>1225</v>
      </c>
      <c r="F183" s="5">
        <v>51450</v>
      </c>
      <c r="G183" s="6">
        <f t="shared" ca="1" si="6"/>
        <v>45295</v>
      </c>
      <c r="H183" s="4" t="str">
        <f t="shared" ca="1" si="7"/>
        <v>January</v>
      </c>
      <c r="I183" t="str">
        <f t="shared" ca="1" si="8"/>
        <v>2024</v>
      </c>
      <c r="L183" s="4"/>
    </row>
    <row r="184" spans="1:12" x14ac:dyDescent="0.4">
      <c r="A184" s="5" t="s">
        <v>19</v>
      </c>
      <c r="B184" s="5" t="s">
        <v>15</v>
      </c>
      <c r="C184" s="5" t="s">
        <v>16</v>
      </c>
      <c r="D184" s="5">
        <v>48</v>
      </c>
      <c r="E184" s="5">
        <v>1209</v>
      </c>
      <c r="F184" s="5">
        <v>58032</v>
      </c>
      <c r="G184" s="6">
        <f t="shared" ca="1" si="6"/>
        <v>45686</v>
      </c>
      <c r="H184" s="4" t="str">
        <f t="shared" ca="1" si="7"/>
        <v>January</v>
      </c>
      <c r="I184" t="str">
        <f t="shared" ca="1" si="8"/>
        <v>2025</v>
      </c>
      <c r="L184" s="4"/>
    </row>
    <row r="185" spans="1:12" x14ac:dyDescent="0.4">
      <c r="A185" s="5" t="s">
        <v>19</v>
      </c>
      <c r="B185" s="5" t="s">
        <v>21</v>
      </c>
      <c r="C185" s="5" t="s">
        <v>13</v>
      </c>
      <c r="D185" s="5">
        <v>34</v>
      </c>
      <c r="E185" s="5">
        <v>1066</v>
      </c>
      <c r="F185" s="5">
        <v>36244</v>
      </c>
      <c r="G185" s="6">
        <f t="shared" ca="1" si="6"/>
        <v>45909</v>
      </c>
      <c r="H185" s="4" t="str">
        <f t="shared" ca="1" si="7"/>
        <v>September</v>
      </c>
      <c r="I185" t="str">
        <f t="shared" ca="1" si="8"/>
        <v>2025</v>
      </c>
      <c r="L185" s="4"/>
    </row>
    <row r="186" spans="1:12" x14ac:dyDescent="0.4">
      <c r="A186" s="5" t="s">
        <v>19</v>
      </c>
      <c r="B186" s="5" t="s">
        <v>15</v>
      </c>
      <c r="C186" s="5" t="s">
        <v>16</v>
      </c>
      <c r="D186" s="5">
        <v>15</v>
      </c>
      <c r="E186" s="5">
        <v>1546</v>
      </c>
      <c r="F186" s="5">
        <v>23190</v>
      </c>
      <c r="G186" s="6">
        <f t="shared" ca="1" si="6"/>
        <v>45588</v>
      </c>
      <c r="H186" s="4" t="str">
        <f t="shared" ca="1" si="7"/>
        <v>October</v>
      </c>
      <c r="I186" t="str">
        <f t="shared" ca="1" si="8"/>
        <v>2024</v>
      </c>
      <c r="L186" s="4"/>
    </row>
    <row r="187" spans="1:12" x14ac:dyDescent="0.4">
      <c r="A187" s="5" t="s">
        <v>6</v>
      </c>
      <c r="B187" s="5" t="s">
        <v>15</v>
      </c>
      <c r="C187" s="5" t="s">
        <v>16</v>
      </c>
      <c r="D187" s="5">
        <v>22</v>
      </c>
      <c r="E187" s="5">
        <v>518</v>
      </c>
      <c r="F187" s="5">
        <v>11396</v>
      </c>
      <c r="G187" s="6">
        <f t="shared" ca="1" si="6"/>
        <v>45687</v>
      </c>
      <c r="H187" s="4" t="str">
        <f t="shared" ca="1" si="7"/>
        <v>January</v>
      </c>
      <c r="I187" t="str">
        <f t="shared" ca="1" si="8"/>
        <v>2025</v>
      </c>
      <c r="L187" s="4"/>
    </row>
    <row r="188" spans="1:12" x14ac:dyDescent="0.4">
      <c r="A188" s="5" t="s">
        <v>17</v>
      </c>
      <c r="B188" s="5" t="s">
        <v>21</v>
      </c>
      <c r="C188" s="5" t="s">
        <v>22</v>
      </c>
      <c r="D188" s="5">
        <v>25</v>
      </c>
      <c r="E188" s="5">
        <v>870</v>
      </c>
      <c r="F188" s="5">
        <v>21750</v>
      </c>
      <c r="G188" s="6">
        <f t="shared" ca="1" si="6"/>
        <v>45348</v>
      </c>
      <c r="H188" s="4" t="str">
        <f t="shared" ca="1" si="7"/>
        <v>February</v>
      </c>
      <c r="I188" t="str">
        <f t="shared" ca="1" si="8"/>
        <v>2024</v>
      </c>
      <c r="L188" s="4"/>
    </row>
    <row r="189" spans="1:12" x14ac:dyDescent="0.4">
      <c r="A189" s="5" t="s">
        <v>6</v>
      </c>
      <c r="B189" s="5" t="s">
        <v>21</v>
      </c>
      <c r="C189" s="5" t="s">
        <v>18</v>
      </c>
      <c r="D189" s="5">
        <v>7</v>
      </c>
      <c r="E189" s="5">
        <v>295</v>
      </c>
      <c r="F189" s="5">
        <v>2065</v>
      </c>
      <c r="G189" s="6">
        <f t="shared" ca="1" si="6"/>
        <v>45857</v>
      </c>
      <c r="H189" s="4" t="str">
        <f t="shared" ca="1" si="7"/>
        <v>July</v>
      </c>
      <c r="I189" t="str">
        <f t="shared" ca="1" si="8"/>
        <v>2025</v>
      </c>
      <c r="L189" s="4"/>
    </row>
    <row r="190" spans="1:12" x14ac:dyDescent="0.4">
      <c r="A190" s="5" t="s">
        <v>6</v>
      </c>
      <c r="B190" s="5" t="s">
        <v>7</v>
      </c>
      <c r="C190" s="5" t="s">
        <v>24</v>
      </c>
      <c r="D190" s="5">
        <v>39</v>
      </c>
      <c r="E190" s="5">
        <v>954</v>
      </c>
      <c r="F190" s="5">
        <v>37206</v>
      </c>
      <c r="G190" s="6">
        <f t="shared" ca="1" si="6"/>
        <v>45356</v>
      </c>
      <c r="H190" s="4" t="str">
        <f t="shared" ca="1" si="7"/>
        <v>March</v>
      </c>
      <c r="I190" t="str">
        <f t="shared" ca="1" si="8"/>
        <v>2024</v>
      </c>
      <c r="L190" s="4"/>
    </row>
    <row r="191" spans="1:12" x14ac:dyDescent="0.4">
      <c r="A191" s="5" t="s">
        <v>17</v>
      </c>
      <c r="B191" s="5" t="s">
        <v>21</v>
      </c>
      <c r="C191" s="5" t="s">
        <v>11</v>
      </c>
      <c r="D191" s="5">
        <v>28</v>
      </c>
      <c r="E191" s="5">
        <v>1352</v>
      </c>
      <c r="F191" s="5">
        <v>37856</v>
      </c>
      <c r="G191" s="6">
        <f t="shared" ca="1" si="6"/>
        <v>45350</v>
      </c>
      <c r="H191" s="4" t="str">
        <f t="shared" ca="1" si="7"/>
        <v>February</v>
      </c>
      <c r="I191" t="str">
        <f t="shared" ca="1" si="8"/>
        <v>2024</v>
      </c>
      <c r="L191" s="4"/>
    </row>
    <row r="192" spans="1:12" x14ac:dyDescent="0.4">
      <c r="A192" s="5" t="s">
        <v>9</v>
      </c>
      <c r="B192" s="5" t="s">
        <v>10</v>
      </c>
      <c r="C192" s="5" t="s">
        <v>18</v>
      </c>
      <c r="D192" s="5">
        <v>26</v>
      </c>
      <c r="E192" s="5">
        <v>1955</v>
      </c>
      <c r="F192" s="5">
        <v>50830</v>
      </c>
      <c r="G192" s="6">
        <f t="shared" ca="1" si="6"/>
        <v>45775</v>
      </c>
      <c r="H192" s="4" t="str">
        <f t="shared" ca="1" si="7"/>
        <v>April</v>
      </c>
      <c r="I192" t="str">
        <f t="shared" ca="1" si="8"/>
        <v>2025</v>
      </c>
      <c r="L192" s="4"/>
    </row>
    <row r="193" spans="1:12" x14ac:dyDescent="0.4">
      <c r="A193" s="5" t="s">
        <v>17</v>
      </c>
      <c r="B193" s="5" t="s">
        <v>7</v>
      </c>
      <c r="C193" s="5" t="s">
        <v>22</v>
      </c>
      <c r="D193" s="5">
        <v>27</v>
      </c>
      <c r="E193" s="5">
        <v>1255</v>
      </c>
      <c r="F193" s="5">
        <v>33885</v>
      </c>
      <c r="G193" s="6">
        <f t="shared" ca="1" si="6"/>
        <v>45683</v>
      </c>
      <c r="H193" s="4" t="str">
        <f t="shared" ca="1" si="7"/>
        <v>January</v>
      </c>
      <c r="I193" t="str">
        <f t="shared" ca="1" si="8"/>
        <v>2025</v>
      </c>
      <c r="L193" s="4"/>
    </row>
    <row r="194" spans="1:12" x14ac:dyDescent="0.4">
      <c r="A194" s="5" t="s">
        <v>19</v>
      </c>
      <c r="B194" s="5" t="s">
        <v>10</v>
      </c>
      <c r="C194" s="5" t="s">
        <v>20</v>
      </c>
      <c r="D194" s="5">
        <v>44</v>
      </c>
      <c r="E194" s="5">
        <v>1607</v>
      </c>
      <c r="F194" s="5">
        <v>70708</v>
      </c>
      <c r="G194" s="6">
        <f t="shared" ca="1" si="6"/>
        <v>45462</v>
      </c>
      <c r="H194" s="4" t="str">
        <f t="shared" ca="1" si="7"/>
        <v>June</v>
      </c>
      <c r="I194" t="str">
        <f t="shared" ca="1" si="8"/>
        <v>2024</v>
      </c>
      <c r="L194" s="4"/>
    </row>
    <row r="195" spans="1:12" x14ac:dyDescent="0.4">
      <c r="A195" s="5" t="s">
        <v>9</v>
      </c>
      <c r="B195" s="5" t="s">
        <v>12</v>
      </c>
      <c r="C195" s="5" t="s">
        <v>13</v>
      </c>
      <c r="D195" s="5">
        <v>48</v>
      </c>
      <c r="E195" s="5">
        <v>1725</v>
      </c>
      <c r="F195" s="5">
        <v>82800</v>
      </c>
      <c r="G195" s="6">
        <f t="shared" ref="G195:G258" ca="1" si="9">RANDBETWEEN(DATE(2024,1,1),DATE(2025,12,31))</f>
        <v>45957</v>
      </c>
      <c r="H195" s="4" t="str">
        <f t="shared" ref="H195:H258" ca="1" si="10">TEXT(G195,"mmmm")</f>
        <v>October</v>
      </c>
      <c r="I195" t="str">
        <f t="shared" ref="I195:I258" ca="1" si="11">TEXT(G195,"yyyy")</f>
        <v>2025</v>
      </c>
      <c r="L195" s="4"/>
    </row>
    <row r="196" spans="1:12" x14ac:dyDescent="0.4">
      <c r="A196" s="5" t="s">
        <v>17</v>
      </c>
      <c r="B196" s="5" t="s">
        <v>15</v>
      </c>
      <c r="C196" s="5" t="s">
        <v>18</v>
      </c>
      <c r="D196" s="5">
        <v>5</v>
      </c>
      <c r="E196" s="5">
        <v>1125</v>
      </c>
      <c r="F196" s="5">
        <v>5625</v>
      </c>
      <c r="G196" s="6">
        <f t="shared" ca="1" si="9"/>
        <v>45318</v>
      </c>
      <c r="H196" s="4" t="str">
        <f t="shared" ca="1" si="10"/>
        <v>January</v>
      </c>
      <c r="I196" t="str">
        <f t="shared" ca="1" si="11"/>
        <v>2024</v>
      </c>
      <c r="L196" s="4"/>
    </row>
    <row r="197" spans="1:12" x14ac:dyDescent="0.4">
      <c r="A197" s="5" t="s">
        <v>6</v>
      </c>
      <c r="B197" s="5" t="s">
        <v>10</v>
      </c>
      <c r="C197" s="5" t="s">
        <v>11</v>
      </c>
      <c r="D197" s="5">
        <v>49</v>
      </c>
      <c r="E197" s="5">
        <v>615</v>
      </c>
      <c r="F197" s="5">
        <v>30135</v>
      </c>
      <c r="G197" s="6">
        <f t="shared" ca="1" si="9"/>
        <v>45639</v>
      </c>
      <c r="H197" s="4" t="str">
        <f t="shared" ca="1" si="10"/>
        <v>December</v>
      </c>
      <c r="I197" t="str">
        <f t="shared" ca="1" si="11"/>
        <v>2024</v>
      </c>
      <c r="L197" s="4"/>
    </row>
    <row r="198" spans="1:12" x14ac:dyDescent="0.4">
      <c r="A198" s="5" t="s">
        <v>9</v>
      </c>
      <c r="B198" s="5" t="s">
        <v>21</v>
      </c>
      <c r="C198" s="5" t="s">
        <v>13</v>
      </c>
      <c r="D198" s="5">
        <v>3</v>
      </c>
      <c r="E198" s="5">
        <v>801</v>
      </c>
      <c r="F198" s="5">
        <v>2403</v>
      </c>
      <c r="G198" s="6">
        <f t="shared" ca="1" si="9"/>
        <v>45706</v>
      </c>
      <c r="H198" s="4" t="str">
        <f t="shared" ca="1" si="10"/>
        <v>February</v>
      </c>
      <c r="I198" t="str">
        <f t="shared" ca="1" si="11"/>
        <v>2025</v>
      </c>
      <c r="L198" s="4"/>
    </row>
    <row r="199" spans="1:12" x14ac:dyDescent="0.4">
      <c r="A199" s="5" t="s">
        <v>17</v>
      </c>
      <c r="B199" s="5" t="s">
        <v>15</v>
      </c>
      <c r="C199" s="5" t="s">
        <v>22</v>
      </c>
      <c r="D199" s="5">
        <v>14</v>
      </c>
      <c r="E199" s="5">
        <v>1652</v>
      </c>
      <c r="F199" s="5">
        <v>23128</v>
      </c>
      <c r="G199" s="6">
        <f t="shared" ca="1" si="9"/>
        <v>45521</v>
      </c>
      <c r="H199" s="4" t="str">
        <f t="shared" ca="1" si="10"/>
        <v>August</v>
      </c>
      <c r="I199" t="str">
        <f t="shared" ca="1" si="11"/>
        <v>2024</v>
      </c>
      <c r="L199" s="4"/>
    </row>
    <row r="200" spans="1:12" x14ac:dyDescent="0.4">
      <c r="A200" s="5" t="s">
        <v>19</v>
      </c>
      <c r="B200" s="5" t="s">
        <v>7</v>
      </c>
      <c r="C200" s="5" t="s">
        <v>14</v>
      </c>
      <c r="D200" s="5">
        <v>4</v>
      </c>
      <c r="E200" s="5">
        <v>893</v>
      </c>
      <c r="F200" s="5">
        <v>3572</v>
      </c>
      <c r="G200" s="6">
        <f t="shared" ca="1" si="9"/>
        <v>45676</v>
      </c>
      <c r="H200" s="4" t="str">
        <f t="shared" ca="1" si="10"/>
        <v>January</v>
      </c>
      <c r="I200" t="str">
        <f t="shared" ca="1" si="11"/>
        <v>2025</v>
      </c>
      <c r="L200" s="4"/>
    </row>
    <row r="201" spans="1:12" x14ac:dyDescent="0.4">
      <c r="A201" s="5" t="s">
        <v>6</v>
      </c>
      <c r="B201" s="5" t="s">
        <v>15</v>
      </c>
      <c r="C201" s="5" t="s">
        <v>13</v>
      </c>
      <c r="D201" s="5">
        <v>38</v>
      </c>
      <c r="E201" s="5">
        <v>800</v>
      </c>
      <c r="F201" s="5">
        <v>30400</v>
      </c>
      <c r="G201" s="6">
        <f t="shared" ca="1" si="9"/>
        <v>45855</v>
      </c>
      <c r="H201" s="4" t="str">
        <f t="shared" ca="1" si="10"/>
        <v>July</v>
      </c>
      <c r="I201" t="str">
        <f t="shared" ca="1" si="11"/>
        <v>2025</v>
      </c>
      <c r="L201" s="4"/>
    </row>
    <row r="202" spans="1:12" x14ac:dyDescent="0.4">
      <c r="A202" s="5" t="s">
        <v>19</v>
      </c>
      <c r="B202" s="5" t="s">
        <v>12</v>
      </c>
      <c r="C202" s="5" t="s">
        <v>11</v>
      </c>
      <c r="D202" s="5">
        <v>43</v>
      </c>
      <c r="E202" s="5">
        <v>480</v>
      </c>
      <c r="F202" s="5">
        <v>20640</v>
      </c>
      <c r="G202" s="6">
        <f t="shared" ca="1" si="9"/>
        <v>45361</v>
      </c>
      <c r="H202" s="4" t="str">
        <f t="shared" ca="1" si="10"/>
        <v>March</v>
      </c>
      <c r="I202" t="str">
        <f t="shared" ca="1" si="11"/>
        <v>2024</v>
      </c>
      <c r="L202" s="4"/>
    </row>
    <row r="203" spans="1:12" x14ac:dyDescent="0.4">
      <c r="A203" s="5" t="s">
        <v>17</v>
      </c>
      <c r="B203" s="5" t="s">
        <v>21</v>
      </c>
      <c r="C203" s="5" t="s">
        <v>18</v>
      </c>
      <c r="D203" s="5">
        <v>27</v>
      </c>
      <c r="E203" s="5">
        <v>847</v>
      </c>
      <c r="F203" s="5">
        <v>22869</v>
      </c>
      <c r="G203" s="6">
        <f t="shared" ca="1" si="9"/>
        <v>45615</v>
      </c>
      <c r="H203" s="4" t="str">
        <f t="shared" ca="1" si="10"/>
        <v>November</v>
      </c>
      <c r="I203" t="str">
        <f t="shared" ca="1" si="11"/>
        <v>2024</v>
      </c>
      <c r="L203" s="4"/>
    </row>
    <row r="204" spans="1:12" x14ac:dyDescent="0.4">
      <c r="A204" s="5" t="s">
        <v>9</v>
      </c>
      <c r="B204" s="5" t="s">
        <v>10</v>
      </c>
      <c r="C204" s="5" t="s">
        <v>8</v>
      </c>
      <c r="D204" s="5">
        <v>48</v>
      </c>
      <c r="E204" s="5">
        <v>1233</v>
      </c>
      <c r="F204" s="5">
        <v>59184</v>
      </c>
      <c r="G204" s="6">
        <f t="shared" ca="1" si="9"/>
        <v>45966</v>
      </c>
      <c r="H204" s="4" t="str">
        <f t="shared" ca="1" si="10"/>
        <v>November</v>
      </c>
      <c r="I204" t="str">
        <f t="shared" ca="1" si="11"/>
        <v>2025</v>
      </c>
      <c r="L204" s="4"/>
    </row>
    <row r="205" spans="1:12" x14ac:dyDescent="0.4">
      <c r="A205" s="5" t="s">
        <v>9</v>
      </c>
      <c r="B205" s="5" t="s">
        <v>15</v>
      </c>
      <c r="C205" s="5" t="s">
        <v>24</v>
      </c>
      <c r="D205" s="5">
        <v>25</v>
      </c>
      <c r="E205" s="5">
        <v>1590</v>
      </c>
      <c r="F205" s="5">
        <v>39750</v>
      </c>
      <c r="G205" s="6">
        <f t="shared" ca="1" si="9"/>
        <v>45376</v>
      </c>
      <c r="H205" s="4" t="str">
        <f t="shared" ca="1" si="10"/>
        <v>March</v>
      </c>
      <c r="I205" t="str">
        <f t="shared" ca="1" si="11"/>
        <v>2024</v>
      </c>
      <c r="L205" s="4"/>
    </row>
    <row r="206" spans="1:12" x14ac:dyDescent="0.4">
      <c r="A206" s="5" t="s">
        <v>6</v>
      </c>
      <c r="B206" s="5" t="s">
        <v>21</v>
      </c>
      <c r="C206" s="5" t="s">
        <v>13</v>
      </c>
      <c r="D206" s="5">
        <v>46</v>
      </c>
      <c r="E206" s="5">
        <v>1254</v>
      </c>
      <c r="F206" s="5">
        <v>57684</v>
      </c>
      <c r="G206" s="6">
        <f t="shared" ca="1" si="9"/>
        <v>45363</v>
      </c>
      <c r="H206" s="4" t="str">
        <f t="shared" ca="1" si="10"/>
        <v>March</v>
      </c>
      <c r="I206" t="str">
        <f t="shared" ca="1" si="11"/>
        <v>2024</v>
      </c>
      <c r="L206" s="4"/>
    </row>
    <row r="207" spans="1:12" x14ac:dyDescent="0.4">
      <c r="A207" s="5" t="s">
        <v>19</v>
      </c>
      <c r="B207" s="5" t="s">
        <v>21</v>
      </c>
      <c r="C207" s="5" t="s">
        <v>22</v>
      </c>
      <c r="D207" s="5">
        <v>46</v>
      </c>
      <c r="E207" s="5">
        <v>597</v>
      </c>
      <c r="F207" s="5">
        <v>27462</v>
      </c>
      <c r="G207" s="6">
        <f t="shared" ca="1" si="9"/>
        <v>45646</v>
      </c>
      <c r="H207" s="4" t="str">
        <f t="shared" ca="1" si="10"/>
        <v>December</v>
      </c>
      <c r="I207" t="str">
        <f t="shared" ca="1" si="11"/>
        <v>2024</v>
      </c>
      <c r="L207" s="4"/>
    </row>
    <row r="208" spans="1:12" x14ac:dyDescent="0.4">
      <c r="A208" s="5" t="s">
        <v>9</v>
      </c>
      <c r="B208" s="5" t="s">
        <v>21</v>
      </c>
      <c r="C208" s="5" t="s">
        <v>20</v>
      </c>
      <c r="D208" s="5">
        <v>11</v>
      </c>
      <c r="E208" s="5">
        <v>1601</v>
      </c>
      <c r="F208" s="5">
        <v>17611</v>
      </c>
      <c r="G208" s="6">
        <f t="shared" ca="1" si="9"/>
        <v>45656</v>
      </c>
      <c r="H208" s="4" t="str">
        <f t="shared" ca="1" si="10"/>
        <v>December</v>
      </c>
      <c r="I208" t="str">
        <f t="shared" ca="1" si="11"/>
        <v>2024</v>
      </c>
      <c r="L208" s="4"/>
    </row>
    <row r="209" spans="1:12" x14ac:dyDescent="0.4">
      <c r="A209" s="5" t="s">
        <v>17</v>
      </c>
      <c r="B209" s="5" t="s">
        <v>12</v>
      </c>
      <c r="C209" s="5" t="s">
        <v>13</v>
      </c>
      <c r="D209" s="5">
        <v>49</v>
      </c>
      <c r="E209" s="5">
        <v>211</v>
      </c>
      <c r="F209" s="5">
        <v>10339</v>
      </c>
      <c r="G209" s="6">
        <f t="shared" ca="1" si="9"/>
        <v>45725</v>
      </c>
      <c r="H209" s="4" t="str">
        <f t="shared" ca="1" si="10"/>
        <v>March</v>
      </c>
      <c r="I209" t="str">
        <f t="shared" ca="1" si="11"/>
        <v>2025</v>
      </c>
      <c r="L209" s="4"/>
    </row>
    <row r="210" spans="1:12" x14ac:dyDescent="0.4">
      <c r="A210" s="5" t="s">
        <v>6</v>
      </c>
      <c r="B210" s="5" t="s">
        <v>7</v>
      </c>
      <c r="C210" s="5" t="s">
        <v>18</v>
      </c>
      <c r="D210" s="5">
        <v>6</v>
      </c>
      <c r="E210" s="5">
        <v>1591</v>
      </c>
      <c r="F210" s="5">
        <v>9546</v>
      </c>
      <c r="G210" s="6">
        <f t="shared" ca="1" si="9"/>
        <v>45843</v>
      </c>
      <c r="H210" s="4" t="str">
        <f t="shared" ca="1" si="10"/>
        <v>July</v>
      </c>
      <c r="I210" t="str">
        <f t="shared" ca="1" si="11"/>
        <v>2025</v>
      </c>
      <c r="L210" s="4"/>
    </row>
    <row r="211" spans="1:12" x14ac:dyDescent="0.4">
      <c r="A211" s="5" t="s">
        <v>19</v>
      </c>
      <c r="B211" s="5" t="s">
        <v>15</v>
      </c>
      <c r="C211" s="5" t="s">
        <v>13</v>
      </c>
      <c r="D211" s="5">
        <v>11</v>
      </c>
      <c r="E211" s="5">
        <v>193</v>
      </c>
      <c r="F211" s="5">
        <v>2123</v>
      </c>
      <c r="G211" s="6">
        <f t="shared" ca="1" si="9"/>
        <v>45615</v>
      </c>
      <c r="H211" s="4" t="str">
        <f t="shared" ca="1" si="10"/>
        <v>November</v>
      </c>
      <c r="I211" t="str">
        <f t="shared" ca="1" si="11"/>
        <v>2024</v>
      </c>
      <c r="L211" s="4"/>
    </row>
    <row r="212" spans="1:12" x14ac:dyDescent="0.4">
      <c r="A212" s="5" t="s">
        <v>9</v>
      </c>
      <c r="B212" s="5" t="s">
        <v>15</v>
      </c>
      <c r="C212" s="5" t="s">
        <v>13</v>
      </c>
      <c r="D212" s="5">
        <v>16</v>
      </c>
      <c r="E212" s="5">
        <v>561</v>
      </c>
      <c r="F212" s="5">
        <v>8976</v>
      </c>
      <c r="G212" s="6">
        <f t="shared" ca="1" si="9"/>
        <v>45338</v>
      </c>
      <c r="H212" s="4" t="str">
        <f t="shared" ca="1" si="10"/>
        <v>February</v>
      </c>
      <c r="I212" t="str">
        <f t="shared" ca="1" si="11"/>
        <v>2024</v>
      </c>
      <c r="L212" s="4"/>
    </row>
    <row r="213" spans="1:12" x14ac:dyDescent="0.4">
      <c r="A213" s="5" t="s">
        <v>17</v>
      </c>
      <c r="B213" s="5" t="s">
        <v>21</v>
      </c>
      <c r="C213" s="5" t="s">
        <v>11</v>
      </c>
      <c r="D213" s="5">
        <v>20</v>
      </c>
      <c r="E213" s="5">
        <v>1691</v>
      </c>
      <c r="F213" s="5">
        <v>33820</v>
      </c>
      <c r="G213" s="6">
        <f t="shared" ca="1" si="9"/>
        <v>45555</v>
      </c>
      <c r="H213" s="4" t="str">
        <f t="shared" ca="1" si="10"/>
        <v>September</v>
      </c>
      <c r="I213" t="str">
        <f t="shared" ca="1" si="11"/>
        <v>2024</v>
      </c>
      <c r="L213" s="4"/>
    </row>
    <row r="214" spans="1:12" x14ac:dyDescent="0.4">
      <c r="A214" s="5" t="s">
        <v>9</v>
      </c>
      <c r="B214" s="5" t="s">
        <v>15</v>
      </c>
      <c r="C214" s="5" t="s">
        <v>11</v>
      </c>
      <c r="D214" s="5">
        <v>24</v>
      </c>
      <c r="E214" s="5">
        <v>1081</v>
      </c>
      <c r="F214" s="5">
        <v>25944</v>
      </c>
      <c r="G214" s="6">
        <f t="shared" ca="1" si="9"/>
        <v>45404</v>
      </c>
      <c r="H214" s="4" t="str">
        <f t="shared" ca="1" si="10"/>
        <v>April</v>
      </c>
      <c r="I214" t="str">
        <f t="shared" ca="1" si="11"/>
        <v>2024</v>
      </c>
      <c r="L214" s="4"/>
    </row>
    <row r="215" spans="1:12" x14ac:dyDescent="0.4">
      <c r="A215" s="5" t="s">
        <v>17</v>
      </c>
      <c r="B215" s="5" t="s">
        <v>21</v>
      </c>
      <c r="C215" s="5" t="s">
        <v>13</v>
      </c>
      <c r="D215" s="5">
        <v>25</v>
      </c>
      <c r="E215" s="5">
        <v>467</v>
      </c>
      <c r="F215" s="5">
        <v>11675</v>
      </c>
      <c r="G215" s="6">
        <f t="shared" ca="1" si="9"/>
        <v>45882</v>
      </c>
      <c r="H215" s="4" t="str">
        <f t="shared" ca="1" si="10"/>
        <v>August</v>
      </c>
      <c r="I215" t="str">
        <f t="shared" ca="1" si="11"/>
        <v>2025</v>
      </c>
      <c r="L215" s="4"/>
    </row>
    <row r="216" spans="1:12" x14ac:dyDescent="0.4">
      <c r="A216" s="5" t="s">
        <v>9</v>
      </c>
      <c r="B216" s="5" t="s">
        <v>7</v>
      </c>
      <c r="C216" s="5" t="s">
        <v>24</v>
      </c>
      <c r="D216" s="5">
        <v>29</v>
      </c>
      <c r="E216" s="5">
        <v>1984</v>
      </c>
      <c r="F216" s="5">
        <v>57536</v>
      </c>
      <c r="G216" s="6">
        <f t="shared" ca="1" si="9"/>
        <v>45724</v>
      </c>
      <c r="H216" s="4" t="str">
        <f t="shared" ca="1" si="10"/>
        <v>March</v>
      </c>
      <c r="I216" t="str">
        <f t="shared" ca="1" si="11"/>
        <v>2025</v>
      </c>
      <c r="L216" s="4"/>
    </row>
    <row r="217" spans="1:12" x14ac:dyDescent="0.4">
      <c r="A217" s="5" t="s">
        <v>19</v>
      </c>
      <c r="B217" s="5" t="s">
        <v>15</v>
      </c>
      <c r="C217" s="5" t="s">
        <v>20</v>
      </c>
      <c r="D217" s="5">
        <v>44</v>
      </c>
      <c r="E217" s="5">
        <v>770</v>
      </c>
      <c r="F217" s="5">
        <v>33880</v>
      </c>
      <c r="G217" s="6">
        <f t="shared" ca="1" si="9"/>
        <v>45849</v>
      </c>
      <c r="H217" s="4" t="str">
        <f t="shared" ca="1" si="10"/>
        <v>July</v>
      </c>
      <c r="I217" t="str">
        <f t="shared" ca="1" si="11"/>
        <v>2025</v>
      </c>
      <c r="L217" s="4"/>
    </row>
    <row r="218" spans="1:12" x14ac:dyDescent="0.4">
      <c r="A218" s="5" t="s">
        <v>6</v>
      </c>
      <c r="B218" s="5" t="s">
        <v>21</v>
      </c>
      <c r="C218" s="5" t="s">
        <v>16</v>
      </c>
      <c r="D218" s="5">
        <v>28</v>
      </c>
      <c r="E218" s="5">
        <v>1279</v>
      </c>
      <c r="F218" s="5">
        <v>35812</v>
      </c>
      <c r="G218" s="6">
        <f t="shared" ca="1" si="9"/>
        <v>45722</v>
      </c>
      <c r="H218" s="4" t="str">
        <f t="shared" ca="1" si="10"/>
        <v>March</v>
      </c>
      <c r="I218" t="str">
        <f t="shared" ca="1" si="11"/>
        <v>2025</v>
      </c>
      <c r="L218" s="4"/>
    </row>
    <row r="219" spans="1:12" x14ac:dyDescent="0.4">
      <c r="A219" s="5" t="s">
        <v>9</v>
      </c>
      <c r="B219" s="5" t="s">
        <v>15</v>
      </c>
      <c r="C219" s="5" t="s">
        <v>22</v>
      </c>
      <c r="D219" s="5">
        <v>8</v>
      </c>
      <c r="E219" s="5">
        <v>1018</v>
      </c>
      <c r="F219" s="5">
        <v>8144</v>
      </c>
      <c r="G219" s="6">
        <f t="shared" ca="1" si="9"/>
        <v>45379</v>
      </c>
      <c r="H219" s="4" t="str">
        <f t="shared" ca="1" si="10"/>
        <v>March</v>
      </c>
      <c r="I219" t="str">
        <f t="shared" ca="1" si="11"/>
        <v>2024</v>
      </c>
      <c r="L219" s="4"/>
    </row>
    <row r="220" spans="1:12" x14ac:dyDescent="0.4">
      <c r="A220" s="5" t="s">
        <v>17</v>
      </c>
      <c r="B220" s="5" t="s">
        <v>21</v>
      </c>
      <c r="C220" s="5" t="s">
        <v>14</v>
      </c>
      <c r="D220" s="5">
        <v>2</v>
      </c>
      <c r="E220" s="5">
        <v>1069</v>
      </c>
      <c r="F220" s="5">
        <v>2138</v>
      </c>
      <c r="G220" s="6">
        <f t="shared" ca="1" si="9"/>
        <v>45493</v>
      </c>
      <c r="H220" s="4" t="str">
        <f t="shared" ca="1" si="10"/>
        <v>July</v>
      </c>
      <c r="I220" t="str">
        <f t="shared" ca="1" si="11"/>
        <v>2024</v>
      </c>
      <c r="L220" s="4"/>
    </row>
    <row r="221" spans="1:12" x14ac:dyDescent="0.4">
      <c r="A221" s="5" t="s">
        <v>9</v>
      </c>
      <c r="B221" s="5" t="s">
        <v>7</v>
      </c>
      <c r="C221" s="5" t="s">
        <v>22</v>
      </c>
      <c r="D221" s="5">
        <v>24</v>
      </c>
      <c r="E221" s="5">
        <v>1603</v>
      </c>
      <c r="F221" s="5">
        <v>38472</v>
      </c>
      <c r="G221" s="6">
        <f t="shared" ca="1" si="9"/>
        <v>45551</v>
      </c>
      <c r="H221" s="4" t="str">
        <f t="shared" ca="1" si="10"/>
        <v>September</v>
      </c>
      <c r="I221" t="str">
        <f t="shared" ca="1" si="11"/>
        <v>2024</v>
      </c>
      <c r="L221" s="4"/>
    </row>
    <row r="222" spans="1:12" x14ac:dyDescent="0.4">
      <c r="A222" s="5" t="s">
        <v>19</v>
      </c>
      <c r="B222" s="5" t="s">
        <v>10</v>
      </c>
      <c r="C222" s="5" t="s">
        <v>11</v>
      </c>
      <c r="D222" s="5">
        <v>30</v>
      </c>
      <c r="E222" s="5">
        <v>1133</v>
      </c>
      <c r="F222" s="5">
        <v>33990</v>
      </c>
      <c r="G222" s="6">
        <f t="shared" ca="1" si="9"/>
        <v>45886</v>
      </c>
      <c r="H222" s="4" t="str">
        <f t="shared" ca="1" si="10"/>
        <v>August</v>
      </c>
      <c r="I222" t="str">
        <f t="shared" ca="1" si="11"/>
        <v>2025</v>
      </c>
      <c r="L222" s="4"/>
    </row>
    <row r="223" spans="1:12" x14ac:dyDescent="0.4">
      <c r="A223" s="5" t="s">
        <v>9</v>
      </c>
      <c r="B223" s="5" t="s">
        <v>10</v>
      </c>
      <c r="C223" s="5" t="s">
        <v>22</v>
      </c>
      <c r="D223" s="5">
        <v>45</v>
      </c>
      <c r="E223" s="5">
        <v>1983</v>
      </c>
      <c r="F223" s="5">
        <v>89235</v>
      </c>
      <c r="G223" s="6">
        <f t="shared" ca="1" si="9"/>
        <v>45877</v>
      </c>
      <c r="H223" s="4" t="str">
        <f t="shared" ca="1" si="10"/>
        <v>August</v>
      </c>
      <c r="I223" t="str">
        <f t="shared" ca="1" si="11"/>
        <v>2025</v>
      </c>
      <c r="L223" s="4"/>
    </row>
    <row r="224" spans="1:12" x14ac:dyDescent="0.4">
      <c r="A224" s="5" t="s">
        <v>6</v>
      </c>
      <c r="B224" s="5" t="s">
        <v>10</v>
      </c>
      <c r="C224" s="5" t="s">
        <v>13</v>
      </c>
      <c r="D224" s="5">
        <v>6</v>
      </c>
      <c r="E224" s="5">
        <v>1197</v>
      </c>
      <c r="F224" s="5">
        <v>7182</v>
      </c>
      <c r="G224" s="6">
        <f t="shared" ca="1" si="9"/>
        <v>45730</v>
      </c>
      <c r="H224" s="4" t="str">
        <f t="shared" ca="1" si="10"/>
        <v>March</v>
      </c>
      <c r="I224" t="str">
        <f t="shared" ca="1" si="11"/>
        <v>2025</v>
      </c>
      <c r="L224" s="4"/>
    </row>
    <row r="225" spans="1:12" x14ac:dyDescent="0.4">
      <c r="A225" s="5" t="s">
        <v>6</v>
      </c>
      <c r="B225" s="5" t="s">
        <v>10</v>
      </c>
      <c r="C225" s="5" t="s">
        <v>13</v>
      </c>
      <c r="D225" s="5">
        <v>32</v>
      </c>
      <c r="E225" s="5">
        <v>159</v>
      </c>
      <c r="F225" s="5">
        <v>5088</v>
      </c>
      <c r="G225" s="6">
        <f t="shared" ca="1" si="9"/>
        <v>45715</v>
      </c>
      <c r="H225" s="4" t="str">
        <f t="shared" ca="1" si="10"/>
        <v>February</v>
      </c>
      <c r="I225" t="str">
        <f t="shared" ca="1" si="11"/>
        <v>2025</v>
      </c>
      <c r="L225" s="4"/>
    </row>
    <row r="226" spans="1:12" x14ac:dyDescent="0.4">
      <c r="A226" s="5" t="s">
        <v>17</v>
      </c>
      <c r="B226" s="5" t="s">
        <v>7</v>
      </c>
      <c r="C226" s="5" t="s">
        <v>20</v>
      </c>
      <c r="D226" s="5">
        <v>35</v>
      </c>
      <c r="E226" s="5">
        <v>1476</v>
      </c>
      <c r="F226" s="5">
        <v>51660</v>
      </c>
      <c r="G226" s="6">
        <f t="shared" ca="1" si="9"/>
        <v>45985</v>
      </c>
      <c r="H226" s="4" t="str">
        <f t="shared" ca="1" si="10"/>
        <v>November</v>
      </c>
      <c r="I226" t="str">
        <f t="shared" ca="1" si="11"/>
        <v>2025</v>
      </c>
      <c r="L226" s="4"/>
    </row>
    <row r="227" spans="1:12" x14ac:dyDescent="0.4">
      <c r="A227" s="5" t="s">
        <v>19</v>
      </c>
      <c r="B227" s="5" t="s">
        <v>15</v>
      </c>
      <c r="C227" s="5" t="s">
        <v>20</v>
      </c>
      <c r="D227" s="5">
        <v>25</v>
      </c>
      <c r="E227" s="5">
        <v>1105</v>
      </c>
      <c r="F227" s="5">
        <v>27625</v>
      </c>
      <c r="G227" s="6">
        <f t="shared" ca="1" si="9"/>
        <v>45748</v>
      </c>
      <c r="H227" s="4" t="str">
        <f t="shared" ca="1" si="10"/>
        <v>April</v>
      </c>
      <c r="I227" t="str">
        <f t="shared" ca="1" si="11"/>
        <v>2025</v>
      </c>
      <c r="L227" s="4"/>
    </row>
    <row r="228" spans="1:12" x14ac:dyDescent="0.4">
      <c r="A228" s="5" t="s">
        <v>19</v>
      </c>
      <c r="B228" s="5" t="s">
        <v>7</v>
      </c>
      <c r="C228" s="5" t="s">
        <v>11</v>
      </c>
      <c r="D228" s="5">
        <v>17</v>
      </c>
      <c r="E228" s="5">
        <v>844</v>
      </c>
      <c r="F228" s="5">
        <v>14348</v>
      </c>
      <c r="G228" s="6">
        <f t="shared" ca="1" si="9"/>
        <v>45424</v>
      </c>
      <c r="H228" s="4" t="str">
        <f t="shared" ca="1" si="10"/>
        <v>May</v>
      </c>
      <c r="I228" t="str">
        <f t="shared" ca="1" si="11"/>
        <v>2024</v>
      </c>
      <c r="L228" s="4"/>
    </row>
    <row r="229" spans="1:12" x14ac:dyDescent="0.4">
      <c r="A229" s="5" t="s">
        <v>6</v>
      </c>
      <c r="B229" s="5" t="s">
        <v>21</v>
      </c>
      <c r="C229" s="5" t="s">
        <v>20</v>
      </c>
      <c r="D229" s="5">
        <v>41</v>
      </c>
      <c r="E229" s="5">
        <v>1267</v>
      </c>
      <c r="F229" s="5">
        <v>51947</v>
      </c>
      <c r="G229" s="6">
        <f t="shared" ca="1" si="9"/>
        <v>45691</v>
      </c>
      <c r="H229" s="4" t="str">
        <f t="shared" ca="1" si="10"/>
        <v>February</v>
      </c>
      <c r="I229" t="str">
        <f t="shared" ca="1" si="11"/>
        <v>2025</v>
      </c>
      <c r="L229" s="4"/>
    </row>
    <row r="230" spans="1:12" x14ac:dyDescent="0.4">
      <c r="A230" s="5" t="s">
        <v>17</v>
      </c>
      <c r="B230" s="5" t="s">
        <v>7</v>
      </c>
      <c r="C230" s="5" t="s">
        <v>13</v>
      </c>
      <c r="D230" s="5">
        <v>16</v>
      </c>
      <c r="E230" s="5">
        <v>1549</v>
      </c>
      <c r="F230" s="5">
        <v>24784</v>
      </c>
      <c r="G230" s="6">
        <f t="shared" ca="1" si="9"/>
        <v>45305</v>
      </c>
      <c r="H230" s="4" t="str">
        <f t="shared" ca="1" si="10"/>
        <v>January</v>
      </c>
      <c r="I230" t="str">
        <f t="shared" ca="1" si="11"/>
        <v>2024</v>
      </c>
      <c r="L230" s="4"/>
    </row>
    <row r="231" spans="1:12" x14ac:dyDescent="0.4">
      <c r="A231" s="5" t="s">
        <v>9</v>
      </c>
      <c r="B231" s="5" t="s">
        <v>7</v>
      </c>
      <c r="C231" s="5" t="s">
        <v>23</v>
      </c>
      <c r="D231" s="5">
        <v>5</v>
      </c>
      <c r="E231" s="5">
        <v>693</v>
      </c>
      <c r="F231" s="5">
        <v>3465</v>
      </c>
      <c r="G231" s="6">
        <f t="shared" ca="1" si="9"/>
        <v>45762</v>
      </c>
      <c r="H231" s="4" t="str">
        <f t="shared" ca="1" si="10"/>
        <v>April</v>
      </c>
      <c r="I231" t="str">
        <f t="shared" ca="1" si="11"/>
        <v>2025</v>
      </c>
      <c r="L231" s="4"/>
    </row>
    <row r="232" spans="1:12" x14ac:dyDescent="0.4">
      <c r="A232" s="5" t="s">
        <v>6</v>
      </c>
      <c r="B232" s="5" t="s">
        <v>10</v>
      </c>
      <c r="C232" s="5" t="s">
        <v>22</v>
      </c>
      <c r="D232" s="5">
        <v>20</v>
      </c>
      <c r="E232" s="5">
        <v>769</v>
      </c>
      <c r="F232" s="5">
        <v>15380</v>
      </c>
      <c r="G232" s="6">
        <f t="shared" ca="1" si="9"/>
        <v>45481</v>
      </c>
      <c r="H232" s="4" t="str">
        <f t="shared" ca="1" si="10"/>
        <v>July</v>
      </c>
      <c r="I232" t="str">
        <f t="shared" ca="1" si="11"/>
        <v>2024</v>
      </c>
      <c r="L232" s="4"/>
    </row>
    <row r="233" spans="1:12" x14ac:dyDescent="0.4">
      <c r="A233" s="5" t="s">
        <v>6</v>
      </c>
      <c r="B233" s="5" t="s">
        <v>12</v>
      </c>
      <c r="C233" s="5" t="s">
        <v>14</v>
      </c>
      <c r="D233" s="5">
        <v>5</v>
      </c>
      <c r="E233" s="5">
        <v>539</v>
      </c>
      <c r="F233" s="5">
        <v>2695</v>
      </c>
      <c r="G233" s="6">
        <f t="shared" ca="1" si="9"/>
        <v>45472</v>
      </c>
      <c r="H233" s="4" t="str">
        <f t="shared" ca="1" si="10"/>
        <v>June</v>
      </c>
      <c r="I233" t="str">
        <f t="shared" ca="1" si="11"/>
        <v>2024</v>
      </c>
      <c r="L233" s="4"/>
    </row>
    <row r="234" spans="1:12" x14ac:dyDescent="0.4">
      <c r="A234" s="5" t="s">
        <v>17</v>
      </c>
      <c r="B234" s="5" t="s">
        <v>21</v>
      </c>
      <c r="C234" s="5" t="s">
        <v>13</v>
      </c>
      <c r="D234" s="5">
        <v>16</v>
      </c>
      <c r="E234" s="5">
        <v>833</v>
      </c>
      <c r="F234" s="5">
        <v>13328</v>
      </c>
      <c r="G234" s="6">
        <f t="shared" ca="1" si="9"/>
        <v>45925</v>
      </c>
      <c r="H234" s="4" t="str">
        <f t="shared" ca="1" si="10"/>
        <v>September</v>
      </c>
      <c r="I234" t="str">
        <f t="shared" ca="1" si="11"/>
        <v>2025</v>
      </c>
      <c r="L234" s="4"/>
    </row>
    <row r="235" spans="1:12" x14ac:dyDescent="0.4">
      <c r="A235" s="5" t="s">
        <v>17</v>
      </c>
      <c r="B235" s="5" t="s">
        <v>12</v>
      </c>
      <c r="C235" s="5" t="s">
        <v>20</v>
      </c>
      <c r="D235" s="5">
        <v>20</v>
      </c>
      <c r="E235" s="5">
        <v>1910</v>
      </c>
      <c r="F235" s="5">
        <v>38200</v>
      </c>
      <c r="G235" s="6">
        <f t="shared" ca="1" si="9"/>
        <v>45372</v>
      </c>
      <c r="H235" s="4" t="str">
        <f t="shared" ca="1" si="10"/>
        <v>March</v>
      </c>
      <c r="I235" t="str">
        <f t="shared" ca="1" si="11"/>
        <v>2024</v>
      </c>
      <c r="L235" s="4"/>
    </row>
    <row r="236" spans="1:12" x14ac:dyDescent="0.4">
      <c r="A236" s="5" t="s">
        <v>17</v>
      </c>
      <c r="B236" s="5" t="s">
        <v>10</v>
      </c>
      <c r="C236" s="5" t="s">
        <v>11</v>
      </c>
      <c r="D236" s="5">
        <v>13</v>
      </c>
      <c r="E236" s="5">
        <v>1042</v>
      </c>
      <c r="F236" s="5">
        <v>13546</v>
      </c>
      <c r="G236" s="6">
        <f t="shared" ca="1" si="9"/>
        <v>45772</v>
      </c>
      <c r="H236" s="4" t="str">
        <f t="shared" ca="1" si="10"/>
        <v>April</v>
      </c>
      <c r="I236" t="str">
        <f t="shared" ca="1" si="11"/>
        <v>2025</v>
      </c>
      <c r="L236" s="4"/>
    </row>
    <row r="237" spans="1:12" x14ac:dyDescent="0.4">
      <c r="A237" s="5" t="s">
        <v>19</v>
      </c>
      <c r="B237" s="5" t="s">
        <v>7</v>
      </c>
      <c r="C237" s="5" t="s">
        <v>11</v>
      </c>
      <c r="D237" s="5">
        <v>50</v>
      </c>
      <c r="E237" s="5">
        <v>773</v>
      </c>
      <c r="F237" s="5">
        <v>38650</v>
      </c>
      <c r="G237" s="6">
        <f t="shared" ca="1" si="9"/>
        <v>45569</v>
      </c>
      <c r="H237" s="4" t="str">
        <f t="shared" ca="1" si="10"/>
        <v>October</v>
      </c>
      <c r="I237" t="str">
        <f t="shared" ca="1" si="11"/>
        <v>2024</v>
      </c>
      <c r="L237" s="4"/>
    </row>
    <row r="238" spans="1:12" x14ac:dyDescent="0.4">
      <c r="A238" s="5" t="s">
        <v>9</v>
      </c>
      <c r="B238" s="5" t="s">
        <v>7</v>
      </c>
      <c r="C238" s="5" t="s">
        <v>23</v>
      </c>
      <c r="D238" s="5">
        <v>29</v>
      </c>
      <c r="E238" s="5">
        <v>720</v>
      </c>
      <c r="F238" s="5">
        <v>20880</v>
      </c>
      <c r="G238" s="6">
        <f t="shared" ca="1" si="9"/>
        <v>45893</v>
      </c>
      <c r="H238" s="4" t="str">
        <f t="shared" ca="1" si="10"/>
        <v>August</v>
      </c>
      <c r="I238" t="str">
        <f t="shared" ca="1" si="11"/>
        <v>2025</v>
      </c>
      <c r="L238" s="4"/>
    </row>
    <row r="239" spans="1:12" x14ac:dyDescent="0.4">
      <c r="A239" s="5" t="s">
        <v>9</v>
      </c>
      <c r="B239" s="5" t="s">
        <v>10</v>
      </c>
      <c r="C239" s="5" t="s">
        <v>8</v>
      </c>
      <c r="D239" s="5">
        <v>27</v>
      </c>
      <c r="E239" s="5">
        <v>1741</v>
      </c>
      <c r="F239" s="5">
        <v>47007</v>
      </c>
      <c r="G239" s="6">
        <f t="shared" ca="1" si="9"/>
        <v>45646</v>
      </c>
      <c r="H239" s="4" t="str">
        <f t="shared" ca="1" si="10"/>
        <v>December</v>
      </c>
      <c r="I239" t="str">
        <f t="shared" ca="1" si="11"/>
        <v>2024</v>
      </c>
      <c r="L239" s="4"/>
    </row>
    <row r="240" spans="1:12" x14ac:dyDescent="0.4">
      <c r="A240" s="5" t="s">
        <v>6</v>
      </c>
      <c r="B240" s="5" t="s">
        <v>15</v>
      </c>
      <c r="C240" s="5" t="s">
        <v>11</v>
      </c>
      <c r="D240" s="5">
        <v>28</v>
      </c>
      <c r="E240" s="5">
        <v>1844</v>
      </c>
      <c r="F240" s="5">
        <v>51632</v>
      </c>
      <c r="G240" s="6">
        <f t="shared" ca="1" si="9"/>
        <v>45762</v>
      </c>
      <c r="H240" s="4" t="str">
        <f t="shared" ca="1" si="10"/>
        <v>April</v>
      </c>
      <c r="I240" t="str">
        <f t="shared" ca="1" si="11"/>
        <v>2025</v>
      </c>
      <c r="L240" s="4"/>
    </row>
    <row r="241" spans="1:12" x14ac:dyDescent="0.4">
      <c r="A241" s="5" t="s">
        <v>17</v>
      </c>
      <c r="B241" s="5" t="s">
        <v>12</v>
      </c>
      <c r="C241" s="5" t="s">
        <v>18</v>
      </c>
      <c r="D241" s="5">
        <v>43</v>
      </c>
      <c r="E241" s="5">
        <v>487</v>
      </c>
      <c r="F241" s="5">
        <v>20941</v>
      </c>
      <c r="G241" s="6">
        <f t="shared" ca="1" si="9"/>
        <v>45514</v>
      </c>
      <c r="H241" s="4" t="str">
        <f t="shared" ca="1" si="10"/>
        <v>August</v>
      </c>
      <c r="I241" t="str">
        <f t="shared" ca="1" si="11"/>
        <v>2024</v>
      </c>
      <c r="L241" s="4"/>
    </row>
    <row r="242" spans="1:12" x14ac:dyDescent="0.4">
      <c r="A242" s="5" t="s">
        <v>9</v>
      </c>
      <c r="B242" s="5" t="s">
        <v>7</v>
      </c>
      <c r="C242" s="5" t="s">
        <v>18</v>
      </c>
      <c r="D242" s="5">
        <v>29</v>
      </c>
      <c r="E242" s="5">
        <v>977</v>
      </c>
      <c r="F242" s="5">
        <v>28333</v>
      </c>
      <c r="G242" s="6">
        <f t="shared" ca="1" si="9"/>
        <v>45570</v>
      </c>
      <c r="H242" s="4" t="str">
        <f t="shared" ca="1" si="10"/>
        <v>October</v>
      </c>
      <c r="I242" t="str">
        <f t="shared" ca="1" si="11"/>
        <v>2024</v>
      </c>
      <c r="L242" s="4"/>
    </row>
    <row r="243" spans="1:12" x14ac:dyDescent="0.4">
      <c r="A243" s="5" t="s">
        <v>9</v>
      </c>
      <c r="B243" s="5" t="s">
        <v>10</v>
      </c>
      <c r="C243" s="5" t="s">
        <v>24</v>
      </c>
      <c r="D243" s="5">
        <v>19</v>
      </c>
      <c r="E243" s="5">
        <v>448</v>
      </c>
      <c r="F243" s="5">
        <v>8512</v>
      </c>
      <c r="G243" s="6">
        <f t="shared" ca="1" si="9"/>
        <v>45721</v>
      </c>
      <c r="H243" s="4" t="str">
        <f t="shared" ca="1" si="10"/>
        <v>March</v>
      </c>
      <c r="I243" t="str">
        <f t="shared" ca="1" si="11"/>
        <v>2025</v>
      </c>
      <c r="L243" s="4"/>
    </row>
    <row r="244" spans="1:12" x14ac:dyDescent="0.4">
      <c r="A244" s="5" t="s">
        <v>19</v>
      </c>
      <c r="B244" s="5" t="s">
        <v>21</v>
      </c>
      <c r="C244" s="5" t="s">
        <v>16</v>
      </c>
      <c r="D244" s="5">
        <v>27</v>
      </c>
      <c r="E244" s="5">
        <v>212</v>
      </c>
      <c r="F244" s="5">
        <v>5724</v>
      </c>
      <c r="G244" s="6">
        <f t="shared" ca="1" si="9"/>
        <v>45942</v>
      </c>
      <c r="H244" s="4" t="str">
        <f t="shared" ca="1" si="10"/>
        <v>October</v>
      </c>
      <c r="I244" t="str">
        <f t="shared" ca="1" si="11"/>
        <v>2025</v>
      </c>
      <c r="L244" s="4"/>
    </row>
    <row r="245" spans="1:12" x14ac:dyDescent="0.4">
      <c r="A245" s="5" t="s">
        <v>17</v>
      </c>
      <c r="B245" s="5" t="s">
        <v>10</v>
      </c>
      <c r="C245" s="5" t="s">
        <v>24</v>
      </c>
      <c r="D245" s="5">
        <v>38</v>
      </c>
      <c r="E245" s="5">
        <v>1938</v>
      </c>
      <c r="F245" s="5">
        <v>73644</v>
      </c>
      <c r="G245" s="6">
        <f t="shared" ca="1" si="9"/>
        <v>45967</v>
      </c>
      <c r="H245" s="4" t="str">
        <f t="shared" ca="1" si="10"/>
        <v>November</v>
      </c>
      <c r="I245" t="str">
        <f t="shared" ca="1" si="11"/>
        <v>2025</v>
      </c>
      <c r="L245" s="4"/>
    </row>
    <row r="246" spans="1:12" x14ac:dyDescent="0.4">
      <c r="A246" s="5" t="s">
        <v>9</v>
      </c>
      <c r="B246" s="5" t="s">
        <v>15</v>
      </c>
      <c r="C246" s="5" t="s">
        <v>13</v>
      </c>
      <c r="D246" s="5">
        <v>4</v>
      </c>
      <c r="E246" s="5">
        <v>515</v>
      </c>
      <c r="F246" s="5">
        <v>2060</v>
      </c>
      <c r="G246" s="6">
        <f t="shared" ca="1" si="9"/>
        <v>45886</v>
      </c>
      <c r="H246" s="4" t="str">
        <f t="shared" ca="1" si="10"/>
        <v>August</v>
      </c>
      <c r="I246" t="str">
        <f t="shared" ca="1" si="11"/>
        <v>2025</v>
      </c>
      <c r="L246" s="4"/>
    </row>
    <row r="247" spans="1:12" x14ac:dyDescent="0.4">
      <c r="A247" s="5" t="s">
        <v>19</v>
      </c>
      <c r="B247" s="5" t="s">
        <v>7</v>
      </c>
      <c r="C247" s="5" t="s">
        <v>22</v>
      </c>
      <c r="D247" s="5">
        <v>16</v>
      </c>
      <c r="E247" s="5">
        <v>770</v>
      </c>
      <c r="F247" s="5">
        <v>12320</v>
      </c>
      <c r="G247" s="6">
        <f t="shared" ca="1" si="9"/>
        <v>45771</v>
      </c>
      <c r="H247" s="4" t="str">
        <f t="shared" ca="1" si="10"/>
        <v>April</v>
      </c>
      <c r="I247" t="str">
        <f t="shared" ca="1" si="11"/>
        <v>2025</v>
      </c>
      <c r="L247" s="4"/>
    </row>
    <row r="248" spans="1:12" x14ac:dyDescent="0.4">
      <c r="A248" s="5" t="s">
        <v>6</v>
      </c>
      <c r="B248" s="5" t="s">
        <v>15</v>
      </c>
      <c r="C248" s="5" t="s">
        <v>13</v>
      </c>
      <c r="D248" s="5">
        <v>17</v>
      </c>
      <c r="E248" s="5">
        <v>1448</v>
      </c>
      <c r="F248" s="5">
        <v>24616</v>
      </c>
      <c r="G248" s="6">
        <f t="shared" ca="1" si="9"/>
        <v>45842</v>
      </c>
      <c r="H248" s="4" t="str">
        <f t="shared" ca="1" si="10"/>
        <v>July</v>
      </c>
      <c r="I248" t="str">
        <f t="shared" ca="1" si="11"/>
        <v>2025</v>
      </c>
      <c r="L248" s="4"/>
    </row>
    <row r="249" spans="1:12" x14ac:dyDescent="0.4">
      <c r="A249" s="5" t="s">
        <v>19</v>
      </c>
      <c r="B249" s="5" t="s">
        <v>7</v>
      </c>
      <c r="C249" s="5" t="s">
        <v>22</v>
      </c>
      <c r="D249" s="5">
        <v>20</v>
      </c>
      <c r="E249" s="5">
        <v>1091</v>
      </c>
      <c r="F249" s="5">
        <v>21820</v>
      </c>
      <c r="G249" s="6">
        <f t="shared" ca="1" si="9"/>
        <v>45817</v>
      </c>
      <c r="H249" s="4" t="str">
        <f t="shared" ca="1" si="10"/>
        <v>June</v>
      </c>
      <c r="I249" t="str">
        <f t="shared" ca="1" si="11"/>
        <v>2025</v>
      </c>
      <c r="L249" s="4"/>
    </row>
    <row r="250" spans="1:12" x14ac:dyDescent="0.4">
      <c r="A250" s="5" t="s">
        <v>9</v>
      </c>
      <c r="B250" s="5" t="s">
        <v>7</v>
      </c>
      <c r="C250" s="5" t="s">
        <v>16</v>
      </c>
      <c r="D250" s="5">
        <v>36</v>
      </c>
      <c r="E250" s="5">
        <v>786</v>
      </c>
      <c r="F250" s="5">
        <v>28296</v>
      </c>
      <c r="G250" s="6">
        <f t="shared" ca="1" si="9"/>
        <v>45540</v>
      </c>
      <c r="H250" s="4" t="str">
        <f t="shared" ca="1" si="10"/>
        <v>September</v>
      </c>
      <c r="I250" t="str">
        <f t="shared" ca="1" si="11"/>
        <v>2024</v>
      </c>
      <c r="L250" s="4"/>
    </row>
    <row r="251" spans="1:12" x14ac:dyDescent="0.4">
      <c r="A251" s="5" t="s">
        <v>6</v>
      </c>
      <c r="B251" s="5" t="s">
        <v>15</v>
      </c>
      <c r="C251" s="5" t="s">
        <v>23</v>
      </c>
      <c r="D251" s="5">
        <v>50</v>
      </c>
      <c r="E251" s="5">
        <v>1938</v>
      </c>
      <c r="F251" s="5">
        <v>96900</v>
      </c>
      <c r="G251" s="6">
        <f t="shared" ca="1" si="9"/>
        <v>45851</v>
      </c>
      <c r="H251" s="4" t="str">
        <f t="shared" ca="1" si="10"/>
        <v>July</v>
      </c>
      <c r="I251" t="str">
        <f t="shared" ca="1" si="11"/>
        <v>2025</v>
      </c>
      <c r="L251" s="4"/>
    </row>
    <row r="252" spans="1:12" x14ac:dyDescent="0.4">
      <c r="A252" s="5" t="s">
        <v>19</v>
      </c>
      <c r="B252" s="5" t="s">
        <v>10</v>
      </c>
      <c r="C252" s="5" t="s">
        <v>24</v>
      </c>
      <c r="D252" s="5">
        <v>28</v>
      </c>
      <c r="E252" s="5">
        <v>638</v>
      </c>
      <c r="F252" s="5">
        <v>17864</v>
      </c>
      <c r="G252" s="6">
        <f t="shared" ca="1" si="9"/>
        <v>45706</v>
      </c>
      <c r="H252" s="4" t="str">
        <f t="shared" ca="1" si="10"/>
        <v>February</v>
      </c>
      <c r="I252" t="str">
        <f t="shared" ca="1" si="11"/>
        <v>2025</v>
      </c>
      <c r="L252" s="4"/>
    </row>
    <row r="253" spans="1:12" x14ac:dyDescent="0.4">
      <c r="A253" s="5" t="s">
        <v>6</v>
      </c>
      <c r="B253" s="5" t="s">
        <v>10</v>
      </c>
      <c r="C253" s="5" t="s">
        <v>20</v>
      </c>
      <c r="D253" s="5">
        <v>18</v>
      </c>
      <c r="E253" s="5">
        <v>576</v>
      </c>
      <c r="F253" s="5">
        <v>10368</v>
      </c>
      <c r="G253" s="6">
        <f t="shared" ca="1" si="9"/>
        <v>45418</v>
      </c>
      <c r="H253" s="4" t="str">
        <f t="shared" ca="1" si="10"/>
        <v>May</v>
      </c>
      <c r="I253" t="str">
        <f t="shared" ca="1" si="11"/>
        <v>2024</v>
      </c>
      <c r="L253" s="4"/>
    </row>
    <row r="254" spans="1:12" x14ac:dyDescent="0.4">
      <c r="A254" s="5" t="s">
        <v>9</v>
      </c>
      <c r="B254" s="5" t="s">
        <v>10</v>
      </c>
      <c r="C254" s="5" t="s">
        <v>22</v>
      </c>
      <c r="D254" s="5">
        <v>13</v>
      </c>
      <c r="E254" s="5">
        <v>1448</v>
      </c>
      <c r="F254" s="5">
        <v>18824</v>
      </c>
      <c r="G254" s="6">
        <f t="shared" ca="1" si="9"/>
        <v>45325</v>
      </c>
      <c r="H254" s="4" t="str">
        <f t="shared" ca="1" si="10"/>
        <v>February</v>
      </c>
      <c r="I254" t="str">
        <f t="shared" ca="1" si="11"/>
        <v>2024</v>
      </c>
      <c r="L254" s="4"/>
    </row>
    <row r="255" spans="1:12" x14ac:dyDescent="0.4">
      <c r="A255" s="5" t="s">
        <v>9</v>
      </c>
      <c r="B255" s="5" t="s">
        <v>7</v>
      </c>
      <c r="C255" s="5" t="s">
        <v>22</v>
      </c>
      <c r="D255" s="5">
        <v>47</v>
      </c>
      <c r="E255" s="5">
        <v>1953</v>
      </c>
      <c r="F255" s="5">
        <v>91791</v>
      </c>
      <c r="G255" s="6">
        <f t="shared" ca="1" si="9"/>
        <v>45763</v>
      </c>
      <c r="H255" s="4" t="str">
        <f t="shared" ca="1" si="10"/>
        <v>April</v>
      </c>
      <c r="I255" t="str">
        <f t="shared" ca="1" si="11"/>
        <v>2025</v>
      </c>
      <c r="L255" s="4"/>
    </row>
    <row r="256" spans="1:12" x14ac:dyDescent="0.4">
      <c r="A256" s="5" t="s">
        <v>9</v>
      </c>
      <c r="B256" s="5" t="s">
        <v>7</v>
      </c>
      <c r="C256" s="5" t="s">
        <v>14</v>
      </c>
      <c r="D256" s="5">
        <v>39</v>
      </c>
      <c r="E256" s="5">
        <v>1743</v>
      </c>
      <c r="F256" s="5">
        <v>67977</v>
      </c>
      <c r="G256" s="6">
        <f t="shared" ca="1" si="9"/>
        <v>45407</v>
      </c>
      <c r="H256" s="4" t="str">
        <f t="shared" ca="1" si="10"/>
        <v>April</v>
      </c>
      <c r="I256" t="str">
        <f t="shared" ca="1" si="11"/>
        <v>2024</v>
      </c>
      <c r="L256" s="4"/>
    </row>
    <row r="257" spans="1:12" x14ac:dyDescent="0.4">
      <c r="A257" s="5" t="s">
        <v>17</v>
      </c>
      <c r="B257" s="5" t="s">
        <v>12</v>
      </c>
      <c r="C257" s="5" t="s">
        <v>20</v>
      </c>
      <c r="D257" s="5">
        <v>31</v>
      </c>
      <c r="E257" s="5">
        <v>1944</v>
      </c>
      <c r="F257" s="5">
        <v>60264</v>
      </c>
      <c r="G257" s="6">
        <f t="shared" ca="1" si="9"/>
        <v>45939</v>
      </c>
      <c r="H257" s="4" t="str">
        <f t="shared" ca="1" si="10"/>
        <v>October</v>
      </c>
      <c r="I257" t="str">
        <f t="shared" ca="1" si="11"/>
        <v>2025</v>
      </c>
      <c r="L257" s="4"/>
    </row>
    <row r="258" spans="1:12" x14ac:dyDescent="0.4">
      <c r="A258" s="5" t="s">
        <v>6</v>
      </c>
      <c r="B258" s="5" t="s">
        <v>7</v>
      </c>
      <c r="C258" s="5" t="s">
        <v>22</v>
      </c>
      <c r="D258" s="5">
        <v>46</v>
      </c>
      <c r="E258" s="5">
        <v>1865</v>
      </c>
      <c r="F258" s="5">
        <v>85790</v>
      </c>
      <c r="G258" s="6">
        <f t="shared" ca="1" si="9"/>
        <v>45822</v>
      </c>
      <c r="H258" s="4" t="str">
        <f t="shared" ca="1" si="10"/>
        <v>June</v>
      </c>
      <c r="I258" t="str">
        <f t="shared" ca="1" si="11"/>
        <v>2025</v>
      </c>
      <c r="L258" s="4"/>
    </row>
    <row r="259" spans="1:12" x14ac:dyDescent="0.4">
      <c r="A259" s="5" t="s">
        <v>17</v>
      </c>
      <c r="B259" s="5" t="s">
        <v>15</v>
      </c>
      <c r="C259" s="5" t="s">
        <v>22</v>
      </c>
      <c r="D259" s="5">
        <v>12</v>
      </c>
      <c r="E259" s="5">
        <v>307</v>
      </c>
      <c r="F259" s="5">
        <v>3684</v>
      </c>
      <c r="G259" s="6">
        <f t="shared" ref="G259:G322" ca="1" si="12">RANDBETWEEN(DATE(2024,1,1),DATE(2025,12,31))</f>
        <v>45977</v>
      </c>
      <c r="H259" s="4" t="str">
        <f t="shared" ref="H259:H322" ca="1" si="13">TEXT(G259,"mmmm")</f>
        <v>November</v>
      </c>
      <c r="I259" t="str">
        <f t="shared" ref="I259:I322" ca="1" si="14">TEXT(G259,"yyyy")</f>
        <v>2025</v>
      </c>
      <c r="L259" s="4"/>
    </row>
    <row r="260" spans="1:12" x14ac:dyDescent="0.4">
      <c r="A260" s="5" t="s">
        <v>6</v>
      </c>
      <c r="B260" s="5" t="s">
        <v>21</v>
      </c>
      <c r="C260" s="5" t="s">
        <v>24</v>
      </c>
      <c r="D260" s="5">
        <v>14</v>
      </c>
      <c r="E260" s="5">
        <v>1016</v>
      </c>
      <c r="F260" s="5">
        <v>14224</v>
      </c>
      <c r="G260" s="6">
        <f t="shared" ca="1" si="12"/>
        <v>45904</v>
      </c>
      <c r="H260" s="4" t="str">
        <f t="shared" ca="1" si="13"/>
        <v>September</v>
      </c>
      <c r="I260" t="str">
        <f t="shared" ca="1" si="14"/>
        <v>2025</v>
      </c>
      <c r="L260" s="4"/>
    </row>
    <row r="261" spans="1:12" x14ac:dyDescent="0.4">
      <c r="A261" s="5" t="s">
        <v>17</v>
      </c>
      <c r="B261" s="5" t="s">
        <v>15</v>
      </c>
      <c r="C261" s="5" t="s">
        <v>14</v>
      </c>
      <c r="D261" s="5">
        <v>31</v>
      </c>
      <c r="E261" s="5">
        <v>336</v>
      </c>
      <c r="F261" s="5">
        <v>10416</v>
      </c>
      <c r="G261" s="6">
        <f t="shared" ca="1" si="12"/>
        <v>46020</v>
      </c>
      <c r="H261" s="4" t="str">
        <f t="shared" ca="1" si="13"/>
        <v>December</v>
      </c>
      <c r="I261" t="str">
        <f t="shared" ca="1" si="14"/>
        <v>2025</v>
      </c>
      <c r="L261" s="4"/>
    </row>
    <row r="262" spans="1:12" x14ac:dyDescent="0.4">
      <c r="A262" s="5" t="s">
        <v>17</v>
      </c>
      <c r="B262" s="5" t="s">
        <v>12</v>
      </c>
      <c r="C262" s="5" t="s">
        <v>24</v>
      </c>
      <c r="D262" s="5">
        <v>1</v>
      </c>
      <c r="E262" s="5">
        <v>1462</v>
      </c>
      <c r="F262" s="5">
        <v>1462</v>
      </c>
      <c r="G262" s="6">
        <f t="shared" ca="1" si="12"/>
        <v>45536</v>
      </c>
      <c r="H262" s="4" t="str">
        <f t="shared" ca="1" si="13"/>
        <v>September</v>
      </c>
      <c r="I262" t="str">
        <f t="shared" ca="1" si="14"/>
        <v>2024</v>
      </c>
      <c r="L262" s="4"/>
    </row>
    <row r="263" spans="1:12" x14ac:dyDescent="0.4">
      <c r="A263" s="5" t="s">
        <v>9</v>
      </c>
      <c r="B263" s="5" t="s">
        <v>7</v>
      </c>
      <c r="C263" s="5" t="s">
        <v>16</v>
      </c>
      <c r="D263" s="5">
        <v>23</v>
      </c>
      <c r="E263" s="5">
        <v>399</v>
      </c>
      <c r="F263" s="5">
        <v>9177</v>
      </c>
      <c r="G263" s="6">
        <f t="shared" ca="1" si="12"/>
        <v>45803</v>
      </c>
      <c r="H263" s="4" t="str">
        <f t="shared" ca="1" si="13"/>
        <v>May</v>
      </c>
      <c r="I263" t="str">
        <f t="shared" ca="1" si="14"/>
        <v>2025</v>
      </c>
      <c r="L263" s="4"/>
    </row>
    <row r="264" spans="1:12" x14ac:dyDescent="0.4">
      <c r="A264" s="5" t="s">
        <v>9</v>
      </c>
      <c r="B264" s="5" t="s">
        <v>15</v>
      </c>
      <c r="C264" s="5" t="s">
        <v>20</v>
      </c>
      <c r="D264" s="5">
        <v>11</v>
      </c>
      <c r="E264" s="5">
        <v>990</v>
      </c>
      <c r="F264" s="5">
        <v>10890</v>
      </c>
      <c r="G264" s="6">
        <f t="shared" ca="1" si="12"/>
        <v>45799</v>
      </c>
      <c r="H264" s="4" t="str">
        <f t="shared" ca="1" si="13"/>
        <v>May</v>
      </c>
      <c r="I264" t="str">
        <f t="shared" ca="1" si="14"/>
        <v>2025</v>
      </c>
      <c r="L264" s="4"/>
    </row>
    <row r="265" spans="1:12" x14ac:dyDescent="0.4">
      <c r="A265" s="5" t="s">
        <v>19</v>
      </c>
      <c r="B265" s="5" t="s">
        <v>21</v>
      </c>
      <c r="C265" s="5" t="s">
        <v>16</v>
      </c>
      <c r="D265" s="5">
        <v>15</v>
      </c>
      <c r="E265" s="5">
        <v>1819</v>
      </c>
      <c r="F265" s="5">
        <v>27285</v>
      </c>
      <c r="G265" s="6">
        <f t="shared" ca="1" si="12"/>
        <v>45836</v>
      </c>
      <c r="H265" s="4" t="str">
        <f t="shared" ca="1" si="13"/>
        <v>June</v>
      </c>
      <c r="I265" t="str">
        <f t="shared" ca="1" si="14"/>
        <v>2025</v>
      </c>
      <c r="L265" s="4"/>
    </row>
    <row r="266" spans="1:12" x14ac:dyDescent="0.4">
      <c r="A266" s="5" t="s">
        <v>6</v>
      </c>
      <c r="B266" s="5" t="s">
        <v>7</v>
      </c>
      <c r="C266" s="5" t="s">
        <v>18</v>
      </c>
      <c r="D266" s="5">
        <v>29</v>
      </c>
      <c r="E266" s="5">
        <v>602</v>
      </c>
      <c r="F266" s="5">
        <v>17458</v>
      </c>
      <c r="G266" s="6">
        <f t="shared" ca="1" si="12"/>
        <v>45767</v>
      </c>
      <c r="H266" s="4" t="str">
        <f t="shared" ca="1" si="13"/>
        <v>April</v>
      </c>
      <c r="I266" t="str">
        <f t="shared" ca="1" si="14"/>
        <v>2025</v>
      </c>
      <c r="L266" s="4"/>
    </row>
    <row r="267" spans="1:12" x14ac:dyDescent="0.4">
      <c r="A267" s="5" t="s">
        <v>9</v>
      </c>
      <c r="B267" s="5" t="s">
        <v>10</v>
      </c>
      <c r="C267" s="5" t="s">
        <v>20</v>
      </c>
      <c r="D267" s="5">
        <v>43</v>
      </c>
      <c r="E267" s="5">
        <v>976</v>
      </c>
      <c r="F267" s="5">
        <v>41968</v>
      </c>
      <c r="G267" s="6">
        <f t="shared" ca="1" si="12"/>
        <v>45364</v>
      </c>
      <c r="H267" s="4" t="str">
        <f t="shared" ca="1" si="13"/>
        <v>March</v>
      </c>
      <c r="I267" t="str">
        <f t="shared" ca="1" si="14"/>
        <v>2024</v>
      </c>
      <c r="L267" s="4"/>
    </row>
    <row r="268" spans="1:12" x14ac:dyDescent="0.4">
      <c r="A268" s="5" t="s">
        <v>9</v>
      </c>
      <c r="B268" s="5" t="s">
        <v>10</v>
      </c>
      <c r="C268" s="5" t="s">
        <v>11</v>
      </c>
      <c r="D268" s="5">
        <v>47</v>
      </c>
      <c r="E268" s="5">
        <v>316</v>
      </c>
      <c r="F268" s="5">
        <v>14852</v>
      </c>
      <c r="G268" s="6">
        <f t="shared" ca="1" si="12"/>
        <v>45834</v>
      </c>
      <c r="H268" s="4" t="str">
        <f t="shared" ca="1" si="13"/>
        <v>June</v>
      </c>
      <c r="I268" t="str">
        <f t="shared" ca="1" si="14"/>
        <v>2025</v>
      </c>
      <c r="L268" s="4"/>
    </row>
    <row r="269" spans="1:12" x14ac:dyDescent="0.4">
      <c r="A269" s="5" t="s">
        <v>17</v>
      </c>
      <c r="B269" s="5" t="s">
        <v>15</v>
      </c>
      <c r="C269" s="5" t="s">
        <v>22</v>
      </c>
      <c r="D269" s="5">
        <v>22</v>
      </c>
      <c r="E269" s="5">
        <v>118</v>
      </c>
      <c r="F269" s="5">
        <v>2596</v>
      </c>
      <c r="G269" s="6">
        <f t="shared" ca="1" si="12"/>
        <v>45782</v>
      </c>
      <c r="H269" s="4" t="str">
        <f t="shared" ca="1" si="13"/>
        <v>May</v>
      </c>
      <c r="I269" t="str">
        <f t="shared" ca="1" si="14"/>
        <v>2025</v>
      </c>
      <c r="L269" s="4"/>
    </row>
    <row r="270" spans="1:12" x14ac:dyDescent="0.4">
      <c r="A270" s="5" t="s">
        <v>17</v>
      </c>
      <c r="B270" s="5" t="s">
        <v>21</v>
      </c>
      <c r="C270" s="5" t="s">
        <v>16</v>
      </c>
      <c r="D270" s="5">
        <v>40</v>
      </c>
      <c r="E270" s="5">
        <v>1627</v>
      </c>
      <c r="F270" s="5">
        <v>65080</v>
      </c>
      <c r="G270" s="6">
        <f t="shared" ca="1" si="12"/>
        <v>45741</v>
      </c>
      <c r="H270" s="4" t="str">
        <f t="shared" ca="1" si="13"/>
        <v>March</v>
      </c>
      <c r="I270" t="str">
        <f t="shared" ca="1" si="14"/>
        <v>2025</v>
      </c>
      <c r="L270" s="4"/>
    </row>
    <row r="271" spans="1:12" x14ac:dyDescent="0.4">
      <c r="A271" s="5" t="s">
        <v>19</v>
      </c>
      <c r="B271" s="5" t="s">
        <v>21</v>
      </c>
      <c r="C271" s="5" t="s">
        <v>11</v>
      </c>
      <c r="D271" s="5">
        <v>16</v>
      </c>
      <c r="E271" s="5">
        <v>313</v>
      </c>
      <c r="F271" s="5">
        <v>5008</v>
      </c>
      <c r="G271" s="6">
        <f t="shared" ca="1" si="12"/>
        <v>45696</v>
      </c>
      <c r="H271" s="4" t="str">
        <f t="shared" ca="1" si="13"/>
        <v>February</v>
      </c>
      <c r="I271" t="str">
        <f t="shared" ca="1" si="14"/>
        <v>2025</v>
      </c>
      <c r="L271" s="4"/>
    </row>
    <row r="272" spans="1:12" x14ac:dyDescent="0.4">
      <c r="A272" s="5" t="s">
        <v>6</v>
      </c>
      <c r="B272" s="5" t="s">
        <v>21</v>
      </c>
      <c r="C272" s="5" t="s">
        <v>11</v>
      </c>
      <c r="D272" s="5">
        <v>33</v>
      </c>
      <c r="E272" s="5">
        <v>805</v>
      </c>
      <c r="F272" s="5">
        <v>26565</v>
      </c>
      <c r="G272" s="6">
        <f t="shared" ca="1" si="12"/>
        <v>45463</v>
      </c>
      <c r="H272" s="4" t="str">
        <f t="shared" ca="1" si="13"/>
        <v>June</v>
      </c>
      <c r="I272" t="str">
        <f t="shared" ca="1" si="14"/>
        <v>2024</v>
      </c>
      <c r="L272" s="4"/>
    </row>
    <row r="273" spans="1:12" x14ac:dyDescent="0.4">
      <c r="A273" s="5" t="s">
        <v>19</v>
      </c>
      <c r="B273" s="5" t="s">
        <v>12</v>
      </c>
      <c r="C273" s="5" t="s">
        <v>18</v>
      </c>
      <c r="D273" s="5">
        <v>3</v>
      </c>
      <c r="E273" s="5">
        <v>1549</v>
      </c>
      <c r="F273" s="5">
        <v>4647</v>
      </c>
      <c r="G273" s="6">
        <f t="shared" ca="1" si="12"/>
        <v>45336</v>
      </c>
      <c r="H273" s="4" t="str">
        <f t="shared" ca="1" si="13"/>
        <v>February</v>
      </c>
      <c r="I273" t="str">
        <f t="shared" ca="1" si="14"/>
        <v>2024</v>
      </c>
      <c r="L273" s="4"/>
    </row>
    <row r="274" spans="1:12" x14ac:dyDescent="0.4">
      <c r="A274" s="5" t="s">
        <v>6</v>
      </c>
      <c r="B274" s="5" t="s">
        <v>15</v>
      </c>
      <c r="C274" s="5" t="s">
        <v>20</v>
      </c>
      <c r="D274" s="5">
        <v>25</v>
      </c>
      <c r="E274" s="5">
        <v>858</v>
      </c>
      <c r="F274" s="5">
        <v>21450</v>
      </c>
      <c r="G274" s="6">
        <f t="shared" ca="1" si="12"/>
        <v>45780</v>
      </c>
      <c r="H274" s="4" t="str">
        <f t="shared" ca="1" si="13"/>
        <v>May</v>
      </c>
      <c r="I274" t="str">
        <f t="shared" ca="1" si="14"/>
        <v>2025</v>
      </c>
      <c r="L274" s="4"/>
    </row>
    <row r="275" spans="1:12" x14ac:dyDescent="0.4">
      <c r="A275" s="5" t="s">
        <v>19</v>
      </c>
      <c r="B275" s="5" t="s">
        <v>15</v>
      </c>
      <c r="C275" s="5" t="s">
        <v>8</v>
      </c>
      <c r="D275" s="5">
        <v>23</v>
      </c>
      <c r="E275" s="5">
        <v>1290</v>
      </c>
      <c r="F275" s="5">
        <v>29670</v>
      </c>
      <c r="G275" s="6">
        <f t="shared" ca="1" si="12"/>
        <v>45772</v>
      </c>
      <c r="H275" s="4" t="str">
        <f t="shared" ca="1" si="13"/>
        <v>April</v>
      </c>
      <c r="I275" t="str">
        <f t="shared" ca="1" si="14"/>
        <v>2025</v>
      </c>
      <c r="L275" s="4"/>
    </row>
    <row r="276" spans="1:12" x14ac:dyDescent="0.4">
      <c r="A276" s="5" t="s">
        <v>6</v>
      </c>
      <c r="B276" s="5" t="s">
        <v>10</v>
      </c>
      <c r="C276" s="5" t="s">
        <v>8</v>
      </c>
      <c r="D276" s="5">
        <v>28</v>
      </c>
      <c r="E276" s="5">
        <v>699</v>
      </c>
      <c r="F276" s="5">
        <v>19572</v>
      </c>
      <c r="G276" s="6">
        <f t="shared" ca="1" si="12"/>
        <v>45376</v>
      </c>
      <c r="H276" s="4" t="str">
        <f t="shared" ca="1" si="13"/>
        <v>March</v>
      </c>
      <c r="I276" t="str">
        <f t="shared" ca="1" si="14"/>
        <v>2024</v>
      </c>
      <c r="L276" s="4"/>
    </row>
    <row r="277" spans="1:12" x14ac:dyDescent="0.4">
      <c r="A277" s="5" t="s">
        <v>6</v>
      </c>
      <c r="B277" s="5" t="s">
        <v>12</v>
      </c>
      <c r="C277" s="5" t="s">
        <v>14</v>
      </c>
      <c r="D277" s="5">
        <v>34</v>
      </c>
      <c r="E277" s="5">
        <v>714</v>
      </c>
      <c r="F277" s="5">
        <v>24276</v>
      </c>
      <c r="G277" s="6">
        <f t="shared" ca="1" si="12"/>
        <v>45333</v>
      </c>
      <c r="H277" s="4" t="str">
        <f t="shared" ca="1" si="13"/>
        <v>February</v>
      </c>
      <c r="I277" t="str">
        <f t="shared" ca="1" si="14"/>
        <v>2024</v>
      </c>
      <c r="L277" s="4"/>
    </row>
    <row r="278" spans="1:12" x14ac:dyDescent="0.4">
      <c r="A278" s="5" t="s">
        <v>19</v>
      </c>
      <c r="B278" s="5" t="s">
        <v>15</v>
      </c>
      <c r="C278" s="5" t="s">
        <v>23</v>
      </c>
      <c r="D278" s="5">
        <v>26</v>
      </c>
      <c r="E278" s="5">
        <v>334</v>
      </c>
      <c r="F278" s="5">
        <v>8684</v>
      </c>
      <c r="G278" s="6">
        <f t="shared" ca="1" si="12"/>
        <v>45800</v>
      </c>
      <c r="H278" s="4" t="str">
        <f t="shared" ca="1" si="13"/>
        <v>May</v>
      </c>
      <c r="I278" t="str">
        <f t="shared" ca="1" si="14"/>
        <v>2025</v>
      </c>
      <c r="L278" s="4"/>
    </row>
    <row r="279" spans="1:12" x14ac:dyDescent="0.4">
      <c r="A279" s="5" t="s">
        <v>6</v>
      </c>
      <c r="B279" s="5" t="s">
        <v>21</v>
      </c>
      <c r="C279" s="5" t="s">
        <v>23</v>
      </c>
      <c r="D279" s="5">
        <v>37</v>
      </c>
      <c r="E279" s="5">
        <v>741</v>
      </c>
      <c r="F279" s="5">
        <v>27417</v>
      </c>
      <c r="G279" s="6">
        <f t="shared" ca="1" si="12"/>
        <v>45915</v>
      </c>
      <c r="H279" s="4" t="str">
        <f t="shared" ca="1" si="13"/>
        <v>September</v>
      </c>
      <c r="I279" t="str">
        <f t="shared" ca="1" si="14"/>
        <v>2025</v>
      </c>
      <c r="L279" s="4"/>
    </row>
    <row r="280" spans="1:12" x14ac:dyDescent="0.4">
      <c r="A280" s="5" t="s">
        <v>17</v>
      </c>
      <c r="B280" s="5" t="s">
        <v>21</v>
      </c>
      <c r="C280" s="5" t="s">
        <v>20</v>
      </c>
      <c r="D280" s="5">
        <v>25</v>
      </c>
      <c r="E280" s="5">
        <v>307</v>
      </c>
      <c r="F280" s="5">
        <v>7675</v>
      </c>
      <c r="G280" s="6">
        <f t="shared" ca="1" si="12"/>
        <v>45677</v>
      </c>
      <c r="H280" s="4" t="str">
        <f t="shared" ca="1" si="13"/>
        <v>January</v>
      </c>
      <c r="I280" t="str">
        <f t="shared" ca="1" si="14"/>
        <v>2025</v>
      </c>
      <c r="L280" s="4"/>
    </row>
    <row r="281" spans="1:12" x14ac:dyDescent="0.4">
      <c r="A281" s="5" t="s">
        <v>9</v>
      </c>
      <c r="B281" s="5" t="s">
        <v>21</v>
      </c>
      <c r="C281" s="5" t="s">
        <v>20</v>
      </c>
      <c r="D281" s="5">
        <v>9</v>
      </c>
      <c r="E281" s="5">
        <v>723</v>
      </c>
      <c r="F281" s="5">
        <v>6507</v>
      </c>
      <c r="G281" s="6">
        <f t="shared" ca="1" si="12"/>
        <v>45588</v>
      </c>
      <c r="H281" s="4" t="str">
        <f t="shared" ca="1" si="13"/>
        <v>October</v>
      </c>
      <c r="I281" t="str">
        <f t="shared" ca="1" si="14"/>
        <v>2024</v>
      </c>
      <c r="L281" s="4"/>
    </row>
    <row r="282" spans="1:12" x14ac:dyDescent="0.4">
      <c r="A282" s="5" t="s">
        <v>9</v>
      </c>
      <c r="B282" s="5" t="s">
        <v>7</v>
      </c>
      <c r="C282" s="5" t="s">
        <v>13</v>
      </c>
      <c r="D282" s="5">
        <v>38</v>
      </c>
      <c r="E282" s="5">
        <v>1531</v>
      </c>
      <c r="F282" s="5">
        <v>58178</v>
      </c>
      <c r="G282" s="6">
        <f t="shared" ca="1" si="12"/>
        <v>45478</v>
      </c>
      <c r="H282" s="4" t="str">
        <f t="shared" ca="1" si="13"/>
        <v>July</v>
      </c>
      <c r="I282" t="str">
        <f t="shared" ca="1" si="14"/>
        <v>2024</v>
      </c>
      <c r="L282" s="4"/>
    </row>
    <row r="283" spans="1:12" x14ac:dyDescent="0.4">
      <c r="A283" s="5" t="s">
        <v>9</v>
      </c>
      <c r="B283" s="5" t="s">
        <v>12</v>
      </c>
      <c r="C283" s="5" t="s">
        <v>24</v>
      </c>
      <c r="D283" s="5">
        <v>25</v>
      </c>
      <c r="E283" s="5">
        <v>1292</v>
      </c>
      <c r="F283" s="5">
        <v>32300</v>
      </c>
      <c r="G283" s="6">
        <f t="shared" ca="1" si="12"/>
        <v>45442</v>
      </c>
      <c r="H283" s="4" t="str">
        <f t="shared" ca="1" si="13"/>
        <v>May</v>
      </c>
      <c r="I283" t="str">
        <f t="shared" ca="1" si="14"/>
        <v>2024</v>
      </c>
      <c r="L283" s="4"/>
    </row>
    <row r="284" spans="1:12" x14ac:dyDescent="0.4">
      <c r="A284" s="5" t="s">
        <v>9</v>
      </c>
      <c r="B284" s="5" t="s">
        <v>12</v>
      </c>
      <c r="C284" s="5" t="s">
        <v>14</v>
      </c>
      <c r="D284" s="5">
        <v>40</v>
      </c>
      <c r="E284" s="5">
        <v>1263</v>
      </c>
      <c r="F284" s="5">
        <v>50520</v>
      </c>
      <c r="G284" s="6">
        <f t="shared" ca="1" si="12"/>
        <v>45353</v>
      </c>
      <c r="H284" s="4" t="str">
        <f t="shared" ca="1" si="13"/>
        <v>March</v>
      </c>
      <c r="I284" t="str">
        <f t="shared" ca="1" si="14"/>
        <v>2024</v>
      </c>
      <c r="L284" s="4"/>
    </row>
    <row r="285" spans="1:12" x14ac:dyDescent="0.4">
      <c r="A285" s="5" t="s">
        <v>19</v>
      </c>
      <c r="B285" s="5" t="s">
        <v>21</v>
      </c>
      <c r="C285" s="5" t="s">
        <v>16</v>
      </c>
      <c r="D285" s="5">
        <v>37</v>
      </c>
      <c r="E285" s="5">
        <v>1692</v>
      </c>
      <c r="F285" s="5">
        <v>62604</v>
      </c>
      <c r="G285" s="6">
        <f t="shared" ca="1" si="12"/>
        <v>45580</v>
      </c>
      <c r="H285" s="4" t="str">
        <f t="shared" ca="1" si="13"/>
        <v>October</v>
      </c>
      <c r="I285" t="str">
        <f t="shared" ca="1" si="14"/>
        <v>2024</v>
      </c>
      <c r="L285" s="4"/>
    </row>
    <row r="286" spans="1:12" x14ac:dyDescent="0.4">
      <c r="A286" s="5" t="s">
        <v>19</v>
      </c>
      <c r="B286" s="5" t="s">
        <v>10</v>
      </c>
      <c r="C286" s="5" t="s">
        <v>18</v>
      </c>
      <c r="D286" s="5">
        <v>48</v>
      </c>
      <c r="E286" s="5">
        <v>732</v>
      </c>
      <c r="F286" s="5">
        <v>35136</v>
      </c>
      <c r="G286" s="6">
        <f t="shared" ca="1" si="12"/>
        <v>45863</v>
      </c>
      <c r="H286" s="4" t="str">
        <f t="shared" ca="1" si="13"/>
        <v>July</v>
      </c>
      <c r="I286" t="str">
        <f t="shared" ca="1" si="14"/>
        <v>2025</v>
      </c>
      <c r="L286" s="4"/>
    </row>
    <row r="287" spans="1:12" x14ac:dyDescent="0.4">
      <c r="A287" s="5" t="s">
        <v>17</v>
      </c>
      <c r="B287" s="5" t="s">
        <v>7</v>
      </c>
      <c r="C287" s="5" t="s">
        <v>11</v>
      </c>
      <c r="D287" s="5">
        <v>17</v>
      </c>
      <c r="E287" s="5">
        <v>1872</v>
      </c>
      <c r="F287" s="5">
        <v>31824</v>
      </c>
      <c r="G287" s="6">
        <f t="shared" ca="1" si="12"/>
        <v>45329</v>
      </c>
      <c r="H287" s="4" t="str">
        <f t="shared" ca="1" si="13"/>
        <v>February</v>
      </c>
      <c r="I287" t="str">
        <f t="shared" ca="1" si="14"/>
        <v>2024</v>
      </c>
      <c r="L287" s="4"/>
    </row>
    <row r="288" spans="1:12" x14ac:dyDescent="0.4">
      <c r="A288" s="5" t="s">
        <v>6</v>
      </c>
      <c r="B288" s="5" t="s">
        <v>15</v>
      </c>
      <c r="C288" s="5" t="s">
        <v>8</v>
      </c>
      <c r="D288" s="5">
        <v>28</v>
      </c>
      <c r="E288" s="5">
        <v>1195</v>
      </c>
      <c r="F288" s="5">
        <v>33460</v>
      </c>
      <c r="G288" s="6">
        <f t="shared" ca="1" si="12"/>
        <v>45496</v>
      </c>
      <c r="H288" s="4" t="str">
        <f t="shared" ca="1" si="13"/>
        <v>July</v>
      </c>
      <c r="I288" t="str">
        <f t="shared" ca="1" si="14"/>
        <v>2024</v>
      </c>
      <c r="L288" s="4"/>
    </row>
    <row r="289" spans="1:12" x14ac:dyDescent="0.4">
      <c r="A289" s="5" t="s">
        <v>17</v>
      </c>
      <c r="B289" s="5" t="s">
        <v>21</v>
      </c>
      <c r="C289" s="5" t="s">
        <v>22</v>
      </c>
      <c r="D289" s="5">
        <v>28</v>
      </c>
      <c r="E289" s="5">
        <v>363</v>
      </c>
      <c r="F289" s="5">
        <v>10164</v>
      </c>
      <c r="G289" s="6">
        <f t="shared" ca="1" si="12"/>
        <v>45958</v>
      </c>
      <c r="H289" s="4" t="str">
        <f t="shared" ca="1" si="13"/>
        <v>October</v>
      </c>
      <c r="I289" t="str">
        <f t="shared" ca="1" si="14"/>
        <v>2025</v>
      </c>
      <c r="L289" s="4"/>
    </row>
    <row r="290" spans="1:12" x14ac:dyDescent="0.4">
      <c r="A290" s="5" t="s">
        <v>9</v>
      </c>
      <c r="B290" s="5" t="s">
        <v>10</v>
      </c>
      <c r="C290" s="5" t="s">
        <v>16</v>
      </c>
      <c r="D290" s="5">
        <v>42</v>
      </c>
      <c r="E290" s="5">
        <v>1327</v>
      </c>
      <c r="F290" s="5">
        <v>55734</v>
      </c>
      <c r="G290" s="6">
        <f t="shared" ca="1" si="12"/>
        <v>45763</v>
      </c>
      <c r="H290" s="4" t="str">
        <f t="shared" ca="1" si="13"/>
        <v>April</v>
      </c>
      <c r="I290" t="str">
        <f t="shared" ca="1" si="14"/>
        <v>2025</v>
      </c>
      <c r="L290" s="4"/>
    </row>
    <row r="291" spans="1:12" x14ac:dyDescent="0.4">
      <c r="A291" s="5" t="s">
        <v>17</v>
      </c>
      <c r="B291" s="5" t="s">
        <v>15</v>
      </c>
      <c r="C291" s="5" t="s">
        <v>23</v>
      </c>
      <c r="D291" s="5">
        <v>20</v>
      </c>
      <c r="E291" s="5">
        <v>1918</v>
      </c>
      <c r="F291" s="5">
        <v>38360</v>
      </c>
      <c r="G291" s="6">
        <f t="shared" ca="1" si="12"/>
        <v>45759</v>
      </c>
      <c r="H291" s="4" t="str">
        <f t="shared" ca="1" si="13"/>
        <v>April</v>
      </c>
      <c r="I291" t="str">
        <f t="shared" ca="1" si="14"/>
        <v>2025</v>
      </c>
      <c r="L291" s="4"/>
    </row>
    <row r="292" spans="1:12" x14ac:dyDescent="0.4">
      <c r="A292" s="5" t="s">
        <v>6</v>
      </c>
      <c r="B292" s="5" t="s">
        <v>21</v>
      </c>
      <c r="C292" s="5" t="s">
        <v>14</v>
      </c>
      <c r="D292" s="5">
        <v>28</v>
      </c>
      <c r="E292" s="5">
        <v>1898</v>
      </c>
      <c r="F292" s="5">
        <v>53144</v>
      </c>
      <c r="G292" s="6">
        <f t="shared" ca="1" si="12"/>
        <v>45846</v>
      </c>
      <c r="H292" s="4" t="str">
        <f t="shared" ca="1" si="13"/>
        <v>July</v>
      </c>
      <c r="I292" t="str">
        <f t="shared" ca="1" si="14"/>
        <v>2025</v>
      </c>
      <c r="L292" s="4"/>
    </row>
    <row r="293" spans="1:12" x14ac:dyDescent="0.4">
      <c r="A293" s="5" t="s">
        <v>17</v>
      </c>
      <c r="B293" s="5" t="s">
        <v>7</v>
      </c>
      <c r="C293" s="5" t="s">
        <v>8</v>
      </c>
      <c r="D293" s="5">
        <v>30</v>
      </c>
      <c r="E293" s="5">
        <v>1973</v>
      </c>
      <c r="F293" s="5">
        <v>59190</v>
      </c>
      <c r="G293" s="6">
        <f t="shared" ca="1" si="12"/>
        <v>45862</v>
      </c>
      <c r="H293" s="4" t="str">
        <f t="shared" ca="1" si="13"/>
        <v>July</v>
      </c>
      <c r="I293" t="str">
        <f t="shared" ca="1" si="14"/>
        <v>2025</v>
      </c>
      <c r="L293" s="4"/>
    </row>
    <row r="294" spans="1:12" x14ac:dyDescent="0.4">
      <c r="A294" s="5" t="s">
        <v>19</v>
      </c>
      <c r="B294" s="5" t="s">
        <v>7</v>
      </c>
      <c r="C294" s="5" t="s">
        <v>24</v>
      </c>
      <c r="D294" s="5">
        <v>20</v>
      </c>
      <c r="E294" s="5">
        <v>621</v>
      </c>
      <c r="F294" s="5">
        <v>12420</v>
      </c>
      <c r="G294" s="6">
        <f t="shared" ca="1" si="12"/>
        <v>45949</v>
      </c>
      <c r="H294" s="4" t="str">
        <f t="shared" ca="1" si="13"/>
        <v>October</v>
      </c>
      <c r="I294" t="str">
        <f t="shared" ca="1" si="14"/>
        <v>2025</v>
      </c>
      <c r="L294" s="4"/>
    </row>
    <row r="295" spans="1:12" x14ac:dyDescent="0.4">
      <c r="A295" s="5" t="s">
        <v>9</v>
      </c>
      <c r="B295" s="5" t="s">
        <v>15</v>
      </c>
      <c r="C295" s="5" t="s">
        <v>22</v>
      </c>
      <c r="D295" s="5">
        <v>6</v>
      </c>
      <c r="E295" s="5">
        <v>1223</v>
      </c>
      <c r="F295" s="5">
        <v>7338</v>
      </c>
      <c r="G295" s="6">
        <f t="shared" ca="1" si="12"/>
        <v>45927</v>
      </c>
      <c r="H295" s="4" t="str">
        <f t="shared" ca="1" si="13"/>
        <v>September</v>
      </c>
      <c r="I295" t="str">
        <f t="shared" ca="1" si="14"/>
        <v>2025</v>
      </c>
      <c r="L295" s="4"/>
    </row>
    <row r="296" spans="1:12" x14ac:dyDescent="0.4">
      <c r="A296" s="5" t="s">
        <v>9</v>
      </c>
      <c r="B296" s="5" t="s">
        <v>10</v>
      </c>
      <c r="C296" s="5" t="s">
        <v>16</v>
      </c>
      <c r="D296" s="5">
        <v>17</v>
      </c>
      <c r="E296" s="5">
        <v>1913</v>
      </c>
      <c r="F296" s="5">
        <v>32521</v>
      </c>
      <c r="G296" s="6">
        <f t="shared" ca="1" si="12"/>
        <v>45978</v>
      </c>
      <c r="H296" s="4" t="str">
        <f t="shared" ca="1" si="13"/>
        <v>November</v>
      </c>
      <c r="I296" t="str">
        <f t="shared" ca="1" si="14"/>
        <v>2025</v>
      </c>
      <c r="L296" s="4"/>
    </row>
    <row r="297" spans="1:12" x14ac:dyDescent="0.4">
      <c r="A297" s="5" t="s">
        <v>9</v>
      </c>
      <c r="B297" s="5" t="s">
        <v>12</v>
      </c>
      <c r="C297" s="5" t="s">
        <v>16</v>
      </c>
      <c r="D297" s="5">
        <v>24</v>
      </c>
      <c r="E297" s="5">
        <v>1339</v>
      </c>
      <c r="F297" s="5">
        <v>32136</v>
      </c>
      <c r="G297" s="6">
        <f t="shared" ca="1" si="12"/>
        <v>45296</v>
      </c>
      <c r="H297" s="4" t="str">
        <f t="shared" ca="1" si="13"/>
        <v>January</v>
      </c>
      <c r="I297" t="str">
        <f t="shared" ca="1" si="14"/>
        <v>2024</v>
      </c>
      <c r="L297" s="4"/>
    </row>
    <row r="298" spans="1:12" x14ac:dyDescent="0.4">
      <c r="A298" s="5" t="s">
        <v>9</v>
      </c>
      <c r="B298" s="5" t="s">
        <v>10</v>
      </c>
      <c r="C298" s="5" t="s">
        <v>14</v>
      </c>
      <c r="D298" s="5">
        <v>37</v>
      </c>
      <c r="E298" s="5">
        <v>470</v>
      </c>
      <c r="F298" s="5">
        <v>17390</v>
      </c>
      <c r="G298" s="6">
        <f t="shared" ca="1" si="12"/>
        <v>45373</v>
      </c>
      <c r="H298" s="4" t="str">
        <f t="shared" ca="1" si="13"/>
        <v>March</v>
      </c>
      <c r="I298" t="str">
        <f t="shared" ca="1" si="14"/>
        <v>2024</v>
      </c>
      <c r="L298" s="4"/>
    </row>
    <row r="299" spans="1:12" x14ac:dyDescent="0.4">
      <c r="A299" s="5" t="s">
        <v>9</v>
      </c>
      <c r="B299" s="5" t="s">
        <v>15</v>
      </c>
      <c r="C299" s="5" t="s">
        <v>13</v>
      </c>
      <c r="D299" s="5">
        <v>26</v>
      </c>
      <c r="E299" s="5">
        <v>577</v>
      </c>
      <c r="F299" s="5">
        <v>15002</v>
      </c>
      <c r="G299" s="6">
        <f t="shared" ca="1" si="12"/>
        <v>45817</v>
      </c>
      <c r="H299" s="4" t="str">
        <f t="shared" ca="1" si="13"/>
        <v>June</v>
      </c>
      <c r="I299" t="str">
        <f t="shared" ca="1" si="14"/>
        <v>2025</v>
      </c>
      <c r="L299" s="4"/>
    </row>
    <row r="300" spans="1:12" x14ac:dyDescent="0.4">
      <c r="A300" s="5" t="s">
        <v>9</v>
      </c>
      <c r="B300" s="5" t="s">
        <v>7</v>
      </c>
      <c r="C300" s="5" t="s">
        <v>11</v>
      </c>
      <c r="D300" s="5">
        <v>30</v>
      </c>
      <c r="E300" s="5">
        <v>1622</v>
      </c>
      <c r="F300" s="5">
        <v>48660</v>
      </c>
      <c r="G300" s="6">
        <f t="shared" ca="1" si="12"/>
        <v>45428</v>
      </c>
      <c r="H300" s="4" t="str">
        <f t="shared" ca="1" si="13"/>
        <v>May</v>
      </c>
      <c r="I300" t="str">
        <f t="shared" ca="1" si="14"/>
        <v>2024</v>
      </c>
      <c r="L300" s="4"/>
    </row>
    <row r="301" spans="1:12" x14ac:dyDescent="0.4">
      <c r="A301" s="5" t="s">
        <v>19</v>
      </c>
      <c r="B301" s="5" t="s">
        <v>21</v>
      </c>
      <c r="C301" s="5" t="s">
        <v>11</v>
      </c>
      <c r="D301" s="5">
        <v>36</v>
      </c>
      <c r="E301" s="5">
        <v>161</v>
      </c>
      <c r="F301" s="5">
        <v>5796</v>
      </c>
      <c r="G301" s="6">
        <f t="shared" ca="1" si="12"/>
        <v>45493</v>
      </c>
      <c r="H301" s="4" t="str">
        <f t="shared" ca="1" si="13"/>
        <v>July</v>
      </c>
      <c r="I301" t="str">
        <f t="shared" ca="1" si="14"/>
        <v>2024</v>
      </c>
      <c r="L301" s="4"/>
    </row>
    <row r="302" spans="1:12" x14ac:dyDescent="0.4">
      <c r="A302" s="5" t="s">
        <v>17</v>
      </c>
      <c r="B302" s="5" t="s">
        <v>15</v>
      </c>
      <c r="C302" s="5" t="s">
        <v>16</v>
      </c>
      <c r="D302" s="5">
        <v>1</v>
      </c>
      <c r="E302" s="5">
        <v>583</v>
      </c>
      <c r="F302" s="5">
        <v>583</v>
      </c>
      <c r="G302" s="6">
        <f t="shared" ca="1" si="12"/>
        <v>45785</v>
      </c>
      <c r="H302" s="4" t="str">
        <f t="shared" ca="1" si="13"/>
        <v>May</v>
      </c>
      <c r="I302" t="str">
        <f t="shared" ca="1" si="14"/>
        <v>2025</v>
      </c>
      <c r="L302" s="4"/>
    </row>
    <row r="303" spans="1:12" x14ac:dyDescent="0.4">
      <c r="A303" s="5" t="s">
        <v>17</v>
      </c>
      <c r="B303" s="5" t="s">
        <v>10</v>
      </c>
      <c r="C303" s="5" t="s">
        <v>22</v>
      </c>
      <c r="D303" s="5">
        <v>44</v>
      </c>
      <c r="E303" s="5">
        <v>757</v>
      </c>
      <c r="F303" s="5">
        <v>33308</v>
      </c>
      <c r="G303" s="6">
        <f t="shared" ca="1" si="12"/>
        <v>45316</v>
      </c>
      <c r="H303" s="4" t="str">
        <f t="shared" ca="1" si="13"/>
        <v>January</v>
      </c>
      <c r="I303" t="str">
        <f t="shared" ca="1" si="14"/>
        <v>2024</v>
      </c>
      <c r="L303" s="4"/>
    </row>
    <row r="304" spans="1:12" x14ac:dyDescent="0.4">
      <c r="A304" s="5" t="s">
        <v>6</v>
      </c>
      <c r="B304" s="5" t="s">
        <v>21</v>
      </c>
      <c r="C304" s="5" t="s">
        <v>16</v>
      </c>
      <c r="D304" s="5">
        <v>24</v>
      </c>
      <c r="E304" s="5">
        <v>1733</v>
      </c>
      <c r="F304" s="5">
        <v>41592</v>
      </c>
      <c r="G304" s="6">
        <f t="shared" ca="1" si="12"/>
        <v>45696</v>
      </c>
      <c r="H304" s="4" t="str">
        <f t="shared" ca="1" si="13"/>
        <v>February</v>
      </c>
      <c r="I304" t="str">
        <f t="shared" ca="1" si="14"/>
        <v>2025</v>
      </c>
      <c r="L304" s="4"/>
    </row>
    <row r="305" spans="1:12" x14ac:dyDescent="0.4">
      <c r="A305" s="5" t="s">
        <v>6</v>
      </c>
      <c r="B305" s="5" t="s">
        <v>21</v>
      </c>
      <c r="C305" s="5" t="s">
        <v>11</v>
      </c>
      <c r="D305" s="5">
        <v>5</v>
      </c>
      <c r="E305" s="5">
        <v>1175</v>
      </c>
      <c r="F305" s="5">
        <v>5875</v>
      </c>
      <c r="G305" s="6">
        <f t="shared" ca="1" si="12"/>
        <v>45604</v>
      </c>
      <c r="H305" s="4" t="str">
        <f t="shared" ca="1" si="13"/>
        <v>November</v>
      </c>
      <c r="I305" t="str">
        <f t="shared" ca="1" si="14"/>
        <v>2024</v>
      </c>
      <c r="L305" s="4"/>
    </row>
    <row r="306" spans="1:12" x14ac:dyDescent="0.4">
      <c r="A306" s="5" t="s">
        <v>17</v>
      </c>
      <c r="B306" s="5" t="s">
        <v>7</v>
      </c>
      <c r="C306" s="5" t="s">
        <v>13</v>
      </c>
      <c r="D306" s="5">
        <v>2</v>
      </c>
      <c r="E306" s="5">
        <v>1225</v>
      </c>
      <c r="F306" s="5">
        <v>2450</v>
      </c>
      <c r="G306" s="6">
        <f t="shared" ca="1" si="12"/>
        <v>45778</v>
      </c>
      <c r="H306" s="4" t="str">
        <f t="shared" ca="1" si="13"/>
        <v>May</v>
      </c>
      <c r="I306" t="str">
        <f t="shared" ca="1" si="14"/>
        <v>2025</v>
      </c>
      <c r="L306" s="4"/>
    </row>
    <row r="307" spans="1:12" x14ac:dyDescent="0.4">
      <c r="A307" s="5" t="s">
        <v>19</v>
      </c>
      <c r="B307" s="5" t="s">
        <v>15</v>
      </c>
      <c r="C307" s="5" t="s">
        <v>23</v>
      </c>
      <c r="D307" s="5">
        <v>16</v>
      </c>
      <c r="E307" s="5">
        <v>1512</v>
      </c>
      <c r="F307" s="5">
        <v>24192</v>
      </c>
      <c r="G307" s="6">
        <f t="shared" ca="1" si="12"/>
        <v>46013</v>
      </c>
      <c r="H307" s="4" t="str">
        <f t="shared" ca="1" si="13"/>
        <v>December</v>
      </c>
      <c r="I307" t="str">
        <f t="shared" ca="1" si="14"/>
        <v>2025</v>
      </c>
      <c r="L307" s="4"/>
    </row>
    <row r="308" spans="1:12" x14ac:dyDescent="0.4">
      <c r="A308" s="5" t="s">
        <v>19</v>
      </c>
      <c r="B308" s="5" t="s">
        <v>10</v>
      </c>
      <c r="C308" s="5" t="s">
        <v>20</v>
      </c>
      <c r="D308" s="5">
        <v>2</v>
      </c>
      <c r="E308" s="5">
        <v>1660</v>
      </c>
      <c r="F308" s="5">
        <v>3320</v>
      </c>
      <c r="G308" s="6">
        <f t="shared" ca="1" si="12"/>
        <v>45826</v>
      </c>
      <c r="H308" s="4" t="str">
        <f t="shared" ca="1" si="13"/>
        <v>June</v>
      </c>
      <c r="I308" t="str">
        <f t="shared" ca="1" si="14"/>
        <v>2025</v>
      </c>
      <c r="L308" s="4"/>
    </row>
    <row r="309" spans="1:12" x14ac:dyDescent="0.4">
      <c r="A309" s="5" t="s">
        <v>6</v>
      </c>
      <c r="B309" s="5" t="s">
        <v>12</v>
      </c>
      <c r="C309" s="5" t="s">
        <v>24</v>
      </c>
      <c r="D309" s="5">
        <v>49</v>
      </c>
      <c r="E309" s="5">
        <v>1171</v>
      </c>
      <c r="F309" s="5">
        <v>57379</v>
      </c>
      <c r="G309" s="6">
        <f t="shared" ca="1" si="12"/>
        <v>45767</v>
      </c>
      <c r="H309" s="4" t="str">
        <f t="shared" ca="1" si="13"/>
        <v>April</v>
      </c>
      <c r="I309" t="str">
        <f t="shared" ca="1" si="14"/>
        <v>2025</v>
      </c>
      <c r="L309" s="4"/>
    </row>
    <row r="310" spans="1:12" x14ac:dyDescent="0.4">
      <c r="A310" s="5" t="s">
        <v>19</v>
      </c>
      <c r="B310" s="5" t="s">
        <v>7</v>
      </c>
      <c r="C310" s="5" t="s">
        <v>14</v>
      </c>
      <c r="D310" s="5">
        <v>38</v>
      </c>
      <c r="E310" s="5">
        <v>504</v>
      </c>
      <c r="F310" s="5">
        <v>19152</v>
      </c>
      <c r="G310" s="6">
        <f t="shared" ca="1" si="12"/>
        <v>45337</v>
      </c>
      <c r="H310" s="4" t="str">
        <f t="shared" ca="1" si="13"/>
        <v>February</v>
      </c>
      <c r="I310" t="str">
        <f t="shared" ca="1" si="14"/>
        <v>2024</v>
      </c>
      <c r="L310" s="4"/>
    </row>
    <row r="311" spans="1:12" x14ac:dyDescent="0.4">
      <c r="A311" s="5" t="s">
        <v>19</v>
      </c>
      <c r="B311" s="5" t="s">
        <v>7</v>
      </c>
      <c r="C311" s="5" t="s">
        <v>13</v>
      </c>
      <c r="D311" s="5">
        <v>26</v>
      </c>
      <c r="E311" s="5">
        <v>689</v>
      </c>
      <c r="F311" s="5">
        <v>17914</v>
      </c>
      <c r="G311" s="6">
        <f t="shared" ca="1" si="12"/>
        <v>45566</v>
      </c>
      <c r="H311" s="4" t="str">
        <f t="shared" ca="1" si="13"/>
        <v>October</v>
      </c>
      <c r="I311" t="str">
        <f t="shared" ca="1" si="14"/>
        <v>2024</v>
      </c>
      <c r="L311" s="4"/>
    </row>
    <row r="312" spans="1:12" x14ac:dyDescent="0.4">
      <c r="A312" s="5" t="s">
        <v>17</v>
      </c>
      <c r="B312" s="5" t="s">
        <v>15</v>
      </c>
      <c r="C312" s="5" t="s">
        <v>16</v>
      </c>
      <c r="D312" s="5">
        <v>11</v>
      </c>
      <c r="E312" s="5">
        <v>326</v>
      </c>
      <c r="F312" s="5">
        <v>3586</v>
      </c>
      <c r="G312" s="6">
        <f t="shared" ca="1" si="12"/>
        <v>45531</v>
      </c>
      <c r="H312" s="4" t="str">
        <f t="shared" ca="1" si="13"/>
        <v>August</v>
      </c>
      <c r="I312" t="str">
        <f t="shared" ca="1" si="14"/>
        <v>2024</v>
      </c>
      <c r="L312" s="4"/>
    </row>
    <row r="313" spans="1:12" x14ac:dyDescent="0.4">
      <c r="A313" s="5" t="s">
        <v>17</v>
      </c>
      <c r="B313" s="5" t="s">
        <v>10</v>
      </c>
      <c r="C313" s="5" t="s">
        <v>11</v>
      </c>
      <c r="D313" s="5">
        <v>19</v>
      </c>
      <c r="E313" s="5">
        <v>1788</v>
      </c>
      <c r="F313" s="5">
        <v>33972</v>
      </c>
      <c r="G313" s="6">
        <f t="shared" ca="1" si="12"/>
        <v>45953</v>
      </c>
      <c r="H313" s="4" t="str">
        <f t="shared" ca="1" si="13"/>
        <v>October</v>
      </c>
      <c r="I313" t="str">
        <f t="shared" ca="1" si="14"/>
        <v>2025</v>
      </c>
      <c r="L313" s="4"/>
    </row>
    <row r="314" spans="1:12" x14ac:dyDescent="0.4">
      <c r="A314" s="5" t="s">
        <v>6</v>
      </c>
      <c r="B314" s="5" t="s">
        <v>7</v>
      </c>
      <c r="C314" s="5" t="s">
        <v>13</v>
      </c>
      <c r="D314" s="5">
        <v>46</v>
      </c>
      <c r="E314" s="5">
        <v>405</v>
      </c>
      <c r="F314" s="5">
        <v>18630</v>
      </c>
      <c r="G314" s="6">
        <f t="shared" ca="1" si="12"/>
        <v>45861</v>
      </c>
      <c r="H314" s="4" t="str">
        <f t="shared" ca="1" si="13"/>
        <v>July</v>
      </c>
      <c r="I314" t="str">
        <f t="shared" ca="1" si="14"/>
        <v>2025</v>
      </c>
      <c r="L314" s="4"/>
    </row>
    <row r="315" spans="1:12" x14ac:dyDescent="0.4">
      <c r="A315" s="5" t="s">
        <v>19</v>
      </c>
      <c r="B315" s="5" t="s">
        <v>10</v>
      </c>
      <c r="C315" s="5" t="s">
        <v>11</v>
      </c>
      <c r="D315" s="5">
        <v>49</v>
      </c>
      <c r="E315" s="5">
        <v>1995</v>
      </c>
      <c r="F315" s="5">
        <v>97755</v>
      </c>
      <c r="G315" s="6">
        <f t="shared" ca="1" si="12"/>
        <v>45395</v>
      </c>
      <c r="H315" s="4" t="str">
        <f t="shared" ca="1" si="13"/>
        <v>April</v>
      </c>
      <c r="I315" t="str">
        <f t="shared" ca="1" si="14"/>
        <v>2024</v>
      </c>
      <c r="L315" s="4"/>
    </row>
    <row r="316" spans="1:12" x14ac:dyDescent="0.4">
      <c r="A316" s="5" t="s">
        <v>17</v>
      </c>
      <c r="B316" s="5" t="s">
        <v>7</v>
      </c>
      <c r="C316" s="5" t="s">
        <v>24</v>
      </c>
      <c r="D316" s="5">
        <v>19</v>
      </c>
      <c r="E316" s="5">
        <v>192</v>
      </c>
      <c r="F316" s="5">
        <v>3648</v>
      </c>
      <c r="G316" s="6">
        <f t="shared" ca="1" si="12"/>
        <v>45868</v>
      </c>
      <c r="H316" s="4" t="str">
        <f t="shared" ca="1" si="13"/>
        <v>July</v>
      </c>
      <c r="I316" t="str">
        <f t="shared" ca="1" si="14"/>
        <v>2025</v>
      </c>
      <c r="L316" s="4"/>
    </row>
    <row r="317" spans="1:12" x14ac:dyDescent="0.4">
      <c r="A317" s="5" t="s">
        <v>19</v>
      </c>
      <c r="B317" s="5" t="s">
        <v>7</v>
      </c>
      <c r="C317" s="5" t="s">
        <v>20</v>
      </c>
      <c r="D317" s="5">
        <v>48</v>
      </c>
      <c r="E317" s="5">
        <v>1358</v>
      </c>
      <c r="F317" s="5">
        <v>65184</v>
      </c>
      <c r="G317" s="6">
        <f t="shared" ca="1" si="12"/>
        <v>45599</v>
      </c>
      <c r="H317" s="4" t="str">
        <f t="shared" ca="1" si="13"/>
        <v>November</v>
      </c>
      <c r="I317" t="str">
        <f t="shared" ca="1" si="14"/>
        <v>2024</v>
      </c>
      <c r="L317" s="4"/>
    </row>
    <row r="318" spans="1:12" x14ac:dyDescent="0.4">
      <c r="A318" s="5" t="s">
        <v>17</v>
      </c>
      <c r="B318" s="5" t="s">
        <v>15</v>
      </c>
      <c r="C318" s="5" t="s">
        <v>14</v>
      </c>
      <c r="D318" s="5">
        <v>17</v>
      </c>
      <c r="E318" s="5">
        <v>772</v>
      </c>
      <c r="F318" s="5">
        <v>13124</v>
      </c>
      <c r="G318" s="6">
        <f t="shared" ca="1" si="12"/>
        <v>45439</v>
      </c>
      <c r="H318" s="4" t="str">
        <f t="shared" ca="1" si="13"/>
        <v>May</v>
      </c>
      <c r="I318" t="str">
        <f t="shared" ca="1" si="14"/>
        <v>2024</v>
      </c>
      <c r="L318" s="4"/>
    </row>
    <row r="319" spans="1:12" x14ac:dyDescent="0.4">
      <c r="A319" s="5" t="s">
        <v>9</v>
      </c>
      <c r="B319" s="5" t="s">
        <v>7</v>
      </c>
      <c r="C319" s="5" t="s">
        <v>11</v>
      </c>
      <c r="D319" s="5">
        <v>36</v>
      </c>
      <c r="E319" s="5">
        <v>801</v>
      </c>
      <c r="F319" s="5">
        <v>28836</v>
      </c>
      <c r="G319" s="6">
        <f t="shared" ca="1" si="12"/>
        <v>45352</v>
      </c>
      <c r="H319" s="4" t="str">
        <f t="shared" ca="1" si="13"/>
        <v>March</v>
      </c>
      <c r="I319" t="str">
        <f t="shared" ca="1" si="14"/>
        <v>2024</v>
      </c>
      <c r="L319" s="4"/>
    </row>
    <row r="320" spans="1:12" x14ac:dyDescent="0.4">
      <c r="A320" s="5" t="s">
        <v>9</v>
      </c>
      <c r="B320" s="5" t="s">
        <v>10</v>
      </c>
      <c r="C320" s="5" t="s">
        <v>20</v>
      </c>
      <c r="D320" s="5">
        <v>45</v>
      </c>
      <c r="E320" s="5">
        <v>985</v>
      </c>
      <c r="F320" s="5">
        <v>44325</v>
      </c>
      <c r="G320" s="6">
        <f t="shared" ca="1" si="12"/>
        <v>45585</v>
      </c>
      <c r="H320" s="4" t="str">
        <f t="shared" ca="1" si="13"/>
        <v>October</v>
      </c>
      <c r="I320" t="str">
        <f t="shared" ca="1" si="14"/>
        <v>2024</v>
      </c>
      <c r="L320" s="4"/>
    </row>
    <row r="321" spans="1:12" x14ac:dyDescent="0.4">
      <c r="A321" s="5" t="s">
        <v>17</v>
      </c>
      <c r="B321" s="5" t="s">
        <v>15</v>
      </c>
      <c r="C321" s="5" t="s">
        <v>20</v>
      </c>
      <c r="D321" s="5">
        <v>45</v>
      </c>
      <c r="E321" s="5">
        <v>872</v>
      </c>
      <c r="F321" s="5">
        <v>39240</v>
      </c>
      <c r="G321" s="6">
        <f t="shared" ca="1" si="12"/>
        <v>45907</v>
      </c>
      <c r="H321" s="4" t="str">
        <f t="shared" ca="1" si="13"/>
        <v>September</v>
      </c>
      <c r="I321" t="str">
        <f t="shared" ca="1" si="14"/>
        <v>2025</v>
      </c>
      <c r="L321" s="4"/>
    </row>
    <row r="322" spans="1:12" x14ac:dyDescent="0.4">
      <c r="A322" s="5" t="s">
        <v>17</v>
      </c>
      <c r="B322" s="5" t="s">
        <v>21</v>
      </c>
      <c r="C322" s="5" t="s">
        <v>18</v>
      </c>
      <c r="D322" s="5">
        <v>31</v>
      </c>
      <c r="E322" s="5">
        <v>1696</v>
      </c>
      <c r="F322" s="5">
        <v>52576</v>
      </c>
      <c r="G322" s="6">
        <f t="shared" ca="1" si="12"/>
        <v>45332</v>
      </c>
      <c r="H322" s="4" t="str">
        <f t="shared" ca="1" si="13"/>
        <v>February</v>
      </c>
      <c r="I322" t="str">
        <f t="shared" ca="1" si="14"/>
        <v>2024</v>
      </c>
      <c r="L322" s="4"/>
    </row>
    <row r="323" spans="1:12" x14ac:dyDescent="0.4">
      <c r="A323" s="5" t="s">
        <v>6</v>
      </c>
      <c r="B323" s="5" t="s">
        <v>10</v>
      </c>
      <c r="C323" s="5" t="s">
        <v>24</v>
      </c>
      <c r="D323" s="5">
        <v>10</v>
      </c>
      <c r="E323" s="5">
        <v>1216</v>
      </c>
      <c r="F323" s="5">
        <v>12160</v>
      </c>
      <c r="G323" s="6">
        <f t="shared" ref="G323:G386" ca="1" si="15">RANDBETWEEN(DATE(2024,1,1),DATE(2025,12,31))</f>
        <v>45542</v>
      </c>
      <c r="H323" s="4" t="str">
        <f t="shared" ref="H323:H386" ca="1" si="16">TEXT(G323,"mmmm")</f>
        <v>September</v>
      </c>
      <c r="I323" t="str">
        <f t="shared" ref="I323:I386" ca="1" si="17">TEXT(G323,"yyyy")</f>
        <v>2024</v>
      </c>
      <c r="L323" s="4"/>
    </row>
    <row r="324" spans="1:12" x14ac:dyDescent="0.4">
      <c r="A324" s="5" t="s">
        <v>17</v>
      </c>
      <c r="B324" s="5" t="s">
        <v>21</v>
      </c>
      <c r="C324" s="5" t="s">
        <v>20</v>
      </c>
      <c r="D324" s="5">
        <v>1</v>
      </c>
      <c r="E324" s="5">
        <v>1696</v>
      </c>
      <c r="F324" s="5">
        <v>1696</v>
      </c>
      <c r="G324" s="6">
        <f t="shared" ca="1" si="15"/>
        <v>45820</v>
      </c>
      <c r="H324" s="4" t="str">
        <f t="shared" ca="1" si="16"/>
        <v>June</v>
      </c>
      <c r="I324" t="str">
        <f t="shared" ca="1" si="17"/>
        <v>2025</v>
      </c>
      <c r="L324" s="4"/>
    </row>
    <row r="325" spans="1:12" x14ac:dyDescent="0.4">
      <c r="A325" s="5" t="s">
        <v>17</v>
      </c>
      <c r="B325" s="5" t="s">
        <v>15</v>
      </c>
      <c r="C325" s="5" t="s">
        <v>24</v>
      </c>
      <c r="D325" s="5">
        <v>49</v>
      </c>
      <c r="E325" s="5">
        <v>1761</v>
      </c>
      <c r="F325" s="5">
        <v>86289</v>
      </c>
      <c r="G325" s="6">
        <f t="shared" ca="1" si="15"/>
        <v>45304</v>
      </c>
      <c r="H325" s="4" t="str">
        <f t="shared" ca="1" si="16"/>
        <v>January</v>
      </c>
      <c r="I325" t="str">
        <f t="shared" ca="1" si="17"/>
        <v>2024</v>
      </c>
      <c r="L325" s="4"/>
    </row>
    <row r="326" spans="1:12" x14ac:dyDescent="0.4">
      <c r="A326" s="5" t="s">
        <v>19</v>
      </c>
      <c r="B326" s="5" t="s">
        <v>21</v>
      </c>
      <c r="C326" s="5" t="s">
        <v>8</v>
      </c>
      <c r="D326" s="5">
        <v>50</v>
      </c>
      <c r="E326" s="5">
        <v>338</v>
      </c>
      <c r="F326" s="5">
        <v>16900</v>
      </c>
      <c r="G326" s="6">
        <f t="shared" ca="1" si="15"/>
        <v>45889</v>
      </c>
      <c r="H326" s="4" t="str">
        <f t="shared" ca="1" si="16"/>
        <v>August</v>
      </c>
      <c r="I326" t="str">
        <f t="shared" ca="1" si="17"/>
        <v>2025</v>
      </c>
      <c r="L326" s="4"/>
    </row>
    <row r="327" spans="1:12" x14ac:dyDescent="0.4">
      <c r="A327" s="5" t="s">
        <v>9</v>
      </c>
      <c r="B327" s="5" t="s">
        <v>12</v>
      </c>
      <c r="C327" s="5" t="s">
        <v>18</v>
      </c>
      <c r="D327" s="5">
        <v>27</v>
      </c>
      <c r="E327" s="5">
        <v>1316</v>
      </c>
      <c r="F327" s="5">
        <v>35532</v>
      </c>
      <c r="G327" s="6">
        <f t="shared" ca="1" si="15"/>
        <v>45577</v>
      </c>
      <c r="H327" s="4" t="str">
        <f t="shared" ca="1" si="16"/>
        <v>October</v>
      </c>
      <c r="I327" t="str">
        <f t="shared" ca="1" si="17"/>
        <v>2024</v>
      </c>
      <c r="L327" s="4"/>
    </row>
    <row r="328" spans="1:12" x14ac:dyDescent="0.4">
      <c r="A328" s="5" t="s">
        <v>17</v>
      </c>
      <c r="B328" s="5" t="s">
        <v>12</v>
      </c>
      <c r="C328" s="5" t="s">
        <v>13</v>
      </c>
      <c r="D328" s="5">
        <v>50</v>
      </c>
      <c r="E328" s="5">
        <v>145</v>
      </c>
      <c r="F328" s="5">
        <v>7250</v>
      </c>
      <c r="G328" s="6">
        <f t="shared" ca="1" si="15"/>
        <v>45566</v>
      </c>
      <c r="H328" s="4" t="str">
        <f t="shared" ca="1" si="16"/>
        <v>October</v>
      </c>
      <c r="I328" t="str">
        <f t="shared" ca="1" si="17"/>
        <v>2024</v>
      </c>
      <c r="L328" s="4"/>
    </row>
    <row r="329" spans="1:12" x14ac:dyDescent="0.4">
      <c r="A329" s="5" t="s">
        <v>19</v>
      </c>
      <c r="B329" s="5" t="s">
        <v>15</v>
      </c>
      <c r="C329" s="5" t="s">
        <v>8</v>
      </c>
      <c r="D329" s="5">
        <v>27</v>
      </c>
      <c r="E329" s="5">
        <v>376</v>
      </c>
      <c r="F329" s="5">
        <v>10152</v>
      </c>
      <c r="G329" s="6">
        <f t="shared" ca="1" si="15"/>
        <v>45545</v>
      </c>
      <c r="H329" s="4" t="str">
        <f t="shared" ca="1" si="16"/>
        <v>September</v>
      </c>
      <c r="I329" t="str">
        <f t="shared" ca="1" si="17"/>
        <v>2024</v>
      </c>
      <c r="L329" s="4"/>
    </row>
    <row r="330" spans="1:12" x14ac:dyDescent="0.4">
      <c r="A330" s="5" t="s">
        <v>19</v>
      </c>
      <c r="B330" s="5" t="s">
        <v>10</v>
      </c>
      <c r="C330" s="5" t="s">
        <v>20</v>
      </c>
      <c r="D330" s="5">
        <v>33</v>
      </c>
      <c r="E330" s="5">
        <v>1359</v>
      </c>
      <c r="F330" s="5">
        <v>44847</v>
      </c>
      <c r="G330" s="6">
        <f t="shared" ca="1" si="15"/>
        <v>45849</v>
      </c>
      <c r="H330" s="4" t="str">
        <f t="shared" ca="1" si="16"/>
        <v>July</v>
      </c>
      <c r="I330" t="str">
        <f t="shared" ca="1" si="17"/>
        <v>2025</v>
      </c>
      <c r="L330" s="4"/>
    </row>
    <row r="331" spans="1:12" x14ac:dyDescent="0.4">
      <c r="A331" s="5" t="s">
        <v>19</v>
      </c>
      <c r="B331" s="5" t="s">
        <v>12</v>
      </c>
      <c r="C331" s="5" t="s">
        <v>14</v>
      </c>
      <c r="D331" s="5">
        <v>43</v>
      </c>
      <c r="E331" s="5">
        <v>768</v>
      </c>
      <c r="F331" s="5">
        <v>33024</v>
      </c>
      <c r="G331" s="6">
        <f t="shared" ca="1" si="15"/>
        <v>45514</v>
      </c>
      <c r="H331" s="4" t="str">
        <f t="shared" ca="1" si="16"/>
        <v>August</v>
      </c>
      <c r="I331" t="str">
        <f t="shared" ca="1" si="17"/>
        <v>2024</v>
      </c>
      <c r="L331" s="4"/>
    </row>
    <row r="332" spans="1:12" x14ac:dyDescent="0.4">
      <c r="A332" s="5" t="s">
        <v>17</v>
      </c>
      <c r="B332" s="5" t="s">
        <v>15</v>
      </c>
      <c r="C332" s="5" t="s">
        <v>22</v>
      </c>
      <c r="D332" s="5">
        <v>33</v>
      </c>
      <c r="E332" s="5">
        <v>1098</v>
      </c>
      <c r="F332" s="5">
        <v>36234</v>
      </c>
      <c r="G332" s="6">
        <f t="shared" ca="1" si="15"/>
        <v>45682</v>
      </c>
      <c r="H332" s="4" t="str">
        <f t="shared" ca="1" si="16"/>
        <v>January</v>
      </c>
      <c r="I332" t="str">
        <f t="shared" ca="1" si="17"/>
        <v>2025</v>
      </c>
      <c r="L332" s="4"/>
    </row>
    <row r="333" spans="1:12" x14ac:dyDescent="0.4">
      <c r="A333" s="5" t="s">
        <v>17</v>
      </c>
      <c r="B333" s="5" t="s">
        <v>10</v>
      </c>
      <c r="C333" s="5" t="s">
        <v>16</v>
      </c>
      <c r="D333" s="5">
        <v>49</v>
      </c>
      <c r="E333" s="5">
        <v>1854</v>
      </c>
      <c r="F333" s="5">
        <v>90846</v>
      </c>
      <c r="G333" s="6">
        <f t="shared" ca="1" si="15"/>
        <v>45424</v>
      </c>
      <c r="H333" s="4" t="str">
        <f t="shared" ca="1" si="16"/>
        <v>May</v>
      </c>
      <c r="I333" t="str">
        <f t="shared" ca="1" si="17"/>
        <v>2024</v>
      </c>
      <c r="L333" s="4"/>
    </row>
    <row r="334" spans="1:12" x14ac:dyDescent="0.4">
      <c r="A334" s="5" t="s">
        <v>9</v>
      </c>
      <c r="B334" s="5" t="s">
        <v>7</v>
      </c>
      <c r="C334" s="5" t="s">
        <v>13</v>
      </c>
      <c r="D334" s="5">
        <v>20</v>
      </c>
      <c r="E334" s="5">
        <v>1047</v>
      </c>
      <c r="F334" s="5">
        <v>20940</v>
      </c>
      <c r="G334" s="6">
        <f t="shared" ca="1" si="15"/>
        <v>45378</v>
      </c>
      <c r="H334" s="4" t="str">
        <f t="shared" ca="1" si="16"/>
        <v>March</v>
      </c>
      <c r="I334" t="str">
        <f t="shared" ca="1" si="17"/>
        <v>2024</v>
      </c>
      <c r="L334" s="4"/>
    </row>
    <row r="335" spans="1:12" x14ac:dyDescent="0.4">
      <c r="A335" s="5" t="s">
        <v>9</v>
      </c>
      <c r="B335" s="5" t="s">
        <v>12</v>
      </c>
      <c r="C335" s="5" t="s">
        <v>8</v>
      </c>
      <c r="D335" s="5">
        <v>20</v>
      </c>
      <c r="E335" s="5">
        <v>457</v>
      </c>
      <c r="F335" s="5">
        <v>9140</v>
      </c>
      <c r="G335" s="6">
        <f t="shared" ca="1" si="15"/>
        <v>45720</v>
      </c>
      <c r="H335" s="4" t="str">
        <f t="shared" ca="1" si="16"/>
        <v>March</v>
      </c>
      <c r="I335" t="str">
        <f t="shared" ca="1" si="17"/>
        <v>2025</v>
      </c>
      <c r="L335" s="4"/>
    </row>
    <row r="336" spans="1:12" x14ac:dyDescent="0.4">
      <c r="A336" s="5" t="s">
        <v>17</v>
      </c>
      <c r="B336" s="5" t="s">
        <v>15</v>
      </c>
      <c r="C336" s="5" t="s">
        <v>22</v>
      </c>
      <c r="D336" s="5">
        <v>10</v>
      </c>
      <c r="E336" s="5">
        <v>1299</v>
      </c>
      <c r="F336" s="5">
        <v>12990</v>
      </c>
      <c r="G336" s="6">
        <f t="shared" ca="1" si="15"/>
        <v>45713</v>
      </c>
      <c r="H336" s="4" t="str">
        <f t="shared" ca="1" si="16"/>
        <v>February</v>
      </c>
      <c r="I336" t="str">
        <f t="shared" ca="1" si="17"/>
        <v>2025</v>
      </c>
      <c r="L336" s="4"/>
    </row>
    <row r="337" spans="1:12" x14ac:dyDescent="0.4">
      <c r="A337" s="5" t="s">
        <v>6</v>
      </c>
      <c r="B337" s="5" t="s">
        <v>15</v>
      </c>
      <c r="C337" s="5" t="s">
        <v>24</v>
      </c>
      <c r="D337" s="5">
        <v>20</v>
      </c>
      <c r="E337" s="5">
        <v>202</v>
      </c>
      <c r="F337" s="5">
        <v>4040</v>
      </c>
      <c r="G337" s="6">
        <f t="shared" ca="1" si="15"/>
        <v>45354</v>
      </c>
      <c r="H337" s="4" t="str">
        <f t="shared" ca="1" si="16"/>
        <v>March</v>
      </c>
      <c r="I337" t="str">
        <f t="shared" ca="1" si="17"/>
        <v>2024</v>
      </c>
      <c r="L337" s="4"/>
    </row>
    <row r="338" spans="1:12" x14ac:dyDescent="0.4">
      <c r="A338" s="5" t="s">
        <v>19</v>
      </c>
      <c r="B338" s="5" t="s">
        <v>10</v>
      </c>
      <c r="C338" s="5" t="s">
        <v>20</v>
      </c>
      <c r="D338" s="5">
        <v>12</v>
      </c>
      <c r="E338" s="5">
        <v>414</v>
      </c>
      <c r="F338" s="5">
        <v>4968</v>
      </c>
      <c r="G338" s="6">
        <f t="shared" ca="1" si="15"/>
        <v>45640</v>
      </c>
      <c r="H338" s="4" t="str">
        <f t="shared" ca="1" si="16"/>
        <v>December</v>
      </c>
      <c r="I338" t="str">
        <f t="shared" ca="1" si="17"/>
        <v>2024</v>
      </c>
      <c r="L338" s="4"/>
    </row>
    <row r="339" spans="1:12" x14ac:dyDescent="0.4">
      <c r="A339" s="5" t="s">
        <v>6</v>
      </c>
      <c r="B339" s="5" t="s">
        <v>10</v>
      </c>
      <c r="C339" s="5" t="s">
        <v>18</v>
      </c>
      <c r="D339" s="5">
        <v>26</v>
      </c>
      <c r="E339" s="5">
        <v>788</v>
      </c>
      <c r="F339" s="5">
        <v>20488</v>
      </c>
      <c r="G339" s="6">
        <f t="shared" ca="1" si="15"/>
        <v>45526</v>
      </c>
      <c r="H339" s="4" t="str">
        <f t="shared" ca="1" si="16"/>
        <v>August</v>
      </c>
      <c r="I339" t="str">
        <f t="shared" ca="1" si="17"/>
        <v>2024</v>
      </c>
      <c r="L339" s="4"/>
    </row>
    <row r="340" spans="1:12" x14ac:dyDescent="0.4">
      <c r="A340" s="5" t="s">
        <v>19</v>
      </c>
      <c r="B340" s="5" t="s">
        <v>21</v>
      </c>
      <c r="C340" s="5" t="s">
        <v>11</v>
      </c>
      <c r="D340" s="5">
        <v>30</v>
      </c>
      <c r="E340" s="5">
        <v>1544</v>
      </c>
      <c r="F340" s="5">
        <v>46320</v>
      </c>
      <c r="G340" s="6">
        <f t="shared" ca="1" si="15"/>
        <v>45495</v>
      </c>
      <c r="H340" s="4" t="str">
        <f t="shared" ca="1" si="16"/>
        <v>July</v>
      </c>
      <c r="I340" t="str">
        <f t="shared" ca="1" si="17"/>
        <v>2024</v>
      </c>
      <c r="L340" s="4"/>
    </row>
    <row r="341" spans="1:12" x14ac:dyDescent="0.4">
      <c r="A341" s="5" t="s">
        <v>19</v>
      </c>
      <c r="B341" s="5" t="s">
        <v>21</v>
      </c>
      <c r="C341" s="5" t="s">
        <v>22</v>
      </c>
      <c r="D341" s="5">
        <v>23</v>
      </c>
      <c r="E341" s="5">
        <v>1899</v>
      </c>
      <c r="F341" s="5">
        <v>43677</v>
      </c>
      <c r="G341" s="6">
        <f t="shared" ca="1" si="15"/>
        <v>45307</v>
      </c>
      <c r="H341" s="4" t="str">
        <f t="shared" ca="1" si="16"/>
        <v>January</v>
      </c>
      <c r="I341" t="str">
        <f t="shared" ca="1" si="17"/>
        <v>2024</v>
      </c>
      <c r="L341" s="4"/>
    </row>
    <row r="342" spans="1:12" x14ac:dyDescent="0.4">
      <c r="A342" s="5" t="s">
        <v>17</v>
      </c>
      <c r="B342" s="5" t="s">
        <v>7</v>
      </c>
      <c r="C342" s="5" t="s">
        <v>20</v>
      </c>
      <c r="D342" s="5">
        <v>4</v>
      </c>
      <c r="E342" s="5">
        <v>561</v>
      </c>
      <c r="F342" s="5">
        <v>2244</v>
      </c>
      <c r="G342" s="6">
        <f t="shared" ca="1" si="15"/>
        <v>45925</v>
      </c>
      <c r="H342" s="4" t="str">
        <f t="shared" ca="1" si="16"/>
        <v>September</v>
      </c>
      <c r="I342" t="str">
        <f t="shared" ca="1" si="17"/>
        <v>2025</v>
      </c>
      <c r="L342" s="4"/>
    </row>
    <row r="343" spans="1:12" x14ac:dyDescent="0.4">
      <c r="A343" s="5" t="s">
        <v>19</v>
      </c>
      <c r="B343" s="5" t="s">
        <v>7</v>
      </c>
      <c r="C343" s="5" t="s">
        <v>11</v>
      </c>
      <c r="D343" s="5">
        <v>28</v>
      </c>
      <c r="E343" s="5">
        <v>1194</v>
      </c>
      <c r="F343" s="5">
        <v>33432</v>
      </c>
      <c r="G343" s="6">
        <f t="shared" ca="1" si="15"/>
        <v>45695</v>
      </c>
      <c r="H343" s="4" t="str">
        <f t="shared" ca="1" si="16"/>
        <v>February</v>
      </c>
      <c r="I343" t="str">
        <f t="shared" ca="1" si="17"/>
        <v>2025</v>
      </c>
      <c r="L343" s="4"/>
    </row>
    <row r="344" spans="1:12" x14ac:dyDescent="0.4">
      <c r="A344" s="5" t="s">
        <v>6</v>
      </c>
      <c r="B344" s="5" t="s">
        <v>21</v>
      </c>
      <c r="C344" s="5" t="s">
        <v>20</v>
      </c>
      <c r="D344" s="5">
        <v>2</v>
      </c>
      <c r="E344" s="5">
        <v>928</v>
      </c>
      <c r="F344" s="5">
        <v>1856</v>
      </c>
      <c r="G344" s="6">
        <f t="shared" ca="1" si="15"/>
        <v>45333</v>
      </c>
      <c r="H344" s="4" t="str">
        <f t="shared" ca="1" si="16"/>
        <v>February</v>
      </c>
      <c r="I344" t="str">
        <f t="shared" ca="1" si="17"/>
        <v>2024</v>
      </c>
      <c r="L344" s="4"/>
    </row>
    <row r="345" spans="1:12" x14ac:dyDescent="0.4">
      <c r="A345" s="5" t="s">
        <v>9</v>
      </c>
      <c r="B345" s="5" t="s">
        <v>10</v>
      </c>
      <c r="C345" s="5" t="s">
        <v>18</v>
      </c>
      <c r="D345" s="5">
        <v>49</v>
      </c>
      <c r="E345" s="5">
        <v>170</v>
      </c>
      <c r="F345" s="5">
        <v>8330</v>
      </c>
      <c r="G345" s="6">
        <f t="shared" ca="1" si="15"/>
        <v>45905</v>
      </c>
      <c r="H345" s="4" t="str">
        <f t="shared" ca="1" si="16"/>
        <v>September</v>
      </c>
      <c r="I345" t="str">
        <f t="shared" ca="1" si="17"/>
        <v>2025</v>
      </c>
      <c r="L345" s="4"/>
    </row>
    <row r="346" spans="1:12" x14ac:dyDescent="0.4">
      <c r="A346" s="5" t="s">
        <v>9</v>
      </c>
      <c r="B346" s="5" t="s">
        <v>10</v>
      </c>
      <c r="C346" s="5" t="s">
        <v>23</v>
      </c>
      <c r="D346" s="5">
        <v>39</v>
      </c>
      <c r="E346" s="5">
        <v>421</v>
      </c>
      <c r="F346" s="5">
        <v>16419</v>
      </c>
      <c r="G346" s="6">
        <f t="shared" ca="1" si="15"/>
        <v>45566</v>
      </c>
      <c r="H346" s="4" t="str">
        <f t="shared" ca="1" si="16"/>
        <v>October</v>
      </c>
      <c r="I346" t="str">
        <f t="shared" ca="1" si="17"/>
        <v>2024</v>
      </c>
      <c r="L346" s="4"/>
    </row>
    <row r="347" spans="1:12" x14ac:dyDescent="0.4">
      <c r="A347" s="5" t="s">
        <v>19</v>
      </c>
      <c r="B347" s="5" t="s">
        <v>21</v>
      </c>
      <c r="C347" s="5" t="s">
        <v>13</v>
      </c>
      <c r="D347" s="5">
        <v>50</v>
      </c>
      <c r="E347" s="5">
        <v>154</v>
      </c>
      <c r="F347" s="5">
        <v>7700</v>
      </c>
      <c r="G347" s="6">
        <f t="shared" ca="1" si="15"/>
        <v>45499</v>
      </c>
      <c r="H347" s="4" t="str">
        <f t="shared" ca="1" si="16"/>
        <v>July</v>
      </c>
      <c r="I347" t="str">
        <f t="shared" ca="1" si="17"/>
        <v>2024</v>
      </c>
      <c r="L347" s="4"/>
    </row>
    <row r="348" spans="1:12" x14ac:dyDescent="0.4">
      <c r="A348" s="5" t="s">
        <v>19</v>
      </c>
      <c r="B348" s="5" t="s">
        <v>21</v>
      </c>
      <c r="C348" s="5" t="s">
        <v>24</v>
      </c>
      <c r="D348" s="5">
        <v>33</v>
      </c>
      <c r="E348" s="5">
        <v>1363</v>
      </c>
      <c r="F348" s="5">
        <v>44979</v>
      </c>
      <c r="G348" s="6">
        <f t="shared" ca="1" si="15"/>
        <v>45605</v>
      </c>
      <c r="H348" s="4" t="str">
        <f t="shared" ca="1" si="16"/>
        <v>November</v>
      </c>
      <c r="I348" t="str">
        <f t="shared" ca="1" si="17"/>
        <v>2024</v>
      </c>
      <c r="L348" s="4"/>
    </row>
    <row r="349" spans="1:12" x14ac:dyDescent="0.4">
      <c r="A349" s="5" t="s">
        <v>19</v>
      </c>
      <c r="B349" s="5" t="s">
        <v>12</v>
      </c>
      <c r="C349" s="5" t="s">
        <v>20</v>
      </c>
      <c r="D349" s="5">
        <v>41</v>
      </c>
      <c r="E349" s="5">
        <v>314</v>
      </c>
      <c r="F349" s="5">
        <v>12874</v>
      </c>
      <c r="G349" s="6">
        <f t="shared" ca="1" si="15"/>
        <v>45894</v>
      </c>
      <c r="H349" s="4" t="str">
        <f t="shared" ca="1" si="16"/>
        <v>August</v>
      </c>
      <c r="I349" t="str">
        <f t="shared" ca="1" si="17"/>
        <v>2025</v>
      </c>
      <c r="L349" s="4"/>
    </row>
    <row r="350" spans="1:12" x14ac:dyDescent="0.4">
      <c r="A350" s="5" t="s">
        <v>17</v>
      </c>
      <c r="B350" s="5" t="s">
        <v>15</v>
      </c>
      <c r="C350" s="5" t="s">
        <v>8</v>
      </c>
      <c r="D350" s="5">
        <v>20</v>
      </c>
      <c r="E350" s="5">
        <v>1344</v>
      </c>
      <c r="F350" s="5">
        <v>26880</v>
      </c>
      <c r="G350" s="6">
        <f t="shared" ca="1" si="15"/>
        <v>45699</v>
      </c>
      <c r="H350" s="4" t="str">
        <f t="shared" ca="1" si="16"/>
        <v>February</v>
      </c>
      <c r="I350" t="str">
        <f t="shared" ca="1" si="17"/>
        <v>2025</v>
      </c>
      <c r="L350" s="4"/>
    </row>
    <row r="351" spans="1:12" x14ac:dyDescent="0.4">
      <c r="A351" s="5" t="s">
        <v>6</v>
      </c>
      <c r="B351" s="5" t="s">
        <v>7</v>
      </c>
      <c r="C351" s="5" t="s">
        <v>23</v>
      </c>
      <c r="D351" s="5">
        <v>49</v>
      </c>
      <c r="E351" s="5">
        <v>632</v>
      </c>
      <c r="F351" s="5">
        <v>30968</v>
      </c>
      <c r="G351" s="6">
        <f t="shared" ca="1" si="15"/>
        <v>45569</v>
      </c>
      <c r="H351" s="4" t="str">
        <f t="shared" ca="1" si="16"/>
        <v>October</v>
      </c>
      <c r="I351" t="str">
        <f t="shared" ca="1" si="17"/>
        <v>2024</v>
      </c>
      <c r="L351" s="4"/>
    </row>
    <row r="352" spans="1:12" x14ac:dyDescent="0.4">
      <c r="A352" s="5" t="s">
        <v>9</v>
      </c>
      <c r="B352" s="5" t="s">
        <v>15</v>
      </c>
      <c r="C352" s="5" t="s">
        <v>8</v>
      </c>
      <c r="D352" s="5">
        <v>21</v>
      </c>
      <c r="E352" s="5">
        <v>1169</v>
      </c>
      <c r="F352" s="5">
        <v>24549</v>
      </c>
      <c r="G352" s="6">
        <f t="shared" ca="1" si="15"/>
        <v>45723</v>
      </c>
      <c r="H352" s="4" t="str">
        <f t="shared" ca="1" si="16"/>
        <v>March</v>
      </c>
      <c r="I352" t="str">
        <f t="shared" ca="1" si="17"/>
        <v>2025</v>
      </c>
      <c r="L352" s="4"/>
    </row>
    <row r="353" spans="1:12" x14ac:dyDescent="0.4">
      <c r="A353" s="5" t="s">
        <v>17</v>
      </c>
      <c r="B353" s="5" t="s">
        <v>7</v>
      </c>
      <c r="C353" s="5" t="s">
        <v>24</v>
      </c>
      <c r="D353" s="5">
        <v>18</v>
      </c>
      <c r="E353" s="5">
        <v>1413</v>
      </c>
      <c r="F353" s="5">
        <v>25434</v>
      </c>
      <c r="G353" s="6">
        <f t="shared" ca="1" si="15"/>
        <v>45381</v>
      </c>
      <c r="H353" s="4" t="str">
        <f t="shared" ca="1" si="16"/>
        <v>March</v>
      </c>
      <c r="I353" t="str">
        <f t="shared" ca="1" si="17"/>
        <v>2024</v>
      </c>
      <c r="L353" s="4"/>
    </row>
    <row r="354" spans="1:12" x14ac:dyDescent="0.4">
      <c r="A354" s="5" t="s">
        <v>17</v>
      </c>
      <c r="B354" s="5" t="s">
        <v>15</v>
      </c>
      <c r="C354" s="5" t="s">
        <v>18</v>
      </c>
      <c r="D354" s="5">
        <v>15</v>
      </c>
      <c r="E354" s="5">
        <v>930</v>
      </c>
      <c r="F354" s="5">
        <v>13950</v>
      </c>
      <c r="G354" s="6">
        <f t="shared" ca="1" si="15"/>
        <v>45968</v>
      </c>
      <c r="H354" s="4" t="str">
        <f t="shared" ca="1" si="16"/>
        <v>November</v>
      </c>
      <c r="I354" t="str">
        <f t="shared" ca="1" si="17"/>
        <v>2025</v>
      </c>
      <c r="L354" s="4"/>
    </row>
    <row r="355" spans="1:12" x14ac:dyDescent="0.4">
      <c r="A355" s="5" t="s">
        <v>9</v>
      </c>
      <c r="B355" s="5" t="s">
        <v>12</v>
      </c>
      <c r="C355" s="5" t="s">
        <v>16</v>
      </c>
      <c r="D355" s="5">
        <v>3</v>
      </c>
      <c r="E355" s="5">
        <v>1912</v>
      </c>
      <c r="F355" s="5">
        <v>5736</v>
      </c>
      <c r="G355" s="6">
        <f t="shared" ca="1" si="15"/>
        <v>45569</v>
      </c>
      <c r="H355" s="4" t="str">
        <f t="shared" ca="1" si="16"/>
        <v>October</v>
      </c>
      <c r="I355" t="str">
        <f t="shared" ca="1" si="17"/>
        <v>2024</v>
      </c>
      <c r="L355" s="4"/>
    </row>
    <row r="356" spans="1:12" x14ac:dyDescent="0.4">
      <c r="A356" s="5" t="s">
        <v>6</v>
      </c>
      <c r="B356" s="5" t="s">
        <v>7</v>
      </c>
      <c r="C356" s="5" t="s">
        <v>11</v>
      </c>
      <c r="D356" s="5">
        <v>12</v>
      </c>
      <c r="E356" s="5">
        <v>1479</v>
      </c>
      <c r="F356" s="5">
        <v>17748</v>
      </c>
      <c r="G356" s="6">
        <f t="shared" ca="1" si="15"/>
        <v>45721</v>
      </c>
      <c r="H356" s="4" t="str">
        <f t="shared" ca="1" si="16"/>
        <v>March</v>
      </c>
      <c r="I356" t="str">
        <f t="shared" ca="1" si="17"/>
        <v>2025</v>
      </c>
      <c r="L356" s="4"/>
    </row>
    <row r="357" spans="1:12" x14ac:dyDescent="0.4">
      <c r="A357" s="5" t="s">
        <v>19</v>
      </c>
      <c r="B357" s="5" t="s">
        <v>21</v>
      </c>
      <c r="C357" s="5" t="s">
        <v>23</v>
      </c>
      <c r="D357" s="5">
        <v>14</v>
      </c>
      <c r="E357" s="5">
        <v>839</v>
      </c>
      <c r="F357" s="5">
        <v>11746</v>
      </c>
      <c r="G357" s="6">
        <f t="shared" ca="1" si="15"/>
        <v>45341</v>
      </c>
      <c r="H357" s="4" t="str">
        <f t="shared" ca="1" si="16"/>
        <v>February</v>
      </c>
      <c r="I357" t="str">
        <f t="shared" ca="1" si="17"/>
        <v>2024</v>
      </c>
      <c r="L357" s="4"/>
    </row>
    <row r="358" spans="1:12" x14ac:dyDescent="0.4">
      <c r="A358" s="5" t="s">
        <v>19</v>
      </c>
      <c r="B358" s="5" t="s">
        <v>15</v>
      </c>
      <c r="C358" s="5" t="s">
        <v>23</v>
      </c>
      <c r="D358" s="5">
        <v>4</v>
      </c>
      <c r="E358" s="5">
        <v>452</v>
      </c>
      <c r="F358" s="5">
        <v>1808</v>
      </c>
      <c r="G358" s="6">
        <f t="shared" ca="1" si="15"/>
        <v>45730</v>
      </c>
      <c r="H358" s="4" t="str">
        <f t="shared" ca="1" si="16"/>
        <v>March</v>
      </c>
      <c r="I358" t="str">
        <f t="shared" ca="1" si="17"/>
        <v>2025</v>
      </c>
      <c r="L358" s="4"/>
    </row>
    <row r="359" spans="1:12" x14ac:dyDescent="0.4">
      <c r="A359" s="5" t="s">
        <v>9</v>
      </c>
      <c r="B359" s="5" t="s">
        <v>12</v>
      </c>
      <c r="C359" s="5" t="s">
        <v>11</v>
      </c>
      <c r="D359" s="5">
        <v>20</v>
      </c>
      <c r="E359" s="5">
        <v>654</v>
      </c>
      <c r="F359" s="5">
        <v>13080</v>
      </c>
      <c r="G359" s="6">
        <f t="shared" ca="1" si="15"/>
        <v>45699</v>
      </c>
      <c r="H359" s="4" t="str">
        <f t="shared" ca="1" si="16"/>
        <v>February</v>
      </c>
      <c r="I359" t="str">
        <f t="shared" ca="1" si="17"/>
        <v>2025</v>
      </c>
      <c r="L359" s="4"/>
    </row>
    <row r="360" spans="1:12" x14ac:dyDescent="0.4">
      <c r="A360" s="5" t="s">
        <v>17</v>
      </c>
      <c r="B360" s="5" t="s">
        <v>7</v>
      </c>
      <c r="C360" s="5" t="s">
        <v>20</v>
      </c>
      <c r="D360" s="5">
        <v>24</v>
      </c>
      <c r="E360" s="5">
        <v>1134</v>
      </c>
      <c r="F360" s="5">
        <v>27216</v>
      </c>
      <c r="G360" s="6">
        <f t="shared" ca="1" si="15"/>
        <v>45550</v>
      </c>
      <c r="H360" s="4" t="str">
        <f t="shared" ca="1" si="16"/>
        <v>September</v>
      </c>
      <c r="I360" t="str">
        <f t="shared" ca="1" si="17"/>
        <v>2024</v>
      </c>
      <c r="L360" s="4"/>
    </row>
    <row r="361" spans="1:12" x14ac:dyDescent="0.4">
      <c r="A361" s="5" t="s">
        <v>17</v>
      </c>
      <c r="B361" s="5" t="s">
        <v>12</v>
      </c>
      <c r="C361" s="5" t="s">
        <v>23</v>
      </c>
      <c r="D361" s="5">
        <v>49</v>
      </c>
      <c r="E361" s="5">
        <v>1425</v>
      </c>
      <c r="F361" s="5">
        <v>69825</v>
      </c>
      <c r="G361" s="6">
        <f t="shared" ca="1" si="15"/>
        <v>45979</v>
      </c>
      <c r="H361" s="4" t="str">
        <f t="shared" ca="1" si="16"/>
        <v>November</v>
      </c>
      <c r="I361" t="str">
        <f t="shared" ca="1" si="17"/>
        <v>2025</v>
      </c>
      <c r="L361" s="4"/>
    </row>
    <row r="362" spans="1:12" x14ac:dyDescent="0.4">
      <c r="A362" s="5" t="s">
        <v>17</v>
      </c>
      <c r="B362" s="5" t="s">
        <v>15</v>
      </c>
      <c r="C362" s="5" t="s">
        <v>14</v>
      </c>
      <c r="D362" s="5">
        <v>10</v>
      </c>
      <c r="E362" s="5">
        <v>818</v>
      </c>
      <c r="F362" s="5">
        <v>8180</v>
      </c>
      <c r="G362" s="6">
        <f t="shared" ca="1" si="15"/>
        <v>45395</v>
      </c>
      <c r="H362" s="4" t="str">
        <f t="shared" ca="1" si="16"/>
        <v>April</v>
      </c>
      <c r="I362" t="str">
        <f t="shared" ca="1" si="17"/>
        <v>2024</v>
      </c>
      <c r="L362" s="4"/>
    </row>
    <row r="363" spans="1:12" x14ac:dyDescent="0.4">
      <c r="A363" s="5" t="s">
        <v>19</v>
      </c>
      <c r="B363" s="5" t="s">
        <v>7</v>
      </c>
      <c r="C363" s="5" t="s">
        <v>24</v>
      </c>
      <c r="D363" s="5">
        <v>24</v>
      </c>
      <c r="E363" s="5">
        <v>939</v>
      </c>
      <c r="F363" s="5">
        <v>22536</v>
      </c>
      <c r="G363" s="6">
        <f t="shared" ca="1" si="15"/>
        <v>45821</v>
      </c>
      <c r="H363" s="4" t="str">
        <f t="shared" ca="1" si="16"/>
        <v>June</v>
      </c>
      <c r="I363" t="str">
        <f t="shared" ca="1" si="17"/>
        <v>2025</v>
      </c>
      <c r="L363" s="4"/>
    </row>
    <row r="364" spans="1:12" x14ac:dyDescent="0.4">
      <c r="A364" s="5" t="s">
        <v>19</v>
      </c>
      <c r="B364" s="5" t="s">
        <v>21</v>
      </c>
      <c r="C364" s="5" t="s">
        <v>14</v>
      </c>
      <c r="D364" s="5">
        <v>47</v>
      </c>
      <c r="E364" s="5">
        <v>1395</v>
      </c>
      <c r="F364" s="5">
        <v>65565</v>
      </c>
      <c r="G364" s="6">
        <f t="shared" ca="1" si="15"/>
        <v>45295</v>
      </c>
      <c r="H364" s="4" t="str">
        <f t="shared" ca="1" si="16"/>
        <v>January</v>
      </c>
      <c r="I364" t="str">
        <f t="shared" ca="1" si="17"/>
        <v>2024</v>
      </c>
      <c r="L364" s="4"/>
    </row>
    <row r="365" spans="1:12" x14ac:dyDescent="0.4">
      <c r="A365" s="5" t="s">
        <v>6</v>
      </c>
      <c r="B365" s="5" t="s">
        <v>15</v>
      </c>
      <c r="C365" s="5" t="s">
        <v>11</v>
      </c>
      <c r="D365" s="5">
        <v>4</v>
      </c>
      <c r="E365" s="5">
        <v>1640</v>
      </c>
      <c r="F365" s="5">
        <v>6560</v>
      </c>
      <c r="G365" s="6">
        <f t="shared" ca="1" si="15"/>
        <v>45815</v>
      </c>
      <c r="H365" s="4" t="str">
        <f t="shared" ca="1" si="16"/>
        <v>June</v>
      </c>
      <c r="I365" t="str">
        <f t="shared" ca="1" si="17"/>
        <v>2025</v>
      </c>
      <c r="L365" s="4"/>
    </row>
    <row r="366" spans="1:12" x14ac:dyDescent="0.4">
      <c r="A366" s="5" t="s">
        <v>17</v>
      </c>
      <c r="B366" s="5" t="s">
        <v>10</v>
      </c>
      <c r="C366" s="5" t="s">
        <v>13</v>
      </c>
      <c r="D366" s="5">
        <v>39</v>
      </c>
      <c r="E366" s="5">
        <v>182</v>
      </c>
      <c r="F366" s="5">
        <v>7098</v>
      </c>
      <c r="G366" s="6">
        <f t="shared" ca="1" si="15"/>
        <v>45808</v>
      </c>
      <c r="H366" s="4" t="str">
        <f t="shared" ca="1" si="16"/>
        <v>May</v>
      </c>
      <c r="I366" t="str">
        <f t="shared" ca="1" si="17"/>
        <v>2025</v>
      </c>
      <c r="L366" s="4"/>
    </row>
    <row r="367" spans="1:12" x14ac:dyDescent="0.4">
      <c r="A367" s="5" t="s">
        <v>17</v>
      </c>
      <c r="B367" s="5" t="s">
        <v>12</v>
      </c>
      <c r="C367" s="5" t="s">
        <v>20</v>
      </c>
      <c r="D367" s="5">
        <v>28</v>
      </c>
      <c r="E367" s="5">
        <v>1494</v>
      </c>
      <c r="F367" s="5">
        <v>41832</v>
      </c>
      <c r="G367" s="6">
        <f t="shared" ca="1" si="15"/>
        <v>45785</v>
      </c>
      <c r="H367" s="4" t="str">
        <f t="shared" ca="1" si="16"/>
        <v>May</v>
      </c>
      <c r="I367" t="str">
        <f t="shared" ca="1" si="17"/>
        <v>2025</v>
      </c>
      <c r="L367" s="4"/>
    </row>
    <row r="368" spans="1:12" x14ac:dyDescent="0.4">
      <c r="A368" s="5" t="s">
        <v>19</v>
      </c>
      <c r="B368" s="5" t="s">
        <v>21</v>
      </c>
      <c r="C368" s="5" t="s">
        <v>16</v>
      </c>
      <c r="D368" s="5">
        <v>37</v>
      </c>
      <c r="E368" s="5">
        <v>707</v>
      </c>
      <c r="F368" s="5">
        <v>26159</v>
      </c>
      <c r="G368" s="6">
        <f t="shared" ca="1" si="15"/>
        <v>45348</v>
      </c>
      <c r="H368" s="4" t="str">
        <f t="shared" ca="1" si="16"/>
        <v>February</v>
      </c>
      <c r="I368" t="str">
        <f t="shared" ca="1" si="17"/>
        <v>2024</v>
      </c>
      <c r="L368" s="4"/>
    </row>
    <row r="369" spans="1:12" x14ac:dyDescent="0.4">
      <c r="A369" s="5" t="s">
        <v>6</v>
      </c>
      <c r="B369" s="5" t="s">
        <v>21</v>
      </c>
      <c r="C369" s="5" t="s">
        <v>13</v>
      </c>
      <c r="D369" s="5">
        <v>45</v>
      </c>
      <c r="E369" s="5">
        <v>1900</v>
      </c>
      <c r="F369" s="5">
        <v>85500</v>
      </c>
      <c r="G369" s="6">
        <f t="shared" ca="1" si="15"/>
        <v>45465</v>
      </c>
      <c r="H369" s="4" t="str">
        <f t="shared" ca="1" si="16"/>
        <v>June</v>
      </c>
      <c r="I369" t="str">
        <f t="shared" ca="1" si="17"/>
        <v>2024</v>
      </c>
      <c r="L369" s="4"/>
    </row>
    <row r="370" spans="1:12" x14ac:dyDescent="0.4">
      <c r="A370" s="5" t="s">
        <v>6</v>
      </c>
      <c r="B370" s="5" t="s">
        <v>7</v>
      </c>
      <c r="C370" s="5" t="s">
        <v>24</v>
      </c>
      <c r="D370" s="5">
        <v>14</v>
      </c>
      <c r="E370" s="5">
        <v>341</v>
      </c>
      <c r="F370" s="5">
        <v>4774</v>
      </c>
      <c r="G370" s="6">
        <f t="shared" ca="1" si="15"/>
        <v>45807</v>
      </c>
      <c r="H370" s="4" t="str">
        <f t="shared" ca="1" si="16"/>
        <v>May</v>
      </c>
      <c r="I370" t="str">
        <f t="shared" ca="1" si="17"/>
        <v>2025</v>
      </c>
      <c r="L370" s="4"/>
    </row>
    <row r="371" spans="1:12" x14ac:dyDescent="0.4">
      <c r="A371" s="5" t="s">
        <v>9</v>
      </c>
      <c r="B371" s="5" t="s">
        <v>15</v>
      </c>
      <c r="C371" s="5" t="s">
        <v>18</v>
      </c>
      <c r="D371" s="5">
        <v>19</v>
      </c>
      <c r="E371" s="5">
        <v>965</v>
      </c>
      <c r="F371" s="5">
        <v>18335</v>
      </c>
      <c r="G371" s="6">
        <f t="shared" ca="1" si="15"/>
        <v>45366</v>
      </c>
      <c r="H371" s="4" t="str">
        <f t="shared" ca="1" si="16"/>
        <v>March</v>
      </c>
      <c r="I371" t="str">
        <f t="shared" ca="1" si="17"/>
        <v>2024</v>
      </c>
      <c r="L371" s="4"/>
    </row>
    <row r="372" spans="1:12" x14ac:dyDescent="0.4">
      <c r="A372" s="5" t="s">
        <v>17</v>
      </c>
      <c r="B372" s="5" t="s">
        <v>10</v>
      </c>
      <c r="C372" s="5" t="s">
        <v>22</v>
      </c>
      <c r="D372" s="5">
        <v>28</v>
      </c>
      <c r="E372" s="5">
        <v>1184</v>
      </c>
      <c r="F372" s="5">
        <v>33152</v>
      </c>
      <c r="G372" s="6">
        <f t="shared" ca="1" si="15"/>
        <v>45316</v>
      </c>
      <c r="H372" s="4" t="str">
        <f t="shared" ca="1" si="16"/>
        <v>January</v>
      </c>
      <c r="I372" t="str">
        <f t="shared" ca="1" si="17"/>
        <v>2024</v>
      </c>
      <c r="L372" s="4"/>
    </row>
    <row r="373" spans="1:12" x14ac:dyDescent="0.4">
      <c r="A373" s="5" t="s">
        <v>9</v>
      </c>
      <c r="B373" s="5" t="s">
        <v>21</v>
      </c>
      <c r="C373" s="5" t="s">
        <v>11</v>
      </c>
      <c r="D373" s="5">
        <v>26</v>
      </c>
      <c r="E373" s="5">
        <v>441</v>
      </c>
      <c r="F373" s="5">
        <v>11466</v>
      </c>
      <c r="G373" s="6">
        <f t="shared" ca="1" si="15"/>
        <v>45972</v>
      </c>
      <c r="H373" s="4" t="str">
        <f t="shared" ca="1" si="16"/>
        <v>November</v>
      </c>
      <c r="I373" t="str">
        <f t="shared" ca="1" si="17"/>
        <v>2025</v>
      </c>
      <c r="L373" s="4"/>
    </row>
    <row r="374" spans="1:12" x14ac:dyDescent="0.4">
      <c r="A374" s="5" t="s">
        <v>6</v>
      </c>
      <c r="B374" s="5" t="s">
        <v>7</v>
      </c>
      <c r="C374" s="5" t="s">
        <v>16</v>
      </c>
      <c r="D374" s="5">
        <v>14</v>
      </c>
      <c r="E374" s="5">
        <v>114</v>
      </c>
      <c r="F374" s="5">
        <v>1596</v>
      </c>
      <c r="G374" s="6">
        <f t="shared" ca="1" si="15"/>
        <v>45913</v>
      </c>
      <c r="H374" s="4" t="str">
        <f t="shared" ca="1" si="16"/>
        <v>September</v>
      </c>
      <c r="I374" t="str">
        <f t="shared" ca="1" si="17"/>
        <v>2025</v>
      </c>
      <c r="L374" s="4"/>
    </row>
    <row r="375" spans="1:12" x14ac:dyDescent="0.4">
      <c r="A375" s="5" t="s">
        <v>6</v>
      </c>
      <c r="B375" s="5" t="s">
        <v>12</v>
      </c>
      <c r="C375" s="5" t="s">
        <v>23</v>
      </c>
      <c r="D375" s="5">
        <v>33</v>
      </c>
      <c r="E375" s="5">
        <v>1830</v>
      </c>
      <c r="F375" s="5">
        <v>60390</v>
      </c>
      <c r="G375" s="6">
        <f t="shared" ca="1" si="15"/>
        <v>45902</v>
      </c>
      <c r="H375" s="4" t="str">
        <f t="shared" ca="1" si="16"/>
        <v>September</v>
      </c>
      <c r="I375" t="str">
        <f t="shared" ca="1" si="17"/>
        <v>2025</v>
      </c>
      <c r="L375" s="4"/>
    </row>
    <row r="376" spans="1:12" x14ac:dyDescent="0.4">
      <c r="A376" s="5" t="s">
        <v>19</v>
      </c>
      <c r="B376" s="5" t="s">
        <v>15</v>
      </c>
      <c r="C376" s="5" t="s">
        <v>16</v>
      </c>
      <c r="D376" s="5">
        <v>4</v>
      </c>
      <c r="E376" s="5">
        <v>259</v>
      </c>
      <c r="F376" s="5">
        <v>1036</v>
      </c>
      <c r="G376" s="6">
        <f t="shared" ca="1" si="15"/>
        <v>45750</v>
      </c>
      <c r="H376" s="4" t="str">
        <f t="shared" ca="1" si="16"/>
        <v>April</v>
      </c>
      <c r="I376" t="str">
        <f t="shared" ca="1" si="17"/>
        <v>2025</v>
      </c>
      <c r="L376" s="4"/>
    </row>
    <row r="377" spans="1:12" x14ac:dyDescent="0.4">
      <c r="A377" s="5" t="s">
        <v>19</v>
      </c>
      <c r="B377" s="5" t="s">
        <v>10</v>
      </c>
      <c r="C377" s="5" t="s">
        <v>18</v>
      </c>
      <c r="D377" s="5">
        <v>20</v>
      </c>
      <c r="E377" s="5">
        <v>551</v>
      </c>
      <c r="F377" s="5">
        <v>11020</v>
      </c>
      <c r="G377" s="6">
        <f t="shared" ca="1" si="15"/>
        <v>45711</v>
      </c>
      <c r="H377" s="4" t="str">
        <f t="shared" ca="1" si="16"/>
        <v>February</v>
      </c>
      <c r="I377" t="str">
        <f t="shared" ca="1" si="17"/>
        <v>2025</v>
      </c>
      <c r="L377" s="4"/>
    </row>
    <row r="378" spans="1:12" x14ac:dyDescent="0.4">
      <c r="A378" s="5" t="s">
        <v>6</v>
      </c>
      <c r="B378" s="5" t="s">
        <v>12</v>
      </c>
      <c r="C378" s="5" t="s">
        <v>20</v>
      </c>
      <c r="D378" s="5">
        <v>14</v>
      </c>
      <c r="E378" s="5">
        <v>209</v>
      </c>
      <c r="F378" s="5">
        <v>2926</v>
      </c>
      <c r="G378" s="6">
        <f t="shared" ca="1" si="15"/>
        <v>45586</v>
      </c>
      <c r="H378" s="4" t="str">
        <f t="shared" ca="1" si="16"/>
        <v>October</v>
      </c>
      <c r="I378" t="str">
        <f t="shared" ca="1" si="17"/>
        <v>2024</v>
      </c>
      <c r="L378" s="4"/>
    </row>
    <row r="379" spans="1:12" x14ac:dyDescent="0.4">
      <c r="A379" s="5" t="s">
        <v>6</v>
      </c>
      <c r="B379" s="5" t="s">
        <v>21</v>
      </c>
      <c r="C379" s="5" t="s">
        <v>11</v>
      </c>
      <c r="D379" s="5">
        <v>23</v>
      </c>
      <c r="E379" s="5">
        <v>1399</v>
      </c>
      <c r="F379" s="5">
        <v>32177</v>
      </c>
      <c r="G379" s="6">
        <f t="shared" ca="1" si="15"/>
        <v>45563</v>
      </c>
      <c r="H379" s="4" t="str">
        <f t="shared" ca="1" si="16"/>
        <v>September</v>
      </c>
      <c r="I379" t="str">
        <f t="shared" ca="1" si="17"/>
        <v>2024</v>
      </c>
      <c r="L379" s="4"/>
    </row>
    <row r="380" spans="1:12" x14ac:dyDescent="0.4">
      <c r="A380" s="5" t="s">
        <v>17</v>
      </c>
      <c r="B380" s="5" t="s">
        <v>10</v>
      </c>
      <c r="C380" s="5" t="s">
        <v>14</v>
      </c>
      <c r="D380" s="5">
        <v>31</v>
      </c>
      <c r="E380" s="5">
        <v>126</v>
      </c>
      <c r="F380" s="5">
        <v>3906</v>
      </c>
      <c r="G380" s="6">
        <f t="shared" ca="1" si="15"/>
        <v>45819</v>
      </c>
      <c r="H380" s="4" t="str">
        <f t="shared" ca="1" si="16"/>
        <v>June</v>
      </c>
      <c r="I380" t="str">
        <f t="shared" ca="1" si="17"/>
        <v>2025</v>
      </c>
      <c r="L380" s="4"/>
    </row>
    <row r="381" spans="1:12" x14ac:dyDescent="0.4">
      <c r="A381" s="5" t="s">
        <v>6</v>
      </c>
      <c r="B381" s="5" t="s">
        <v>7</v>
      </c>
      <c r="C381" s="5" t="s">
        <v>8</v>
      </c>
      <c r="D381" s="5">
        <v>28</v>
      </c>
      <c r="E381" s="5">
        <v>1381</v>
      </c>
      <c r="F381" s="5">
        <v>38668</v>
      </c>
      <c r="G381" s="6">
        <f t="shared" ca="1" si="15"/>
        <v>45949</v>
      </c>
      <c r="H381" s="4" t="str">
        <f t="shared" ca="1" si="16"/>
        <v>October</v>
      </c>
      <c r="I381" t="str">
        <f t="shared" ca="1" si="17"/>
        <v>2025</v>
      </c>
      <c r="L381" s="4"/>
    </row>
    <row r="382" spans="1:12" x14ac:dyDescent="0.4">
      <c r="A382" s="5" t="s">
        <v>19</v>
      </c>
      <c r="B382" s="5" t="s">
        <v>7</v>
      </c>
      <c r="C382" s="5" t="s">
        <v>13</v>
      </c>
      <c r="D382" s="5">
        <v>39</v>
      </c>
      <c r="E382" s="5">
        <v>1243</v>
      </c>
      <c r="F382" s="5">
        <v>48477</v>
      </c>
      <c r="G382" s="6">
        <f t="shared" ca="1" si="15"/>
        <v>45468</v>
      </c>
      <c r="H382" s="4" t="str">
        <f t="shared" ca="1" si="16"/>
        <v>June</v>
      </c>
      <c r="I382" t="str">
        <f t="shared" ca="1" si="17"/>
        <v>2024</v>
      </c>
      <c r="L382" s="4"/>
    </row>
    <row r="383" spans="1:12" x14ac:dyDescent="0.4">
      <c r="A383" s="5" t="s">
        <v>9</v>
      </c>
      <c r="B383" s="5" t="s">
        <v>10</v>
      </c>
      <c r="C383" s="5" t="s">
        <v>11</v>
      </c>
      <c r="D383" s="5">
        <v>49</v>
      </c>
      <c r="E383" s="5">
        <v>1312</v>
      </c>
      <c r="F383" s="5">
        <v>64288</v>
      </c>
      <c r="G383" s="6">
        <f t="shared" ca="1" si="15"/>
        <v>45408</v>
      </c>
      <c r="H383" s="4" t="str">
        <f t="shared" ca="1" si="16"/>
        <v>April</v>
      </c>
      <c r="I383" t="str">
        <f t="shared" ca="1" si="17"/>
        <v>2024</v>
      </c>
      <c r="L383" s="4"/>
    </row>
    <row r="384" spans="1:12" x14ac:dyDescent="0.4">
      <c r="A384" s="5" t="s">
        <v>6</v>
      </c>
      <c r="B384" s="5" t="s">
        <v>12</v>
      </c>
      <c r="C384" s="5" t="s">
        <v>23</v>
      </c>
      <c r="D384" s="5">
        <v>39</v>
      </c>
      <c r="E384" s="5">
        <v>1186</v>
      </c>
      <c r="F384" s="5">
        <v>46254</v>
      </c>
      <c r="G384" s="6">
        <f t="shared" ca="1" si="15"/>
        <v>45541</v>
      </c>
      <c r="H384" s="4" t="str">
        <f t="shared" ca="1" si="16"/>
        <v>September</v>
      </c>
      <c r="I384" t="str">
        <f t="shared" ca="1" si="17"/>
        <v>2024</v>
      </c>
      <c r="L384" s="4"/>
    </row>
    <row r="385" spans="1:12" x14ac:dyDescent="0.4">
      <c r="A385" s="5" t="s">
        <v>9</v>
      </c>
      <c r="B385" s="5" t="s">
        <v>12</v>
      </c>
      <c r="C385" s="5" t="s">
        <v>11</v>
      </c>
      <c r="D385" s="5">
        <v>25</v>
      </c>
      <c r="E385" s="5">
        <v>195</v>
      </c>
      <c r="F385" s="5">
        <v>4875</v>
      </c>
      <c r="G385" s="6">
        <f t="shared" ca="1" si="15"/>
        <v>45416</v>
      </c>
      <c r="H385" s="4" t="str">
        <f t="shared" ca="1" si="16"/>
        <v>May</v>
      </c>
      <c r="I385" t="str">
        <f t="shared" ca="1" si="17"/>
        <v>2024</v>
      </c>
      <c r="L385" s="4"/>
    </row>
    <row r="386" spans="1:12" x14ac:dyDescent="0.4">
      <c r="A386" s="5" t="s">
        <v>17</v>
      </c>
      <c r="B386" s="5" t="s">
        <v>10</v>
      </c>
      <c r="C386" s="5" t="s">
        <v>13</v>
      </c>
      <c r="D386" s="5">
        <v>39</v>
      </c>
      <c r="E386" s="5">
        <v>357</v>
      </c>
      <c r="F386" s="5">
        <v>13923</v>
      </c>
      <c r="G386" s="6">
        <f t="shared" ca="1" si="15"/>
        <v>45666</v>
      </c>
      <c r="H386" s="4" t="str">
        <f t="shared" ca="1" si="16"/>
        <v>January</v>
      </c>
      <c r="I386" t="str">
        <f t="shared" ca="1" si="17"/>
        <v>2025</v>
      </c>
      <c r="L386" s="4"/>
    </row>
    <row r="387" spans="1:12" x14ac:dyDescent="0.4">
      <c r="A387" s="5" t="s">
        <v>9</v>
      </c>
      <c r="B387" s="5" t="s">
        <v>10</v>
      </c>
      <c r="C387" s="5" t="s">
        <v>22</v>
      </c>
      <c r="D387" s="5">
        <v>40</v>
      </c>
      <c r="E387" s="5">
        <v>1020</v>
      </c>
      <c r="F387" s="5">
        <v>40800</v>
      </c>
      <c r="G387" s="6">
        <f t="shared" ref="G387:G450" ca="1" si="18">RANDBETWEEN(DATE(2024,1,1),DATE(2025,12,31))</f>
        <v>45351</v>
      </c>
      <c r="H387" s="4" t="str">
        <f t="shared" ref="H387:H450" ca="1" si="19">TEXT(G387,"mmmm")</f>
        <v>February</v>
      </c>
      <c r="I387" t="str">
        <f t="shared" ref="I387:I450" ca="1" si="20">TEXT(G387,"yyyy")</f>
        <v>2024</v>
      </c>
      <c r="L387" s="4"/>
    </row>
    <row r="388" spans="1:12" x14ac:dyDescent="0.4">
      <c r="A388" s="5" t="s">
        <v>19</v>
      </c>
      <c r="B388" s="5" t="s">
        <v>15</v>
      </c>
      <c r="C388" s="5" t="s">
        <v>22</v>
      </c>
      <c r="D388" s="5">
        <v>33</v>
      </c>
      <c r="E388" s="5">
        <v>546</v>
      </c>
      <c r="F388" s="5">
        <v>18018</v>
      </c>
      <c r="G388" s="6">
        <f t="shared" ca="1" si="18"/>
        <v>45468</v>
      </c>
      <c r="H388" s="4" t="str">
        <f t="shared" ca="1" si="19"/>
        <v>June</v>
      </c>
      <c r="I388" t="str">
        <f t="shared" ca="1" si="20"/>
        <v>2024</v>
      </c>
      <c r="L388" s="4"/>
    </row>
    <row r="389" spans="1:12" x14ac:dyDescent="0.4">
      <c r="A389" s="5" t="s">
        <v>9</v>
      </c>
      <c r="B389" s="5" t="s">
        <v>15</v>
      </c>
      <c r="C389" s="5" t="s">
        <v>14</v>
      </c>
      <c r="D389" s="5">
        <v>42</v>
      </c>
      <c r="E389" s="5">
        <v>908</v>
      </c>
      <c r="F389" s="5">
        <v>38136</v>
      </c>
      <c r="G389" s="6">
        <f t="shared" ca="1" si="18"/>
        <v>45808</v>
      </c>
      <c r="H389" s="4" t="str">
        <f t="shared" ca="1" si="19"/>
        <v>May</v>
      </c>
      <c r="I389" t="str">
        <f t="shared" ca="1" si="20"/>
        <v>2025</v>
      </c>
      <c r="L389" s="4"/>
    </row>
    <row r="390" spans="1:12" x14ac:dyDescent="0.4">
      <c r="A390" s="5" t="s">
        <v>6</v>
      </c>
      <c r="B390" s="5" t="s">
        <v>21</v>
      </c>
      <c r="C390" s="5" t="s">
        <v>20</v>
      </c>
      <c r="D390" s="5">
        <v>49</v>
      </c>
      <c r="E390" s="5">
        <v>1570</v>
      </c>
      <c r="F390" s="5">
        <v>76930</v>
      </c>
      <c r="G390" s="6">
        <f t="shared" ca="1" si="18"/>
        <v>45495</v>
      </c>
      <c r="H390" s="4" t="str">
        <f t="shared" ca="1" si="19"/>
        <v>July</v>
      </c>
      <c r="I390" t="str">
        <f t="shared" ca="1" si="20"/>
        <v>2024</v>
      </c>
      <c r="L390" s="4"/>
    </row>
    <row r="391" spans="1:12" x14ac:dyDescent="0.4">
      <c r="A391" s="5" t="s">
        <v>19</v>
      </c>
      <c r="B391" s="5" t="s">
        <v>7</v>
      </c>
      <c r="C391" s="5" t="s">
        <v>20</v>
      </c>
      <c r="D391" s="5">
        <v>4</v>
      </c>
      <c r="E391" s="5">
        <v>1080</v>
      </c>
      <c r="F391" s="5">
        <v>4320</v>
      </c>
      <c r="G391" s="6">
        <f t="shared" ca="1" si="18"/>
        <v>45999</v>
      </c>
      <c r="H391" s="4" t="str">
        <f t="shared" ca="1" si="19"/>
        <v>December</v>
      </c>
      <c r="I391" t="str">
        <f t="shared" ca="1" si="20"/>
        <v>2025</v>
      </c>
      <c r="L391" s="4"/>
    </row>
    <row r="392" spans="1:12" x14ac:dyDescent="0.4">
      <c r="A392" s="5" t="s">
        <v>9</v>
      </c>
      <c r="B392" s="5" t="s">
        <v>21</v>
      </c>
      <c r="C392" s="5" t="s">
        <v>23</v>
      </c>
      <c r="D392" s="5">
        <v>19</v>
      </c>
      <c r="E392" s="5">
        <v>1184</v>
      </c>
      <c r="F392" s="5">
        <v>22496</v>
      </c>
      <c r="G392" s="6">
        <f t="shared" ca="1" si="18"/>
        <v>45921</v>
      </c>
      <c r="H392" s="4" t="str">
        <f t="shared" ca="1" si="19"/>
        <v>September</v>
      </c>
      <c r="I392" t="str">
        <f t="shared" ca="1" si="20"/>
        <v>2025</v>
      </c>
      <c r="L392" s="4"/>
    </row>
    <row r="393" spans="1:12" x14ac:dyDescent="0.4">
      <c r="A393" s="5" t="s">
        <v>17</v>
      </c>
      <c r="B393" s="5" t="s">
        <v>15</v>
      </c>
      <c r="C393" s="5" t="s">
        <v>18</v>
      </c>
      <c r="D393" s="5">
        <v>42</v>
      </c>
      <c r="E393" s="5">
        <v>1600</v>
      </c>
      <c r="F393" s="5">
        <v>67200</v>
      </c>
      <c r="G393" s="6">
        <f t="shared" ca="1" si="18"/>
        <v>45812</v>
      </c>
      <c r="H393" s="4" t="str">
        <f t="shared" ca="1" si="19"/>
        <v>June</v>
      </c>
      <c r="I393" t="str">
        <f t="shared" ca="1" si="20"/>
        <v>2025</v>
      </c>
      <c r="L393" s="4"/>
    </row>
    <row r="394" spans="1:12" x14ac:dyDescent="0.4">
      <c r="A394" s="5" t="s">
        <v>9</v>
      </c>
      <c r="B394" s="5" t="s">
        <v>10</v>
      </c>
      <c r="C394" s="5" t="s">
        <v>18</v>
      </c>
      <c r="D394" s="5">
        <v>3</v>
      </c>
      <c r="E394" s="5">
        <v>353</v>
      </c>
      <c r="F394" s="5">
        <v>1059</v>
      </c>
      <c r="G394" s="6">
        <f t="shared" ca="1" si="18"/>
        <v>45476</v>
      </c>
      <c r="H394" s="4" t="str">
        <f t="shared" ca="1" si="19"/>
        <v>July</v>
      </c>
      <c r="I394" t="str">
        <f t="shared" ca="1" si="20"/>
        <v>2024</v>
      </c>
      <c r="L394" s="4"/>
    </row>
    <row r="395" spans="1:12" x14ac:dyDescent="0.4">
      <c r="A395" s="5" t="s">
        <v>19</v>
      </c>
      <c r="B395" s="5" t="s">
        <v>7</v>
      </c>
      <c r="C395" s="5" t="s">
        <v>20</v>
      </c>
      <c r="D395" s="5">
        <v>8</v>
      </c>
      <c r="E395" s="5">
        <v>1652</v>
      </c>
      <c r="F395" s="5">
        <v>13216</v>
      </c>
      <c r="G395" s="6">
        <f t="shared" ca="1" si="18"/>
        <v>45484</v>
      </c>
      <c r="H395" s="4" t="str">
        <f t="shared" ca="1" si="19"/>
        <v>July</v>
      </c>
      <c r="I395" t="str">
        <f t="shared" ca="1" si="20"/>
        <v>2024</v>
      </c>
      <c r="L395" s="4"/>
    </row>
    <row r="396" spans="1:12" x14ac:dyDescent="0.4">
      <c r="A396" s="5" t="s">
        <v>9</v>
      </c>
      <c r="B396" s="5" t="s">
        <v>10</v>
      </c>
      <c r="C396" s="5" t="s">
        <v>13</v>
      </c>
      <c r="D396" s="5">
        <v>46</v>
      </c>
      <c r="E396" s="5">
        <v>152</v>
      </c>
      <c r="F396" s="5">
        <v>6992</v>
      </c>
      <c r="G396" s="6">
        <f t="shared" ca="1" si="18"/>
        <v>45889</v>
      </c>
      <c r="H396" s="4" t="str">
        <f t="shared" ca="1" si="19"/>
        <v>August</v>
      </c>
      <c r="I396" t="str">
        <f t="shared" ca="1" si="20"/>
        <v>2025</v>
      </c>
      <c r="L396" s="4"/>
    </row>
    <row r="397" spans="1:12" x14ac:dyDescent="0.4">
      <c r="A397" s="5" t="s">
        <v>19</v>
      </c>
      <c r="B397" s="5" t="s">
        <v>21</v>
      </c>
      <c r="C397" s="5" t="s">
        <v>16</v>
      </c>
      <c r="D397" s="5">
        <v>48</v>
      </c>
      <c r="E397" s="5">
        <v>1118</v>
      </c>
      <c r="F397" s="5">
        <v>53664</v>
      </c>
      <c r="G397" s="6">
        <f t="shared" ca="1" si="18"/>
        <v>45900</v>
      </c>
      <c r="H397" s="4" t="str">
        <f t="shared" ca="1" si="19"/>
        <v>August</v>
      </c>
      <c r="I397" t="str">
        <f t="shared" ca="1" si="20"/>
        <v>2025</v>
      </c>
      <c r="L397" s="4"/>
    </row>
    <row r="398" spans="1:12" x14ac:dyDescent="0.4">
      <c r="A398" s="5" t="s">
        <v>19</v>
      </c>
      <c r="B398" s="5" t="s">
        <v>15</v>
      </c>
      <c r="C398" s="5" t="s">
        <v>23</v>
      </c>
      <c r="D398" s="5">
        <v>39</v>
      </c>
      <c r="E398" s="5">
        <v>1993</v>
      </c>
      <c r="F398" s="5">
        <v>77727</v>
      </c>
      <c r="G398" s="6">
        <f t="shared" ca="1" si="18"/>
        <v>45553</v>
      </c>
      <c r="H398" s="4" t="str">
        <f t="shared" ca="1" si="19"/>
        <v>September</v>
      </c>
      <c r="I398" t="str">
        <f t="shared" ca="1" si="20"/>
        <v>2024</v>
      </c>
      <c r="L398" s="4"/>
    </row>
    <row r="399" spans="1:12" x14ac:dyDescent="0.4">
      <c r="A399" s="5" t="s">
        <v>17</v>
      </c>
      <c r="B399" s="5" t="s">
        <v>21</v>
      </c>
      <c r="C399" s="5" t="s">
        <v>23</v>
      </c>
      <c r="D399" s="5">
        <v>27</v>
      </c>
      <c r="E399" s="5">
        <v>1519</v>
      </c>
      <c r="F399" s="5">
        <v>41013</v>
      </c>
      <c r="G399" s="6">
        <f t="shared" ca="1" si="18"/>
        <v>45622</v>
      </c>
      <c r="H399" s="4" t="str">
        <f t="shared" ca="1" si="19"/>
        <v>November</v>
      </c>
      <c r="I399" t="str">
        <f t="shared" ca="1" si="20"/>
        <v>2024</v>
      </c>
      <c r="L399" s="4"/>
    </row>
    <row r="400" spans="1:12" x14ac:dyDescent="0.4">
      <c r="A400" s="5" t="s">
        <v>19</v>
      </c>
      <c r="B400" s="5" t="s">
        <v>12</v>
      </c>
      <c r="C400" s="5" t="s">
        <v>24</v>
      </c>
      <c r="D400" s="5">
        <v>14</v>
      </c>
      <c r="E400" s="5">
        <v>1860</v>
      </c>
      <c r="F400" s="5">
        <v>26040</v>
      </c>
      <c r="G400" s="6">
        <f t="shared" ca="1" si="18"/>
        <v>45472</v>
      </c>
      <c r="H400" s="4" t="str">
        <f t="shared" ca="1" si="19"/>
        <v>June</v>
      </c>
      <c r="I400" t="str">
        <f t="shared" ca="1" si="20"/>
        <v>2024</v>
      </c>
      <c r="L400" s="4"/>
    </row>
    <row r="401" spans="1:12" x14ac:dyDescent="0.4">
      <c r="A401" s="5" t="s">
        <v>17</v>
      </c>
      <c r="B401" s="5" t="s">
        <v>21</v>
      </c>
      <c r="C401" s="5" t="s">
        <v>13</v>
      </c>
      <c r="D401" s="5">
        <v>50</v>
      </c>
      <c r="E401" s="5">
        <v>1147</v>
      </c>
      <c r="F401" s="5">
        <v>57350</v>
      </c>
      <c r="G401" s="6">
        <f t="shared" ca="1" si="18"/>
        <v>46016</v>
      </c>
      <c r="H401" s="4" t="str">
        <f t="shared" ca="1" si="19"/>
        <v>December</v>
      </c>
      <c r="I401" t="str">
        <f t="shared" ca="1" si="20"/>
        <v>2025</v>
      </c>
      <c r="L401" s="4"/>
    </row>
    <row r="402" spans="1:12" x14ac:dyDescent="0.4">
      <c r="A402" s="5" t="s">
        <v>6</v>
      </c>
      <c r="B402" s="5" t="s">
        <v>21</v>
      </c>
      <c r="C402" s="5" t="s">
        <v>18</v>
      </c>
      <c r="D402" s="5">
        <v>14</v>
      </c>
      <c r="E402" s="5">
        <v>158</v>
      </c>
      <c r="F402" s="5">
        <v>2212</v>
      </c>
      <c r="G402" s="6">
        <f t="shared" ca="1" si="18"/>
        <v>45471</v>
      </c>
      <c r="H402" s="4" t="str">
        <f t="shared" ca="1" si="19"/>
        <v>June</v>
      </c>
      <c r="I402" t="str">
        <f t="shared" ca="1" si="20"/>
        <v>2024</v>
      </c>
      <c r="L402" s="4"/>
    </row>
    <row r="403" spans="1:12" x14ac:dyDescent="0.4">
      <c r="A403" s="5" t="s">
        <v>6</v>
      </c>
      <c r="B403" s="5" t="s">
        <v>7</v>
      </c>
      <c r="C403" s="5" t="s">
        <v>22</v>
      </c>
      <c r="D403" s="5">
        <v>45</v>
      </c>
      <c r="E403" s="5">
        <v>1722</v>
      </c>
      <c r="F403" s="5">
        <v>77490</v>
      </c>
      <c r="G403" s="6">
        <f t="shared" ca="1" si="18"/>
        <v>45944</v>
      </c>
      <c r="H403" s="4" t="str">
        <f t="shared" ca="1" si="19"/>
        <v>October</v>
      </c>
      <c r="I403" t="str">
        <f t="shared" ca="1" si="20"/>
        <v>2025</v>
      </c>
      <c r="L403" s="4"/>
    </row>
    <row r="404" spans="1:12" x14ac:dyDescent="0.4">
      <c r="A404" s="5" t="s">
        <v>17</v>
      </c>
      <c r="B404" s="5" t="s">
        <v>7</v>
      </c>
      <c r="C404" s="5" t="s">
        <v>8</v>
      </c>
      <c r="D404" s="5">
        <v>28</v>
      </c>
      <c r="E404" s="5">
        <v>1601</v>
      </c>
      <c r="F404" s="5">
        <v>44828</v>
      </c>
      <c r="G404" s="6">
        <f t="shared" ca="1" si="18"/>
        <v>45917</v>
      </c>
      <c r="H404" s="4" t="str">
        <f t="shared" ca="1" si="19"/>
        <v>September</v>
      </c>
      <c r="I404" t="str">
        <f t="shared" ca="1" si="20"/>
        <v>2025</v>
      </c>
      <c r="L404" s="4"/>
    </row>
    <row r="405" spans="1:12" x14ac:dyDescent="0.4">
      <c r="A405" s="5" t="s">
        <v>6</v>
      </c>
      <c r="B405" s="5" t="s">
        <v>10</v>
      </c>
      <c r="C405" s="5" t="s">
        <v>22</v>
      </c>
      <c r="D405" s="5">
        <v>10</v>
      </c>
      <c r="E405" s="5">
        <v>675</v>
      </c>
      <c r="F405" s="5">
        <v>6750</v>
      </c>
      <c r="G405" s="6">
        <f t="shared" ca="1" si="18"/>
        <v>45812</v>
      </c>
      <c r="H405" s="4" t="str">
        <f t="shared" ca="1" si="19"/>
        <v>June</v>
      </c>
      <c r="I405" t="str">
        <f t="shared" ca="1" si="20"/>
        <v>2025</v>
      </c>
      <c r="L405" s="4"/>
    </row>
    <row r="406" spans="1:12" x14ac:dyDescent="0.4">
      <c r="A406" s="5" t="s">
        <v>6</v>
      </c>
      <c r="B406" s="5" t="s">
        <v>12</v>
      </c>
      <c r="C406" s="5" t="s">
        <v>14</v>
      </c>
      <c r="D406" s="5">
        <v>5</v>
      </c>
      <c r="E406" s="5">
        <v>1833</v>
      </c>
      <c r="F406" s="5">
        <v>9165</v>
      </c>
      <c r="G406" s="6">
        <f t="shared" ca="1" si="18"/>
        <v>45541</v>
      </c>
      <c r="H406" s="4" t="str">
        <f t="shared" ca="1" si="19"/>
        <v>September</v>
      </c>
      <c r="I406" t="str">
        <f t="shared" ca="1" si="20"/>
        <v>2024</v>
      </c>
      <c r="L406" s="4"/>
    </row>
    <row r="407" spans="1:12" x14ac:dyDescent="0.4">
      <c r="A407" s="5" t="s">
        <v>9</v>
      </c>
      <c r="B407" s="5" t="s">
        <v>15</v>
      </c>
      <c r="C407" s="5" t="s">
        <v>20</v>
      </c>
      <c r="D407" s="5">
        <v>36</v>
      </c>
      <c r="E407" s="5">
        <v>1251</v>
      </c>
      <c r="F407" s="5">
        <v>45036</v>
      </c>
      <c r="G407" s="6">
        <f t="shared" ca="1" si="18"/>
        <v>45712</v>
      </c>
      <c r="H407" s="4" t="str">
        <f t="shared" ca="1" si="19"/>
        <v>February</v>
      </c>
      <c r="I407" t="str">
        <f t="shared" ca="1" si="20"/>
        <v>2025</v>
      </c>
      <c r="L407" s="4"/>
    </row>
    <row r="408" spans="1:12" x14ac:dyDescent="0.4">
      <c r="A408" s="5" t="s">
        <v>17</v>
      </c>
      <c r="B408" s="5" t="s">
        <v>21</v>
      </c>
      <c r="C408" s="5" t="s">
        <v>20</v>
      </c>
      <c r="D408" s="5">
        <v>34</v>
      </c>
      <c r="E408" s="5">
        <v>857</v>
      </c>
      <c r="F408" s="5">
        <v>29138</v>
      </c>
      <c r="G408" s="6">
        <f t="shared" ca="1" si="18"/>
        <v>45871</v>
      </c>
      <c r="H408" s="4" t="str">
        <f t="shared" ca="1" si="19"/>
        <v>August</v>
      </c>
      <c r="I408" t="str">
        <f t="shared" ca="1" si="20"/>
        <v>2025</v>
      </c>
      <c r="L408" s="4"/>
    </row>
    <row r="409" spans="1:12" x14ac:dyDescent="0.4">
      <c r="A409" s="5" t="s">
        <v>19</v>
      </c>
      <c r="B409" s="5" t="s">
        <v>21</v>
      </c>
      <c r="C409" s="5" t="s">
        <v>11</v>
      </c>
      <c r="D409" s="5">
        <v>7</v>
      </c>
      <c r="E409" s="5">
        <v>151</v>
      </c>
      <c r="F409" s="5">
        <v>1057</v>
      </c>
      <c r="G409" s="6">
        <f t="shared" ca="1" si="18"/>
        <v>45388</v>
      </c>
      <c r="H409" s="4" t="str">
        <f t="shared" ca="1" si="19"/>
        <v>April</v>
      </c>
      <c r="I409" t="str">
        <f t="shared" ca="1" si="20"/>
        <v>2024</v>
      </c>
      <c r="L409" s="4"/>
    </row>
    <row r="410" spans="1:12" x14ac:dyDescent="0.4">
      <c r="A410" s="5" t="s">
        <v>17</v>
      </c>
      <c r="B410" s="5" t="s">
        <v>7</v>
      </c>
      <c r="C410" s="5" t="s">
        <v>24</v>
      </c>
      <c r="D410" s="5">
        <v>37</v>
      </c>
      <c r="E410" s="5">
        <v>543</v>
      </c>
      <c r="F410" s="5">
        <v>20091</v>
      </c>
      <c r="G410" s="6">
        <f t="shared" ca="1" si="18"/>
        <v>45664</v>
      </c>
      <c r="H410" s="4" t="str">
        <f t="shared" ca="1" si="19"/>
        <v>January</v>
      </c>
      <c r="I410" t="str">
        <f t="shared" ca="1" si="20"/>
        <v>2025</v>
      </c>
      <c r="L410" s="4"/>
    </row>
    <row r="411" spans="1:12" x14ac:dyDescent="0.4">
      <c r="A411" s="5" t="s">
        <v>6</v>
      </c>
      <c r="B411" s="5" t="s">
        <v>10</v>
      </c>
      <c r="C411" s="5" t="s">
        <v>13</v>
      </c>
      <c r="D411" s="5">
        <v>45</v>
      </c>
      <c r="E411" s="5">
        <v>490</v>
      </c>
      <c r="F411" s="5">
        <v>22050</v>
      </c>
      <c r="G411" s="6">
        <f t="shared" ca="1" si="18"/>
        <v>45900</v>
      </c>
      <c r="H411" s="4" t="str">
        <f t="shared" ca="1" si="19"/>
        <v>August</v>
      </c>
      <c r="I411" t="str">
        <f t="shared" ca="1" si="20"/>
        <v>2025</v>
      </c>
      <c r="L411" s="4"/>
    </row>
    <row r="412" spans="1:12" x14ac:dyDescent="0.4">
      <c r="A412" s="5" t="s">
        <v>17</v>
      </c>
      <c r="B412" s="5" t="s">
        <v>7</v>
      </c>
      <c r="C412" s="5" t="s">
        <v>13</v>
      </c>
      <c r="D412" s="5">
        <v>36</v>
      </c>
      <c r="E412" s="5">
        <v>734</v>
      </c>
      <c r="F412" s="5">
        <v>26424</v>
      </c>
      <c r="G412" s="6">
        <f t="shared" ca="1" si="18"/>
        <v>45862</v>
      </c>
      <c r="H412" s="4" t="str">
        <f t="shared" ca="1" si="19"/>
        <v>July</v>
      </c>
      <c r="I412" t="str">
        <f t="shared" ca="1" si="20"/>
        <v>2025</v>
      </c>
      <c r="L412" s="4"/>
    </row>
    <row r="413" spans="1:12" x14ac:dyDescent="0.4">
      <c r="A413" s="5" t="s">
        <v>19</v>
      </c>
      <c r="B413" s="5" t="s">
        <v>21</v>
      </c>
      <c r="C413" s="5" t="s">
        <v>16</v>
      </c>
      <c r="D413" s="5">
        <v>34</v>
      </c>
      <c r="E413" s="5">
        <v>506</v>
      </c>
      <c r="F413" s="5">
        <v>17204</v>
      </c>
      <c r="G413" s="6">
        <f t="shared" ca="1" si="18"/>
        <v>45843</v>
      </c>
      <c r="H413" s="4" t="str">
        <f t="shared" ca="1" si="19"/>
        <v>July</v>
      </c>
      <c r="I413" t="str">
        <f t="shared" ca="1" si="20"/>
        <v>2025</v>
      </c>
      <c r="L413" s="4"/>
    </row>
    <row r="414" spans="1:12" x14ac:dyDescent="0.4">
      <c r="A414" s="5" t="s">
        <v>17</v>
      </c>
      <c r="B414" s="5" t="s">
        <v>7</v>
      </c>
      <c r="C414" s="5" t="s">
        <v>18</v>
      </c>
      <c r="D414" s="5">
        <v>42</v>
      </c>
      <c r="E414" s="5">
        <v>531</v>
      </c>
      <c r="F414" s="5">
        <v>22302</v>
      </c>
      <c r="G414" s="6">
        <f t="shared" ca="1" si="18"/>
        <v>45343</v>
      </c>
      <c r="H414" s="4" t="str">
        <f t="shared" ca="1" si="19"/>
        <v>February</v>
      </c>
      <c r="I414" t="str">
        <f t="shared" ca="1" si="20"/>
        <v>2024</v>
      </c>
      <c r="L414" s="4"/>
    </row>
    <row r="415" spans="1:12" x14ac:dyDescent="0.4">
      <c r="A415" s="5" t="s">
        <v>19</v>
      </c>
      <c r="B415" s="5" t="s">
        <v>15</v>
      </c>
      <c r="C415" s="5" t="s">
        <v>14</v>
      </c>
      <c r="D415" s="5">
        <v>7</v>
      </c>
      <c r="E415" s="5">
        <v>868</v>
      </c>
      <c r="F415" s="5">
        <v>6076</v>
      </c>
      <c r="G415" s="6">
        <f t="shared" ca="1" si="18"/>
        <v>45795</v>
      </c>
      <c r="H415" s="4" t="str">
        <f t="shared" ca="1" si="19"/>
        <v>May</v>
      </c>
      <c r="I415" t="str">
        <f t="shared" ca="1" si="20"/>
        <v>2025</v>
      </c>
      <c r="L415" s="4"/>
    </row>
    <row r="416" spans="1:12" x14ac:dyDescent="0.4">
      <c r="A416" s="5" t="s">
        <v>17</v>
      </c>
      <c r="B416" s="5" t="s">
        <v>21</v>
      </c>
      <c r="C416" s="5" t="s">
        <v>22</v>
      </c>
      <c r="D416" s="5">
        <v>16</v>
      </c>
      <c r="E416" s="5">
        <v>363</v>
      </c>
      <c r="F416" s="5">
        <v>5808</v>
      </c>
      <c r="G416" s="6">
        <f t="shared" ca="1" si="18"/>
        <v>45829</v>
      </c>
      <c r="H416" s="4" t="str">
        <f t="shared" ca="1" si="19"/>
        <v>June</v>
      </c>
      <c r="I416" t="str">
        <f t="shared" ca="1" si="20"/>
        <v>2025</v>
      </c>
      <c r="L416" s="4"/>
    </row>
    <row r="417" spans="1:12" x14ac:dyDescent="0.4">
      <c r="A417" s="5" t="s">
        <v>19</v>
      </c>
      <c r="B417" s="5" t="s">
        <v>15</v>
      </c>
      <c r="C417" s="5" t="s">
        <v>22</v>
      </c>
      <c r="D417" s="5">
        <v>15</v>
      </c>
      <c r="E417" s="5">
        <v>674</v>
      </c>
      <c r="F417" s="5">
        <v>10110</v>
      </c>
      <c r="G417" s="6">
        <f t="shared" ca="1" si="18"/>
        <v>45579</v>
      </c>
      <c r="H417" s="4" t="str">
        <f t="shared" ca="1" si="19"/>
        <v>October</v>
      </c>
      <c r="I417" t="str">
        <f t="shared" ca="1" si="20"/>
        <v>2024</v>
      </c>
      <c r="L417" s="4"/>
    </row>
    <row r="418" spans="1:12" x14ac:dyDescent="0.4">
      <c r="A418" s="5" t="s">
        <v>19</v>
      </c>
      <c r="B418" s="5" t="s">
        <v>21</v>
      </c>
      <c r="C418" s="5" t="s">
        <v>20</v>
      </c>
      <c r="D418" s="5">
        <v>10</v>
      </c>
      <c r="E418" s="5">
        <v>1265</v>
      </c>
      <c r="F418" s="5">
        <v>12650</v>
      </c>
      <c r="G418" s="6">
        <f t="shared" ca="1" si="18"/>
        <v>45438</v>
      </c>
      <c r="H418" s="4" t="str">
        <f t="shared" ca="1" si="19"/>
        <v>May</v>
      </c>
      <c r="I418" t="str">
        <f t="shared" ca="1" si="20"/>
        <v>2024</v>
      </c>
      <c r="L418" s="4"/>
    </row>
    <row r="419" spans="1:12" x14ac:dyDescent="0.4">
      <c r="A419" s="5" t="s">
        <v>17</v>
      </c>
      <c r="B419" s="5" t="s">
        <v>7</v>
      </c>
      <c r="C419" s="5" t="s">
        <v>14</v>
      </c>
      <c r="D419" s="5">
        <v>21</v>
      </c>
      <c r="E419" s="5">
        <v>904</v>
      </c>
      <c r="F419" s="5">
        <v>18984</v>
      </c>
      <c r="G419" s="6">
        <f t="shared" ca="1" si="18"/>
        <v>45397</v>
      </c>
      <c r="H419" s="4" t="str">
        <f t="shared" ca="1" si="19"/>
        <v>April</v>
      </c>
      <c r="I419" t="str">
        <f t="shared" ca="1" si="20"/>
        <v>2024</v>
      </c>
      <c r="L419" s="4"/>
    </row>
    <row r="420" spans="1:12" x14ac:dyDescent="0.4">
      <c r="A420" s="5" t="s">
        <v>6</v>
      </c>
      <c r="B420" s="5" t="s">
        <v>12</v>
      </c>
      <c r="C420" s="5" t="s">
        <v>16</v>
      </c>
      <c r="D420" s="5">
        <v>48</v>
      </c>
      <c r="E420" s="5">
        <v>1516</v>
      </c>
      <c r="F420" s="5">
        <v>72768</v>
      </c>
      <c r="G420" s="6">
        <f t="shared" ca="1" si="18"/>
        <v>45400</v>
      </c>
      <c r="H420" s="4" t="str">
        <f t="shared" ca="1" si="19"/>
        <v>April</v>
      </c>
      <c r="I420" t="str">
        <f t="shared" ca="1" si="20"/>
        <v>2024</v>
      </c>
      <c r="L420" s="4"/>
    </row>
    <row r="421" spans="1:12" x14ac:dyDescent="0.4">
      <c r="A421" s="5" t="s">
        <v>9</v>
      </c>
      <c r="B421" s="5" t="s">
        <v>12</v>
      </c>
      <c r="C421" s="5" t="s">
        <v>14</v>
      </c>
      <c r="D421" s="5">
        <v>28</v>
      </c>
      <c r="E421" s="5">
        <v>606</v>
      </c>
      <c r="F421" s="5">
        <v>16968</v>
      </c>
      <c r="G421" s="6">
        <f t="shared" ca="1" si="18"/>
        <v>45745</v>
      </c>
      <c r="H421" s="4" t="str">
        <f t="shared" ca="1" si="19"/>
        <v>March</v>
      </c>
      <c r="I421" t="str">
        <f t="shared" ca="1" si="20"/>
        <v>2025</v>
      </c>
      <c r="L421" s="4"/>
    </row>
    <row r="422" spans="1:12" x14ac:dyDescent="0.4">
      <c r="A422" s="5" t="s">
        <v>9</v>
      </c>
      <c r="B422" s="5" t="s">
        <v>12</v>
      </c>
      <c r="C422" s="5" t="s">
        <v>11</v>
      </c>
      <c r="D422" s="5">
        <v>12</v>
      </c>
      <c r="E422" s="5">
        <v>1173</v>
      </c>
      <c r="F422" s="5">
        <v>14076</v>
      </c>
      <c r="G422" s="6">
        <f t="shared" ca="1" si="18"/>
        <v>45945</v>
      </c>
      <c r="H422" s="4" t="str">
        <f t="shared" ca="1" si="19"/>
        <v>October</v>
      </c>
      <c r="I422" t="str">
        <f t="shared" ca="1" si="20"/>
        <v>2025</v>
      </c>
      <c r="L422" s="4"/>
    </row>
    <row r="423" spans="1:12" x14ac:dyDescent="0.4">
      <c r="A423" s="5" t="s">
        <v>19</v>
      </c>
      <c r="B423" s="5" t="s">
        <v>12</v>
      </c>
      <c r="C423" s="5" t="s">
        <v>24</v>
      </c>
      <c r="D423" s="5">
        <v>17</v>
      </c>
      <c r="E423" s="5">
        <v>679</v>
      </c>
      <c r="F423" s="5">
        <v>11543</v>
      </c>
      <c r="G423" s="6">
        <f t="shared" ca="1" si="18"/>
        <v>45466</v>
      </c>
      <c r="H423" s="4" t="str">
        <f t="shared" ca="1" si="19"/>
        <v>June</v>
      </c>
      <c r="I423" t="str">
        <f t="shared" ca="1" si="20"/>
        <v>2024</v>
      </c>
      <c r="L423" s="4"/>
    </row>
    <row r="424" spans="1:12" x14ac:dyDescent="0.4">
      <c r="A424" s="5" t="s">
        <v>9</v>
      </c>
      <c r="B424" s="5" t="s">
        <v>21</v>
      </c>
      <c r="C424" s="5" t="s">
        <v>8</v>
      </c>
      <c r="D424" s="5">
        <v>38</v>
      </c>
      <c r="E424" s="5">
        <v>1104</v>
      </c>
      <c r="F424" s="5">
        <v>41952</v>
      </c>
      <c r="G424" s="6">
        <f t="shared" ca="1" si="18"/>
        <v>45970</v>
      </c>
      <c r="H424" s="4" t="str">
        <f t="shared" ca="1" si="19"/>
        <v>November</v>
      </c>
      <c r="I424" t="str">
        <f t="shared" ca="1" si="20"/>
        <v>2025</v>
      </c>
      <c r="L424" s="4"/>
    </row>
    <row r="425" spans="1:12" x14ac:dyDescent="0.4">
      <c r="A425" s="5" t="s">
        <v>17</v>
      </c>
      <c r="B425" s="5" t="s">
        <v>12</v>
      </c>
      <c r="C425" s="5" t="s">
        <v>14</v>
      </c>
      <c r="D425" s="5">
        <v>21</v>
      </c>
      <c r="E425" s="5">
        <v>789</v>
      </c>
      <c r="F425" s="5">
        <v>16569</v>
      </c>
      <c r="G425" s="6">
        <f t="shared" ca="1" si="18"/>
        <v>45731</v>
      </c>
      <c r="H425" s="4" t="str">
        <f t="shared" ca="1" si="19"/>
        <v>March</v>
      </c>
      <c r="I425" t="str">
        <f t="shared" ca="1" si="20"/>
        <v>2025</v>
      </c>
      <c r="L425" s="4"/>
    </row>
    <row r="426" spans="1:12" x14ac:dyDescent="0.4">
      <c r="A426" s="5" t="s">
        <v>17</v>
      </c>
      <c r="B426" s="5" t="s">
        <v>10</v>
      </c>
      <c r="C426" s="5" t="s">
        <v>20</v>
      </c>
      <c r="D426" s="5">
        <v>16</v>
      </c>
      <c r="E426" s="5">
        <v>1012</v>
      </c>
      <c r="F426" s="5">
        <v>16192</v>
      </c>
      <c r="G426" s="6">
        <f t="shared" ca="1" si="18"/>
        <v>45421</v>
      </c>
      <c r="H426" s="4" t="str">
        <f t="shared" ca="1" si="19"/>
        <v>May</v>
      </c>
      <c r="I426" t="str">
        <f t="shared" ca="1" si="20"/>
        <v>2024</v>
      </c>
      <c r="L426" s="4"/>
    </row>
    <row r="427" spans="1:12" x14ac:dyDescent="0.4">
      <c r="A427" s="5" t="s">
        <v>6</v>
      </c>
      <c r="B427" s="5" t="s">
        <v>21</v>
      </c>
      <c r="C427" s="5" t="s">
        <v>24</v>
      </c>
      <c r="D427" s="5">
        <v>40</v>
      </c>
      <c r="E427" s="5">
        <v>1939</v>
      </c>
      <c r="F427" s="5">
        <v>77560</v>
      </c>
      <c r="G427" s="6">
        <f t="shared" ca="1" si="18"/>
        <v>45748</v>
      </c>
      <c r="H427" s="4" t="str">
        <f t="shared" ca="1" si="19"/>
        <v>April</v>
      </c>
      <c r="I427" t="str">
        <f t="shared" ca="1" si="20"/>
        <v>2025</v>
      </c>
      <c r="L427" s="4"/>
    </row>
    <row r="428" spans="1:12" x14ac:dyDescent="0.4">
      <c r="A428" s="5" t="s">
        <v>19</v>
      </c>
      <c r="B428" s="5" t="s">
        <v>7</v>
      </c>
      <c r="C428" s="5" t="s">
        <v>8</v>
      </c>
      <c r="D428" s="5">
        <v>14</v>
      </c>
      <c r="E428" s="5">
        <v>633</v>
      </c>
      <c r="F428" s="5">
        <v>8862</v>
      </c>
      <c r="G428" s="6">
        <f t="shared" ca="1" si="18"/>
        <v>45493</v>
      </c>
      <c r="H428" s="4" t="str">
        <f t="shared" ca="1" si="19"/>
        <v>July</v>
      </c>
      <c r="I428" t="str">
        <f t="shared" ca="1" si="20"/>
        <v>2024</v>
      </c>
      <c r="L428" s="4"/>
    </row>
    <row r="429" spans="1:12" x14ac:dyDescent="0.4">
      <c r="A429" s="5" t="s">
        <v>6</v>
      </c>
      <c r="B429" s="5" t="s">
        <v>15</v>
      </c>
      <c r="C429" s="5" t="s">
        <v>14</v>
      </c>
      <c r="D429" s="5">
        <v>19</v>
      </c>
      <c r="E429" s="5">
        <v>1457</v>
      </c>
      <c r="F429" s="5">
        <v>27683</v>
      </c>
      <c r="G429" s="6">
        <f t="shared" ca="1" si="18"/>
        <v>45645</v>
      </c>
      <c r="H429" s="4" t="str">
        <f t="shared" ca="1" si="19"/>
        <v>December</v>
      </c>
      <c r="I429" t="str">
        <f t="shared" ca="1" si="20"/>
        <v>2024</v>
      </c>
      <c r="L429" s="4"/>
    </row>
    <row r="430" spans="1:12" x14ac:dyDescent="0.4">
      <c r="A430" s="5" t="s">
        <v>6</v>
      </c>
      <c r="B430" s="5" t="s">
        <v>10</v>
      </c>
      <c r="C430" s="5" t="s">
        <v>16</v>
      </c>
      <c r="D430" s="5">
        <v>34</v>
      </c>
      <c r="E430" s="5">
        <v>1460</v>
      </c>
      <c r="F430" s="5">
        <v>49640</v>
      </c>
      <c r="G430" s="6">
        <f t="shared" ca="1" si="18"/>
        <v>45968</v>
      </c>
      <c r="H430" s="4" t="str">
        <f t="shared" ca="1" si="19"/>
        <v>November</v>
      </c>
      <c r="I430" t="str">
        <f t="shared" ca="1" si="20"/>
        <v>2025</v>
      </c>
      <c r="L430" s="4"/>
    </row>
    <row r="431" spans="1:12" x14ac:dyDescent="0.4">
      <c r="A431" s="5" t="s">
        <v>17</v>
      </c>
      <c r="B431" s="5" t="s">
        <v>21</v>
      </c>
      <c r="C431" s="5" t="s">
        <v>13</v>
      </c>
      <c r="D431" s="5">
        <v>10</v>
      </c>
      <c r="E431" s="5">
        <v>435</v>
      </c>
      <c r="F431" s="5">
        <v>4350</v>
      </c>
      <c r="G431" s="6">
        <f t="shared" ca="1" si="18"/>
        <v>45470</v>
      </c>
      <c r="H431" s="4" t="str">
        <f t="shared" ca="1" si="19"/>
        <v>June</v>
      </c>
      <c r="I431" t="str">
        <f t="shared" ca="1" si="20"/>
        <v>2024</v>
      </c>
      <c r="L431" s="4"/>
    </row>
    <row r="432" spans="1:12" x14ac:dyDescent="0.4">
      <c r="A432" s="5" t="s">
        <v>9</v>
      </c>
      <c r="B432" s="5" t="s">
        <v>12</v>
      </c>
      <c r="C432" s="5" t="s">
        <v>11</v>
      </c>
      <c r="D432" s="5">
        <v>39</v>
      </c>
      <c r="E432" s="5">
        <v>1767</v>
      </c>
      <c r="F432" s="5">
        <v>68913</v>
      </c>
      <c r="G432" s="6">
        <f t="shared" ca="1" si="18"/>
        <v>45983</v>
      </c>
      <c r="H432" s="4" t="str">
        <f t="shared" ca="1" si="19"/>
        <v>November</v>
      </c>
      <c r="I432" t="str">
        <f t="shared" ca="1" si="20"/>
        <v>2025</v>
      </c>
      <c r="L432" s="4"/>
    </row>
    <row r="433" spans="1:12" x14ac:dyDescent="0.4">
      <c r="A433" s="5" t="s">
        <v>17</v>
      </c>
      <c r="B433" s="5" t="s">
        <v>12</v>
      </c>
      <c r="C433" s="5" t="s">
        <v>23</v>
      </c>
      <c r="D433" s="5">
        <v>47</v>
      </c>
      <c r="E433" s="5">
        <v>918</v>
      </c>
      <c r="F433" s="5">
        <v>43146</v>
      </c>
      <c r="G433" s="6">
        <f t="shared" ca="1" si="18"/>
        <v>45911</v>
      </c>
      <c r="H433" s="4" t="str">
        <f t="shared" ca="1" si="19"/>
        <v>September</v>
      </c>
      <c r="I433" t="str">
        <f t="shared" ca="1" si="20"/>
        <v>2025</v>
      </c>
      <c r="K433" t="s">
        <v>57</v>
      </c>
      <c r="L433" s="4"/>
    </row>
    <row r="434" spans="1:12" x14ac:dyDescent="0.4">
      <c r="A434" s="5" t="s">
        <v>6</v>
      </c>
      <c r="B434" s="5" t="s">
        <v>10</v>
      </c>
      <c r="C434" s="5" t="s">
        <v>8</v>
      </c>
      <c r="D434" s="5">
        <v>22</v>
      </c>
      <c r="E434" s="5">
        <v>1053</v>
      </c>
      <c r="F434" s="5">
        <v>23166</v>
      </c>
      <c r="G434" s="6">
        <f t="shared" ca="1" si="18"/>
        <v>45877</v>
      </c>
      <c r="H434" s="4" t="str">
        <f t="shared" ca="1" si="19"/>
        <v>August</v>
      </c>
      <c r="I434" t="str">
        <f t="shared" ca="1" si="20"/>
        <v>2025</v>
      </c>
      <c r="L434" s="4"/>
    </row>
    <row r="435" spans="1:12" x14ac:dyDescent="0.4">
      <c r="A435" s="5" t="s">
        <v>6</v>
      </c>
      <c r="B435" s="5" t="s">
        <v>21</v>
      </c>
      <c r="C435" s="5" t="s">
        <v>16</v>
      </c>
      <c r="D435" s="5">
        <v>19</v>
      </c>
      <c r="E435" s="5">
        <v>1661</v>
      </c>
      <c r="F435" s="5">
        <v>31559</v>
      </c>
      <c r="G435" s="6">
        <f t="shared" ca="1" si="18"/>
        <v>45525</v>
      </c>
      <c r="H435" s="4" t="str">
        <f t="shared" ca="1" si="19"/>
        <v>August</v>
      </c>
      <c r="I435" t="str">
        <f t="shared" ca="1" si="20"/>
        <v>2024</v>
      </c>
      <c r="L435" s="4"/>
    </row>
    <row r="436" spans="1:12" x14ac:dyDescent="0.4">
      <c r="A436" s="5" t="s">
        <v>17</v>
      </c>
      <c r="B436" s="5" t="s">
        <v>10</v>
      </c>
      <c r="C436" s="5" t="s">
        <v>18</v>
      </c>
      <c r="D436" s="5">
        <v>2</v>
      </c>
      <c r="E436" s="5">
        <v>164</v>
      </c>
      <c r="F436" s="5">
        <v>328</v>
      </c>
      <c r="G436" s="6">
        <f t="shared" ca="1" si="18"/>
        <v>45502</v>
      </c>
      <c r="H436" s="4" t="str">
        <f t="shared" ca="1" si="19"/>
        <v>July</v>
      </c>
      <c r="I436" t="str">
        <f t="shared" ca="1" si="20"/>
        <v>2024</v>
      </c>
      <c r="L436" s="4"/>
    </row>
    <row r="437" spans="1:12" x14ac:dyDescent="0.4">
      <c r="A437" s="5" t="s">
        <v>9</v>
      </c>
      <c r="B437" s="5" t="s">
        <v>21</v>
      </c>
      <c r="C437" s="5" t="s">
        <v>18</v>
      </c>
      <c r="D437" s="5">
        <v>31</v>
      </c>
      <c r="E437" s="5">
        <v>1422</v>
      </c>
      <c r="F437" s="5">
        <v>44082</v>
      </c>
      <c r="G437" s="6">
        <f t="shared" ca="1" si="18"/>
        <v>45804</v>
      </c>
      <c r="H437" s="4" t="str">
        <f t="shared" ca="1" si="19"/>
        <v>May</v>
      </c>
      <c r="I437" t="str">
        <f t="shared" ca="1" si="20"/>
        <v>2025</v>
      </c>
      <c r="L437" s="4"/>
    </row>
    <row r="438" spans="1:12" x14ac:dyDescent="0.4">
      <c r="A438" s="5" t="s">
        <v>17</v>
      </c>
      <c r="B438" s="5" t="s">
        <v>21</v>
      </c>
      <c r="C438" s="5" t="s">
        <v>23</v>
      </c>
      <c r="D438" s="5">
        <v>17</v>
      </c>
      <c r="E438" s="5">
        <v>1753</v>
      </c>
      <c r="F438" s="5">
        <v>29801</v>
      </c>
      <c r="G438" s="6">
        <f t="shared" ca="1" si="18"/>
        <v>45363</v>
      </c>
      <c r="H438" s="4" t="str">
        <f t="shared" ca="1" si="19"/>
        <v>March</v>
      </c>
      <c r="I438" t="str">
        <f t="shared" ca="1" si="20"/>
        <v>2024</v>
      </c>
      <c r="L438" s="4"/>
    </row>
    <row r="439" spans="1:12" x14ac:dyDescent="0.4">
      <c r="A439" s="5" t="s">
        <v>19</v>
      </c>
      <c r="B439" s="5" t="s">
        <v>7</v>
      </c>
      <c r="C439" s="5" t="s">
        <v>24</v>
      </c>
      <c r="D439" s="5">
        <v>17</v>
      </c>
      <c r="E439" s="5">
        <v>1616</v>
      </c>
      <c r="F439" s="5">
        <v>27472</v>
      </c>
      <c r="G439" s="6">
        <f t="shared" ca="1" si="18"/>
        <v>45556</v>
      </c>
      <c r="H439" s="4" t="str">
        <f t="shared" ca="1" si="19"/>
        <v>September</v>
      </c>
      <c r="I439" t="str">
        <f t="shared" ca="1" si="20"/>
        <v>2024</v>
      </c>
      <c r="L439" s="4"/>
    </row>
    <row r="440" spans="1:12" x14ac:dyDescent="0.4">
      <c r="A440" s="5" t="s">
        <v>17</v>
      </c>
      <c r="B440" s="5" t="s">
        <v>10</v>
      </c>
      <c r="C440" s="5" t="s">
        <v>14</v>
      </c>
      <c r="D440" s="5">
        <v>31</v>
      </c>
      <c r="E440" s="5">
        <v>585</v>
      </c>
      <c r="F440" s="5">
        <v>18135</v>
      </c>
      <c r="G440" s="6">
        <f t="shared" ca="1" si="18"/>
        <v>45404</v>
      </c>
      <c r="H440" s="4" t="str">
        <f t="shared" ca="1" si="19"/>
        <v>April</v>
      </c>
      <c r="I440" t="str">
        <f t="shared" ca="1" si="20"/>
        <v>2024</v>
      </c>
      <c r="L440" s="4"/>
    </row>
    <row r="441" spans="1:12" x14ac:dyDescent="0.4">
      <c r="A441" s="5" t="s">
        <v>6</v>
      </c>
      <c r="B441" s="5" t="s">
        <v>15</v>
      </c>
      <c r="C441" s="5" t="s">
        <v>24</v>
      </c>
      <c r="D441" s="5">
        <v>21</v>
      </c>
      <c r="E441" s="5">
        <v>1392</v>
      </c>
      <c r="F441" s="5">
        <v>29232</v>
      </c>
      <c r="G441" s="6">
        <f t="shared" ca="1" si="18"/>
        <v>45308</v>
      </c>
      <c r="H441" s="4" t="str">
        <f t="shared" ca="1" si="19"/>
        <v>January</v>
      </c>
      <c r="I441" t="str">
        <f t="shared" ca="1" si="20"/>
        <v>2024</v>
      </c>
      <c r="L441" s="4"/>
    </row>
    <row r="442" spans="1:12" x14ac:dyDescent="0.4">
      <c r="A442" s="5" t="s">
        <v>9</v>
      </c>
      <c r="B442" s="5" t="s">
        <v>7</v>
      </c>
      <c r="C442" s="5" t="s">
        <v>20</v>
      </c>
      <c r="D442" s="5">
        <v>31</v>
      </c>
      <c r="E442" s="5">
        <v>226</v>
      </c>
      <c r="F442" s="5">
        <v>7006</v>
      </c>
      <c r="G442" s="6">
        <f t="shared" ca="1" si="18"/>
        <v>45463</v>
      </c>
      <c r="H442" s="4" t="str">
        <f t="shared" ca="1" si="19"/>
        <v>June</v>
      </c>
      <c r="I442" t="str">
        <f t="shared" ca="1" si="20"/>
        <v>2024</v>
      </c>
      <c r="L442" s="4"/>
    </row>
    <row r="443" spans="1:12" x14ac:dyDescent="0.4">
      <c r="A443" s="5" t="s">
        <v>17</v>
      </c>
      <c r="B443" s="5" t="s">
        <v>7</v>
      </c>
      <c r="C443" s="5" t="s">
        <v>22</v>
      </c>
      <c r="D443" s="5">
        <v>27</v>
      </c>
      <c r="E443" s="5">
        <v>1008</v>
      </c>
      <c r="F443" s="5">
        <v>27216</v>
      </c>
      <c r="G443" s="6">
        <f t="shared" ca="1" si="18"/>
        <v>45412</v>
      </c>
      <c r="H443" s="4" t="str">
        <f t="shared" ca="1" si="19"/>
        <v>April</v>
      </c>
      <c r="I443" t="str">
        <f t="shared" ca="1" si="20"/>
        <v>2024</v>
      </c>
      <c r="L443" s="4"/>
    </row>
    <row r="444" spans="1:12" x14ac:dyDescent="0.4">
      <c r="A444" s="5" t="s">
        <v>9</v>
      </c>
      <c r="B444" s="5" t="s">
        <v>7</v>
      </c>
      <c r="C444" s="5" t="s">
        <v>24</v>
      </c>
      <c r="D444" s="5">
        <v>17</v>
      </c>
      <c r="E444" s="5">
        <v>940</v>
      </c>
      <c r="F444" s="5">
        <v>15980</v>
      </c>
      <c r="G444" s="6">
        <f t="shared" ca="1" si="18"/>
        <v>45708</v>
      </c>
      <c r="H444" s="4" t="str">
        <f t="shared" ca="1" si="19"/>
        <v>February</v>
      </c>
      <c r="I444" t="str">
        <f t="shared" ca="1" si="20"/>
        <v>2025</v>
      </c>
      <c r="L444" s="4"/>
    </row>
    <row r="445" spans="1:12" x14ac:dyDescent="0.4">
      <c r="A445" s="5" t="s">
        <v>6</v>
      </c>
      <c r="B445" s="5" t="s">
        <v>7</v>
      </c>
      <c r="C445" s="5" t="s">
        <v>11</v>
      </c>
      <c r="D445" s="5">
        <v>49</v>
      </c>
      <c r="E445" s="5">
        <v>1103</v>
      </c>
      <c r="F445" s="5">
        <v>54047</v>
      </c>
      <c r="G445" s="6">
        <f t="shared" ca="1" si="18"/>
        <v>45616</v>
      </c>
      <c r="H445" s="4" t="str">
        <f t="shared" ca="1" si="19"/>
        <v>November</v>
      </c>
      <c r="I445" t="str">
        <f t="shared" ca="1" si="20"/>
        <v>2024</v>
      </c>
      <c r="L445" s="4"/>
    </row>
    <row r="446" spans="1:12" x14ac:dyDescent="0.4">
      <c r="A446" s="5" t="s">
        <v>17</v>
      </c>
      <c r="B446" s="5" t="s">
        <v>12</v>
      </c>
      <c r="C446" s="5" t="s">
        <v>22</v>
      </c>
      <c r="D446" s="5">
        <v>48</v>
      </c>
      <c r="E446" s="5">
        <v>1016</v>
      </c>
      <c r="F446" s="5">
        <v>48768</v>
      </c>
      <c r="G446" s="6">
        <f t="shared" ca="1" si="18"/>
        <v>45501</v>
      </c>
      <c r="H446" s="4" t="str">
        <f t="shared" ca="1" si="19"/>
        <v>July</v>
      </c>
      <c r="I446" t="str">
        <f t="shared" ca="1" si="20"/>
        <v>2024</v>
      </c>
      <c r="L446" s="4"/>
    </row>
    <row r="447" spans="1:12" x14ac:dyDescent="0.4">
      <c r="A447" s="5" t="s">
        <v>17</v>
      </c>
      <c r="B447" s="5" t="s">
        <v>12</v>
      </c>
      <c r="C447" s="5" t="s">
        <v>18</v>
      </c>
      <c r="D447" s="5">
        <v>33</v>
      </c>
      <c r="E447" s="5">
        <v>1766</v>
      </c>
      <c r="F447" s="5">
        <v>58278</v>
      </c>
      <c r="G447" s="6">
        <f t="shared" ca="1" si="18"/>
        <v>45663</v>
      </c>
      <c r="H447" s="4" t="str">
        <f t="shared" ca="1" si="19"/>
        <v>January</v>
      </c>
      <c r="I447" t="str">
        <f t="shared" ca="1" si="20"/>
        <v>2025</v>
      </c>
      <c r="L447" s="4"/>
    </row>
    <row r="448" spans="1:12" x14ac:dyDescent="0.4">
      <c r="A448" s="5" t="s">
        <v>6</v>
      </c>
      <c r="B448" s="5" t="s">
        <v>15</v>
      </c>
      <c r="C448" s="5" t="s">
        <v>13</v>
      </c>
      <c r="D448" s="5">
        <v>11</v>
      </c>
      <c r="E448" s="5">
        <v>1911</v>
      </c>
      <c r="F448" s="5">
        <v>21021</v>
      </c>
      <c r="G448" s="6">
        <f t="shared" ca="1" si="18"/>
        <v>45429</v>
      </c>
      <c r="H448" s="4" t="str">
        <f t="shared" ca="1" si="19"/>
        <v>May</v>
      </c>
      <c r="I448" t="str">
        <f t="shared" ca="1" si="20"/>
        <v>2024</v>
      </c>
      <c r="L448" s="4"/>
    </row>
    <row r="449" spans="1:12" x14ac:dyDescent="0.4">
      <c r="A449" s="5" t="s">
        <v>19</v>
      </c>
      <c r="B449" s="5" t="s">
        <v>7</v>
      </c>
      <c r="C449" s="5" t="s">
        <v>11</v>
      </c>
      <c r="D449" s="5">
        <v>47</v>
      </c>
      <c r="E449" s="5">
        <v>667</v>
      </c>
      <c r="F449" s="5">
        <v>31349</v>
      </c>
      <c r="G449" s="6">
        <f t="shared" ca="1" si="18"/>
        <v>45983</v>
      </c>
      <c r="H449" s="4" t="str">
        <f t="shared" ca="1" si="19"/>
        <v>November</v>
      </c>
      <c r="I449" t="str">
        <f t="shared" ca="1" si="20"/>
        <v>2025</v>
      </c>
      <c r="L449" s="4"/>
    </row>
    <row r="450" spans="1:12" x14ac:dyDescent="0.4">
      <c r="A450" s="5" t="s">
        <v>19</v>
      </c>
      <c r="B450" s="5" t="s">
        <v>10</v>
      </c>
      <c r="C450" s="5" t="s">
        <v>13</v>
      </c>
      <c r="D450" s="5">
        <v>12</v>
      </c>
      <c r="E450" s="5">
        <v>1304</v>
      </c>
      <c r="F450" s="5">
        <v>15648</v>
      </c>
      <c r="G450" s="6">
        <f t="shared" ca="1" si="18"/>
        <v>45715</v>
      </c>
      <c r="H450" s="4" t="str">
        <f t="shared" ca="1" si="19"/>
        <v>February</v>
      </c>
      <c r="I450" t="str">
        <f t="shared" ca="1" si="20"/>
        <v>2025</v>
      </c>
      <c r="L450" s="4"/>
    </row>
    <row r="451" spans="1:12" x14ac:dyDescent="0.4">
      <c r="A451" s="5" t="s">
        <v>17</v>
      </c>
      <c r="B451" s="5" t="s">
        <v>10</v>
      </c>
      <c r="C451" s="5" t="s">
        <v>13</v>
      </c>
      <c r="D451" s="5">
        <v>34</v>
      </c>
      <c r="E451" s="5">
        <v>347</v>
      </c>
      <c r="F451" s="5">
        <v>11798</v>
      </c>
      <c r="G451" s="6">
        <f t="shared" ref="G451:G514" ca="1" si="21">RANDBETWEEN(DATE(2024,1,1),DATE(2025,12,31))</f>
        <v>45698</v>
      </c>
      <c r="H451" s="4" t="str">
        <f t="shared" ref="H451:H514" ca="1" si="22">TEXT(G451,"mmmm")</f>
        <v>February</v>
      </c>
      <c r="I451" t="str">
        <f t="shared" ref="I451:I514" ca="1" si="23">TEXT(G451,"yyyy")</f>
        <v>2025</v>
      </c>
      <c r="L451" s="4"/>
    </row>
    <row r="452" spans="1:12" x14ac:dyDescent="0.4">
      <c r="A452" s="5" t="s">
        <v>17</v>
      </c>
      <c r="B452" s="5" t="s">
        <v>12</v>
      </c>
      <c r="C452" s="5" t="s">
        <v>14</v>
      </c>
      <c r="D452" s="5">
        <v>29</v>
      </c>
      <c r="E452" s="5">
        <v>1067</v>
      </c>
      <c r="F452" s="5">
        <v>30943</v>
      </c>
      <c r="G452" s="6">
        <f t="shared" ca="1" si="21"/>
        <v>45410</v>
      </c>
      <c r="H452" s="4" t="str">
        <f t="shared" ca="1" si="22"/>
        <v>April</v>
      </c>
      <c r="I452" t="str">
        <f t="shared" ca="1" si="23"/>
        <v>2024</v>
      </c>
      <c r="L452" s="4"/>
    </row>
    <row r="453" spans="1:12" x14ac:dyDescent="0.4">
      <c r="A453" s="5" t="s">
        <v>6</v>
      </c>
      <c r="B453" s="5" t="s">
        <v>12</v>
      </c>
      <c r="C453" s="5" t="s">
        <v>11</v>
      </c>
      <c r="D453" s="5">
        <v>49</v>
      </c>
      <c r="E453" s="5">
        <v>1439</v>
      </c>
      <c r="F453" s="5">
        <v>70511</v>
      </c>
      <c r="G453" s="6">
        <f t="shared" ca="1" si="21"/>
        <v>45475</v>
      </c>
      <c r="H453" s="4" t="str">
        <f t="shared" ca="1" si="22"/>
        <v>July</v>
      </c>
      <c r="I453" t="str">
        <f t="shared" ca="1" si="23"/>
        <v>2024</v>
      </c>
      <c r="L453" s="4"/>
    </row>
    <row r="454" spans="1:12" x14ac:dyDescent="0.4">
      <c r="A454" s="5" t="s">
        <v>19</v>
      </c>
      <c r="B454" s="5" t="s">
        <v>7</v>
      </c>
      <c r="C454" s="5" t="s">
        <v>11</v>
      </c>
      <c r="D454" s="5">
        <v>37</v>
      </c>
      <c r="E454" s="5">
        <v>1875</v>
      </c>
      <c r="F454" s="5">
        <v>69375</v>
      </c>
      <c r="G454" s="6">
        <f t="shared" ca="1" si="21"/>
        <v>45381</v>
      </c>
      <c r="H454" s="4" t="str">
        <f t="shared" ca="1" si="22"/>
        <v>March</v>
      </c>
      <c r="I454" t="str">
        <f t="shared" ca="1" si="23"/>
        <v>2024</v>
      </c>
      <c r="L454" s="4"/>
    </row>
    <row r="455" spans="1:12" x14ac:dyDescent="0.4">
      <c r="A455" s="5" t="s">
        <v>9</v>
      </c>
      <c r="B455" s="5" t="s">
        <v>15</v>
      </c>
      <c r="C455" s="5" t="s">
        <v>16</v>
      </c>
      <c r="D455" s="5">
        <v>5</v>
      </c>
      <c r="E455" s="5">
        <v>1695</v>
      </c>
      <c r="F455" s="5">
        <v>8475</v>
      </c>
      <c r="G455" s="6">
        <f t="shared" ca="1" si="21"/>
        <v>45324</v>
      </c>
      <c r="H455" s="4" t="str">
        <f t="shared" ca="1" si="22"/>
        <v>February</v>
      </c>
      <c r="I455" t="str">
        <f t="shared" ca="1" si="23"/>
        <v>2024</v>
      </c>
      <c r="L455" s="4"/>
    </row>
    <row r="456" spans="1:12" x14ac:dyDescent="0.4">
      <c r="A456" s="5" t="s">
        <v>9</v>
      </c>
      <c r="B456" s="5" t="s">
        <v>10</v>
      </c>
      <c r="C456" s="5" t="s">
        <v>8</v>
      </c>
      <c r="D456" s="5">
        <v>27</v>
      </c>
      <c r="E456" s="5">
        <v>1575</v>
      </c>
      <c r="F456" s="5">
        <v>42525</v>
      </c>
      <c r="G456" s="6">
        <f t="shared" ca="1" si="21"/>
        <v>45370</v>
      </c>
      <c r="H456" s="4" t="str">
        <f t="shared" ca="1" si="22"/>
        <v>March</v>
      </c>
      <c r="I456" t="str">
        <f t="shared" ca="1" si="23"/>
        <v>2024</v>
      </c>
      <c r="L456" s="4"/>
    </row>
    <row r="457" spans="1:12" x14ac:dyDescent="0.4">
      <c r="A457" s="5" t="s">
        <v>19</v>
      </c>
      <c r="B457" s="5" t="s">
        <v>12</v>
      </c>
      <c r="C457" s="5" t="s">
        <v>22</v>
      </c>
      <c r="D457" s="5">
        <v>30</v>
      </c>
      <c r="E457" s="5">
        <v>1574</v>
      </c>
      <c r="F457" s="5">
        <v>47220</v>
      </c>
      <c r="G457" s="6">
        <f t="shared" ca="1" si="21"/>
        <v>45621</v>
      </c>
      <c r="H457" s="4" t="str">
        <f t="shared" ca="1" si="22"/>
        <v>November</v>
      </c>
      <c r="I457" t="str">
        <f t="shared" ca="1" si="23"/>
        <v>2024</v>
      </c>
      <c r="L457" s="4"/>
    </row>
    <row r="458" spans="1:12" x14ac:dyDescent="0.4">
      <c r="A458" s="5" t="s">
        <v>19</v>
      </c>
      <c r="B458" s="5" t="s">
        <v>10</v>
      </c>
      <c r="C458" s="5" t="s">
        <v>24</v>
      </c>
      <c r="D458" s="5">
        <v>15</v>
      </c>
      <c r="E458" s="5">
        <v>309</v>
      </c>
      <c r="F458" s="5">
        <v>4635</v>
      </c>
      <c r="G458" s="6">
        <f t="shared" ca="1" si="21"/>
        <v>45624</v>
      </c>
      <c r="H458" s="4" t="str">
        <f t="shared" ca="1" si="22"/>
        <v>November</v>
      </c>
      <c r="I458" t="str">
        <f t="shared" ca="1" si="23"/>
        <v>2024</v>
      </c>
      <c r="L458" s="4"/>
    </row>
    <row r="459" spans="1:12" x14ac:dyDescent="0.4">
      <c r="A459" s="5" t="s">
        <v>9</v>
      </c>
      <c r="B459" s="5" t="s">
        <v>10</v>
      </c>
      <c r="C459" s="5" t="s">
        <v>23</v>
      </c>
      <c r="D459" s="5">
        <v>8</v>
      </c>
      <c r="E459" s="5">
        <v>1996</v>
      </c>
      <c r="F459" s="5">
        <v>15968</v>
      </c>
      <c r="G459" s="6">
        <f t="shared" ca="1" si="21"/>
        <v>45759</v>
      </c>
      <c r="H459" s="4" t="str">
        <f t="shared" ca="1" si="22"/>
        <v>April</v>
      </c>
      <c r="I459" t="str">
        <f t="shared" ca="1" si="23"/>
        <v>2025</v>
      </c>
      <c r="L459" s="4"/>
    </row>
    <row r="460" spans="1:12" x14ac:dyDescent="0.4">
      <c r="A460" s="5" t="s">
        <v>19</v>
      </c>
      <c r="B460" s="5" t="s">
        <v>21</v>
      </c>
      <c r="C460" s="5" t="s">
        <v>20</v>
      </c>
      <c r="D460" s="5">
        <v>42</v>
      </c>
      <c r="E460" s="5">
        <v>536</v>
      </c>
      <c r="F460" s="5">
        <v>22512</v>
      </c>
      <c r="G460" s="6">
        <f t="shared" ca="1" si="21"/>
        <v>45298</v>
      </c>
      <c r="H460" s="4" t="str">
        <f t="shared" ca="1" si="22"/>
        <v>January</v>
      </c>
      <c r="I460" t="str">
        <f t="shared" ca="1" si="23"/>
        <v>2024</v>
      </c>
      <c r="L460" s="4"/>
    </row>
    <row r="461" spans="1:12" x14ac:dyDescent="0.4">
      <c r="A461" s="5" t="s">
        <v>17</v>
      </c>
      <c r="B461" s="5" t="s">
        <v>21</v>
      </c>
      <c r="C461" s="5" t="s">
        <v>11</v>
      </c>
      <c r="D461" s="5">
        <v>26</v>
      </c>
      <c r="E461" s="5">
        <v>722</v>
      </c>
      <c r="F461" s="5">
        <v>18772</v>
      </c>
      <c r="G461" s="6">
        <f t="shared" ca="1" si="21"/>
        <v>45545</v>
      </c>
      <c r="H461" s="4" t="str">
        <f t="shared" ca="1" si="22"/>
        <v>September</v>
      </c>
      <c r="I461" t="str">
        <f t="shared" ca="1" si="23"/>
        <v>2024</v>
      </c>
      <c r="L461" s="4"/>
    </row>
    <row r="462" spans="1:12" x14ac:dyDescent="0.4">
      <c r="A462" s="5" t="s">
        <v>19</v>
      </c>
      <c r="B462" s="5" t="s">
        <v>21</v>
      </c>
      <c r="C462" s="5" t="s">
        <v>22</v>
      </c>
      <c r="D462" s="5">
        <v>36</v>
      </c>
      <c r="E462" s="5">
        <v>1904</v>
      </c>
      <c r="F462" s="5">
        <v>68544</v>
      </c>
      <c r="G462" s="6">
        <f t="shared" ca="1" si="21"/>
        <v>45650</v>
      </c>
      <c r="H462" s="4" t="str">
        <f t="shared" ca="1" si="22"/>
        <v>December</v>
      </c>
      <c r="I462" t="str">
        <f t="shared" ca="1" si="23"/>
        <v>2024</v>
      </c>
      <c r="L462" s="4"/>
    </row>
    <row r="463" spans="1:12" x14ac:dyDescent="0.4">
      <c r="A463" s="5" t="s">
        <v>6</v>
      </c>
      <c r="B463" s="5" t="s">
        <v>15</v>
      </c>
      <c r="C463" s="5" t="s">
        <v>18</v>
      </c>
      <c r="D463" s="5">
        <v>10</v>
      </c>
      <c r="E463" s="5">
        <v>1425</v>
      </c>
      <c r="F463" s="5">
        <v>14250</v>
      </c>
      <c r="G463" s="6">
        <f t="shared" ca="1" si="21"/>
        <v>45303</v>
      </c>
      <c r="H463" s="4" t="str">
        <f t="shared" ca="1" si="22"/>
        <v>January</v>
      </c>
      <c r="I463" t="str">
        <f t="shared" ca="1" si="23"/>
        <v>2024</v>
      </c>
      <c r="L463" s="4"/>
    </row>
    <row r="464" spans="1:12" x14ac:dyDescent="0.4">
      <c r="A464" s="5" t="s">
        <v>17</v>
      </c>
      <c r="B464" s="5" t="s">
        <v>15</v>
      </c>
      <c r="C464" s="5" t="s">
        <v>24</v>
      </c>
      <c r="D464" s="5">
        <v>43</v>
      </c>
      <c r="E464" s="5">
        <v>929</v>
      </c>
      <c r="F464" s="5">
        <v>39947</v>
      </c>
      <c r="G464" s="6">
        <f t="shared" ca="1" si="21"/>
        <v>45793</v>
      </c>
      <c r="H464" s="4" t="str">
        <f t="shared" ca="1" si="22"/>
        <v>May</v>
      </c>
      <c r="I464" t="str">
        <f t="shared" ca="1" si="23"/>
        <v>2025</v>
      </c>
      <c r="L464" s="4"/>
    </row>
    <row r="465" spans="1:12" x14ac:dyDescent="0.4">
      <c r="A465" s="5" t="s">
        <v>9</v>
      </c>
      <c r="B465" s="5" t="s">
        <v>15</v>
      </c>
      <c r="C465" s="5" t="s">
        <v>14</v>
      </c>
      <c r="D465" s="5">
        <v>45</v>
      </c>
      <c r="E465" s="5">
        <v>267</v>
      </c>
      <c r="F465" s="5">
        <v>12015</v>
      </c>
      <c r="G465" s="6">
        <f t="shared" ca="1" si="21"/>
        <v>45910</v>
      </c>
      <c r="H465" s="4" t="str">
        <f t="shared" ca="1" si="22"/>
        <v>September</v>
      </c>
      <c r="I465" t="str">
        <f t="shared" ca="1" si="23"/>
        <v>2025</v>
      </c>
      <c r="L465" s="4"/>
    </row>
    <row r="466" spans="1:12" x14ac:dyDescent="0.4">
      <c r="A466" s="5" t="s">
        <v>19</v>
      </c>
      <c r="B466" s="5" t="s">
        <v>7</v>
      </c>
      <c r="C466" s="5" t="s">
        <v>23</v>
      </c>
      <c r="D466" s="5">
        <v>17</v>
      </c>
      <c r="E466" s="5">
        <v>1456</v>
      </c>
      <c r="F466" s="5">
        <v>24752</v>
      </c>
      <c r="G466" s="6">
        <f t="shared" ca="1" si="21"/>
        <v>45704</v>
      </c>
      <c r="H466" s="4" t="str">
        <f t="shared" ca="1" si="22"/>
        <v>February</v>
      </c>
      <c r="I466" t="str">
        <f t="shared" ca="1" si="23"/>
        <v>2025</v>
      </c>
      <c r="L466" s="4"/>
    </row>
    <row r="467" spans="1:12" x14ac:dyDescent="0.4">
      <c r="A467" s="5" t="s">
        <v>9</v>
      </c>
      <c r="B467" s="5" t="s">
        <v>12</v>
      </c>
      <c r="C467" s="5" t="s">
        <v>22</v>
      </c>
      <c r="D467" s="5">
        <v>33</v>
      </c>
      <c r="E467" s="5">
        <v>1310</v>
      </c>
      <c r="F467" s="5">
        <v>43230</v>
      </c>
      <c r="G467" s="6">
        <f t="shared" ca="1" si="21"/>
        <v>45497</v>
      </c>
      <c r="H467" s="4" t="str">
        <f t="shared" ca="1" si="22"/>
        <v>July</v>
      </c>
      <c r="I467" t="str">
        <f t="shared" ca="1" si="23"/>
        <v>2024</v>
      </c>
      <c r="L467" s="4"/>
    </row>
    <row r="468" spans="1:12" x14ac:dyDescent="0.4">
      <c r="A468" s="5" t="s">
        <v>9</v>
      </c>
      <c r="B468" s="5" t="s">
        <v>21</v>
      </c>
      <c r="C468" s="5" t="s">
        <v>16</v>
      </c>
      <c r="D468" s="5">
        <v>26</v>
      </c>
      <c r="E468" s="5">
        <v>1054</v>
      </c>
      <c r="F468" s="5">
        <v>27404</v>
      </c>
      <c r="G468" s="6">
        <f t="shared" ca="1" si="21"/>
        <v>45860</v>
      </c>
      <c r="H468" s="4" t="str">
        <f t="shared" ca="1" si="22"/>
        <v>July</v>
      </c>
      <c r="I468" t="str">
        <f t="shared" ca="1" si="23"/>
        <v>2025</v>
      </c>
      <c r="L468" s="4"/>
    </row>
    <row r="469" spans="1:12" x14ac:dyDescent="0.4">
      <c r="A469" s="5" t="s">
        <v>6</v>
      </c>
      <c r="B469" s="5" t="s">
        <v>15</v>
      </c>
      <c r="C469" s="5" t="s">
        <v>22</v>
      </c>
      <c r="D469" s="5">
        <v>49</v>
      </c>
      <c r="E469" s="5">
        <v>1828</v>
      </c>
      <c r="F469" s="5">
        <v>89572</v>
      </c>
      <c r="G469" s="6">
        <f t="shared" ca="1" si="21"/>
        <v>45919</v>
      </c>
      <c r="H469" s="4" t="str">
        <f t="shared" ca="1" si="22"/>
        <v>September</v>
      </c>
      <c r="I469" t="str">
        <f t="shared" ca="1" si="23"/>
        <v>2025</v>
      </c>
      <c r="L469" s="4"/>
    </row>
    <row r="470" spans="1:12" x14ac:dyDescent="0.4">
      <c r="A470" s="5" t="s">
        <v>19</v>
      </c>
      <c r="B470" s="5" t="s">
        <v>7</v>
      </c>
      <c r="C470" s="5" t="s">
        <v>18</v>
      </c>
      <c r="D470" s="5">
        <v>21</v>
      </c>
      <c r="E470" s="5">
        <v>1132</v>
      </c>
      <c r="F470" s="5">
        <v>23772</v>
      </c>
      <c r="G470" s="6">
        <f t="shared" ca="1" si="21"/>
        <v>45796</v>
      </c>
      <c r="H470" s="4" t="str">
        <f t="shared" ca="1" si="22"/>
        <v>May</v>
      </c>
      <c r="I470" t="str">
        <f t="shared" ca="1" si="23"/>
        <v>2025</v>
      </c>
      <c r="L470" s="4"/>
    </row>
    <row r="471" spans="1:12" x14ac:dyDescent="0.4">
      <c r="A471" s="5" t="s">
        <v>6</v>
      </c>
      <c r="B471" s="5" t="s">
        <v>12</v>
      </c>
      <c r="C471" s="5" t="s">
        <v>20</v>
      </c>
      <c r="D471" s="5">
        <v>24</v>
      </c>
      <c r="E471" s="5">
        <v>104</v>
      </c>
      <c r="F471" s="5">
        <v>2496</v>
      </c>
      <c r="G471" s="6">
        <f t="shared" ca="1" si="21"/>
        <v>46020</v>
      </c>
      <c r="H471" s="4" t="str">
        <f t="shared" ca="1" si="22"/>
        <v>December</v>
      </c>
      <c r="I471" t="str">
        <f t="shared" ca="1" si="23"/>
        <v>2025</v>
      </c>
      <c r="L471" s="4"/>
    </row>
    <row r="472" spans="1:12" x14ac:dyDescent="0.4">
      <c r="A472" s="5" t="s">
        <v>17</v>
      </c>
      <c r="B472" s="5" t="s">
        <v>7</v>
      </c>
      <c r="C472" s="5" t="s">
        <v>24</v>
      </c>
      <c r="D472" s="5">
        <v>11</v>
      </c>
      <c r="E472" s="5">
        <v>145</v>
      </c>
      <c r="F472" s="5">
        <v>1595</v>
      </c>
      <c r="G472" s="6">
        <f t="shared" ca="1" si="21"/>
        <v>45828</v>
      </c>
      <c r="H472" s="4" t="str">
        <f t="shared" ca="1" si="22"/>
        <v>June</v>
      </c>
      <c r="I472" t="str">
        <f t="shared" ca="1" si="23"/>
        <v>2025</v>
      </c>
      <c r="L472" s="4"/>
    </row>
    <row r="473" spans="1:12" x14ac:dyDescent="0.4">
      <c r="A473" s="5" t="s">
        <v>6</v>
      </c>
      <c r="B473" s="5" t="s">
        <v>21</v>
      </c>
      <c r="C473" s="5" t="s">
        <v>18</v>
      </c>
      <c r="D473" s="5">
        <v>9</v>
      </c>
      <c r="E473" s="5">
        <v>1543</v>
      </c>
      <c r="F473" s="5">
        <v>13887</v>
      </c>
      <c r="G473" s="6">
        <f t="shared" ca="1" si="21"/>
        <v>45917</v>
      </c>
      <c r="H473" s="4" t="str">
        <f t="shared" ca="1" si="22"/>
        <v>September</v>
      </c>
      <c r="I473" t="str">
        <f t="shared" ca="1" si="23"/>
        <v>2025</v>
      </c>
      <c r="L473" s="4"/>
    </row>
    <row r="474" spans="1:12" x14ac:dyDescent="0.4">
      <c r="A474" s="5" t="s">
        <v>6</v>
      </c>
      <c r="B474" s="5" t="s">
        <v>10</v>
      </c>
      <c r="C474" s="5" t="s">
        <v>18</v>
      </c>
      <c r="D474" s="5">
        <v>16</v>
      </c>
      <c r="E474" s="5">
        <v>1230</v>
      </c>
      <c r="F474" s="5">
        <v>19680</v>
      </c>
      <c r="G474" s="6">
        <f t="shared" ca="1" si="21"/>
        <v>45293</v>
      </c>
      <c r="H474" s="4" t="str">
        <f t="shared" ca="1" si="22"/>
        <v>January</v>
      </c>
      <c r="I474" t="str">
        <f t="shared" ca="1" si="23"/>
        <v>2024</v>
      </c>
      <c r="L474" s="4"/>
    </row>
    <row r="475" spans="1:12" x14ac:dyDescent="0.4">
      <c r="A475" s="5" t="s">
        <v>17</v>
      </c>
      <c r="B475" s="5" t="s">
        <v>15</v>
      </c>
      <c r="C475" s="5" t="s">
        <v>16</v>
      </c>
      <c r="D475" s="5">
        <v>29</v>
      </c>
      <c r="E475" s="5">
        <v>1548</v>
      </c>
      <c r="F475" s="5">
        <v>44892</v>
      </c>
      <c r="G475" s="6">
        <f t="shared" ca="1" si="21"/>
        <v>45574</v>
      </c>
      <c r="H475" s="4" t="str">
        <f t="shared" ca="1" si="22"/>
        <v>October</v>
      </c>
      <c r="I475" t="str">
        <f t="shared" ca="1" si="23"/>
        <v>2024</v>
      </c>
      <c r="L475" s="4"/>
    </row>
    <row r="476" spans="1:12" x14ac:dyDescent="0.4">
      <c r="A476" s="5" t="s">
        <v>6</v>
      </c>
      <c r="B476" s="5" t="s">
        <v>7</v>
      </c>
      <c r="C476" s="5" t="s">
        <v>11</v>
      </c>
      <c r="D476" s="5">
        <v>49</v>
      </c>
      <c r="E476" s="5">
        <v>576</v>
      </c>
      <c r="F476" s="5">
        <v>28224</v>
      </c>
      <c r="G476" s="6">
        <f t="shared" ca="1" si="21"/>
        <v>45382</v>
      </c>
      <c r="H476" s="4" t="str">
        <f t="shared" ca="1" si="22"/>
        <v>March</v>
      </c>
      <c r="I476" t="str">
        <f t="shared" ca="1" si="23"/>
        <v>2024</v>
      </c>
      <c r="L476" s="4"/>
    </row>
    <row r="477" spans="1:12" x14ac:dyDescent="0.4">
      <c r="A477" s="5" t="s">
        <v>19</v>
      </c>
      <c r="B477" s="5" t="s">
        <v>15</v>
      </c>
      <c r="C477" s="5" t="s">
        <v>22</v>
      </c>
      <c r="D477" s="5">
        <v>9</v>
      </c>
      <c r="E477" s="5">
        <v>1028</v>
      </c>
      <c r="F477" s="5">
        <v>9252</v>
      </c>
      <c r="G477" s="6">
        <f t="shared" ca="1" si="21"/>
        <v>45678</v>
      </c>
      <c r="H477" s="4" t="str">
        <f t="shared" ca="1" si="22"/>
        <v>January</v>
      </c>
      <c r="I477" t="str">
        <f t="shared" ca="1" si="23"/>
        <v>2025</v>
      </c>
      <c r="L477" s="4"/>
    </row>
    <row r="478" spans="1:12" x14ac:dyDescent="0.4">
      <c r="A478" s="5" t="s">
        <v>17</v>
      </c>
      <c r="B478" s="5" t="s">
        <v>10</v>
      </c>
      <c r="C478" s="5" t="s">
        <v>22</v>
      </c>
      <c r="D478" s="5">
        <v>27</v>
      </c>
      <c r="E478" s="5">
        <v>1957</v>
      </c>
      <c r="F478" s="5">
        <v>52839</v>
      </c>
      <c r="G478" s="6">
        <f t="shared" ca="1" si="21"/>
        <v>45672</v>
      </c>
      <c r="H478" s="4" t="str">
        <f t="shared" ca="1" si="22"/>
        <v>January</v>
      </c>
      <c r="I478" t="str">
        <f t="shared" ca="1" si="23"/>
        <v>2025</v>
      </c>
      <c r="L478" s="4"/>
    </row>
    <row r="479" spans="1:12" x14ac:dyDescent="0.4">
      <c r="A479" s="5" t="s">
        <v>6</v>
      </c>
      <c r="B479" s="5" t="s">
        <v>15</v>
      </c>
      <c r="C479" s="5" t="s">
        <v>22</v>
      </c>
      <c r="D479" s="5">
        <v>36</v>
      </c>
      <c r="E479" s="5">
        <v>1413</v>
      </c>
      <c r="F479" s="5">
        <v>50868</v>
      </c>
      <c r="G479" s="6">
        <f t="shared" ca="1" si="21"/>
        <v>45549</v>
      </c>
      <c r="H479" s="4" t="str">
        <f t="shared" ca="1" si="22"/>
        <v>September</v>
      </c>
      <c r="I479" t="str">
        <f t="shared" ca="1" si="23"/>
        <v>2024</v>
      </c>
      <c r="L479" s="4"/>
    </row>
    <row r="480" spans="1:12" x14ac:dyDescent="0.4">
      <c r="A480" s="5" t="s">
        <v>6</v>
      </c>
      <c r="B480" s="5" t="s">
        <v>10</v>
      </c>
      <c r="C480" s="5" t="s">
        <v>18</v>
      </c>
      <c r="D480" s="5">
        <v>47</v>
      </c>
      <c r="E480" s="5">
        <v>1063</v>
      </c>
      <c r="F480" s="5">
        <v>49961</v>
      </c>
      <c r="G480" s="6">
        <f t="shared" ca="1" si="21"/>
        <v>45741</v>
      </c>
      <c r="H480" s="4" t="str">
        <f t="shared" ca="1" si="22"/>
        <v>March</v>
      </c>
      <c r="I480" t="str">
        <f t="shared" ca="1" si="23"/>
        <v>2025</v>
      </c>
      <c r="L480" s="4"/>
    </row>
    <row r="481" spans="1:12" x14ac:dyDescent="0.4">
      <c r="A481" s="5" t="s">
        <v>19</v>
      </c>
      <c r="B481" s="5" t="s">
        <v>21</v>
      </c>
      <c r="C481" s="5" t="s">
        <v>16</v>
      </c>
      <c r="D481" s="5">
        <v>44</v>
      </c>
      <c r="E481" s="5">
        <v>1868</v>
      </c>
      <c r="F481" s="5">
        <v>82192</v>
      </c>
      <c r="G481" s="6">
        <f t="shared" ca="1" si="21"/>
        <v>45418</v>
      </c>
      <c r="H481" s="4" t="str">
        <f t="shared" ca="1" si="22"/>
        <v>May</v>
      </c>
      <c r="I481" t="str">
        <f t="shared" ca="1" si="23"/>
        <v>2024</v>
      </c>
      <c r="L481" s="4"/>
    </row>
    <row r="482" spans="1:12" x14ac:dyDescent="0.4">
      <c r="A482" s="5" t="s">
        <v>6</v>
      </c>
      <c r="B482" s="5" t="s">
        <v>12</v>
      </c>
      <c r="C482" s="5" t="s">
        <v>23</v>
      </c>
      <c r="D482" s="5">
        <v>32</v>
      </c>
      <c r="E482" s="5">
        <v>390</v>
      </c>
      <c r="F482" s="5">
        <v>12480</v>
      </c>
      <c r="G482" s="6">
        <f t="shared" ca="1" si="21"/>
        <v>45952</v>
      </c>
      <c r="H482" s="4" t="str">
        <f t="shared" ca="1" si="22"/>
        <v>October</v>
      </c>
      <c r="I482" t="str">
        <f t="shared" ca="1" si="23"/>
        <v>2025</v>
      </c>
      <c r="L482" s="4"/>
    </row>
    <row r="483" spans="1:12" x14ac:dyDescent="0.4">
      <c r="A483" s="5" t="s">
        <v>9</v>
      </c>
      <c r="B483" s="5" t="s">
        <v>12</v>
      </c>
      <c r="C483" s="5" t="s">
        <v>23</v>
      </c>
      <c r="D483" s="5">
        <v>14</v>
      </c>
      <c r="E483" s="5">
        <v>743</v>
      </c>
      <c r="F483" s="5">
        <v>10402</v>
      </c>
      <c r="G483" s="6">
        <f t="shared" ca="1" si="21"/>
        <v>45650</v>
      </c>
      <c r="H483" s="4" t="str">
        <f t="shared" ca="1" si="22"/>
        <v>December</v>
      </c>
      <c r="I483" t="str">
        <f t="shared" ca="1" si="23"/>
        <v>2024</v>
      </c>
      <c r="L483" s="4"/>
    </row>
    <row r="484" spans="1:12" x14ac:dyDescent="0.4">
      <c r="A484" s="5" t="s">
        <v>19</v>
      </c>
      <c r="B484" s="5" t="s">
        <v>10</v>
      </c>
      <c r="C484" s="5" t="s">
        <v>18</v>
      </c>
      <c r="D484" s="5">
        <v>16</v>
      </c>
      <c r="E484" s="5">
        <v>1082</v>
      </c>
      <c r="F484" s="5">
        <v>17312</v>
      </c>
      <c r="G484" s="6">
        <f t="shared" ca="1" si="21"/>
        <v>45484</v>
      </c>
      <c r="H484" s="4" t="str">
        <f t="shared" ca="1" si="22"/>
        <v>July</v>
      </c>
      <c r="I484" t="str">
        <f t="shared" ca="1" si="23"/>
        <v>2024</v>
      </c>
      <c r="L484" s="4"/>
    </row>
    <row r="485" spans="1:12" x14ac:dyDescent="0.4">
      <c r="A485" s="5" t="s">
        <v>17</v>
      </c>
      <c r="B485" s="5" t="s">
        <v>10</v>
      </c>
      <c r="C485" s="5" t="s">
        <v>23</v>
      </c>
      <c r="D485" s="5">
        <v>21</v>
      </c>
      <c r="E485" s="5">
        <v>1891</v>
      </c>
      <c r="F485" s="5">
        <v>39711</v>
      </c>
      <c r="G485" s="6">
        <f t="shared" ca="1" si="21"/>
        <v>45716</v>
      </c>
      <c r="H485" s="4" t="str">
        <f t="shared" ca="1" si="22"/>
        <v>February</v>
      </c>
      <c r="I485" t="str">
        <f t="shared" ca="1" si="23"/>
        <v>2025</v>
      </c>
      <c r="L485" s="4"/>
    </row>
    <row r="486" spans="1:12" x14ac:dyDescent="0.4">
      <c r="A486" s="5" t="s">
        <v>17</v>
      </c>
      <c r="B486" s="5" t="s">
        <v>10</v>
      </c>
      <c r="C486" s="5" t="s">
        <v>18</v>
      </c>
      <c r="D486" s="5">
        <v>31</v>
      </c>
      <c r="E486" s="5">
        <v>743</v>
      </c>
      <c r="F486" s="5">
        <v>23033</v>
      </c>
      <c r="G486" s="6">
        <f t="shared" ca="1" si="21"/>
        <v>45484</v>
      </c>
      <c r="H486" s="4" t="str">
        <f t="shared" ca="1" si="22"/>
        <v>July</v>
      </c>
      <c r="I486" t="str">
        <f t="shared" ca="1" si="23"/>
        <v>2024</v>
      </c>
      <c r="L486" s="4"/>
    </row>
    <row r="487" spans="1:12" x14ac:dyDescent="0.4">
      <c r="A487" s="5" t="s">
        <v>19</v>
      </c>
      <c r="B487" s="5" t="s">
        <v>12</v>
      </c>
      <c r="C487" s="5" t="s">
        <v>11</v>
      </c>
      <c r="D487" s="5">
        <v>12</v>
      </c>
      <c r="E487" s="5">
        <v>1668</v>
      </c>
      <c r="F487" s="5">
        <v>20016</v>
      </c>
      <c r="G487" s="6">
        <f t="shared" ca="1" si="21"/>
        <v>45699</v>
      </c>
      <c r="H487" s="4" t="str">
        <f t="shared" ca="1" si="22"/>
        <v>February</v>
      </c>
      <c r="I487" t="str">
        <f t="shared" ca="1" si="23"/>
        <v>2025</v>
      </c>
      <c r="L487" s="4"/>
    </row>
    <row r="488" spans="1:12" x14ac:dyDescent="0.4">
      <c r="A488" s="5" t="s">
        <v>17</v>
      </c>
      <c r="B488" s="5" t="s">
        <v>12</v>
      </c>
      <c r="C488" s="5" t="s">
        <v>11</v>
      </c>
      <c r="D488" s="5">
        <v>30</v>
      </c>
      <c r="E488" s="5">
        <v>162</v>
      </c>
      <c r="F488" s="5">
        <v>4860</v>
      </c>
      <c r="G488" s="6">
        <f t="shared" ca="1" si="21"/>
        <v>45519</v>
      </c>
      <c r="H488" s="4" t="str">
        <f t="shared" ca="1" si="22"/>
        <v>August</v>
      </c>
      <c r="I488" t="str">
        <f t="shared" ca="1" si="23"/>
        <v>2024</v>
      </c>
      <c r="L488" s="4"/>
    </row>
    <row r="489" spans="1:12" x14ac:dyDescent="0.4">
      <c r="A489" s="5" t="s">
        <v>19</v>
      </c>
      <c r="B489" s="5" t="s">
        <v>12</v>
      </c>
      <c r="C489" s="5" t="s">
        <v>22</v>
      </c>
      <c r="D489" s="5">
        <v>10</v>
      </c>
      <c r="E489" s="5">
        <v>869</v>
      </c>
      <c r="F489" s="5">
        <v>8690</v>
      </c>
      <c r="G489" s="6">
        <f t="shared" ca="1" si="21"/>
        <v>45758</v>
      </c>
      <c r="H489" s="4" t="str">
        <f t="shared" ca="1" si="22"/>
        <v>April</v>
      </c>
      <c r="I489" t="str">
        <f t="shared" ca="1" si="23"/>
        <v>2025</v>
      </c>
      <c r="L489" s="4"/>
    </row>
    <row r="490" spans="1:12" x14ac:dyDescent="0.4">
      <c r="A490" s="5" t="s">
        <v>6</v>
      </c>
      <c r="B490" s="5" t="s">
        <v>21</v>
      </c>
      <c r="C490" s="5" t="s">
        <v>22</v>
      </c>
      <c r="D490" s="5">
        <v>23</v>
      </c>
      <c r="E490" s="5">
        <v>737</v>
      </c>
      <c r="F490" s="5">
        <v>16951</v>
      </c>
      <c r="G490" s="6">
        <f t="shared" ca="1" si="21"/>
        <v>45513</v>
      </c>
      <c r="H490" s="4" t="str">
        <f t="shared" ca="1" si="22"/>
        <v>August</v>
      </c>
      <c r="I490" t="str">
        <f t="shared" ca="1" si="23"/>
        <v>2024</v>
      </c>
      <c r="L490" s="4"/>
    </row>
    <row r="491" spans="1:12" x14ac:dyDescent="0.4">
      <c r="A491" s="5" t="s">
        <v>6</v>
      </c>
      <c r="B491" s="5" t="s">
        <v>7</v>
      </c>
      <c r="C491" s="5" t="s">
        <v>24</v>
      </c>
      <c r="D491" s="5">
        <v>29</v>
      </c>
      <c r="E491" s="5">
        <v>1258</v>
      </c>
      <c r="F491" s="5">
        <v>36482</v>
      </c>
      <c r="G491" s="6">
        <f t="shared" ca="1" si="21"/>
        <v>45988</v>
      </c>
      <c r="H491" s="4" t="str">
        <f t="shared" ca="1" si="22"/>
        <v>November</v>
      </c>
      <c r="I491" t="str">
        <f t="shared" ca="1" si="23"/>
        <v>2025</v>
      </c>
      <c r="L491" s="4"/>
    </row>
    <row r="492" spans="1:12" x14ac:dyDescent="0.4">
      <c r="A492" s="5" t="s">
        <v>17</v>
      </c>
      <c r="B492" s="5" t="s">
        <v>15</v>
      </c>
      <c r="C492" s="5" t="s">
        <v>11</v>
      </c>
      <c r="D492" s="5">
        <v>17</v>
      </c>
      <c r="E492" s="5">
        <v>890</v>
      </c>
      <c r="F492" s="5">
        <v>15130</v>
      </c>
      <c r="G492" s="6">
        <f t="shared" ca="1" si="21"/>
        <v>45752</v>
      </c>
      <c r="H492" s="4" t="str">
        <f t="shared" ca="1" si="22"/>
        <v>April</v>
      </c>
      <c r="I492" t="str">
        <f t="shared" ca="1" si="23"/>
        <v>2025</v>
      </c>
      <c r="L492" s="4"/>
    </row>
    <row r="493" spans="1:12" x14ac:dyDescent="0.4">
      <c r="A493" s="5" t="s">
        <v>17</v>
      </c>
      <c r="B493" s="5" t="s">
        <v>15</v>
      </c>
      <c r="C493" s="5" t="s">
        <v>18</v>
      </c>
      <c r="D493" s="5">
        <v>5</v>
      </c>
      <c r="E493" s="5">
        <v>307</v>
      </c>
      <c r="F493" s="5">
        <v>1535</v>
      </c>
      <c r="G493" s="6">
        <f t="shared" ca="1" si="21"/>
        <v>45737</v>
      </c>
      <c r="H493" s="4" t="str">
        <f t="shared" ca="1" si="22"/>
        <v>March</v>
      </c>
      <c r="I493" t="str">
        <f t="shared" ca="1" si="23"/>
        <v>2025</v>
      </c>
      <c r="L493" s="4"/>
    </row>
    <row r="494" spans="1:12" x14ac:dyDescent="0.4">
      <c r="A494" s="5" t="s">
        <v>6</v>
      </c>
      <c r="B494" s="5" t="s">
        <v>12</v>
      </c>
      <c r="C494" s="5" t="s">
        <v>22</v>
      </c>
      <c r="D494" s="5">
        <v>16</v>
      </c>
      <c r="E494" s="5">
        <v>899</v>
      </c>
      <c r="F494" s="5">
        <v>14384</v>
      </c>
      <c r="G494" s="6">
        <f t="shared" ca="1" si="21"/>
        <v>45792</v>
      </c>
      <c r="H494" s="4" t="str">
        <f t="shared" ca="1" si="22"/>
        <v>May</v>
      </c>
      <c r="I494" t="str">
        <f t="shared" ca="1" si="23"/>
        <v>2025</v>
      </c>
      <c r="L494" s="4"/>
    </row>
    <row r="495" spans="1:12" x14ac:dyDescent="0.4">
      <c r="A495" s="5" t="s">
        <v>9</v>
      </c>
      <c r="B495" s="5" t="s">
        <v>21</v>
      </c>
      <c r="C495" s="5" t="s">
        <v>24</v>
      </c>
      <c r="D495" s="5">
        <v>29</v>
      </c>
      <c r="E495" s="5">
        <v>1485</v>
      </c>
      <c r="F495" s="5">
        <v>43065</v>
      </c>
      <c r="G495" s="6">
        <f t="shared" ca="1" si="21"/>
        <v>45751</v>
      </c>
      <c r="H495" s="4" t="str">
        <f t="shared" ca="1" si="22"/>
        <v>April</v>
      </c>
      <c r="I495" t="str">
        <f t="shared" ca="1" si="23"/>
        <v>2025</v>
      </c>
      <c r="L495" s="4"/>
    </row>
    <row r="496" spans="1:12" x14ac:dyDescent="0.4">
      <c r="A496" s="5" t="s">
        <v>9</v>
      </c>
      <c r="B496" s="5" t="s">
        <v>15</v>
      </c>
      <c r="C496" s="5" t="s">
        <v>8</v>
      </c>
      <c r="D496" s="5">
        <v>16</v>
      </c>
      <c r="E496" s="5">
        <v>284</v>
      </c>
      <c r="F496" s="5">
        <v>4544</v>
      </c>
      <c r="G496" s="6">
        <f t="shared" ca="1" si="21"/>
        <v>45296</v>
      </c>
      <c r="H496" s="4" t="str">
        <f t="shared" ca="1" si="22"/>
        <v>January</v>
      </c>
      <c r="I496" t="str">
        <f t="shared" ca="1" si="23"/>
        <v>2024</v>
      </c>
      <c r="L496" s="4"/>
    </row>
    <row r="497" spans="1:12" x14ac:dyDescent="0.4">
      <c r="A497" s="5" t="s">
        <v>19</v>
      </c>
      <c r="B497" s="5" t="s">
        <v>10</v>
      </c>
      <c r="C497" s="5" t="s">
        <v>11</v>
      </c>
      <c r="D497" s="5">
        <v>15</v>
      </c>
      <c r="E497" s="5">
        <v>203</v>
      </c>
      <c r="F497" s="5">
        <v>3045</v>
      </c>
      <c r="G497" s="6">
        <f t="shared" ca="1" si="21"/>
        <v>45607</v>
      </c>
      <c r="H497" s="4" t="str">
        <f t="shared" ca="1" si="22"/>
        <v>November</v>
      </c>
      <c r="I497" t="str">
        <f t="shared" ca="1" si="23"/>
        <v>2024</v>
      </c>
      <c r="L497" s="4"/>
    </row>
    <row r="498" spans="1:12" x14ac:dyDescent="0.4">
      <c r="A498" s="5" t="s">
        <v>19</v>
      </c>
      <c r="B498" s="5" t="s">
        <v>15</v>
      </c>
      <c r="C498" s="5" t="s">
        <v>24</v>
      </c>
      <c r="D498" s="5">
        <v>34</v>
      </c>
      <c r="E498" s="5">
        <v>1615</v>
      </c>
      <c r="F498" s="5">
        <v>54910</v>
      </c>
      <c r="G498" s="6">
        <f t="shared" ca="1" si="21"/>
        <v>45632</v>
      </c>
      <c r="H498" s="4" t="str">
        <f t="shared" ca="1" si="22"/>
        <v>December</v>
      </c>
      <c r="I498" t="str">
        <f t="shared" ca="1" si="23"/>
        <v>2024</v>
      </c>
      <c r="L498" s="4"/>
    </row>
    <row r="499" spans="1:12" x14ac:dyDescent="0.4">
      <c r="A499" s="5" t="s">
        <v>19</v>
      </c>
      <c r="B499" s="5" t="s">
        <v>10</v>
      </c>
      <c r="C499" s="5" t="s">
        <v>13</v>
      </c>
      <c r="D499" s="5">
        <v>3</v>
      </c>
      <c r="E499" s="5">
        <v>1746</v>
      </c>
      <c r="F499" s="5">
        <v>5238</v>
      </c>
      <c r="G499" s="6">
        <f t="shared" ca="1" si="21"/>
        <v>45722</v>
      </c>
      <c r="H499" s="4" t="str">
        <f t="shared" ca="1" si="22"/>
        <v>March</v>
      </c>
      <c r="I499" t="str">
        <f t="shared" ca="1" si="23"/>
        <v>2025</v>
      </c>
      <c r="L499" s="4"/>
    </row>
    <row r="500" spans="1:12" x14ac:dyDescent="0.4">
      <c r="A500" s="5" t="s">
        <v>9</v>
      </c>
      <c r="B500" s="5" t="s">
        <v>21</v>
      </c>
      <c r="C500" s="5" t="s">
        <v>24</v>
      </c>
      <c r="D500" s="5">
        <v>34</v>
      </c>
      <c r="E500" s="5">
        <v>103</v>
      </c>
      <c r="F500" s="5">
        <v>3502</v>
      </c>
      <c r="G500" s="6">
        <f t="shared" ca="1" si="21"/>
        <v>45456</v>
      </c>
      <c r="H500" s="4" t="str">
        <f t="shared" ca="1" si="22"/>
        <v>June</v>
      </c>
      <c r="I500" t="str">
        <f t="shared" ca="1" si="23"/>
        <v>2024</v>
      </c>
      <c r="L500" s="4"/>
    </row>
    <row r="501" spans="1:12" x14ac:dyDescent="0.4">
      <c r="A501" s="5" t="s">
        <v>9</v>
      </c>
      <c r="B501" s="5" t="s">
        <v>7</v>
      </c>
      <c r="C501" s="5" t="s">
        <v>18</v>
      </c>
      <c r="D501" s="5">
        <v>15</v>
      </c>
      <c r="E501" s="5">
        <v>394</v>
      </c>
      <c r="F501" s="5">
        <v>5910</v>
      </c>
      <c r="G501" s="6">
        <f t="shared" ca="1" si="21"/>
        <v>46003</v>
      </c>
      <c r="H501" s="4" t="str">
        <f t="shared" ca="1" si="22"/>
        <v>December</v>
      </c>
      <c r="I501" t="str">
        <f t="shared" ca="1" si="23"/>
        <v>2025</v>
      </c>
      <c r="L501" s="4"/>
    </row>
    <row r="502" spans="1:12" x14ac:dyDescent="0.4">
      <c r="A502" s="5" t="s">
        <v>17</v>
      </c>
      <c r="B502" s="5" t="s">
        <v>15</v>
      </c>
      <c r="C502" s="5" t="s">
        <v>18</v>
      </c>
      <c r="D502" s="5">
        <v>18</v>
      </c>
      <c r="E502" s="5">
        <v>339</v>
      </c>
      <c r="F502" s="5">
        <v>6102</v>
      </c>
      <c r="G502" s="6">
        <f t="shared" ca="1" si="21"/>
        <v>45305</v>
      </c>
      <c r="H502" s="4" t="str">
        <f t="shared" ca="1" si="22"/>
        <v>January</v>
      </c>
      <c r="I502" t="str">
        <f t="shared" ca="1" si="23"/>
        <v>2024</v>
      </c>
      <c r="L502" s="4"/>
    </row>
    <row r="503" spans="1:12" x14ac:dyDescent="0.4">
      <c r="A503" s="5" t="s">
        <v>9</v>
      </c>
      <c r="B503" s="5" t="s">
        <v>15</v>
      </c>
      <c r="C503" s="5" t="s">
        <v>23</v>
      </c>
      <c r="D503" s="5">
        <v>48</v>
      </c>
      <c r="E503" s="5">
        <v>400</v>
      </c>
      <c r="F503" s="5">
        <v>19200</v>
      </c>
      <c r="G503" s="6">
        <f t="shared" ca="1" si="21"/>
        <v>45550</v>
      </c>
      <c r="H503" s="4" t="str">
        <f t="shared" ca="1" si="22"/>
        <v>September</v>
      </c>
      <c r="I503" t="str">
        <f t="shared" ca="1" si="23"/>
        <v>2024</v>
      </c>
      <c r="L503" s="4"/>
    </row>
    <row r="504" spans="1:12" x14ac:dyDescent="0.4">
      <c r="A504" s="5" t="s">
        <v>6</v>
      </c>
      <c r="B504" s="5" t="s">
        <v>12</v>
      </c>
      <c r="C504" s="5" t="s">
        <v>11</v>
      </c>
      <c r="D504" s="5">
        <v>6</v>
      </c>
      <c r="E504" s="5">
        <v>1394</v>
      </c>
      <c r="F504" s="5">
        <v>8364</v>
      </c>
      <c r="G504" s="6">
        <f t="shared" ca="1" si="21"/>
        <v>45922</v>
      </c>
      <c r="H504" s="4" t="str">
        <f t="shared" ca="1" si="22"/>
        <v>September</v>
      </c>
      <c r="I504" t="str">
        <f t="shared" ca="1" si="23"/>
        <v>2025</v>
      </c>
      <c r="L504" s="4"/>
    </row>
    <row r="505" spans="1:12" x14ac:dyDescent="0.4">
      <c r="A505" s="5" t="s">
        <v>19</v>
      </c>
      <c r="B505" s="5" t="s">
        <v>15</v>
      </c>
      <c r="C505" s="5" t="s">
        <v>11</v>
      </c>
      <c r="D505" s="5">
        <v>45</v>
      </c>
      <c r="E505" s="5">
        <v>1761</v>
      </c>
      <c r="F505" s="5">
        <v>79245</v>
      </c>
      <c r="G505" s="6">
        <f t="shared" ca="1" si="21"/>
        <v>45374</v>
      </c>
      <c r="H505" s="4" t="str">
        <f t="shared" ca="1" si="22"/>
        <v>March</v>
      </c>
      <c r="I505" t="str">
        <f t="shared" ca="1" si="23"/>
        <v>2024</v>
      </c>
      <c r="L505" s="4"/>
    </row>
    <row r="506" spans="1:12" x14ac:dyDescent="0.4">
      <c r="A506" s="5" t="s">
        <v>6</v>
      </c>
      <c r="B506" s="5" t="s">
        <v>7</v>
      </c>
      <c r="C506" s="5" t="s">
        <v>11</v>
      </c>
      <c r="D506" s="5">
        <v>46</v>
      </c>
      <c r="E506" s="5">
        <v>1978</v>
      </c>
      <c r="F506" s="5">
        <v>90988</v>
      </c>
      <c r="G506" s="6">
        <f t="shared" ca="1" si="21"/>
        <v>45506</v>
      </c>
      <c r="H506" s="4" t="str">
        <f t="shared" ca="1" si="22"/>
        <v>August</v>
      </c>
      <c r="I506" t="str">
        <f t="shared" ca="1" si="23"/>
        <v>2024</v>
      </c>
      <c r="L506" s="4"/>
    </row>
    <row r="507" spans="1:12" x14ac:dyDescent="0.4">
      <c r="A507" s="5" t="s">
        <v>19</v>
      </c>
      <c r="B507" s="5" t="s">
        <v>12</v>
      </c>
      <c r="C507" s="5" t="s">
        <v>13</v>
      </c>
      <c r="D507" s="5">
        <v>31</v>
      </c>
      <c r="E507" s="5">
        <v>1836</v>
      </c>
      <c r="F507" s="5">
        <v>56916</v>
      </c>
      <c r="G507" s="6">
        <f t="shared" ca="1" si="21"/>
        <v>45844</v>
      </c>
      <c r="H507" s="4" t="str">
        <f t="shared" ca="1" si="22"/>
        <v>July</v>
      </c>
      <c r="I507" t="str">
        <f t="shared" ca="1" si="23"/>
        <v>2025</v>
      </c>
      <c r="L507" s="4"/>
    </row>
    <row r="508" spans="1:12" x14ac:dyDescent="0.4">
      <c r="A508" s="5" t="s">
        <v>17</v>
      </c>
      <c r="B508" s="5" t="s">
        <v>10</v>
      </c>
      <c r="C508" s="5" t="s">
        <v>20</v>
      </c>
      <c r="D508" s="5">
        <v>26</v>
      </c>
      <c r="E508" s="5">
        <v>893</v>
      </c>
      <c r="F508" s="5">
        <v>23218</v>
      </c>
      <c r="G508" s="6">
        <f t="shared" ca="1" si="21"/>
        <v>45826</v>
      </c>
      <c r="H508" s="4" t="str">
        <f t="shared" ca="1" si="22"/>
        <v>June</v>
      </c>
      <c r="I508" t="str">
        <f t="shared" ca="1" si="23"/>
        <v>2025</v>
      </c>
      <c r="L508" s="4"/>
    </row>
    <row r="509" spans="1:12" x14ac:dyDescent="0.4">
      <c r="A509" s="5" t="s">
        <v>9</v>
      </c>
      <c r="B509" s="5" t="s">
        <v>12</v>
      </c>
      <c r="C509" s="5" t="s">
        <v>13</v>
      </c>
      <c r="D509" s="5">
        <v>14</v>
      </c>
      <c r="E509" s="5">
        <v>647</v>
      </c>
      <c r="F509" s="5">
        <v>9058</v>
      </c>
      <c r="G509" s="6">
        <f t="shared" ca="1" si="21"/>
        <v>45477</v>
      </c>
      <c r="H509" s="4" t="str">
        <f t="shared" ca="1" si="22"/>
        <v>July</v>
      </c>
      <c r="I509" t="str">
        <f t="shared" ca="1" si="23"/>
        <v>2024</v>
      </c>
      <c r="L509" s="4"/>
    </row>
    <row r="510" spans="1:12" x14ac:dyDescent="0.4">
      <c r="A510" s="5" t="s">
        <v>19</v>
      </c>
      <c r="B510" s="5" t="s">
        <v>10</v>
      </c>
      <c r="C510" s="5" t="s">
        <v>8</v>
      </c>
      <c r="D510" s="5">
        <v>26</v>
      </c>
      <c r="E510" s="5">
        <v>1089</v>
      </c>
      <c r="F510" s="5">
        <v>28314</v>
      </c>
      <c r="G510" s="6">
        <f t="shared" ca="1" si="21"/>
        <v>45588</v>
      </c>
      <c r="H510" s="4" t="str">
        <f t="shared" ca="1" si="22"/>
        <v>October</v>
      </c>
      <c r="I510" t="str">
        <f t="shared" ca="1" si="23"/>
        <v>2024</v>
      </c>
      <c r="L510" s="4"/>
    </row>
    <row r="511" spans="1:12" x14ac:dyDescent="0.4">
      <c r="A511" s="5" t="s">
        <v>6</v>
      </c>
      <c r="B511" s="5" t="s">
        <v>10</v>
      </c>
      <c r="C511" s="5" t="s">
        <v>18</v>
      </c>
      <c r="D511" s="5">
        <v>19</v>
      </c>
      <c r="E511" s="5">
        <v>591</v>
      </c>
      <c r="F511" s="5">
        <v>11229</v>
      </c>
      <c r="G511" s="6">
        <f t="shared" ca="1" si="21"/>
        <v>45790</v>
      </c>
      <c r="H511" s="4" t="str">
        <f t="shared" ca="1" si="22"/>
        <v>May</v>
      </c>
      <c r="I511" t="str">
        <f t="shared" ca="1" si="23"/>
        <v>2025</v>
      </c>
      <c r="L511" s="4"/>
    </row>
    <row r="512" spans="1:12" x14ac:dyDescent="0.4">
      <c r="A512" s="5" t="s">
        <v>19</v>
      </c>
      <c r="B512" s="5" t="s">
        <v>21</v>
      </c>
      <c r="C512" s="5" t="s">
        <v>13</v>
      </c>
      <c r="D512" s="5">
        <v>13</v>
      </c>
      <c r="E512" s="5">
        <v>1113</v>
      </c>
      <c r="F512" s="5">
        <v>14469</v>
      </c>
      <c r="G512" s="6">
        <f t="shared" ca="1" si="21"/>
        <v>45326</v>
      </c>
      <c r="H512" s="4" t="str">
        <f t="shared" ca="1" si="22"/>
        <v>February</v>
      </c>
      <c r="I512" t="str">
        <f t="shared" ca="1" si="23"/>
        <v>2024</v>
      </c>
      <c r="L512" s="4"/>
    </row>
    <row r="513" spans="1:12" x14ac:dyDescent="0.4">
      <c r="A513" s="5" t="s">
        <v>6</v>
      </c>
      <c r="B513" s="5" t="s">
        <v>10</v>
      </c>
      <c r="C513" s="5" t="s">
        <v>14</v>
      </c>
      <c r="D513" s="5">
        <v>38</v>
      </c>
      <c r="E513" s="5">
        <v>1401</v>
      </c>
      <c r="F513" s="5">
        <v>53238</v>
      </c>
      <c r="G513" s="6">
        <f t="shared" ca="1" si="21"/>
        <v>45982</v>
      </c>
      <c r="H513" s="4" t="str">
        <f t="shared" ca="1" si="22"/>
        <v>November</v>
      </c>
      <c r="I513" t="str">
        <f t="shared" ca="1" si="23"/>
        <v>2025</v>
      </c>
      <c r="L513" s="4"/>
    </row>
    <row r="514" spans="1:12" x14ac:dyDescent="0.4">
      <c r="A514" s="5" t="s">
        <v>17</v>
      </c>
      <c r="B514" s="5" t="s">
        <v>21</v>
      </c>
      <c r="C514" s="5" t="s">
        <v>8</v>
      </c>
      <c r="D514" s="5">
        <v>11</v>
      </c>
      <c r="E514" s="5">
        <v>1760</v>
      </c>
      <c r="F514" s="5">
        <v>19360</v>
      </c>
      <c r="G514" s="6">
        <f t="shared" ca="1" si="21"/>
        <v>45712</v>
      </c>
      <c r="H514" s="4" t="str">
        <f t="shared" ca="1" si="22"/>
        <v>February</v>
      </c>
      <c r="I514" t="str">
        <f t="shared" ca="1" si="23"/>
        <v>2025</v>
      </c>
      <c r="L514" s="4"/>
    </row>
    <row r="515" spans="1:12" x14ac:dyDescent="0.4">
      <c r="A515" s="5" t="s">
        <v>9</v>
      </c>
      <c r="B515" s="5" t="s">
        <v>10</v>
      </c>
      <c r="C515" s="5" t="s">
        <v>14</v>
      </c>
      <c r="D515" s="5">
        <v>13</v>
      </c>
      <c r="E515" s="5">
        <v>939</v>
      </c>
      <c r="F515" s="5">
        <v>12207</v>
      </c>
      <c r="G515" s="6">
        <f t="shared" ref="G515:G578" ca="1" si="24">RANDBETWEEN(DATE(2024,1,1),DATE(2025,12,31))</f>
        <v>45442</v>
      </c>
      <c r="H515" s="4" t="str">
        <f t="shared" ref="H515:H578" ca="1" si="25">TEXT(G515,"mmmm")</f>
        <v>May</v>
      </c>
      <c r="I515" t="str">
        <f t="shared" ref="I515:I578" ca="1" si="26">TEXT(G515,"yyyy")</f>
        <v>2024</v>
      </c>
      <c r="L515" s="4"/>
    </row>
    <row r="516" spans="1:12" x14ac:dyDescent="0.4">
      <c r="A516" s="5" t="s">
        <v>6</v>
      </c>
      <c r="B516" s="5" t="s">
        <v>21</v>
      </c>
      <c r="C516" s="5" t="s">
        <v>13</v>
      </c>
      <c r="D516" s="5">
        <v>39</v>
      </c>
      <c r="E516" s="5">
        <v>1317</v>
      </c>
      <c r="F516" s="5">
        <v>51363</v>
      </c>
      <c r="G516" s="6">
        <f t="shared" ca="1" si="24"/>
        <v>45393</v>
      </c>
      <c r="H516" s="4" t="str">
        <f t="shared" ca="1" si="25"/>
        <v>April</v>
      </c>
      <c r="I516" t="str">
        <f t="shared" ca="1" si="26"/>
        <v>2024</v>
      </c>
      <c r="L516" s="4"/>
    </row>
    <row r="517" spans="1:12" x14ac:dyDescent="0.4">
      <c r="A517" s="5" t="s">
        <v>19</v>
      </c>
      <c r="B517" s="5" t="s">
        <v>21</v>
      </c>
      <c r="C517" s="5" t="s">
        <v>22</v>
      </c>
      <c r="D517" s="5">
        <v>31</v>
      </c>
      <c r="E517" s="5">
        <v>1681</v>
      </c>
      <c r="F517" s="5">
        <v>52111</v>
      </c>
      <c r="G517" s="6">
        <f t="shared" ca="1" si="24"/>
        <v>45643</v>
      </c>
      <c r="H517" s="4" t="str">
        <f t="shared" ca="1" si="25"/>
        <v>December</v>
      </c>
      <c r="I517" t="str">
        <f t="shared" ca="1" si="26"/>
        <v>2024</v>
      </c>
      <c r="L517" s="4"/>
    </row>
    <row r="518" spans="1:12" x14ac:dyDescent="0.4">
      <c r="A518" s="5" t="s">
        <v>6</v>
      </c>
      <c r="B518" s="5" t="s">
        <v>15</v>
      </c>
      <c r="C518" s="5" t="s">
        <v>23</v>
      </c>
      <c r="D518" s="5">
        <v>34</v>
      </c>
      <c r="E518" s="5">
        <v>395</v>
      </c>
      <c r="F518" s="5">
        <v>13430</v>
      </c>
      <c r="G518" s="6">
        <f t="shared" ca="1" si="24"/>
        <v>45633</v>
      </c>
      <c r="H518" s="4" t="str">
        <f t="shared" ca="1" si="25"/>
        <v>December</v>
      </c>
      <c r="I518" t="str">
        <f t="shared" ca="1" si="26"/>
        <v>2024</v>
      </c>
      <c r="L518" s="4"/>
    </row>
    <row r="519" spans="1:12" x14ac:dyDescent="0.4">
      <c r="A519" s="5" t="s">
        <v>19</v>
      </c>
      <c r="B519" s="5" t="s">
        <v>21</v>
      </c>
      <c r="C519" s="5" t="s">
        <v>20</v>
      </c>
      <c r="D519" s="5">
        <v>7</v>
      </c>
      <c r="E519" s="5">
        <v>576</v>
      </c>
      <c r="F519" s="5">
        <v>4032</v>
      </c>
      <c r="G519" s="6">
        <f t="shared" ca="1" si="24"/>
        <v>45569</v>
      </c>
      <c r="H519" s="4" t="str">
        <f t="shared" ca="1" si="25"/>
        <v>October</v>
      </c>
      <c r="I519" t="str">
        <f t="shared" ca="1" si="26"/>
        <v>2024</v>
      </c>
      <c r="L519" s="4"/>
    </row>
    <row r="520" spans="1:12" x14ac:dyDescent="0.4">
      <c r="A520" s="5" t="s">
        <v>19</v>
      </c>
      <c r="B520" s="5" t="s">
        <v>7</v>
      </c>
      <c r="C520" s="5" t="s">
        <v>18</v>
      </c>
      <c r="D520" s="5">
        <v>49</v>
      </c>
      <c r="E520" s="5">
        <v>1128</v>
      </c>
      <c r="F520" s="5">
        <v>55272</v>
      </c>
      <c r="G520" s="6">
        <f t="shared" ca="1" si="24"/>
        <v>45936</v>
      </c>
      <c r="H520" s="4" t="str">
        <f t="shared" ca="1" si="25"/>
        <v>October</v>
      </c>
      <c r="I520" t="str">
        <f t="shared" ca="1" si="26"/>
        <v>2025</v>
      </c>
      <c r="L520" s="4"/>
    </row>
    <row r="521" spans="1:12" x14ac:dyDescent="0.4">
      <c r="A521" s="5" t="s">
        <v>17</v>
      </c>
      <c r="B521" s="5" t="s">
        <v>7</v>
      </c>
      <c r="C521" s="5" t="s">
        <v>14</v>
      </c>
      <c r="D521" s="5">
        <v>47</v>
      </c>
      <c r="E521" s="5">
        <v>480</v>
      </c>
      <c r="F521" s="5">
        <v>22560</v>
      </c>
      <c r="G521" s="6">
        <f t="shared" ca="1" si="24"/>
        <v>45634</v>
      </c>
      <c r="H521" s="4" t="str">
        <f t="shared" ca="1" si="25"/>
        <v>December</v>
      </c>
      <c r="I521" t="str">
        <f t="shared" ca="1" si="26"/>
        <v>2024</v>
      </c>
      <c r="L521" s="4"/>
    </row>
    <row r="522" spans="1:12" x14ac:dyDescent="0.4">
      <c r="A522" s="5" t="s">
        <v>6</v>
      </c>
      <c r="B522" s="5" t="s">
        <v>15</v>
      </c>
      <c r="C522" s="5" t="s">
        <v>8</v>
      </c>
      <c r="D522" s="5">
        <v>23</v>
      </c>
      <c r="E522" s="5">
        <v>681</v>
      </c>
      <c r="F522" s="5">
        <v>15663</v>
      </c>
      <c r="G522" s="6">
        <f t="shared" ca="1" si="24"/>
        <v>45508</v>
      </c>
      <c r="H522" s="4" t="str">
        <f t="shared" ca="1" si="25"/>
        <v>August</v>
      </c>
      <c r="I522" t="str">
        <f t="shared" ca="1" si="26"/>
        <v>2024</v>
      </c>
      <c r="L522" s="4"/>
    </row>
    <row r="523" spans="1:12" x14ac:dyDescent="0.4">
      <c r="A523" s="5" t="s">
        <v>9</v>
      </c>
      <c r="B523" s="5" t="s">
        <v>12</v>
      </c>
      <c r="C523" s="5" t="s">
        <v>14</v>
      </c>
      <c r="D523" s="5">
        <v>12</v>
      </c>
      <c r="E523" s="5">
        <v>1038</v>
      </c>
      <c r="F523" s="5">
        <v>12456</v>
      </c>
      <c r="G523" s="6">
        <f t="shared" ca="1" si="24"/>
        <v>45957</v>
      </c>
      <c r="H523" s="4" t="str">
        <f t="shared" ca="1" si="25"/>
        <v>October</v>
      </c>
      <c r="I523" t="str">
        <f t="shared" ca="1" si="26"/>
        <v>2025</v>
      </c>
      <c r="L523" s="4"/>
    </row>
    <row r="524" spans="1:12" x14ac:dyDescent="0.4">
      <c r="A524" s="5" t="s">
        <v>19</v>
      </c>
      <c r="B524" s="5" t="s">
        <v>10</v>
      </c>
      <c r="C524" s="5" t="s">
        <v>23</v>
      </c>
      <c r="D524" s="5">
        <v>20</v>
      </c>
      <c r="E524" s="5">
        <v>1232</v>
      </c>
      <c r="F524" s="5">
        <v>24640</v>
      </c>
      <c r="G524" s="6">
        <f t="shared" ca="1" si="24"/>
        <v>45774</v>
      </c>
      <c r="H524" s="4" t="str">
        <f t="shared" ca="1" si="25"/>
        <v>April</v>
      </c>
      <c r="I524" t="str">
        <f t="shared" ca="1" si="26"/>
        <v>2025</v>
      </c>
      <c r="L524" s="4"/>
    </row>
    <row r="525" spans="1:12" x14ac:dyDescent="0.4">
      <c r="A525" s="5" t="s">
        <v>17</v>
      </c>
      <c r="B525" s="5" t="s">
        <v>21</v>
      </c>
      <c r="C525" s="5" t="s">
        <v>14</v>
      </c>
      <c r="D525" s="5">
        <v>22</v>
      </c>
      <c r="E525" s="5">
        <v>315</v>
      </c>
      <c r="F525" s="5">
        <v>6930</v>
      </c>
      <c r="G525" s="6">
        <f t="shared" ca="1" si="24"/>
        <v>45835</v>
      </c>
      <c r="H525" s="4" t="str">
        <f t="shared" ca="1" si="25"/>
        <v>June</v>
      </c>
      <c r="I525" t="str">
        <f t="shared" ca="1" si="26"/>
        <v>2025</v>
      </c>
      <c r="L525" s="4"/>
    </row>
    <row r="526" spans="1:12" x14ac:dyDescent="0.4">
      <c r="A526" s="5" t="s">
        <v>9</v>
      </c>
      <c r="B526" s="5" t="s">
        <v>10</v>
      </c>
      <c r="C526" s="5" t="s">
        <v>8</v>
      </c>
      <c r="D526" s="5">
        <v>7</v>
      </c>
      <c r="E526" s="5">
        <v>163</v>
      </c>
      <c r="F526" s="5">
        <v>1141</v>
      </c>
      <c r="G526" s="6">
        <f t="shared" ca="1" si="24"/>
        <v>45320</v>
      </c>
      <c r="H526" s="4" t="str">
        <f t="shared" ca="1" si="25"/>
        <v>January</v>
      </c>
      <c r="I526" t="str">
        <f t="shared" ca="1" si="26"/>
        <v>2024</v>
      </c>
      <c r="L526" s="4"/>
    </row>
    <row r="527" spans="1:12" x14ac:dyDescent="0.4">
      <c r="A527" s="5" t="s">
        <v>6</v>
      </c>
      <c r="B527" s="5" t="s">
        <v>12</v>
      </c>
      <c r="C527" s="5" t="s">
        <v>11</v>
      </c>
      <c r="D527" s="5">
        <v>11</v>
      </c>
      <c r="E527" s="5">
        <v>209</v>
      </c>
      <c r="F527" s="5">
        <v>2299</v>
      </c>
      <c r="G527" s="6">
        <f t="shared" ca="1" si="24"/>
        <v>45772</v>
      </c>
      <c r="H527" s="4" t="str">
        <f t="shared" ca="1" si="25"/>
        <v>April</v>
      </c>
      <c r="I527" t="str">
        <f t="shared" ca="1" si="26"/>
        <v>2025</v>
      </c>
      <c r="L527" s="4"/>
    </row>
    <row r="528" spans="1:12" x14ac:dyDescent="0.4">
      <c r="A528" s="5" t="s">
        <v>6</v>
      </c>
      <c r="B528" s="5" t="s">
        <v>12</v>
      </c>
      <c r="C528" s="5" t="s">
        <v>22</v>
      </c>
      <c r="D528" s="5">
        <v>4</v>
      </c>
      <c r="E528" s="5">
        <v>306</v>
      </c>
      <c r="F528" s="5">
        <v>1224</v>
      </c>
      <c r="G528" s="6">
        <f t="shared" ca="1" si="24"/>
        <v>45978</v>
      </c>
      <c r="H528" s="4" t="str">
        <f t="shared" ca="1" si="25"/>
        <v>November</v>
      </c>
      <c r="I528" t="str">
        <f t="shared" ca="1" si="26"/>
        <v>2025</v>
      </c>
      <c r="L528" s="4"/>
    </row>
    <row r="529" spans="1:12" x14ac:dyDescent="0.4">
      <c r="A529" s="5" t="s">
        <v>19</v>
      </c>
      <c r="B529" s="5" t="s">
        <v>21</v>
      </c>
      <c r="C529" s="5" t="s">
        <v>16</v>
      </c>
      <c r="D529" s="5">
        <v>44</v>
      </c>
      <c r="E529" s="5">
        <v>672</v>
      </c>
      <c r="F529" s="5">
        <v>29568</v>
      </c>
      <c r="G529" s="6">
        <f t="shared" ca="1" si="24"/>
        <v>45514</v>
      </c>
      <c r="H529" s="4" t="str">
        <f t="shared" ca="1" si="25"/>
        <v>August</v>
      </c>
      <c r="I529" t="str">
        <f t="shared" ca="1" si="26"/>
        <v>2024</v>
      </c>
      <c r="L529" s="4"/>
    </row>
    <row r="530" spans="1:12" x14ac:dyDescent="0.4">
      <c r="A530" s="5" t="s">
        <v>6</v>
      </c>
      <c r="B530" s="5" t="s">
        <v>15</v>
      </c>
      <c r="C530" s="5" t="s">
        <v>16</v>
      </c>
      <c r="D530" s="5">
        <v>5</v>
      </c>
      <c r="E530" s="5">
        <v>130</v>
      </c>
      <c r="F530" s="5">
        <v>650</v>
      </c>
      <c r="G530" s="6">
        <f t="shared" ca="1" si="24"/>
        <v>45970</v>
      </c>
      <c r="H530" s="4" t="str">
        <f t="shared" ca="1" si="25"/>
        <v>November</v>
      </c>
      <c r="I530" t="str">
        <f t="shared" ca="1" si="26"/>
        <v>2025</v>
      </c>
      <c r="L530" s="4"/>
    </row>
    <row r="531" spans="1:12" x14ac:dyDescent="0.4">
      <c r="A531" s="5" t="s">
        <v>9</v>
      </c>
      <c r="B531" s="5" t="s">
        <v>7</v>
      </c>
      <c r="C531" s="5" t="s">
        <v>14</v>
      </c>
      <c r="D531" s="5">
        <v>9</v>
      </c>
      <c r="E531" s="5">
        <v>707</v>
      </c>
      <c r="F531" s="5">
        <v>6363</v>
      </c>
      <c r="G531" s="6">
        <f t="shared" ca="1" si="24"/>
        <v>45691</v>
      </c>
      <c r="H531" s="4" t="str">
        <f t="shared" ca="1" si="25"/>
        <v>February</v>
      </c>
      <c r="I531" t="str">
        <f t="shared" ca="1" si="26"/>
        <v>2025</v>
      </c>
      <c r="L531" s="4"/>
    </row>
    <row r="532" spans="1:12" x14ac:dyDescent="0.4">
      <c r="A532" s="5" t="s">
        <v>19</v>
      </c>
      <c r="B532" s="5" t="s">
        <v>10</v>
      </c>
      <c r="C532" s="5" t="s">
        <v>11</v>
      </c>
      <c r="D532" s="5">
        <v>3</v>
      </c>
      <c r="E532" s="5">
        <v>1468</v>
      </c>
      <c r="F532" s="5">
        <v>4404</v>
      </c>
      <c r="G532" s="6">
        <f t="shared" ca="1" si="24"/>
        <v>45615</v>
      </c>
      <c r="H532" s="4" t="str">
        <f t="shared" ca="1" si="25"/>
        <v>November</v>
      </c>
      <c r="I532" t="str">
        <f t="shared" ca="1" si="26"/>
        <v>2024</v>
      </c>
      <c r="L532" s="4"/>
    </row>
    <row r="533" spans="1:12" x14ac:dyDescent="0.4">
      <c r="A533" s="5" t="s">
        <v>19</v>
      </c>
      <c r="B533" s="5" t="s">
        <v>21</v>
      </c>
      <c r="C533" s="5" t="s">
        <v>20</v>
      </c>
      <c r="D533" s="5">
        <v>34</v>
      </c>
      <c r="E533" s="5">
        <v>766</v>
      </c>
      <c r="F533" s="5">
        <v>26044</v>
      </c>
      <c r="G533" s="6">
        <f t="shared" ca="1" si="24"/>
        <v>45989</v>
      </c>
      <c r="H533" s="4" t="str">
        <f t="shared" ca="1" si="25"/>
        <v>November</v>
      </c>
      <c r="I533" t="str">
        <f t="shared" ca="1" si="26"/>
        <v>2025</v>
      </c>
      <c r="L533" s="4"/>
    </row>
    <row r="534" spans="1:12" x14ac:dyDescent="0.4">
      <c r="A534" s="5" t="s">
        <v>6</v>
      </c>
      <c r="B534" s="5" t="s">
        <v>7</v>
      </c>
      <c r="C534" s="5" t="s">
        <v>24</v>
      </c>
      <c r="D534" s="5">
        <v>23</v>
      </c>
      <c r="E534" s="5">
        <v>1414</v>
      </c>
      <c r="F534" s="5">
        <v>32522</v>
      </c>
      <c r="G534" s="6">
        <f t="shared" ca="1" si="24"/>
        <v>45333</v>
      </c>
      <c r="H534" s="4" t="str">
        <f t="shared" ca="1" si="25"/>
        <v>February</v>
      </c>
      <c r="I534" t="str">
        <f t="shared" ca="1" si="26"/>
        <v>2024</v>
      </c>
      <c r="L534" s="4"/>
    </row>
    <row r="535" spans="1:12" x14ac:dyDescent="0.4">
      <c r="A535" s="5" t="s">
        <v>9</v>
      </c>
      <c r="B535" s="5" t="s">
        <v>10</v>
      </c>
      <c r="C535" s="5" t="s">
        <v>13</v>
      </c>
      <c r="D535" s="5">
        <v>29</v>
      </c>
      <c r="E535" s="5">
        <v>767</v>
      </c>
      <c r="F535" s="5">
        <v>22243</v>
      </c>
      <c r="G535" s="6">
        <f t="shared" ca="1" si="24"/>
        <v>46013</v>
      </c>
      <c r="H535" s="4" t="str">
        <f t="shared" ca="1" si="25"/>
        <v>December</v>
      </c>
      <c r="I535" t="str">
        <f t="shared" ca="1" si="26"/>
        <v>2025</v>
      </c>
      <c r="L535" s="4"/>
    </row>
    <row r="536" spans="1:12" x14ac:dyDescent="0.4">
      <c r="A536" s="5" t="s">
        <v>17</v>
      </c>
      <c r="B536" s="5" t="s">
        <v>7</v>
      </c>
      <c r="C536" s="5" t="s">
        <v>24</v>
      </c>
      <c r="D536" s="5">
        <v>21</v>
      </c>
      <c r="E536" s="5">
        <v>1687</v>
      </c>
      <c r="F536" s="5">
        <v>35427</v>
      </c>
      <c r="G536" s="6">
        <f t="shared" ca="1" si="24"/>
        <v>45377</v>
      </c>
      <c r="H536" s="4" t="str">
        <f t="shared" ca="1" si="25"/>
        <v>March</v>
      </c>
      <c r="I536" t="str">
        <f t="shared" ca="1" si="26"/>
        <v>2024</v>
      </c>
      <c r="L536" s="4"/>
    </row>
    <row r="537" spans="1:12" x14ac:dyDescent="0.4">
      <c r="A537" s="5" t="s">
        <v>9</v>
      </c>
      <c r="B537" s="5" t="s">
        <v>12</v>
      </c>
      <c r="C537" s="5" t="s">
        <v>8</v>
      </c>
      <c r="D537" s="5">
        <v>39</v>
      </c>
      <c r="E537" s="5">
        <v>808</v>
      </c>
      <c r="F537" s="5">
        <v>31512</v>
      </c>
      <c r="G537" s="6">
        <f t="shared" ca="1" si="24"/>
        <v>45957</v>
      </c>
      <c r="H537" s="4" t="str">
        <f t="shared" ca="1" si="25"/>
        <v>October</v>
      </c>
      <c r="I537" t="str">
        <f t="shared" ca="1" si="26"/>
        <v>2025</v>
      </c>
      <c r="L537" s="4"/>
    </row>
    <row r="538" spans="1:12" x14ac:dyDescent="0.4">
      <c r="A538" s="5" t="s">
        <v>19</v>
      </c>
      <c r="B538" s="5" t="s">
        <v>15</v>
      </c>
      <c r="C538" s="5" t="s">
        <v>20</v>
      </c>
      <c r="D538" s="5">
        <v>40</v>
      </c>
      <c r="E538" s="5">
        <v>1763</v>
      </c>
      <c r="F538" s="5">
        <v>70520</v>
      </c>
      <c r="G538" s="6">
        <f t="shared" ca="1" si="24"/>
        <v>45931</v>
      </c>
      <c r="H538" s="4" t="str">
        <f t="shared" ca="1" si="25"/>
        <v>October</v>
      </c>
      <c r="I538" t="str">
        <f t="shared" ca="1" si="26"/>
        <v>2025</v>
      </c>
      <c r="L538" s="4"/>
    </row>
    <row r="539" spans="1:12" x14ac:dyDescent="0.4">
      <c r="A539" s="5" t="s">
        <v>17</v>
      </c>
      <c r="B539" s="5" t="s">
        <v>21</v>
      </c>
      <c r="C539" s="5" t="s">
        <v>20</v>
      </c>
      <c r="D539" s="5">
        <v>42</v>
      </c>
      <c r="E539" s="5">
        <v>1160</v>
      </c>
      <c r="F539" s="5">
        <v>48720</v>
      </c>
      <c r="G539" s="6">
        <f t="shared" ca="1" si="24"/>
        <v>45370</v>
      </c>
      <c r="H539" s="4" t="str">
        <f t="shared" ca="1" si="25"/>
        <v>March</v>
      </c>
      <c r="I539" t="str">
        <f t="shared" ca="1" si="26"/>
        <v>2024</v>
      </c>
      <c r="L539" s="4"/>
    </row>
    <row r="540" spans="1:12" x14ac:dyDescent="0.4">
      <c r="A540" s="5" t="s">
        <v>6</v>
      </c>
      <c r="B540" s="5" t="s">
        <v>21</v>
      </c>
      <c r="C540" s="5" t="s">
        <v>22</v>
      </c>
      <c r="D540" s="5">
        <v>19</v>
      </c>
      <c r="E540" s="5">
        <v>1814</v>
      </c>
      <c r="F540" s="5">
        <v>34466</v>
      </c>
      <c r="G540" s="6">
        <f t="shared" ca="1" si="24"/>
        <v>45404</v>
      </c>
      <c r="H540" s="4" t="str">
        <f t="shared" ca="1" si="25"/>
        <v>April</v>
      </c>
      <c r="I540" t="str">
        <f t="shared" ca="1" si="26"/>
        <v>2024</v>
      </c>
      <c r="L540" s="4"/>
    </row>
    <row r="541" spans="1:12" x14ac:dyDescent="0.4">
      <c r="A541" s="5" t="s">
        <v>6</v>
      </c>
      <c r="B541" s="5" t="s">
        <v>12</v>
      </c>
      <c r="C541" s="5" t="s">
        <v>20</v>
      </c>
      <c r="D541" s="5">
        <v>4</v>
      </c>
      <c r="E541" s="5">
        <v>975</v>
      </c>
      <c r="F541" s="5">
        <v>3900</v>
      </c>
      <c r="G541" s="6">
        <f t="shared" ca="1" si="24"/>
        <v>45841</v>
      </c>
      <c r="H541" s="4" t="str">
        <f t="shared" ca="1" si="25"/>
        <v>July</v>
      </c>
      <c r="I541" t="str">
        <f t="shared" ca="1" si="26"/>
        <v>2025</v>
      </c>
      <c r="L541" s="4"/>
    </row>
    <row r="542" spans="1:12" x14ac:dyDescent="0.4">
      <c r="A542" s="5" t="s">
        <v>19</v>
      </c>
      <c r="B542" s="5" t="s">
        <v>15</v>
      </c>
      <c r="C542" s="5" t="s">
        <v>20</v>
      </c>
      <c r="D542" s="5">
        <v>42</v>
      </c>
      <c r="E542" s="5">
        <v>1677</v>
      </c>
      <c r="F542" s="5">
        <v>70434</v>
      </c>
      <c r="G542" s="6">
        <f t="shared" ca="1" si="24"/>
        <v>45915</v>
      </c>
      <c r="H542" s="4" t="str">
        <f t="shared" ca="1" si="25"/>
        <v>September</v>
      </c>
      <c r="I542" t="str">
        <f t="shared" ca="1" si="26"/>
        <v>2025</v>
      </c>
      <c r="L542" s="4"/>
    </row>
    <row r="543" spans="1:12" x14ac:dyDescent="0.4">
      <c r="A543" s="5" t="s">
        <v>19</v>
      </c>
      <c r="B543" s="5" t="s">
        <v>12</v>
      </c>
      <c r="C543" s="5" t="s">
        <v>8</v>
      </c>
      <c r="D543" s="5">
        <v>2</v>
      </c>
      <c r="E543" s="5">
        <v>281</v>
      </c>
      <c r="F543" s="5">
        <v>562</v>
      </c>
      <c r="G543" s="6">
        <f t="shared" ca="1" si="24"/>
        <v>45530</v>
      </c>
      <c r="H543" s="4" t="str">
        <f t="shared" ca="1" si="25"/>
        <v>August</v>
      </c>
      <c r="I543" t="str">
        <f t="shared" ca="1" si="26"/>
        <v>2024</v>
      </c>
      <c r="L543" s="4"/>
    </row>
    <row r="544" spans="1:12" x14ac:dyDescent="0.4">
      <c r="A544" s="5" t="s">
        <v>19</v>
      </c>
      <c r="B544" s="5" t="s">
        <v>15</v>
      </c>
      <c r="C544" s="5" t="s">
        <v>11</v>
      </c>
      <c r="D544" s="5">
        <v>40</v>
      </c>
      <c r="E544" s="5">
        <v>1623</v>
      </c>
      <c r="F544" s="5">
        <v>64920</v>
      </c>
      <c r="G544" s="6">
        <f t="shared" ca="1" si="24"/>
        <v>45478</v>
      </c>
      <c r="H544" s="4" t="str">
        <f t="shared" ca="1" si="25"/>
        <v>July</v>
      </c>
      <c r="I544" t="str">
        <f t="shared" ca="1" si="26"/>
        <v>2024</v>
      </c>
      <c r="L544" s="4"/>
    </row>
    <row r="545" spans="1:12" x14ac:dyDescent="0.4">
      <c r="A545" s="5" t="s">
        <v>17</v>
      </c>
      <c r="B545" s="5" t="s">
        <v>15</v>
      </c>
      <c r="C545" s="5" t="s">
        <v>14</v>
      </c>
      <c r="D545" s="5">
        <v>28</v>
      </c>
      <c r="E545" s="5">
        <v>392</v>
      </c>
      <c r="F545" s="5">
        <v>10976</v>
      </c>
      <c r="G545" s="6">
        <f t="shared" ca="1" si="24"/>
        <v>45813</v>
      </c>
      <c r="H545" s="4" t="str">
        <f t="shared" ca="1" si="25"/>
        <v>June</v>
      </c>
      <c r="I545" t="str">
        <f t="shared" ca="1" si="26"/>
        <v>2025</v>
      </c>
      <c r="L545" s="4"/>
    </row>
    <row r="546" spans="1:12" x14ac:dyDescent="0.4">
      <c r="A546" s="5" t="s">
        <v>9</v>
      </c>
      <c r="B546" s="5" t="s">
        <v>7</v>
      </c>
      <c r="C546" s="5" t="s">
        <v>22</v>
      </c>
      <c r="D546" s="5">
        <v>47</v>
      </c>
      <c r="E546" s="5">
        <v>438</v>
      </c>
      <c r="F546" s="5">
        <v>20586</v>
      </c>
      <c r="G546" s="6">
        <f t="shared" ca="1" si="24"/>
        <v>45764</v>
      </c>
      <c r="H546" s="4" t="str">
        <f t="shared" ca="1" si="25"/>
        <v>April</v>
      </c>
      <c r="I546" t="str">
        <f t="shared" ca="1" si="26"/>
        <v>2025</v>
      </c>
      <c r="L546" s="4"/>
    </row>
    <row r="547" spans="1:12" x14ac:dyDescent="0.4">
      <c r="A547" s="5" t="s">
        <v>6</v>
      </c>
      <c r="B547" s="5" t="s">
        <v>21</v>
      </c>
      <c r="C547" s="5" t="s">
        <v>11</v>
      </c>
      <c r="D547" s="5">
        <v>30</v>
      </c>
      <c r="E547" s="5">
        <v>1211</v>
      </c>
      <c r="F547" s="5">
        <v>36330</v>
      </c>
      <c r="G547" s="6">
        <f t="shared" ca="1" si="24"/>
        <v>45403</v>
      </c>
      <c r="H547" s="4" t="str">
        <f t="shared" ca="1" si="25"/>
        <v>April</v>
      </c>
      <c r="I547" t="str">
        <f t="shared" ca="1" si="26"/>
        <v>2024</v>
      </c>
      <c r="L547" s="4"/>
    </row>
    <row r="548" spans="1:12" x14ac:dyDescent="0.4">
      <c r="A548" s="5" t="s">
        <v>17</v>
      </c>
      <c r="B548" s="5" t="s">
        <v>21</v>
      </c>
      <c r="C548" s="5" t="s">
        <v>24</v>
      </c>
      <c r="D548" s="5">
        <v>7</v>
      </c>
      <c r="E548" s="5">
        <v>923</v>
      </c>
      <c r="F548" s="5">
        <v>6461</v>
      </c>
      <c r="G548" s="6">
        <f t="shared" ca="1" si="24"/>
        <v>45523</v>
      </c>
      <c r="H548" s="4" t="str">
        <f t="shared" ca="1" si="25"/>
        <v>August</v>
      </c>
      <c r="I548" t="str">
        <f t="shared" ca="1" si="26"/>
        <v>2024</v>
      </c>
      <c r="L548" s="4"/>
    </row>
    <row r="549" spans="1:12" x14ac:dyDescent="0.4">
      <c r="A549" s="5" t="s">
        <v>17</v>
      </c>
      <c r="B549" s="5" t="s">
        <v>7</v>
      </c>
      <c r="C549" s="5" t="s">
        <v>18</v>
      </c>
      <c r="D549" s="5">
        <v>23</v>
      </c>
      <c r="E549" s="5">
        <v>733</v>
      </c>
      <c r="F549" s="5">
        <v>16859</v>
      </c>
      <c r="G549" s="6">
        <f t="shared" ca="1" si="24"/>
        <v>45760</v>
      </c>
      <c r="H549" s="4" t="str">
        <f t="shared" ca="1" si="25"/>
        <v>April</v>
      </c>
      <c r="I549" t="str">
        <f t="shared" ca="1" si="26"/>
        <v>2025</v>
      </c>
      <c r="L549" s="4"/>
    </row>
    <row r="550" spans="1:12" x14ac:dyDescent="0.4">
      <c r="A550" s="5" t="s">
        <v>17</v>
      </c>
      <c r="B550" s="5" t="s">
        <v>7</v>
      </c>
      <c r="C550" s="5" t="s">
        <v>20</v>
      </c>
      <c r="D550" s="5">
        <v>17</v>
      </c>
      <c r="E550" s="5">
        <v>416</v>
      </c>
      <c r="F550" s="5">
        <v>7072</v>
      </c>
      <c r="G550" s="6">
        <f t="shared" ca="1" si="24"/>
        <v>45540</v>
      </c>
      <c r="H550" s="4" t="str">
        <f t="shared" ca="1" si="25"/>
        <v>September</v>
      </c>
      <c r="I550" t="str">
        <f t="shared" ca="1" si="26"/>
        <v>2024</v>
      </c>
      <c r="L550" s="4"/>
    </row>
    <row r="551" spans="1:12" x14ac:dyDescent="0.4">
      <c r="A551" s="5" t="s">
        <v>17</v>
      </c>
      <c r="B551" s="5" t="s">
        <v>10</v>
      </c>
      <c r="C551" s="5" t="s">
        <v>16</v>
      </c>
      <c r="D551" s="5">
        <v>33</v>
      </c>
      <c r="E551" s="5">
        <v>1046</v>
      </c>
      <c r="F551" s="5">
        <v>34518</v>
      </c>
      <c r="G551" s="6">
        <f t="shared" ca="1" si="24"/>
        <v>45606</v>
      </c>
      <c r="H551" s="4" t="str">
        <f t="shared" ca="1" si="25"/>
        <v>November</v>
      </c>
      <c r="I551" t="str">
        <f t="shared" ca="1" si="26"/>
        <v>2024</v>
      </c>
      <c r="L551" s="4"/>
    </row>
    <row r="552" spans="1:12" x14ac:dyDescent="0.4">
      <c r="A552" s="5" t="s">
        <v>9</v>
      </c>
      <c r="B552" s="5" t="s">
        <v>7</v>
      </c>
      <c r="C552" s="5" t="s">
        <v>8</v>
      </c>
      <c r="D552" s="5">
        <v>5</v>
      </c>
      <c r="E552" s="5">
        <v>769</v>
      </c>
      <c r="F552" s="5">
        <v>3845</v>
      </c>
      <c r="G552" s="6">
        <f t="shared" ca="1" si="24"/>
        <v>45489</v>
      </c>
      <c r="H552" s="4" t="str">
        <f t="shared" ca="1" si="25"/>
        <v>July</v>
      </c>
      <c r="I552" t="str">
        <f t="shared" ca="1" si="26"/>
        <v>2024</v>
      </c>
      <c r="L552" s="4"/>
    </row>
    <row r="553" spans="1:12" x14ac:dyDescent="0.4">
      <c r="A553" s="5" t="s">
        <v>19</v>
      </c>
      <c r="B553" s="5" t="s">
        <v>10</v>
      </c>
      <c r="C553" s="5" t="s">
        <v>8</v>
      </c>
      <c r="D553" s="5">
        <v>36</v>
      </c>
      <c r="E553" s="5">
        <v>392</v>
      </c>
      <c r="F553" s="5">
        <v>14112</v>
      </c>
      <c r="G553" s="6">
        <f t="shared" ca="1" si="24"/>
        <v>45544</v>
      </c>
      <c r="H553" s="4" t="str">
        <f t="shared" ca="1" si="25"/>
        <v>September</v>
      </c>
      <c r="I553" t="str">
        <f t="shared" ca="1" si="26"/>
        <v>2024</v>
      </c>
      <c r="L553" s="4"/>
    </row>
    <row r="554" spans="1:12" x14ac:dyDescent="0.4">
      <c r="A554" s="5" t="s">
        <v>9</v>
      </c>
      <c r="B554" s="5" t="s">
        <v>21</v>
      </c>
      <c r="C554" s="5" t="s">
        <v>11</v>
      </c>
      <c r="D554" s="5">
        <v>44</v>
      </c>
      <c r="E554" s="5">
        <v>926</v>
      </c>
      <c r="F554" s="5">
        <v>40744</v>
      </c>
      <c r="G554" s="6">
        <f t="shared" ca="1" si="24"/>
        <v>45371</v>
      </c>
      <c r="H554" s="4" t="str">
        <f t="shared" ca="1" si="25"/>
        <v>March</v>
      </c>
      <c r="I554" t="str">
        <f t="shared" ca="1" si="26"/>
        <v>2024</v>
      </c>
      <c r="L554" s="4"/>
    </row>
    <row r="555" spans="1:12" x14ac:dyDescent="0.4">
      <c r="A555" s="5" t="s">
        <v>9</v>
      </c>
      <c r="B555" s="5" t="s">
        <v>12</v>
      </c>
      <c r="C555" s="5" t="s">
        <v>11</v>
      </c>
      <c r="D555" s="5">
        <v>33</v>
      </c>
      <c r="E555" s="5">
        <v>904</v>
      </c>
      <c r="F555" s="5">
        <v>29832</v>
      </c>
      <c r="G555" s="6">
        <f t="shared" ca="1" si="24"/>
        <v>45893</v>
      </c>
      <c r="H555" s="4" t="str">
        <f t="shared" ca="1" si="25"/>
        <v>August</v>
      </c>
      <c r="I555" t="str">
        <f t="shared" ca="1" si="26"/>
        <v>2025</v>
      </c>
      <c r="L555" s="4"/>
    </row>
    <row r="556" spans="1:12" x14ac:dyDescent="0.4">
      <c r="A556" s="5" t="s">
        <v>19</v>
      </c>
      <c r="B556" s="5" t="s">
        <v>12</v>
      </c>
      <c r="C556" s="5" t="s">
        <v>13</v>
      </c>
      <c r="D556" s="5">
        <v>19</v>
      </c>
      <c r="E556" s="5">
        <v>337</v>
      </c>
      <c r="F556" s="5">
        <v>6403</v>
      </c>
      <c r="G556" s="6">
        <f t="shared" ca="1" si="24"/>
        <v>45765</v>
      </c>
      <c r="H556" s="4" t="str">
        <f t="shared" ca="1" si="25"/>
        <v>April</v>
      </c>
      <c r="I556" t="str">
        <f t="shared" ca="1" si="26"/>
        <v>2025</v>
      </c>
      <c r="L556" s="4"/>
    </row>
    <row r="557" spans="1:12" x14ac:dyDescent="0.4">
      <c r="A557" s="5" t="s">
        <v>17</v>
      </c>
      <c r="B557" s="5" t="s">
        <v>7</v>
      </c>
      <c r="C557" s="5" t="s">
        <v>8</v>
      </c>
      <c r="D557" s="5">
        <v>7</v>
      </c>
      <c r="E557" s="5">
        <v>1491</v>
      </c>
      <c r="F557" s="5">
        <v>10437</v>
      </c>
      <c r="G557" s="6">
        <f t="shared" ca="1" si="24"/>
        <v>45934</v>
      </c>
      <c r="H557" s="4" t="str">
        <f t="shared" ca="1" si="25"/>
        <v>October</v>
      </c>
      <c r="I557" t="str">
        <f t="shared" ca="1" si="26"/>
        <v>2025</v>
      </c>
      <c r="L557" s="4"/>
    </row>
    <row r="558" spans="1:12" x14ac:dyDescent="0.4">
      <c r="A558" s="5" t="s">
        <v>17</v>
      </c>
      <c r="B558" s="5" t="s">
        <v>12</v>
      </c>
      <c r="C558" s="5" t="s">
        <v>13</v>
      </c>
      <c r="D558" s="5">
        <v>26</v>
      </c>
      <c r="E558" s="5">
        <v>748</v>
      </c>
      <c r="F558" s="5">
        <v>19448</v>
      </c>
      <c r="G558" s="6">
        <f t="shared" ca="1" si="24"/>
        <v>45633</v>
      </c>
      <c r="H558" s="4" t="str">
        <f t="shared" ca="1" si="25"/>
        <v>December</v>
      </c>
      <c r="I558" t="str">
        <f t="shared" ca="1" si="26"/>
        <v>2024</v>
      </c>
      <c r="L558" s="4"/>
    </row>
    <row r="559" spans="1:12" x14ac:dyDescent="0.4">
      <c r="A559" s="5" t="s">
        <v>19</v>
      </c>
      <c r="B559" s="5" t="s">
        <v>15</v>
      </c>
      <c r="C559" s="5" t="s">
        <v>18</v>
      </c>
      <c r="D559" s="5">
        <v>8</v>
      </c>
      <c r="E559" s="5">
        <v>882</v>
      </c>
      <c r="F559" s="5">
        <v>7056</v>
      </c>
      <c r="G559" s="6">
        <f t="shared" ca="1" si="24"/>
        <v>45312</v>
      </c>
      <c r="H559" s="4" t="str">
        <f t="shared" ca="1" si="25"/>
        <v>January</v>
      </c>
      <c r="I559" t="str">
        <f t="shared" ca="1" si="26"/>
        <v>2024</v>
      </c>
      <c r="L559" s="4"/>
    </row>
    <row r="560" spans="1:12" x14ac:dyDescent="0.4">
      <c r="A560" s="5" t="s">
        <v>9</v>
      </c>
      <c r="B560" s="5" t="s">
        <v>7</v>
      </c>
      <c r="C560" s="5" t="s">
        <v>24</v>
      </c>
      <c r="D560" s="5">
        <v>6</v>
      </c>
      <c r="E560" s="5">
        <v>893</v>
      </c>
      <c r="F560" s="5">
        <v>5358</v>
      </c>
      <c r="G560" s="6">
        <f t="shared" ca="1" si="24"/>
        <v>45653</v>
      </c>
      <c r="H560" s="4" t="str">
        <f t="shared" ca="1" si="25"/>
        <v>December</v>
      </c>
      <c r="I560" t="str">
        <f t="shared" ca="1" si="26"/>
        <v>2024</v>
      </c>
      <c r="L560" s="4"/>
    </row>
    <row r="561" spans="1:12" x14ac:dyDescent="0.4">
      <c r="A561" s="5" t="s">
        <v>19</v>
      </c>
      <c r="B561" s="5" t="s">
        <v>15</v>
      </c>
      <c r="C561" s="5" t="s">
        <v>18</v>
      </c>
      <c r="D561" s="5">
        <v>13</v>
      </c>
      <c r="E561" s="5">
        <v>751</v>
      </c>
      <c r="F561" s="5">
        <v>9763</v>
      </c>
      <c r="G561" s="6">
        <f t="shared" ca="1" si="24"/>
        <v>45325</v>
      </c>
      <c r="H561" s="4" t="str">
        <f t="shared" ca="1" si="25"/>
        <v>February</v>
      </c>
      <c r="I561" t="str">
        <f t="shared" ca="1" si="26"/>
        <v>2024</v>
      </c>
      <c r="L561" s="4"/>
    </row>
    <row r="562" spans="1:12" x14ac:dyDescent="0.4">
      <c r="A562" s="5" t="s">
        <v>19</v>
      </c>
      <c r="B562" s="5" t="s">
        <v>21</v>
      </c>
      <c r="C562" s="5" t="s">
        <v>18</v>
      </c>
      <c r="D562" s="5">
        <v>29</v>
      </c>
      <c r="E562" s="5">
        <v>1933</v>
      </c>
      <c r="F562" s="5">
        <v>56057</v>
      </c>
      <c r="G562" s="6">
        <f t="shared" ca="1" si="24"/>
        <v>45608</v>
      </c>
      <c r="H562" s="4" t="str">
        <f t="shared" ca="1" si="25"/>
        <v>November</v>
      </c>
      <c r="I562" t="str">
        <f t="shared" ca="1" si="26"/>
        <v>2024</v>
      </c>
      <c r="L562" s="4"/>
    </row>
    <row r="563" spans="1:12" x14ac:dyDescent="0.4">
      <c r="A563" s="5" t="s">
        <v>19</v>
      </c>
      <c r="B563" s="5" t="s">
        <v>12</v>
      </c>
      <c r="C563" s="5" t="s">
        <v>22</v>
      </c>
      <c r="D563" s="5">
        <v>22</v>
      </c>
      <c r="E563" s="5">
        <v>1439</v>
      </c>
      <c r="F563" s="5">
        <v>31658</v>
      </c>
      <c r="G563" s="6">
        <f t="shared" ca="1" si="24"/>
        <v>45578</v>
      </c>
      <c r="H563" s="4" t="str">
        <f t="shared" ca="1" si="25"/>
        <v>October</v>
      </c>
      <c r="I563" t="str">
        <f t="shared" ca="1" si="26"/>
        <v>2024</v>
      </c>
      <c r="L563" s="4"/>
    </row>
    <row r="564" spans="1:12" x14ac:dyDescent="0.4">
      <c r="A564" s="5" t="s">
        <v>17</v>
      </c>
      <c r="B564" s="5" t="s">
        <v>21</v>
      </c>
      <c r="C564" s="5" t="s">
        <v>22</v>
      </c>
      <c r="D564" s="5">
        <v>40</v>
      </c>
      <c r="E564" s="5">
        <v>483</v>
      </c>
      <c r="F564" s="5">
        <v>19320</v>
      </c>
      <c r="G564" s="6">
        <f t="shared" ca="1" si="24"/>
        <v>45446</v>
      </c>
      <c r="H564" s="4" t="str">
        <f t="shared" ca="1" si="25"/>
        <v>June</v>
      </c>
      <c r="I564" t="str">
        <f t="shared" ca="1" si="26"/>
        <v>2024</v>
      </c>
      <c r="L564" s="4"/>
    </row>
    <row r="565" spans="1:12" x14ac:dyDescent="0.4">
      <c r="A565" s="5" t="s">
        <v>6</v>
      </c>
      <c r="B565" s="5" t="s">
        <v>15</v>
      </c>
      <c r="C565" s="5" t="s">
        <v>23</v>
      </c>
      <c r="D565" s="5">
        <v>25</v>
      </c>
      <c r="E565" s="5">
        <v>760</v>
      </c>
      <c r="F565" s="5">
        <v>19000</v>
      </c>
      <c r="G565" s="6">
        <f t="shared" ca="1" si="24"/>
        <v>45599</v>
      </c>
      <c r="H565" s="4" t="str">
        <f t="shared" ca="1" si="25"/>
        <v>November</v>
      </c>
      <c r="I565" t="str">
        <f t="shared" ca="1" si="26"/>
        <v>2024</v>
      </c>
      <c r="L565" s="4"/>
    </row>
    <row r="566" spans="1:12" x14ac:dyDescent="0.4">
      <c r="A566" s="5" t="s">
        <v>9</v>
      </c>
      <c r="B566" s="5" t="s">
        <v>10</v>
      </c>
      <c r="C566" s="5" t="s">
        <v>20</v>
      </c>
      <c r="D566" s="5">
        <v>33</v>
      </c>
      <c r="E566" s="5">
        <v>1993</v>
      </c>
      <c r="F566" s="5">
        <v>65769</v>
      </c>
      <c r="G566" s="6">
        <f t="shared" ca="1" si="24"/>
        <v>45690</v>
      </c>
      <c r="H566" s="4" t="str">
        <f t="shared" ca="1" si="25"/>
        <v>February</v>
      </c>
      <c r="I566" t="str">
        <f t="shared" ca="1" si="26"/>
        <v>2025</v>
      </c>
      <c r="L566" s="4"/>
    </row>
    <row r="567" spans="1:12" x14ac:dyDescent="0.4">
      <c r="A567" s="5" t="s">
        <v>19</v>
      </c>
      <c r="B567" s="5" t="s">
        <v>15</v>
      </c>
      <c r="C567" s="5" t="s">
        <v>18</v>
      </c>
      <c r="D567" s="5">
        <v>44</v>
      </c>
      <c r="E567" s="5">
        <v>339</v>
      </c>
      <c r="F567" s="5">
        <v>14916</v>
      </c>
      <c r="G567" s="6">
        <f t="shared" ca="1" si="24"/>
        <v>45420</v>
      </c>
      <c r="H567" s="4" t="str">
        <f t="shared" ca="1" si="25"/>
        <v>May</v>
      </c>
      <c r="I567" t="str">
        <f t="shared" ca="1" si="26"/>
        <v>2024</v>
      </c>
      <c r="L567" s="4"/>
    </row>
    <row r="568" spans="1:12" x14ac:dyDescent="0.4">
      <c r="A568" s="5" t="s">
        <v>6</v>
      </c>
      <c r="B568" s="5" t="s">
        <v>12</v>
      </c>
      <c r="C568" s="5" t="s">
        <v>8</v>
      </c>
      <c r="D568" s="5">
        <v>47</v>
      </c>
      <c r="E568" s="5">
        <v>464</v>
      </c>
      <c r="F568" s="5">
        <v>21808</v>
      </c>
      <c r="G568" s="6">
        <f t="shared" ca="1" si="24"/>
        <v>45813</v>
      </c>
      <c r="H568" s="4" t="str">
        <f t="shared" ca="1" si="25"/>
        <v>June</v>
      </c>
      <c r="I568" t="str">
        <f t="shared" ca="1" si="26"/>
        <v>2025</v>
      </c>
      <c r="L568" s="4"/>
    </row>
    <row r="569" spans="1:12" x14ac:dyDescent="0.4">
      <c r="A569" s="5" t="s">
        <v>9</v>
      </c>
      <c r="B569" s="5" t="s">
        <v>12</v>
      </c>
      <c r="C569" s="5" t="s">
        <v>8</v>
      </c>
      <c r="D569" s="5">
        <v>15</v>
      </c>
      <c r="E569" s="5">
        <v>1560</v>
      </c>
      <c r="F569" s="5">
        <v>23400</v>
      </c>
      <c r="G569" s="6">
        <f t="shared" ca="1" si="24"/>
        <v>45862</v>
      </c>
      <c r="H569" s="4" t="str">
        <f t="shared" ca="1" si="25"/>
        <v>July</v>
      </c>
      <c r="I569" t="str">
        <f t="shared" ca="1" si="26"/>
        <v>2025</v>
      </c>
      <c r="L569" s="4"/>
    </row>
    <row r="570" spans="1:12" x14ac:dyDescent="0.4">
      <c r="A570" s="5" t="s">
        <v>6</v>
      </c>
      <c r="B570" s="5" t="s">
        <v>10</v>
      </c>
      <c r="C570" s="5" t="s">
        <v>13</v>
      </c>
      <c r="D570" s="5">
        <v>50</v>
      </c>
      <c r="E570" s="5">
        <v>358</v>
      </c>
      <c r="F570" s="5">
        <v>17900</v>
      </c>
      <c r="G570" s="6">
        <f t="shared" ca="1" si="24"/>
        <v>45787</v>
      </c>
      <c r="H570" s="4" t="str">
        <f t="shared" ca="1" si="25"/>
        <v>May</v>
      </c>
      <c r="I570" t="str">
        <f t="shared" ca="1" si="26"/>
        <v>2025</v>
      </c>
      <c r="L570" s="4"/>
    </row>
    <row r="571" spans="1:12" x14ac:dyDescent="0.4">
      <c r="A571" s="5" t="s">
        <v>19</v>
      </c>
      <c r="B571" s="5" t="s">
        <v>7</v>
      </c>
      <c r="C571" s="5" t="s">
        <v>22</v>
      </c>
      <c r="D571" s="5">
        <v>43</v>
      </c>
      <c r="E571" s="5">
        <v>1524</v>
      </c>
      <c r="F571" s="5">
        <v>65532</v>
      </c>
      <c r="G571" s="6">
        <f t="shared" ca="1" si="24"/>
        <v>45977</v>
      </c>
      <c r="H571" s="4" t="str">
        <f t="shared" ca="1" si="25"/>
        <v>November</v>
      </c>
      <c r="I571" t="str">
        <f t="shared" ca="1" si="26"/>
        <v>2025</v>
      </c>
      <c r="L571" s="4"/>
    </row>
    <row r="572" spans="1:12" x14ac:dyDescent="0.4">
      <c r="A572" s="5" t="s">
        <v>19</v>
      </c>
      <c r="B572" s="5" t="s">
        <v>12</v>
      </c>
      <c r="C572" s="5" t="s">
        <v>16</v>
      </c>
      <c r="D572" s="5">
        <v>19</v>
      </c>
      <c r="E572" s="5">
        <v>1488</v>
      </c>
      <c r="F572" s="5">
        <v>28272</v>
      </c>
      <c r="G572" s="6">
        <f t="shared" ca="1" si="24"/>
        <v>45896</v>
      </c>
      <c r="H572" s="4" t="str">
        <f t="shared" ca="1" si="25"/>
        <v>August</v>
      </c>
      <c r="I572" t="str">
        <f t="shared" ca="1" si="26"/>
        <v>2025</v>
      </c>
      <c r="L572" s="4"/>
    </row>
    <row r="573" spans="1:12" x14ac:dyDescent="0.4">
      <c r="A573" s="5" t="s">
        <v>9</v>
      </c>
      <c r="B573" s="5" t="s">
        <v>15</v>
      </c>
      <c r="C573" s="5" t="s">
        <v>14</v>
      </c>
      <c r="D573" s="5">
        <v>14</v>
      </c>
      <c r="E573" s="5">
        <v>1386</v>
      </c>
      <c r="F573" s="5">
        <v>19404</v>
      </c>
      <c r="G573" s="6">
        <f t="shared" ca="1" si="24"/>
        <v>45409</v>
      </c>
      <c r="H573" s="4" t="str">
        <f t="shared" ca="1" si="25"/>
        <v>April</v>
      </c>
      <c r="I573" t="str">
        <f t="shared" ca="1" si="26"/>
        <v>2024</v>
      </c>
      <c r="L573" s="4"/>
    </row>
    <row r="574" spans="1:12" x14ac:dyDescent="0.4">
      <c r="A574" s="5" t="s">
        <v>6</v>
      </c>
      <c r="B574" s="5" t="s">
        <v>21</v>
      </c>
      <c r="C574" s="5" t="s">
        <v>23</v>
      </c>
      <c r="D574" s="5">
        <v>25</v>
      </c>
      <c r="E574" s="5">
        <v>620</v>
      </c>
      <c r="F574" s="5">
        <v>15500</v>
      </c>
      <c r="G574" s="6">
        <f t="shared" ca="1" si="24"/>
        <v>45745</v>
      </c>
      <c r="H574" s="4" t="str">
        <f t="shared" ca="1" si="25"/>
        <v>March</v>
      </c>
      <c r="I574" t="str">
        <f t="shared" ca="1" si="26"/>
        <v>2025</v>
      </c>
      <c r="L574" s="4"/>
    </row>
    <row r="575" spans="1:12" x14ac:dyDescent="0.4">
      <c r="A575" s="5" t="s">
        <v>19</v>
      </c>
      <c r="B575" s="5" t="s">
        <v>10</v>
      </c>
      <c r="C575" s="5" t="s">
        <v>11</v>
      </c>
      <c r="D575" s="5">
        <v>48</v>
      </c>
      <c r="E575" s="5">
        <v>581</v>
      </c>
      <c r="F575" s="5">
        <v>27888</v>
      </c>
      <c r="G575" s="6">
        <f t="shared" ca="1" si="24"/>
        <v>45456</v>
      </c>
      <c r="H575" s="4" t="str">
        <f t="shared" ca="1" si="25"/>
        <v>June</v>
      </c>
      <c r="I575" t="str">
        <f t="shared" ca="1" si="26"/>
        <v>2024</v>
      </c>
      <c r="L575" s="4"/>
    </row>
    <row r="576" spans="1:12" x14ac:dyDescent="0.4">
      <c r="A576" s="5" t="s">
        <v>6</v>
      </c>
      <c r="B576" s="5" t="s">
        <v>15</v>
      </c>
      <c r="C576" s="5" t="s">
        <v>24</v>
      </c>
      <c r="D576" s="5">
        <v>15</v>
      </c>
      <c r="E576" s="5">
        <v>1938</v>
      </c>
      <c r="F576" s="5">
        <v>29070</v>
      </c>
      <c r="G576" s="6">
        <f t="shared" ca="1" si="24"/>
        <v>45504</v>
      </c>
      <c r="H576" s="4" t="str">
        <f t="shared" ca="1" si="25"/>
        <v>July</v>
      </c>
      <c r="I576" t="str">
        <f t="shared" ca="1" si="26"/>
        <v>2024</v>
      </c>
      <c r="L576" s="4"/>
    </row>
    <row r="577" spans="1:12" x14ac:dyDescent="0.4">
      <c r="A577" s="5" t="s">
        <v>17</v>
      </c>
      <c r="B577" s="5" t="s">
        <v>12</v>
      </c>
      <c r="C577" s="5" t="s">
        <v>16</v>
      </c>
      <c r="D577" s="5">
        <v>32</v>
      </c>
      <c r="E577" s="5">
        <v>1025</v>
      </c>
      <c r="F577" s="5">
        <v>32800</v>
      </c>
      <c r="G577" s="6">
        <f t="shared" ca="1" si="24"/>
        <v>45751</v>
      </c>
      <c r="H577" s="4" t="str">
        <f t="shared" ca="1" si="25"/>
        <v>April</v>
      </c>
      <c r="I577" t="str">
        <f t="shared" ca="1" si="26"/>
        <v>2025</v>
      </c>
      <c r="L577" s="4"/>
    </row>
    <row r="578" spans="1:12" x14ac:dyDescent="0.4">
      <c r="A578" s="5" t="s">
        <v>17</v>
      </c>
      <c r="B578" s="5" t="s">
        <v>10</v>
      </c>
      <c r="C578" s="5" t="s">
        <v>22</v>
      </c>
      <c r="D578" s="5">
        <v>38</v>
      </c>
      <c r="E578" s="5">
        <v>800</v>
      </c>
      <c r="F578" s="5">
        <v>30400</v>
      </c>
      <c r="G578" s="6">
        <f t="shared" ca="1" si="24"/>
        <v>45918</v>
      </c>
      <c r="H578" s="4" t="str">
        <f t="shared" ca="1" si="25"/>
        <v>September</v>
      </c>
      <c r="I578" t="str">
        <f t="shared" ca="1" si="26"/>
        <v>2025</v>
      </c>
      <c r="L578" s="4"/>
    </row>
    <row r="579" spans="1:12" x14ac:dyDescent="0.4">
      <c r="A579" s="5" t="s">
        <v>17</v>
      </c>
      <c r="B579" s="5" t="s">
        <v>21</v>
      </c>
      <c r="C579" s="5" t="s">
        <v>24</v>
      </c>
      <c r="D579" s="5">
        <v>1</v>
      </c>
      <c r="E579" s="5">
        <v>876</v>
      </c>
      <c r="F579" s="5">
        <v>876</v>
      </c>
      <c r="G579" s="6">
        <f t="shared" ref="G579:G642" ca="1" si="27">RANDBETWEEN(DATE(2024,1,1),DATE(2025,12,31))</f>
        <v>45599</v>
      </c>
      <c r="H579" s="4" t="str">
        <f t="shared" ref="H579:H642" ca="1" si="28">TEXT(G579,"mmmm")</f>
        <v>November</v>
      </c>
      <c r="I579" t="str">
        <f t="shared" ref="I579:I642" ca="1" si="29">TEXT(G579,"yyyy")</f>
        <v>2024</v>
      </c>
      <c r="L579" s="4"/>
    </row>
    <row r="580" spans="1:12" x14ac:dyDescent="0.4">
      <c r="A580" s="5" t="s">
        <v>6</v>
      </c>
      <c r="B580" s="5" t="s">
        <v>7</v>
      </c>
      <c r="C580" s="5" t="s">
        <v>14</v>
      </c>
      <c r="D580" s="5">
        <v>46</v>
      </c>
      <c r="E580" s="5">
        <v>935</v>
      </c>
      <c r="F580" s="5">
        <v>43010</v>
      </c>
      <c r="G580" s="6">
        <f t="shared" ca="1" si="27"/>
        <v>45566</v>
      </c>
      <c r="H580" s="4" t="str">
        <f t="shared" ca="1" si="28"/>
        <v>October</v>
      </c>
      <c r="I580" t="str">
        <f t="shared" ca="1" si="29"/>
        <v>2024</v>
      </c>
      <c r="L580" s="4"/>
    </row>
    <row r="581" spans="1:12" x14ac:dyDescent="0.4">
      <c r="A581" s="5" t="s">
        <v>6</v>
      </c>
      <c r="B581" s="5" t="s">
        <v>10</v>
      </c>
      <c r="C581" s="5" t="s">
        <v>23</v>
      </c>
      <c r="D581" s="5">
        <v>3</v>
      </c>
      <c r="E581" s="5">
        <v>1615</v>
      </c>
      <c r="F581" s="5">
        <v>4845</v>
      </c>
      <c r="G581" s="6">
        <f t="shared" ca="1" si="27"/>
        <v>45428</v>
      </c>
      <c r="H581" s="4" t="str">
        <f t="shared" ca="1" si="28"/>
        <v>May</v>
      </c>
      <c r="I581" t="str">
        <f t="shared" ca="1" si="29"/>
        <v>2024</v>
      </c>
      <c r="L581" s="4"/>
    </row>
    <row r="582" spans="1:12" x14ac:dyDescent="0.4">
      <c r="A582" s="5" t="s">
        <v>9</v>
      </c>
      <c r="B582" s="5" t="s">
        <v>12</v>
      </c>
      <c r="C582" s="5" t="s">
        <v>14</v>
      </c>
      <c r="D582" s="5">
        <v>35</v>
      </c>
      <c r="E582" s="5">
        <v>1328</v>
      </c>
      <c r="F582" s="5">
        <v>46480</v>
      </c>
      <c r="G582" s="6">
        <f t="shared" ca="1" si="27"/>
        <v>45977</v>
      </c>
      <c r="H582" s="4" t="str">
        <f t="shared" ca="1" si="28"/>
        <v>November</v>
      </c>
      <c r="I582" t="str">
        <f t="shared" ca="1" si="29"/>
        <v>2025</v>
      </c>
      <c r="L582" s="4"/>
    </row>
    <row r="583" spans="1:12" x14ac:dyDescent="0.4">
      <c r="A583" s="5" t="s">
        <v>6</v>
      </c>
      <c r="B583" s="5" t="s">
        <v>7</v>
      </c>
      <c r="C583" s="5" t="s">
        <v>18</v>
      </c>
      <c r="D583" s="5">
        <v>31</v>
      </c>
      <c r="E583" s="5">
        <v>408</v>
      </c>
      <c r="F583" s="5">
        <v>12648</v>
      </c>
      <c r="G583" s="6">
        <f t="shared" ca="1" si="27"/>
        <v>45323</v>
      </c>
      <c r="H583" s="4" t="str">
        <f t="shared" ca="1" si="28"/>
        <v>February</v>
      </c>
      <c r="I583" t="str">
        <f t="shared" ca="1" si="29"/>
        <v>2024</v>
      </c>
      <c r="L583" s="4"/>
    </row>
    <row r="584" spans="1:12" x14ac:dyDescent="0.4">
      <c r="A584" s="5" t="s">
        <v>19</v>
      </c>
      <c r="B584" s="5" t="s">
        <v>21</v>
      </c>
      <c r="C584" s="5" t="s">
        <v>11</v>
      </c>
      <c r="D584" s="5">
        <v>17</v>
      </c>
      <c r="E584" s="5">
        <v>165</v>
      </c>
      <c r="F584" s="5">
        <v>2805</v>
      </c>
      <c r="G584" s="6">
        <f t="shared" ca="1" si="27"/>
        <v>45701</v>
      </c>
      <c r="H584" s="4" t="str">
        <f t="shared" ca="1" si="28"/>
        <v>February</v>
      </c>
      <c r="I584" t="str">
        <f t="shared" ca="1" si="29"/>
        <v>2025</v>
      </c>
      <c r="L584" s="4"/>
    </row>
    <row r="585" spans="1:12" x14ac:dyDescent="0.4">
      <c r="A585" s="5" t="s">
        <v>19</v>
      </c>
      <c r="B585" s="5" t="s">
        <v>10</v>
      </c>
      <c r="C585" s="5" t="s">
        <v>16</v>
      </c>
      <c r="D585" s="5">
        <v>9</v>
      </c>
      <c r="E585" s="5">
        <v>1754</v>
      </c>
      <c r="F585" s="5">
        <v>15786</v>
      </c>
      <c r="G585" s="6">
        <f t="shared" ca="1" si="27"/>
        <v>45682</v>
      </c>
      <c r="H585" s="4" t="str">
        <f t="shared" ca="1" si="28"/>
        <v>January</v>
      </c>
      <c r="I585" t="str">
        <f t="shared" ca="1" si="29"/>
        <v>2025</v>
      </c>
      <c r="L585" s="4"/>
    </row>
    <row r="586" spans="1:12" x14ac:dyDescent="0.4">
      <c r="A586" s="5" t="s">
        <v>17</v>
      </c>
      <c r="B586" s="5" t="s">
        <v>7</v>
      </c>
      <c r="C586" s="5" t="s">
        <v>16</v>
      </c>
      <c r="D586" s="5">
        <v>2</v>
      </c>
      <c r="E586" s="5">
        <v>1489</v>
      </c>
      <c r="F586" s="5">
        <v>2978</v>
      </c>
      <c r="G586" s="6">
        <f t="shared" ca="1" si="27"/>
        <v>45307</v>
      </c>
      <c r="H586" s="4" t="str">
        <f t="shared" ca="1" si="28"/>
        <v>January</v>
      </c>
      <c r="I586" t="str">
        <f t="shared" ca="1" si="29"/>
        <v>2024</v>
      </c>
      <c r="L586" s="4"/>
    </row>
    <row r="587" spans="1:12" x14ac:dyDescent="0.4">
      <c r="A587" s="5" t="s">
        <v>19</v>
      </c>
      <c r="B587" s="5" t="s">
        <v>21</v>
      </c>
      <c r="C587" s="5" t="s">
        <v>16</v>
      </c>
      <c r="D587" s="5">
        <v>20</v>
      </c>
      <c r="E587" s="5">
        <v>969</v>
      </c>
      <c r="F587" s="5">
        <v>19380</v>
      </c>
      <c r="G587" s="6">
        <f t="shared" ca="1" si="27"/>
        <v>45843</v>
      </c>
      <c r="H587" s="4" t="str">
        <f t="shared" ca="1" si="28"/>
        <v>July</v>
      </c>
      <c r="I587" t="str">
        <f t="shared" ca="1" si="29"/>
        <v>2025</v>
      </c>
      <c r="L587" s="4"/>
    </row>
    <row r="588" spans="1:12" x14ac:dyDescent="0.4">
      <c r="A588" s="5" t="s">
        <v>6</v>
      </c>
      <c r="B588" s="5" t="s">
        <v>12</v>
      </c>
      <c r="C588" s="5" t="s">
        <v>13</v>
      </c>
      <c r="D588" s="5">
        <v>13</v>
      </c>
      <c r="E588" s="5">
        <v>316</v>
      </c>
      <c r="F588" s="5">
        <v>4108</v>
      </c>
      <c r="G588" s="6">
        <f t="shared" ca="1" si="27"/>
        <v>45553</v>
      </c>
      <c r="H588" s="4" t="str">
        <f t="shared" ca="1" si="28"/>
        <v>September</v>
      </c>
      <c r="I588" t="str">
        <f t="shared" ca="1" si="29"/>
        <v>2024</v>
      </c>
      <c r="L588" s="4"/>
    </row>
    <row r="589" spans="1:12" x14ac:dyDescent="0.4">
      <c r="A589" s="5" t="s">
        <v>9</v>
      </c>
      <c r="B589" s="5" t="s">
        <v>21</v>
      </c>
      <c r="C589" s="5" t="s">
        <v>8</v>
      </c>
      <c r="D589" s="5">
        <v>29</v>
      </c>
      <c r="E589" s="5">
        <v>644</v>
      </c>
      <c r="F589" s="5">
        <v>18676</v>
      </c>
      <c r="G589" s="6">
        <f t="shared" ca="1" si="27"/>
        <v>45648</v>
      </c>
      <c r="H589" s="4" t="str">
        <f t="shared" ca="1" si="28"/>
        <v>December</v>
      </c>
      <c r="I589" t="str">
        <f t="shared" ca="1" si="29"/>
        <v>2024</v>
      </c>
      <c r="L589" s="4"/>
    </row>
    <row r="590" spans="1:12" x14ac:dyDescent="0.4">
      <c r="A590" s="5" t="s">
        <v>19</v>
      </c>
      <c r="B590" s="5" t="s">
        <v>7</v>
      </c>
      <c r="C590" s="5" t="s">
        <v>24</v>
      </c>
      <c r="D590" s="5">
        <v>19</v>
      </c>
      <c r="E590" s="5">
        <v>1216</v>
      </c>
      <c r="F590" s="5">
        <v>23104</v>
      </c>
      <c r="G590" s="6">
        <f t="shared" ca="1" si="27"/>
        <v>45741</v>
      </c>
      <c r="H590" s="4" t="str">
        <f t="shared" ca="1" si="28"/>
        <v>March</v>
      </c>
      <c r="I590" t="str">
        <f t="shared" ca="1" si="29"/>
        <v>2025</v>
      </c>
      <c r="L590" s="4"/>
    </row>
    <row r="591" spans="1:12" x14ac:dyDescent="0.4">
      <c r="A591" s="5" t="s">
        <v>19</v>
      </c>
      <c r="B591" s="5" t="s">
        <v>12</v>
      </c>
      <c r="C591" s="5" t="s">
        <v>18</v>
      </c>
      <c r="D591" s="5">
        <v>34</v>
      </c>
      <c r="E591" s="5">
        <v>581</v>
      </c>
      <c r="F591" s="5">
        <v>19754</v>
      </c>
      <c r="G591" s="6">
        <f t="shared" ca="1" si="27"/>
        <v>45514</v>
      </c>
      <c r="H591" s="4" t="str">
        <f t="shared" ca="1" si="28"/>
        <v>August</v>
      </c>
      <c r="I591" t="str">
        <f t="shared" ca="1" si="29"/>
        <v>2024</v>
      </c>
      <c r="L591" s="4"/>
    </row>
    <row r="592" spans="1:12" x14ac:dyDescent="0.4">
      <c r="A592" s="5" t="s">
        <v>17</v>
      </c>
      <c r="B592" s="5" t="s">
        <v>7</v>
      </c>
      <c r="C592" s="5" t="s">
        <v>23</v>
      </c>
      <c r="D592" s="5">
        <v>18</v>
      </c>
      <c r="E592" s="5">
        <v>759</v>
      </c>
      <c r="F592" s="5">
        <v>13662</v>
      </c>
      <c r="G592" s="6">
        <f t="shared" ca="1" si="27"/>
        <v>45572</v>
      </c>
      <c r="H592" s="4" t="str">
        <f t="shared" ca="1" si="28"/>
        <v>October</v>
      </c>
      <c r="I592" t="str">
        <f t="shared" ca="1" si="29"/>
        <v>2024</v>
      </c>
      <c r="L592" s="4"/>
    </row>
    <row r="593" spans="1:12" x14ac:dyDescent="0.4">
      <c r="A593" s="5" t="s">
        <v>19</v>
      </c>
      <c r="B593" s="5" t="s">
        <v>7</v>
      </c>
      <c r="C593" s="5" t="s">
        <v>22</v>
      </c>
      <c r="D593" s="5">
        <v>28</v>
      </c>
      <c r="E593" s="5">
        <v>1950</v>
      </c>
      <c r="F593" s="5">
        <v>54600</v>
      </c>
      <c r="G593" s="6">
        <f t="shared" ca="1" si="27"/>
        <v>45610</v>
      </c>
      <c r="H593" s="4" t="str">
        <f t="shared" ca="1" si="28"/>
        <v>November</v>
      </c>
      <c r="I593" t="str">
        <f t="shared" ca="1" si="29"/>
        <v>2024</v>
      </c>
      <c r="L593" s="4"/>
    </row>
    <row r="594" spans="1:12" x14ac:dyDescent="0.4">
      <c r="A594" s="5" t="s">
        <v>19</v>
      </c>
      <c r="B594" s="5" t="s">
        <v>12</v>
      </c>
      <c r="C594" s="5" t="s">
        <v>18</v>
      </c>
      <c r="D594" s="5">
        <v>46</v>
      </c>
      <c r="E594" s="5">
        <v>1261</v>
      </c>
      <c r="F594" s="5">
        <v>58006</v>
      </c>
      <c r="G594" s="6">
        <f t="shared" ca="1" si="27"/>
        <v>45607</v>
      </c>
      <c r="H594" s="4" t="str">
        <f t="shared" ca="1" si="28"/>
        <v>November</v>
      </c>
      <c r="I594" t="str">
        <f t="shared" ca="1" si="29"/>
        <v>2024</v>
      </c>
      <c r="L594" s="4"/>
    </row>
    <row r="595" spans="1:12" x14ac:dyDescent="0.4">
      <c r="A595" s="5" t="s">
        <v>17</v>
      </c>
      <c r="B595" s="5" t="s">
        <v>10</v>
      </c>
      <c r="C595" s="5" t="s">
        <v>11</v>
      </c>
      <c r="D595" s="5">
        <v>25</v>
      </c>
      <c r="E595" s="5">
        <v>1615</v>
      </c>
      <c r="F595" s="5">
        <v>40375</v>
      </c>
      <c r="G595" s="6">
        <f t="shared" ca="1" si="27"/>
        <v>45368</v>
      </c>
      <c r="H595" s="4" t="str">
        <f t="shared" ca="1" si="28"/>
        <v>March</v>
      </c>
      <c r="I595" t="str">
        <f t="shared" ca="1" si="29"/>
        <v>2024</v>
      </c>
      <c r="L595" s="4"/>
    </row>
    <row r="596" spans="1:12" x14ac:dyDescent="0.4">
      <c r="A596" s="5" t="s">
        <v>6</v>
      </c>
      <c r="B596" s="5" t="s">
        <v>15</v>
      </c>
      <c r="C596" s="5" t="s">
        <v>24</v>
      </c>
      <c r="D596" s="5">
        <v>5</v>
      </c>
      <c r="E596" s="5">
        <v>318</v>
      </c>
      <c r="F596" s="5">
        <v>1590</v>
      </c>
      <c r="G596" s="6">
        <f t="shared" ca="1" si="27"/>
        <v>45388</v>
      </c>
      <c r="H596" s="4" t="str">
        <f t="shared" ca="1" si="28"/>
        <v>April</v>
      </c>
      <c r="I596" t="str">
        <f t="shared" ca="1" si="29"/>
        <v>2024</v>
      </c>
      <c r="L596" s="4"/>
    </row>
    <row r="597" spans="1:12" x14ac:dyDescent="0.4">
      <c r="A597" s="5" t="s">
        <v>6</v>
      </c>
      <c r="B597" s="5" t="s">
        <v>21</v>
      </c>
      <c r="C597" s="5" t="s">
        <v>24</v>
      </c>
      <c r="D597" s="5">
        <v>5</v>
      </c>
      <c r="E597" s="5">
        <v>1988</v>
      </c>
      <c r="F597" s="5">
        <v>9940</v>
      </c>
      <c r="G597" s="6">
        <f t="shared" ca="1" si="27"/>
        <v>46021</v>
      </c>
      <c r="H597" s="4" t="str">
        <f t="shared" ca="1" si="28"/>
        <v>December</v>
      </c>
      <c r="I597" t="str">
        <f t="shared" ca="1" si="29"/>
        <v>2025</v>
      </c>
      <c r="L597" s="4"/>
    </row>
    <row r="598" spans="1:12" x14ac:dyDescent="0.4">
      <c r="A598" s="5" t="s">
        <v>9</v>
      </c>
      <c r="B598" s="5" t="s">
        <v>15</v>
      </c>
      <c r="C598" s="5" t="s">
        <v>16</v>
      </c>
      <c r="D598" s="5">
        <v>38</v>
      </c>
      <c r="E598" s="5">
        <v>1281</v>
      </c>
      <c r="F598" s="5">
        <v>48678</v>
      </c>
      <c r="G598" s="6">
        <f t="shared" ca="1" si="27"/>
        <v>45606</v>
      </c>
      <c r="H598" s="4" t="str">
        <f t="shared" ca="1" si="28"/>
        <v>November</v>
      </c>
      <c r="I598" t="str">
        <f t="shared" ca="1" si="29"/>
        <v>2024</v>
      </c>
      <c r="L598" s="4"/>
    </row>
    <row r="599" spans="1:12" x14ac:dyDescent="0.4">
      <c r="A599" s="5" t="s">
        <v>17</v>
      </c>
      <c r="B599" s="5" t="s">
        <v>7</v>
      </c>
      <c r="C599" s="5" t="s">
        <v>13</v>
      </c>
      <c r="D599" s="5">
        <v>39</v>
      </c>
      <c r="E599" s="5">
        <v>409</v>
      </c>
      <c r="F599" s="5">
        <v>15951</v>
      </c>
      <c r="G599" s="6">
        <f t="shared" ca="1" si="27"/>
        <v>45344</v>
      </c>
      <c r="H599" s="4" t="str">
        <f t="shared" ca="1" si="28"/>
        <v>February</v>
      </c>
      <c r="I599" t="str">
        <f t="shared" ca="1" si="29"/>
        <v>2024</v>
      </c>
      <c r="L599" s="4"/>
    </row>
    <row r="600" spans="1:12" x14ac:dyDescent="0.4">
      <c r="A600" s="5" t="s">
        <v>17</v>
      </c>
      <c r="B600" s="5" t="s">
        <v>10</v>
      </c>
      <c r="C600" s="5" t="s">
        <v>14</v>
      </c>
      <c r="D600" s="5">
        <v>27</v>
      </c>
      <c r="E600" s="5">
        <v>1205</v>
      </c>
      <c r="F600" s="5">
        <v>32535</v>
      </c>
      <c r="G600" s="6">
        <f t="shared" ca="1" si="27"/>
        <v>45380</v>
      </c>
      <c r="H600" s="4" t="str">
        <f t="shared" ca="1" si="28"/>
        <v>March</v>
      </c>
      <c r="I600" t="str">
        <f t="shared" ca="1" si="29"/>
        <v>2024</v>
      </c>
      <c r="L600" s="4"/>
    </row>
    <row r="601" spans="1:12" x14ac:dyDescent="0.4">
      <c r="A601" s="5" t="s">
        <v>19</v>
      </c>
      <c r="B601" s="5" t="s">
        <v>12</v>
      </c>
      <c r="C601" s="5" t="s">
        <v>8</v>
      </c>
      <c r="D601" s="5">
        <v>46</v>
      </c>
      <c r="E601" s="5">
        <v>1478</v>
      </c>
      <c r="F601" s="5">
        <v>67988</v>
      </c>
      <c r="G601" s="6">
        <f t="shared" ca="1" si="27"/>
        <v>45430</v>
      </c>
      <c r="H601" s="4" t="str">
        <f t="shared" ca="1" si="28"/>
        <v>May</v>
      </c>
      <c r="I601" t="str">
        <f t="shared" ca="1" si="29"/>
        <v>2024</v>
      </c>
      <c r="L601" s="4"/>
    </row>
    <row r="602" spans="1:12" x14ac:dyDescent="0.4">
      <c r="A602" s="5" t="s">
        <v>6</v>
      </c>
      <c r="B602" s="5" t="s">
        <v>21</v>
      </c>
      <c r="C602" s="5" t="s">
        <v>18</v>
      </c>
      <c r="D602" s="5">
        <v>14</v>
      </c>
      <c r="E602" s="5">
        <v>927</v>
      </c>
      <c r="F602" s="5">
        <v>12978</v>
      </c>
      <c r="G602" s="6">
        <f t="shared" ca="1" si="27"/>
        <v>45386</v>
      </c>
      <c r="H602" s="4" t="str">
        <f t="shared" ca="1" si="28"/>
        <v>April</v>
      </c>
      <c r="I602" t="str">
        <f t="shared" ca="1" si="29"/>
        <v>2024</v>
      </c>
      <c r="L602" s="4"/>
    </row>
    <row r="603" spans="1:12" x14ac:dyDescent="0.4">
      <c r="A603" s="5" t="s">
        <v>6</v>
      </c>
      <c r="B603" s="5" t="s">
        <v>15</v>
      </c>
      <c r="C603" s="5" t="s">
        <v>23</v>
      </c>
      <c r="D603" s="5">
        <v>3</v>
      </c>
      <c r="E603" s="5">
        <v>817</v>
      </c>
      <c r="F603" s="5">
        <v>2451</v>
      </c>
      <c r="G603" s="6">
        <f t="shared" ca="1" si="27"/>
        <v>45621</v>
      </c>
      <c r="H603" s="4" t="str">
        <f t="shared" ca="1" si="28"/>
        <v>November</v>
      </c>
      <c r="I603" t="str">
        <f t="shared" ca="1" si="29"/>
        <v>2024</v>
      </c>
      <c r="L603" s="4"/>
    </row>
    <row r="604" spans="1:12" x14ac:dyDescent="0.4">
      <c r="A604" s="5" t="s">
        <v>19</v>
      </c>
      <c r="B604" s="5" t="s">
        <v>12</v>
      </c>
      <c r="C604" s="5" t="s">
        <v>14</v>
      </c>
      <c r="D604" s="5">
        <v>3</v>
      </c>
      <c r="E604" s="5">
        <v>766</v>
      </c>
      <c r="F604" s="5">
        <v>2298</v>
      </c>
      <c r="G604" s="6">
        <f t="shared" ca="1" si="27"/>
        <v>45401</v>
      </c>
      <c r="H604" s="4" t="str">
        <f t="shared" ca="1" si="28"/>
        <v>April</v>
      </c>
      <c r="I604" t="str">
        <f t="shared" ca="1" si="29"/>
        <v>2024</v>
      </c>
      <c r="L604" s="4"/>
    </row>
    <row r="605" spans="1:12" x14ac:dyDescent="0.4">
      <c r="A605" s="5" t="s">
        <v>6</v>
      </c>
      <c r="B605" s="5" t="s">
        <v>12</v>
      </c>
      <c r="C605" s="5" t="s">
        <v>11</v>
      </c>
      <c r="D605" s="5">
        <v>39</v>
      </c>
      <c r="E605" s="5">
        <v>1452</v>
      </c>
      <c r="F605" s="5">
        <v>56628</v>
      </c>
      <c r="G605" s="6">
        <f t="shared" ca="1" si="27"/>
        <v>45438</v>
      </c>
      <c r="H605" s="4" t="str">
        <f t="shared" ca="1" si="28"/>
        <v>May</v>
      </c>
      <c r="I605" t="str">
        <f t="shared" ca="1" si="29"/>
        <v>2024</v>
      </c>
      <c r="L605" s="4"/>
    </row>
    <row r="606" spans="1:12" x14ac:dyDescent="0.4">
      <c r="A606" s="5" t="s">
        <v>6</v>
      </c>
      <c r="B606" s="5" t="s">
        <v>21</v>
      </c>
      <c r="C606" s="5" t="s">
        <v>18</v>
      </c>
      <c r="D606" s="5">
        <v>12</v>
      </c>
      <c r="E606" s="5">
        <v>587</v>
      </c>
      <c r="F606" s="5">
        <v>7044</v>
      </c>
      <c r="G606" s="6">
        <f t="shared" ca="1" si="27"/>
        <v>45314</v>
      </c>
      <c r="H606" s="4" t="str">
        <f t="shared" ca="1" si="28"/>
        <v>January</v>
      </c>
      <c r="I606" t="str">
        <f t="shared" ca="1" si="29"/>
        <v>2024</v>
      </c>
      <c r="L606" s="4"/>
    </row>
    <row r="607" spans="1:12" x14ac:dyDescent="0.4">
      <c r="A607" s="5" t="s">
        <v>19</v>
      </c>
      <c r="B607" s="5" t="s">
        <v>7</v>
      </c>
      <c r="C607" s="5" t="s">
        <v>13</v>
      </c>
      <c r="D607" s="5">
        <v>47</v>
      </c>
      <c r="E607" s="5">
        <v>828</v>
      </c>
      <c r="F607" s="5">
        <v>38916</v>
      </c>
      <c r="G607" s="6">
        <f t="shared" ca="1" si="27"/>
        <v>45366</v>
      </c>
      <c r="H607" s="4" t="str">
        <f t="shared" ca="1" si="28"/>
        <v>March</v>
      </c>
      <c r="I607" t="str">
        <f t="shared" ca="1" si="29"/>
        <v>2024</v>
      </c>
      <c r="L607" s="4"/>
    </row>
    <row r="608" spans="1:12" x14ac:dyDescent="0.4">
      <c r="A608" s="5" t="s">
        <v>6</v>
      </c>
      <c r="B608" s="5" t="s">
        <v>10</v>
      </c>
      <c r="C608" s="5" t="s">
        <v>18</v>
      </c>
      <c r="D608" s="5">
        <v>4</v>
      </c>
      <c r="E608" s="5">
        <v>1659</v>
      </c>
      <c r="F608" s="5">
        <v>6636</v>
      </c>
      <c r="G608" s="6">
        <f t="shared" ca="1" si="27"/>
        <v>45760</v>
      </c>
      <c r="H608" s="4" t="str">
        <f t="shared" ca="1" si="28"/>
        <v>April</v>
      </c>
      <c r="I608" t="str">
        <f t="shared" ca="1" si="29"/>
        <v>2025</v>
      </c>
      <c r="L608" s="4"/>
    </row>
    <row r="609" spans="1:12" x14ac:dyDescent="0.4">
      <c r="A609" s="5" t="s">
        <v>9</v>
      </c>
      <c r="B609" s="5" t="s">
        <v>7</v>
      </c>
      <c r="C609" s="5" t="s">
        <v>23</v>
      </c>
      <c r="D609" s="5">
        <v>40</v>
      </c>
      <c r="E609" s="5">
        <v>327</v>
      </c>
      <c r="F609" s="5">
        <v>13080</v>
      </c>
      <c r="G609" s="6">
        <f t="shared" ca="1" si="27"/>
        <v>45799</v>
      </c>
      <c r="H609" s="4" t="str">
        <f t="shared" ca="1" si="28"/>
        <v>May</v>
      </c>
      <c r="I609" t="str">
        <f t="shared" ca="1" si="29"/>
        <v>2025</v>
      </c>
      <c r="L609" s="4"/>
    </row>
    <row r="610" spans="1:12" x14ac:dyDescent="0.4">
      <c r="A610" s="5" t="s">
        <v>9</v>
      </c>
      <c r="B610" s="5" t="s">
        <v>21</v>
      </c>
      <c r="C610" s="5" t="s">
        <v>24</v>
      </c>
      <c r="D610" s="5">
        <v>2</v>
      </c>
      <c r="E610" s="5">
        <v>222</v>
      </c>
      <c r="F610" s="5">
        <v>444</v>
      </c>
      <c r="G610" s="6">
        <f t="shared" ca="1" si="27"/>
        <v>45571</v>
      </c>
      <c r="H610" s="4" t="str">
        <f t="shared" ca="1" si="28"/>
        <v>October</v>
      </c>
      <c r="I610" t="str">
        <f t="shared" ca="1" si="29"/>
        <v>2024</v>
      </c>
      <c r="L610" s="4"/>
    </row>
    <row r="611" spans="1:12" x14ac:dyDescent="0.4">
      <c r="A611" s="5" t="s">
        <v>9</v>
      </c>
      <c r="B611" s="5" t="s">
        <v>10</v>
      </c>
      <c r="C611" s="5" t="s">
        <v>11</v>
      </c>
      <c r="D611" s="5">
        <v>34</v>
      </c>
      <c r="E611" s="5">
        <v>1224</v>
      </c>
      <c r="F611" s="5">
        <v>41616</v>
      </c>
      <c r="G611" s="6">
        <f t="shared" ca="1" si="27"/>
        <v>45505</v>
      </c>
      <c r="H611" s="4" t="str">
        <f t="shared" ca="1" si="28"/>
        <v>August</v>
      </c>
      <c r="I611" t="str">
        <f t="shared" ca="1" si="29"/>
        <v>2024</v>
      </c>
      <c r="L611" s="4"/>
    </row>
    <row r="612" spans="1:12" x14ac:dyDescent="0.4">
      <c r="A612" s="5" t="s">
        <v>9</v>
      </c>
      <c r="B612" s="5" t="s">
        <v>21</v>
      </c>
      <c r="C612" s="5" t="s">
        <v>18</v>
      </c>
      <c r="D612" s="5">
        <v>32</v>
      </c>
      <c r="E612" s="5">
        <v>1385</v>
      </c>
      <c r="F612" s="5">
        <v>44320</v>
      </c>
      <c r="G612" s="6">
        <f t="shared" ca="1" si="27"/>
        <v>45613</v>
      </c>
      <c r="H612" s="4" t="str">
        <f t="shared" ca="1" si="28"/>
        <v>November</v>
      </c>
      <c r="I612" t="str">
        <f t="shared" ca="1" si="29"/>
        <v>2024</v>
      </c>
      <c r="L612" s="4"/>
    </row>
    <row r="613" spans="1:12" x14ac:dyDescent="0.4">
      <c r="A613" s="5" t="s">
        <v>17</v>
      </c>
      <c r="B613" s="5" t="s">
        <v>12</v>
      </c>
      <c r="C613" s="5" t="s">
        <v>8</v>
      </c>
      <c r="D613" s="5">
        <v>3</v>
      </c>
      <c r="E613" s="5">
        <v>1840</v>
      </c>
      <c r="F613" s="5">
        <v>5520</v>
      </c>
      <c r="G613" s="6">
        <f t="shared" ca="1" si="27"/>
        <v>45824</v>
      </c>
      <c r="H613" s="4" t="str">
        <f t="shared" ca="1" si="28"/>
        <v>June</v>
      </c>
      <c r="I613" t="str">
        <f t="shared" ca="1" si="29"/>
        <v>2025</v>
      </c>
      <c r="L613" s="4"/>
    </row>
    <row r="614" spans="1:12" x14ac:dyDescent="0.4">
      <c r="A614" s="5" t="s">
        <v>9</v>
      </c>
      <c r="B614" s="5" t="s">
        <v>10</v>
      </c>
      <c r="C614" s="5" t="s">
        <v>18</v>
      </c>
      <c r="D614" s="5">
        <v>39</v>
      </c>
      <c r="E614" s="5">
        <v>534</v>
      </c>
      <c r="F614" s="5">
        <v>20826</v>
      </c>
      <c r="G614" s="6">
        <f t="shared" ca="1" si="27"/>
        <v>45956</v>
      </c>
      <c r="H614" s="4" t="str">
        <f t="shared" ca="1" si="28"/>
        <v>October</v>
      </c>
      <c r="I614" t="str">
        <f t="shared" ca="1" si="29"/>
        <v>2025</v>
      </c>
      <c r="L614" s="4"/>
    </row>
    <row r="615" spans="1:12" x14ac:dyDescent="0.4">
      <c r="A615" s="5" t="s">
        <v>9</v>
      </c>
      <c r="B615" s="5" t="s">
        <v>12</v>
      </c>
      <c r="C615" s="5" t="s">
        <v>22</v>
      </c>
      <c r="D615" s="5">
        <v>45</v>
      </c>
      <c r="E615" s="5">
        <v>316</v>
      </c>
      <c r="F615" s="5">
        <v>14220</v>
      </c>
      <c r="G615" s="6">
        <f t="shared" ca="1" si="27"/>
        <v>45557</v>
      </c>
      <c r="H615" s="4" t="str">
        <f t="shared" ca="1" si="28"/>
        <v>September</v>
      </c>
      <c r="I615" t="str">
        <f t="shared" ca="1" si="29"/>
        <v>2024</v>
      </c>
      <c r="L615" s="4"/>
    </row>
    <row r="616" spans="1:12" x14ac:dyDescent="0.4">
      <c r="A616" s="5" t="s">
        <v>6</v>
      </c>
      <c r="B616" s="5" t="s">
        <v>7</v>
      </c>
      <c r="C616" s="5" t="s">
        <v>24</v>
      </c>
      <c r="D616" s="5">
        <v>47</v>
      </c>
      <c r="E616" s="5">
        <v>1921</v>
      </c>
      <c r="F616" s="5">
        <v>90287</v>
      </c>
      <c r="G616" s="6">
        <f t="shared" ca="1" si="27"/>
        <v>45841</v>
      </c>
      <c r="H616" s="4" t="str">
        <f t="shared" ca="1" si="28"/>
        <v>July</v>
      </c>
      <c r="I616" t="str">
        <f t="shared" ca="1" si="29"/>
        <v>2025</v>
      </c>
      <c r="L616" s="4"/>
    </row>
    <row r="617" spans="1:12" x14ac:dyDescent="0.4">
      <c r="A617" s="5" t="s">
        <v>19</v>
      </c>
      <c r="B617" s="5" t="s">
        <v>15</v>
      </c>
      <c r="C617" s="5" t="s">
        <v>14</v>
      </c>
      <c r="D617" s="5">
        <v>30</v>
      </c>
      <c r="E617" s="5">
        <v>1201</v>
      </c>
      <c r="F617" s="5">
        <v>36030</v>
      </c>
      <c r="G617" s="6">
        <f t="shared" ca="1" si="27"/>
        <v>45926</v>
      </c>
      <c r="H617" s="4" t="str">
        <f t="shared" ca="1" si="28"/>
        <v>September</v>
      </c>
      <c r="I617" t="str">
        <f t="shared" ca="1" si="29"/>
        <v>2025</v>
      </c>
      <c r="L617" s="4"/>
    </row>
    <row r="618" spans="1:12" x14ac:dyDescent="0.4">
      <c r="A618" s="5" t="s">
        <v>19</v>
      </c>
      <c r="B618" s="5" t="s">
        <v>7</v>
      </c>
      <c r="C618" s="5" t="s">
        <v>22</v>
      </c>
      <c r="D618" s="5">
        <v>28</v>
      </c>
      <c r="E618" s="5">
        <v>268</v>
      </c>
      <c r="F618" s="5">
        <v>7504</v>
      </c>
      <c r="G618" s="6">
        <f t="shared" ca="1" si="27"/>
        <v>45642</v>
      </c>
      <c r="H618" s="4" t="str">
        <f t="shared" ca="1" si="28"/>
        <v>December</v>
      </c>
      <c r="I618" t="str">
        <f t="shared" ca="1" si="29"/>
        <v>2024</v>
      </c>
      <c r="L618" s="4"/>
    </row>
    <row r="619" spans="1:12" x14ac:dyDescent="0.4">
      <c r="A619" s="5" t="s">
        <v>19</v>
      </c>
      <c r="B619" s="5" t="s">
        <v>15</v>
      </c>
      <c r="C619" s="5" t="s">
        <v>24</v>
      </c>
      <c r="D619" s="5">
        <v>48</v>
      </c>
      <c r="E619" s="5">
        <v>530</v>
      </c>
      <c r="F619" s="5">
        <v>25440</v>
      </c>
      <c r="G619" s="6">
        <f t="shared" ca="1" si="27"/>
        <v>45440</v>
      </c>
      <c r="H619" s="4" t="str">
        <f t="shared" ca="1" si="28"/>
        <v>May</v>
      </c>
      <c r="I619" t="str">
        <f t="shared" ca="1" si="29"/>
        <v>2024</v>
      </c>
      <c r="L619" s="4"/>
    </row>
    <row r="620" spans="1:12" x14ac:dyDescent="0.4">
      <c r="A620" s="5" t="s">
        <v>6</v>
      </c>
      <c r="B620" s="5" t="s">
        <v>12</v>
      </c>
      <c r="C620" s="5" t="s">
        <v>16</v>
      </c>
      <c r="D620" s="5">
        <v>4</v>
      </c>
      <c r="E620" s="5">
        <v>193</v>
      </c>
      <c r="F620" s="5">
        <v>772</v>
      </c>
      <c r="G620" s="6">
        <f t="shared" ca="1" si="27"/>
        <v>45940</v>
      </c>
      <c r="H620" s="4" t="str">
        <f t="shared" ca="1" si="28"/>
        <v>October</v>
      </c>
      <c r="I620" t="str">
        <f t="shared" ca="1" si="29"/>
        <v>2025</v>
      </c>
      <c r="L620" s="4"/>
    </row>
    <row r="621" spans="1:12" x14ac:dyDescent="0.4">
      <c r="A621" s="5" t="s">
        <v>19</v>
      </c>
      <c r="B621" s="5" t="s">
        <v>21</v>
      </c>
      <c r="C621" s="5" t="s">
        <v>20</v>
      </c>
      <c r="D621" s="5">
        <v>12</v>
      </c>
      <c r="E621" s="5">
        <v>1525</v>
      </c>
      <c r="F621" s="5">
        <v>18300</v>
      </c>
      <c r="G621" s="6">
        <f t="shared" ca="1" si="27"/>
        <v>45299</v>
      </c>
      <c r="H621" s="4" t="str">
        <f t="shared" ca="1" si="28"/>
        <v>January</v>
      </c>
      <c r="I621" t="str">
        <f t="shared" ca="1" si="29"/>
        <v>2024</v>
      </c>
      <c r="L621" s="4"/>
    </row>
    <row r="622" spans="1:12" x14ac:dyDescent="0.4">
      <c r="A622" s="5" t="s">
        <v>9</v>
      </c>
      <c r="B622" s="5" t="s">
        <v>21</v>
      </c>
      <c r="C622" s="5" t="s">
        <v>16</v>
      </c>
      <c r="D622" s="5">
        <v>7</v>
      </c>
      <c r="E622" s="5">
        <v>415</v>
      </c>
      <c r="F622" s="5">
        <v>2905</v>
      </c>
      <c r="G622" s="6">
        <f t="shared" ca="1" si="27"/>
        <v>45960</v>
      </c>
      <c r="H622" s="4" t="str">
        <f t="shared" ca="1" si="28"/>
        <v>October</v>
      </c>
      <c r="I622" t="str">
        <f t="shared" ca="1" si="29"/>
        <v>2025</v>
      </c>
      <c r="L622" s="4"/>
    </row>
    <row r="623" spans="1:12" x14ac:dyDescent="0.4">
      <c r="A623" s="5" t="s">
        <v>6</v>
      </c>
      <c r="B623" s="5" t="s">
        <v>15</v>
      </c>
      <c r="C623" s="5" t="s">
        <v>16</v>
      </c>
      <c r="D623" s="5">
        <v>6</v>
      </c>
      <c r="E623" s="5">
        <v>1720</v>
      </c>
      <c r="F623" s="5">
        <v>10320</v>
      </c>
      <c r="G623" s="6">
        <f t="shared" ca="1" si="27"/>
        <v>45325</v>
      </c>
      <c r="H623" s="4" t="str">
        <f t="shared" ca="1" si="28"/>
        <v>February</v>
      </c>
      <c r="I623" t="str">
        <f t="shared" ca="1" si="29"/>
        <v>2024</v>
      </c>
      <c r="L623" s="4"/>
    </row>
    <row r="624" spans="1:12" x14ac:dyDescent="0.4">
      <c r="A624" s="5" t="s">
        <v>9</v>
      </c>
      <c r="B624" s="5" t="s">
        <v>21</v>
      </c>
      <c r="C624" s="5" t="s">
        <v>16</v>
      </c>
      <c r="D624" s="5">
        <v>10</v>
      </c>
      <c r="E624" s="5">
        <v>1654</v>
      </c>
      <c r="F624" s="5">
        <v>16540</v>
      </c>
      <c r="G624" s="6">
        <f t="shared" ca="1" si="27"/>
        <v>45825</v>
      </c>
      <c r="H624" s="4" t="str">
        <f t="shared" ca="1" si="28"/>
        <v>June</v>
      </c>
      <c r="I624" t="str">
        <f t="shared" ca="1" si="29"/>
        <v>2025</v>
      </c>
      <c r="L624" s="4"/>
    </row>
    <row r="625" spans="1:12" x14ac:dyDescent="0.4">
      <c r="A625" s="5" t="s">
        <v>6</v>
      </c>
      <c r="B625" s="5" t="s">
        <v>10</v>
      </c>
      <c r="C625" s="5" t="s">
        <v>18</v>
      </c>
      <c r="D625" s="5">
        <v>45</v>
      </c>
      <c r="E625" s="5">
        <v>349</v>
      </c>
      <c r="F625" s="5">
        <v>15705</v>
      </c>
      <c r="G625" s="6">
        <f t="shared" ca="1" si="27"/>
        <v>45322</v>
      </c>
      <c r="H625" s="4" t="str">
        <f t="shared" ca="1" si="28"/>
        <v>January</v>
      </c>
      <c r="I625" t="str">
        <f t="shared" ca="1" si="29"/>
        <v>2024</v>
      </c>
      <c r="L625" s="4"/>
    </row>
    <row r="626" spans="1:12" x14ac:dyDescent="0.4">
      <c r="A626" s="5" t="s">
        <v>9</v>
      </c>
      <c r="B626" s="5" t="s">
        <v>15</v>
      </c>
      <c r="C626" s="5" t="s">
        <v>20</v>
      </c>
      <c r="D626" s="5">
        <v>28</v>
      </c>
      <c r="E626" s="5">
        <v>1750</v>
      </c>
      <c r="F626" s="5">
        <v>49000</v>
      </c>
      <c r="G626" s="6">
        <f t="shared" ca="1" si="27"/>
        <v>45801</v>
      </c>
      <c r="H626" s="4" t="str">
        <f t="shared" ca="1" si="28"/>
        <v>May</v>
      </c>
      <c r="I626" t="str">
        <f t="shared" ca="1" si="29"/>
        <v>2025</v>
      </c>
      <c r="L626" s="4"/>
    </row>
    <row r="627" spans="1:12" x14ac:dyDescent="0.4">
      <c r="A627" s="5" t="s">
        <v>9</v>
      </c>
      <c r="B627" s="5" t="s">
        <v>12</v>
      </c>
      <c r="C627" s="5" t="s">
        <v>22</v>
      </c>
      <c r="D627" s="5">
        <v>1</v>
      </c>
      <c r="E627" s="5">
        <v>1365</v>
      </c>
      <c r="F627" s="5">
        <v>1365</v>
      </c>
      <c r="G627" s="6">
        <f t="shared" ca="1" si="27"/>
        <v>45941</v>
      </c>
      <c r="H627" s="4" t="str">
        <f t="shared" ca="1" si="28"/>
        <v>October</v>
      </c>
      <c r="I627" t="str">
        <f t="shared" ca="1" si="29"/>
        <v>2025</v>
      </c>
      <c r="L627" s="4"/>
    </row>
    <row r="628" spans="1:12" x14ac:dyDescent="0.4">
      <c r="A628" s="5" t="s">
        <v>6</v>
      </c>
      <c r="B628" s="5" t="s">
        <v>15</v>
      </c>
      <c r="C628" s="5" t="s">
        <v>18</v>
      </c>
      <c r="D628" s="5">
        <v>17</v>
      </c>
      <c r="E628" s="5">
        <v>1171</v>
      </c>
      <c r="F628" s="5">
        <v>19907</v>
      </c>
      <c r="G628" s="6">
        <f t="shared" ca="1" si="27"/>
        <v>45376</v>
      </c>
      <c r="H628" s="4" t="str">
        <f t="shared" ca="1" si="28"/>
        <v>March</v>
      </c>
      <c r="I628" t="str">
        <f t="shared" ca="1" si="29"/>
        <v>2024</v>
      </c>
      <c r="L628" s="4"/>
    </row>
    <row r="629" spans="1:12" x14ac:dyDescent="0.4">
      <c r="A629" s="5" t="s">
        <v>9</v>
      </c>
      <c r="B629" s="5" t="s">
        <v>12</v>
      </c>
      <c r="C629" s="5" t="s">
        <v>14</v>
      </c>
      <c r="D629" s="5">
        <v>35</v>
      </c>
      <c r="E629" s="5">
        <v>1564</v>
      </c>
      <c r="F629" s="5">
        <v>54740</v>
      </c>
      <c r="G629" s="6">
        <f t="shared" ca="1" si="27"/>
        <v>45303</v>
      </c>
      <c r="H629" s="4" t="str">
        <f t="shared" ca="1" si="28"/>
        <v>January</v>
      </c>
      <c r="I629" t="str">
        <f t="shared" ca="1" si="29"/>
        <v>2024</v>
      </c>
      <c r="L629" s="4"/>
    </row>
    <row r="630" spans="1:12" x14ac:dyDescent="0.4">
      <c r="A630" s="5" t="s">
        <v>9</v>
      </c>
      <c r="B630" s="5" t="s">
        <v>10</v>
      </c>
      <c r="C630" s="5" t="s">
        <v>24</v>
      </c>
      <c r="D630" s="5">
        <v>36</v>
      </c>
      <c r="E630" s="5">
        <v>921</v>
      </c>
      <c r="F630" s="5">
        <v>33156</v>
      </c>
      <c r="G630" s="6">
        <f t="shared" ca="1" si="27"/>
        <v>45597</v>
      </c>
      <c r="H630" s="4" t="str">
        <f t="shared" ca="1" si="28"/>
        <v>November</v>
      </c>
      <c r="I630" t="str">
        <f t="shared" ca="1" si="29"/>
        <v>2024</v>
      </c>
      <c r="L630" s="4"/>
    </row>
    <row r="631" spans="1:12" x14ac:dyDescent="0.4">
      <c r="A631" s="5" t="s">
        <v>17</v>
      </c>
      <c r="B631" s="5" t="s">
        <v>21</v>
      </c>
      <c r="C631" s="5" t="s">
        <v>11</v>
      </c>
      <c r="D631" s="5">
        <v>44</v>
      </c>
      <c r="E631" s="5">
        <v>1228</v>
      </c>
      <c r="F631" s="5">
        <v>54032</v>
      </c>
      <c r="G631" s="6">
        <f t="shared" ca="1" si="27"/>
        <v>45658</v>
      </c>
      <c r="H631" s="4" t="str">
        <f t="shared" ca="1" si="28"/>
        <v>January</v>
      </c>
      <c r="I631" t="str">
        <f t="shared" ca="1" si="29"/>
        <v>2025</v>
      </c>
      <c r="L631" s="4"/>
    </row>
    <row r="632" spans="1:12" x14ac:dyDescent="0.4">
      <c r="A632" s="5" t="s">
        <v>6</v>
      </c>
      <c r="B632" s="5" t="s">
        <v>15</v>
      </c>
      <c r="C632" s="5" t="s">
        <v>16</v>
      </c>
      <c r="D632" s="5">
        <v>44</v>
      </c>
      <c r="E632" s="5">
        <v>542</v>
      </c>
      <c r="F632" s="5">
        <v>23848</v>
      </c>
      <c r="G632" s="6">
        <f t="shared" ca="1" si="27"/>
        <v>45683</v>
      </c>
      <c r="H632" s="4" t="str">
        <f t="shared" ca="1" si="28"/>
        <v>January</v>
      </c>
      <c r="I632" t="str">
        <f t="shared" ca="1" si="29"/>
        <v>2025</v>
      </c>
      <c r="L632" s="4"/>
    </row>
    <row r="633" spans="1:12" x14ac:dyDescent="0.4">
      <c r="A633" s="5" t="s">
        <v>6</v>
      </c>
      <c r="B633" s="5" t="s">
        <v>10</v>
      </c>
      <c r="C633" s="5" t="s">
        <v>18</v>
      </c>
      <c r="D633" s="5">
        <v>15</v>
      </c>
      <c r="E633" s="5">
        <v>492</v>
      </c>
      <c r="F633" s="5">
        <v>7380</v>
      </c>
      <c r="G633" s="6">
        <f t="shared" ca="1" si="27"/>
        <v>45385</v>
      </c>
      <c r="H633" s="4" t="str">
        <f t="shared" ca="1" si="28"/>
        <v>April</v>
      </c>
      <c r="I633" t="str">
        <f t="shared" ca="1" si="29"/>
        <v>2024</v>
      </c>
      <c r="L633" s="4"/>
    </row>
    <row r="634" spans="1:12" x14ac:dyDescent="0.4">
      <c r="A634" s="5" t="s">
        <v>19</v>
      </c>
      <c r="B634" s="5" t="s">
        <v>12</v>
      </c>
      <c r="C634" s="5" t="s">
        <v>13</v>
      </c>
      <c r="D634" s="5">
        <v>6</v>
      </c>
      <c r="E634" s="5">
        <v>1082</v>
      </c>
      <c r="F634" s="5">
        <v>6492</v>
      </c>
      <c r="G634" s="6">
        <f t="shared" ca="1" si="27"/>
        <v>45381</v>
      </c>
      <c r="H634" s="4" t="str">
        <f t="shared" ca="1" si="28"/>
        <v>March</v>
      </c>
      <c r="I634" t="str">
        <f t="shared" ca="1" si="29"/>
        <v>2024</v>
      </c>
      <c r="L634" s="4"/>
    </row>
    <row r="635" spans="1:12" x14ac:dyDescent="0.4">
      <c r="A635" s="5" t="s">
        <v>6</v>
      </c>
      <c r="B635" s="5" t="s">
        <v>15</v>
      </c>
      <c r="C635" s="5" t="s">
        <v>20</v>
      </c>
      <c r="D635" s="5">
        <v>39</v>
      </c>
      <c r="E635" s="5">
        <v>1823</v>
      </c>
      <c r="F635" s="5">
        <v>71097</v>
      </c>
      <c r="G635" s="6">
        <f t="shared" ca="1" si="27"/>
        <v>45533</v>
      </c>
      <c r="H635" s="4" t="str">
        <f t="shared" ca="1" si="28"/>
        <v>August</v>
      </c>
      <c r="I635" t="str">
        <f t="shared" ca="1" si="29"/>
        <v>2024</v>
      </c>
      <c r="L635" s="4"/>
    </row>
    <row r="636" spans="1:12" x14ac:dyDescent="0.4">
      <c r="A636" s="5" t="s">
        <v>9</v>
      </c>
      <c r="B636" s="5" t="s">
        <v>10</v>
      </c>
      <c r="C636" s="5" t="s">
        <v>8</v>
      </c>
      <c r="D636" s="5">
        <v>31</v>
      </c>
      <c r="E636" s="5">
        <v>860</v>
      </c>
      <c r="F636" s="5">
        <v>26660</v>
      </c>
      <c r="G636" s="6">
        <f t="shared" ca="1" si="27"/>
        <v>45886</v>
      </c>
      <c r="H636" s="4" t="str">
        <f t="shared" ca="1" si="28"/>
        <v>August</v>
      </c>
      <c r="I636" t="str">
        <f t="shared" ca="1" si="29"/>
        <v>2025</v>
      </c>
      <c r="L636" s="4"/>
    </row>
    <row r="637" spans="1:12" x14ac:dyDescent="0.4">
      <c r="A637" s="5" t="s">
        <v>17</v>
      </c>
      <c r="B637" s="5" t="s">
        <v>10</v>
      </c>
      <c r="C637" s="5" t="s">
        <v>24</v>
      </c>
      <c r="D637" s="5">
        <v>4</v>
      </c>
      <c r="E637" s="5">
        <v>359</v>
      </c>
      <c r="F637" s="5">
        <v>1436</v>
      </c>
      <c r="G637" s="6">
        <f t="shared" ca="1" si="27"/>
        <v>46000</v>
      </c>
      <c r="H637" s="4" t="str">
        <f t="shared" ca="1" si="28"/>
        <v>December</v>
      </c>
      <c r="I637" t="str">
        <f t="shared" ca="1" si="29"/>
        <v>2025</v>
      </c>
      <c r="L637" s="4"/>
    </row>
    <row r="638" spans="1:12" x14ac:dyDescent="0.4">
      <c r="A638" s="5" t="s">
        <v>17</v>
      </c>
      <c r="B638" s="5" t="s">
        <v>12</v>
      </c>
      <c r="C638" s="5" t="s">
        <v>22</v>
      </c>
      <c r="D638" s="5">
        <v>21</v>
      </c>
      <c r="E638" s="5">
        <v>117</v>
      </c>
      <c r="F638" s="5">
        <v>2457</v>
      </c>
      <c r="G638" s="6">
        <f t="shared" ca="1" si="27"/>
        <v>45913</v>
      </c>
      <c r="H638" s="4" t="str">
        <f t="shared" ca="1" si="28"/>
        <v>September</v>
      </c>
      <c r="I638" t="str">
        <f t="shared" ca="1" si="29"/>
        <v>2025</v>
      </c>
      <c r="L638" s="4"/>
    </row>
    <row r="639" spans="1:12" x14ac:dyDescent="0.4">
      <c r="A639" s="5" t="s">
        <v>19</v>
      </c>
      <c r="B639" s="5" t="s">
        <v>15</v>
      </c>
      <c r="C639" s="5" t="s">
        <v>24</v>
      </c>
      <c r="D639" s="5">
        <v>28</v>
      </c>
      <c r="E639" s="5">
        <v>305</v>
      </c>
      <c r="F639" s="5">
        <v>8540</v>
      </c>
      <c r="G639" s="6">
        <f t="shared" ca="1" si="27"/>
        <v>45702</v>
      </c>
      <c r="H639" s="4" t="str">
        <f t="shared" ca="1" si="28"/>
        <v>February</v>
      </c>
      <c r="I639" t="str">
        <f t="shared" ca="1" si="29"/>
        <v>2025</v>
      </c>
      <c r="L639" s="4"/>
    </row>
    <row r="640" spans="1:12" x14ac:dyDescent="0.4">
      <c r="A640" s="5" t="s">
        <v>17</v>
      </c>
      <c r="B640" s="5" t="s">
        <v>15</v>
      </c>
      <c r="C640" s="5" t="s">
        <v>22</v>
      </c>
      <c r="D640" s="5">
        <v>1</v>
      </c>
      <c r="E640" s="5">
        <v>1430</v>
      </c>
      <c r="F640" s="5">
        <v>1430</v>
      </c>
      <c r="G640" s="6">
        <f t="shared" ca="1" si="27"/>
        <v>45821</v>
      </c>
      <c r="H640" s="4" t="str">
        <f t="shared" ca="1" si="28"/>
        <v>June</v>
      </c>
      <c r="I640" t="str">
        <f t="shared" ca="1" si="29"/>
        <v>2025</v>
      </c>
      <c r="L640" s="4"/>
    </row>
    <row r="641" spans="1:12" x14ac:dyDescent="0.4">
      <c r="A641" s="5" t="s">
        <v>9</v>
      </c>
      <c r="B641" s="5" t="s">
        <v>10</v>
      </c>
      <c r="C641" s="5" t="s">
        <v>20</v>
      </c>
      <c r="D641" s="5">
        <v>5</v>
      </c>
      <c r="E641" s="5">
        <v>142</v>
      </c>
      <c r="F641" s="5">
        <v>710</v>
      </c>
      <c r="G641" s="6">
        <f t="shared" ca="1" si="27"/>
        <v>45807</v>
      </c>
      <c r="H641" s="4" t="str">
        <f t="shared" ca="1" si="28"/>
        <v>May</v>
      </c>
      <c r="I641" t="str">
        <f t="shared" ca="1" si="29"/>
        <v>2025</v>
      </c>
      <c r="L641" s="4"/>
    </row>
    <row r="642" spans="1:12" x14ac:dyDescent="0.4">
      <c r="A642" s="5" t="s">
        <v>17</v>
      </c>
      <c r="B642" s="5" t="s">
        <v>12</v>
      </c>
      <c r="C642" s="5" t="s">
        <v>11</v>
      </c>
      <c r="D642" s="5">
        <v>44</v>
      </c>
      <c r="E642" s="5">
        <v>1747</v>
      </c>
      <c r="F642" s="5">
        <v>76868</v>
      </c>
      <c r="G642" s="6">
        <f t="shared" ca="1" si="27"/>
        <v>45706</v>
      </c>
      <c r="H642" s="4" t="str">
        <f t="shared" ca="1" si="28"/>
        <v>February</v>
      </c>
      <c r="I642" t="str">
        <f t="shared" ca="1" si="29"/>
        <v>2025</v>
      </c>
      <c r="L642" s="4"/>
    </row>
    <row r="643" spans="1:12" x14ac:dyDescent="0.4">
      <c r="A643" s="5" t="s">
        <v>19</v>
      </c>
      <c r="B643" s="5" t="s">
        <v>21</v>
      </c>
      <c r="C643" s="5" t="s">
        <v>16</v>
      </c>
      <c r="D643" s="5">
        <v>36</v>
      </c>
      <c r="E643" s="5">
        <v>1409</v>
      </c>
      <c r="F643" s="5">
        <v>50724</v>
      </c>
      <c r="G643" s="6">
        <f t="shared" ref="G643:G706" ca="1" si="30">RANDBETWEEN(DATE(2024,1,1),DATE(2025,12,31))</f>
        <v>45699</v>
      </c>
      <c r="H643" s="4" t="str">
        <f t="shared" ref="H643:H706" ca="1" si="31">TEXT(G643,"mmmm")</f>
        <v>February</v>
      </c>
      <c r="I643" t="str">
        <f t="shared" ref="I643:I706" ca="1" si="32">TEXT(G643,"yyyy")</f>
        <v>2025</v>
      </c>
      <c r="L643" s="4"/>
    </row>
    <row r="644" spans="1:12" x14ac:dyDescent="0.4">
      <c r="A644" s="5" t="s">
        <v>9</v>
      </c>
      <c r="B644" s="5" t="s">
        <v>12</v>
      </c>
      <c r="C644" s="5" t="s">
        <v>20</v>
      </c>
      <c r="D644" s="5">
        <v>5</v>
      </c>
      <c r="E644" s="5">
        <v>1384</v>
      </c>
      <c r="F644" s="5">
        <v>6920</v>
      </c>
      <c r="G644" s="6">
        <f t="shared" ca="1" si="30"/>
        <v>45847</v>
      </c>
      <c r="H644" s="4" t="str">
        <f t="shared" ca="1" si="31"/>
        <v>July</v>
      </c>
      <c r="I644" t="str">
        <f t="shared" ca="1" si="32"/>
        <v>2025</v>
      </c>
      <c r="L644" s="4"/>
    </row>
    <row r="645" spans="1:12" x14ac:dyDescent="0.4">
      <c r="A645" s="5" t="s">
        <v>19</v>
      </c>
      <c r="B645" s="5" t="s">
        <v>21</v>
      </c>
      <c r="C645" s="5" t="s">
        <v>18</v>
      </c>
      <c r="D645" s="5">
        <v>8</v>
      </c>
      <c r="E645" s="5">
        <v>714</v>
      </c>
      <c r="F645" s="5">
        <v>5712</v>
      </c>
      <c r="G645" s="6">
        <f t="shared" ca="1" si="30"/>
        <v>45816</v>
      </c>
      <c r="H645" s="4" t="str">
        <f t="shared" ca="1" si="31"/>
        <v>June</v>
      </c>
      <c r="I645" t="str">
        <f t="shared" ca="1" si="32"/>
        <v>2025</v>
      </c>
      <c r="L645" s="4"/>
    </row>
    <row r="646" spans="1:12" x14ac:dyDescent="0.4">
      <c r="A646" s="5" t="s">
        <v>6</v>
      </c>
      <c r="B646" s="5" t="s">
        <v>10</v>
      </c>
      <c r="C646" s="5" t="s">
        <v>14</v>
      </c>
      <c r="D646" s="5">
        <v>3</v>
      </c>
      <c r="E646" s="5">
        <v>1395</v>
      </c>
      <c r="F646" s="5">
        <v>4185</v>
      </c>
      <c r="G646" s="6">
        <f t="shared" ca="1" si="30"/>
        <v>45700</v>
      </c>
      <c r="H646" s="4" t="str">
        <f t="shared" ca="1" si="31"/>
        <v>February</v>
      </c>
      <c r="I646" t="str">
        <f t="shared" ca="1" si="32"/>
        <v>2025</v>
      </c>
      <c r="L646" s="4"/>
    </row>
    <row r="647" spans="1:12" x14ac:dyDescent="0.4">
      <c r="A647" s="5" t="s">
        <v>19</v>
      </c>
      <c r="B647" s="5" t="s">
        <v>7</v>
      </c>
      <c r="C647" s="5" t="s">
        <v>18</v>
      </c>
      <c r="D647" s="5">
        <v>23</v>
      </c>
      <c r="E647" s="5">
        <v>785</v>
      </c>
      <c r="F647" s="5">
        <v>18055</v>
      </c>
      <c r="G647" s="6">
        <f t="shared" ca="1" si="30"/>
        <v>45700</v>
      </c>
      <c r="H647" s="4" t="str">
        <f t="shared" ca="1" si="31"/>
        <v>February</v>
      </c>
      <c r="I647" t="str">
        <f t="shared" ca="1" si="32"/>
        <v>2025</v>
      </c>
      <c r="L647" s="4"/>
    </row>
    <row r="648" spans="1:12" x14ac:dyDescent="0.4">
      <c r="A648" s="5" t="s">
        <v>19</v>
      </c>
      <c r="B648" s="5" t="s">
        <v>12</v>
      </c>
      <c r="C648" s="5" t="s">
        <v>11</v>
      </c>
      <c r="D648" s="5">
        <v>17</v>
      </c>
      <c r="E648" s="5">
        <v>801</v>
      </c>
      <c r="F648" s="5">
        <v>13617</v>
      </c>
      <c r="G648" s="6">
        <f t="shared" ca="1" si="30"/>
        <v>45855</v>
      </c>
      <c r="H648" s="4" t="str">
        <f t="shared" ca="1" si="31"/>
        <v>July</v>
      </c>
      <c r="I648" t="str">
        <f t="shared" ca="1" si="32"/>
        <v>2025</v>
      </c>
      <c r="L648" s="4"/>
    </row>
    <row r="649" spans="1:12" x14ac:dyDescent="0.4">
      <c r="A649" s="5" t="s">
        <v>17</v>
      </c>
      <c r="B649" s="5" t="s">
        <v>10</v>
      </c>
      <c r="C649" s="5" t="s">
        <v>14</v>
      </c>
      <c r="D649" s="5">
        <v>18</v>
      </c>
      <c r="E649" s="5">
        <v>388</v>
      </c>
      <c r="F649" s="5">
        <v>6984</v>
      </c>
      <c r="G649" s="6">
        <f t="shared" ca="1" si="30"/>
        <v>45956</v>
      </c>
      <c r="H649" s="4" t="str">
        <f t="shared" ca="1" si="31"/>
        <v>October</v>
      </c>
      <c r="I649" t="str">
        <f t="shared" ca="1" si="32"/>
        <v>2025</v>
      </c>
      <c r="L649" s="4"/>
    </row>
    <row r="650" spans="1:12" x14ac:dyDescent="0.4">
      <c r="A650" s="5" t="s">
        <v>6</v>
      </c>
      <c r="B650" s="5" t="s">
        <v>15</v>
      </c>
      <c r="C650" s="5" t="s">
        <v>14</v>
      </c>
      <c r="D650" s="5">
        <v>17</v>
      </c>
      <c r="E650" s="5">
        <v>1184</v>
      </c>
      <c r="F650" s="5">
        <v>20128</v>
      </c>
      <c r="G650" s="6">
        <f t="shared" ca="1" si="30"/>
        <v>45852</v>
      </c>
      <c r="H650" s="4" t="str">
        <f t="shared" ca="1" si="31"/>
        <v>July</v>
      </c>
      <c r="I650" t="str">
        <f t="shared" ca="1" si="32"/>
        <v>2025</v>
      </c>
      <c r="L650" s="4"/>
    </row>
    <row r="651" spans="1:12" x14ac:dyDescent="0.4">
      <c r="A651" s="5" t="s">
        <v>6</v>
      </c>
      <c r="B651" s="5" t="s">
        <v>7</v>
      </c>
      <c r="C651" s="5" t="s">
        <v>14</v>
      </c>
      <c r="D651" s="5">
        <v>50</v>
      </c>
      <c r="E651" s="5">
        <v>1291</v>
      </c>
      <c r="F651" s="5">
        <v>64550</v>
      </c>
      <c r="G651" s="6">
        <f t="shared" ca="1" si="30"/>
        <v>45582</v>
      </c>
      <c r="H651" s="4" t="str">
        <f t="shared" ca="1" si="31"/>
        <v>October</v>
      </c>
      <c r="I651" t="str">
        <f t="shared" ca="1" si="32"/>
        <v>2024</v>
      </c>
      <c r="L651" s="4"/>
    </row>
    <row r="652" spans="1:12" x14ac:dyDescent="0.4">
      <c r="A652" s="5" t="s">
        <v>17</v>
      </c>
      <c r="B652" s="5" t="s">
        <v>15</v>
      </c>
      <c r="C652" s="5" t="s">
        <v>16</v>
      </c>
      <c r="D652" s="5">
        <v>5</v>
      </c>
      <c r="E652" s="5">
        <v>677</v>
      </c>
      <c r="F652" s="5">
        <v>3385</v>
      </c>
      <c r="G652" s="6">
        <f t="shared" ca="1" si="30"/>
        <v>45869</v>
      </c>
      <c r="H652" s="4" t="str">
        <f t="shared" ca="1" si="31"/>
        <v>July</v>
      </c>
      <c r="I652" t="str">
        <f t="shared" ca="1" si="32"/>
        <v>2025</v>
      </c>
      <c r="L652" s="4"/>
    </row>
    <row r="653" spans="1:12" x14ac:dyDescent="0.4">
      <c r="A653" s="5" t="s">
        <v>6</v>
      </c>
      <c r="B653" s="5" t="s">
        <v>7</v>
      </c>
      <c r="C653" s="5" t="s">
        <v>11</v>
      </c>
      <c r="D653" s="5">
        <v>14</v>
      </c>
      <c r="E653" s="5">
        <v>1062</v>
      </c>
      <c r="F653" s="5">
        <v>14868</v>
      </c>
      <c r="G653" s="6">
        <f t="shared" ca="1" si="30"/>
        <v>45904</v>
      </c>
      <c r="H653" s="4" t="str">
        <f t="shared" ca="1" si="31"/>
        <v>September</v>
      </c>
      <c r="I653" t="str">
        <f t="shared" ca="1" si="32"/>
        <v>2025</v>
      </c>
      <c r="L653" s="4"/>
    </row>
    <row r="654" spans="1:12" x14ac:dyDescent="0.4">
      <c r="A654" s="5" t="s">
        <v>9</v>
      </c>
      <c r="B654" s="5" t="s">
        <v>21</v>
      </c>
      <c r="C654" s="5" t="s">
        <v>14</v>
      </c>
      <c r="D654" s="5">
        <v>43</v>
      </c>
      <c r="E654" s="5">
        <v>1361</v>
      </c>
      <c r="F654" s="5">
        <v>58523</v>
      </c>
      <c r="G654" s="6">
        <f t="shared" ca="1" si="30"/>
        <v>45890</v>
      </c>
      <c r="H654" s="4" t="str">
        <f t="shared" ca="1" si="31"/>
        <v>August</v>
      </c>
      <c r="I654" t="str">
        <f t="shared" ca="1" si="32"/>
        <v>2025</v>
      </c>
      <c r="L654" s="4"/>
    </row>
    <row r="655" spans="1:12" x14ac:dyDescent="0.4">
      <c r="A655" s="5" t="s">
        <v>17</v>
      </c>
      <c r="B655" s="5" t="s">
        <v>21</v>
      </c>
      <c r="C655" s="5" t="s">
        <v>16</v>
      </c>
      <c r="D655" s="5">
        <v>17</v>
      </c>
      <c r="E655" s="5">
        <v>1882</v>
      </c>
      <c r="F655" s="5">
        <v>31994</v>
      </c>
      <c r="G655" s="6">
        <f t="shared" ca="1" si="30"/>
        <v>46001</v>
      </c>
      <c r="H655" s="4" t="str">
        <f t="shared" ca="1" si="31"/>
        <v>December</v>
      </c>
      <c r="I655" t="str">
        <f t="shared" ca="1" si="32"/>
        <v>2025</v>
      </c>
      <c r="L655" s="4"/>
    </row>
    <row r="656" spans="1:12" x14ac:dyDescent="0.4">
      <c r="A656" s="5" t="s">
        <v>9</v>
      </c>
      <c r="B656" s="5" t="s">
        <v>7</v>
      </c>
      <c r="C656" s="5" t="s">
        <v>14</v>
      </c>
      <c r="D656" s="5">
        <v>39</v>
      </c>
      <c r="E656" s="5">
        <v>433</v>
      </c>
      <c r="F656" s="5">
        <v>16887</v>
      </c>
      <c r="G656" s="6">
        <f t="shared" ca="1" si="30"/>
        <v>45563</v>
      </c>
      <c r="H656" s="4" t="str">
        <f t="shared" ca="1" si="31"/>
        <v>September</v>
      </c>
      <c r="I656" t="str">
        <f t="shared" ca="1" si="32"/>
        <v>2024</v>
      </c>
      <c r="L656" s="4"/>
    </row>
    <row r="657" spans="1:12" x14ac:dyDescent="0.4">
      <c r="A657" s="5" t="s">
        <v>19</v>
      </c>
      <c r="B657" s="5" t="s">
        <v>21</v>
      </c>
      <c r="C657" s="5" t="s">
        <v>24</v>
      </c>
      <c r="D657" s="5">
        <v>17</v>
      </c>
      <c r="E657" s="5">
        <v>721</v>
      </c>
      <c r="F657" s="5">
        <v>12257</v>
      </c>
      <c r="G657" s="6">
        <f t="shared" ca="1" si="30"/>
        <v>45858</v>
      </c>
      <c r="H657" s="4" t="str">
        <f t="shared" ca="1" si="31"/>
        <v>July</v>
      </c>
      <c r="I657" t="str">
        <f t="shared" ca="1" si="32"/>
        <v>2025</v>
      </c>
      <c r="L657" s="4"/>
    </row>
    <row r="658" spans="1:12" x14ac:dyDescent="0.4">
      <c r="A658" s="5" t="s">
        <v>6</v>
      </c>
      <c r="B658" s="5" t="s">
        <v>12</v>
      </c>
      <c r="C658" s="5" t="s">
        <v>14</v>
      </c>
      <c r="D658" s="5">
        <v>8</v>
      </c>
      <c r="E658" s="5">
        <v>1820</v>
      </c>
      <c r="F658" s="5">
        <v>14560</v>
      </c>
      <c r="G658" s="6">
        <f t="shared" ca="1" si="30"/>
        <v>45795</v>
      </c>
      <c r="H658" s="4" t="str">
        <f t="shared" ca="1" si="31"/>
        <v>May</v>
      </c>
      <c r="I658" t="str">
        <f t="shared" ca="1" si="32"/>
        <v>2025</v>
      </c>
      <c r="L658" s="4"/>
    </row>
    <row r="659" spans="1:12" x14ac:dyDescent="0.4">
      <c r="A659" s="5" t="s">
        <v>19</v>
      </c>
      <c r="B659" s="5" t="s">
        <v>15</v>
      </c>
      <c r="C659" s="5" t="s">
        <v>11</v>
      </c>
      <c r="D659" s="5">
        <v>48</v>
      </c>
      <c r="E659" s="5">
        <v>331</v>
      </c>
      <c r="F659" s="5">
        <v>15888</v>
      </c>
      <c r="G659" s="6">
        <f t="shared" ca="1" si="30"/>
        <v>45922</v>
      </c>
      <c r="H659" s="4" t="str">
        <f t="shared" ca="1" si="31"/>
        <v>September</v>
      </c>
      <c r="I659" t="str">
        <f t="shared" ca="1" si="32"/>
        <v>2025</v>
      </c>
      <c r="L659" s="4"/>
    </row>
    <row r="660" spans="1:12" x14ac:dyDescent="0.4">
      <c r="A660" s="5" t="s">
        <v>9</v>
      </c>
      <c r="B660" s="5" t="s">
        <v>15</v>
      </c>
      <c r="C660" s="5" t="s">
        <v>18</v>
      </c>
      <c r="D660" s="5">
        <v>1</v>
      </c>
      <c r="E660" s="5">
        <v>1794</v>
      </c>
      <c r="F660" s="5">
        <v>1794</v>
      </c>
      <c r="G660" s="6">
        <f t="shared" ca="1" si="30"/>
        <v>45718</v>
      </c>
      <c r="H660" s="4" t="str">
        <f t="shared" ca="1" si="31"/>
        <v>March</v>
      </c>
      <c r="I660" t="str">
        <f t="shared" ca="1" si="32"/>
        <v>2025</v>
      </c>
      <c r="L660" s="4"/>
    </row>
    <row r="661" spans="1:12" x14ac:dyDescent="0.4">
      <c r="A661" s="5" t="s">
        <v>9</v>
      </c>
      <c r="B661" s="5" t="s">
        <v>7</v>
      </c>
      <c r="C661" s="5" t="s">
        <v>14</v>
      </c>
      <c r="D661" s="5">
        <v>26</v>
      </c>
      <c r="E661" s="5">
        <v>101</v>
      </c>
      <c r="F661" s="5">
        <v>2626</v>
      </c>
      <c r="G661" s="6">
        <f t="shared" ca="1" si="30"/>
        <v>45698</v>
      </c>
      <c r="H661" s="4" t="str">
        <f t="shared" ca="1" si="31"/>
        <v>February</v>
      </c>
      <c r="I661" t="str">
        <f t="shared" ca="1" si="32"/>
        <v>2025</v>
      </c>
      <c r="L661" s="4"/>
    </row>
    <row r="662" spans="1:12" x14ac:dyDescent="0.4">
      <c r="A662" s="5" t="s">
        <v>6</v>
      </c>
      <c r="B662" s="5" t="s">
        <v>15</v>
      </c>
      <c r="C662" s="5" t="s">
        <v>20</v>
      </c>
      <c r="D662" s="5">
        <v>42</v>
      </c>
      <c r="E662" s="5">
        <v>1761</v>
      </c>
      <c r="F662" s="5">
        <v>73962</v>
      </c>
      <c r="G662" s="6">
        <f t="shared" ca="1" si="30"/>
        <v>45553</v>
      </c>
      <c r="H662" s="4" t="str">
        <f t="shared" ca="1" si="31"/>
        <v>September</v>
      </c>
      <c r="I662" t="str">
        <f t="shared" ca="1" si="32"/>
        <v>2024</v>
      </c>
      <c r="L662" s="4"/>
    </row>
    <row r="663" spans="1:12" x14ac:dyDescent="0.4">
      <c r="A663" s="5" t="s">
        <v>17</v>
      </c>
      <c r="B663" s="5" t="s">
        <v>15</v>
      </c>
      <c r="C663" s="5" t="s">
        <v>11</v>
      </c>
      <c r="D663" s="5">
        <v>25</v>
      </c>
      <c r="E663" s="5">
        <v>219</v>
      </c>
      <c r="F663" s="5">
        <v>5475</v>
      </c>
      <c r="G663" s="6">
        <f t="shared" ca="1" si="30"/>
        <v>45983</v>
      </c>
      <c r="H663" s="4" t="str">
        <f t="shared" ca="1" si="31"/>
        <v>November</v>
      </c>
      <c r="I663" t="str">
        <f t="shared" ca="1" si="32"/>
        <v>2025</v>
      </c>
      <c r="L663" s="4"/>
    </row>
    <row r="664" spans="1:12" x14ac:dyDescent="0.4">
      <c r="A664" s="5" t="s">
        <v>17</v>
      </c>
      <c r="B664" s="5" t="s">
        <v>10</v>
      </c>
      <c r="C664" s="5" t="s">
        <v>22</v>
      </c>
      <c r="D664" s="5">
        <v>9</v>
      </c>
      <c r="E664" s="5">
        <v>1847</v>
      </c>
      <c r="F664" s="5">
        <v>16623</v>
      </c>
      <c r="G664" s="6">
        <f t="shared" ca="1" si="30"/>
        <v>45533</v>
      </c>
      <c r="H664" s="4" t="str">
        <f t="shared" ca="1" si="31"/>
        <v>August</v>
      </c>
      <c r="I664" t="str">
        <f t="shared" ca="1" si="32"/>
        <v>2024</v>
      </c>
      <c r="L664" s="4"/>
    </row>
    <row r="665" spans="1:12" x14ac:dyDescent="0.4">
      <c r="A665" s="5" t="s">
        <v>17</v>
      </c>
      <c r="B665" s="5" t="s">
        <v>7</v>
      </c>
      <c r="C665" s="5" t="s">
        <v>14</v>
      </c>
      <c r="D665" s="5">
        <v>18</v>
      </c>
      <c r="E665" s="5">
        <v>318</v>
      </c>
      <c r="F665" s="5">
        <v>5724</v>
      </c>
      <c r="G665" s="6">
        <f t="shared" ca="1" si="30"/>
        <v>45670</v>
      </c>
      <c r="H665" s="4" t="str">
        <f t="shared" ca="1" si="31"/>
        <v>January</v>
      </c>
      <c r="I665" t="str">
        <f t="shared" ca="1" si="32"/>
        <v>2025</v>
      </c>
      <c r="L665" s="4"/>
    </row>
    <row r="666" spans="1:12" x14ac:dyDescent="0.4">
      <c r="A666" s="5" t="s">
        <v>6</v>
      </c>
      <c r="B666" s="5" t="s">
        <v>10</v>
      </c>
      <c r="C666" s="5" t="s">
        <v>8</v>
      </c>
      <c r="D666" s="5">
        <v>6</v>
      </c>
      <c r="E666" s="5">
        <v>626</v>
      </c>
      <c r="F666" s="5">
        <v>3756</v>
      </c>
      <c r="G666" s="6">
        <f t="shared" ca="1" si="30"/>
        <v>45666</v>
      </c>
      <c r="H666" s="4" t="str">
        <f t="shared" ca="1" si="31"/>
        <v>January</v>
      </c>
      <c r="I666" t="str">
        <f t="shared" ca="1" si="32"/>
        <v>2025</v>
      </c>
      <c r="L666" s="4"/>
    </row>
    <row r="667" spans="1:12" x14ac:dyDescent="0.4">
      <c r="A667" s="5" t="s">
        <v>17</v>
      </c>
      <c r="B667" s="5" t="s">
        <v>21</v>
      </c>
      <c r="C667" s="5" t="s">
        <v>24</v>
      </c>
      <c r="D667" s="5">
        <v>28</v>
      </c>
      <c r="E667" s="5">
        <v>1529</v>
      </c>
      <c r="F667" s="5">
        <v>42812</v>
      </c>
      <c r="G667" s="6">
        <f t="shared" ca="1" si="30"/>
        <v>45421</v>
      </c>
      <c r="H667" s="4" t="str">
        <f t="shared" ca="1" si="31"/>
        <v>May</v>
      </c>
      <c r="I667" t="str">
        <f t="shared" ca="1" si="32"/>
        <v>2024</v>
      </c>
      <c r="L667" s="4"/>
    </row>
    <row r="668" spans="1:12" x14ac:dyDescent="0.4">
      <c r="A668" s="5" t="s">
        <v>6</v>
      </c>
      <c r="B668" s="5" t="s">
        <v>12</v>
      </c>
      <c r="C668" s="5" t="s">
        <v>16</v>
      </c>
      <c r="D668" s="5">
        <v>12</v>
      </c>
      <c r="E668" s="5">
        <v>899</v>
      </c>
      <c r="F668" s="5">
        <v>10788</v>
      </c>
      <c r="G668" s="6">
        <f t="shared" ca="1" si="30"/>
        <v>45506</v>
      </c>
      <c r="H668" s="4" t="str">
        <f t="shared" ca="1" si="31"/>
        <v>August</v>
      </c>
      <c r="I668" t="str">
        <f t="shared" ca="1" si="32"/>
        <v>2024</v>
      </c>
      <c r="L668" s="4"/>
    </row>
    <row r="669" spans="1:12" x14ac:dyDescent="0.4">
      <c r="A669" s="5" t="s">
        <v>9</v>
      </c>
      <c r="B669" s="5" t="s">
        <v>10</v>
      </c>
      <c r="C669" s="5" t="s">
        <v>24</v>
      </c>
      <c r="D669" s="5">
        <v>20</v>
      </c>
      <c r="E669" s="5">
        <v>324</v>
      </c>
      <c r="F669" s="5">
        <v>6480</v>
      </c>
      <c r="G669" s="6">
        <f t="shared" ca="1" si="30"/>
        <v>45889</v>
      </c>
      <c r="H669" s="4" t="str">
        <f t="shared" ca="1" si="31"/>
        <v>August</v>
      </c>
      <c r="I669" t="str">
        <f t="shared" ca="1" si="32"/>
        <v>2025</v>
      </c>
      <c r="L669" s="4"/>
    </row>
    <row r="670" spans="1:12" x14ac:dyDescent="0.4">
      <c r="A670" s="5" t="s">
        <v>9</v>
      </c>
      <c r="B670" s="5" t="s">
        <v>10</v>
      </c>
      <c r="C670" s="5" t="s">
        <v>20</v>
      </c>
      <c r="D670" s="5">
        <v>9</v>
      </c>
      <c r="E670" s="5">
        <v>803</v>
      </c>
      <c r="F670" s="5">
        <v>7227</v>
      </c>
      <c r="G670" s="6">
        <f t="shared" ca="1" si="30"/>
        <v>45872</v>
      </c>
      <c r="H670" s="4" t="str">
        <f t="shared" ca="1" si="31"/>
        <v>August</v>
      </c>
      <c r="I670" t="str">
        <f t="shared" ca="1" si="32"/>
        <v>2025</v>
      </c>
      <c r="L670" s="4"/>
    </row>
    <row r="671" spans="1:12" x14ac:dyDescent="0.4">
      <c r="A671" s="5" t="s">
        <v>9</v>
      </c>
      <c r="B671" s="5" t="s">
        <v>12</v>
      </c>
      <c r="C671" s="5" t="s">
        <v>20</v>
      </c>
      <c r="D671" s="5">
        <v>36</v>
      </c>
      <c r="E671" s="5">
        <v>101</v>
      </c>
      <c r="F671" s="5">
        <v>3636</v>
      </c>
      <c r="G671" s="6">
        <f t="shared" ca="1" si="30"/>
        <v>45807</v>
      </c>
      <c r="H671" s="4" t="str">
        <f t="shared" ca="1" si="31"/>
        <v>May</v>
      </c>
      <c r="I671" t="str">
        <f t="shared" ca="1" si="32"/>
        <v>2025</v>
      </c>
      <c r="L671" s="4"/>
    </row>
    <row r="672" spans="1:12" x14ac:dyDescent="0.4">
      <c r="A672" s="5" t="s">
        <v>17</v>
      </c>
      <c r="B672" s="5" t="s">
        <v>10</v>
      </c>
      <c r="C672" s="5" t="s">
        <v>20</v>
      </c>
      <c r="D672" s="5">
        <v>20</v>
      </c>
      <c r="E672" s="5">
        <v>1851</v>
      </c>
      <c r="F672" s="5">
        <v>37020</v>
      </c>
      <c r="G672" s="6">
        <f t="shared" ca="1" si="30"/>
        <v>45957</v>
      </c>
      <c r="H672" s="4" t="str">
        <f t="shared" ca="1" si="31"/>
        <v>October</v>
      </c>
      <c r="I672" t="str">
        <f t="shared" ca="1" si="32"/>
        <v>2025</v>
      </c>
      <c r="L672" s="4"/>
    </row>
    <row r="673" spans="1:12" x14ac:dyDescent="0.4">
      <c r="A673" s="5" t="s">
        <v>17</v>
      </c>
      <c r="B673" s="5" t="s">
        <v>21</v>
      </c>
      <c r="C673" s="5" t="s">
        <v>16</v>
      </c>
      <c r="D673" s="5">
        <v>29</v>
      </c>
      <c r="E673" s="5">
        <v>1083</v>
      </c>
      <c r="F673" s="5">
        <v>31407</v>
      </c>
      <c r="G673" s="6">
        <f t="shared" ca="1" si="30"/>
        <v>45426</v>
      </c>
      <c r="H673" s="4" t="str">
        <f t="shared" ca="1" si="31"/>
        <v>May</v>
      </c>
      <c r="I673" t="str">
        <f t="shared" ca="1" si="32"/>
        <v>2024</v>
      </c>
      <c r="L673" s="4"/>
    </row>
    <row r="674" spans="1:12" x14ac:dyDescent="0.4">
      <c r="A674" s="5" t="s">
        <v>9</v>
      </c>
      <c r="B674" s="5" t="s">
        <v>7</v>
      </c>
      <c r="C674" s="5" t="s">
        <v>24</v>
      </c>
      <c r="D674" s="5">
        <v>4</v>
      </c>
      <c r="E674" s="5">
        <v>1590</v>
      </c>
      <c r="F674" s="5">
        <v>6360</v>
      </c>
      <c r="G674" s="6">
        <f t="shared" ca="1" si="30"/>
        <v>45493</v>
      </c>
      <c r="H674" s="4" t="str">
        <f t="shared" ca="1" si="31"/>
        <v>July</v>
      </c>
      <c r="I674" t="str">
        <f t="shared" ca="1" si="32"/>
        <v>2024</v>
      </c>
      <c r="L674" s="4"/>
    </row>
    <row r="675" spans="1:12" x14ac:dyDescent="0.4">
      <c r="A675" s="5" t="s">
        <v>6</v>
      </c>
      <c r="B675" s="5" t="s">
        <v>7</v>
      </c>
      <c r="C675" s="5" t="s">
        <v>18</v>
      </c>
      <c r="D675" s="5">
        <v>30</v>
      </c>
      <c r="E675" s="5">
        <v>431</v>
      </c>
      <c r="F675" s="5">
        <v>12930</v>
      </c>
      <c r="G675" s="6">
        <f t="shared" ca="1" si="30"/>
        <v>45859</v>
      </c>
      <c r="H675" s="4" t="str">
        <f t="shared" ca="1" si="31"/>
        <v>July</v>
      </c>
      <c r="I675" t="str">
        <f t="shared" ca="1" si="32"/>
        <v>2025</v>
      </c>
      <c r="L675" s="4"/>
    </row>
    <row r="676" spans="1:12" x14ac:dyDescent="0.4">
      <c r="A676" s="5" t="s">
        <v>17</v>
      </c>
      <c r="B676" s="5" t="s">
        <v>12</v>
      </c>
      <c r="C676" s="5" t="s">
        <v>8</v>
      </c>
      <c r="D676" s="5">
        <v>3</v>
      </c>
      <c r="E676" s="5">
        <v>1539</v>
      </c>
      <c r="F676" s="5">
        <v>4617</v>
      </c>
      <c r="G676" s="6">
        <f t="shared" ca="1" si="30"/>
        <v>45846</v>
      </c>
      <c r="H676" s="4" t="str">
        <f t="shared" ca="1" si="31"/>
        <v>July</v>
      </c>
      <c r="I676" t="str">
        <f t="shared" ca="1" si="32"/>
        <v>2025</v>
      </c>
      <c r="L676" s="4"/>
    </row>
    <row r="677" spans="1:12" x14ac:dyDescent="0.4">
      <c r="A677" s="5" t="s">
        <v>6</v>
      </c>
      <c r="B677" s="5" t="s">
        <v>7</v>
      </c>
      <c r="C677" s="5" t="s">
        <v>14</v>
      </c>
      <c r="D677" s="5">
        <v>9</v>
      </c>
      <c r="E677" s="5">
        <v>1259</v>
      </c>
      <c r="F677" s="5">
        <v>11331</v>
      </c>
      <c r="G677" s="6">
        <f t="shared" ca="1" si="30"/>
        <v>45710</v>
      </c>
      <c r="H677" s="4" t="str">
        <f t="shared" ca="1" si="31"/>
        <v>February</v>
      </c>
      <c r="I677" t="str">
        <f t="shared" ca="1" si="32"/>
        <v>2025</v>
      </c>
      <c r="L677" s="4"/>
    </row>
    <row r="678" spans="1:12" x14ac:dyDescent="0.4">
      <c r="A678" s="5" t="s">
        <v>17</v>
      </c>
      <c r="B678" s="5" t="s">
        <v>21</v>
      </c>
      <c r="C678" s="5" t="s">
        <v>14</v>
      </c>
      <c r="D678" s="5">
        <v>12</v>
      </c>
      <c r="E678" s="5">
        <v>683</v>
      </c>
      <c r="F678" s="5">
        <v>8196</v>
      </c>
      <c r="G678" s="6">
        <f t="shared" ca="1" si="30"/>
        <v>45765</v>
      </c>
      <c r="H678" s="4" t="str">
        <f t="shared" ca="1" si="31"/>
        <v>April</v>
      </c>
      <c r="I678" t="str">
        <f t="shared" ca="1" si="32"/>
        <v>2025</v>
      </c>
      <c r="L678" s="4"/>
    </row>
    <row r="679" spans="1:12" x14ac:dyDescent="0.4">
      <c r="A679" s="5" t="s">
        <v>6</v>
      </c>
      <c r="B679" s="5" t="s">
        <v>12</v>
      </c>
      <c r="C679" s="5" t="s">
        <v>16</v>
      </c>
      <c r="D679" s="5">
        <v>42</v>
      </c>
      <c r="E679" s="5">
        <v>1721</v>
      </c>
      <c r="F679" s="5">
        <v>72282</v>
      </c>
      <c r="G679" s="6">
        <f t="shared" ca="1" si="30"/>
        <v>45433</v>
      </c>
      <c r="H679" s="4" t="str">
        <f t="shared" ca="1" si="31"/>
        <v>May</v>
      </c>
      <c r="I679" t="str">
        <f t="shared" ca="1" si="32"/>
        <v>2024</v>
      </c>
      <c r="L679" s="4"/>
    </row>
    <row r="680" spans="1:12" x14ac:dyDescent="0.4">
      <c r="A680" s="5" t="s">
        <v>17</v>
      </c>
      <c r="B680" s="5" t="s">
        <v>12</v>
      </c>
      <c r="C680" s="5" t="s">
        <v>16</v>
      </c>
      <c r="D680" s="5">
        <v>22</v>
      </c>
      <c r="E680" s="5">
        <v>1536</v>
      </c>
      <c r="F680" s="5">
        <v>33792</v>
      </c>
      <c r="G680" s="6">
        <f t="shared" ca="1" si="30"/>
        <v>45428</v>
      </c>
      <c r="H680" s="4" t="str">
        <f t="shared" ca="1" si="31"/>
        <v>May</v>
      </c>
      <c r="I680" t="str">
        <f t="shared" ca="1" si="32"/>
        <v>2024</v>
      </c>
      <c r="L680" s="4"/>
    </row>
    <row r="681" spans="1:12" x14ac:dyDescent="0.4">
      <c r="A681" s="5" t="s">
        <v>17</v>
      </c>
      <c r="B681" s="5" t="s">
        <v>21</v>
      </c>
      <c r="C681" s="5" t="s">
        <v>11</v>
      </c>
      <c r="D681" s="5">
        <v>45</v>
      </c>
      <c r="E681" s="5">
        <v>944</v>
      </c>
      <c r="F681" s="5">
        <v>42480</v>
      </c>
      <c r="G681" s="6">
        <f t="shared" ca="1" si="30"/>
        <v>45572</v>
      </c>
      <c r="H681" s="4" t="str">
        <f t="shared" ca="1" si="31"/>
        <v>October</v>
      </c>
      <c r="I681" t="str">
        <f t="shared" ca="1" si="32"/>
        <v>2024</v>
      </c>
      <c r="L681" s="4"/>
    </row>
    <row r="682" spans="1:12" x14ac:dyDescent="0.4">
      <c r="A682" s="5" t="s">
        <v>17</v>
      </c>
      <c r="B682" s="5" t="s">
        <v>7</v>
      </c>
      <c r="C682" s="5" t="s">
        <v>22</v>
      </c>
      <c r="D682" s="5">
        <v>24</v>
      </c>
      <c r="E682" s="5">
        <v>1132</v>
      </c>
      <c r="F682" s="5">
        <v>27168</v>
      </c>
      <c r="G682" s="6">
        <f t="shared" ca="1" si="30"/>
        <v>45854</v>
      </c>
      <c r="H682" s="4" t="str">
        <f t="shared" ca="1" si="31"/>
        <v>July</v>
      </c>
      <c r="I682" t="str">
        <f t="shared" ca="1" si="32"/>
        <v>2025</v>
      </c>
      <c r="L682" s="4"/>
    </row>
    <row r="683" spans="1:12" x14ac:dyDescent="0.4">
      <c r="A683" s="5" t="s">
        <v>9</v>
      </c>
      <c r="B683" s="5" t="s">
        <v>21</v>
      </c>
      <c r="C683" s="5" t="s">
        <v>22</v>
      </c>
      <c r="D683" s="5">
        <v>29</v>
      </c>
      <c r="E683" s="5">
        <v>158</v>
      </c>
      <c r="F683" s="5">
        <v>4582</v>
      </c>
      <c r="G683" s="6">
        <f t="shared" ca="1" si="30"/>
        <v>45642</v>
      </c>
      <c r="H683" s="4" t="str">
        <f t="shared" ca="1" si="31"/>
        <v>December</v>
      </c>
      <c r="I683" t="str">
        <f t="shared" ca="1" si="32"/>
        <v>2024</v>
      </c>
      <c r="L683" s="4"/>
    </row>
    <row r="684" spans="1:12" x14ac:dyDescent="0.4">
      <c r="A684" s="5" t="s">
        <v>9</v>
      </c>
      <c r="B684" s="5" t="s">
        <v>12</v>
      </c>
      <c r="C684" s="5" t="s">
        <v>8</v>
      </c>
      <c r="D684" s="5">
        <v>4</v>
      </c>
      <c r="E684" s="5">
        <v>1537</v>
      </c>
      <c r="F684" s="5">
        <v>6148</v>
      </c>
      <c r="G684" s="6">
        <f t="shared" ca="1" si="30"/>
        <v>45986</v>
      </c>
      <c r="H684" s="4" t="str">
        <f t="shared" ca="1" si="31"/>
        <v>November</v>
      </c>
      <c r="I684" t="str">
        <f t="shared" ca="1" si="32"/>
        <v>2025</v>
      </c>
      <c r="L684" s="4"/>
    </row>
    <row r="685" spans="1:12" x14ac:dyDescent="0.4">
      <c r="A685" s="5" t="s">
        <v>9</v>
      </c>
      <c r="B685" s="5" t="s">
        <v>10</v>
      </c>
      <c r="C685" s="5" t="s">
        <v>22</v>
      </c>
      <c r="D685" s="5">
        <v>17</v>
      </c>
      <c r="E685" s="5">
        <v>491</v>
      </c>
      <c r="F685" s="5">
        <v>8347</v>
      </c>
      <c r="G685" s="6">
        <f t="shared" ca="1" si="30"/>
        <v>45335</v>
      </c>
      <c r="H685" s="4" t="str">
        <f t="shared" ca="1" si="31"/>
        <v>February</v>
      </c>
      <c r="I685" t="str">
        <f t="shared" ca="1" si="32"/>
        <v>2024</v>
      </c>
      <c r="L685" s="4"/>
    </row>
    <row r="686" spans="1:12" x14ac:dyDescent="0.4">
      <c r="A686" s="5" t="s">
        <v>17</v>
      </c>
      <c r="B686" s="5" t="s">
        <v>21</v>
      </c>
      <c r="C686" s="5" t="s">
        <v>11</v>
      </c>
      <c r="D686" s="5">
        <v>47</v>
      </c>
      <c r="E686" s="5">
        <v>1281</v>
      </c>
      <c r="F686" s="5">
        <v>60207</v>
      </c>
      <c r="G686" s="6">
        <f t="shared" ca="1" si="30"/>
        <v>45748</v>
      </c>
      <c r="H686" s="4" t="str">
        <f t="shared" ca="1" si="31"/>
        <v>April</v>
      </c>
      <c r="I686" t="str">
        <f t="shared" ca="1" si="32"/>
        <v>2025</v>
      </c>
      <c r="L686" s="4"/>
    </row>
    <row r="687" spans="1:12" x14ac:dyDescent="0.4">
      <c r="A687" s="5" t="s">
        <v>9</v>
      </c>
      <c r="B687" s="5" t="s">
        <v>7</v>
      </c>
      <c r="C687" s="5" t="s">
        <v>8</v>
      </c>
      <c r="D687" s="5">
        <v>24</v>
      </c>
      <c r="E687" s="5">
        <v>1382</v>
      </c>
      <c r="F687" s="5">
        <v>33168</v>
      </c>
      <c r="G687" s="6">
        <f t="shared" ca="1" si="30"/>
        <v>45843</v>
      </c>
      <c r="H687" s="4" t="str">
        <f t="shared" ca="1" si="31"/>
        <v>July</v>
      </c>
      <c r="I687" t="str">
        <f t="shared" ca="1" si="32"/>
        <v>2025</v>
      </c>
      <c r="L687" s="4"/>
    </row>
    <row r="688" spans="1:12" x14ac:dyDescent="0.4">
      <c r="A688" s="5" t="s">
        <v>9</v>
      </c>
      <c r="B688" s="5" t="s">
        <v>10</v>
      </c>
      <c r="C688" s="5" t="s">
        <v>11</v>
      </c>
      <c r="D688" s="5">
        <v>42</v>
      </c>
      <c r="E688" s="5">
        <v>1124</v>
      </c>
      <c r="F688" s="5">
        <v>47208</v>
      </c>
      <c r="G688" s="6">
        <f t="shared" ca="1" si="30"/>
        <v>45771</v>
      </c>
      <c r="H688" s="4" t="str">
        <f t="shared" ca="1" si="31"/>
        <v>April</v>
      </c>
      <c r="I688" t="str">
        <f t="shared" ca="1" si="32"/>
        <v>2025</v>
      </c>
      <c r="L688" s="4"/>
    </row>
    <row r="689" spans="1:12" x14ac:dyDescent="0.4">
      <c r="A689" s="5" t="s">
        <v>6</v>
      </c>
      <c r="B689" s="5" t="s">
        <v>15</v>
      </c>
      <c r="C689" s="5" t="s">
        <v>20</v>
      </c>
      <c r="D689" s="5">
        <v>40</v>
      </c>
      <c r="E689" s="5">
        <v>412</v>
      </c>
      <c r="F689" s="5">
        <v>16480</v>
      </c>
      <c r="G689" s="6">
        <f t="shared" ca="1" si="30"/>
        <v>45679</v>
      </c>
      <c r="H689" s="4" t="str">
        <f t="shared" ca="1" si="31"/>
        <v>January</v>
      </c>
      <c r="I689" t="str">
        <f t="shared" ca="1" si="32"/>
        <v>2025</v>
      </c>
      <c r="L689" s="4"/>
    </row>
    <row r="690" spans="1:12" x14ac:dyDescent="0.4">
      <c r="A690" s="5" t="s">
        <v>17</v>
      </c>
      <c r="B690" s="5" t="s">
        <v>7</v>
      </c>
      <c r="C690" s="5" t="s">
        <v>14</v>
      </c>
      <c r="D690" s="5">
        <v>21</v>
      </c>
      <c r="E690" s="5">
        <v>1204</v>
      </c>
      <c r="F690" s="5">
        <v>25284</v>
      </c>
      <c r="G690" s="6">
        <f t="shared" ca="1" si="30"/>
        <v>45618</v>
      </c>
      <c r="H690" s="4" t="str">
        <f t="shared" ca="1" si="31"/>
        <v>November</v>
      </c>
      <c r="I690" t="str">
        <f t="shared" ca="1" si="32"/>
        <v>2024</v>
      </c>
      <c r="L690" s="4"/>
    </row>
    <row r="691" spans="1:12" x14ac:dyDescent="0.4">
      <c r="A691" s="5" t="s">
        <v>19</v>
      </c>
      <c r="B691" s="5" t="s">
        <v>7</v>
      </c>
      <c r="C691" s="5" t="s">
        <v>22</v>
      </c>
      <c r="D691" s="5">
        <v>50</v>
      </c>
      <c r="E691" s="5">
        <v>463</v>
      </c>
      <c r="F691" s="5">
        <v>23150</v>
      </c>
      <c r="G691" s="6">
        <f t="shared" ca="1" si="30"/>
        <v>45622</v>
      </c>
      <c r="H691" s="4" t="str">
        <f t="shared" ca="1" si="31"/>
        <v>November</v>
      </c>
      <c r="I691" t="str">
        <f t="shared" ca="1" si="32"/>
        <v>2024</v>
      </c>
      <c r="L691" s="4"/>
    </row>
    <row r="692" spans="1:12" x14ac:dyDescent="0.4">
      <c r="A692" s="5" t="s">
        <v>9</v>
      </c>
      <c r="B692" s="5" t="s">
        <v>7</v>
      </c>
      <c r="C692" s="5" t="s">
        <v>23</v>
      </c>
      <c r="D692" s="5">
        <v>41</v>
      </c>
      <c r="E692" s="5">
        <v>862</v>
      </c>
      <c r="F692" s="5">
        <v>35342</v>
      </c>
      <c r="G692" s="6">
        <f t="shared" ca="1" si="30"/>
        <v>45891</v>
      </c>
      <c r="H692" s="4" t="str">
        <f t="shared" ca="1" si="31"/>
        <v>August</v>
      </c>
      <c r="I692" t="str">
        <f t="shared" ca="1" si="32"/>
        <v>2025</v>
      </c>
      <c r="L692" s="4"/>
    </row>
    <row r="693" spans="1:12" x14ac:dyDescent="0.4">
      <c r="A693" s="5" t="s">
        <v>9</v>
      </c>
      <c r="B693" s="5" t="s">
        <v>10</v>
      </c>
      <c r="C693" s="5" t="s">
        <v>24</v>
      </c>
      <c r="D693" s="5">
        <v>28</v>
      </c>
      <c r="E693" s="5">
        <v>1320</v>
      </c>
      <c r="F693" s="5">
        <v>36960</v>
      </c>
      <c r="G693" s="6">
        <f t="shared" ca="1" si="30"/>
        <v>45865</v>
      </c>
      <c r="H693" s="4" t="str">
        <f t="shared" ca="1" si="31"/>
        <v>July</v>
      </c>
      <c r="I693" t="str">
        <f t="shared" ca="1" si="32"/>
        <v>2025</v>
      </c>
      <c r="L693" s="4"/>
    </row>
    <row r="694" spans="1:12" x14ac:dyDescent="0.4">
      <c r="A694" s="5" t="s">
        <v>9</v>
      </c>
      <c r="B694" s="5" t="s">
        <v>7</v>
      </c>
      <c r="C694" s="5" t="s">
        <v>14</v>
      </c>
      <c r="D694" s="5">
        <v>19</v>
      </c>
      <c r="E694" s="5">
        <v>394</v>
      </c>
      <c r="F694" s="5">
        <v>7486</v>
      </c>
      <c r="G694" s="6">
        <f t="shared" ca="1" si="30"/>
        <v>45512</v>
      </c>
      <c r="H694" s="4" t="str">
        <f t="shared" ca="1" si="31"/>
        <v>August</v>
      </c>
      <c r="I694" t="str">
        <f t="shared" ca="1" si="32"/>
        <v>2024</v>
      </c>
      <c r="L694" s="4"/>
    </row>
    <row r="695" spans="1:12" x14ac:dyDescent="0.4">
      <c r="A695" s="5" t="s">
        <v>19</v>
      </c>
      <c r="B695" s="5" t="s">
        <v>7</v>
      </c>
      <c r="C695" s="5" t="s">
        <v>20</v>
      </c>
      <c r="D695" s="5">
        <v>4</v>
      </c>
      <c r="E695" s="5">
        <v>177</v>
      </c>
      <c r="F695" s="5">
        <v>708</v>
      </c>
      <c r="G695" s="6">
        <f t="shared" ca="1" si="30"/>
        <v>45909</v>
      </c>
      <c r="H695" s="4" t="str">
        <f t="shared" ca="1" si="31"/>
        <v>September</v>
      </c>
      <c r="I695" t="str">
        <f t="shared" ca="1" si="32"/>
        <v>2025</v>
      </c>
      <c r="L695" s="4"/>
    </row>
    <row r="696" spans="1:12" x14ac:dyDescent="0.4">
      <c r="A696" s="5" t="s">
        <v>6</v>
      </c>
      <c r="B696" s="5" t="s">
        <v>15</v>
      </c>
      <c r="C696" s="5" t="s">
        <v>16</v>
      </c>
      <c r="D696" s="5">
        <v>10</v>
      </c>
      <c r="E696" s="5">
        <v>1051</v>
      </c>
      <c r="F696" s="5">
        <v>10510</v>
      </c>
      <c r="G696" s="6">
        <f t="shared" ca="1" si="30"/>
        <v>45647</v>
      </c>
      <c r="H696" s="4" t="str">
        <f t="shared" ca="1" si="31"/>
        <v>December</v>
      </c>
      <c r="I696" t="str">
        <f t="shared" ca="1" si="32"/>
        <v>2024</v>
      </c>
      <c r="L696" s="4"/>
    </row>
    <row r="697" spans="1:12" x14ac:dyDescent="0.4">
      <c r="A697" s="5" t="s">
        <v>6</v>
      </c>
      <c r="B697" s="5" t="s">
        <v>10</v>
      </c>
      <c r="C697" s="5" t="s">
        <v>20</v>
      </c>
      <c r="D697" s="5">
        <v>46</v>
      </c>
      <c r="E697" s="5">
        <v>691</v>
      </c>
      <c r="F697" s="5">
        <v>31786</v>
      </c>
      <c r="G697" s="6">
        <f t="shared" ca="1" si="30"/>
        <v>45982</v>
      </c>
      <c r="H697" s="4" t="str">
        <f t="shared" ca="1" si="31"/>
        <v>November</v>
      </c>
      <c r="I697" t="str">
        <f t="shared" ca="1" si="32"/>
        <v>2025</v>
      </c>
      <c r="L697" s="4"/>
    </row>
    <row r="698" spans="1:12" x14ac:dyDescent="0.4">
      <c r="A698" s="5" t="s">
        <v>17</v>
      </c>
      <c r="B698" s="5" t="s">
        <v>10</v>
      </c>
      <c r="C698" s="5" t="s">
        <v>8</v>
      </c>
      <c r="D698" s="5">
        <v>20</v>
      </c>
      <c r="E698" s="5">
        <v>759</v>
      </c>
      <c r="F698" s="5">
        <v>15180</v>
      </c>
      <c r="G698" s="6">
        <f t="shared" ca="1" si="30"/>
        <v>45886</v>
      </c>
      <c r="H698" s="4" t="str">
        <f t="shared" ca="1" si="31"/>
        <v>August</v>
      </c>
      <c r="I698" t="str">
        <f t="shared" ca="1" si="32"/>
        <v>2025</v>
      </c>
      <c r="L698" s="4"/>
    </row>
    <row r="699" spans="1:12" x14ac:dyDescent="0.4">
      <c r="A699" s="5" t="s">
        <v>17</v>
      </c>
      <c r="B699" s="5" t="s">
        <v>12</v>
      </c>
      <c r="C699" s="5" t="s">
        <v>13</v>
      </c>
      <c r="D699" s="5">
        <v>33</v>
      </c>
      <c r="E699" s="5">
        <v>1740</v>
      </c>
      <c r="F699" s="5">
        <v>57420</v>
      </c>
      <c r="G699" s="6">
        <f t="shared" ca="1" si="30"/>
        <v>45922</v>
      </c>
      <c r="H699" s="4" t="str">
        <f t="shared" ca="1" si="31"/>
        <v>September</v>
      </c>
      <c r="I699" t="str">
        <f t="shared" ca="1" si="32"/>
        <v>2025</v>
      </c>
      <c r="L699" s="4"/>
    </row>
    <row r="700" spans="1:12" x14ac:dyDescent="0.4">
      <c r="A700" s="5" t="s">
        <v>17</v>
      </c>
      <c r="B700" s="5" t="s">
        <v>7</v>
      </c>
      <c r="C700" s="5" t="s">
        <v>16</v>
      </c>
      <c r="D700" s="5">
        <v>7</v>
      </c>
      <c r="E700" s="5">
        <v>242</v>
      </c>
      <c r="F700" s="5">
        <v>1694</v>
      </c>
      <c r="G700" s="6">
        <f t="shared" ca="1" si="30"/>
        <v>45669</v>
      </c>
      <c r="H700" s="4" t="str">
        <f t="shared" ca="1" si="31"/>
        <v>January</v>
      </c>
      <c r="I700" t="str">
        <f t="shared" ca="1" si="32"/>
        <v>2025</v>
      </c>
      <c r="L700" s="4"/>
    </row>
    <row r="701" spans="1:12" x14ac:dyDescent="0.4">
      <c r="A701" s="5" t="s">
        <v>9</v>
      </c>
      <c r="B701" s="5" t="s">
        <v>7</v>
      </c>
      <c r="C701" s="5" t="s">
        <v>8</v>
      </c>
      <c r="D701" s="5">
        <v>38</v>
      </c>
      <c r="E701" s="5">
        <v>1651</v>
      </c>
      <c r="F701" s="5">
        <v>62738</v>
      </c>
      <c r="G701" s="6">
        <f t="shared" ca="1" si="30"/>
        <v>45960</v>
      </c>
      <c r="H701" s="4" t="str">
        <f t="shared" ca="1" si="31"/>
        <v>October</v>
      </c>
      <c r="I701" t="str">
        <f t="shared" ca="1" si="32"/>
        <v>2025</v>
      </c>
      <c r="L701" s="4"/>
    </row>
    <row r="702" spans="1:12" x14ac:dyDescent="0.4">
      <c r="A702" s="5" t="s">
        <v>6</v>
      </c>
      <c r="B702" s="5" t="s">
        <v>10</v>
      </c>
      <c r="C702" s="5" t="s">
        <v>20</v>
      </c>
      <c r="D702" s="5">
        <v>25</v>
      </c>
      <c r="E702" s="5">
        <v>415</v>
      </c>
      <c r="F702" s="5">
        <v>10375</v>
      </c>
      <c r="G702" s="6">
        <f t="shared" ca="1" si="30"/>
        <v>45806</v>
      </c>
      <c r="H702" s="4" t="str">
        <f t="shared" ca="1" si="31"/>
        <v>May</v>
      </c>
      <c r="I702" t="str">
        <f t="shared" ca="1" si="32"/>
        <v>2025</v>
      </c>
      <c r="L702" s="4"/>
    </row>
    <row r="703" spans="1:12" x14ac:dyDescent="0.4">
      <c r="A703" s="5" t="s">
        <v>19</v>
      </c>
      <c r="B703" s="5" t="s">
        <v>21</v>
      </c>
      <c r="C703" s="5" t="s">
        <v>18</v>
      </c>
      <c r="D703" s="5">
        <v>38</v>
      </c>
      <c r="E703" s="5">
        <v>431</v>
      </c>
      <c r="F703" s="5">
        <v>16378</v>
      </c>
      <c r="G703" s="6">
        <f t="shared" ca="1" si="30"/>
        <v>45790</v>
      </c>
      <c r="H703" s="4" t="str">
        <f t="shared" ca="1" si="31"/>
        <v>May</v>
      </c>
      <c r="I703" t="str">
        <f t="shared" ca="1" si="32"/>
        <v>2025</v>
      </c>
      <c r="L703" s="4"/>
    </row>
    <row r="704" spans="1:12" x14ac:dyDescent="0.4">
      <c r="A704" s="5" t="s">
        <v>19</v>
      </c>
      <c r="B704" s="5" t="s">
        <v>10</v>
      </c>
      <c r="C704" s="5" t="s">
        <v>11</v>
      </c>
      <c r="D704" s="5">
        <v>10</v>
      </c>
      <c r="E704" s="5">
        <v>1101</v>
      </c>
      <c r="F704" s="5">
        <v>11010</v>
      </c>
      <c r="G704" s="6">
        <f t="shared" ca="1" si="30"/>
        <v>45310</v>
      </c>
      <c r="H704" s="4" t="str">
        <f t="shared" ca="1" si="31"/>
        <v>January</v>
      </c>
      <c r="I704" t="str">
        <f t="shared" ca="1" si="32"/>
        <v>2024</v>
      </c>
      <c r="L704" s="4"/>
    </row>
    <row r="705" spans="1:12" x14ac:dyDescent="0.4">
      <c r="A705" s="5" t="s">
        <v>6</v>
      </c>
      <c r="B705" s="5" t="s">
        <v>21</v>
      </c>
      <c r="C705" s="5" t="s">
        <v>8</v>
      </c>
      <c r="D705" s="5">
        <v>1</v>
      </c>
      <c r="E705" s="5">
        <v>1099</v>
      </c>
      <c r="F705" s="5">
        <v>1099</v>
      </c>
      <c r="G705" s="6">
        <f t="shared" ca="1" si="30"/>
        <v>45396</v>
      </c>
      <c r="H705" s="4" t="str">
        <f t="shared" ca="1" si="31"/>
        <v>April</v>
      </c>
      <c r="I705" t="str">
        <f t="shared" ca="1" si="32"/>
        <v>2024</v>
      </c>
      <c r="L705" s="4"/>
    </row>
    <row r="706" spans="1:12" x14ac:dyDescent="0.4">
      <c r="A706" s="5" t="s">
        <v>6</v>
      </c>
      <c r="B706" s="5" t="s">
        <v>10</v>
      </c>
      <c r="C706" s="5" t="s">
        <v>23</v>
      </c>
      <c r="D706" s="5">
        <v>7</v>
      </c>
      <c r="E706" s="5">
        <v>598</v>
      </c>
      <c r="F706" s="5">
        <v>4186</v>
      </c>
      <c r="G706" s="6">
        <f t="shared" ca="1" si="30"/>
        <v>45577</v>
      </c>
      <c r="H706" s="4" t="str">
        <f t="shared" ca="1" si="31"/>
        <v>October</v>
      </c>
      <c r="I706" t="str">
        <f t="shared" ca="1" si="32"/>
        <v>2024</v>
      </c>
      <c r="L706" s="4"/>
    </row>
    <row r="707" spans="1:12" x14ac:dyDescent="0.4">
      <c r="A707" s="5" t="s">
        <v>9</v>
      </c>
      <c r="B707" s="5" t="s">
        <v>15</v>
      </c>
      <c r="C707" s="5" t="s">
        <v>24</v>
      </c>
      <c r="D707" s="5">
        <v>9</v>
      </c>
      <c r="E707" s="5">
        <v>1704</v>
      </c>
      <c r="F707" s="5">
        <v>15336</v>
      </c>
      <c r="G707" s="6">
        <f t="shared" ref="G707:G770" ca="1" si="33">RANDBETWEEN(DATE(2024,1,1),DATE(2025,12,31))</f>
        <v>45653</v>
      </c>
      <c r="H707" s="4" t="str">
        <f t="shared" ref="H707:H770" ca="1" si="34">TEXT(G707,"mmmm")</f>
        <v>December</v>
      </c>
      <c r="I707" t="str">
        <f t="shared" ref="I707:I770" ca="1" si="35">TEXT(G707,"yyyy")</f>
        <v>2024</v>
      </c>
      <c r="L707" s="4"/>
    </row>
    <row r="708" spans="1:12" x14ac:dyDescent="0.4">
      <c r="A708" s="5" t="s">
        <v>19</v>
      </c>
      <c r="B708" s="5" t="s">
        <v>10</v>
      </c>
      <c r="C708" s="5" t="s">
        <v>13</v>
      </c>
      <c r="D708" s="5">
        <v>38</v>
      </c>
      <c r="E708" s="5">
        <v>740</v>
      </c>
      <c r="F708" s="5">
        <v>28120</v>
      </c>
      <c r="G708" s="6">
        <f t="shared" ca="1" si="33"/>
        <v>45775</v>
      </c>
      <c r="H708" s="4" t="str">
        <f t="shared" ca="1" si="34"/>
        <v>April</v>
      </c>
      <c r="I708" t="str">
        <f t="shared" ca="1" si="35"/>
        <v>2025</v>
      </c>
      <c r="L708" s="4"/>
    </row>
    <row r="709" spans="1:12" x14ac:dyDescent="0.4">
      <c r="A709" s="5" t="s">
        <v>19</v>
      </c>
      <c r="B709" s="5" t="s">
        <v>15</v>
      </c>
      <c r="C709" s="5" t="s">
        <v>22</v>
      </c>
      <c r="D709" s="5">
        <v>44</v>
      </c>
      <c r="E709" s="5">
        <v>915</v>
      </c>
      <c r="F709" s="5">
        <v>40260</v>
      </c>
      <c r="G709" s="6">
        <f t="shared" ca="1" si="33"/>
        <v>45399</v>
      </c>
      <c r="H709" s="4" t="str">
        <f t="shared" ca="1" si="34"/>
        <v>April</v>
      </c>
      <c r="I709" t="str">
        <f t="shared" ca="1" si="35"/>
        <v>2024</v>
      </c>
      <c r="L709" s="4"/>
    </row>
    <row r="710" spans="1:12" x14ac:dyDescent="0.4">
      <c r="A710" s="5" t="s">
        <v>17</v>
      </c>
      <c r="B710" s="5" t="s">
        <v>21</v>
      </c>
      <c r="C710" s="5" t="s">
        <v>14</v>
      </c>
      <c r="D710" s="5">
        <v>17</v>
      </c>
      <c r="E710" s="5">
        <v>314</v>
      </c>
      <c r="F710" s="5">
        <v>5338</v>
      </c>
      <c r="G710" s="6">
        <f t="shared" ca="1" si="33"/>
        <v>45678</v>
      </c>
      <c r="H710" s="4" t="str">
        <f t="shared" ca="1" si="34"/>
        <v>January</v>
      </c>
      <c r="I710" t="str">
        <f t="shared" ca="1" si="35"/>
        <v>2025</v>
      </c>
      <c r="L710" s="4"/>
    </row>
    <row r="711" spans="1:12" x14ac:dyDescent="0.4">
      <c r="A711" s="5" t="s">
        <v>17</v>
      </c>
      <c r="B711" s="5" t="s">
        <v>7</v>
      </c>
      <c r="C711" s="5" t="s">
        <v>18</v>
      </c>
      <c r="D711" s="5">
        <v>48</v>
      </c>
      <c r="E711" s="5">
        <v>1495</v>
      </c>
      <c r="F711" s="5">
        <v>71760</v>
      </c>
      <c r="G711" s="6">
        <f t="shared" ca="1" si="33"/>
        <v>45601</v>
      </c>
      <c r="H711" s="4" t="str">
        <f t="shared" ca="1" si="34"/>
        <v>November</v>
      </c>
      <c r="I711" t="str">
        <f t="shared" ca="1" si="35"/>
        <v>2024</v>
      </c>
      <c r="L711" s="4"/>
    </row>
    <row r="712" spans="1:12" x14ac:dyDescent="0.4">
      <c r="A712" s="5" t="s">
        <v>19</v>
      </c>
      <c r="B712" s="5" t="s">
        <v>15</v>
      </c>
      <c r="C712" s="5" t="s">
        <v>23</v>
      </c>
      <c r="D712" s="5">
        <v>43</v>
      </c>
      <c r="E712" s="5">
        <v>766</v>
      </c>
      <c r="F712" s="5">
        <v>32938</v>
      </c>
      <c r="G712" s="6">
        <f t="shared" ca="1" si="33"/>
        <v>45557</v>
      </c>
      <c r="H712" s="4" t="str">
        <f t="shared" ca="1" si="34"/>
        <v>September</v>
      </c>
      <c r="I712" t="str">
        <f t="shared" ca="1" si="35"/>
        <v>2024</v>
      </c>
      <c r="L712" s="4"/>
    </row>
    <row r="713" spans="1:12" x14ac:dyDescent="0.4">
      <c r="A713" s="5" t="s">
        <v>19</v>
      </c>
      <c r="B713" s="5" t="s">
        <v>12</v>
      </c>
      <c r="C713" s="5" t="s">
        <v>14</v>
      </c>
      <c r="D713" s="5">
        <v>6</v>
      </c>
      <c r="E713" s="5">
        <v>780</v>
      </c>
      <c r="F713" s="5">
        <v>4680</v>
      </c>
      <c r="G713" s="6">
        <f t="shared" ca="1" si="33"/>
        <v>45931</v>
      </c>
      <c r="H713" s="4" t="str">
        <f t="shared" ca="1" si="34"/>
        <v>October</v>
      </c>
      <c r="I713" t="str">
        <f t="shared" ca="1" si="35"/>
        <v>2025</v>
      </c>
      <c r="L713" s="4"/>
    </row>
    <row r="714" spans="1:12" x14ac:dyDescent="0.4">
      <c r="A714" s="5" t="s">
        <v>19</v>
      </c>
      <c r="B714" s="5" t="s">
        <v>7</v>
      </c>
      <c r="C714" s="5" t="s">
        <v>8</v>
      </c>
      <c r="D714" s="5">
        <v>46</v>
      </c>
      <c r="E714" s="5">
        <v>374</v>
      </c>
      <c r="F714" s="5">
        <v>17204</v>
      </c>
      <c r="G714" s="6">
        <f t="shared" ca="1" si="33"/>
        <v>45569</v>
      </c>
      <c r="H714" s="4" t="str">
        <f t="shared" ca="1" si="34"/>
        <v>October</v>
      </c>
      <c r="I714" t="str">
        <f t="shared" ca="1" si="35"/>
        <v>2024</v>
      </c>
      <c r="L714" s="4"/>
    </row>
    <row r="715" spans="1:12" x14ac:dyDescent="0.4">
      <c r="A715" s="5" t="s">
        <v>17</v>
      </c>
      <c r="B715" s="5" t="s">
        <v>7</v>
      </c>
      <c r="C715" s="5" t="s">
        <v>14</v>
      </c>
      <c r="D715" s="5">
        <v>36</v>
      </c>
      <c r="E715" s="5">
        <v>1658</v>
      </c>
      <c r="F715" s="5">
        <v>59688</v>
      </c>
      <c r="G715" s="6">
        <f t="shared" ca="1" si="33"/>
        <v>45625</v>
      </c>
      <c r="H715" s="4" t="str">
        <f t="shared" ca="1" si="34"/>
        <v>November</v>
      </c>
      <c r="I715" t="str">
        <f t="shared" ca="1" si="35"/>
        <v>2024</v>
      </c>
      <c r="L715" s="4"/>
    </row>
    <row r="716" spans="1:12" x14ac:dyDescent="0.4">
      <c r="A716" s="5" t="s">
        <v>6</v>
      </c>
      <c r="B716" s="5" t="s">
        <v>10</v>
      </c>
      <c r="C716" s="5" t="s">
        <v>11</v>
      </c>
      <c r="D716" s="5">
        <v>44</v>
      </c>
      <c r="E716" s="5">
        <v>121</v>
      </c>
      <c r="F716" s="5">
        <v>5324</v>
      </c>
      <c r="G716" s="6">
        <f t="shared" ca="1" si="33"/>
        <v>45509</v>
      </c>
      <c r="H716" s="4" t="str">
        <f t="shared" ca="1" si="34"/>
        <v>August</v>
      </c>
      <c r="I716" t="str">
        <f t="shared" ca="1" si="35"/>
        <v>2024</v>
      </c>
      <c r="L716" s="4"/>
    </row>
    <row r="717" spans="1:12" x14ac:dyDescent="0.4">
      <c r="A717" s="5" t="s">
        <v>19</v>
      </c>
      <c r="B717" s="5" t="s">
        <v>7</v>
      </c>
      <c r="C717" s="5" t="s">
        <v>22</v>
      </c>
      <c r="D717" s="5">
        <v>49</v>
      </c>
      <c r="E717" s="5">
        <v>1585</v>
      </c>
      <c r="F717" s="5">
        <v>77665</v>
      </c>
      <c r="G717" s="6">
        <f t="shared" ca="1" si="33"/>
        <v>45451</v>
      </c>
      <c r="H717" s="4" t="str">
        <f t="shared" ca="1" si="34"/>
        <v>June</v>
      </c>
      <c r="I717" t="str">
        <f t="shared" ca="1" si="35"/>
        <v>2024</v>
      </c>
      <c r="L717" s="4"/>
    </row>
    <row r="718" spans="1:12" x14ac:dyDescent="0.4">
      <c r="A718" s="5" t="s">
        <v>19</v>
      </c>
      <c r="B718" s="5" t="s">
        <v>21</v>
      </c>
      <c r="C718" s="5" t="s">
        <v>11</v>
      </c>
      <c r="D718" s="5">
        <v>29</v>
      </c>
      <c r="E718" s="5">
        <v>660</v>
      </c>
      <c r="F718" s="5">
        <v>19140</v>
      </c>
      <c r="G718" s="6">
        <f t="shared" ca="1" si="33"/>
        <v>45420</v>
      </c>
      <c r="H718" s="4" t="str">
        <f t="shared" ca="1" si="34"/>
        <v>May</v>
      </c>
      <c r="I718" t="str">
        <f t="shared" ca="1" si="35"/>
        <v>2024</v>
      </c>
      <c r="L718" s="4"/>
    </row>
    <row r="719" spans="1:12" x14ac:dyDescent="0.4">
      <c r="A719" s="5" t="s">
        <v>17</v>
      </c>
      <c r="B719" s="5" t="s">
        <v>7</v>
      </c>
      <c r="C719" s="5" t="s">
        <v>16</v>
      </c>
      <c r="D719" s="5">
        <v>7</v>
      </c>
      <c r="E719" s="5">
        <v>475</v>
      </c>
      <c r="F719" s="5">
        <v>3325</v>
      </c>
      <c r="G719" s="6">
        <f t="shared" ca="1" si="33"/>
        <v>45769</v>
      </c>
      <c r="H719" s="4" t="str">
        <f t="shared" ca="1" si="34"/>
        <v>April</v>
      </c>
      <c r="I719" t="str">
        <f t="shared" ca="1" si="35"/>
        <v>2025</v>
      </c>
      <c r="L719" s="4"/>
    </row>
    <row r="720" spans="1:12" x14ac:dyDescent="0.4">
      <c r="A720" s="5" t="s">
        <v>19</v>
      </c>
      <c r="B720" s="5" t="s">
        <v>21</v>
      </c>
      <c r="C720" s="5" t="s">
        <v>24</v>
      </c>
      <c r="D720" s="5">
        <v>42</v>
      </c>
      <c r="E720" s="5">
        <v>1988</v>
      </c>
      <c r="F720" s="5">
        <v>83496</v>
      </c>
      <c r="G720" s="6">
        <f t="shared" ca="1" si="33"/>
        <v>45437</v>
      </c>
      <c r="H720" s="4" t="str">
        <f t="shared" ca="1" si="34"/>
        <v>May</v>
      </c>
      <c r="I720" t="str">
        <f t="shared" ca="1" si="35"/>
        <v>2024</v>
      </c>
      <c r="L720" s="4"/>
    </row>
    <row r="721" spans="1:12" x14ac:dyDescent="0.4">
      <c r="A721" s="5" t="s">
        <v>19</v>
      </c>
      <c r="B721" s="5" t="s">
        <v>7</v>
      </c>
      <c r="C721" s="5" t="s">
        <v>8</v>
      </c>
      <c r="D721" s="5">
        <v>36</v>
      </c>
      <c r="E721" s="5">
        <v>194</v>
      </c>
      <c r="F721" s="5">
        <v>6984</v>
      </c>
      <c r="G721" s="6">
        <f t="shared" ca="1" si="33"/>
        <v>45963</v>
      </c>
      <c r="H721" s="4" t="str">
        <f t="shared" ca="1" si="34"/>
        <v>November</v>
      </c>
      <c r="I721" t="str">
        <f t="shared" ca="1" si="35"/>
        <v>2025</v>
      </c>
      <c r="L721" s="4"/>
    </row>
    <row r="722" spans="1:12" x14ac:dyDescent="0.4">
      <c r="A722" s="5" t="s">
        <v>6</v>
      </c>
      <c r="B722" s="5" t="s">
        <v>15</v>
      </c>
      <c r="C722" s="5" t="s">
        <v>23</v>
      </c>
      <c r="D722" s="5">
        <v>3</v>
      </c>
      <c r="E722" s="5">
        <v>1941</v>
      </c>
      <c r="F722" s="5">
        <v>5823</v>
      </c>
      <c r="G722" s="6">
        <f t="shared" ca="1" si="33"/>
        <v>45950</v>
      </c>
      <c r="H722" s="4" t="str">
        <f t="shared" ca="1" si="34"/>
        <v>October</v>
      </c>
      <c r="I722" t="str">
        <f t="shared" ca="1" si="35"/>
        <v>2025</v>
      </c>
      <c r="L722" s="4"/>
    </row>
    <row r="723" spans="1:12" x14ac:dyDescent="0.4">
      <c r="A723" s="5" t="s">
        <v>19</v>
      </c>
      <c r="B723" s="5" t="s">
        <v>12</v>
      </c>
      <c r="C723" s="5" t="s">
        <v>13</v>
      </c>
      <c r="D723" s="5">
        <v>23</v>
      </c>
      <c r="E723" s="5">
        <v>1130</v>
      </c>
      <c r="F723" s="5">
        <v>25990</v>
      </c>
      <c r="G723" s="6">
        <f t="shared" ca="1" si="33"/>
        <v>45414</v>
      </c>
      <c r="H723" s="4" t="str">
        <f t="shared" ca="1" si="34"/>
        <v>May</v>
      </c>
      <c r="I723" t="str">
        <f t="shared" ca="1" si="35"/>
        <v>2024</v>
      </c>
      <c r="L723" s="4"/>
    </row>
    <row r="724" spans="1:12" x14ac:dyDescent="0.4">
      <c r="A724" s="5" t="s">
        <v>17</v>
      </c>
      <c r="B724" s="5" t="s">
        <v>15</v>
      </c>
      <c r="C724" s="5" t="s">
        <v>13</v>
      </c>
      <c r="D724" s="5">
        <v>29</v>
      </c>
      <c r="E724" s="5">
        <v>1318</v>
      </c>
      <c r="F724" s="5">
        <v>38222</v>
      </c>
      <c r="G724" s="6">
        <f t="shared" ca="1" si="33"/>
        <v>45829</v>
      </c>
      <c r="H724" s="4" t="str">
        <f t="shared" ca="1" si="34"/>
        <v>June</v>
      </c>
      <c r="I724" t="str">
        <f t="shared" ca="1" si="35"/>
        <v>2025</v>
      </c>
      <c r="L724" s="4"/>
    </row>
    <row r="725" spans="1:12" x14ac:dyDescent="0.4">
      <c r="A725" s="5" t="s">
        <v>9</v>
      </c>
      <c r="B725" s="5" t="s">
        <v>12</v>
      </c>
      <c r="C725" s="5" t="s">
        <v>11</v>
      </c>
      <c r="D725" s="5">
        <v>13</v>
      </c>
      <c r="E725" s="5">
        <v>298</v>
      </c>
      <c r="F725" s="5">
        <v>3874</v>
      </c>
      <c r="G725" s="6">
        <f t="shared" ca="1" si="33"/>
        <v>45977</v>
      </c>
      <c r="H725" s="4" t="str">
        <f t="shared" ca="1" si="34"/>
        <v>November</v>
      </c>
      <c r="I725" t="str">
        <f t="shared" ca="1" si="35"/>
        <v>2025</v>
      </c>
      <c r="L725" s="4"/>
    </row>
    <row r="726" spans="1:12" x14ac:dyDescent="0.4">
      <c r="A726" s="5" t="s">
        <v>6</v>
      </c>
      <c r="B726" s="5" t="s">
        <v>12</v>
      </c>
      <c r="C726" s="5" t="s">
        <v>22</v>
      </c>
      <c r="D726" s="5">
        <v>35</v>
      </c>
      <c r="E726" s="5">
        <v>1725</v>
      </c>
      <c r="F726" s="5">
        <v>60375</v>
      </c>
      <c r="G726" s="6">
        <f t="shared" ca="1" si="33"/>
        <v>45515</v>
      </c>
      <c r="H726" s="4" t="str">
        <f t="shared" ca="1" si="34"/>
        <v>August</v>
      </c>
      <c r="I726" t="str">
        <f t="shared" ca="1" si="35"/>
        <v>2024</v>
      </c>
      <c r="L726" s="4"/>
    </row>
    <row r="727" spans="1:12" x14ac:dyDescent="0.4">
      <c r="A727" s="5" t="s">
        <v>9</v>
      </c>
      <c r="B727" s="5" t="s">
        <v>10</v>
      </c>
      <c r="C727" s="5" t="s">
        <v>8</v>
      </c>
      <c r="D727" s="5">
        <v>24</v>
      </c>
      <c r="E727" s="5">
        <v>1891</v>
      </c>
      <c r="F727" s="5">
        <v>45384</v>
      </c>
      <c r="G727" s="6">
        <f t="shared" ca="1" si="33"/>
        <v>45397</v>
      </c>
      <c r="H727" s="4" t="str">
        <f t="shared" ca="1" si="34"/>
        <v>April</v>
      </c>
      <c r="I727" t="str">
        <f t="shared" ca="1" si="35"/>
        <v>2024</v>
      </c>
      <c r="L727" s="4"/>
    </row>
    <row r="728" spans="1:12" x14ac:dyDescent="0.4">
      <c r="A728" s="5" t="s">
        <v>19</v>
      </c>
      <c r="B728" s="5" t="s">
        <v>12</v>
      </c>
      <c r="C728" s="5" t="s">
        <v>8</v>
      </c>
      <c r="D728" s="5">
        <v>13</v>
      </c>
      <c r="E728" s="5">
        <v>408</v>
      </c>
      <c r="F728" s="5">
        <v>5304</v>
      </c>
      <c r="G728" s="6">
        <f t="shared" ca="1" si="33"/>
        <v>45749</v>
      </c>
      <c r="H728" s="4" t="str">
        <f t="shared" ca="1" si="34"/>
        <v>April</v>
      </c>
      <c r="I728" t="str">
        <f t="shared" ca="1" si="35"/>
        <v>2025</v>
      </c>
      <c r="L728" s="4"/>
    </row>
    <row r="729" spans="1:12" x14ac:dyDescent="0.4">
      <c r="A729" s="5" t="s">
        <v>9</v>
      </c>
      <c r="B729" s="5" t="s">
        <v>10</v>
      </c>
      <c r="C729" s="5" t="s">
        <v>24</v>
      </c>
      <c r="D729" s="5">
        <v>24</v>
      </c>
      <c r="E729" s="5">
        <v>1364</v>
      </c>
      <c r="F729" s="5">
        <v>32736</v>
      </c>
      <c r="G729" s="6">
        <f t="shared" ca="1" si="33"/>
        <v>45519</v>
      </c>
      <c r="H729" s="4" t="str">
        <f t="shared" ca="1" si="34"/>
        <v>August</v>
      </c>
      <c r="I729" t="str">
        <f t="shared" ca="1" si="35"/>
        <v>2024</v>
      </c>
      <c r="L729" s="4"/>
    </row>
    <row r="730" spans="1:12" x14ac:dyDescent="0.4">
      <c r="A730" s="5" t="s">
        <v>6</v>
      </c>
      <c r="B730" s="5" t="s">
        <v>10</v>
      </c>
      <c r="C730" s="5" t="s">
        <v>14</v>
      </c>
      <c r="D730" s="5">
        <v>13</v>
      </c>
      <c r="E730" s="5">
        <v>1627</v>
      </c>
      <c r="F730" s="5">
        <v>21151</v>
      </c>
      <c r="G730" s="6">
        <f t="shared" ca="1" si="33"/>
        <v>45743</v>
      </c>
      <c r="H730" s="4" t="str">
        <f t="shared" ca="1" si="34"/>
        <v>March</v>
      </c>
      <c r="I730" t="str">
        <f t="shared" ca="1" si="35"/>
        <v>2025</v>
      </c>
      <c r="L730" s="4"/>
    </row>
    <row r="731" spans="1:12" x14ac:dyDescent="0.4">
      <c r="A731" s="5" t="s">
        <v>9</v>
      </c>
      <c r="B731" s="5" t="s">
        <v>7</v>
      </c>
      <c r="C731" s="5" t="s">
        <v>8</v>
      </c>
      <c r="D731" s="5">
        <v>26</v>
      </c>
      <c r="E731" s="5">
        <v>1261</v>
      </c>
      <c r="F731" s="5">
        <v>32786</v>
      </c>
      <c r="G731" s="6">
        <f t="shared" ca="1" si="33"/>
        <v>45914</v>
      </c>
      <c r="H731" s="4" t="str">
        <f t="shared" ca="1" si="34"/>
        <v>September</v>
      </c>
      <c r="I731" t="str">
        <f t="shared" ca="1" si="35"/>
        <v>2025</v>
      </c>
      <c r="L731" s="4"/>
    </row>
    <row r="732" spans="1:12" x14ac:dyDescent="0.4">
      <c r="A732" s="5" t="s">
        <v>19</v>
      </c>
      <c r="B732" s="5" t="s">
        <v>12</v>
      </c>
      <c r="C732" s="5" t="s">
        <v>20</v>
      </c>
      <c r="D732" s="5">
        <v>44</v>
      </c>
      <c r="E732" s="5">
        <v>554</v>
      </c>
      <c r="F732" s="5">
        <v>24376</v>
      </c>
      <c r="G732" s="6">
        <f t="shared" ca="1" si="33"/>
        <v>45823</v>
      </c>
      <c r="H732" s="4" t="str">
        <f t="shared" ca="1" si="34"/>
        <v>June</v>
      </c>
      <c r="I732" t="str">
        <f t="shared" ca="1" si="35"/>
        <v>2025</v>
      </c>
      <c r="L732" s="4"/>
    </row>
    <row r="733" spans="1:12" x14ac:dyDescent="0.4">
      <c r="A733" s="5" t="s">
        <v>17</v>
      </c>
      <c r="B733" s="5" t="s">
        <v>10</v>
      </c>
      <c r="C733" s="5" t="s">
        <v>22</v>
      </c>
      <c r="D733" s="5">
        <v>41</v>
      </c>
      <c r="E733" s="5">
        <v>686</v>
      </c>
      <c r="F733" s="5">
        <v>28126</v>
      </c>
      <c r="G733" s="6">
        <f t="shared" ca="1" si="33"/>
        <v>45774</v>
      </c>
      <c r="H733" s="4" t="str">
        <f t="shared" ca="1" si="34"/>
        <v>April</v>
      </c>
      <c r="I733" t="str">
        <f t="shared" ca="1" si="35"/>
        <v>2025</v>
      </c>
      <c r="L733" s="4"/>
    </row>
    <row r="734" spans="1:12" x14ac:dyDescent="0.4">
      <c r="A734" s="5" t="s">
        <v>6</v>
      </c>
      <c r="B734" s="5" t="s">
        <v>7</v>
      </c>
      <c r="C734" s="5" t="s">
        <v>22</v>
      </c>
      <c r="D734" s="5">
        <v>48</v>
      </c>
      <c r="E734" s="5">
        <v>454</v>
      </c>
      <c r="F734" s="5">
        <v>21792</v>
      </c>
      <c r="G734" s="6">
        <f t="shared" ca="1" si="33"/>
        <v>45479</v>
      </c>
      <c r="H734" s="4" t="str">
        <f t="shared" ca="1" si="34"/>
        <v>July</v>
      </c>
      <c r="I734" t="str">
        <f t="shared" ca="1" si="35"/>
        <v>2024</v>
      </c>
      <c r="L734" s="4"/>
    </row>
    <row r="735" spans="1:12" x14ac:dyDescent="0.4">
      <c r="A735" s="5" t="s">
        <v>17</v>
      </c>
      <c r="B735" s="5" t="s">
        <v>7</v>
      </c>
      <c r="C735" s="5" t="s">
        <v>23</v>
      </c>
      <c r="D735" s="5">
        <v>24</v>
      </c>
      <c r="E735" s="5">
        <v>1807</v>
      </c>
      <c r="F735" s="5">
        <v>43368</v>
      </c>
      <c r="G735" s="6">
        <f t="shared" ca="1" si="33"/>
        <v>45947</v>
      </c>
      <c r="H735" s="4" t="str">
        <f t="shared" ca="1" si="34"/>
        <v>October</v>
      </c>
      <c r="I735" t="str">
        <f t="shared" ca="1" si="35"/>
        <v>2025</v>
      </c>
      <c r="L735" s="4"/>
    </row>
    <row r="736" spans="1:12" x14ac:dyDescent="0.4">
      <c r="A736" s="5" t="s">
        <v>9</v>
      </c>
      <c r="B736" s="5" t="s">
        <v>15</v>
      </c>
      <c r="C736" s="5" t="s">
        <v>23</v>
      </c>
      <c r="D736" s="5">
        <v>1</v>
      </c>
      <c r="E736" s="5">
        <v>1822</v>
      </c>
      <c r="F736" s="5">
        <v>1822</v>
      </c>
      <c r="G736" s="6">
        <f t="shared" ca="1" si="33"/>
        <v>45826</v>
      </c>
      <c r="H736" s="4" t="str">
        <f t="shared" ca="1" si="34"/>
        <v>June</v>
      </c>
      <c r="I736" t="str">
        <f t="shared" ca="1" si="35"/>
        <v>2025</v>
      </c>
      <c r="L736" s="4"/>
    </row>
    <row r="737" spans="1:12" x14ac:dyDescent="0.4">
      <c r="A737" s="5" t="s">
        <v>6</v>
      </c>
      <c r="B737" s="5" t="s">
        <v>7</v>
      </c>
      <c r="C737" s="5" t="s">
        <v>11</v>
      </c>
      <c r="D737" s="5">
        <v>10</v>
      </c>
      <c r="E737" s="5">
        <v>423</v>
      </c>
      <c r="F737" s="5">
        <v>4230</v>
      </c>
      <c r="G737" s="6">
        <f t="shared" ca="1" si="33"/>
        <v>45902</v>
      </c>
      <c r="H737" s="4" t="str">
        <f t="shared" ca="1" si="34"/>
        <v>September</v>
      </c>
      <c r="I737" t="str">
        <f t="shared" ca="1" si="35"/>
        <v>2025</v>
      </c>
      <c r="L737" s="4"/>
    </row>
    <row r="738" spans="1:12" x14ac:dyDescent="0.4">
      <c r="A738" s="5" t="s">
        <v>17</v>
      </c>
      <c r="B738" s="5" t="s">
        <v>10</v>
      </c>
      <c r="C738" s="5" t="s">
        <v>14</v>
      </c>
      <c r="D738" s="5">
        <v>5</v>
      </c>
      <c r="E738" s="5">
        <v>1135</v>
      </c>
      <c r="F738" s="5">
        <v>5675</v>
      </c>
      <c r="G738" s="6">
        <f t="shared" ca="1" si="33"/>
        <v>45323</v>
      </c>
      <c r="H738" s="4" t="str">
        <f t="shared" ca="1" si="34"/>
        <v>February</v>
      </c>
      <c r="I738" t="str">
        <f t="shared" ca="1" si="35"/>
        <v>2024</v>
      </c>
      <c r="L738" s="4"/>
    </row>
    <row r="739" spans="1:12" x14ac:dyDescent="0.4">
      <c r="A739" s="5" t="s">
        <v>6</v>
      </c>
      <c r="B739" s="5" t="s">
        <v>15</v>
      </c>
      <c r="C739" s="5" t="s">
        <v>24</v>
      </c>
      <c r="D739" s="5">
        <v>39</v>
      </c>
      <c r="E739" s="5">
        <v>811</v>
      </c>
      <c r="F739" s="5">
        <v>31629</v>
      </c>
      <c r="G739" s="6">
        <f t="shared" ca="1" si="33"/>
        <v>45980</v>
      </c>
      <c r="H739" s="4" t="str">
        <f t="shared" ca="1" si="34"/>
        <v>November</v>
      </c>
      <c r="I739" t="str">
        <f t="shared" ca="1" si="35"/>
        <v>2025</v>
      </c>
      <c r="L739" s="4"/>
    </row>
    <row r="740" spans="1:12" x14ac:dyDescent="0.4">
      <c r="A740" s="5" t="s">
        <v>19</v>
      </c>
      <c r="B740" s="5" t="s">
        <v>15</v>
      </c>
      <c r="C740" s="5" t="s">
        <v>22</v>
      </c>
      <c r="D740" s="5">
        <v>15</v>
      </c>
      <c r="E740" s="5">
        <v>1804</v>
      </c>
      <c r="F740" s="5">
        <v>27060</v>
      </c>
      <c r="G740" s="6">
        <f t="shared" ca="1" si="33"/>
        <v>45439</v>
      </c>
      <c r="H740" s="4" t="str">
        <f t="shared" ca="1" si="34"/>
        <v>May</v>
      </c>
      <c r="I740" t="str">
        <f t="shared" ca="1" si="35"/>
        <v>2024</v>
      </c>
      <c r="L740" s="4"/>
    </row>
    <row r="741" spans="1:12" x14ac:dyDescent="0.4">
      <c r="A741" s="5" t="s">
        <v>9</v>
      </c>
      <c r="B741" s="5" t="s">
        <v>10</v>
      </c>
      <c r="C741" s="5" t="s">
        <v>20</v>
      </c>
      <c r="D741" s="5">
        <v>1</v>
      </c>
      <c r="E741" s="5">
        <v>1441</v>
      </c>
      <c r="F741" s="5">
        <v>1441</v>
      </c>
      <c r="G741" s="6">
        <f t="shared" ca="1" si="33"/>
        <v>45576</v>
      </c>
      <c r="H741" s="4" t="str">
        <f t="shared" ca="1" si="34"/>
        <v>October</v>
      </c>
      <c r="I741" t="str">
        <f t="shared" ca="1" si="35"/>
        <v>2024</v>
      </c>
      <c r="L741" s="4"/>
    </row>
    <row r="742" spans="1:12" x14ac:dyDescent="0.4">
      <c r="A742" s="5" t="s">
        <v>6</v>
      </c>
      <c r="B742" s="5" t="s">
        <v>15</v>
      </c>
      <c r="C742" s="5" t="s">
        <v>22</v>
      </c>
      <c r="D742" s="5">
        <v>27</v>
      </c>
      <c r="E742" s="5">
        <v>116</v>
      </c>
      <c r="F742" s="5">
        <v>3132</v>
      </c>
      <c r="G742" s="6">
        <f t="shared" ca="1" si="33"/>
        <v>45912</v>
      </c>
      <c r="H742" s="4" t="str">
        <f t="shared" ca="1" si="34"/>
        <v>September</v>
      </c>
      <c r="I742" t="str">
        <f t="shared" ca="1" si="35"/>
        <v>2025</v>
      </c>
      <c r="L742" s="4"/>
    </row>
    <row r="743" spans="1:12" x14ac:dyDescent="0.4">
      <c r="A743" s="5" t="s">
        <v>9</v>
      </c>
      <c r="B743" s="5" t="s">
        <v>12</v>
      </c>
      <c r="C743" s="5" t="s">
        <v>23</v>
      </c>
      <c r="D743" s="5">
        <v>8</v>
      </c>
      <c r="E743" s="5">
        <v>782</v>
      </c>
      <c r="F743" s="5">
        <v>6256</v>
      </c>
      <c r="G743" s="6">
        <f t="shared" ca="1" si="33"/>
        <v>45398</v>
      </c>
      <c r="H743" s="4" t="str">
        <f t="shared" ca="1" si="34"/>
        <v>April</v>
      </c>
      <c r="I743" t="str">
        <f t="shared" ca="1" si="35"/>
        <v>2024</v>
      </c>
      <c r="L743" s="4"/>
    </row>
    <row r="744" spans="1:12" x14ac:dyDescent="0.4">
      <c r="A744" s="5" t="s">
        <v>19</v>
      </c>
      <c r="B744" s="5" t="s">
        <v>10</v>
      </c>
      <c r="C744" s="5" t="s">
        <v>16</v>
      </c>
      <c r="D744" s="5">
        <v>36</v>
      </c>
      <c r="E744" s="5">
        <v>1890</v>
      </c>
      <c r="F744" s="5">
        <v>68040</v>
      </c>
      <c r="G744" s="6">
        <f t="shared" ca="1" si="33"/>
        <v>45932</v>
      </c>
      <c r="H744" s="4" t="str">
        <f t="shared" ca="1" si="34"/>
        <v>October</v>
      </c>
      <c r="I744" t="str">
        <f t="shared" ca="1" si="35"/>
        <v>2025</v>
      </c>
      <c r="L744" s="4"/>
    </row>
    <row r="745" spans="1:12" x14ac:dyDescent="0.4">
      <c r="A745" s="5" t="s">
        <v>19</v>
      </c>
      <c r="B745" s="5" t="s">
        <v>15</v>
      </c>
      <c r="C745" s="5" t="s">
        <v>20</v>
      </c>
      <c r="D745" s="5">
        <v>44</v>
      </c>
      <c r="E745" s="5">
        <v>1733</v>
      </c>
      <c r="F745" s="5">
        <v>76252</v>
      </c>
      <c r="G745" s="6">
        <f t="shared" ca="1" si="33"/>
        <v>45825</v>
      </c>
      <c r="H745" s="4" t="str">
        <f t="shared" ca="1" si="34"/>
        <v>June</v>
      </c>
      <c r="I745" t="str">
        <f t="shared" ca="1" si="35"/>
        <v>2025</v>
      </c>
      <c r="L745" s="4"/>
    </row>
    <row r="746" spans="1:12" x14ac:dyDescent="0.4">
      <c r="A746" s="5" t="s">
        <v>19</v>
      </c>
      <c r="B746" s="5" t="s">
        <v>10</v>
      </c>
      <c r="C746" s="5" t="s">
        <v>24</v>
      </c>
      <c r="D746" s="5">
        <v>29</v>
      </c>
      <c r="E746" s="5">
        <v>1736</v>
      </c>
      <c r="F746" s="5">
        <v>50344</v>
      </c>
      <c r="G746" s="6">
        <f t="shared" ca="1" si="33"/>
        <v>45658</v>
      </c>
      <c r="H746" s="4" t="str">
        <f t="shared" ca="1" si="34"/>
        <v>January</v>
      </c>
      <c r="I746" t="str">
        <f t="shared" ca="1" si="35"/>
        <v>2025</v>
      </c>
      <c r="L746" s="4"/>
    </row>
    <row r="747" spans="1:12" x14ac:dyDescent="0.4">
      <c r="A747" s="5" t="s">
        <v>6</v>
      </c>
      <c r="B747" s="5" t="s">
        <v>15</v>
      </c>
      <c r="C747" s="5" t="s">
        <v>11</v>
      </c>
      <c r="D747" s="5">
        <v>50</v>
      </c>
      <c r="E747" s="5">
        <v>1570</v>
      </c>
      <c r="F747" s="5">
        <v>78500</v>
      </c>
      <c r="G747" s="6">
        <f t="shared" ca="1" si="33"/>
        <v>45775</v>
      </c>
      <c r="H747" s="4" t="str">
        <f t="shared" ca="1" si="34"/>
        <v>April</v>
      </c>
      <c r="I747" t="str">
        <f t="shared" ca="1" si="35"/>
        <v>2025</v>
      </c>
      <c r="L747" s="4"/>
    </row>
    <row r="748" spans="1:12" x14ac:dyDescent="0.4">
      <c r="A748" s="5" t="s">
        <v>17</v>
      </c>
      <c r="B748" s="5" t="s">
        <v>7</v>
      </c>
      <c r="C748" s="5" t="s">
        <v>14</v>
      </c>
      <c r="D748" s="5">
        <v>3</v>
      </c>
      <c r="E748" s="5">
        <v>1654</v>
      </c>
      <c r="F748" s="5">
        <v>4962</v>
      </c>
      <c r="G748" s="6">
        <f t="shared" ca="1" si="33"/>
        <v>45595</v>
      </c>
      <c r="H748" s="4" t="str">
        <f t="shared" ca="1" si="34"/>
        <v>October</v>
      </c>
      <c r="I748" t="str">
        <f t="shared" ca="1" si="35"/>
        <v>2024</v>
      </c>
      <c r="L748" s="4"/>
    </row>
    <row r="749" spans="1:12" x14ac:dyDescent="0.4">
      <c r="A749" s="5" t="s">
        <v>6</v>
      </c>
      <c r="B749" s="5" t="s">
        <v>12</v>
      </c>
      <c r="C749" s="5" t="s">
        <v>22</v>
      </c>
      <c r="D749" s="5">
        <v>10</v>
      </c>
      <c r="E749" s="5">
        <v>137</v>
      </c>
      <c r="F749" s="5">
        <v>1370</v>
      </c>
      <c r="G749" s="6">
        <f t="shared" ca="1" si="33"/>
        <v>45734</v>
      </c>
      <c r="H749" s="4" t="str">
        <f t="shared" ca="1" si="34"/>
        <v>March</v>
      </c>
      <c r="I749" t="str">
        <f t="shared" ca="1" si="35"/>
        <v>2025</v>
      </c>
      <c r="L749" s="4"/>
    </row>
    <row r="750" spans="1:12" x14ac:dyDescent="0.4">
      <c r="A750" s="5" t="s">
        <v>9</v>
      </c>
      <c r="B750" s="5" t="s">
        <v>10</v>
      </c>
      <c r="C750" s="5" t="s">
        <v>23</v>
      </c>
      <c r="D750" s="5">
        <v>11</v>
      </c>
      <c r="E750" s="5">
        <v>959</v>
      </c>
      <c r="F750" s="5">
        <v>10549</v>
      </c>
      <c r="G750" s="6">
        <f t="shared" ca="1" si="33"/>
        <v>45845</v>
      </c>
      <c r="H750" s="4" t="str">
        <f t="shared" ca="1" si="34"/>
        <v>July</v>
      </c>
      <c r="I750" t="str">
        <f t="shared" ca="1" si="35"/>
        <v>2025</v>
      </c>
      <c r="L750" s="4"/>
    </row>
    <row r="751" spans="1:12" x14ac:dyDescent="0.4">
      <c r="A751" s="5" t="s">
        <v>17</v>
      </c>
      <c r="B751" s="5" t="s">
        <v>21</v>
      </c>
      <c r="C751" s="5" t="s">
        <v>18</v>
      </c>
      <c r="D751" s="5">
        <v>33</v>
      </c>
      <c r="E751" s="5">
        <v>1622</v>
      </c>
      <c r="F751" s="5">
        <v>53526</v>
      </c>
      <c r="G751" s="6">
        <f t="shared" ca="1" si="33"/>
        <v>45763</v>
      </c>
      <c r="H751" s="4" t="str">
        <f t="shared" ca="1" si="34"/>
        <v>April</v>
      </c>
      <c r="I751" t="str">
        <f t="shared" ca="1" si="35"/>
        <v>2025</v>
      </c>
      <c r="L751" s="4"/>
    </row>
    <row r="752" spans="1:12" x14ac:dyDescent="0.4">
      <c r="A752" s="5" t="s">
        <v>6</v>
      </c>
      <c r="B752" s="5" t="s">
        <v>7</v>
      </c>
      <c r="C752" s="5" t="s">
        <v>13</v>
      </c>
      <c r="D752" s="5">
        <v>10</v>
      </c>
      <c r="E752" s="5">
        <v>675</v>
      </c>
      <c r="F752" s="5">
        <v>6750</v>
      </c>
      <c r="G752" s="6">
        <f t="shared" ca="1" si="33"/>
        <v>45459</v>
      </c>
      <c r="H752" s="4" t="str">
        <f t="shared" ca="1" si="34"/>
        <v>June</v>
      </c>
      <c r="I752" t="str">
        <f t="shared" ca="1" si="35"/>
        <v>2024</v>
      </c>
      <c r="L752" s="4"/>
    </row>
    <row r="753" spans="1:12" x14ac:dyDescent="0.4">
      <c r="A753" s="5" t="s">
        <v>6</v>
      </c>
      <c r="B753" s="5" t="s">
        <v>10</v>
      </c>
      <c r="C753" s="5" t="s">
        <v>16</v>
      </c>
      <c r="D753" s="5">
        <v>35</v>
      </c>
      <c r="E753" s="5">
        <v>1396</v>
      </c>
      <c r="F753" s="5">
        <v>48860</v>
      </c>
      <c r="G753" s="6">
        <f t="shared" ca="1" si="33"/>
        <v>45346</v>
      </c>
      <c r="H753" s="4" t="str">
        <f t="shared" ca="1" si="34"/>
        <v>February</v>
      </c>
      <c r="I753" t="str">
        <f t="shared" ca="1" si="35"/>
        <v>2024</v>
      </c>
      <c r="L753" s="4"/>
    </row>
    <row r="754" spans="1:12" x14ac:dyDescent="0.4">
      <c r="A754" s="5" t="s">
        <v>6</v>
      </c>
      <c r="B754" s="5" t="s">
        <v>21</v>
      </c>
      <c r="C754" s="5" t="s">
        <v>22</v>
      </c>
      <c r="D754" s="5">
        <v>6</v>
      </c>
      <c r="E754" s="5">
        <v>139</v>
      </c>
      <c r="F754" s="5">
        <v>834</v>
      </c>
      <c r="G754" s="6">
        <f t="shared" ca="1" si="33"/>
        <v>45862</v>
      </c>
      <c r="H754" s="4" t="str">
        <f t="shared" ca="1" si="34"/>
        <v>July</v>
      </c>
      <c r="I754" t="str">
        <f t="shared" ca="1" si="35"/>
        <v>2025</v>
      </c>
      <c r="L754" s="4"/>
    </row>
    <row r="755" spans="1:12" x14ac:dyDescent="0.4">
      <c r="A755" s="5" t="s">
        <v>19</v>
      </c>
      <c r="B755" s="5" t="s">
        <v>10</v>
      </c>
      <c r="C755" s="5" t="s">
        <v>23</v>
      </c>
      <c r="D755" s="5">
        <v>25</v>
      </c>
      <c r="E755" s="5">
        <v>1075</v>
      </c>
      <c r="F755" s="5">
        <v>26875</v>
      </c>
      <c r="G755" s="6">
        <f t="shared" ca="1" si="33"/>
        <v>45870</v>
      </c>
      <c r="H755" s="4" t="str">
        <f t="shared" ca="1" si="34"/>
        <v>August</v>
      </c>
      <c r="I755" t="str">
        <f t="shared" ca="1" si="35"/>
        <v>2025</v>
      </c>
      <c r="L755" s="4"/>
    </row>
    <row r="756" spans="1:12" x14ac:dyDescent="0.4">
      <c r="A756" s="5" t="s">
        <v>17</v>
      </c>
      <c r="B756" s="5" t="s">
        <v>12</v>
      </c>
      <c r="C756" s="5" t="s">
        <v>8</v>
      </c>
      <c r="D756" s="5">
        <v>16</v>
      </c>
      <c r="E756" s="5">
        <v>606</v>
      </c>
      <c r="F756" s="5">
        <v>9696</v>
      </c>
      <c r="G756" s="6">
        <f t="shared" ca="1" si="33"/>
        <v>45725</v>
      </c>
      <c r="H756" s="4" t="str">
        <f t="shared" ca="1" si="34"/>
        <v>March</v>
      </c>
      <c r="I756" t="str">
        <f t="shared" ca="1" si="35"/>
        <v>2025</v>
      </c>
      <c r="L756" s="4"/>
    </row>
    <row r="757" spans="1:12" x14ac:dyDescent="0.4">
      <c r="A757" s="5" t="s">
        <v>17</v>
      </c>
      <c r="B757" s="5" t="s">
        <v>21</v>
      </c>
      <c r="C757" s="5" t="s">
        <v>11</v>
      </c>
      <c r="D757" s="5">
        <v>23</v>
      </c>
      <c r="E757" s="5">
        <v>1897</v>
      </c>
      <c r="F757" s="5">
        <v>43631</v>
      </c>
      <c r="G757" s="6">
        <f t="shared" ca="1" si="33"/>
        <v>45578</v>
      </c>
      <c r="H757" s="4" t="str">
        <f t="shared" ca="1" si="34"/>
        <v>October</v>
      </c>
      <c r="I757" t="str">
        <f t="shared" ca="1" si="35"/>
        <v>2024</v>
      </c>
      <c r="L757" s="4"/>
    </row>
    <row r="758" spans="1:12" x14ac:dyDescent="0.4">
      <c r="A758" s="5" t="s">
        <v>6</v>
      </c>
      <c r="B758" s="5" t="s">
        <v>7</v>
      </c>
      <c r="C758" s="5" t="s">
        <v>18</v>
      </c>
      <c r="D758" s="5">
        <v>31</v>
      </c>
      <c r="E758" s="5">
        <v>775</v>
      </c>
      <c r="F758" s="5">
        <v>24025</v>
      </c>
      <c r="G758" s="6">
        <f t="shared" ca="1" si="33"/>
        <v>45696</v>
      </c>
      <c r="H758" s="4" t="str">
        <f t="shared" ca="1" si="34"/>
        <v>February</v>
      </c>
      <c r="I758" t="str">
        <f t="shared" ca="1" si="35"/>
        <v>2025</v>
      </c>
      <c r="L758" s="4"/>
    </row>
    <row r="759" spans="1:12" x14ac:dyDescent="0.4">
      <c r="A759" s="5" t="s">
        <v>6</v>
      </c>
      <c r="B759" s="5" t="s">
        <v>21</v>
      </c>
      <c r="C759" s="5" t="s">
        <v>16</v>
      </c>
      <c r="D759" s="5">
        <v>25</v>
      </c>
      <c r="E759" s="5">
        <v>1138</v>
      </c>
      <c r="F759" s="5">
        <v>28450</v>
      </c>
      <c r="G759" s="6">
        <f t="shared" ca="1" si="33"/>
        <v>45960</v>
      </c>
      <c r="H759" s="4" t="str">
        <f t="shared" ca="1" si="34"/>
        <v>October</v>
      </c>
      <c r="I759" t="str">
        <f t="shared" ca="1" si="35"/>
        <v>2025</v>
      </c>
      <c r="L759" s="4"/>
    </row>
    <row r="760" spans="1:12" x14ac:dyDescent="0.4">
      <c r="A760" s="5" t="s">
        <v>6</v>
      </c>
      <c r="B760" s="5" t="s">
        <v>15</v>
      </c>
      <c r="C760" s="5" t="s">
        <v>24</v>
      </c>
      <c r="D760" s="5">
        <v>12</v>
      </c>
      <c r="E760" s="5">
        <v>1051</v>
      </c>
      <c r="F760" s="5">
        <v>12612</v>
      </c>
      <c r="G760" s="6">
        <f t="shared" ca="1" si="33"/>
        <v>45381</v>
      </c>
      <c r="H760" s="4" t="str">
        <f t="shared" ca="1" si="34"/>
        <v>March</v>
      </c>
      <c r="I760" t="str">
        <f t="shared" ca="1" si="35"/>
        <v>2024</v>
      </c>
      <c r="L760" s="4"/>
    </row>
    <row r="761" spans="1:12" x14ac:dyDescent="0.4">
      <c r="A761" s="5" t="s">
        <v>19</v>
      </c>
      <c r="B761" s="5" t="s">
        <v>10</v>
      </c>
      <c r="C761" s="5" t="s">
        <v>11</v>
      </c>
      <c r="D761" s="5">
        <v>10</v>
      </c>
      <c r="E761" s="5">
        <v>1359</v>
      </c>
      <c r="F761" s="5">
        <v>13590</v>
      </c>
      <c r="G761" s="6">
        <f t="shared" ca="1" si="33"/>
        <v>45390</v>
      </c>
      <c r="H761" s="4" t="str">
        <f t="shared" ca="1" si="34"/>
        <v>April</v>
      </c>
      <c r="I761" t="str">
        <f t="shared" ca="1" si="35"/>
        <v>2024</v>
      </c>
      <c r="L761" s="4"/>
    </row>
    <row r="762" spans="1:12" x14ac:dyDescent="0.4">
      <c r="A762" s="5" t="s">
        <v>17</v>
      </c>
      <c r="B762" s="5" t="s">
        <v>15</v>
      </c>
      <c r="C762" s="5" t="s">
        <v>20</v>
      </c>
      <c r="D762" s="5">
        <v>9</v>
      </c>
      <c r="E762" s="5">
        <v>1348</v>
      </c>
      <c r="F762" s="5">
        <v>12132</v>
      </c>
      <c r="G762" s="6">
        <f t="shared" ca="1" si="33"/>
        <v>45597</v>
      </c>
      <c r="H762" s="4" t="str">
        <f t="shared" ca="1" si="34"/>
        <v>November</v>
      </c>
      <c r="I762" t="str">
        <f t="shared" ca="1" si="35"/>
        <v>2024</v>
      </c>
      <c r="L762" s="4"/>
    </row>
    <row r="763" spans="1:12" x14ac:dyDescent="0.4">
      <c r="A763" s="5" t="s">
        <v>9</v>
      </c>
      <c r="B763" s="5" t="s">
        <v>7</v>
      </c>
      <c r="C763" s="5" t="s">
        <v>14</v>
      </c>
      <c r="D763" s="5">
        <v>37</v>
      </c>
      <c r="E763" s="5">
        <v>886</v>
      </c>
      <c r="F763" s="5">
        <v>32782</v>
      </c>
      <c r="G763" s="6">
        <f t="shared" ca="1" si="33"/>
        <v>45621</v>
      </c>
      <c r="H763" s="4" t="str">
        <f t="shared" ca="1" si="34"/>
        <v>November</v>
      </c>
      <c r="I763" t="str">
        <f t="shared" ca="1" si="35"/>
        <v>2024</v>
      </c>
      <c r="L763" s="4"/>
    </row>
    <row r="764" spans="1:12" x14ac:dyDescent="0.4">
      <c r="A764" s="5" t="s">
        <v>6</v>
      </c>
      <c r="B764" s="5" t="s">
        <v>7</v>
      </c>
      <c r="C764" s="5" t="s">
        <v>22</v>
      </c>
      <c r="D764" s="5">
        <v>21</v>
      </c>
      <c r="E764" s="5">
        <v>1588</v>
      </c>
      <c r="F764" s="5">
        <v>33348</v>
      </c>
      <c r="G764" s="6">
        <f t="shared" ca="1" si="33"/>
        <v>45692</v>
      </c>
      <c r="H764" s="4" t="str">
        <f t="shared" ca="1" si="34"/>
        <v>February</v>
      </c>
      <c r="I764" t="str">
        <f t="shared" ca="1" si="35"/>
        <v>2025</v>
      </c>
      <c r="L764" s="4"/>
    </row>
    <row r="765" spans="1:12" x14ac:dyDescent="0.4">
      <c r="A765" s="5" t="s">
        <v>6</v>
      </c>
      <c r="B765" s="5" t="s">
        <v>15</v>
      </c>
      <c r="C765" s="5" t="s">
        <v>24</v>
      </c>
      <c r="D765" s="5">
        <v>31</v>
      </c>
      <c r="E765" s="5">
        <v>667</v>
      </c>
      <c r="F765" s="5">
        <v>20677</v>
      </c>
      <c r="G765" s="6">
        <f t="shared" ca="1" si="33"/>
        <v>45558</v>
      </c>
      <c r="H765" s="4" t="str">
        <f t="shared" ca="1" si="34"/>
        <v>September</v>
      </c>
      <c r="I765" t="str">
        <f t="shared" ca="1" si="35"/>
        <v>2024</v>
      </c>
      <c r="L765" s="4"/>
    </row>
    <row r="766" spans="1:12" x14ac:dyDescent="0.4">
      <c r="A766" s="5" t="s">
        <v>17</v>
      </c>
      <c r="B766" s="5" t="s">
        <v>7</v>
      </c>
      <c r="C766" s="5" t="s">
        <v>13</v>
      </c>
      <c r="D766" s="5">
        <v>1</v>
      </c>
      <c r="E766" s="5">
        <v>683</v>
      </c>
      <c r="F766" s="5">
        <v>683</v>
      </c>
      <c r="G766" s="6">
        <f t="shared" ca="1" si="33"/>
        <v>45725</v>
      </c>
      <c r="H766" s="4" t="str">
        <f t="shared" ca="1" si="34"/>
        <v>March</v>
      </c>
      <c r="I766" t="str">
        <f t="shared" ca="1" si="35"/>
        <v>2025</v>
      </c>
      <c r="L766" s="4"/>
    </row>
    <row r="767" spans="1:12" x14ac:dyDescent="0.4">
      <c r="A767" s="5" t="s">
        <v>17</v>
      </c>
      <c r="B767" s="5" t="s">
        <v>15</v>
      </c>
      <c r="C767" s="5" t="s">
        <v>22</v>
      </c>
      <c r="D767" s="5">
        <v>16</v>
      </c>
      <c r="E767" s="5">
        <v>1979</v>
      </c>
      <c r="F767" s="5">
        <v>31664</v>
      </c>
      <c r="G767" s="6">
        <f t="shared" ca="1" si="33"/>
        <v>45747</v>
      </c>
      <c r="H767" s="4" t="str">
        <f t="shared" ca="1" si="34"/>
        <v>March</v>
      </c>
      <c r="I767" t="str">
        <f t="shared" ca="1" si="35"/>
        <v>2025</v>
      </c>
      <c r="L767" s="4"/>
    </row>
    <row r="768" spans="1:12" x14ac:dyDescent="0.4">
      <c r="A768" s="5" t="s">
        <v>6</v>
      </c>
      <c r="B768" s="5" t="s">
        <v>15</v>
      </c>
      <c r="C768" s="5" t="s">
        <v>23</v>
      </c>
      <c r="D768" s="5">
        <v>20</v>
      </c>
      <c r="E768" s="5">
        <v>619</v>
      </c>
      <c r="F768" s="5">
        <v>12380</v>
      </c>
      <c r="G768" s="6">
        <f t="shared" ca="1" si="33"/>
        <v>45889</v>
      </c>
      <c r="H768" s="4" t="str">
        <f t="shared" ca="1" si="34"/>
        <v>August</v>
      </c>
      <c r="I768" t="str">
        <f t="shared" ca="1" si="35"/>
        <v>2025</v>
      </c>
      <c r="L768" s="4"/>
    </row>
    <row r="769" spans="1:12" x14ac:dyDescent="0.4">
      <c r="A769" s="5" t="s">
        <v>17</v>
      </c>
      <c r="B769" s="5" t="s">
        <v>21</v>
      </c>
      <c r="C769" s="5" t="s">
        <v>18</v>
      </c>
      <c r="D769" s="5">
        <v>14</v>
      </c>
      <c r="E769" s="5">
        <v>201</v>
      </c>
      <c r="F769" s="5">
        <v>2814</v>
      </c>
      <c r="G769" s="6">
        <f t="shared" ca="1" si="33"/>
        <v>45624</v>
      </c>
      <c r="H769" s="4" t="str">
        <f t="shared" ca="1" si="34"/>
        <v>November</v>
      </c>
      <c r="I769" t="str">
        <f t="shared" ca="1" si="35"/>
        <v>2024</v>
      </c>
      <c r="L769" s="4"/>
    </row>
    <row r="770" spans="1:12" x14ac:dyDescent="0.4">
      <c r="A770" s="5" t="s">
        <v>17</v>
      </c>
      <c r="B770" s="5" t="s">
        <v>10</v>
      </c>
      <c r="C770" s="5" t="s">
        <v>24</v>
      </c>
      <c r="D770" s="5">
        <v>31</v>
      </c>
      <c r="E770" s="5">
        <v>748</v>
      </c>
      <c r="F770" s="5">
        <v>23188</v>
      </c>
      <c r="G770" s="6">
        <f t="shared" ca="1" si="33"/>
        <v>45417</v>
      </c>
      <c r="H770" s="4" t="str">
        <f t="shared" ca="1" si="34"/>
        <v>May</v>
      </c>
      <c r="I770" t="str">
        <f t="shared" ca="1" si="35"/>
        <v>2024</v>
      </c>
      <c r="L770" s="4"/>
    </row>
    <row r="771" spans="1:12" x14ac:dyDescent="0.4">
      <c r="A771" s="5" t="s">
        <v>9</v>
      </c>
      <c r="B771" s="5" t="s">
        <v>12</v>
      </c>
      <c r="C771" s="5" t="s">
        <v>18</v>
      </c>
      <c r="D771" s="5">
        <v>27</v>
      </c>
      <c r="E771" s="5">
        <v>1976</v>
      </c>
      <c r="F771" s="5">
        <v>53352</v>
      </c>
      <c r="G771" s="6">
        <f t="shared" ref="G771:G801" ca="1" si="36">RANDBETWEEN(DATE(2024,1,1),DATE(2025,12,31))</f>
        <v>45641</v>
      </c>
      <c r="H771" s="4" t="str">
        <f t="shared" ref="H771:H801" ca="1" si="37">TEXT(G771,"mmmm")</f>
        <v>December</v>
      </c>
      <c r="I771" t="str">
        <f t="shared" ref="I771:I801" ca="1" si="38">TEXT(G771,"yyyy")</f>
        <v>2024</v>
      </c>
      <c r="L771" s="4"/>
    </row>
    <row r="772" spans="1:12" x14ac:dyDescent="0.4">
      <c r="A772" s="5" t="s">
        <v>19</v>
      </c>
      <c r="B772" s="5" t="s">
        <v>10</v>
      </c>
      <c r="C772" s="5" t="s">
        <v>22</v>
      </c>
      <c r="D772" s="5">
        <v>33</v>
      </c>
      <c r="E772" s="5">
        <v>751</v>
      </c>
      <c r="F772" s="5">
        <v>24783</v>
      </c>
      <c r="G772" s="6">
        <f t="shared" ca="1" si="36"/>
        <v>45916</v>
      </c>
      <c r="H772" s="4" t="str">
        <f t="shared" ca="1" si="37"/>
        <v>September</v>
      </c>
      <c r="I772" t="str">
        <f t="shared" ca="1" si="38"/>
        <v>2025</v>
      </c>
      <c r="L772" s="4"/>
    </row>
    <row r="773" spans="1:12" x14ac:dyDescent="0.4">
      <c r="A773" s="5" t="s">
        <v>19</v>
      </c>
      <c r="B773" s="5" t="s">
        <v>10</v>
      </c>
      <c r="C773" s="5" t="s">
        <v>16</v>
      </c>
      <c r="D773" s="5">
        <v>36</v>
      </c>
      <c r="E773" s="5">
        <v>221</v>
      </c>
      <c r="F773" s="5">
        <v>7956</v>
      </c>
      <c r="G773" s="6">
        <f t="shared" ca="1" si="36"/>
        <v>45534</v>
      </c>
      <c r="H773" s="4" t="str">
        <f t="shared" ca="1" si="37"/>
        <v>August</v>
      </c>
      <c r="I773" t="str">
        <f t="shared" ca="1" si="38"/>
        <v>2024</v>
      </c>
      <c r="L773" s="4"/>
    </row>
    <row r="774" spans="1:12" x14ac:dyDescent="0.4">
      <c r="A774" s="5" t="s">
        <v>6</v>
      </c>
      <c r="B774" s="5" t="s">
        <v>7</v>
      </c>
      <c r="C774" s="5" t="s">
        <v>22</v>
      </c>
      <c r="D774" s="5">
        <v>20</v>
      </c>
      <c r="E774" s="5">
        <v>729</v>
      </c>
      <c r="F774" s="5">
        <v>14580</v>
      </c>
      <c r="G774" s="6">
        <f t="shared" ca="1" si="36"/>
        <v>45753</v>
      </c>
      <c r="H774" s="4" t="str">
        <f t="shared" ca="1" si="37"/>
        <v>April</v>
      </c>
      <c r="I774" t="str">
        <f t="shared" ca="1" si="38"/>
        <v>2025</v>
      </c>
      <c r="L774" s="4"/>
    </row>
    <row r="775" spans="1:12" x14ac:dyDescent="0.4">
      <c r="A775" s="5" t="s">
        <v>17</v>
      </c>
      <c r="B775" s="5" t="s">
        <v>21</v>
      </c>
      <c r="C775" s="5" t="s">
        <v>20</v>
      </c>
      <c r="D775" s="5">
        <v>37</v>
      </c>
      <c r="E775" s="5">
        <v>297</v>
      </c>
      <c r="F775" s="5">
        <v>10989</v>
      </c>
      <c r="G775" s="6">
        <f t="shared" ca="1" si="36"/>
        <v>45713</v>
      </c>
      <c r="H775" s="4" t="str">
        <f t="shared" ca="1" si="37"/>
        <v>February</v>
      </c>
      <c r="I775" t="str">
        <f t="shared" ca="1" si="38"/>
        <v>2025</v>
      </c>
      <c r="L775" s="4"/>
    </row>
    <row r="776" spans="1:12" x14ac:dyDescent="0.4">
      <c r="A776" s="5" t="s">
        <v>6</v>
      </c>
      <c r="B776" s="5" t="s">
        <v>15</v>
      </c>
      <c r="C776" s="5" t="s">
        <v>13</v>
      </c>
      <c r="D776" s="5">
        <v>45</v>
      </c>
      <c r="E776" s="5">
        <v>1686</v>
      </c>
      <c r="F776" s="5">
        <v>75870</v>
      </c>
      <c r="G776" s="6">
        <f t="shared" ca="1" si="36"/>
        <v>45860</v>
      </c>
      <c r="H776" s="4" t="str">
        <f t="shared" ca="1" si="37"/>
        <v>July</v>
      </c>
      <c r="I776" t="str">
        <f t="shared" ca="1" si="38"/>
        <v>2025</v>
      </c>
      <c r="L776" s="4"/>
    </row>
    <row r="777" spans="1:12" x14ac:dyDescent="0.4">
      <c r="A777" s="5" t="s">
        <v>9</v>
      </c>
      <c r="B777" s="5" t="s">
        <v>7</v>
      </c>
      <c r="C777" s="5" t="s">
        <v>13</v>
      </c>
      <c r="D777" s="5">
        <v>42</v>
      </c>
      <c r="E777" s="5">
        <v>1093</v>
      </c>
      <c r="F777" s="5">
        <v>45906</v>
      </c>
      <c r="G777" s="6">
        <f t="shared" ca="1" si="36"/>
        <v>45930</v>
      </c>
      <c r="H777" s="4" t="str">
        <f t="shared" ca="1" si="37"/>
        <v>September</v>
      </c>
      <c r="I777" t="str">
        <f t="shared" ca="1" si="38"/>
        <v>2025</v>
      </c>
      <c r="L777" s="4"/>
    </row>
    <row r="778" spans="1:12" x14ac:dyDescent="0.4">
      <c r="A778" s="5" t="s">
        <v>19</v>
      </c>
      <c r="B778" s="5" t="s">
        <v>7</v>
      </c>
      <c r="C778" s="5" t="s">
        <v>22</v>
      </c>
      <c r="D778" s="5">
        <v>5</v>
      </c>
      <c r="E778" s="5">
        <v>1610</v>
      </c>
      <c r="F778" s="5">
        <v>8050</v>
      </c>
      <c r="G778" s="6">
        <f t="shared" ca="1" si="36"/>
        <v>45321</v>
      </c>
      <c r="H778" s="4" t="str">
        <f t="shared" ca="1" si="37"/>
        <v>January</v>
      </c>
      <c r="I778" t="str">
        <f t="shared" ca="1" si="38"/>
        <v>2024</v>
      </c>
      <c r="L778" s="4"/>
    </row>
    <row r="779" spans="1:12" x14ac:dyDescent="0.4">
      <c r="A779" s="5" t="s">
        <v>6</v>
      </c>
      <c r="B779" s="5" t="s">
        <v>21</v>
      </c>
      <c r="C779" s="5" t="s">
        <v>22</v>
      </c>
      <c r="D779" s="5">
        <v>16</v>
      </c>
      <c r="E779" s="5">
        <v>630</v>
      </c>
      <c r="F779" s="5">
        <v>10080</v>
      </c>
      <c r="G779" s="6">
        <f t="shared" ca="1" si="36"/>
        <v>45948</v>
      </c>
      <c r="H779" s="4" t="str">
        <f t="shared" ca="1" si="37"/>
        <v>October</v>
      </c>
      <c r="I779" t="str">
        <f t="shared" ca="1" si="38"/>
        <v>2025</v>
      </c>
      <c r="L779" s="4"/>
    </row>
    <row r="780" spans="1:12" x14ac:dyDescent="0.4">
      <c r="A780" s="5" t="s">
        <v>9</v>
      </c>
      <c r="B780" s="5" t="s">
        <v>7</v>
      </c>
      <c r="C780" s="5" t="s">
        <v>14</v>
      </c>
      <c r="D780" s="5">
        <v>28</v>
      </c>
      <c r="E780" s="5">
        <v>530</v>
      </c>
      <c r="F780" s="5">
        <v>14840</v>
      </c>
      <c r="G780" s="6">
        <f t="shared" ca="1" si="36"/>
        <v>45678</v>
      </c>
      <c r="H780" s="4" t="str">
        <f t="shared" ca="1" si="37"/>
        <v>January</v>
      </c>
      <c r="I780" t="str">
        <f t="shared" ca="1" si="38"/>
        <v>2025</v>
      </c>
      <c r="L780" s="4"/>
    </row>
    <row r="781" spans="1:12" x14ac:dyDescent="0.4">
      <c r="A781" s="5" t="s">
        <v>6</v>
      </c>
      <c r="B781" s="5" t="s">
        <v>12</v>
      </c>
      <c r="C781" s="5" t="s">
        <v>23</v>
      </c>
      <c r="D781" s="5">
        <v>34</v>
      </c>
      <c r="E781" s="5">
        <v>699</v>
      </c>
      <c r="F781" s="5">
        <v>23766</v>
      </c>
      <c r="G781" s="6">
        <f t="shared" ca="1" si="36"/>
        <v>45305</v>
      </c>
      <c r="H781" s="4" t="str">
        <f t="shared" ca="1" si="37"/>
        <v>January</v>
      </c>
      <c r="I781" t="str">
        <f t="shared" ca="1" si="38"/>
        <v>2024</v>
      </c>
      <c r="L781" s="4"/>
    </row>
    <row r="782" spans="1:12" x14ac:dyDescent="0.4">
      <c r="A782" s="5" t="s">
        <v>6</v>
      </c>
      <c r="B782" s="5" t="s">
        <v>15</v>
      </c>
      <c r="C782" s="5" t="s">
        <v>8</v>
      </c>
      <c r="D782" s="5">
        <v>31</v>
      </c>
      <c r="E782" s="5">
        <v>670</v>
      </c>
      <c r="F782" s="5">
        <v>20770</v>
      </c>
      <c r="G782" s="6">
        <f t="shared" ca="1" si="36"/>
        <v>45505</v>
      </c>
      <c r="H782" s="4" t="str">
        <f t="shared" ca="1" si="37"/>
        <v>August</v>
      </c>
      <c r="I782" t="str">
        <f t="shared" ca="1" si="38"/>
        <v>2024</v>
      </c>
      <c r="L782" s="4"/>
    </row>
    <row r="783" spans="1:12" x14ac:dyDescent="0.4">
      <c r="A783" s="5" t="s">
        <v>9</v>
      </c>
      <c r="B783" s="5" t="s">
        <v>12</v>
      </c>
      <c r="C783" s="5" t="s">
        <v>24</v>
      </c>
      <c r="D783" s="5">
        <v>3</v>
      </c>
      <c r="E783" s="5">
        <v>579</v>
      </c>
      <c r="F783" s="5">
        <v>1737</v>
      </c>
      <c r="G783" s="6">
        <f t="shared" ca="1" si="36"/>
        <v>45829</v>
      </c>
      <c r="H783" s="4" t="str">
        <f t="shared" ca="1" si="37"/>
        <v>June</v>
      </c>
      <c r="I783" t="str">
        <f t="shared" ca="1" si="38"/>
        <v>2025</v>
      </c>
      <c r="L783" s="4"/>
    </row>
    <row r="784" spans="1:12" x14ac:dyDescent="0.4">
      <c r="A784" s="5" t="s">
        <v>6</v>
      </c>
      <c r="B784" s="5" t="s">
        <v>21</v>
      </c>
      <c r="C784" s="5" t="s">
        <v>11</v>
      </c>
      <c r="D784" s="5">
        <v>12</v>
      </c>
      <c r="E784" s="5">
        <v>1867</v>
      </c>
      <c r="F784" s="5">
        <v>22404</v>
      </c>
      <c r="G784" s="6">
        <f t="shared" ca="1" si="36"/>
        <v>46019</v>
      </c>
      <c r="H784" s="4" t="str">
        <f t="shared" ca="1" si="37"/>
        <v>December</v>
      </c>
      <c r="I784" t="str">
        <f t="shared" ca="1" si="38"/>
        <v>2025</v>
      </c>
      <c r="L784" s="4"/>
    </row>
    <row r="785" spans="1:12" x14ac:dyDescent="0.4">
      <c r="A785" s="5" t="s">
        <v>6</v>
      </c>
      <c r="B785" s="5" t="s">
        <v>10</v>
      </c>
      <c r="C785" s="5" t="s">
        <v>14</v>
      </c>
      <c r="D785" s="5">
        <v>8</v>
      </c>
      <c r="E785" s="5">
        <v>1904</v>
      </c>
      <c r="F785" s="5">
        <v>15232</v>
      </c>
      <c r="G785" s="6">
        <f t="shared" ca="1" si="36"/>
        <v>45883</v>
      </c>
      <c r="H785" s="4" t="str">
        <f t="shared" ca="1" si="37"/>
        <v>August</v>
      </c>
      <c r="I785" t="str">
        <f t="shared" ca="1" si="38"/>
        <v>2025</v>
      </c>
      <c r="L785" s="4"/>
    </row>
    <row r="786" spans="1:12" x14ac:dyDescent="0.4">
      <c r="A786" s="5" t="s">
        <v>9</v>
      </c>
      <c r="B786" s="5" t="s">
        <v>21</v>
      </c>
      <c r="C786" s="5" t="s">
        <v>22</v>
      </c>
      <c r="D786" s="5">
        <v>3</v>
      </c>
      <c r="E786" s="5">
        <v>1094</v>
      </c>
      <c r="F786" s="5">
        <v>3282</v>
      </c>
      <c r="G786" s="6">
        <f t="shared" ca="1" si="36"/>
        <v>45967</v>
      </c>
      <c r="H786" s="4" t="str">
        <f t="shared" ca="1" si="37"/>
        <v>November</v>
      </c>
      <c r="I786" t="str">
        <f t="shared" ca="1" si="38"/>
        <v>2025</v>
      </c>
      <c r="L786" s="4"/>
    </row>
    <row r="787" spans="1:12" x14ac:dyDescent="0.4">
      <c r="A787" s="5" t="s">
        <v>9</v>
      </c>
      <c r="B787" s="5" t="s">
        <v>15</v>
      </c>
      <c r="C787" s="5" t="s">
        <v>11</v>
      </c>
      <c r="D787" s="5">
        <v>47</v>
      </c>
      <c r="E787" s="5">
        <v>1910</v>
      </c>
      <c r="F787" s="5">
        <v>89770</v>
      </c>
      <c r="G787" s="6">
        <f t="shared" ca="1" si="36"/>
        <v>45871</v>
      </c>
      <c r="H787" s="4" t="str">
        <f t="shared" ca="1" si="37"/>
        <v>August</v>
      </c>
      <c r="I787" t="str">
        <f t="shared" ca="1" si="38"/>
        <v>2025</v>
      </c>
      <c r="L787" s="4"/>
    </row>
    <row r="788" spans="1:12" x14ac:dyDescent="0.4">
      <c r="A788" s="5" t="s">
        <v>6</v>
      </c>
      <c r="B788" s="5" t="s">
        <v>7</v>
      </c>
      <c r="C788" s="5" t="s">
        <v>8</v>
      </c>
      <c r="D788" s="5">
        <v>15</v>
      </c>
      <c r="E788" s="5">
        <v>1923</v>
      </c>
      <c r="F788" s="5">
        <v>28845</v>
      </c>
      <c r="G788" s="6">
        <f t="shared" ca="1" si="36"/>
        <v>45570</v>
      </c>
      <c r="H788" s="4" t="str">
        <f t="shared" ca="1" si="37"/>
        <v>October</v>
      </c>
      <c r="I788" t="str">
        <f t="shared" ca="1" si="38"/>
        <v>2024</v>
      </c>
      <c r="L788" s="4"/>
    </row>
    <row r="789" spans="1:12" x14ac:dyDescent="0.4">
      <c r="A789" s="5" t="s">
        <v>17</v>
      </c>
      <c r="B789" s="5" t="s">
        <v>15</v>
      </c>
      <c r="C789" s="5" t="s">
        <v>13</v>
      </c>
      <c r="D789" s="5">
        <v>33</v>
      </c>
      <c r="E789" s="5">
        <v>114</v>
      </c>
      <c r="F789" s="5">
        <v>3762</v>
      </c>
      <c r="G789" s="6">
        <f t="shared" ca="1" si="36"/>
        <v>45554</v>
      </c>
      <c r="H789" s="4" t="str">
        <f t="shared" ca="1" si="37"/>
        <v>September</v>
      </c>
      <c r="I789" t="str">
        <f t="shared" ca="1" si="38"/>
        <v>2024</v>
      </c>
      <c r="L789" s="4"/>
    </row>
    <row r="790" spans="1:12" x14ac:dyDescent="0.4">
      <c r="A790" s="5" t="s">
        <v>17</v>
      </c>
      <c r="B790" s="5" t="s">
        <v>15</v>
      </c>
      <c r="C790" s="5" t="s">
        <v>18</v>
      </c>
      <c r="D790" s="5">
        <v>45</v>
      </c>
      <c r="E790" s="5">
        <v>1483</v>
      </c>
      <c r="F790" s="5">
        <v>66735</v>
      </c>
      <c r="G790" s="6">
        <f t="shared" ca="1" si="36"/>
        <v>45922</v>
      </c>
      <c r="H790" s="4" t="str">
        <f t="shared" ca="1" si="37"/>
        <v>September</v>
      </c>
      <c r="I790" t="str">
        <f t="shared" ca="1" si="38"/>
        <v>2025</v>
      </c>
      <c r="L790" s="4"/>
    </row>
    <row r="791" spans="1:12" x14ac:dyDescent="0.4">
      <c r="A791" s="5" t="s">
        <v>6</v>
      </c>
      <c r="B791" s="5" t="s">
        <v>7</v>
      </c>
      <c r="C791" s="5" t="s">
        <v>11</v>
      </c>
      <c r="D791" s="5">
        <v>44</v>
      </c>
      <c r="E791" s="5">
        <v>1684</v>
      </c>
      <c r="F791" s="5">
        <v>74096</v>
      </c>
      <c r="G791" s="6">
        <f t="shared" ca="1" si="36"/>
        <v>45292</v>
      </c>
      <c r="H791" s="4" t="str">
        <f t="shared" ca="1" si="37"/>
        <v>January</v>
      </c>
      <c r="I791" t="str">
        <f t="shared" ca="1" si="38"/>
        <v>2024</v>
      </c>
      <c r="L791" s="4"/>
    </row>
    <row r="792" spans="1:12" x14ac:dyDescent="0.4">
      <c r="A792" s="5" t="s">
        <v>6</v>
      </c>
      <c r="B792" s="5" t="s">
        <v>10</v>
      </c>
      <c r="C792" s="5" t="s">
        <v>13</v>
      </c>
      <c r="D792" s="5">
        <v>21</v>
      </c>
      <c r="E792" s="5">
        <v>469</v>
      </c>
      <c r="F792" s="5">
        <v>9849</v>
      </c>
      <c r="G792" s="6">
        <f t="shared" ca="1" si="36"/>
        <v>45574</v>
      </c>
      <c r="H792" s="4" t="str">
        <f t="shared" ca="1" si="37"/>
        <v>October</v>
      </c>
      <c r="I792" t="str">
        <f t="shared" ca="1" si="38"/>
        <v>2024</v>
      </c>
      <c r="L792" s="4"/>
    </row>
    <row r="793" spans="1:12" x14ac:dyDescent="0.4">
      <c r="A793" s="5" t="s">
        <v>9</v>
      </c>
      <c r="B793" s="5" t="s">
        <v>12</v>
      </c>
      <c r="C793" s="5" t="s">
        <v>8</v>
      </c>
      <c r="D793" s="5">
        <v>40</v>
      </c>
      <c r="E793" s="5">
        <v>627</v>
      </c>
      <c r="F793" s="5">
        <v>25080</v>
      </c>
      <c r="G793" s="6">
        <f t="shared" ca="1" si="36"/>
        <v>45818</v>
      </c>
      <c r="H793" s="4" t="str">
        <f t="shared" ca="1" si="37"/>
        <v>June</v>
      </c>
      <c r="I793" t="str">
        <f t="shared" ca="1" si="38"/>
        <v>2025</v>
      </c>
      <c r="L793" s="4"/>
    </row>
    <row r="794" spans="1:12" x14ac:dyDescent="0.4">
      <c r="A794" s="5" t="s">
        <v>9</v>
      </c>
      <c r="B794" s="5" t="s">
        <v>7</v>
      </c>
      <c r="C794" s="5" t="s">
        <v>18</v>
      </c>
      <c r="D794" s="5">
        <v>44</v>
      </c>
      <c r="E794" s="5">
        <v>1061</v>
      </c>
      <c r="F794" s="5">
        <v>46684</v>
      </c>
      <c r="G794" s="6">
        <f t="shared" ca="1" si="36"/>
        <v>45564</v>
      </c>
      <c r="H794" s="4" t="str">
        <f t="shared" ca="1" si="37"/>
        <v>September</v>
      </c>
      <c r="I794" t="str">
        <f t="shared" ca="1" si="38"/>
        <v>2024</v>
      </c>
      <c r="L794" s="4"/>
    </row>
    <row r="795" spans="1:12" x14ac:dyDescent="0.4">
      <c r="A795" s="5" t="s">
        <v>17</v>
      </c>
      <c r="B795" s="5" t="s">
        <v>21</v>
      </c>
      <c r="C795" s="5" t="s">
        <v>13</v>
      </c>
      <c r="D795" s="5">
        <v>2</v>
      </c>
      <c r="E795" s="5">
        <v>665</v>
      </c>
      <c r="F795" s="5">
        <v>1330</v>
      </c>
      <c r="G795" s="6">
        <f t="shared" ca="1" si="36"/>
        <v>45456</v>
      </c>
      <c r="H795" s="4" t="str">
        <f t="shared" ca="1" si="37"/>
        <v>June</v>
      </c>
      <c r="I795" t="str">
        <f t="shared" ca="1" si="38"/>
        <v>2024</v>
      </c>
      <c r="L795" s="4"/>
    </row>
    <row r="796" spans="1:12" x14ac:dyDescent="0.4">
      <c r="A796" s="5" t="s">
        <v>19</v>
      </c>
      <c r="B796" s="5" t="s">
        <v>15</v>
      </c>
      <c r="C796" s="5" t="s">
        <v>13</v>
      </c>
      <c r="D796" s="5">
        <v>19</v>
      </c>
      <c r="E796" s="5">
        <v>1036</v>
      </c>
      <c r="F796" s="5">
        <v>19684</v>
      </c>
      <c r="G796" s="6">
        <f t="shared" ca="1" si="36"/>
        <v>45573</v>
      </c>
      <c r="H796" s="4" t="str">
        <f t="shared" ca="1" si="37"/>
        <v>October</v>
      </c>
      <c r="I796" t="str">
        <f t="shared" ca="1" si="38"/>
        <v>2024</v>
      </c>
      <c r="L796" s="4"/>
    </row>
    <row r="797" spans="1:12" x14ac:dyDescent="0.4">
      <c r="A797" s="5" t="s">
        <v>9</v>
      </c>
      <c r="B797" s="5" t="s">
        <v>7</v>
      </c>
      <c r="C797" s="5" t="s">
        <v>22</v>
      </c>
      <c r="D797" s="5">
        <v>27</v>
      </c>
      <c r="E797" s="5">
        <v>1642</v>
      </c>
      <c r="F797" s="5">
        <v>44334</v>
      </c>
      <c r="G797" s="6">
        <f t="shared" ca="1" si="36"/>
        <v>45321</v>
      </c>
      <c r="H797" s="4" t="str">
        <f t="shared" ca="1" si="37"/>
        <v>January</v>
      </c>
      <c r="I797" t="str">
        <f t="shared" ca="1" si="38"/>
        <v>2024</v>
      </c>
      <c r="L797" s="4"/>
    </row>
    <row r="798" spans="1:12" x14ac:dyDescent="0.4">
      <c r="A798" s="5" t="s">
        <v>19</v>
      </c>
      <c r="B798" s="5" t="s">
        <v>21</v>
      </c>
      <c r="C798" s="5" t="s">
        <v>24</v>
      </c>
      <c r="D798" s="5">
        <v>30</v>
      </c>
      <c r="E798" s="5">
        <v>1726</v>
      </c>
      <c r="F798" s="5">
        <v>51780</v>
      </c>
      <c r="G798" s="6">
        <f t="shared" ca="1" si="36"/>
        <v>45559</v>
      </c>
      <c r="H798" s="4" t="str">
        <f t="shared" ca="1" si="37"/>
        <v>September</v>
      </c>
      <c r="I798" t="str">
        <f t="shared" ca="1" si="38"/>
        <v>2024</v>
      </c>
      <c r="L798" s="4"/>
    </row>
    <row r="799" spans="1:12" x14ac:dyDescent="0.4">
      <c r="A799" s="5" t="s">
        <v>19</v>
      </c>
      <c r="B799" s="5" t="s">
        <v>21</v>
      </c>
      <c r="C799" s="5" t="s">
        <v>11</v>
      </c>
      <c r="D799" s="5">
        <v>50</v>
      </c>
      <c r="E799" s="5">
        <v>225</v>
      </c>
      <c r="F799" s="5">
        <v>11250</v>
      </c>
      <c r="G799" s="6">
        <f t="shared" ca="1" si="36"/>
        <v>45480</v>
      </c>
      <c r="H799" s="4" t="str">
        <f t="shared" ca="1" si="37"/>
        <v>July</v>
      </c>
      <c r="I799" t="str">
        <f t="shared" ca="1" si="38"/>
        <v>2024</v>
      </c>
      <c r="L799" s="4"/>
    </row>
    <row r="800" spans="1:12" x14ac:dyDescent="0.4">
      <c r="A800" s="5" t="s">
        <v>17</v>
      </c>
      <c r="B800" s="5" t="s">
        <v>12</v>
      </c>
      <c r="C800" s="5" t="s">
        <v>16</v>
      </c>
      <c r="D800" s="5">
        <v>25</v>
      </c>
      <c r="E800" s="5">
        <v>683</v>
      </c>
      <c r="F800" s="5">
        <v>17075</v>
      </c>
      <c r="G800" s="6">
        <f t="shared" ca="1" si="36"/>
        <v>45719</v>
      </c>
      <c r="H800" s="4" t="str">
        <f t="shared" ca="1" si="37"/>
        <v>March</v>
      </c>
      <c r="I800" t="str">
        <f t="shared" ca="1" si="38"/>
        <v>2025</v>
      </c>
      <c r="L800" s="4"/>
    </row>
    <row r="801" spans="1:12" x14ac:dyDescent="0.4">
      <c r="A801" s="5" t="s">
        <v>9</v>
      </c>
      <c r="B801" s="5" t="s">
        <v>21</v>
      </c>
      <c r="C801" s="5" t="s">
        <v>18</v>
      </c>
      <c r="D801" s="5">
        <v>50</v>
      </c>
      <c r="E801" s="5">
        <v>444</v>
      </c>
      <c r="F801" s="5">
        <v>22200</v>
      </c>
      <c r="G801" s="6">
        <f t="shared" ca="1" si="36"/>
        <v>45980</v>
      </c>
      <c r="H801" s="4" t="str">
        <f t="shared" ca="1" si="37"/>
        <v>November</v>
      </c>
      <c r="I801" t="str">
        <f t="shared" ca="1" si="38"/>
        <v>2025</v>
      </c>
      <c r="L801" s="4"/>
    </row>
  </sheetData>
  <pageMargins left="0.75" right="0.75" top="1" bottom="1" header="0.5" footer="0.5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Practice</vt:lpstr>
      <vt:lpstr>Question</vt:lpstr>
      <vt:lpstr>Homework2</vt:lpstr>
      <vt:lpstr>Homework1</vt:lpstr>
      <vt:lpstr>Q10.</vt:lpstr>
      <vt:lpstr>Practice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2025-09-22T12:45:50Z</dcterms:created>
  <dcterms:modified xsi:type="dcterms:W3CDTF">2026-10-22T16:56:50Z</dcterms:modified>
</cp:coreProperties>
</file>