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04815395-90BE-4E2C-BC13-E34D89F7C54E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Employee_Data" sheetId="1" r:id="rId1"/>
    <sheet name="Attendance_Log" sheetId="2" r:id="rId2"/>
    <sheet name="Customer_Feedback" sheetId="4" r:id="rId3"/>
    <sheet name="Questions_Sheet" sheetId="5" r:id="rId4"/>
    <sheet name="Event_Schedule" sheetId="3" r:id="rId5"/>
  </sheets>
  <definedNames>
    <definedName name="_xlnm._FilterDatabase" localSheetId="1" hidden="1">Attendance_Log!$A$1:$K$501</definedName>
    <definedName name="_xlnm._FilterDatabase" localSheetId="0" hidden="1">Employee_Data!$A$1:$I$501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8" i="4" l="1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3" i="4"/>
  <c r="G4" i="4"/>
  <c r="G5" i="4"/>
  <c r="G6" i="4"/>
  <c r="G7" i="4"/>
  <c r="G8" i="4"/>
  <c r="G9" i="4"/>
  <c r="G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<sst xmlns="http://schemas.openxmlformats.org/spreadsheetml/2006/main" count="10119" uniqueCount="2391">
  <si>
    <t>Emp_ID</t>
  </si>
  <si>
    <t>Full_Name</t>
  </si>
  <si>
    <t>Department</t>
  </si>
  <si>
    <t>Designation</t>
  </si>
  <si>
    <t>Joining_Date</t>
  </si>
  <si>
    <t>Email_ID</t>
  </si>
  <si>
    <t>Contact_No</t>
  </si>
  <si>
    <t>Manager_Name</t>
  </si>
  <si>
    <t>E0001</t>
  </si>
  <si>
    <t>Meera Mehta</t>
  </si>
  <si>
    <t>IT</t>
  </si>
  <si>
    <t>Manager</t>
  </si>
  <si>
    <t>meera.mehta@company.com</t>
  </si>
  <si>
    <t>+91-7381260965</t>
  </si>
  <si>
    <t>V. Nair</t>
  </si>
  <si>
    <t>E0002</t>
  </si>
  <si>
    <t>Meera Reddy</t>
  </si>
  <si>
    <t>Sales</t>
  </si>
  <si>
    <t>Lead</t>
  </si>
  <si>
    <t>meera.reddy@company.com</t>
  </si>
  <si>
    <t>+91-6788036139</t>
  </si>
  <si>
    <t>R. Patel</t>
  </si>
  <si>
    <t>E0003</t>
  </si>
  <si>
    <t>Vivaan Mehta</t>
  </si>
  <si>
    <t>Marketing</t>
  </si>
  <si>
    <t>Executive</t>
  </si>
  <si>
    <t>vivaan.mehta@company.com</t>
  </si>
  <si>
    <t>+91-7789404792</t>
  </si>
  <si>
    <t>A. Sharma</t>
  </si>
  <si>
    <t>E0004</t>
  </si>
  <si>
    <t>Ananya Reddy</t>
  </si>
  <si>
    <t>Finance</t>
  </si>
  <si>
    <t>ananya.reddy@company.com</t>
  </si>
  <si>
    <t>+91-8338383559</t>
  </si>
  <si>
    <t>E0005</t>
  </si>
  <si>
    <t>Isha Das</t>
  </si>
  <si>
    <t>isha.das@company.com</t>
  </si>
  <si>
    <t>+91-7015274500</t>
  </si>
  <si>
    <t>E0006</t>
  </si>
  <si>
    <t>Aarav Das</t>
  </si>
  <si>
    <t>aarav.das@company.com</t>
  </si>
  <si>
    <t>+91-6324098037</t>
  </si>
  <si>
    <t>E0007</t>
  </si>
  <si>
    <t>Ananya Mehta</t>
  </si>
  <si>
    <t>Coordinator</t>
  </si>
  <si>
    <t>ananya.mehta@company.com</t>
  </si>
  <si>
    <t>+91-7611203663</t>
  </si>
  <si>
    <t>E0008</t>
  </si>
  <si>
    <t>Aditya Gupta</t>
  </si>
  <si>
    <t>Analyst</t>
  </si>
  <si>
    <t>aditya.gupta@company.com</t>
  </si>
  <si>
    <t>+91-6085987456</t>
  </si>
  <si>
    <t>E0009</t>
  </si>
  <si>
    <t>HR</t>
  </si>
  <si>
    <t>+91-9504257906</t>
  </si>
  <si>
    <t>S. Gupta</t>
  </si>
  <si>
    <t>E0010</t>
  </si>
  <si>
    <t>Diya Gupta</t>
  </si>
  <si>
    <t>diya.gupta@company.com</t>
  </si>
  <si>
    <t>+91-8922317547</t>
  </si>
  <si>
    <t>E0011</t>
  </si>
  <si>
    <t>Ananya Joshi</t>
  </si>
  <si>
    <t>ananya.joshi@company.com</t>
  </si>
  <si>
    <t>+91-9803062228</t>
  </si>
  <si>
    <t>M. Khan</t>
  </si>
  <si>
    <t>E0012</t>
  </si>
  <si>
    <t>Aarav Khan</t>
  </si>
  <si>
    <t>aarav.khan@company.com</t>
  </si>
  <si>
    <t>+91-7114254733</t>
  </si>
  <si>
    <t>E0013</t>
  </si>
  <si>
    <t>Vivaan Khan</t>
  </si>
  <si>
    <t>vivaan.khan@company.com</t>
  </si>
  <si>
    <t>+91-8430849832</t>
  </si>
  <si>
    <t>E0014</t>
  </si>
  <si>
    <t>Riya Das</t>
  </si>
  <si>
    <t>riya.das@company.com</t>
  </si>
  <si>
    <t>+91-7338144872</t>
  </si>
  <si>
    <t>E0015</t>
  </si>
  <si>
    <t>Ananya Patel</t>
  </si>
  <si>
    <t>ananya.patel@company.com</t>
  </si>
  <si>
    <t>+91-7298122301</t>
  </si>
  <si>
    <t>E0016</t>
  </si>
  <si>
    <t>Meera Joshi</t>
  </si>
  <si>
    <t>meera.joshi@company.com</t>
  </si>
  <si>
    <t>+91-9770064056</t>
  </si>
  <si>
    <t>E0017</t>
  </si>
  <si>
    <t>Kabir Singh</t>
  </si>
  <si>
    <t>Operations</t>
  </si>
  <si>
    <t>kabir.singh@company.com</t>
  </si>
  <si>
    <t>+91-8238431080</t>
  </si>
  <si>
    <t>E0018</t>
  </si>
  <si>
    <t>Isha Mehta</t>
  </si>
  <si>
    <t>isha.mehta@company.com</t>
  </si>
  <si>
    <t>+91-6974147538</t>
  </si>
  <si>
    <t>E0019</t>
  </si>
  <si>
    <t>Meera Sharma</t>
  </si>
  <si>
    <t>meera.sharma@company.com</t>
  </si>
  <si>
    <t>+91-9561867659</t>
  </si>
  <si>
    <t>E0020</t>
  </si>
  <si>
    <t>Diya Singh</t>
  </si>
  <si>
    <t>diya.singh@company.com</t>
  </si>
  <si>
    <t>+91-6685004983</t>
  </si>
  <si>
    <t>E0021</t>
  </si>
  <si>
    <t>Diya Das</t>
  </si>
  <si>
    <t>diya.das@company.com</t>
  </si>
  <si>
    <t>+91-9808349732</t>
  </si>
  <si>
    <t>E0022</t>
  </si>
  <si>
    <t>Arjun Mehta</t>
  </si>
  <si>
    <t>arjun.mehta@company.com</t>
  </si>
  <si>
    <t>+91-6486071714</t>
  </si>
  <si>
    <t>E0023</t>
  </si>
  <si>
    <t>+91-7081451479</t>
  </si>
  <si>
    <t>E0024</t>
  </si>
  <si>
    <t>Diya Reddy</t>
  </si>
  <si>
    <t>diya.reddy@company.com</t>
  </si>
  <si>
    <t>+91-8262041448</t>
  </si>
  <si>
    <t>E0025</t>
  </si>
  <si>
    <t>Kabir Sharma</t>
  </si>
  <si>
    <t>kabir.sharma@company.com</t>
  </si>
  <si>
    <t>+91-8033395532</t>
  </si>
  <si>
    <t>E0026</t>
  </si>
  <si>
    <t>Ananya Sharma</t>
  </si>
  <si>
    <t>ananya.sharma@company.com</t>
  </si>
  <si>
    <t>+91-9882693049</t>
  </si>
  <si>
    <t>E0027</t>
  </si>
  <si>
    <t>Riya Sharma</t>
  </si>
  <si>
    <t>riya.sharma@company.com</t>
  </si>
  <si>
    <t>+91-6431148779</t>
  </si>
  <si>
    <t>E0028</t>
  </si>
  <si>
    <t>Isha Nair</t>
  </si>
  <si>
    <t>isha.nair@company.com</t>
  </si>
  <si>
    <t>+91-6325144301</t>
  </si>
  <si>
    <t>E0029</t>
  </si>
  <si>
    <t>Arjun Sharma</t>
  </si>
  <si>
    <t>arjun.sharma@company.com</t>
  </si>
  <si>
    <t>+91-6604395966</t>
  </si>
  <si>
    <t>E0030</t>
  </si>
  <si>
    <t>Aditya Singh</t>
  </si>
  <si>
    <t>aditya.singh@company.com</t>
  </si>
  <si>
    <t>+91-7519815068</t>
  </si>
  <si>
    <t>E0031</t>
  </si>
  <si>
    <t>Meera Das</t>
  </si>
  <si>
    <t>meera.das@company.com</t>
  </si>
  <si>
    <t>+91-9491028304</t>
  </si>
  <si>
    <t>E0032</t>
  </si>
  <si>
    <t>Aditya Nair</t>
  </si>
  <si>
    <t>aditya.nair@company.com</t>
  </si>
  <si>
    <t>+91-8803894150</t>
  </si>
  <si>
    <t>E0033</t>
  </si>
  <si>
    <t>Kabir Joshi</t>
  </si>
  <si>
    <t>kabir.joshi@company.com</t>
  </si>
  <si>
    <t>+91-7036120454</t>
  </si>
  <si>
    <t>E0034</t>
  </si>
  <si>
    <t>Kabir Patel</t>
  </si>
  <si>
    <t>kabir.patel@company.com</t>
  </si>
  <si>
    <t>+91-6543722355</t>
  </si>
  <si>
    <t>E0035</t>
  </si>
  <si>
    <t>Riya Mehta</t>
  </si>
  <si>
    <t>riya.mehta@company.com</t>
  </si>
  <si>
    <t>+91-9322540781</t>
  </si>
  <si>
    <t>E0036</t>
  </si>
  <si>
    <t>Riya Patel</t>
  </si>
  <si>
    <t>riya.patel@company.com</t>
  </si>
  <si>
    <t>+91-9105140768</t>
  </si>
  <si>
    <t>E0037</t>
  </si>
  <si>
    <t>Aditya Das</t>
  </si>
  <si>
    <t>aditya.das@company.com</t>
  </si>
  <si>
    <t>+91-7162751442</t>
  </si>
  <si>
    <t>E0038</t>
  </si>
  <si>
    <t>+91-7836536982</t>
  </si>
  <si>
    <t>E0039</t>
  </si>
  <si>
    <t>+91-6031448308</t>
  </si>
  <si>
    <t>E0040</t>
  </si>
  <si>
    <t>+91-9011099307</t>
  </si>
  <si>
    <t>E0041</t>
  </si>
  <si>
    <t>+91-6817791974</t>
  </si>
  <si>
    <t>E0042</t>
  </si>
  <si>
    <t>Riya Gupta</t>
  </si>
  <si>
    <t>riya.gupta@company.com</t>
  </si>
  <si>
    <t>+91-6984897301</t>
  </si>
  <si>
    <t>E0043</t>
  </si>
  <si>
    <t>Meera Patel</t>
  </si>
  <si>
    <t>meera.patel@company.com</t>
  </si>
  <si>
    <t>+91-8645531713</t>
  </si>
  <si>
    <t>E0044</t>
  </si>
  <si>
    <t>+91-7691331273</t>
  </si>
  <si>
    <t>E0045</t>
  </si>
  <si>
    <t>Aarav Reddy</t>
  </si>
  <si>
    <t>aarav.reddy@company.com</t>
  </si>
  <si>
    <t>+91-8260080951</t>
  </si>
  <si>
    <t>E0046</t>
  </si>
  <si>
    <t>Kabir Gupta</t>
  </si>
  <si>
    <t>kabir.gupta@company.com</t>
  </si>
  <si>
    <t>+91-6288161536</t>
  </si>
  <si>
    <t>E0047</t>
  </si>
  <si>
    <t>Ananya Das</t>
  </si>
  <si>
    <t>ananya.das@company.com</t>
  </si>
  <si>
    <t>+91-8091451289</t>
  </si>
  <si>
    <t>E0048</t>
  </si>
  <si>
    <t>Kabir Das</t>
  </si>
  <si>
    <t>kabir.das@company.com</t>
  </si>
  <si>
    <t>+91-7993378012</t>
  </si>
  <si>
    <t>E0049</t>
  </si>
  <si>
    <t>Ananya Gupta</t>
  </si>
  <si>
    <t>ananya.gupta@company.com</t>
  </si>
  <si>
    <t>+91-9784969324</t>
  </si>
  <si>
    <t>E0050</t>
  </si>
  <si>
    <t>+91-7978357271</t>
  </si>
  <si>
    <t>E0051</t>
  </si>
  <si>
    <t>Aarav Patel</t>
  </si>
  <si>
    <t>aarav.patel@company.com</t>
  </si>
  <si>
    <t>+91-7349055500</t>
  </si>
  <si>
    <t>E0052</t>
  </si>
  <si>
    <t>Vivaan Patel</t>
  </si>
  <si>
    <t>vivaan.patel@company.com</t>
  </si>
  <si>
    <t>+91-6052626709</t>
  </si>
  <si>
    <t>E0053</t>
  </si>
  <si>
    <t>Meera Gupta</t>
  </si>
  <si>
    <t>meera.gupta@company.com</t>
  </si>
  <si>
    <t>+91-7846479837</t>
  </si>
  <si>
    <t>E0054</t>
  </si>
  <si>
    <t>Isha Reddy</t>
  </si>
  <si>
    <t>isha.reddy@company.com</t>
  </si>
  <si>
    <t>+91-7545053480</t>
  </si>
  <si>
    <t>E0055</t>
  </si>
  <si>
    <t>Arjun Gupta</t>
  </si>
  <si>
    <t>arjun.gupta@company.com</t>
  </si>
  <si>
    <t>+91-8516648776</t>
  </si>
  <si>
    <t>E0056</t>
  </si>
  <si>
    <t>+91-9586972424</t>
  </si>
  <si>
    <t>E0057</t>
  </si>
  <si>
    <t>+91-7658563730</t>
  </si>
  <si>
    <t>E0058</t>
  </si>
  <si>
    <t>+91-7709980301</t>
  </si>
  <si>
    <t>E0059</t>
  </si>
  <si>
    <t>Aarav Gupta</t>
  </si>
  <si>
    <t>aarav.gupta@company.com</t>
  </si>
  <si>
    <t>+91-6075432335</t>
  </si>
  <si>
    <t>E0060</t>
  </si>
  <si>
    <t>Vivaan Singh</t>
  </si>
  <si>
    <t>vivaan.singh@company.com</t>
  </si>
  <si>
    <t>+91-8889670680</t>
  </si>
  <si>
    <t>E0061</t>
  </si>
  <si>
    <t>+91-9033549374</t>
  </si>
  <si>
    <t>E0062</t>
  </si>
  <si>
    <t>+91-9941263271</t>
  </si>
  <si>
    <t>E0063</t>
  </si>
  <si>
    <t>+91-9231014426</t>
  </si>
  <si>
    <t>E0064</t>
  </si>
  <si>
    <t>+91-9712663091</t>
  </si>
  <si>
    <t>E0065</t>
  </si>
  <si>
    <t>Aditya Mehta</t>
  </si>
  <si>
    <t>aditya.mehta@company.com</t>
  </si>
  <si>
    <t>+91-9413592729</t>
  </si>
  <si>
    <t>E0066</t>
  </si>
  <si>
    <t>Riya Singh</t>
  </si>
  <si>
    <t>riya.singh@company.com</t>
  </si>
  <si>
    <t>+91-8236534966</t>
  </si>
  <si>
    <t>E0067</t>
  </si>
  <si>
    <t>+91-9203967240</t>
  </si>
  <si>
    <t>E0068</t>
  </si>
  <si>
    <t>+91-9388504287</t>
  </si>
  <si>
    <t>E0069</t>
  </si>
  <si>
    <t>Isha Gupta</t>
  </si>
  <si>
    <t>isha.gupta@company.com</t>
  </si>
  <si>
    <t>+91-8473974257</t>
  </si>
  <si>
    <t>E0070</t>
  </si>
  <si>
    <t>Diya Mehta</t>
  </si>
  <si>
    <t>diya.mehta@company.com</t>
  </si>
  <si>
    <t>+91-7137656688</t>
  </si>
  <si>
    <t>E0071</t>
  </si>
  <si>
    <t>Arjun Joshi</t>
  </si>
  <si>
    <t>arjun.joshi@company.com</t>
  </si>
  <si>
    <t>+91-6958107290</t>
  </si>
  <si>
    <t>E0072</t>
  </si>
  <si>
    <t>+91-8272172525</t>
  </si>
  <si>
    <t>E0073</t>
  </si>
  <si>
    <t>+91-9615773983</t>
  </si>
  <si>
    <t>E0074</t>
  </si>
  <si>
    <t>Diya Patel</t>
  </si>
  <si>
    <t>diya.patel@company.com</t>
  </si>
  <si>
    <t>+91-6550642712</t>
  </si>
  <si>
    <t>E0075</t>
  </si>
  <si>
    <t>+91-9994025591</t>
  </si>
  <si>
    <t>E0076</t>
  </si>
  <si>
    <t>+91-7116675511</t>
  </si>
  <si>
    <t>E0077</t>
  </si>
  <si>
    <t>Meera Singh</t>
  </si>
  <si>
    <t>meera.singh@company.com</t>
  </si>
  <si>
    <t>+91-7466700344</t>
  </si>
  <si>
    <t>E0078</t>
  </si>
  <si>
    <t>+91-8953705191</t>
  </si>
  <si>
    <t>E0079</t>
  </si>
  <si>
    <t>+91-6619084463</t>
  </si>
  <si>
    <t>E0080</t>
  </si>
  <si>
    <t>Aarav Sharma</t>
  </si>
  <si>
    <t>aarav.sharma@company.com</t>
  </si>
  <si>
    <t>+91-9069419361</t>
  </si>
  <si>
    <t>E0081</t>
  </si>
  <si>
    <t>Aditya Khan</t>
  </si>
  <si>
    <t>aditya.khan@company.com</t>
  </si>
  <si>
    <t>+91-8821497908</t>
  </si>
  <si>
    <t>E0082</t>
  </si>
  <si>
    <t>Isha Patel</t>
  </si>
  <si>
    <t>isha.patel@company.com</t>
  </si>
  <si>
    <t>+91-6779313674</t>
  </si>
  <si>
    <t>E0083</t>
  </si>
  <si>
    <t>+91-9697393530</t>
  </si>
  <si>
    <t>E0084</t>
  </si>
  <si>
    <t>+91-6510806179</t>
  </si>
  <si>
    <t>E0085</t>
  </si>
  <si>
    <t>+91-8675550992</t>
  </si>
  <si>
    <t>E0086</t>
  </si>
  <si>
    <t>+91-7283587638</t>
  </si>
  <si>
    <t>E0087</t>
  </si>
  <si>
    <t>+91-7833576048</t>
  </si>
  <si>
    <t>E0088</t>
  </si>
  <si>
    <t>Aditya Reddy</t>
  </si>
  <si>
    <t>aditya.reddy@company.com</t>
  </si>
  <si>
    <t>+91-8624323008</t>
  </si>
  <si>
    <t>E0089</t>
  </si>
  <si>
    <t>Kabir Nair</t>
  </si>
  <si>
    <t>kabir.nair@company.com</t>
  </si>
  <si>
    <t>+91-7277844210</t>
  </si>
  <si>
    <t>E0090</t>
  </si>
  <si>
    <t>+91-6895114552</t>
  </si>
  <si>
    <t>E0091</t>
  </si>
  <si>
    <t>+91-9008635561</t>
  </si>
  <si>
    <t>E0092</t>
  </si>
  <si>
    <t>+91-8764179807</t>
  </si>
  <si>
    <t>E0093</t>
  </si>
  <si>
    <t>+91-8917047207</t>
  </si>
  <si>
    <t>E0094</t>
  </si>
  <si>
    <t>Aarav Singh</t>
  </si>
  <si>
    <t>aarav.singh@company.com</t>
  </si>
  <si>
    <t>+91-8693812447</t>
  </si>
  <si>
    <t>E0095</t>
  </si>
  <si>
    <t>+91-7458725722</t>
  </si>
  <si>
    <t>E0096</t>
  </si>
  <si>
    <t>+91-7935773126</t>
  </si>
  <si>
    <t>E0097</t>
  </si>
  <si>
    <t>+91-8298843191</t>
  </si>
  <si>
    <t>E0098</t>
  </si>
  <si>
    <t>+91-6812966964</t>
  </si>
  <si>
    <t>E0099</t>
  </si>
  <si>
    <t>Isha Sharma</t>
  </si>
  <si>
    <t>isha.sharma@company.com</t>
  </si>
  <si>
    <t>+91-9534116477</t>
  </si>
  <si>
    <t>E0100</t>
  </si>
  <si>
    <t>+91-6501531782</t>
  </si>
  <si>
    <t>E0101</t>
  </si>
  <si>
    <t>Ananya Khan</t>
  </si>
  <si>
    <t>ananya.khan@company.com</t>
  </si>
  <si>
    <t>+91-6201568964</t>
  </si>
  <si>
    <t>E0102</t>
  </si>
  <si>
    <t>+91-7042445285</t>
  </si>
  <si>
    <t>E0103</t>
  </si>
  <si>
    <t>+91-6716188716</t>
  </si>
  <si>
    <t>E0104</t>
  </si>
  <si>
    <t>Arjun Nair</t>
  </si>
  <si>
    <t>arjun.nair@company.com</t>
  </si>
  <si>
    <t>+91-7544253000</t>
  </si>
  <si>
    <t>E0105</t>
  </si>
  <si>
    <t>Kabir Reddy</t>
  </si>
  <si>
    <t>kabir.reddy@company.com</t>
  </si>
  <si>
    <t>+91-9067460105</t>
  </si>
  <si>
    <t>E0106</t>
  </si>
  <si>
    <t>+91-7541240520</t>
  </si>
  <si>
    <t>E0107</t>
  </si>
  <si>
    <t>+91-6894074027</t>
  </si>
  <si>
    <t>E0108</t>
  </si>
  <si>
    <t>+91-7891529016</t>
  </si>
  <si>
    <t>E0109</t>
  </si>
  <si>
    <t>Vivaan Nair</t>
  </si>
  <si>
    <t>vivaan.nair@company.com</t>
  </si>
  <si>
    <t>+91-9613099992</t>
  </si>
  <si>
    <t>E0110</t>
  </si>
  <si>
    <t>+91-6537266167</t>
  </si>
  <si>
    <t>E0111</t>
  </si>
  <si>
    <t>+91-8986789128</t>
  </si>
  <si>
    <t>E0112</t>
  </si>
  <si>
    <t>+91-6098934252</t>
  </si>
  <si>
    <t>E0113</t>
  </si>
  <si>
    <t>+91-7548266947</t>
  </si>
  <si>
    <t>E0114</t>
  </si>
  <si>
    <t>Diya Nair</t>
  </si>
  <si>
    <t>diya.nair@company.com</t>
  </si>
  <si>
    <t>+91-6607392895</t>
  </si>
  <si>
    <t>E0115</t>
  </si>
  <si>
    <t>+91-9970806037</t>
  </si>
  <si>
    <t>E0116</t>
  </si>
  <si>
    <t>Aditya Patel</t>
  </si>
  <si>
    <t>aditya.patel@company.com</t>
  </si>
  <si>
    <t>+91-8513954447</t>
  </si>
  <si>
    <t>E0117</t>
  </si>
  <si>
    <t>Riya Nair</t>
  </si>
  <si>
    <t>riya.nair@company.com</t>
  </si>
  <si>
    <t>+91-8284848405</t>
  </si>
  <si>
    <t>E0118</t>
  </si>
  <si>
    <t>+91-9171741315</t>
  </si>
  <si>
    <t>E0119</t>
  </si>
  <si>
    <t>Meera Nair</t>
  </si>
  <si>
    <t>meera.nair@company.com</t>
  </si>
  <si>
    <t>+91-6101701439</t>
  </si>
  <si>
    <t>E0120</t>
  </si>
  <si>
    <t>Ananya Singh</t>
  </si>
  <si>
    <t>ananya.singh@company.com</t>
  </si>
  <si>
    <t>+91-8439800769</t>
  </si>
  <si>
    <t>E0121</t>
  </si>
  <si>
    <t>+91-6817334784</t>
  </si>
  <si>
    <t>E0122</t>
  </si>
  <si>
    <t>Aarav Joshi</t>
  </si>
  <si>
    <t>aarav.joshi@company.com</t>
  </si>
  <si>
    <t>+91-9861017764</t>
  </si>
  <si>
    <t>E0123</t>
  </si>
  <si>
    <t>+91-6262976766</t>
  </si>
  <si>
    <t>E0124</t>
  </si>
  <si>
    <t>+91-8850731620</t>
  </si>
  <si>
    <t>E0125</t>
  </si>
  <si>
    <t>+91-9641365880</t>
  </si>
  <si>
    <t>E0126</t>
  </si>
  <si>
    <t>+91-8842707449</t>
  </si>
  <si>
    <t>E0127</t>
  </si>
  <si>
    <t>+91-9458051204</t>
  </si>
  <si>
    <t>E0128</t>
  </si>
  <si>
    <t>+91-8287847253</t>
  </si>
  <si>
    <t>E0129</t>
  </si>
  <si>
    <t>+91-8919695352</t>
  </si>
  <si>
    <t>E0130</t>
  </si>
  <si>
    <t>+91-9800729129</t>
  </si>
  <si>
    <t>E0131</t>
  </si>
  <si>
    <t>+91-6893120046</t>
  </si>
  <si>
    <t>E0132</t>
  </si>
  <si>
    <t>+91-8486552338</t>
  </si>
  <si>
    <t>E0133</t>
  </si>
  <si>
    <t>+91-6803664350</t>
  </si>
  <si>
    <t>E0134</t>
  </si>
  <si>
    <t>+91-9387989717</t>
  </si>
  <si>
    <t>E0135</t>
  </si>
  <si>
    <t>+91-6473551504</t>
  </si>
  <si>
    <t>E0136</t>
  </si>
  <si>
    <t>+91-6467362254</t>
  </si>
  <si>
    <t>E0137</t>
  </si>
  <si>
    <t>Diya Joshi</t>
  </si>
  <si>
    <t>diya.joshi@company.com</t>
  </si>
  <si>
    <t>+91-8723201415</t>
  </si>
  <si>
    <t>E0138</t>
  </si>
  <si>
    <t>+91-9545017716</t>
  </si>
  <si>
    <t>E0139</t>
  </si>
  <si>
    <t>Arjun Singh</t>
  </si>
  <si>
    <t>arjun.singh@company.com</t>
  </si>
  <si>
    <t>+91-6307946448</t>
  </si>
  <si>
    <t>E0140</t>
  </si>
  <si>
    <t>+91-8038818480</t>
  </si>
  <si>
    <t>E0141</t>
  </si>
  <si>
    <t>+91-8850997039</t>
  </si>
  <si>
    <t>E0142</t>
  </si>
  <si>
    <t>Kabir Mehta</t>
  </si>
  <si>
    <t>kabir.mehta@company.com</t>
  </si>
  <si>
    <t>+91-7435272353</t>
  </si>
  <si>
    <t>E0143</t>
  </si>
  <si>
    <t>+91-7877370694</t>
  </si>
  <si>
    <t>E0144</t>
  </si>
  <si>
    <t>+91-8798004763</t>
  </si>
  <si>
    <t>E0145</t>
  </si>
  <si>
    <t>+91-9793227134</t>
  </si>
  <si>
    <t>E0146</t>
  </si>
  <si>
    <t>+91-7772333363</t>
  </si>
  <si>
    <t>E0147</t>
  </si>
  <si>
    <t>Ananya Nair</t>
  </si>
  <si>
    <t>ananya.nair@company.com</t>
  </si>
  <si>
    <t>+91-6321390435</t>
  </si>
  <si>
    <t>E0148</t>
  </si>
  <si>
    <t>Meera Khan</t>
  </si>
  <si>
    <t>meera.khan@company.com</t>
  </si>
  <si>
    <t>+91-8795691533</t>
  </si>
  <si>
    <t>E0149</t>
  </si>
  <si>
    <t>+91-7985411978</t>
  </si>
  <si>
    <t>E0150</t>
  </si>
  <si>
    <t>+91-8865448941</t>
  </si>
  <si>
    <t>E0151</t>
  </si>
  <si>
    <t>+91-7237522848</t>
  </si>
  <si>
    <t>E0152</t>
  </si>
  <si>
    <t>+91-6903657167</t>
  </si>
  <si>
    <t>E0153</t>
  </si>
  <si>
    <t>+91-8658182363</t>
  </si>
  <si>
    <t>E0154</t>
  </si>
  <si>
    <t>+91-6045170181</t>
  </si>
  <si>
    <t>E0155</t>
  </si>
  <si>
    <t>Arjun Reddy</t>
  </si>
  <si>
    <t>arjun.reddy@company.com</t>
  </si>
  <si>
    <t>+91-9962285559</t>
  </si>
  <si>
    <t>E0156</t>
  </si>
  <si>
    <t>+91-7578034983</t>
  </si>
  <si>
    <t>E0157</t>
  </si>
  <si>
    <t>+91-7806204383</t>
  </si>
  <si>
    <t>E0158</t>
  </si>
  <si>
    <t>+91-8141369631</t>
  </si>
  <si>
    <t>E0159</t>
  </si>
  <si>
    <t>+91-8768420213</t>
  </si>
  <si>
    <t>E0160</t>
  </si>
  <si>
    <t>+91-8013912096</t>
  </si>
  <si>
    <t>E0161</t>
  </si>
  <si>
    <t>+91-9319836261</t>
  </si>
  <si>
    <t>E0162</t>
  </si>
  <si>
    <t>+91-8943915579</t>
  </si>
  <si>
    <t>E0163</t>
  </si>
  <si>
    <t>+91-8065953637</t>
  </si>
  <si>
    <t>E0164</t>
  </si>
  <si>
    <t>+91-7666177655</t>
  </si>
  <si>
    <t>E0165</t>
  </si>
  <si>
    <t>+91-7642915659</t>
  </si>
  <si>
    <t>E0166</t>
  </si>
  <si>
    <t>+91-7944945941</t>
  </si>
  <si>
    <t>E0167</t>
  </si>
  <si>
    <t>+91-9138559364</t>
  </si>
  <si>
    <t>E0168</t>
  </si>
  <si>
    <t>+91-8374499142</t>
  </si>
  <si>
    <t>E0169</t>
  </si>
  <si>
    <t>+91-9005138827</t>
  </si>
  <si>
    <t>E0170</t>
  </si>
  <si>
    <t>+91-8947691591</t>
  </si>
  <si>
    <t>E0171</t>
  </si>
  <si>
    <t>+91-8756350643</t>
  </si>
  <si>
    <t>E0172</t>
  </si>
  <si>
    <t>+91-7404825854</t>
  </si>
  <si>
    <t>E0173</t>
  </si>
  <si>
    <t>+91-8996851062</t>
  </si>
  <si>
    <t>E0174</t>
  </si>
  <si>
    <t>+91-6203262654</t>
  </si>
  <si>
    <t>E0175</t>
  </si>
  <si>
    <t>+91-8580455129</t>
  </si>
  <si>
    <t>E0176</t>
  </si>
  <si>
    <t>Aditya Sharma</t>
  </si>
  <si>
    <t>aditya.sharma@company.com</t>
  </si>
  <si>
    <t>+91-7935149384</t>
  </si>
  <si>
    <t>E0177</t>
  </si>
  <si>
    <t>+91-6262769660</t>
  </si>
  <si>
    <t>E0178</t>
  </si>
  <si>
    <t>+91-6084392453</t>
  </si>
  <si>
    <t>E0179</t>
  </si>
  <si>
    <t>+91-7586537777</t>
  </si>
  <si>
    <t>E0180</t>
  </si>
  <si>
    <t>Vivaan Joshi</t>
  </si>
  <si>
    <t>vivaan.joshi@company.com</t>
  </si>
  <si>
    <t>+91-7761458477</t>
  </si>
  <si>
    <t>E0181</t>
  </si>
  <si>
    <t>+91-9867660382</t>
  </si>
  <si>
    <t>E0182</t>
  </si>
  <si>
    <t>+91-7563153949</t>
  </si>
  <si>
    <t>E0183</t>
  </si>
  <si>
    <t>+91-6327050048</t>
  </si>
  <si>
    <t>E0184</t>
  </si>
  <si>
    <t>+91-7744447412</t>
  </si>
  <si>
    <t>E0185</t>
  </si>
  <si>
    <t>Riya Joshi</t>
  </si>
  <si>
    <t>riya.joshi@company.com</t>
  </si>
  <si>
    <t>+91-8877955041</t>
  </si>
  <si>
    <t>E0186</t>
  </si>
  <si>
    <t>+91-6846450093</t>
  </si>
  <si>
    <t>E0187</t>
  </si>
  <si>
    <t>Arjun Das</t>
  </si>
  <si>
    <t>arjun.das@company.com</t>
  </si>
  <si>
    <t>+91-7146100854</t>
  </si>
  <si>
    <t>E0188</t>
  </si>
  <si>
    <t>+91-7902886782</t>
  </si>
  <si>
    <t>E0189</t>
  </si>
  <si>
    <t>Arjun Patel</t>
  </si>
  <si>
    <t>arjun.patel@company.com</t>
  </si>
  <si>
    <t>+91-9714727459</t>
  </si>
  <si>
    <t>E0190</t>
  </si>
  <si>
    <t>+91-6045474594</t>
  </si>
  <si>
    <t>E0191</t>
  </si>
  <si>
    <t>+91-9351548819</t>
  </si>
  <si>
    <t>E0192</t>
  </si>
  <si>
    <t>Vivaan Das</t>
  </si>
  <si>
    <t>vivaan.das@company.com</t>
  </si>
  <si>
    <t>+91-9542795177</t>
  </si>
  <si>
    <t>E0193</t>
  </si>
  <si>
    <t>Diya Khan</t>
  </si>
  <si>
    <t>diya.khan@company.com</t>
  </si>
  <si>
    <t>+91-9186786243</t>
  </si>
  <si>
    <t>E0194</t>
  </si>
  <si>
    <t>+91-6604979798</t>
  </si>
  <si>
    <t>E0195</t>
  </si>
  <si>
    <t>+91-7354501983</t>
  </si>
  <si>
    <t>E0196</t>
  </si>
  <si>
    <t>+91-8941360850</t>
  </si>
  <si>
    <t>E0197</t>
  </si>
  <si>
    <t>+91-9186258961</t>
  </si>
  <si>
    <t>E0198</t>
  </si>
  <si>
    <t>+91-7416253300</t>
  </si>
  <si>
    <t>E0199</t>
  </si>
  <si>
    <t>+91-7220220417</t>
  </si>
  <si>
    <t>E0200</t>
  </si>
  <si>
    <t>+91-8412129904</t>
  </si>
  <si>
    <t>E0201</t>
  </si>
  <si>
    <t>+91-7482161621</t>
  </si>
  <si>
    <t>E0202</t>
  </si>
  <si>
    <t>+91-6566509003</t>
  </si>
  <si>
    <t>E0203</t>
  </si>
  <si>
    <t>+91-7077755426</t>
  </si>
  <si>
    <t>E0204</t>
  </si>
  <si>
    <t>Riya Khan</t>
  </si>
  <si>
    <t>riya.khan@company.com</t>
  </si>
  <si>
    <t>+91-7735263383</t>
  </si>
  <si>
    <t>E0205</t>
  </si>
  <si>
    <t>+91-9374325560</t>
  </si>
  <si>
    <t>E0206</t>
  </si>
  <si>
    <t>+91-7668036192</t>
  </si>
  <si>
    <t>E0207</t>
  </si>
  <si>
    <t>+91-7821787656</t>
  </si>
  <si>
    <t>E0208</t>
  </si>
  <si>
    <t>+91-7153804099</t>
  </si>
  <si>
    <t>E0209</t>
  </si>
  <si>
    <t>+91-8611610600</t>
  </si>
  <si>
    <t>E0210</t>
  </si>
  <si>
    <t>+91-8351564799</t>
  </si>
  <si>
    <t>E0211</t>
  </si>
  <si>
    <t>+91-9163498417</t>
  </si>
  <si>
    <t>E0212</t>
  </si>
  <si>
    <t>Isha Khan</t>
  </si>
  <si>
    <t>isha.khan@company.com</t>
  </si>
  <si>
    <t>+91-9046138617</t>
  </si>
  <si>
    <t>E0213</t>
  </si>
  <si>
    <t>+91-7808264097</t>
  </si>
  <si>
    <t>E0214</t>
  </si>
  <si>
    <t>+91-7835306439</t>
  </si>
  <si>
    <t>E0215</t>
  </si>
  <si>
    <t>Aditya Joshi</t>
  </si>
  <si>
    <t>aditya.joshi@company.com</t>
  </si>
  <si>
    <t>+91-9338460865</t>
  </si>
  <si>
    <t>E0216</t>
  </si>
  <si>
    <t>+91-9315098642</t>
  </si>
  <si>
    <t>E0217</t>
  </si>
  <si>
    <t>+91-8969997746</t>
  </si>
  <si>
    <t>E0218</t>
  </si>
  <si>
    <t>+91-6017981672</t>
  </si>
  <si>
    <t>E0219</t>
  </si>
  <si>
    <t>+91-9214091496</t>
  </si>
  <si>
    <t>E0220</t>
  </si>
  <si>
    <t>Aarav Mehta</t>
  </si>
  <si>
    <t>aarav.mehta@company.com</t>
  </si>
  <si>
    <t>+91-8701255171</t>
  </si>
  <si>
    <t>E0221</t>
  </si>
  <si>
    <t>+91-9098959026</t>
  </si>
  <si>
    <t>E0222</t>
  </si>
  <si>
    <t>+91-6160468300</t>
  </si>
  <si>
    <t>E0223</t>
  </si>
  <si>
    <t>+91-9815112836</t>
  </si>
  <si>
    <t>E0224</t>
  </si>
  <si>
    <t>Aarav Nair</t>
  </si>
  <si>
    <t>aarav.nair@company.com</t>
  </si>
  <si>
    <t>+91-7595030649</t>
  </si>
  <si>
    <t>E0225</t>
  </si>
  <si>
    <t>+91-7712922639</t>
  </si>
  <si>
    <t>E0226</t>
  </si>
  <si>
    <t>+91-8562021709</t>
  </si>
  <si>
    <t>E0227</t>
  </si>
  <si>
    <t>+91-7948701046</t>
  </si>
  <si>
    <t>E0228</t>
  </si>
  <si>
    <t>Kabir Khan</t>
  </si>
  <si>
    <t>kabir.khan@company.com</t>
  </si>
  <si>
    <t>+91-9173576491</t>
  </si>
  <si>
    <t>E0229</t>
  </si>
  <si>
    <t>Isha Singh</t>
  </si>
  <si>
    <t>isha.singh@company.com</t>
  </si>
  <si>
    <t>+91-8211009446</t>
  </si>
  <si>
    <t>E0230</t>
  </si>
  <si>
    <t>+91-8870328462</t>
  </si>
  <si>
    <t>E0231</t>
  </si>
  <si>
    <t>+91-8930558883</t>
  </si>
  <si>
    <t>E0232</t>
  </si>
  <si>
    <t>+91-8225517224</t>
  </si>
  <si>
    <t>E0233</t>
  </si>
  <si>
    <t>+91-9219729267</t>
  </si>
  <si>
    <t>E0234</t>
  </si>
  <si>
    <t>Arjun Khan</t>
  </si>
  <si>
    <t>arjun.khan@company.com</t>
  </si>
  <si>
    <t>+91-9440772222</t>
  </si>
  <si>
    <t>E0235</t>
  </si>
  <si>
    <t>+91-9277931116</t>
  </si>
  <si>
    <t>E0236</t>
  </si>
  <si>
    <t>+91-7683422677</t>
  </si>
  <si>
    <t>E0237</t>
  </si>
  <si>
    <t>+91-9800144543</t>
  </si>
  <si>
    <t>E0238</t>
  </si>
  <si>
    <t>+91-9150790764</t>
  </si>
  <si>
    <t>E0239</t>
  </si>
  <si>
    <t>+91-9994524514</t>
  </si>
  <si>
    <t>E0240</t>
  </si>
  <si>
    <t>+91-6262717559</t>
  </si>
  <si>
    <t>E0241</t>
  </si>
  <si>
    <t>+91-9402542847</t>
  </si>
  <si>
    <t>E0242</t>
  </si>
  <si>
    <t>+91-7346879921</t>
  </si>
  <si>
    <t>E0243</t>
  </si>
  <si>
    <t>+91-7464417710</t>
  </si>
  <si>
    <t>E0244</t>
  </si>
  <si>
    <t>+91-6420281982</t>
  </si>
  <si>
    <t>E0245</t>
  </si>
  <si>
    <t>+91-7784845126</t>
  </si>
  <si>
    <t>E0246</t>
  </si>
  <si>
    <t>+91-6739851873</t>
  </si>
  <si>
    <t>E0247</t>
  </si>
  <si>
    <t>+91-8621216280</t>
  </si>
  <si>
    <t>E0248</t>
  </si>
  <si>
    <t>+91-6550674999</t>
  </si>
  <si>
    <t>E0249</t>
  </si>
  <si>
    <t>+91-8252594174</t>
  </si>
  <si>
    <t>E0250</t>
  </si>
  <si>
    <t>+91-8748480366</t>
  </si>
  <si>
    <t>E0251</t>
  </si>
  <si>
    <t>+91-7086207402</t>
  </si>
  <si>
    <t>E0252</t>
  </si>
  <si>
    <t>+91-7200212984</t>
  </si>
  <si>
    <t>E0253</t>
  </si>
  <si>
    <t>+91-8312424921</t>
  </si>
  <si>
    <t>E0254</t>
  </si>
  <si>
    <t>+91-8380139414</t>
  </si>
  <si>
    <t>E0255</t>
  </si>
  <si>
    <t>+91-6472697449</t>
  </si>
  <si>
    <t>E0256</t>
  </si>
  <si>
    <t>+91-7626845120</t>
  </si>
  <si>
    <t>E0257</t>
  </si>
  <si>
    <t>+91-9315508971</t>
  </si>
  <si>
    <t>E0258</t>
  </si>
  <si>
    <t>+91-6269684192</t>
  </si>
  <si>
    <t>E0259</t>
  </si>
  <si>
    <t>+91-8757739491</t>
  </si>
  <si>
    <t>E0260</t>
  </si>
  <si>
    <t>+91-9122118996</t>
  </si>
  <si>
    <t>E0261</t>
  </si>
  <si>
    <t>+91-8753768675</t>
  </si>
  <si>
    <t>E0262</t>
  </si>
  <si>
    <t>+91-7664108892</t>
  </si>
  <si>
    <t>E0263</t>
  </si>
  <si>
    <t>+91-7890118234</t>
  </si>
  <si>
    <t>E0264</t>
  </si>
  <si>
    <t>+91-8167509026</t>
  </si>
  <si>
    <t>E0265</t>
  </si>
  <si>
    <t>+91-6883070519</t>
  </si>
  <si>
    <t>E0266</t>
  </si>
  <si>
    <t>+91-8779634580</t>
  </si>
  <si>
    <t>E0267</t>
  </si>
  <si>
    <t>+91-6330623902</t>
  </si>
  <si>
    <t>E0268</t>
  </si>
  <si>
    <t>+91-6717571969</t>
  </si>
  <si>
    <t>E0269</t>
  </si>
  <si>
    <t>+91-8045493252</t>
  </si>
  <si>
    <t>E0270</t>
  </si>
  <si>
    <t>+91-6227468450</t>
  </si>
  <si>
    <t>E0271</t>
  </si>
  <si>
    <t>+91-9720679707</t>
  </si>
  <si>
    <t>E0272</t>
  </si>
  <si>
    <t>+91-7934374579</t>
  </si>
  <si>
    <t>E0273</t>
  </si>
  <si>
    <t>+91-8040576674</t>
  </si>
  <si>
    <t>E0274</t>
  </si>
  <si>
    <t>+91-9508659395</t>
  </si>
  <si>
    <t>E0275</t>
  </si>
  <si>
    <t>+91-7761994893</t>
  </si>
  <si>
    <t>E0276</t>
  </si>
  <si>
    <t>+91-8677379458</t>
  </si>
  <si>
    <t>E0277</t>
  </si>
  <si>
    <t>+91-9961016480</t>
  </si>
  <si>
    <t>E0278</t>
  </si>
  <si>
    <t>+91-6383029253</t>
  </si>
  <si>
    <t>E0279</t>
  </si>
  <si>
    <t>+91-9951765187</t>
  </si>
  <si>
    <t>E0280</t>
  </si>
  <si>
    <t>+91-9904695983</t>
  </si>
  <si>
    <t>E0281</t>
  </si>
  <si>
    <t>+91-6806548365</t>
  </si>
  <si>
    <t>E0282</t>
  </si>
  <si>
    <t>+91-6819076994</t>
  </si>
  <si>
    <t>E0283</t>
  </si>
  <si>
    <t>+91-9105212902</t>
  </si>
  <si>
    <t>E0284</t>
  </si>
  <si>
    <t>+91-8293098977</t>
  </si>
  <si>
    <t>E0285</t>
  </si>
  <si>
    <t>+91-9254425864</t>
  </si>
  <si>
    <t>E0286</t>
  </si>
  <si>
    <t>+91-7116875387</t>
  </si>
  <si>
    <t>E0287</t>
  </si>
  <si>
    <t>+91-6853844769</t>
  </si>
  <si>
    <t>E0288</t>
  </si>
  <si>
    <t>+91-9227781676</t>
  </si>
  <si>
    <t>E0289</t>
  </si>
  <si>
    <t>+91-6035809016</t>
  </si>
  <si>
    <t>E0290</t>
  </si>
  <si>
    <t>+91-6476045041</t>
  </si>
  <si>
    <t>E0291</t>
  </si>
  <si>
    <t>+91-8950132135</t>
  </si>
  <si>
    <t>E0292</t>
  </si>
  <si>
    <t>+91-7408505443</t>
  </si>
  <si>
    <t>E0293</t>
  </si>
  <si>
    <t>+91-9408816857</t>
  </si>
  <si>
    <t>E0294</t>
  </si>
  <si>
    <t>+91-8259034425</t>
  </si>
  <si>
    <t>E0295</t>
  </si>
  <si>
    <t>+91-9424437753</t>
  </si>
  <si>
    <t>E0296</t>
  </si>
  <si>
    <t>+91-7353107570</t>
  </si>
  <si>
    <t>E0297</t>
  </si>
  <si>
    <t>+91-7278892140</t>
  </si>
  <si>
    <t>E0298</t>
  </si>
  <si>
    <t>+91-9321084117</t>
  </si>
  <si>
    <t>E0299</t>
  </si>
  <si>
    <t>+91-7156127348</t>
  </si>
  <si>
    <t>E0300</t>
  </si>
  <si>
    <t>+91-6641913871</t>
  </si>
  <si>
    <t>E0301</t>
  </si>
  <si>
    <t>+91-6829749796</t>
  </si>
  <si>
    <t>E0302</t>
  </si>
  <si>
    <t>+91-7778235725</t>
  </si>
  <si>
    <t>E0303</t>
  </si>
  <si>
    <t>+91-8089953670</t>
  </si>
  <si>
    <t>E0304</t>
  </si>
  <si>
    <t>+91-6591825205</t>
  </si>
  <si>
    <t>E0305</t>
  </si>
  <si>
    <t>+91-7034432634</t>
  </si>
  <si>
    <t>E0306</t>
  </si>
  <si>
    <t>+91-8123413053</t>
  </si>
  <si>
    <t>E0307</t>
  </si>
  <si>
    <t>+91-8313661875</t>
  </si>
  <si>
    <t>E0308</t>
  </si>
  <si>
    <t>+91-8873814878</t>
  </si>
  <si>
    <t>E0309</t>
  </si>
  <si>
    <t>+91-8357635681</t>
  </si>
  <si>
    <t>E0310</t>
  </si>
  <si>
    <t>Diya Sharma</t>
  </si>
  <si>
    <t>diya.sharma@company.com</t>
  </si>
  <si>
    <t>+91-7169413575</t>
  </si>
  <si>
    <t>E0311</t>
  </si>
  <si>
    <t>+91-7026802730</t>
  </si>
  <si>
    <t>E0312</t>
  </si>
  <si>
    <t>+91-9791210771</t>
  </si>
  <si>
    <t>E0313</t>
  </si>
  <si>
    <t>+91-6281978397</t>
  </si>
  <si>
    <t>E0314</t>
  </si>
  <si>
    <t>+91-8447989034</t>
  </si>
  <si>
    <t>E0315</t>
  </si>
  <si>
    <t>+91-7036422870</t>
  </si>
  <si>
    <t>E0316</t>
  </si>
  <si>
    <t>+91-8944653451</t>
  </si>
  <si>
    <t>E0317</t>
  </si>
  <si>
    <t>+91-8984370214</t>
  </si>
  <si>
    <t>E0318</t>
  </si>
  <si>
    <t>+91-8610224620</t>
  </si>
  <si>
    <t>E0319</t>
  </si>
  <si>
    <t>+91-7641627392</t>
  </si>
  <si>
    <t>E0320</t>
  </si>
  <si>
    <t>+91-9571743628</t>
  </si>
  <si>
    <t>E0321</t>
  </si>
  <si>
    <t>+91-8785890071</t>
  </si>
  <si>
    <t>E0322</t>
  </si>
  <si>
    <t>+91-8653347926</t>
  </si>
  <si>
    <t>E0323</t>
  </si>
  <si>
    <t>+91-6960442586</t>
  </si>
  <si>
    <t>E0324</t>
  </si>
  <si>
    <t>+91-6654780454</t>
  </si>
  <si>
    <t>E0325</t>
  </si>
  <si>
    <t>+91-7695360371</t>
  </si>
  <si>
    <t>E0326</t>
  </si>
  <si>
    <t>+91-7208306748</t>
  </si>
  <si>
    <t>E0327</t>
  </si>
  <si>
    <t>+91-8936373537</t>
  </si>
  <si>
    <t>E0328</t>
  </si>
  <si>
    <t>+91-7738620652</t>
  </si>
  <si>
    <t>E0329</t>
  </si>
  <si>
    <t>+91-8769150872</t>
  </si>
  <si>
    <t>E0330</t>
  </si>
  <si>
    <t>+91-9738676949</t>
  </si>
  <si>
    <t>E0331</t>
  </si>
  <si>
    <t>+91-9640830631</t>
  </si>
  <si>
    <t>E0332</t>
  </si>
  <si>
    <t>+91-7600610014</t>
  </si>
  <si>
    <t>E0333</t>
  </si>
  <si>
    <t>+91-7642057365</t>
  </si>
  <si>
    <t>E0334</t>
  </si>
  <si>
    <t>+91-6766342195</t>
  </si>
  <si>
    <t>E0335</t>
  </si>
  <si>
    <t>+91-6693240674</t>
  </si>
  <si>
    <t>E0336</t>
  </si>
  <si>
    <t>Vivaan Gupta</t>
  </si>
  <si>
    <t>vivaan.gupta@company.com</t>
  </si>
  <si>
    <t>+91-9516540792</t>
  </si>
  <si>
    <t>E0337</t>
  </si>
  <si>
    <t>+91-9386964656</t>
  </si>
  <si>
    <t>E0338</t>
  </si>
  <si>
    <t>+91-8506251219</t>
  </si>
  <si>
    <t>E0339</t>
  </si>
  <si>
    <t>+91-6546506566</t>
  </si>
  <si>
    <t>E0340</t>
  </si>
  <si>
    <t>+91-6013541591</t>
  </si>
  <si>
    <t>E0341</t>
  </si>
  <si>
    <t>+91-6112542001</t>
  </si>
  <si>
    <t>E0342</t>
  </si>
  <si>
    <t>+91-6871346301</t>
  </si>
  <si>
    <t>E0343</t>
  </si>
  <si>
    <t>+91-6381307927</t>
  </si>
  <si>
    <t>E0344</t>
  </si>
  <si>
    <t>+91-9972720813</t>
  </si>
  <si>
    <t>E0345</t>
  </si>
  <si>
    <t>+91-9195441710</t>
  </si>
  <si>
    <t>E0346</t>
  </si>
  <si>
    <t>+91-8594315795</t>
  </si>
  <si>
    <t>E0347</t>
  </si>
  <si>
    <t>+91-6317873630</t>
  </si>
  <si>
    <t>E0348</t>
  </si>
  <si>
    <t>+91-8451697269</t>
  </si>
  <si>
    <t>E0349</t>
  </si>
  <si>
    <t>+91-8864676552</t>
  </si>
  <si>
    <t>E0350</t>
  </si>
  <si>
    <t>+91-8738175776</t>
  </si>
  <si>
    <t>E0351</t>
  </si>
  <si>
    <t>+91-8203266270</t>
  </si>
  <si>
    <t>E0352</t>
  </si>
  <si>
    <t>+91-7924903200</t>
  </si>
  <si>
    <t>E0353</t>
  </si>
  <si>
    <t>+91-8961129543</t>
  </si>
  <si>
    <t>E0354</t>
  </si>
  <si>
    <t>+91-9821350813</t>
  </si>
  <si>
    <t>E0355</t>
  </si>
  <si>
    <t>+91-6501590721</t>
  </si>
  <si>
    <t>E0356</t>
  </si>
  <si>
    <t>+91-9221971138</t>
  </si>
  <si>
    <t>E0357</t>
  </si>
  <si>
    <t>+91-9116003613</t>
  </si>
  <si>
    <t>E0358</t>
  </si>
  <si>
    <t>+91-8566813670</t>
  </si>
  <si>
    <t>E0359</t>
  </si>
  <si>
    <t>+91-9370588445</t>
  </si>
  <si>
    <t>E0360</t>
  </si>
  <si>
    <t>+91-7479413934</t>
  </si>
  <si>
    <t>E0361</t>
  </si>
  <si>
    <t>+91-8606756617</t>
  </si>
  <si>
    <t>E0362</t>
  </si>
  <si>
    <t>+91-9191954444</t>
  </si>
  <si>
    <t>E0363</t>
  </si>
  <si>
    <t>+91-9227432931</t>
  </si>
  <si>
    <t>E0364</t>
  </si>
  <si>
    <t>+91-9823724805</t>
  </si>
  <si>
    <t>E0365</t>
  </si>
  <si>
    <t>+91-8610758727</t>
  </si>
  <si>
    <t>E0366</t>
  </si>
  <si>
    <t>+91-7107016042</t>
  </si>
  <si>
    <t>E0367</t>
  </si>
  <si>
    <t>+91-7561971932</t>
  </si>
  <si>
    <t>E0368</t>
  </si>
  <si>
    <t>+91-7066746768</t>
  </si>
  <si>
    <t>E0369</t>
  </si>
  <si>
    <t>+91-7713706823</t>
  </si>
  <si>
    <t>E0370</t>
  </si>
  <si>
    <t>+91-8299032371</t>
  </si>
  <si>
    <t>E0371</t>
  </si>
  <si>
    <t>+91-8211534724</t>
  </si>
  <si>
    <t>E0372</t>
  </si>
  <si>
    <t>+91-8188833571</t>
  </si>
  <si>
    <t>E0373</t>
  </si>
  <si>
    <t>+91-7952095410</t>
  </si>
  <si>
    <t>E0374</t>
  </si>
  <si>
    <t>+91-6512908662</t>
  </si>
  <si>
    <t>E0375</t>
  </si>
  <si>
    <t>+91-6506845686</t>
  </si>
  <si>
    <t>E0376</t>
  </si>
  <si>
    <t>+91-7151141919</t>
  </si>
  <si>
    <t>E0377</t>
  </si>
  <si>
    <t>+91-9580273941</t>
  </si>
  <si>
    <t>E0378</t>
  </si>
  <si>
    <t>+91-9181270060</t>
  </si>
  <si>
    <t>E0379</t>
  </si>
  <si>
    <t>+91-8612716594</t>
  </si>
  <si>
    <t>E0380</t>
  </si>
  <si>
    <t>+91-9428737196</t>
  </si>
  <si>
    <t>E0381</t>
  </si>
  <si>
    <t>+91-9162480131</t>
  </si>
  <si>
    <t>E0382</t>
  </si>
  <si>
    <t>+91-8909972864</t>
  </si>
  <si>
    <t>E0383</t>
  </si>
  <si>
    <t>+91-8392438972</t>
  </si>
  <si>
    <t>E0384</t>
  </si>
  <si>
    <t>+91-8557565743</t>
  </si>
  <si>
    <t>E0385</t>
  </si>
  <si>
    <t>+91-8954907967</t>
  </si>
  <si>
    <t>E0386</t>
  </si>
  <si>
    <t>+91-8876723039</t>
  </si>
  <si>
    <t>E0387</t>
  </si>
  <si>
    <t>+91-7687521978</t>
  </si>
  <si>
    <t>E0388</t>
  </si>
  <si>
    <t>+91-9099542428</t>
  </si>
  <si>
    <t>E0389</t>
  </si>
  <si>
    <t>+91-8399256658</t>
  </si>
  <si>
    <t>E0390</t>
  </si>
  <si>
    <t>+91-6238252473</t>
  </si>
  <si>
    <t>E0391</t>
  </si>
  <si>
    <t>+91-7411938750</t>
  </si>
  <si>
    <t>E0392</t>
  </si>
  <si>
    <t>+91-9271394724</t>
  </si>
  <si>
    <t>E0393</t>
  </si>
  <si>
    <t>+91-6772197967</t>
  </si>
  <si>
    <t>E0394</t>
  </si>
  <si>
    <t>+91-7810942603</t>
  </si>
  <si>
    <t>E0395</t>
  </si>
  <si>
    <t>+91-8945145383</t>
  </si>
  <si>
    <t>E0396</t>
  </si>
  <si>
    <t>+91-8033831211</t>
  </si>
  <si>
    <t>E0397</t>
  </si>
  <si>
    <t>+91-9032706505</t>
  </si>
  <si>
    <t>E0398</t>
  </si>
  <si>
    <t>+91-7613203360</t>
  </si>
  <si>
    <t>E0399</t>
  </si>
  <si>
    <t>+91-7409702922</t>
  </si>
  <si>
    <t>E0400</t>
  </si>
  <si>
    <t>+91-8164305857</t>
  </si>
  <si>
    <t>E0401</t>
  </si>
  <si>
    <t>+91-7759310632</t>
  </si>
  <si>
    <t>E0402</t>
  </si>
  <si>
    <t>+91-6864227073</t>
  </si>
  <si>
    <t>E0403</t>
  </si>
  <si>
    <t>+91-9954697720</t>
  </si>
  <si>
    <t>E0404</t>
  </si>
  <si>
    <t>+91-7287002988</t>
  </si>
  <si>
    <t>E0405</t>
  </si>
  <si>
    <t>+91-7655487776</t>
  </si>
  <si>
    <t>E0406</t>
  </si>
  <si>
    <t>+91-7635672551</t>
  </si>
  <si>
    <t>E0407</t>
  </si>
  <si>
    <t>+91-9980169490</t>
  </si>
  <si>
    <t>E0408</t>
  </si>
  <si>
    <t>+91-6739671118</t>
  </si>
  <si>
    <t>E0409</t>
  </si>
  <si>
    <t>+91-9891927411</t>
  </si>
  <si>
    <t>E0410</t>
  </si>
  <si>
    <t>+91-6882829768</t>
  </si>
  <si>
    <t>E0411</t>
  </si>
  <si>
    <t>+91-7857979706</t>
  </si>
  <si>
    <t>E0412</t>
  </si>
  <si>
    <t>+91-8568002744</t>
  </si>
  <si>
    <t>E0413</t>
  </si>
  <si>
    <t>+91-6808680765</t>
  </si>
  <si>
    <t>E0414</t>
  </si>
  <si>
    <t>+91-7493419248</t>
  </si>
  <si>
    <t>E0415</t>
  </si>
  <si>
    <t>Vivaan Reddy</t>
  </si>
  <si>
    <t>vivaan.reddy@company.com</t>
  </si>
  <si>
    <t>+91-7250185220</t>
  </si>
  <si>
    <t>E0416</t>
  </si>
  <si>
    <t>+91-6469664472</t>
  </si>
  <si>
    <t>E0417</t>
  </si>
  <si>
    <t>+91-9733850800</t>
  </si>
  <si>
    <t>E0418</t>
  </si>
  <si>
    <t>+91-8746633380</t>
  </si>
  <si>
    <t>E0419</t>
  </si>
  <si>
    <t>+91-7082679510</t>
  </si>
  <si>
    <t>E0420</t>
  </si>
  <si>
    <t>+91-9025050222</t>
  </si>
  <si>
    <t>E0421</t>
  </si>
  <si>
    <t>+91-9868202545</t>
  </si>
  <si>
    <t>E0422</t>
  </si>
  <si>
    <t>+91-8026415938</t>
  </si>
  <si>
    <t>E0423</t>
  </si>
  <si>
    <t>+91-9956818209</t>
  </si>
  <si>
    <t>E0424</t>
  </si>
  <si>
    <t>+91-6051612481</t>
  </si>
  <si>
    <t>E0425</t>
  </si>
  <si>
    <t>+91-6078931722</t>
  </si>
  <si>
    <t>E0426</t>
  </si>
  <si>
    <t>+91-9385268160</t>
  </si>
  <si>
    <t>E0427</t>
  </si>
  <si>
    <t>+91-7121307007</t>
  </si>
  <si>
    <t>E0428</t>
  </si>
  <si>
    <t>+91-7307725078</t>
  </si>
  <si>
    <t>E0429</t>
  </si>
  <si>
    <t>+91-8769964150</t>
  </si>
  <si>
    <t>E0430</t>
  </si>
  <si>
    <t>+91-7701371615</t>
  </si>
  <si>
    <t>E0431</t>
  </si>
  <si>
    <t>+91-8183607123</t>
  </si>
  <si>
    <t>E0432</t>
  </si>
  <si>
    <t>+91-9637586143</t>
  </si>
  <si>
    <t>E0433</t>
  </si>
  <si>
    <t>+91-8677669215</t>
  </si>
  <si>
    <t>E0434</t>
  </si>
  <si>
    <t>+91-8159249364</t>
  </si>
  <si>
    <t>E0435</t>
  </si>
  <si>
    <t>Vivaan Sharma</t>
  </si>
  <si>
    <t>vivaan.sharma@company.com</t>
  </si>
  <si>
    <t>+91-7056238757</t>
  </si>
  <si>
    <t>E0436</t>
  </si>
  <si>
    <t>+91-9829487814</t>
  </si>
  <si>
    <t>E0437</t>
  </si>
  <si>
    <t>+91-9829174016</t>
  </si>
  <si>
    <t>E0438</t>
  </si>
  <si>
    <t>+91-8947254771</t>
  </si>
  <si>
    <t>E0439</t>
  </si>
  <si>
    <t>+91-7494186621</t>
  </si>
  <si>
    <t>E0440</t>
  </si>
  <si>
    <t>+91-8024779830</t>
  </si>
  <si>
    <t>E0441</t>
  </si>
  <si>
    <t>+91-8651668999</t>
  </si>
  <si>
    <t>E0442</t>
  </si>
  <si>
    <t>+91-7123345710</t>
  </si>
  <si>
    <t>E0443</t>
  </si>
  <si>
    <t>+91-8485088869</t>
  </si>
  <si>
    <t>E0444</t>
  </si>
  <si>
    <t>+91-6397504096</t>
  </si>
  <si>
    <t>E0445</t>
  </si>
  <si>
    <t>+91-9006353895</t>
  </si>
  <si>
    <t>E0446</t>
  </si>
  <si>
    <t>+91-7008204276</t>
  </si>
  <si>
    <t>E0447</t>
  </si>
  <si>
    <t>+91-8685283493</t>
  </si>
  <si>
    <t>E0448</t>
  </si>
  <si>
    <t>+91-6647592084</t>
  </si>
  <si>
    <t>E0449</t>
  </si>
  <si>
    <t>+91-8638304752</t>
  </si>
  <si>
    <t>E0450</t>
  </si>
  <si>
    <t>Isha Joshi</t>
  </si>
  <si>
    <t>isha.joshi@company.com</t>
  </si>
  <si>
    <t>+91-8292152486</t>
  </si>
  <si>
    <t>E0451</t>
  </si>
  <si>
    <t>+91-7211683963</t>
  </si>
  <si>
    <t>E0452</t>
  </si>
  <si>
    <t>+91-9859823952</t>
  </si>
  <si>
    <t>E0453</t>
  </si>
  <si>
    <t>+91-8333956208</t>
  </si>
  <si>
    <t>E0454</t>
  </si>
  <si>
    <t>+91-8628812797</t>
  </si>
  <si>
    <t>E0455</t>
  </si>
  <si>
    <t>+91-8066321769</t>
  </si>
  <si>
    <t>E0456</t>
  </si>
  <si>
    <t>+91-9983595319</t>
  </si>
  <si>
    <t>E0457</t>
  </si>
  <si>
    <t>+91-8798676671</t>
  </si>
  <si>
    <t>E0458</t>
  </si>
  <si>
    <t>+91-9416160929</t>
  </si>
  <si>
    <t>E0459</t>
  </si>
  <si>
    <t>+91-6693380265</t>
  </si>
  <si>
    <t>E0460</t>
  </si>
  <si>
    <t>+91-7084736568</t>
  </si>
  <si>
    <t>E0461</t>
  </si>
  <si>
    <t>+91-9418412104</t>
  </si>
  <si>
    <t>E0462</t>
  </si>
  <si>
    <t>+91-8819957067</t>
  </si>
  <si>
    <t>E0463</t>
  </si>
  <si>
    <t>+91-9957436755</t>
  </si>
  <si>
    <t>E0464</t>
  </si>
  <si>
    <t>+91-8674663548</t>
  </si>
  <si>
    <t>E0465</t>
  </si>
  <si>
    <t>+91-8745289376</t>
  </si>
  <si>
    <t>E0466</t>
  </si>
  <si>
    <t>+91-8671682442</t>
  </si>
  <si>
    <t>E0467</t>
  </si>
  <si>
    <t>+91-7235730975</t>
  </si>
  <si>
    <t>E0468</t>
  </si>
  <si>
    <t>+91-9090104613</t>
  </si>
  <si>
    <t>E0469</t>
  </si>
  <si>
    <t>+91-7044673750</t>
  </si>
  <si>
    <t>E0470</t>
  </si>
  <si>
    <t>+91-7578205905</t>
  </si>
  <si>
    <t>E0471</t>
  </si>
  <si>
    <t>+91-9285907553</t>
  </si>
  <si>
    <t>E0472</t>
  </si>
  <si>
    <t>+91-8053355265</t>
  </si>
  <si>
    <t>E0473</t>
  </si>
  <si>
    <t>+91-8382931947</t>
  </si>
  <si>
    <t>E0474</t>
  </si>
  <si>
    <t>+91-6635529384</t>
  </si>
  <si>
    <t>E0475</t>
  </si>
  <si>
    <t>+91-9189876699</t>
  </si>
  <si>
    <t>E0476</t>
  </si>
  <si>
    <t>+91-7433026647</t>
  </si>
  <si>
    <t>E0477</t>
  </si>
  <si>
    <t>+91-7817996736</t>
  </si>
  <si>
    <t>E0478</t>
  </si>
  <si>
    <t>Riya Reddy</t>
  </si>
  <si>
    <t>riya.reddy@company.com</t>
  </si>
  <si>
    <t>+91-7198917473</t>
  </si>
  <si>
    <t>E0479</t>
  </si>
  <si>
    <t>+91-8676866230</t>
  </si>
  <si>
    <t>E0480</t>
  </si>
  <si>
    <t>+91-9028625210</t>
  </si>
  <si>
    <t>E0481</t>
  </si>
  <si>
    <t>+91-6480906953</t>
  </si>
  <si>
    <t>E0482</t>
  </si>
  <si>
    <t>+91-9630418348</t>
  </si>
  <si>
    <t>E0483</t>
  </si>
  <si>
    <t>+91-8722568488</t>
  </si>
  <si>
    <t>E0484</t>
  </si>
  <si>
    <t>+91-9351784778</t>
  </si>
  <si>
    <t>E0485</t>
  </si>
  <si>
    <t>+91-6392589186</t>
  </si>
  <si>
    <t>E0486</t>
  </si>
  <si>
    <t>+91-6547450257</t>
  </si>
  <si>
    <t>E0487</t>
  </si>
  <si>
    <t>+91-9305177611</t>
  </si>
  <si>
    <t>E0488</t>
  </si>
  <si>
    <t>+91-8743791916</t>
  </si>
  <si>
    <t>E0489</t>
  </si>
  <si>
    <t>+91-7453809197</t>
  </si>
  <si>
    <t>E0490</t>
  </si>
  <si>
    <t>+91-7975971528</t>
  </si>
  <si>
    <t>E0491</t>
  </si>
  <si>
    <t>+91-9205549728</t>
  </si>
  <si>
    <t>E0492</t>
  </si>
  <si>
    <t>+91-7901882978</t>
  </si>
  <si>
    <t>E0493</t>
  </si>
  <si>
    <t>+91-7520861495</t>
  </si>
  <si>
    <t>E0494</t>
  </si>
  <si>
    <t>+91-6589688744</t>
  </si>
  <si>
    <t>E0495</t>
  </si>
  <si>
    <t>+91-8915076817</t>
  </si>
  <si>
    <t>E0496</t>
  </si>
  <si>
    <t>+91-8073498635</t>
  </si>
  <si>
    <t>E0497</t>
  </si>
  <si>
    <t>+91-9833893072</t>
  </si>
  <si>
    <t>E0498</t>
  </si>
  <si>
    <t>+91-9361205161</t>
  </si>
  <si>
    <t>E0499</t>
  </si>
  <si>
    <t>+91-7346072215</t>
  </si>
  <si>
    <t>E0500</t>
  </si>
  <si>
    <t>+91-7782416445</t>
  </si>
  <si>
    <t>Date</t>
  </si>
  <si>
    <t>In_Time</t>
  </si>
  <si>
    <t>Out_Time</t>
  </si>
  <si>
    <t>Work_Hours</t>
  </si>
  <si>
    <t>Late_Flag</t>
  </si>
  <si>
    <t>08:15:00</t>
  </si>
  <si>
    <t>12:00:00</t>
  </si>
  <si>
    <t>No</t>
  </si>
  <si>
    <t>13:45:00</t>
  </si>
  <si>
    <t>16:15:00</t>
  </si>
  <si>
    <t>Yes</t>
  </si>
  <si>
    <t>18:00:00</t>
  </si>
  <si>
    <t>13:00:00</t>
  </si>
  <si>
    <t>18:15:00</t>
  </si>
  <si>
    <t>15:30:00</t>
  </si>
  <si>
    <t>11:15:00</t>
  </si>
  <si>
    <t>14:15:00</t>
  </si>
  <si>
    <t>10:15:00</t>
  </si>
  <si>
    <t>08:30:00</t>
  </si>
  <si>
    <t>16:00:00</t>
  </si>
  <si>
    <t>15:00:00</t>
  </si>
  <si>
    <t>11:30:00</t>
  </si>
  <si>
    <t>10:00:00</t>
  </si>
  <si>
    <t>18:45:00</t>
  </si>
  <si>
    <t>18:30:00</t>
  </si>
  <si>
    <t>12:30:00</t>
  </si>
  <si>
    <t>08:45:00</t>
  </si>
  <si>
    <t>15:45:00</t>
  </si>
  <si>
    <t>11:45:00</t>
  </si>
  <si>
    <t>14:00:00</t>
  </si>
  <si>
    <t>10:45:00</t>
  </si>
  <si>
    <t>13:15:00</t>
  </si>
  <si>
    <t>16:30:00</t>
  </si>
  <si>
    <t>12:45:00</t>
  </si>
  <si>
    <t>17:00:00</t>
  </si>
  <si>
    <t>08:00:00</t>
  </si>
  <si>
    <t>16:45:00</t>
  </si>
  <si>
    <t>17:30:00</t>
  </si>
  <si>
    <t>17:45:00</t>
  </si>
  <si>
    <t>14:45:00</t>
  </si>
  <si>
    <t>09:45:00</t>
  </si>
  <si>
    <t>17:15:00</t>
  </si>
  <si>
    <t>11:00:00</t>
  </si>
  <si>
    <t>09:30:00</t>
  </si>
  <si>
    <t>09:15:00</t>
  </si>
  <si>
    <t>12:15:00</t>
  </si>
  <si>
    <t>15:15:00</t>
  </si>
  <si>
    <t>10:30:00</t>
  </si>
  <si>
    <t>13:30:00</t>
  </si>
  <si>
    <t>14:30:00</t>
  </si>
  <si>
    <t>09:00:00</t>
  </si>
  <si>
    <t>Event_ID</t>
  </si>
  <si>
    <t>Event_Name</t>
  </si>
  <si>
    <t>Start_Date</t>
  </si>
  <si>
    <t>End_Date</t>
  </si>
  <si>
    <t>Duration_Days</t>
  </si>
  <si>
    <t>Responsible_Person</t>
  </si>
  <si>
    <t>EVT001</t>
  </si>
  <si>
    <t>Annual Review</t>
  </si>
  <si>
    <t>EVT002</t>
  </si>
  <si>
    <t>Workshop</t>
  </si>
  <si>
    <t>EVT003</t>
  </si>
  <si>
    <t>Product Launch</t>
  </si>
  <si>
    <t>EVT004</t>
  </si>
  <si>
    <t>Team Meeting</t>
  </si>
  <si>
    <t>EVT005</t>
  </si>
  <si>
    <t>EVT006</t>
  </si>
  <si>
    <t>EVT007</t>
  </si>
  <si>
    <t>EVT008</t>
  </si>
  <si>
    <t>EVT009</t>
  </si>
  <si>
    <t>EVT010</t>
  </si>
  <si>
    <t>EVT011</t>
  </si>
  <si>
    <t>Client Presentation</t>
  </si>
  <si>
    <t>EVT012</t>
  </si>
  <si>
    <t>EVT013</t>
  </si>
  <si>
    <t>EVT014</t>
  </si>
  <si>
    <t>EVT015</t>
  </si>
  <si>
    <t>Training Session</t>
  </si>
  <si>
    <t>EVT016</t>
  </si>
  <si>
    <t>EVT017</t>
  </si>
  <si>
    <t>EVT018</t>
  </si>
  <si>
    <t>EVT019</t>
  </si>
  <si>
    <t>EVT020</t>
  </si>
  <si>
    <t>EVT021</t>
  </si>
  <si>
    <t>EVT022</t>
  </si>
  <si>
    <t>EVT023</t>
  </si>
  <si>
    <t>EVT024</t>
  </si>
  <si>
    <t>EVT025</t>
  </si>
  <si>
    <t>EVT026</t>
  </si>
  <si>
    <t>EVT027</t>
  </si>
  <si>
    <t>EVT028</t>
  </si>
  <si>
    <t>EVT029</t>
  </si>
  <si>
    <t>EVT030</t>
  </si>
  <si>
    <t>EVT031</t>
  </si>
  <si>
    <t>EVT032</t>
  </si>
  <si>
    <t>EVT033</t>
  </si>
  <si>
    <t>EVT034</t>
  </si>
  <si>
    <t>EVT035</t>
  </si>
  <si>
    <t>EVT036</t>
  </si>
  <si>
    <t>EVT037</t>
  </si>
  <si>
    <t>EVT038</t>
  </si>
  <si>
    <t>EVT039</t>
  </si>
  <si>
    <t>EVT040</t>
  </si>
  <si>
    <t>EVT041</t>
  </si>
  <si>
    <t>EVT042</t>
  </si>
  <si>
    <t>EVT043</t>
  </si>
  <si>
    <t>EVT044</t>
  </si>
  <si>
    <t>EVT045</t>
  </si>
  <si>
    <t>EVT046</t>
  </si>
  <si>
    <t>EVT047</t>
  </si>
  <si>
    <t>EVT048</t>
  </si>
  <si>
    <t>EVT049</t>
  </si>
  <si>
    <t>EVT050</t>
  </si>
  <si>
    <t>EVT051</t>
  </si>
  <si>
    <t>EVT052</t>
  </si>
  <si>
    <t>EVT053</t>
  </si>
  <si>
    <t>EVT054</t>
  </si>
  <si>
    <t>EVT055</t>
  </si>
  <si>
    <t>EVT056</t>
  </si>
  <si>
    <t>EVT057</t>
  </si>
  <si>
    <t>EVT058</t>
  </si>
  <si>
    <t>EVT059</t>
  </si>
  <si>
    <t>EVT060</t>
  </si>
  <si>
    <t>EVT061</t>
  </si>
  <si>
    <t>EVT062</t>
  </si>
  <si>
    <t>EVT063</t>
  </si>
  <si>
    <t>EVT064</t>
  </si>
  <si>
    <t>EVT065</t>
  </si>
  <si>
    <t>EVT066</t>
  </si>
  <si>
    <t>EVT067</t>
  </si>
  <si>
    <t>EVT068</t>
  </si>
  <si>
    <t>EVT069</t>
  </si>
  <si>
    <t>EVT070</t>
  </si>
  <si>
    <t>EVT071</t>
  </si>
  <si>
    <t>EVT072</t>
  </si>
  <si>
    <t>EVT073</t>
  </si>
  <si>
    <t>EVT074</t>
  </si>
  <si>
    <t>EVT075</t>
  </si>
  <si>
    <t>EVT076</t>
  </si>
  <si>
    <t>EVT077</t>
  </si>
  <si>
    <t>EVT078</t>
  </si>
  <si>
    <t>EVT079</t>
  </si>
  <si>
    <t>EVT080</t>
  </si>
  <si>
    <t>EVT081</t>
  </si>
  <si>
    <t>EVT082</t>
  </si>
  <si>
    <t>EVT083</t>
  </si>
  <si>
    <t>EVT084</t>
  </si>
  <si>
    <t>EVT085</t>
  </si>
  <si>
    <t>EVT086</t>
  </si>
  <si>
    <t>EVT087</t>
  </si>
  <si>
    <t>EVT088</t>
  </si>
  <si>
    <t>EVT089</t>
  </si>
  <si>
    <t>EVT090</t>
  </si>
  <si>
    <t>EVT091</t>
  </si>
  <si>
    <t>EVT092</t>
  </si>
  <si>
    <t>EVT093</t>
  </si>
  <si>
    <t>EVT094</t>
  </si>
  <si>
    <t>EVT095</t>
  </si>
  <si>
    <t>EVT096</t>
  </si>
  <si>
    <t>EVT097</t>
  </si>
  <si>
    <t>EVT098</t>
  </si>
  <si>
    <t>EVT099</t>
  </si>
  <si>
    <t>EVT100</t>
  </si>
  <si>
    <t>EVT101</t>
  </si>
  <si>
    <t>EVT102</t>
  </si>
  <si>
    <t>EVT103</t>
  </si>
  <si>
    <t>EVT104</t>
  </si>
  <si>
    <t>EVT105</t>
  </si>
  <si>
    <t>EVT106</t>
  </si>
  <si>
    <t>EVT107</t>
  </si>
  <si>
    <t>EVT108</t>
  </si>
  <si>
    <t>EVT109</t>
  </si>
  <si>
    <t>EVT110</t>
  </si>
  <si>
    <t>EVT111</t>
  </si>
  <si>
    <t>EVT112</t>
  </si>
  <si>
    <t>EVT113</t>
  </si>
  <si>
    <t>EVT114</t>
  </si>
  <si>
    <t>EVT115</t>
  </si>
  <si>
    <t>EVT116</t>
  </si>
  <si>
    <t>EVT117</t>
  </si>
  <si>
    <t>EVT118</t>
  </si>
  <si>
    <t>EVT119</t>
  </si>
  <si>
    <t>EVT120</t>
  </si>
  <si>
    <t>EVT121</t>
  </si>
  <si>
    <t>EVT122</t>
  </si>
  <si>
    <t>EVT123</t>
  </si>
  <si>
    <t>EVT124</t>
  </si>
  <si>
    <t>EVT125</t>
  </si>
  <si>
    <t>EVT126</t>
  </si>
  <si>
    <t>EVT127</t>
  </si>
  <si>
    <t>EVT128</t>
  </si>
  <si>
    <t>EVT129</t>
  </si>
  <si>
    <t>EVT130</t>
  </si>
  <si>
    <t>EVT131</t>
  </si>
  <si>
    <t>EVT132</t>
  </si>
  <si>
    <t>EVT133</t>
  </si>
  <si>
    <t>EVT134</t>
  </si>
  <si>
    <t>EVT135</t>
  </si>
  <si>
    <t>EVT136</t>
  </si>
  <si>
    <t>EVT137</t>
  </si>
  <si>
    <t>EVT138</t>
  </si>
  <si>
    <t>EVT139</t>
  </si>
  <si>
    <t>EVT140</t>
  </si>
  <si>
    <t>EVT141</t>
  </si>
  <si>
    <t>EVT142</t>
  </si>
  <si>
    <t>EVT143</t>
  </si>
  <si>
    <t>EVT144</t>
  </si>
  <si>
    <t>EVT145</t>
  </si>
  <si>
    <t>EVT146</t>
  </si>
  <si>
    <t>EVT147</t>
  </si>
  <si>
    <t>EVT148</t>
  </si>
  <si>
    <t>EVT149</t>
  </si>
  <si>
    <t>EVT150</t>
  </si>
  <si>
    <t>EVT151</t>
  </si>
  <si>
    <t>EVT152</t>
  </si>
  <si>
    <t>EVT153</t>
  </si>
  <si>
    <t>EVT154</t>
  </si>
  <si>
    <t>EVT155</t>
  </si>
  <si>
    <t>EVT156</t>
  </si>
  <si>
    <t>EVT157</t>
  </si>
  <si>
    <t>EVT158</t>
  </si>
  <si>
    <t>EVT159</t>
  </si>
  <si>
    <t>EVT160</t>
  </si>
  <si>
    <t>EVT161</t>
  </si>
  <si>
    <t>EVT162</t>
  </si>
  <si>
    <t>EVT163</t>
  </si>
  <si>
    <t>EVT164</t>
  </si>
  <si>
    <t>EVT165</t>
  </si>
  <si>
    <t>EVT166</t>
  </si>
  <si>
    <t>EVT167</t>
  </si>
  <si>
    <t>EVT168</t>
  </si>
  <si>
    <t>EVT169</t>
  </si>
  <si>
    <t>EVT170</t>
  </si>
  <si>
    <t>EVT171</t>
  </si>
  <si>
    <t>EVT172</t>
  </si>
  <si>
    <t>EVT173</t>
  </si>
  <si>
    <t>EVT174</t>
  </si>
  <si>
    <t>EVT175</t>
  </si>
  <si>
    <t>EVT176</t>
  </si>
  <si>
    <t>EVT177</t>
  </si>
  <si>
    <t>EVT178</t>
  </si>
  <si>
    <t>EVT179</t>
  </si>
  <si>
    <t>EVT180</t>
  </si>
  <si>
    <t>EVT181</t>
  </si>
  <si>
    <t>EVT182</t>
  </si>
  <si>
    <t>EVT183</t>
  </si>
  <si>
    <t>EVT184</t>
  </si>
  <si>
    <t>EVT185</t>
  </si>
  <si>
    <t>EVT186</t>
  </si>
  <si>
    <t>EVT187</t>
  </si>
  <si>
    <t>EVT188</t>
  </si>
  <si>
    <t>EVT189</t>
  </si>
  <si>
    <t>EVT190</t>
  </si>
  <si>
    <t>EVT191</t>
  </si>
  <si>
    <t>EVT192</t>
  </si>
  <si>
    <t>EVT193</t>
  </si>
  <si>
    <t>EVT194</t>
  </si>
  <si>
    <t>EVT195</t>
  </si>
  <si>
    <t>EVT196</t>
  </si>
  <si>
    <t>EVT197</t>
  </si>
  <si>
    <t>EVT198</t>
  </si>
  <si>
    <t>EVT199</t>
  </si>
  <si>
    <t>EVT200</t>
  </si>
  <si>
    <t>EVT201</t>
  </si>
  <si>
    <t>EVT202</t>
  </si>
  <si>
    <t>EVT203</t>
  </si>
  <si>
    <t>EVT204</t>
  </si>
  <si>
    <t>EVT205</t>
  </si>
  <si>
    <t>EVT206</t>
  </si>
  <si>
    <t>EVT207</t>
  </si>
  <si>
    <t>EVT208</t>
  </si>
  <si>
    <t>EVT209</t>
  </si>
  <si>
    <t>EVT210</t>
  </si>
  <si>
    <t>EVT211</t>
  </si>
  <si>
    <t>EVT212</t>
  </si>
  <si>
    <t>EVT213</t>
  </si>
  <si>
    <t>EVT214</t>
  </si>
  <si>
    <t>EVT215</t>
  </si>
  <si>
    <t>EVT216</t>
  </si>
  <si>
    <t>EVT217</t>
  </si>
  <si>
    <t>EVT218</t>
  </si>
  <si>
    <t>EVT219</t>
  </si>
  <si>
    <t>EVT220</t>
  </si>
  <si>
    <t>EVT221</t>
  </si>
  <si>
    <t>EVT222</t>
  </si>
  <si>
    <t>EVT223</t>
  </si>
  <si>
    <t>EVT224</t>
  </si>
  <si>
    <t>EVT225</t>
  </si>
  <si>
    <t>EVT226</t>
  </si>
  <si>
    <t>EVT227</t>
  </si>
  <si>
    <t>EVT228</t>
  </si>
  <si>
    <t>EVT229</t>
  </si>
  <si>
    <t>EVT230</t>
  </si>
  <si>
    <t>EVT231</t>
  </si>
  <si>
    <t>EVT232</t>
  </si>
  <si>
    <t>EVT233</t>
  </si>
  <si>
    <t>EVT234</t>
  </si>
  <si>
    <t>EVT235</t>
  </si>
  <si>
    <t>EVT236</t>
  </si>
  <si>
    <t>EVT237</t>
  </si>
  <si>
    <t>EVT238</t>
  </si>
  <si>
    <t>EVT239</t>
  </si>
  <si>
    <t>EVT240</t>
  </si>
  <si>
    <t>EVT241</t>
  </si>
  <si>
    <t>EVT242</t>
  </si>
  <si>
    <t>EVT243</t>
  </si>
  <si>
    <t>EVT244</t>
  </si>
  <si>
    <t>EVT245</t>
  </si>
  <si>
    <t>EVT246</t>
  </si>
  <si>
    <t>EVT247</t>
  </si>
  <si>
    <t>EVT248</t>
  </si>
  <si>
    <t>EVT249</t>
  </si>
  <si>
    <t>EVT250</t>
  </si>
  <si>
    <t>EVT251</t>
  </si>
  <si>
    <t>EVT252</t>
  </si>
  <si>
    <t>EVT253</t>
  </si>
  <si>
    <t>EVT254</t>
  </si>
  <si>
    <t>EVT255</t>
  </si>
  <si>
    <t>EVT256</t>
  </si>
  <si>
    <t>EVT257</t>
  </si>
  <si>
    <t>EVT258</t>
  </si>
  <si>
    <t>EVT259</t>
  </si>
  <si>
    <t>EVT260</t>
  </si>
  <si>
    <t>EVT261</t>
  </si>
  <si>
    <t>EVT262</t>
  </si>
  <si>
    <t>EVT263</t>
  </si>
  <si>
    <t>EVT264</t>
  </si>
  <si>
    <t>EVT265</t>
  </si>
  <si>
    <t>EVT266</t>
  </si>
  <si>
    <t>EVT267</t>
  </si>
  <si>
    <t>EVT268</t>
  </si>
  <si>
    <t>EVT269</t>
  </si>
  <si>
    <t>EVT270</t>
  </si>
  <si>
    <t>EVT271</t>
  </si>
  <si>
    <t>EVT272</t>
  </si>
  <si>
    <t>EVT273</t>
  </si>
  <si>
    <t>EVT274</t>
  </si>
  <si>
    <t>EVT275</t>
  </si>
  <si>
    <t>EVT276</t>
  </si>
  <si>
    <t>EVT277</t>
  </si>
  <si>
    <t>EVT278</t>
  </si>
  <si>
    <t>EVT279</t>
  </si>
  <si>
    <t>EVT280</t>
  </si>
  <si>
    <t>EVT281</t>
  </si>
  <si>
    <t>EVT282</t>
  </si>
  <si>
    <t>EVT283</t>
  </si>
  <si>
    <t>EVT284</t>
  </si>
  <si>
    <t>EVT285</t>
  </si>
  <si>
    <t>EVT286</t>
  </si>
  <si>
    <t>EVT287</t>
  </si>
  <si>
    <t>EVT288</t>
  </si>
  <si>
    <t>EVT289</t>
  </si>
  <si>
    <t>EVT290</t>
  </si>
  <si>
    <t>EVT291</t>
  </si>
  <si>
    <t>EVT292</t>
  </si>
  <si>
    <t>EVT293</t>
  </si>
  <si>
    <t>EVT294</t>
  </si>
  <si>
    <t>EVT295</t>
  </si>
  <si>
    <t>EVT296</t>
  </si>
  <si>
    <t>EVT297</t>
  </si>
  <si>
    <t>EVT298</t>
  </si>
  <si>
    <t>EVT299</t>
  </si>
  <si>
    <t>EVT300</t>
  </si>
  <si>
    <t>EVT301</t>
  </si>
  <si>
    <t>EVT302</t>
  </si>
  <si>
    <t>EVT303</t>
  </si>
  <si>
    <t>EVT304</t>
  </si>
  <si>
    <t>EVT305</t>
  </si>
  <si>
    <t>EVT306</t>
  </si>
  <si>
    <t>EVT307</t>
  </si>
  <si>
    <t>EVT308</t>
  </si>
  <si>
    <t>EVT309</t>
  </si>
  <si>
    <t>EVT310</t>
  </si>
  <si>
    <t>EVT311</t>
  </si>
  <si>
    <t>EVT312</t>
  </si>
  <si>
    <t>EVT313</t>
  </si>
  <si>
    <t>EVT314</t>
  </si>
  <si>
    <t>EVT315</t>
  </si>
  <si>
    <t>EVT316</t>
  </si>
  <si>
    <t>EVT317</t>
  </si>
  <si>
    <t>EVT318</t>
  </si>
  <si>
    <t>EVT319</t>
  </si>
  <si>
    <t>EVT320</t>
  </si>
  <si>
    <t>EVT321</t>
  </si>
  <si>
    <t>EVT322</t>
  </si>
  <si>
    <t>EVT323</t>
  </si>
  <si>
    <t>EVT324</t>
  </si>
  <si>
    <t>EVT325</t>
  </si>
  <si>
    <t>EVT326</t>
  </si>
  <si>
    <t>EVT327</t>
  </si>
  <si>
    <t>EVT328</t>
  </si>
  <si>
    <t>EVT329</t>
  </si>
  <si>
    <t>EVT330</t>
  </si>
  <si>
    <t>EVT331</t>
  </si>
  <si>
    <t>EVT332</t>
  </si>
  <si>
    <t>EVT333</t>
  </si>
  <si>
    <t>EVT334</t>
  </si>
  <si>
    <t>EVT335</t>
  </si>
  <si>
    <t>EVT336</t>
  </si>
  <si>
    <t>EVT337</t>
  </si>
  <si>
    <t>EVT338</t>
  </si>
  <si>
    <t>EVT339</t>
  </si>
  <si>
    <t>EVT340</t>
  </si>
  <si>
    <t>EVT341</t>
  </si>
  <si>
    <t>EVT342</t>
  </si>
  <si>
    <t>EVT343</t>
  </si>
  <si>
    <t>EVT344</t>
  </si>
  <si>
    <t>EVT345</t>
  </si>
  <si>
    <t>EVT346</t>
  </si>
  <si>
    <t>EVT347</t>
  </si>
  <si>
    <t>EVT348</t>
  </si>
  <si>
    <t>EVT349</t>
  </si>
  <si>
    <t>EVT350</t>
  </si>
  <si>
    <t>EVT351</t>
  </si>
  <si>
    <t>EVT352</t>
  </si>
  <si>
    <t>EVT353</t>
  </si>
  <si>
    <t>EVT354</t>
  </si>
  <si>
    <t>EVT355</t>
  </si>
  <si>
    <t>EVT356</t>
  </si>
  <si>
    <t>EVT357</t>
  </si>
  <si>
    <t>EVT358</t>
  </si>
  <si>
    <t>EVT359</t>
  </si>
  <si>
    <t>EVT360</t>
  </si>
  <si>
    <t>EVT361</t>
  </si>
  <si>
    <t>EVT362</t>
  </si>
  <si>
    <t>EVT363</t>
  </si>
  <si>
    <t>EVT364</t>
  </si>
  <si>
    <t>EVT365</t>
  </si>
  <si>
    <t>EVT366</t>
  </si>
  <si>
    <t>EVT367</t>
  </si>
  <si>
    <t>EVT368</t>
  </si>
  <si>
    <t>EVT369</t>
  </si>
  <si>
    <t>EVT370</t>
  </si>
  <si>
    <t>EVT371</t>
  </si>
  <si>
    <t>EVT372</t>
  </si>
  <si>
    <t>EVT373</t>
  </si>
  <si>
    <t>EVT374</t>
  </si>
  <si>
    <t>EVT375</t>
  </si>
  <si>
    <t>EVT376</t>
  </si>
  <si>
    <t>EVT377</t>
  </si>
  <si>
    <t>EVT378</t>
  </si>
  <si>
    <t>EVT379</t>
  </si>
  <si>
    <t>EVT380</t>
  </si>
  <si>
    <t>EVT381</t>
  </si>
  <si>
    <t>EVT382</t>
  </si>
  <si>
    <t>EVT383</t>
  </si>
  <si>
    <t>EVT384</t>
  </si>
  <si>
    <t>EVT385</t>
  </si>
  <si>
    <t>EVT386</t>
  </si>
  <si>
    <t>EVT387</t>
  </si>
  <si>
    <t>EVT388</t>
  </si>
  <si>
    <t>EVT389</t>
  </si>
  <si>
    <t>EVT390</t>
  </si>
  <si>
    <t>EVT391</t>
  </si>
  <si>
    <t>EVT392</t>
  </si>
  <si>
    <t>EVT393</t>
  </si>
  <si>
    <t>EVT394</t>
  </si>
  <si>
    <t>EVT395</t>
  </si>
  <si>
    <t>EVT396</t>
  </si>
  <si>
    <t>EVT397</t>
  </si>
  <si>
    <t>EVT398</t>
  </si>
  <si>
    <t>EVT399</t>
  </si>
  <si>
    <t>EVT400</t>
  </si>
  <si>
    <t>EVT401</t>
  </si>
  <si>
    <t>EVT402</t>
  </si>
  <si>
    <t>EVT403</t>
  </si>
  <si>
    <t>EVT404</t>
  </si>
  <si>
    <t>EVT405</t>
  </si>
  <si>
    <t>EVT406</t>
  </si>
  <si>
    <t>EVT407</t>
  </si>
  <si>
    <t>EVT408</t>
  </si>
  <si>
    <t>EVT409</t>
  </si>
  <si>
    <t>EVT410</t>
  </si>
  <si>
    <t>EVT411</t>
  </si>
  <si>
    <t>EVT412</t>
  </si>
  <si>
    <t>EVT413</t>
  </si>
  <si>
    <t>EVT414</t>
  </si>
  <si>
    <t>EVT415</t>
  </si>
  <si>
    <t>EVT416</t>
  </si>
  <si>
    <t>EVT417</t>
  </si>
  <si>
    <t>EVT418</t>
  </si>
  <si>
    <t>EVT419</t>
  </si>
  <si>
    <t>EVT420</t>
  </si>
  <si>
    <t>EVT421</t>
  </si>
  <si>
    <t>EVT422</t>
  </si>
  <si>
    <t>EVT423</t>
  </si>
  <si>
    <t>EVT424</t>
  </si>
  <si>
    <t>EVT425</t>
  </si>
  <si>
    <t>EVT426</t>
  </si>
  <si>
    <t>EVT427</t>
  </si>
  <si>
    <t>EVT428</t>
  </si>
  <si>
    <t>EVT429</t>
  </si>
  <si>
    <t>EVT430</t>
  </si>
  <si>
    <t>EVT431</t>
  </si>
  <si>
    <t>EVT432</t>
  </si>
  <si>
    <t>EVT433</t>
  </si>
  <si>
    <t>EVT434</t>
  </si>
  <si>
    <t>EVT435</t>
  </si>
  <si>
    <t>EVT436</t>
  </si>
  <si>
    <t>EVT437</t>
  </si>
  <si>
    <t>EVT438</t>
  </si>
  <si>
    <t>EVT439</t>
  </si>
  <si>
    <t>EVT440</t>
  </si>
  <si>
    <t>EVT441</t>
  </si>
  <si>
    <t>EVT442</t>
  </si>
  <si>
    <t>EVT443</t>
  </si>
  <si>
    <t>EVT444</t>
  </si>
  <si>
    <t>EVT445</t>
  </si>
  <si>
    <t>EVT446</t>
  </si>
  <si>
    <t>EVT447</t>
  </si>
  <si>
    <t>EVT448</t>
  </si>
  <si>
    <t>EVT449</t>
  </si>
  <si>
    <t>EVT450</t>
  </si>
  <si>
    <t>EVT451</t>
  </si>
  <si>
    <t>EVT452</t>
  </si>
  <si>
    <t>EVT453</t>
  </si>
  <si>
    <t>EVT454</t>
  </si>
  <si>
    <t>EVT455</t>
  </si>
  <si>
    <t>EVT456</t>
  </si>
  <si>
    <t>EVT457</t>
  </si>
  <si>
    <t>EVT458</t>
  </si>
  <si>
    <t>EVT459</t>
  </si>
  <si>
    <t>EVT460</t>
  </si>
  <si>
    <t>EVT461</t>
  </si>
  <si>
    <t>EVT462</t>
  </si>
  <si>
    <t>EVT463</t>
  </si>
  <si>
    <t>EVT464</t>
  </si>
  <si>
    <t>EVT465</t>
  </si>
  <si>
    <t>EVT466</t>
  </si>
  <si>
    <t>EVT467</t>
  </si>
  <si>
    <t>EVT468</t>
  </si>
  <si>
    <t>EVT469</t>
  </si>
  <si>
    <t>EVT470</t>
  </si>
  <si>
    <t>EVT471</t>
  </si>
  <si>
    <t>EVT472</t>
  </si>
  <si>
    <t>EVT473</t>
  </si>
  <si>
    <t>EVT474</t>
  </si>
  <si>
    <t>EVT475</t>
  </si>
  <si>
    <t>EVT476</t>
  </si>
  <si>
    <t>EVT477</t>
  </si>
  <si>
    <t>EVT478</t>
  </si>
  <si>
    <t>EVT479</t>
  </si>
  <si>
    <t>EVT480</t>
  </si>
  <si>
    <t>EVT481</t>
  </si>
  <si>
    <t>EVT482</t>
  </si>
  <si>
    <t>EVT483</t>
  </si>
  <si>
    <t>EVT484</t>
  </si>
  <si>
    <t>EVT485</t>
  </si>
  <si>
    <t>EVT486</t>
  </si>
  <si>
    <t>EVT487</t>
  </si>
  <si>
    <t>EVT488</t>
  </si>
  <si>
    <t>EVT489</t>
  </si>
  <si>
    <t>EVT490</t>
  </si>
  <si>
    <t>EVT491</t>
  </si>
  <si>
    <t>EVT492</t>
  </si>
  <si>
    <t>EVT493</t>
  </si>
  <si>
    <t>EVT494</t>
  </si>
  <si>
    <t>EVT495</t>
  </si>
  <si>
    <t>EVT496</t>
  </si>
  <si>
    <t>EVT497</t>
  </si>
  <si>
    <t>EVT498</t>
  </si>
  <si>
    <t>EVT499</t>
  </si>
  <si>
    <t>EVT500</t>
  </si>
  <si>
    <t>Cust_ID</t>
  </si>
  <si>
    <t>Customer_Name</t>
  </si>
  <si>
    <t>Feedback_Text</t>
  </si>
  <si>
    <t>Feedback_Date</t>
  </si>
  <si>
    <t>Product_Category</t>
  </si>
  <si>
    <t>CUST001</t>
  </si>
  <si>
    <t>Received damaged item, requested replacement.</t>
  </si>
  <si>
    <t>Smartwatch</t>
  </si>
  <si>
    <t>CUST002</t>
  </si>
  <si>
    <t>Delivery was delayed but product is good.</t>
  </si>
  <si>
    <t>Mobile</t>
  </si>
  <si>
    <t>CUST003</t>
  </si>
  <si>
    <t>Not satisfied with the quality.</t>
  </si>
  <si>
    <t>Camera</t>
  </si>
  <si>
    <t>CUST004</t>
  </si>
  <si>
    <t>Product was excellent and delivery was fast.</t>
  </si>
  <si>
    <t>Laptop</t>
  </si>
  <si>
    <t>CUST005</t>
  </si>
  <si>
    <t>CUST006</t>
  </si>
  <si>
    <t>CUST007</t>
  </si>
  <si>
    <t>CUST008</t>
  </si>
  <si>
    <t>CUST009</t>
  </si>
  <si>
    <t>Customer support was helpful.</t>
  </si>
  <si>
    <t>Tablet</t>
  </si>
  <si>
    <t>CUST010</t>
  </si>
  <si>
    <t>CUST011</t>
  </si>
  <si>
    <t>CUST012</t>
  </si>
  <si>
    <t>CUST013</t>
  </si>
  <si>
    <t>Great value for money!</t>
  </si>
  <si>
    <t>CUST014</t>
  </si>
  <si>
    <t>CUST015</t>
  </si>
  <si>
    <t>CUST016</t>
  </si>
  <si>
    <t>CUST017</t>
  </si>
  <si>
    <t>Printer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</si>
  <si>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</si>
  <si>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</si>
  <si>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</si>
  <si>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</si>
  <si>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</si>
  <si>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</si>
  <si>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</si>
  <si>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</si>
  <si>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</si>
  <si>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</si>
  <si>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</si>
  <si>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</si>
  <si>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</si>
  <si>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</si>
  <si>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</si>
  <si>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</si>
  <si>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</si>
  <si>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</si>
  <si>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</si>
  <si>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</si>
  <si>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</si>
  <si>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</si>
  <si>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</si>
  <si>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</si>
  <si>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</si>
  <si>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</si>
  <si>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</si>
  <si>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</si>
  <si>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</si>
  <si>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</si>
  <si>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</si>
  <si>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</si>
  <si>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</si>
  <si>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</si>
  <si>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</si>
  <si>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</si>
  <si>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</si>
  <si>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</si>
  <si>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</si>
  <si>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</si>
  <si>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</si>
  <si>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</si>
  <si>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</si>
  <si>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</si>
  <si>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</si>
  <si>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</si>
  <si>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</si>
  <si>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</si>
  <si>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</si>
  <si>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</si>
  <si>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</si>
  <si>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</si>
  <si>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</si>
  <si>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</si>
  <si>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</si>
  <si>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</si>
  <si>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</si>
  <si>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</si>
  <si>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</si>
  <si>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</si>
  <si>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</si>
  <si>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</si>
  <si>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</si>
  <si>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</si>
  <si>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</si>
  <si>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</si>
  <si>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</si>
  <si>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</si>
  <si>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</si>
  <si>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</si>
  <si>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</si>
  <si>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</si>
  <si>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</si>
  <si>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</si>
  <si>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</si>
  <si>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</si>
  <si>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</si>
  <si>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</si>
  <si>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</si>
  <si>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</si>
  <si>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</si>
  <si>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</si>
  <si>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</si>
  <si>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</si>
  <si>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</si>
  <si>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</si>
  <si>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</si>
  <si>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</si>
  <si>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</si>
  <si>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</si>
  <si>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</si>
  <si>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</si>
  <si>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</si>
  <si>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</si>
  <si>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</si>
  <si>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</si>
  <si>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</si>
  <si>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</si>
  <si>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</si>
  <si>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</si>
  <si>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</si>
  <si>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</si>
  <si>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</si>
  <si>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</si>
  <si>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</si>
  <si>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</si>
  <si>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</si>
  <si>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</si>
  <si>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</si>
  <si>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</si>
  <si>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</si>
  <si>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</si>
  <si>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</si>
  <si>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</si>
  <si>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</si>
  <si>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</si>
  <si>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</si>
  <si>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</si>
  <si>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</si>
  <si>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</si>
  <si>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</si>
  <si>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</si>
  <si>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</si>
  <si>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</si>
  <si>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</si>
  <si>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</si>
  <si>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</si>
  <si>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</si>
  <si>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</si>
  <si>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</si>
  <si>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</si>
  <si>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</si>
  <si>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</si>
  <si>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</si>
  <si>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</si>
  <si>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</si>
  <si>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</si>
  <si>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</si>
  <si>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</si>
  <si>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</si>
  <si>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</si>
  <si>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</si>
  <si>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</si>
  <si>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</si>
  <si>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</si>
  <si>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</si>
  <si>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</si>
  <si>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</si>
  <si>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</si>
  <si>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</si>
  <si>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</si>
  <si>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</si>
  <si>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</si>
  <si>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</si>
  <si>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</si>
  <si>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</si>
  <si>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</si>
  <si>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</si>
  <si>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</si>
  <si>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</si>
  <si>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</si>
  <si>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</si>
  <si>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</si>
  <si>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</si>
  <si>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</si>
  <si>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</si>
  <si>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</si>
  <si>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</si>
  <si>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</si>
  <si>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</si>
  <si>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</si>
  <si>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</si>
  <si>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</si>
  <si>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</si>
  <si>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</si>
  <si>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</si>
  <si>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</si>
  <si>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</si>
  <si>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</si>
  <si>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</si>
  <si>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</si>
  <si>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</si>
  <si>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</si>
  <si>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</si>
  <si>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</si>
  <si>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</si>
  <si>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</si>
  <si>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</si>
  <si>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</si>
  <si>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</si>
  <si>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</si>
  <si>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</si>
  <si>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</si>
  <si>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</si>
  <si>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</si>
  <si>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</si>
  <si>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</si>
  <si>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</si>
  <si>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</si>
  <si>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</si>
  <si>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</si>
  <si>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</si>
  <si>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</si>
  <si>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</si>
  <si>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</si>
  <si>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</si>
  <si>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</si>
  <si>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</si>
  <si>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</si>
  <si>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</si>
  <si>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</si>
  <si>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</si>
  <si>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</si>
  <si>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</si>
  <si>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</si>
  <si>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</si>
  <si>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</si>
  <si>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</si>
  <si>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</si>
  <si>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</si>
  <si>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</si>
  <si>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</si>
  <si>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</si>
  <si>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</si>
  <si>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</si>
  <si>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</si>
  <si>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</si>
  <si>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</si>
  <si>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</si>
  <si>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</si>
  <si>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</si>
  <si>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</si>
  <si>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</si>
  <si>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</si>
  <si>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</si>
  <si>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</si>
  <si>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</si>
  <si>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</si>
  <si>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</si>
  <si>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</si>
  <si>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</si>
  <si>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</si>
  <si>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</si>
  <si>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</si>
  <si>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</si>
  <si>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</si>
  <si>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</si>
  <si>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</si>
  <si>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</si>
  <si>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</si>
  <si>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</si>
  <si>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</si>
  <si>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</si>
  <si>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</si>
  <si>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</si>
  <si>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</si>
  <si>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</si>
  <si>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</si>
  <si>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</si>
  <si>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</si>
  <si>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</si>
  <si>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</si>
  <si>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</si>
  <si>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</si>
  <si>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</si>
  <si>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</si>
  <si>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</si>
  <si>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</si>
  <si>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</si>
  <si>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</si>
  <si>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</si>
  <si>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</si>
  <si>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</si>
  <si>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</si>
  <si>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</si>
  <si>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</si>
  <si>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</si>
  <si>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</si>
  <si>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</si>
  <si>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</si>
  <si>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</si>
  <si>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</si>
  <si>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</si>
  <si>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</si>
  <si>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</si>
  <si>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</si>
  <si>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</si>
  <si>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</si>
  <si>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</si>
  <si>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</si>
  <si>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</si>
  <si>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</si>
  <si>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</si>
  <si>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</si>
  <si>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</si>
  <si>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</si>
  <si>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</si>
  <si>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</si>
  <si>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</si>
  <si>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</si>
  <si>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</si>
  <si>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</si>
  <si>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</si>
  <si>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</si>
  <si>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</si>
  <si>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</si>
  <si>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</si>
  <si>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</si>
  <si>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</si>
  <si>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</si>
  <si>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</si>
  <si>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</si>
  <si>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</si>
  <si>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</si>
  <si>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</si>
  <si>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</si>
  <si>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</si>
  <si>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</si>
  <si>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</si>
  <si>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</si>
  <si>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</si>
  <si>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</si>
  <si>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</si>
  <si>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</si>
  <si>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</si>
  <si>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</si>
  <si>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</si>
  <si>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</si>
  <si>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</si>
  <si>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</si>
  <si>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</si>
  <si>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</si>
  <si>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</si>
  <si>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</si>
  <si>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</si>
  <si>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</si>
  <si>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</si>
  <si>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</si>
  <si>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</si>
  <si>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</si>
  <si>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</si>
  <si>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</si>
  <si>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</si>
  <si>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</si>
  <si>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</si>
  <si>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</si>
  <si>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</si>
  <si>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</si>
  <si>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</si>
  <si>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</si>
  <si>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</si>
  <si>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</si>
  <si>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</si>
  <si>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</si>
  <si>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</si>
  <si>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</si>
  <si>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</si>
  <si>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</si>
  <si>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</si>
  <si>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</si>
  <si>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</si>
  <si>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</si>
  <si>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</si>
  <si>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</si>
  <si>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</si>
  <si>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</si>
  <si>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</si>
  <si>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</si>
  <si>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</si>
  <si>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</si>
  <si>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</si>
  <si>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</si>
  <si>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</si>
  <si>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</si>
  <si>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</si>
  <si>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</si>
  <si>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</si>
  <si>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</si>
  <si>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</si>
  <si>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</si>
  <si>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</si>
  <si>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</si>
  <si>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</si>
  <si>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</si>
  <si>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</si>
  <si>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</si>
  <si>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</si>
  <si>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</si>
  <si>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</si>
  <si>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</si>
  <si>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</si>
  <si>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</si>
  <si>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</si>
  <si>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</si>
  <si>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</si>
  <si>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</si>
  <si>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</si>
  <si>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</si>
  <si>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</si>
  <si>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</si>
  <si>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</si>
  <si>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</si>
  <si>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</si>
  <si>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</si>
  <si>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</si>
  <si>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</si>
  <si>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</si>
  <si>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</si>
  <si>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</si>
  <si>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</si>
  <si>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</si>
  <si>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</si>
  <si>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</si>
  <si>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</si>
  <si>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</si>
  <si>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</si>
  <si>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</si>
  <si>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</si>
  <si>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</si>
  <si>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</si>
  <si>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</si>
  <si>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</si>
  <si>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</si>
  <si>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</si>
  <si>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</si>
  <si>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</si>
  <si>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</si>
  <si>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</si>
  <si>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</si>
  <si>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</si>
  <si>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</si>
  <si>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</si>
  <si>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</si>
  <si>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</si>
  <si>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</si>
  <si>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</si>
  <si>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</si>
  <si>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</si>
  <si>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</si>
  <si>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</si>
  <si>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</si>
  <si>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</si>
  <si>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</si>
  <si>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</si>
  <si>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</si>
  <si>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</si>
  <si>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</si>
  <si>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</si>
  <si>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</si>
  <si>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</si>
  <si>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</si>
  <si>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</si>
  <si>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</si>
  <si>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</si>
  <si>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</si>
  <si>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</si>
  <si>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</si>
  <si>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</si>
  <si>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</si>
  <si>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</si>
  <si>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</si>
  <si>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</si>
  <si>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</si>
  <si>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</si>
  <si>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</si>
  <si>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</si>
  <si>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</si>
  <si>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</si>
  <si>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</si>
  <si>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</si>
  <si>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</si>
  <si>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</si>
  <si>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</si>
  <si>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</si>
  <si>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</si>
  <si>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</si>
  <si>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</si>
  <si>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</si>
  <si>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</si>
  <si>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</si>
  <si>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</si>
  <si>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</si>
  <si>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</si>
  <si>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Q_No</t>
  </si>
  <si>
    <t>Question</t>
  </si>
  <si>
    <t>Sheet_Name</t>
  </si>
  <si>
    <t>Extract first name from employee full name</t>
  </si>
  <si>
    <t>Employee_Data</t>
  </si>
  <si>
    <t>Extract last name from employee full name</t>
  </si>
  <si>
    <t>Convert employee names to uppercase</t>
  </si>
  <si>
    <t>Convert department names to proper case</t>
  </si>
  <si>
    <t>Find length of each employee's name</t>
  </si>
  <si>
    <t>Combine name and department with a hyphen</t>
  </si>
  <si>
    <t>Extract domain from email address</t>
  </si>
  <si>
    <t>Find year of joining for each employee</t>
  </si>
  <si>
    <t>Calculate employee tenure in years</t>
  </si>
  <si>
    <t>Check which employees joined before 2020</t>
  </si>
  <si>
    <t>Calculate total work hours per employee</t>
  </si>
  <si>
    <t>Attendance_Log</t>
  </si>
  <si>
    <t>Find employees who were late more than 5 times</t>
  </si>
  <si>
    <t>Extract month name from attendance date</t>
  </si>
  <si>
    <t>Calculate duration between in and out time</t>
  </si>
  <si>
    <t>Identify weekend attendance dates</t>
  </si>
  <si>
    <t>Find upcoming events in the next 30 days</t>
  </si>
  <si>
    <t>Event_Schedule</t>
  </si>
  <si>
    <t>Calculate number of days of each event</t>
  </si>
  <si>
    <t>Extract month name from event start date</t>
  </si>
  <si>
    <t>Combine event name and responsible person</t>
  </si>
  <si>
    <t>Find customers who gave feedback in 2024</t>
  </si>
  <si>
    <t>Customer_Feedback</t>
  </si>
  <si>
    <t>Count feedbacks mentioning 'good'</t>
  </si>
  <si>
    <t>Replace 'delayed' with 'late' in feedback</t>
  </si>
  <si>
    <t>Remove extra spaces in feedback text</t>
  </si>
  <si>
    <t>Find length of each feedback text</t>
  </si>
  <si>
    <t>Extract first 10 characters of feedback</t>
  </si>
  <si>
    <t>Extract feedback date month number</t>
  </si>
  <si>
    <t>Calculate days since feedback was given</t>
  </si>
  <si>
    <t>Check which customers gave feedback on weekend</t>
  </si>
  <si>
    <t>Format feedback date as 'dd-mmm-yyyy'</t>
  </si>
  <si>
    <t>Combine customer name and product category</t>
  </si>
  <si>
    <t>Q1</t>
  </si>
  <si>
    <t>Q2</t>
  </si>
  <si>
    <t>Diya</t>
  </si>
  <si>
    <t>Kabir</t>
  </si>
  <si>
    <t>Isha</t>
  </si>
  <si>
    <t>Riya</t>
  </si>
  <si>
    <t>Arjun</t>
  </si>
  <si>
    <t>Ananya</t>
  </si>
  <si>
    <t>Aarav</t>
  </si>
  <si>
    <t>Vivaan</t>
  </si>
  <si>
    <t>Aditya</t>
  </si>
  <si>
    <t>Meera</t>
  </si>
  <si>
    <t>Gupta</t>
  </si>
  <si>
    <t>Singh</t>
  </si>
  <si>
    <t>Nair</t>
  </si>
  <si>
    <t>Patel</t>
  </si>
  <si>
    <t>Joshi</t>
  </si>
  <si>
    <t>Das</t>
  </si>
  <si>
    <t>Reddy</t>
  </si>
  <si>
    <t>Sharma</t>
  </si>
  <si>
    <t>Khan</t>
  </si>
  <si>
    <t>Mehta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</si>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</sst>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3" xfId="0" applyBorder="1"/>
    <xf numFmtId="0" fontId="1" fillId="0" borderId="3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3" xfId="0" applyFill="1" applyBorder="1"/>
    <xf numFmtId="0" fontId="0" fillId="0" borderId="0" xfId="0" applyNumberFormat="1"/>
    <xf numFmtId="165" fontId="0" fillId="0" borderId="0" xfId="0" applyNumberFormat="1"/>
    <xf numFmtId="0" fontId="1" fillId="0" borderId="3" xfId="0" applyNumberFormat="1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topLeftCell="K1" workbookViewId="0">
      <selection activeCell="P5" sqref="P5"/>
    </sheetView>
  </sheetViews>
  <sheetFormatPr defaultRowHeight="14.6" x14ac:dyDescent="0.4"/>
  <cols>
    <col min="1" max="1" width="7.53515625" bestFit="1" customWidth="1"/>
    <col min="2" max="2" width="13.69140625" bestFit="1" customWidth="1"/>
    <col min="3" max="3" width="11.07421875" bestFit="1" customWidth="1"/>
    <col min="4" max="4" width="10.84375" bestFit="1" customWidth="1"/>
    <col min="5" max="5" width="18.07421875" bestFit="1" customWidth="1"/>
    <col min="6" max="6" width="27.23046875" bestFit="1" customWidth="1"/>
    <col min="7" max="7" width="14.765625" bestFit="1" customWidth="1"/>
    <col min="8" max="8" width="14.69140625" bestFit="1" customWidth="1"/>
    <col min="11" max="11" width="15.69140625" bestFit="1" customWidth="1"/>
    <col min="12" max="12" width="9.921875" bestFit="1" customWidth="1"/>
    <col min="14" max="14" width="23.4609375" bestFit="1" customWidth="1"/>
    <col min="15" max="16" width="12.460937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2341</v>
      </c>
      <c r="J1" s="8" t="s">
        <v>2342</v>
      </c>
      <c r="K1" s="8" t="s">
        <v>2363</v>
      </c>
      <c r="L1" s="8" t="s">
        <v>2364</v>
      </c>
      <c r="M1" s="8" t="s">
        <v>2365</v>
      </c>
      <c r="N1" s="8" t="s">
        <v>2366</v>
      </c>
      <c r="O1" s="8" t="s">
        <v>2367</v>
      </c>
      <c r="P1" s="8" t="s">
        <v>2367</v>
      </c>
      <c r="Q1" s="8" t="s">
        <v>2368</v>
      </c>
      <c r="R1" s="8" t="s">
        <v>2369</v>
      </c>
      <c r="S1" s="8" t="s">
        <v>2370</v>
      </c>
      <c r="T1" s="8"/>
    </row>
    <row r="2" spans="1:20" x14ac:dyDescent="0.4">
      <c r="A2" s="2" t="s">
        <v>56</v>
      </c>
      <c r="B2" s="2" t="s">
        <v>57</v>
      </c>
      <c r="C2" s="2" t="s">
        <v>24</v>
      </c>
      <c r="D2" s="2" t="s">
        <v>11</v>
      </c>
      <c r="E2" s="3">
        <v>45139</v>
      </c>
      <c r="F2" s="2" t="s">
        <v>58</v>
      </c>
      <c r="G2" s="2" t="s">
        <v>59</v>
      </c>
      <c r="H2" s="2" t="s">
        <v>14</v>
      </c>
      <c r="I2" s="6" t="s">
        <v>2343</v>
      </c>
      <c r="J2" s="6" t="s">
        <v>2353</v>
      </c>
      <c r="K2" t="str">
        <f>UPPER(B2)</f>
        <v>DIYA GUPTA</v>
      </c>
      <c r="L2" t="str">
        <f>PROPER(C2)</f>
        <v>Marketing</v>
      </c>
      <c r="M2">
        <f>LEN(B2)</f>
        <v>10</v>
      </c>
      <c r="N2" t="str">
        <f>_xlfn.CONCAT(B2,"-",C2)</f>
        <v>Diya Gupta-Marketing</v>
      </c>
      <c r="O2" t="str">
        <f>RIGHT(F2,11)</f>
        <v>company.com</v>
      </c>
      <c r="P2" t="str">
        <f>MID(F2,FIND("@",F2)+1,50)</f>
        <v>company.com</v>
      </c>
      <c r="Q2">
        <f>YEAR(E2)</f>
        <v>2023</v>
      </c>
      <c r="R2">
        <f ca="1">DATEDIF(E2,TODAY(),"y")</f>
        <v>3</v>
      </c>
      <c r="S2" t="str">
        <f>IF(YEAR(E2)&lt;2020,"True","False")</f>
        <v>False</v>
      </c>
    </row>
    <row r="3" spans="1:20" x14ac:dyDescent="0.4">
      <c r="A3" s="2" t="s">
        <v>85</v>
      </c>
      <c r="B3" s="2" t="s">
        <v>86</v>
      </c>
      <c r="C3" s="2" t="s">
        <v>87</v>
      </c>
      <c r="D3" s="2" t="s">
        <v>44</v>
      </c>
      <c r="E3" s="3">
        <v>45282</v>
      </c>
      <c r="F3" s="2" t="s">
        <v>88</v>
      </c>
      <c r="G3" s="2" t="s">
        <v>89</v>
      </c>
      <c r="H3" s="2" t="s">
        <v>55</v>
      </c>
      <c r="I3" s="6" t="s">
        <v>2344</v>
      </c>
      <c r="J3" s="6" t="s">
        <v>2354</v>
      </c>
      <c r="K3" t="str">
        <f t="shared" ref="K3:K66" si="0">UPPER(B3)</f>
        <v>KABIR SINGH</v>
      </c>
      <c r="L3" t="str">
        <f t="shared" ref="L3:L66" si="1">PROPER(C3)</f>
        <v>Operations</v>
      </c>
      <c r="M3">
        <f t="shared" ref="M3:M66" si="2">LEN(B3)</f>
        <v>11</v>
      </c>
      <c r="N3" t="str">
        <f t="shared" ref="N3:N66" si="3">_xlfn.CONCAT(B3,"-",C3)</f>
        <v>Kabir Singh-Operations</v>
      </c>
      <c r="O3" t="str">
        <f t="shared" ref="O3:O66" si="4">RIGHT(F3,11)</f>
        <v>company.com</v>
      </c>
      <c r="P3" t="str">
        <f t="shared" ref="P3:P66" si="5">MID(F3,FIND("@",F3)+1,50)</f>
        <v>company.com</v>
      </c>
      <c r="Q3">
        <f t="shared" ref="Q3:Q66" si="6">YEAR(E3)</f>
        <v>2023</v>
      </c>
      <c r="R3">
        <f t="shared" ref="R3:R66" ca="1" si="7">DATEDIF(E3,TODAY(),"y")</f>
        <v>2</v>
      </c>
      <c r="S3" t="str">
        <f t="shared" ref="S3:S66" si="8">IF(YEAR(E3)&lt;2020,"True","False")</f>
        <v>False</v>
      </c>
    </row>
    <row r="4" spans="1:20" x14ac:dyDescent="0.4">
      <c r="A4" s="2" t="s">
        <v>128</v>
      </c>
      <c r="B4" s="2" t="s">
        <v>129</v>
      </c>
      <c r="C4" s="2" t="s">
        <v>24</v>
      </c>
      <c r="D4" s="2" t="s">
        <v>11</v>
      </c>
      <c r="E4" s="3">
        <v>44967</v>
      </c>
      <c r="F4" s="2" t="s">
        <v>130</v>
      </c>
      <c r="G4" s="2" t="s">
        <v>131</v>
      </c>
      <c r="H4" s="2" t="s">
        <v>21</v>
      </c>
      <c r="I4" s="6" t="s">
        <v>2345</v>
      </c>
      <c r="J4" s="6" t="s">
        <v>2355</v>
      </c>
      <c r="K4" t="str">
        <f t="shared" si="0"/>
        <v>ISHA NAIR</v>
      </c>
      <c r="L4" t="str">
        <f t="shared" si="1"/>
        <v>Marketing</v>
      </c>
      <c r="M4">
        <f t="shared" si="2"/>
        <v>9</v>
      </c>
      <c r="N4" t="str">
        <f t="shared" si="3"/>
        <v>Isha Nair-Marketing</v>
      </c>
      <c r="O4" t="str">
        <f t="shared" si="4"/>
        <v>company.com</v>
      </c>
      <c r="P4" t="str">
        <f t="shared" si="5"/>
        <v>company.com</v>
      </c>
      <c r="Q4">
        <f t="shared" si="6"/>
        <v>2023</v>
      </c>
      <c r="R4">
        <f t="shared" ca="1" si="7"/>
        <v>3</v>
      </c>
      <c r="S4" t="str">
        <f t="shared" si="8"/>
        <v>False</v>
      </c>
    </row>
    <row r="5" spans="1:20" x14ac:dyDescent="0.4">
      <c r="A5" s="2" t="s">
        <v>160</v>
      </c>
      <c r="B5" s="2" t="s">
        <v>161</v>
      </c>
      <c r="C5" s="2" t="s">
        <v>17</v>
      </c>
      <c r="D5" s="2" t="s">
        <v>11</v>
      </c>
      <c r="E5" s="3">
        <v>45063</v>
      </c>
      <c r="F5" s="2" t="s">
        <v>162</v>
      </c>
      <c r="G5" s="2" t="s">
        <v>163</v>
      </c>
      <c r="H5" s="2" t="s">
        <v>55</v>
      </c>
      <c r="I5" s="6" t="s">
        <v>2346</v>
      </c>
      <c r="J5" s="6" t="s">
        <v>2356</v>
      </c>
      <c r="K5" t="str">
        <f t="shared" si="0"/>
        <v>RIYA PATEL</v>
      </c>
      <c r="L5" t="str">
        <f t="shared" si="1"/>
        <v>Sales</v>
      </c>
      <c r="M5">
        <f t="shared" si="2"/>
        <v>10</v>
      </c>
      <c r="N5" t="str">
        <f t="shared" si="3"/>
        <v>Riya Patel-Sales</v>
      </c>
      <c r="O5" t="str">
        <f t="shared" si="4"/>
        <v>company.com</v>
      </c>
      <c r="P5" t="str">
        <f t="shared" si="5"/>
        <v>company.com</v>
      </c>
      <c r="Q5">
        <f t="shared" si="6"/>
        <v>2023</v>
      </c>
      <c r="R5">
        <f t="shared" ca="1" si="7"/>
        <v>3</v>
      </c>
      <c r="S5" t="str">
        <f t="shared" si="8"/>
        <v>False</v>
      </c>
    </row>
    <row r="6" spans="1:20" x14ac:dyDescent="0.4">
      <c r="A6" s="2" t="s">
        <v>248</v>
      </c>
      <c r="B6" s="2" t="s">
        <v>149</v>
      </c>
      <c r="C6" s="2" t="s">
        <v>10</v>
      </c>
      <c r="D6" s="2" t="s">
        <v>11</v>
      </c>
      <c r="E6" s="3">
        <v>45205</v>
      </c>
      <c r="F6" s="2" t="s">
        <v>150</v>
      </c>
      <c r="G6" s="2" t="s">
        <v>249</v>
      </c>
      <c r="H6" s="2" t="s">
        <v>64</v>
      </c>
      <c r="I6" s="6" t="s">
        <v>2344</v>
      </c>
      <c r="J6" s="6" t="s">
        <v>2357</v>
      </c>
      <c r="K6" t="str">
        <f t="shared" si="0"/>
        <v>KABIR JOSHI</v>
      </c>
      <c r="L6" t="str">
        <f t="shared" si="1"/>
        <v>It</v>
      </c>
      <c r="M6">
        <f t="shared" si="2"/>
        <v>11</v>
      </c>
      <c r="N6" t="str">
        <f t="shared" si="3"/>
        <v>Kabir Joshi-IT</v>
      </c>
      <c r="O6" t="str">
        <f t="shared" si="4"/>
        <v>company.com</v>
      </c>
      <c r="P6" t="str">
        <f t="shared" si="5"/>
        <v>company.com</v>
      </c>
      <c r="Q6">
        <f t="shared" si="6"/>
        <v>2023</v>
      </c>
      <c r="R6">
        <f t="shared" ca="1" si="7"/>
        <v>3</v>
      </c>
      <c r="S6" t="str">
        <f t="shared" si="8"/>
        <v>False</v>
      </c>
    </row>
    <row r="7" spans="1:20" x14ac:dyDescent="0.4">
      <c r="A7" s="2" t="s">
        <v>260</v>
      </c>
      <c r="B7" s="2" t="s">
        <v>74</v>
      </c>
      <c r="C7" s="2" t="s">
        <v>53</v>
      </c>
      <c r="D7" s="2" t="s">
        <v>44</v>
      </c>
      <c r="E7" s="3">
        <v>45288</v>
      </c>
      <c r="F7" s="2" t="s">
        <v>75</v>
      </c>
      <c r="G7" s="2" t="s">
        <v>261</v>
      </c>
      <c r="H7" s="2" t="s">
        <v>14</v>
      </c>
      <c r="I7" s="6" t="s">
        <v>2346</v>
      </c>
      <c r="J7" s="6" t="s">
        <v>2358</v>
      </c>
      <c r="K7" t="str">
        <f t="shared" si="0"/>
        <v>RIYA DAS</v>
      </c>
      <c r="L7" t="str">
        <f t="shared" si="1"/>
        <v>Hr</v>
      </c>
      <c r="M7">
        <f t="shared" si="2"/>
        <v>8</v>
      </c>
      <c r="N7" t="str">
        <f t="shared" si="3"/>
        <v>Riya Das-HR</v>
      </c>
      <c r="O7" t="str">
        <f t="shared" si="4"/>
        <v>company.com</v>
      </c>
      <c r="P7" t="str">
        <f t="shared" si="5"/>
        <v>company.com</v>
      </c>
      <c r="Q7">
        <f t="shared" si="6"/>
        <v>2023</v>
      </c>
      <c r="R7">
        <f t="shared" ca="1" si="7"/>
        <v>2</v>
      </c>
      <c r="S7" t="str">
        <f t="shared" si="8"/>
        <v>False</v>
      </c>
    </row>
    <row r="8" spans="1:20" x14ac:dyDescent="0.4">
      <c r="A8" s="2" t="s">
        <v>270</v>
      </c>
      <c r="B8" s="2" t="s">
        <v>271</v>
      </c>
      <c r="C8" s="2" t="s">
        <v>10</v>
      </c>
      <c r="D8" s="2" t="s">
        <v>44</v>
      </c>
      <c r="E8" s="3">
        <v>45235</v>
      </c>
      <c r="F8" s="2" t="s">
        <v>272</v>
      </c>
      <c r="G8" s="2" t="s">
        <v>273</v>
      </c>
      <c r="H8" s="2" t="s">
        <v>64</v>
      </c>
      <c r="I8" s="6" t="s">
        <v>2347</v>
      </c>
      <c r="J8" s="6" t="s">
        <v>2357</v>
      </c>
      <c r="K8" t="str">
        <f t="shared" si="0"/>
        <v>ARJUN JOSHI</v>
      </c>
      <c r="L8" t="str">
        <f t="shared" si="1"/>
        <v>It</v>
      </c>
      <c r="M8">
        <f t="shared" si="2"/>
        <v>11</v>
      </c>
      <c r="N8" t="str">
        <f t="shared" si="3"/>
        <v>Arjun Joshi-IT</v>
      </c>
      <c r="O8" t="str">
        <f t="shared" si="4"/>
        <v>company.com</v>
      </c>
      <c r="P8" t="str">
        <f t="shared" si="5"/>
        <v>company.com</v>
      </c>
      <c r="Q8">
        <f t="shared" si="6"/>
        <v>2023</v>
      </c>
      <c r="R8">
        <f t="shared" ca="1" si="7"/>
        <v>2</v>
      </c>
      <c r="S8" t="str">
        <f t="shared" si="8"/>
        <v>False</v>
      </c>
    </row>
    <row r="9" spans="1:20" x14ac:dyDescent="0.4">
      <c r="A9" s="2" t="s">
        <v>282</v>
      </c>
      <c r="B9" s="2" t="s">
        <v>221</v>
      </c>
      <c r="C9" s="2" t="s">
        <v>31</v>
      </c>
      <c r="D9" s="2" t="s">
        <v>25</v>
      </c>
      <c r="E9" s="3">
        <v>44979</v>
      </c>
      <c r="F9" s="2" t="s">
        <v>222</v>
      </c>
      <c r="G9" s="2" t="s">
        <v>283</v>
      </c>
      <c r="H9" s="2" t="s">
        <v>21</v>
      </c>
      <c r="I9" s="6" t="s">
        <v>2345</v>
      </c>
      <c r="J9" s="6" t="s">
        <v>2359</v>
      </c>
      <c r="K9" t="str">
        <f t="shared" si="0"/>
        <v>ISHA REDDY</v>
      </c>
      <c r="L9" t="str">
        <f t="shared" si="1"/>
        <v>Finance</v>
      </c>
      <c r="M9">
        <f t="shared" si="2"/>
        <v>10</v>
      </c>
      <c r="N9" t="str">
        <f t="shared" si="3"/>
        <v>Isha Reddy-Finance</v>
      </c>
      <c r="O9" t="str">
        <f t="shared" si="4"/>
        <v>company.com</v>
      </c>
      <c r="P9" t="str">
        <f t="shared" si="5"/>
        <v>company.com</v>
      </c>
      <c r="Q9">
        <f t="shared" si="6"/>
        <v>2023</v>
      </c>
      <c r="R9">
        <f t="shared" ca="1" si="7"/>
        <v>3</v>
      </c>
      <c r="S9" t="str">
        <f t="shared" si="8"/>
        <v>False</v>
      </c>
    </row>
    <row r="10" spans="1:20" x14ac:dyDescent="0.4">
      <c r="A10" s="2" t="s">
        <v>306</v>
      </c>
      <c r="B10" s="2" t="s">
        <v>161</v>
      </c>
      <c r="C10" s="2" t="s">
        <v>24</v>
      </c>
      <c r="D10" s="2" t="s">
        <v>44</v>
      </c>
      <c r="E10" s="3">
        <v>45007</v>
      </c>
      <c r="F10" s="2" t="s">
        <v>162</v>
      </c>
      <c r="G10" s="2" t="s">
        <v>307</v>
      </c>
      <c r="H10" s="2" t="s">
        <v>55</v>
      </c>
      <c r="I10" s="6" t="s">
        <v>2346</v>
      </c>
      <c r="J10" s="6" t="s">
        <v>2356</v>
      </c>
      <c r="K10" t="str">
        <f t="shared" si="0"/>
        <v>RIYA PATEL</v>
      </c>
      <c r="L10" t="str">
        <f t="shared" si="1"/>
        <v>Marketing</v>
      </c>
      <c r="M10">
        <f t="shared" si="2"/>
        <v>10</v>
      </c>
      <c r="N10" t="str">
        <f t="shared" si="3"/>
        <v>Riya Patel-Marketing</v>
      </c>
      <c r="O10" t="str">
        <f t="shared" si="4"/>
        <v>company.com</v>
      </c>
      <c r="P10" t="str">
        <f t="shared" si="5"/>
        <v>company.com</v>
      </c>
      <c r="Q10">
        <f t="shared" si="6"/>
        <v>2023</v>
      </c>
      <c r="R10">
        <f t="shared" ca="1" si="7"/>
        <v>3</v>
      </c>
      <c r="S10" t="str">
        <f t="shared" si="8"/>
        <v>False</v>
      </c>
    </row>
    <row r="11" spans="1:20" x14ac:dyDescent="0.4">
      <c r="A11" s="2" t="s">
        <v>308</v>
      </c>
      <c r="B11" s="2" t="s">
        <v>74</v>
      </c>
      <c r="C11" s="2" t="s">
        <v>17</v>
      </c>
      <c r="D11" s="2" t="s">
        <v>18</v>
      </c>
      <c r="E11" s="3">
        <v>44942</v>
      </c>
      <c r="F11" s="2" t="s">
        <v>75</v>
      </c>
      <c r="G11" s="2" t="s">
        <v>309</v>
      </c>
      <c r="H11" s="2" t="s">
        <v>28</v>
      </c>
      <c r="I11" s="6" t="s">
        <v>2346</v>
      </c>
      <c r="J11" s="6" t="s">
        <v>2358</v>
      </c>
      <c r="K11" t="str">
        <f t="shared" si="0"/>
        <v>RIYA DAS</v>
      </c>
      <c r="L11" t="str">
        <f t="shared" si="1"/>
        <v>Sales</v>
      </c>
      <c r="M11">
        <f t="shared" si="2"/>
        <v>8</v>
      </c>
      <c r="N11" t="str">
        <f t="shared" si="3"/>
        <v>Riya Das-Sales</v>
      </c>
      <c r="O11" t="str">
        <f t="shared" si="4"/>
        <v>company.com</v>
      </c>
      <c r="P11" t="str">
        <f t="shared" si="5"/>
        <v>company.com</v>
      </c>
      <c r="Q11">
        <f t="shared" si="6"/>
        <v>2023</v>
      </c>
      <c r="R11">
        <f t="shared" ca="1" si="7"/>
        <v>3</v>
      </c>
      <c r="S11" t="str">
        <f t="shared" si="8"/>
        <v>False</v>
      </c>
    </row>
    <row r="12" spans="1:20" x14ac:dyDescent="0.4">
      <c r="A12" s="2" t="s">
        <v>356</v>
      </c>
      <c r="B12" s="2" t="s">
        <v>221</v>
      </c>
      <c r="C12" s="2" t="s">
        <v>17</v>
      </c>
      <c r="D12" s="2" t="s">
        <v>11</v>
      </c>
      <c r="E12" s="3">
        <v>45199</v>
      </c>
      <c r="F12" s="2" t="s">
        <v>222</v>
      </c>
      <c r="G12" s="2" t="s">
        <v>357</v>
      </c>
      <c r="H12" s="2" t="s">
        <v>28</v>
      </c>
      <c r="I12" s="6" t="s">
        <v>2345</v>
      </c>
      <c r="J12" s="6" t="s">
        <v>2359</v>
      </c>
      <c r="K12" t="str">
        <f t="shared" si="0"/>
        <v>ISHA REDDY</v>
      </c>
      <c r="L12" t="str">
        <f t="shared" si="1"/>
        <v>Sales</v>
      </c>
      <c r="M12">
        <f t="shared" si="2"/>
        <v>10</v>
      </c>
      <c r="N12" t="str">
        <f t="shared" si="3"/>
        <v>Isha Reddy-Sales</v>
      </c>
      <c r="O12" t="str">
        <f t="shared" si="4"/>
        <v>company.com</v>
      </c>
      <c r="P12" t="str">
        <f t="shared" si="5"/>
        <v>company.com</v>
      </c>
      <c r="Q12">
        <f t="shared" si="6"/>
        <v>2023</v>
      </c>
      <c r="R12">
        <f t="shared" ca="1" si="7"/>
        <v>3</v>
      </c>
      <c r="S12" t="str">
        <f t="shared" si="8"/>
        <v>False</v>
      </c>
    </row>
    <row r="13" spans="1:20" x14ac:dyDescent="0.4">
      <c r="A13" s="2" t="s">
        <v>366</v>
      </c>
      <c r="B13" s="2" t="s">
        <v>61</v>
      </c>
      <c r="C13" s="2" t="s">
        <v>53</v>
      </c>
      <c r="D13" s="2" t="s">
        <v>49</v>
      </c>
      <c r="E13" s="3">
        <v>45057</v>
      </c>
      <c r="F13" s="2" t="s">
        <v>62</v>
      </c>
      <c r="G13" s="2" t="s">
        <v>367</v>
      </c>
      <c r="H13" s="2" t="s">
        <v>64</v>
      </c>
      <c r="I13" s="6" t="s">
        <v>2348</v>
      </c>
      <c r="J13" s="6" t="s">
        <v>2357</v>
      </c>
      <c r="K13" t="str">
        <f t="shared" si="0"/>
        <v>ANANYA JOSHI</v>
      </c>
      <c r="L13" t="str">
        <f t="shared" si="1"/>
        <v>Hr</v>
      </c>
      <c r="M13">
        <f t="shared" si="2"/>
        <v>12</v>
      </c>
      <c r="N13" t="str">
        <f t="shared" si="3"/>
        <v>Ananya Joshi-HR</v>
      </c>
      <c r="O13" t="str">
        <f t="shared" si="4"/>
        <v>company.com</v>
      </c>
      <c r="P13" t="str">
        <f t="shared" si="5"/>
        <v>company.com</v>
      </c>
      <c r="Q13">
        <f t="shared" si="6"/>
        <v>2023</v>
      </c>
      <c r="R13">
        <f t="shared" ca="1" si="7"/>
        <v>3</v>
      </c>
      <c r="S13" t="str">
        <f t="shared" si="8"/>
        <v>False</v>
      </c>
    </row>
    <row r="14" spans="1:20" x14ac:dyDescent="0.4">
      <c r="A14" s="2" t="s">
        <v>394</v>
      </c>
      <c r="B14" s="2" t="s">
        <v>395</v>
      </c>
      <c r="C14" s="2" t="s">
        <v>31</v>
      </c>
      <c r="D14" s="2" t="s">
        <v>18</v>
      </c>
      <c r="E14" s="3">
        <v>45245</v>
      </c>
      <c r="F14" s="2" t="s">
        <v>396</v>
      </c>
      <c r="G14" s="2" t="s">
        <v>397</v>
      </c>
      <c r="H14" s="2" t="s">
        <v>28</v>
      </c>
      <c r="I14" s="6" t="s">
        <v>2346</v>
      </c>
      <c r="J14" s="6" t="s">
        <v>2355</v>
      </c>
      <c r="K14" t="str">
        <f t="shared" si="0"/>
        <v>RIYA NAIR</v>
      </c>
      <c r="L14" t="str">
        <f t="shared" si="1"/>
        <v>Finance</v>
      </c>
      <c r="M14">
        <f t="shared" si="2"/>
        <v>9</v>
      </c>
      <c r="N14" t="str">
        <f t="shared" si="3"/>
        <v>Riya Nair-Finance</v>
      </c>
      <c r="O14" t="str">
        <f t="shared" si="4"/>
        <v>company.com</v>
      </c>
      <c r="P14" t="str">
        <f t="shared" si="5"/>
        <v>company.com</v>
      </c>
      <c r="Q14">
        <f t="shared" si="6"/>
        <v>2023</v>
      </c>
      <c r="R14">
        <f t="shared" ca="1" si="7"/>
        <v>2</v>
      </c>
      <c r="S14" t="str">
        <f t="shared" si="8"/>
        <v>False</v>
      </c>
    </row>
    <row r="15" spans="1:20" x14ac:dyDescent="0.4">
      <c r="A15" s="2" t="s">
        <v>442</v>
      </c>
      <c r="B15" s="2" t="s">
        <v>443</v>
      </c>
      <c r="C15" s="2" t="s">
        <v>87</v>
      </c>
      <c r="D15" s="2" t="s">
        <v>25</v>
      </c>
      <c r="E15" s="3">
        <v>45164</v>
      </c>
      <c r="F15" s="2" t="s">
        <v>444</v>
      </c>
      <c r="G15" s="2" t="s">
        <v>445</v>
      </c>
      <c r="H15" s="2" t="s">
        <v>64</v>
      </c>
      <c r="I15" s="6" t="s">
        <v>2343</v>
      </c>
      <c r="J15" s="6" t="s">
        <v>2357</v>
      </c>
      <c r="K15" t="str">
        <f t="shared" si="0"/>
        <v>DIYA JOSHI</v>
      </c>
      <c r="L15" t="str">
        <f t="shared" si="1"/>
        <v>Operations</v>
      </c>
      <c r="M15">
        <f t="shared" si="2"/>
        <v>10</v>
      </c>
      <c r="N15" t="str">
        <f t="shared" si="3"/>
        <v>Diya Joshi-Operations</v>
      </c>
      <c r="O15" t="str">
        <f t="shared" si="4"/>
        <v>company.com</v>
      </c>
      <c r="P15" t="str">
        <f t="shared" si="5"/>
        <v>company.com</v>
      </c>
      <c r="Q15">
        <f t="shared" si="6"/>
        <v>2023</v>
      </c>
      <c r="R15">
        <f t="shared" ca="1" si="7"/>
        <v>3</v>
      </c>
      <c r="S15" t="str">
        <f t="shared" si="8"/>
        <v>False</v>
      </c>
    </row>
    <row r="16" spans="1:20" x14ac:dyDescent="0.4">
      <c r="A16" s="2" t="s">
        <v>476</v>
      </c>
      <c r="B16" s="2" t="s">
        <v>113</v>
      </c>
      <c r="C16" s="2" t="s">
        <v>31</v>
      </c>
      <c r="D16" s="2" t="s">
        <v>44</v>
      </c>
      <c r="E16" s="3">
        <v>45043</v>
      </c>
      <c r="F16" s="2" t="s">
        <v>114</v>
      </c>
      <c r="G16" s="2" t="s">
        <v>477</v>
      </c>
      <c r="H16" s="2" t="s">
        <v>28</v>
      </c>
      <c r="I16" s="6" t="s">
        <v>2343</v>
      </c>
      <c r="J16" s="6" t="s">
        <v>2359</v>
      </c>
      <c r="K16" t="str">
        <f t="shared" si="0"/>
        <v>DIYA REDDY</v>
      </c>
      <c r="L16" t="str">
        <f t="shared" si="1"/>
        <v>Finance</v>
      </c>
      <c r="M16">
        <f t="shared" si="2"/>
        <v>10</v>
      </c>
      <c r="N16" t="str">
        <f t="shared" si="3"/>
        <v>Diya Reddy-Finance</v>
      </c>
      <c r="O16" t="str">
        <f t="shared" si="4"/>
        <v>company.com</v>
      </c>
      <c r="P16" t="str">
        <f t="shared" si="5"/>
        <v>company.com</v>
      </c>
      <c r="Q16">
        <f t="shared" si="6"/>
        <v>2023</v>
      </c>
      <c r="R16">
        <f t="shared" ca="1" si="7"/>
        <v>3</v>
      </c>
      <c r="S16" t="str">
        <f t="shared" si="8"/>
        <v>False</v>
      </c>
    </row>
    <row r="17" spans="1:19" x14ac:dyDescent="0.4">
      <c r="A17" s="2" t="s">
        <v>486</v>
      </c>
      <c r="B17" s="2" t="s">
        <v>255</v>
      </c>
      <c r="C17" s="2" t="s">
        <v>24</v>
      </c>
      <c r="D17" s="2" t="s">
        <v>25</v>
      </c>
      <c r="E17" s="3">
        <v>45217</v>
      </c>
      <c r="F17" s="2" t="s">
        <v>256</v>
      </c>
      <c r="G17" s="2" t="s">
        <v>487</v>
      </c>
      <c r="H17" s="2" t="s">
        <v>28</v>
      </c>
      <c r="I17" s="6" t="s">
        <v>2346</v>
      </c>
      <c r="J17" s="6" t="s">
        <v>2354</v>
      </c>
      <c r="K17" t="str">
        <f t="shared" si="0"/>
        <v>RIYA SINGH</v>
      </c>
      <c r="L17" t="str">
        <f t="shared" si="1"/>
        <v>Marketing</v>
      </c>
      <c r="M17">
        <f t="shared" si="2"/>
        <v>10</v>
      </c>
      <c r="N17" t="str">
        <f t="shared" si="3"/>
        <v>Riya Singh-Marketing</v>
      </c>
      <c r="O17" t="str">
        <f t="shared" si="4"/>
        <v>company.com</v>
      </c>
      <c r="P17" t="str">
        <f t="shared" si="5"/>
        <v>company.com</v>
      </c>
      <c r="Q17">
        <f t="shared" si="6"/>
        <v>2023</v>
      </c>
      <c r="R17">
        <f t="shared" ca="1" si="7"/>
        <v>3</v>
      </c>
      <c r="S17" t="str">
        <f t="shared" si="8"/>
        <v>False</v>
      </c>
    </row>
    <row r="18" spans="1:19" x14ac:dyDescent="0.4">
      <c r="A18" s="2" t="s">
        <v>508</v>
      </c>
      <c r="B18" s="2" t="s">
        <v>295</v>
      </c>
      <c r="C18" s="2" t="s">
        <v>53</v>
      </c>
      <c r="D18" s="2" t="s">
        <v>18</v>
      </c>
      <c r="E18" s="3">
        <v>45026</v>
      </c>
      <c r="F18" s="2" t="s">
        <v>296</v>
      </c>
      <c r="G18" s="2" t="s">
        <v>509</v>
      </c>
      <c r="H18" s="2" t="s">
        <v>28</v>
      </c>
      <c r="I18" s="6" t="s">
        <v>2349</v>
      </c>
      <c r="J18" s="6" t="s">
        <v>2360</v>
      </c>
      <c r="K18" t="str">
        <f t="shared" si="0"/>
        <v>AARAV SHARMA</v>
      </c>
      <c r="L18" t="str">
        <f t="shared" si="1"/>
        <v>Hr</v>
      </c>
      <c r="M18">
        <f t="shared" si="2"/>
        <v>12</v>
      </c>
      <c r="N18" t="str">
        <f t="shared" si="3"/>
        <v>Aarav Sharma-HR</v>
      </c>
      <c r="O18" t="str">
        <f t="shared" si="4"/>
        <v>company.com</v>
      </c>
      <c r="P18" t="str">
        <f t="shared" si="5"/>
        <v>company.com</v>
      </c>
      <c r="Q18">
        <f t="shared" si="6"/>
        <v>2023</v>
      </c>
      <c r="R18">
        <f t="shared" ca="1" si="7"/>
        <v>3</v>
      </c>
      <c r="S18" t="str">
        <f t="shared" si="8"/>
        <v>False</v>
      </c>
    </row>
    <row r="19" spans="1:19" x14ac:dyDescent="0.4">
      <c r="A19" s="2" t="s">
        <v>510</v>
      </c>
      <c r="B19" s="2" t="s">
        <v>113</v>
      </c>
      <c r="C19" s="2" t="s">
        <v>53</v>
      </c>
      <c r="D19" s="2" t="s">
        <v>25</v>
      </c>
      <c r="E19" s="3">
        <v>44928</v>
      </c>
      <c r="F19" s="2" t="s">
        <v>114</v>
      </c>
      <c r="G19" s="2" t="s">
        <v>511</v>
      </c>
      <c r="H19" s="2" t="s">
        <v>55</v>
      </c>
      <c r="I19" s="6" t="s">
        <v>2343</v>
      </c>
      <c r="J19" s="6" t="s">
        <v>2359</v>
      </c>
      <c r="K19" t="str">
        <f t="shared" si="0"/>
        <v>DIYA REDDY</v>
      </c>
      <c r="L19" t="str">
        <f t="shared" si="1"/>
        <v>Hr</v>
      </c>
      <c r="M19">
        <f t="shared" si="2"/>
        <v>10</v>
      </c>
      <c r="N19" t="str">
        <f t="shared" si="3"/>
        <v>Diya Reddy-HR</v>
      </c>
      <c r="O19" t="str">
        <f t="shared" si="4"/>
        <v>company.com</v>
      </c>
      <c r="P19" t="str">
        <f t="shared" si="5"/>
        <v>company.com</v>
      </c>
      <c r="Q19">
        <f t="shared" si="6"/>
        <v>2023</v>
      </c>
      <c r="R19">
        <f t="shared" ca="1" si="7"/>
        <v>3</v>
      </c>
      <c r="S19" t="str">
        <f t="shared" si="8"/>
        <v>False</v>
      </c>
    </row>
    <row r="20" spans="1:19" x14ac:dyDescent="0.4">
      <c r="A20" s="2" t="s">
        <v>528</v>
      </c>
      <c r="B20" s="2" t="s">
        <v>117</v>
      </c>
      <c r="C20" s="2" t="s">
        <v>10</v>
      </c>
      <c r="D20" s="2" t="s">
        <v>25</v>
      </c>
      <c r="E20" s="3">
        <v>45172</v>
      </c>
      <c r="F20" s="2" t="s">
        <v>118</v>
      </c>
      <c r="G20" s="2" t="s">
        <v>529</v>
      </c>
      <c r="H20" s="2" t="s">
        <v>28</v>
      </c>
      <c r="I20" s="6" t="s">
        <v>2344</v>
      </c>
      <c r="J20" s="6" t="s">
        <v>2360</v>
      </c>
      <c r="K20" t="str">
        <f t="shared" si="0"/>
        <v>KABIR SHARMA</v>
      </c>
      <c r="L20" t="str">
        <f t="shared" si="1"/>
        <v>It</v>
      </c>
      <c r="M20">
        <f t="shared" si="2"/>
        <v>12</v>
      </c>
      <c r="N20" t="str">
        <f t="shared" si="3"/>
        <v>Kabir Sharma-IT</v>
      </c>
      <c r="O20" t="str">
        <f t="shared" si="4"/>
        <v>company.com</v>
      </c>
      <c r="P20" t="str">
        <f t="shared" si="5"/>
        <v>company.com</v>
      </c>
      <c r="Q20">
        <f t="shared" si="6"/>
        <v>2023</v>
      </c>
      <c r="R20">
        <f t="shared" ca="1" si="7"/>
        <v>3</v>
      </c>
      <c r="S20" t="str">
        <f t="shared" si="8"/>
        <v>False</v>
      </c>
    </row>
    <row r="21" spans="1:19" x14ac:dyDescent="0.4">
      <c r="A21" s="2" t="s">
        <v>574</v>
      </c>
      <c r="B21" s="2" t="s">
        <v>575</v>
      </c>
      <c r="C21" s="2" t="s">
        <v>87</v>
      </c>
      <c r="D21" s="2" t="s">
        <v>44</v>
      </c>
      <c r="E21" s="3">
        <v>45227</v>
      </c>
      <c r="F21" s="2" t="s">
        <v>576</v>
      </c>
      <c r="G21" s="2" t="s">
        <v>577</v>
      </c>
      <c r="H21" s="2" t="s">
        <v>28</v>
      </c>
      <c r="I21" s="6" t="s">
        <v>2350</v>
      </c>
      <c r="J21" s="6" t="s">
        <v>2358</v>
      </c>
      <c r="K21" t="str">
        <f t="shared" si="0"/>
        <v>VIVAAN DAS</v>
      </c>
      <c r="L21" t="str">
        <f t="shared" si="1"/>
        <v>Operations</v>
      </c>
      <c r="M21">
        <f t="shared" si="2"/>
        <v>10</v>
      </c>
      <c r="N21" t="str">
        <f t="shared" si="3"/>
        <v>Vivaan Das-Operations</v>
      </c>
      <c r="O21" t="str">
        <f t="shared" si="4"/>
        <v>company.com</v>
      </c>
      <c r="P21" t="str">
        <f t="shared" si="5"/>
        <v>company.com</v>
      </c>
      <c r="Q21">
        <f t="shared" si="6"/>
        <v>2023</v>
      </c>
      <c r="R21">
        <f t="shared" ca="1" si="7"/>
        <v>2</v>
      </c>
      <c r="S21" t="str">
        <f t="shared" si="8"/>
        <v>False</v>
      </c>
    </row>
    <row r="22" spans="1:19" x14ac:dyDescent="0.4">
      <c r="A22" s="2" t="s">
        <v>578</v>
      </c>
      <c r="B22" s="2" t="s">
        <v>579</v>
      </c>
      <c r="C22" s="2" t="s">
        <v>53</v>
      </c>
      <c r="D22" s="2" t="s">
        <v>11</v>
      </c>
      <c r="E22" s="3">
        <v>44953</v>
      </c>
      <c r="F22" s="2" t="s">
        <v>580</v>
      </c>
      <c r="G22" s="2" t="s">
        <v>581</v>
      </c>
      <c r="H22" s="2" t="s">
        <v>21</v>
      </c>
      <c r="I22" s="6" t="s">
        <v>2343</v>
      </c>
      <c r="J22" s="6" t="s">
        <v>2361</v>
      </c>
      <c r="K22" t="str">
        <f t="shared" si="0"/>
        <v>DIYA KHAN</v>
      </c>
      <c r="L22" t="str">
        <f t="shared" si="1"/>
        <v>Hr</v>
      </c>
      <c r="M22">
        <f t="shared" si="2"/>
        <v>9</v>
      </c>
      <c r="N22" t="str">
        <f t="shared" si="3"/>
        <v>Diya Khan-HR</v>
      </c>
      <c r="O22" t="str">
        <f t="shared" si="4"/>
        <v>company.com</v>
      </c>
      <c r="P22" t="str">
        <f t="shared" si="5"/>
        <v>company.com</v>
      </c>
      <c r="Q22">
        <f t="shared" si="6"/>
        <v>2023</v>
      </c>
      <c r="R22">
        <f t="shared" ca="1" si="7"/>
        <v>3</v>
      </c>
      <c r="S22" t="str">
        <f t="shared" si="8"/>
        <v>False</v>
      </c>
    </row>
    <row r="23" spans="1:19" x14ac:dyDescent="0.4">
      <c r="A23" s="2" t="s">
        <v>584</v>
      </c>
      <c r="B23" s="2" t="s">
        <v>295</v>
      </c>
      <c r="C23" s="2" t="s">
        <v>17</v>
      </c>
      <c r="D23" s="2" t="s">
        <v>44</v>
      </c>
      <c r="E23" s="3">
        <v>45196</v>
      </c>
      <c r="F23" s="2" t="s">
        <v>296</v>
      </c>
      <c r="G23" s="2" t="s">
        <v>585</v>
      </c>
      <c r="H23" s="2" t="s">
        <v>64</v>
      </c>
      <c r="I23" s="6" t="s">
        <v>2349</v>
      </c>
      <c r="J23" s="6" t="s">
        <v>2360</v>
      </c>
      <c r="K23" t="str">
        <f t="shared" si="0"/>
        <v>AARAV SHARMA</v>
      </c>
      <c r="L23" t="str">
        <f t="shared" si="1"/>
        <v>Sales</v>
      </c>
      <c r="M23">
        <f t="shared" si="2"/>
        <v>12</v>
      </c>
      <c r="N23" t="str">
        <f t="shared" si="3"/>
        <v>Aarav Sharma-Sales</v>
      </c>
      <c r="O23" t="str">
        <f t="shared" si="4"/>
        <v>company.com</v>
      </c>
      <c r="P23" t="str">
        <f t="shared" si="5"/>
        <v>company.com</v>
      </c>
      <c r="Q23">
        <f t="shared" si="6"/>
        <v>2023</v>
      </c>
      <c r="R23">
        <f t="shared" ca="1" si="7"/>
        <v>3</v>
      </c>
      <c r="S23" t="str">
        <f t="shared" si="8"/>
        <v>False</v>
      </c>
    </row>
    <row r="24" spans="1:19" x14ac:dyDescent="0.4">
      <c r="A24" s="2" t="s">
        <v>620</v>
      </c>
      <c r="B24" s="2" t="s">
        <v>621</v>
      </c>
      <c r="C24" s="2" t="s">
        <v>24</v>
      </c>
      <c r="D24" s="2" t="s">
        <v>49</v>
      </c>
      <c r="E24" s="3">
        <v>45171</v>
      </c>
      <c r="F24" s="2" t="s">
        <v>622</v>
      </c>
      <c r="G24" s="2" t="s">
        <v>623</v>
      </c>
      <c r="H24" s="2" t="s">
        <v>64</v>
      </c>
      <c r="I24" s="6" t="s">
        <v>2345</v>
      </c>
      <c r="J24" s="6" t="s">
        <v>2361</v>
      </c>
      <c r="K24" t="str">
        <f t="shared" si="0"/>
        <v>ISHA KHAN</v>
      </c>
      <c r="L24" t="str">
        <f t="shared" si="1"/>
        <v>Marketing</v>
      </c>
      <c r="M24">
        <f t="shared" si="2"/>
        <v>9</v>
      </c>
      <c r="N24" t="str">
        <f t="shared" si="3"/>
        <v>Isha Khan-Marketing</v>
      </c>
      <c r="O24" t="str">
        <f t="shared" si="4"/>
        <v>company.com</v>
      </c>
      <c r="P24" t="str">
        <f t="shared" si="5"/>
        <v>company.com</v>
      </c>
      <c r="Q24">
        <f t="shared" si="6"/>
        <v>2023</v>
      </c>
      <c r="R24">
        <f t="shared" ca="1" si="7"/>
        <v>3</v>
      </c>
      <c r="S24" t="str">
        <f t="shared" si="8"/>
        <v>False</v>
      </c>
    </row>
    <row r="25" spans="1:19" x14ac:dyDescent="0.4">
      <c r="A25" s="2" t="s">
        <v>636</v>
      </c>
      <c r="B25" s="2" t="s">
        <v>113</v>
      </c>
      <c r="C25" s="2" t="s">
        <v>17</v>
      </c>
      <c r="D25" s="2" t="s">
        <v>11</v>
      </c>
      <c r="E25" s="3">
        <v>45136</v>
      </c>
      <c r="F25" s="2" t="s">
        <v>114</v>
      </c>
      <c r="G25" s="2" t="s">
        <v>637</v>
      </c>
      <c r="H25" s="2" t="s">
        <v>21</v>
      </c>
      <c r="I25" s="6" t="s">
        <v>2343</v>
      </c>
      <c r="J25" s="6" t="s">
        <v>2359</v>
      </c>
      <c r="K25" t="str">
        <f t="shared" si="0"/>
        <v>DIYA REDDY</v>
      </c>
      <c r="L25" t="str">
        <f t="shared" si="1"/>
        <v>Sales</v>
      </c>
      <c r="M25">
        <f t="shared" si="2"/>
        <v>10</v>
      </c>
      <c r="N25" t="str">
        <f t="shared" si="3"/>
        <v>Diya Reddy-Sales</v>
      </c>
      <c r="O25" t="str">
        <f t="shared" si="4"/>
        <v>company.com</v>
      </c>
      <c r="P25" t="str">
        <f t="shared" si="5"/>
        <v>company.com</v>
      </c>
      <c r="Q25">
        <f t="shared" si="6"/>
        <v>2023</v>
      </c>
      <c r="R25">
        <f t="shared" ca="1" si="7"/>
        <v>3</v>
      </c>
      <c r="S25" t="str">
        <f t="shared" si="8"/>
        <v>False</v>
      </c>
    </row>
    <row r="26" spans="1:19" x14ac:dyDescent="0.4">
      <c r="A26" s="2" t="s">
        <v>638</v>
      </c>
      <c r="B26" s="2" t="s">
        <v>137</v>
      </c>
      <c r="C26" s="2" t="s">
        <v>17</v>
      </c>
      <c r="D26" s="2" t="s">
        <v>49</v>
      </c>
      <c r="E26" s="3">
        <v>45287</v>
      </c>
      <c r="F26" s="2" t="s">
        <v>138</v>
      </c>
      <c r="G26" s="2" t="s">
        <v>639</v>
      </c>
      <c r="H26" s="2" t="s">
        <v>21</v>
      </c>
      <c r="I26" s="6" t="s">
        <v>2351</v>
      </c>
      <c r="J26" s="6" t="s">
        <v>2354</v>
      </c>
      <c r="K26" t="str">
        <f t="shared" si="0"/>
        <v>ADITYA SINGH</v>
      </c>
      <c r="L26" t="str">
        <f t="shared" si="1"/>
        <v>Sales</v>
      </c>
      <c r="M26">
        <f t="shared" si="2"/>
        <v>12</v>
      </c>
      <c r="N26" t="str">
        <f t="shared" si="3"/>
        <v>Aditya Singh-Sales</v>
      </c>
      <c r="O26" t="str">
        <f t="shared" si="4"/>
        <v>company.com</v>
      </c>
      <c r="P26" t="str">
        <f t="shared" si="5"/>
        <v>company.com</v>
      </c>
      <c r="Q26">
        <f t="shared" si="6"/>
        <v>2023</v>
      </c>
      <c r="R26">
        <f t="shared" ca="1" si="7"/>
        <v>2</v>
      </c>
      <c r="S26" t="str">
        <f t="shared" si="8"/>
        <v>False</v>
      </c>
    </row>
    <row r="27" spans="1:19" x14ac:dyDescent="0.4">
      <c r="A27" s="2" t="s">
        <v>670</v>
      </c>
      <c r="B27" s="2" t="s">
        <v>177</v>
      </c>
      <c r="C27" s="2" t="s">
        <v>53</v>
      </c>
      <c r="D27" s="2" t="s">
        <v>25</v>
      </c>
      <c r="E27" s="3">
        <v>44938</v>
      </c>
      <c r="F27" s="2" t="s">
        <v>178</v>
      </c>
      <c r="G27" s="2" t="s">
        <v>671</v>
      </c>
      <c r="H27" s="2" t="s">
        <v>14</v>
      </c>
      <c r="I27" s="6" t="s">
        <v>2346</v>
      </c>
      <c r="J27" s="6" t="s">
        <v>2353</v>
      </c>
      <c r="K27" t="str">
        <f t="shared" si="0"/>
        <v>RIYA GUPTA</v>
      </c>
      <c r="L27" t="str">
        <f t="shared" si="1"/>
        <v>Hr</v>
      </c>
      <c r="M27">
        <f t="shared" si="2"/>
        <v>10</v>
      </c>
      <c r="N27" t="str">
        <f t="shared" si="3"/>
        <v>Riya Gupta-HR</v>
      </c>
      <c r="O27" t="str">
        <f t="shared" si="4"/>
        <v>company.com</v>
      </c>
      <c r="P27" t="str">
        <f t="shared" si="5"/>
        <v>company.com</v>
      </c>
      <c r="Q27">
        <f t="shared" si="6"/>
        <v>2023</v>
      </c>
      <c r="R27">
        <f t="shared" ca="1" si="7"/>
        <v>3</v>
      </c>
      <c r="S27" t="str">
        <f t="shared" si="8"/>
        <v>False</v>
      </c>
    </row>
    <row r="28" spans="1:19" x14ac:dyDescent="0.4">
      <c r="A28" s="2" t="s">
        <v>718</v>
      </c>
      <c r="B28" s="2" t="s">
        <v>145</v>
      </c>
      <c r="C28" s="2" t="s">
        <v>53</v>
      </c>
      <c r="D28" s="2" t="s">
        <v>18</v>
      </c>
      <c r="E28" s="3">
        <v>45252</v>
      </c>
      <c r="F28" s="2" t="s">
        <v>146</v>
      </c>
      <c r="G28" s="2" t="s">
        <v>719</v>
      </c>
      <c r="H28" s="2" t="s">
        <v>21</v>
      </c>
      <c r="I28" s="6" t="s">
        <v>2351</v>
      </c>
      <c r="J28" s="6" t="s">
        <v>2355</v>
      </c>
      <c r="K28" t="str">
        <f t="shared" si="0"/>
        <v>ADITYA NAIR</v>
      </c>
      <c r="L28" t="str">
        <f t="shared" si="1"/>
        <v>Hr</v>
      </c>
      <c r="M28">
        <f t="shared" si="2"/>
        <v>11</v>
      </c>
      <c r="N28" t="str">
        <f t="shared" si="3"/>
        <v>Aditya Nair-HR</v>
      </c>
      <c r="O28" t="str">
        <f t="shared" si="4"/>
        <v>company.com</v>
      </c>
      <c r="P28" t="str">
        <f t="shared" si="5"/>
        <v>company.com</v>
      </c>
      <c r="Q28">
        <f t="shared" si="6"/>
        <v>2023</v>
      </c>
      <c r="R28">
        <f t="shared" ca="1" si="7"/>
        <v>2</v>
      </c>
      <c r="S28" t="str">
        <f t="shared" si="8"/>
        <v>False</v>
      </c>
    </row>
    <row r="29" spans="1:19" x14ac:dyDescent="0.4">
      <c r="A29" s="2" t="s">
        <v>720</v>
      </c>
      <c r="B29" s="2" t="s">
        <v>181</v>
      </c>
      <c r="C29" s="2" t="s">
        <v>87</v>
      </c>
      <c r="D29" s="2" t="s">
        <v>18</v>
      </c>
      <c r="E29" s="3">
        <v>45060</v>
      </c>
      <c r="F29" s="2" t="s">
        <v>182</v>
      </c>
      <c r="G29" s="2" t="s">
        <v>721</v>
      </c>
      <c r="H29" s="2" t="s">
        <v>55</v>
      </c>
      <c r="I29" s="6" t="s">
        <v>2352</v>
      </c>
      <c r="J29" s="6" t="s">
        <v>2356</v>
      </c>
      <c r="K29" t="str">
        <f t="shared" si="0"/>
        <v>MEERA PATEL</v>
      </c>
      <c r="L29" t="str">
        <f t="shared" si="1"/>
        <v>Operations</v>
      </c>
      <c r="M29">
        <f t="shared" si="2"/>
        <v>11</v>
      </c>
      <c r="N29" t="str">
        <f t="shared" si="3"/>
        <v>Meera Patel-Operations</v>
      </c>
      <c r="O29" t="str">
        <f t="shared" si="4"/>
        <v>company.com</v>
      </c>
      <c r="P29" t="str">
        <f t="shared" si="5"/>
        <v>company.com</v>
      </c>
      <c r="Q29">
        <f t="shared" si="6"/>
        <v>2023</v>
      </c>
      <c r="R29">
        <f t="shared" ca="1" si="7"/>
        <v>3</v>
      </c>
      <c r="S29" t="str">
        <f t="shared" si="8"/>
        <v>False</v>
      </c>
    </row>
    <row r="30" spans="1:19" x14ac:dyDescent="0.4">
      <c r="A30" s="2" t="s">
        <v>738</v>
      </c>
      <c r="B30" s="2" t="s">
        <v>157</v>
      </c>
      <c r="C30" s="2" t="s">
        <v>24</v>
      </c>
      <c r="D30" s="2" t="s">
        <v>49</v>
      </c>
      <c r="E30" s="3">
        <v>45287</v>
      </c>
      <c r="F30" s="2" t="s">
        <v>158</v>
      </c>
      <c r="G30" s="2" t="s">
        <v>739</v>
      </c>
      <c r="H30" s="2" t="s">
        <v>28</v>
      </c>
      <c r="I30" s="6" t="s">
        <v>2346</v>
      </c>
      <c r="J30" s="6" t="s">
        <v>2362</v>
      </c>
      <c r="K30" t="str">
        <f t="shared" si="0"/>
        <v>RIYA MEHTA</v>
      </c>
      <c r="L30" t="str">
        <f t="shared" si="1"/>
        <v>Marketing</v>
      </c>
      <c r="M30">
        <f t="shared" si="2"/>
        <v>10</v>
      </c>
      <c r="N30" t="str">
        <f t="shared" si="3"/>
        <v>Riya Mehta-Marketing</v>
      </c>
      <c r="O30" t="str">
        <f t="shared" si="4"/>
        <v>company.com</v>
      </c>
      <c r="P30" t="str">
        <f t="shared" si="5"/>
        <v>company.com</v>
      </c>
      <c r="Q30">
        <f t="shared" si="6"/>
        <v>2023</v>
      </c>
      <c r="R30">
        <f t="shared" ca="1" si="7"/>
        <v>2</v>
      </c>
      <c r="S30" t="str">
        <f t="shared" si="8"/>
        <v>False</v>
      </c>
    </row>
    <row r="31" spans="1:19" x14ac:dyDescent="0.4">
      <c r="A31" s="2" t="s">
        <v>746</v>
      </c>
      <c r="B31" s="2" t="s">
        <v>363</v>
      </c>
      <c r="C31" s="2" t="s">
        <v>53</v>
      </c>
      <c r="D31" s="2" t="s">
        <v>18</v>
      </c>
      <c r="E31" s="3">
        <v>44979</v>
      </c>
      <c r="F31" s="2" t="s">
        <v>364</v>
      </c>
      <c r="G31" s="2" t="s">
        <v>747</v>
      </c>
      <c r="H31" s="2" t="s">
        <v>28</v>
      </c>
      <c r="I31" s="6" t="s">
        <v>2344</v>
      </c>
      <c r="J31" s="6" t="s">
        <v>2359</v>
      </c>
      <c r="K31" t="str">
        <f t="shared" si="0"/>
        <v>KABIR REDDY</v>
      </c>
      <c r="L31" t="str">
        <f t="shared" si="1"/>
        <v>Hr</v>
      </c>
      <c r="M31">
        <f t="shared" si="2"/>
        <v>11</v>
      </c>
      <c r="N31" t="str">
        <f t="shared" si="3"/>
        <v>Kabir Reddy-HR</v>
      </c>
      <c r="O31" t="str">
        <f t="shared" si="4"/>
        <v>company.com</v>
      </c>
      <c r="P31" t="str">
        <f t="shared" si="5"/>
        <v>company.com</v>
      </c>
      <c r="Q31">
        <f t="shared" si="6"/>
        <v>2023</v>
      </c>
      <c r="R31">
        <f t="shared" ca="1" si="7"/>
        <v>3</v>
      </c>
      <c r="S31" t="str">
        <f t="shared" si="8"/>
        <v>False</v>
      </c>
    </row>
    <row r="32" spans="1:19" x14ac:dyDescent="0.4">
      <c r="A32" s="2" t="s">
        <v>770</v>
      </c>
      <c r="B32" s="2" t="s">
        <v>351</v>
      </c>
      <c r="C32" s="2" t="s">
        <v>17</v>
      </c>
      <c r="D32" s="2" t="s">
        <v>11</v>
      </c>
      <c r="E32" s="3">
        <v>45243</v>
      </c>
      <c r="F32" s="2" t="s">
        <v>352</v>
      </c>
      <c r="G32" s="2" t="s">
        <v>771</v>
      </c>
      <c r="H32" s="2" t="s">
        <v>28</v>
      </c>
      <c r="I32" s="6" t="s">
        <v>2348</v>
      </c>
      <c r="J32" s="6" t="s">
        <v>2361</v>
      </c>
      <c r="K32" t="str">
        <f t="shared" si="0"/>
        <v>ANANYA KHAN</v>
      </c>
      <c r="L32" t="str">
        <f t="shared" si="1"/>
        <v>Sales</v>
      </c>
      <c r="M32">
        <f t="shared" si="2"/>
        <v>11</v>
      </c>
      <c r="N32" t="str">
        <f t="shared" si="3"/>
        <v>Ananya Khan-Sales</v>
      </c>
      <c r="O32" t="str">
        <f t="shared" si="4"/>
        <v>company.com</v>
      </c>
      <c r="P32" t="str">
        <f t="shared" si="5"/>
        <v>company.com</v>
      </c>
      <c r="Q32">
        <f t="shared" si="6"/>
        <v>2023</v>
      </c>
      <c r="R32">
        <f t="shared" ca="1" si="7"/>
        <v>2</v>
      </c>
      <c r="S32" t="str">
        <f t="shared" si="8"/>
        <v>False</v>
      </c>
    </row>
    <row r="33" spans="1:19" x14ac:dyDescent="0.4">
      <c r="A33" s="2" t="s">
        <v>802</v>
      </c>
      <c r="B33" s="2" t="s">
        <v>23</v>
      </c>
      <c r="C33" s="2" t="s">
        <v>31</v>
      </c>
      <c r="D33" s="2" t="s">
        <v>18</v>
      </c>
      <c r="E33" s="3">
        <v>45244</v>
      </c>
      <c r="F33" s="2" t="s">
        <v>26</v>
      </c>
      <c r="G33" s="2" t="s">
        <v>803</v>
      </c>
      <c r="H33" s="2" t="s">
        <v>64</v>
      </c>
      <c r="I33" s="6" t="s">
        <v>2350</v>
      </c>
      <c r="J33" s="6" t="s">
        <v>2362</v>
      </c>
      <c r="K33" t="str">
        <f t="shared" si="0"/>
        <v>VIVAAN MEHTA</v>
      </c>
      <c r="L33" t="str">
        <f t="shared" si="1"/>
        <v>Finance</v>
      </c>
      <c r="M33">
        <f t="shared" si="2"/>
        <v>12</v>
      </c>
      <c r="N33" t="str">
        <f t="shared" si="3"/>
        <v>Vivaan Mehta-Finance</v>
      </c>
      <c r="O33" t="str">
        <f t="shared" si="4"/>
        <v>company.com</v>
      </c>
      <c r="P33" t="str">
        <f t="shared" si="5"/>
        <v>company.com</v>
      </c>
      <c r="Q33">
        <f t="shared" si="6"/>
        <v>2023</v>
      </c>
      <c r="R33">
        <f t="shared" ca="1" si="7"/>
        <v>2</v>
      </c>
      <c r="S33" t="str">
        <f t="shared" si="8"/>
        <v>False</v>
      </c>
    </row>
    <row r="34" spans="1:19" x14ac:dyDescent="0.4">
      <c r="A34" s="2" t="s">
        <v>820</v>
      </c>
      <c r="B34" s="2" t="s">
        <v>153</v>
      </c>
      <c r="C34" s="2" t="s">
        <v>31</v>
      </c>
      <c r="D34" s="2" t="s">
        <v>44</v>
      </c>
      <c r="E34" s="3">
        <v>44987</v>
      </c>
      <c r="F34" s="2" t="s">
        <v>154</v>
      </c>
      <c r="G34" s="2" t="s">
        <v>821</v>
      </c>
      <c r="H34" s="2" t="s">
        <v>28</v>
      </c>
      <c r="I34" s="6" t="s">
        <v>2344</v>
      </c>
      <c r="J34" s="6" t="s">
        <v>2356</v>
      </c>
      <c r="K34" t="str">
        <f t="shared" si="0"/>
        <v>KABIR PATEL</v>
      </c>
      <c r="L34" t="str">
        <f t="shared" si="1"/>
        <v>Finance</v>
      </c>
      <c r="M34">
        <f t="shared" si="2"/>
        <v>11</v>
      </c>
      <c r="N34" t="str">
        <f t="shared" si="3"/>
        <v>Kabir Patel-Finance</v>
      </c>
      <c r="O34" t="str">
        <f t="shared" si="4"/>
        <v>company.com</v>
      </c>
      <c r="P34" t="str">
        <f t="shared" si="5"/>
        <v>company.com</v>
      </c>
      <c r="Q34">
        <f t="shared" si="6"/>
        <v>2023</v>
      </c>
      <c r="R34">
        <f t="shared" ca="1" si="7"/>
        <v>3</v>
      </c>
      <c r="S34" t="str">
        <f t="shared" si="8"/>
        <v>False</v>
      </c>
    </row>
    <row r="35" spans="1:19" x14ac:dyDescent="0.4">
      <c r="A35" s="2" t="s">
        <v>822</v>
      </c>
      <c r="B35" s="2" t="s">
        <v>561</v>
      </c>
      <c r="C35" s="2" t="s">
        <v>10</v>
      </c>
      <c r="D35" s="2" t="s">
        <v>49</v>
      </c>
      <c r="E35" s="3">
        <v>45174</v>
      </c>
      <c r="F35" s="2" t="s">
        <v>562</v>
      </c>
      <c r="G35" s="2" t="s">
        <v>823</v>
      </c>
      <c r="H35" s="2" t="s">
        <v>64</v>
      </c>
      <c r="I35" s="6" t="s">
        <v>2347</v>
      </c>
      <c r="J35" s="6" t="s">
        <v>2358</v>
      </c>
      <c r="K35" t="str">
        <f t="shared" si="0"/>
        <v>ARJUN DAS</v>
      </c>
      <c r="L35" t="str">
        <f t="shared" si="1"/>
        <v>It</v>
      </c>
      <c r="M35">
        <f t="shared" si="2"/>
        <v>9</v>
      </c>
      <c r="N35" t="str">
        <f t="shared" si="3"/>
        <v>Arjun Das-IT</v>
      </c>
      <c r="O35" t="str">
        <f t="shared" si="4"/>
        <v>company.com</v>
      </c>
      <c r="P35" t="str">
        <f t="shared" si="5"/>
        <v>company.com</v>
      </c>
      <c r="Q35">
        <f t="shared" si="6"/>
        <v>2023</v>
      </c>
      <c r="R35">
        <f t="shared" ca="1" si="7"/>
        <v>3</v>
      </c>
      <c r="S35" t="str">
        <f t="shared" si="8"/>
        <v>False</v>
      </c>
    </row>
    <row r="36" spans="1:19" x14ac:dyDescent="0.4">
      <c r="A36" s="2" t="s">
        <v>828</v>
      </c>
      <c r="B36" s="2" t="s">
        <v>125</v>
      </c>
      <c r="C36" s="2" t="s">
        <v>10</v>
      </c>
      <c r="D36" s="2" t="s">
        <v>25</v>
      </c>
      <c r="E36" s="3">
        <v>45048</v>
      </c>
      <c r="F36" s="2" t="s">
        <v>126</v>
      </c>
      <c r="G36" s="2" t="s">
        <v>829</v>
      </c>
      <c r="H36" s="2" t="s">
        <v>28</v>
      </c>
      <c r="I36" s="6" t="s">
        <v>2346</v>
      </c>
      <c r="J36" s="6" t="s">
        <v>2360</v>
      </c>
      <c r="K36" t="str">
        <f t="shared" si="0"/>
        <v>RIYA SHARMA</v>
      </c>
      <c r="L36" t="str">
        <f t="shared" si="1"/>
        <v>It</v>
      </c>
      <c r="M36">
        <f t="shared" si="2"/>
        <v>11</v>
      </c>
      <c r="N36" t="str">
        <f t="shared" si="3"/>
        <v>Riya Sharma-IT</v>
      </c>
      <c r="O36" t="str">
        <f t="shared" si="4"/>
        <v>company.com</v>
      </c>
      <c r="P36" t="str">
        <f t="shared" si="5"/>
        <v>company.com</v>
      </c>
      <c r="Q36">
        <f t="shared" si="6"/>
        <v>2023</v>
      </c>
      <c r="R36">
        <f t="shared" ca="1" si="7"/>
        <v>3</v>
      </c>
      <c r="S36" t="str">
        <f t="shared" si="8"/>
        <v>False</v>
      </c>
    </row>
    <row r="37" spans="1:19" x14ac:dyDescent="0.4">
      <c r="A37" s="2" t="s">
        <v>846</v>
      </c>
      <c r="B37" s="2" t="s">
        <v>255</v>
      </c>
      <c r="C37" s="2" t="s">
        <v>17</v>
      </c>
      <c r="D37" s="2" t="s">
        <v>11</v>
      </c>
      <c r="E37" s="3">
        <v>45094</v>
      </c>
      <c r="F37" s="2" t="s">
        <v>256</v>
      </c>
      <c r="G37" s="2" t="s">
        <v>847</v>
      </c>
      <c r="H37" s="2" t="s">
        <v>55</v>
      </c>
      <c r="I37" s="6" t="s">
        <v>2346</v>
      </c>
      <c r="J37" s="6" t="s">
        <v>2354</v>
      </c>
      <c r="K37" t="str">
        <f t="shared" si="0"/>
        <v>RIYA SINGH</v>
      </c>
      <c r="L37" t="str">
        <f t="shared" si="1"/>
        <v>Sales</v>
      </c>
      <c r="M37">
        <f t="shared" si="2"/>
        <v>10</v>
      </c>
      <c r="N37" t="str">
        <f t="shared" si="3"/>
        <v>Riya Singh-Sales</v>
      </c>
      <c r="O37" t="str">
        <f t="shared" si="4"/>
        <v>company.com</v>
      </c>
      <c r="P37" t="str">
        <f t="shared" si="5"/>
        <v>company.com</v>
      </c>
      <c r="Q37">
        <f t="shared" si="6"/>
        <v>2023</v>
      </c>
      <c r="R37">
        <f t="shared" ca="1" si="7"/>
        <v>3</v>
      </c>
      <c r="S37" t="str">
        <f t="shared" si="8"/>
        <v>False</v>
      </c>
    </row>
    <row r="38" spans="1:19" x14ac:dyDescent="0.4">
      <c r="A38" s="2" t="s">
        <v>864</v>
      </c>
      <c r="B38" s="2" t="s">
        <v>99</v>
      </c>
      <c r="C38" s="2" t="s">
        <v>17</v>
      </c>
      <c r="D38" s="2" t="s">
        <v>25</v>
      </c>
      <c r="E38" s="3">
        <v>45023</v>
      </c>
      <c r="F38" s="2" t="s">
        <v>100</v>
      </c>
      <c r="G38" s="2" t="s">
        <v>865</v>
      </c>
      <c r="H38" s="2" t="s">
        <v>55</v>
      </c>
      <c r="I38" s="6" t="s">
        <v>2343</v>
      </c>
      <c r="J38" s="6" t="s">
        <v>2354</v>
      </c>
      <c r="K38" t="str">
        <f t="shared" si="0"/>
        <v>DIYA SINGH</v>
      </c>
      <c r="L38" t="str">
        <f t="shared" si="1"/>
        <v>Sales</v>
      </c>
      <c r="M38">
        <f t="shared" si="2"/>
        <v>10</v>
      </c>
      <c r="N38" t="str">
        <f t="shared" si="3"/>
        <v>Diya Singh-Sales</v>
      </c>
      <c r="O38" t="str">
        <f t="shared" si="4"/>
        <v>company.com</v>
      </c>
      <c r="P38" t="str">
        <f t="shared" si="5"/>
        <v>company.com</v>
      </c>
      <c r="Q38">
        <f t="shared" si="6"/>
        <v>2023</v>
      </c>
      <c r="R38">
        <f t="shared" ca="1" si="7"/>
        <v>3</v>
      </c>
      <c r="S38" t="str">
        <f t="shared" si="8"/>
        <v>False</v>
      </c>
    </row>
    <row r="39" spans="1:19" x14ac:dyDescent="0.4">
      <c r="A39" s="2" t="s">
        <v>894</v>
      </c>
      <c r="B39" s="2" t="s">
        <v>489</v>
      </c>
      <c r="C39" s="2" t="s">
        <v>24</v>
      </c>
      <c r="D39" s="2" t="s">
        <v>25</v>
      </c>
      <c r="E39" s="3">
        <v>45152</v>
      </c>
      <c r="F39" s="2" t="s">
        <v>490</v>
      </c>
      <c r="G39" s="2" t="s">
        <v>895</v>
      </c>
      <c r="H39" s="2" t="s">
        <v>64</v>
      </c>
      <c r="I39" s="6" t="s">
        <v>2347</v>
      </c>
      <c r="J39" s="6" t="s">
        <v>2359</v>
      </c>
      <c r="K39" t="str">
        <f t="shared" si="0"/>
        <v>ARJUN REDDY</v>
      </c>
      <c r="L39" t="str">
        <f t="shared" si="1"/>
        <v>Marketing</v>
      </c>
      <c r="M39">
        <f t="shared" si="2"/>
        <v>11</v>
      </c>
      <c r="N39" t="str">
        <f t="shared" si="3"/>
        <v>Arjun Reddy-Marketing</v>
      </c>
      <c r="O39" t="str">
        <f t="shared" si="4"/>
        <v>company.com</v>
      </c>
      <c r="P39" t="str">
        <f t="shared" si="5"/>
        <v>company.com</v>
      </c>
      <c r="Q39">
        <f t="shared" si="6"/>
        <v>2023</v>
      </c>
      <c r="R39">
        <f t="shared" ca="1" si="7"/>
        <v>3</v>
      </c>
      <c r="S39" t="str">
        <f t="shared" si="8"/>
        <v>False</v>
      </c>
    </row>
    <row r="40" spans="1:19" x14ac:dyDescent="0.4">
      <c r="A40" s="2" t="s">
        <v>948</v>
      </c>
      <c r="B40" s="2" t="s">
        <v>303</v>
      </c>
      <c r="C40" s="2" t="s">
        <v>31</v>
      </c>
      <c r="D40" s="2" t="s">
        <v>44</v>
      </c>
      <c r="E40" s="3">
        <v>45262</v>
      </c>
      <c r="F40" s="2" t="s">
        <v>304</v>
      </c>
      <c r="G40" s="2" t="s">
        <v>949</v>
      </c>
      <c r="H40" s="2" t="s">
        <v>21</v>
      </c>
      <c r="I40" s="6" t="s">
        <v>2345</v>
      </c>
      <c r="J40" s="6" t="s">
        <v>2356</v>
      </c>
      <c r="K40" t="str">
        <f t="shared" si="0"/>
        <v>ISHA PATEL</v>
      </c>
      <c r="L40" t="str">
        <f t="shared" si="1"/>
        <v>Finance</v>
      </c>
      <c r="M40">
        <f t="shared" si="2"/>
        <v>10</v>
      </c>
      <c r="N40" t="str">
        <f t="shared" si="3"/>
        <v>Isha Patel-Finance</v>
      </c>
      <c r="O40" t="str">
        <f t="shared" si="4"/>
        <v>company.com</v>
      </c>
      <c r="P40" t="str">
        <f t="shared" si="5"/>
        <v>company.com</v>
      </c>
      <c r="Q40">
        <f t="shared" si="6"/>
        <v>2023</v>
      </c>
      <c r="R40">
        <f t="shared" ca="1" si="7"/>
        <v>2</v>
      </c>
      <c r="S40" t="str">
        <f t="shared" si="8"/>
        <v>False</v>
      </c>
    </row>
    <row r="41" spans="1:19" x14ac:dyDescent="0.4">
      <c r="A41" s="2" t="s">
        <v>1006</v>
      </c>
      <c r="B41" s="2" t="s">
        <v>831</v>
      </c>
      <c r="C41" s="2" t="s">
        <v>24</v>
      </c>
      <c r="D41" s="2" t="s">
        <v>44</v>
      </c>
      <c r="E41" s="3">
        <v>45262</v>
      </c>
      <c r="F41" s="2" t="s">
        <v>832</v>
      </c>
      <c r="G41" s="2" t="s">
        <v>1007</v>
      </c>
      <c r="H41" s="2" t="s">
        <v>14</v>
      </c>
      <c r="I41" s="6" t="s">
        <v>2343</v>
      </c>
      <c r="J41" s="6" t="s">
        <v>2360</v>
      </c>
      <c r="K41" t="str">
        <f t="shared" si="0"/>
        <v>DIYA SHARMA</v>
      </c>
      <c r="L41" t="str">
        <f t="shared" si="1"/>
        <v>Marketing</v>
      </c>
      <c r="M41">
        <f t="shared" si="2"/>
        <v>11</v>
      </c>
      <c r="N41" t="str">
        <f t="shared" si="3"/>
        <v>Diya Sharma-Marketing</v>
      </c>
      <c r="O41" t="str">
        <f t="shared" si="4"/>
        <v>company.com</v>
      </c>
      <c r="P41" t="str">
        <f t="shared" si="5"/>
        <v>company.com</v>
      </c>
      <c r="Q41">
        <f t="shared" si="6"/>
        <v>2023</v>
      </c>
      <c r="R41">
        <f t="shared" ca="1" si="7"/>
        <v>2</v>
      </c>
      <c r="S41" t="str">
        <f t="shared" si="8"/>
        <v>False</v>
      </c>
    </row>
    <row r="42" spans="1:19" x14ac:dyDescent="0.4">
      <c r="A42" s="2" t="s">
        <v>1076</v>
      </c>
      <c r="B42" s="2" t="s">
        <v>129</v>
      </c>
      <c r="C42" s="2" t="s">
        <v>87</v>
      </c>
      <c r="D42" s="2" t="s">
        <v>49</v>
      </c>
      <c r="E42" s="3">
        <v>45163</v>
      </c>
      <c r="F42" s="2" t="s">
        <v>130</v>
      </c>
      <c r="G42" s="2" t="s">
        <v>1077</v>
      </c>
      <c r="H42" s="2" t="s">
        <v>64</v>
      </c>
      <c r="I42" s="6" t="s">
        <v>2345</v>
      </c>
      <c r="J42" s="6" t="s">
        <v>2355</v>
      </c>
      <c r="K42" t="str">
        <f t="shared" si="0"/>
        <v>ISHA NAIR</v>
      </c>
      <c r="L42" t="str">
        <f t="shared" si="1"/>
        <v>Operations</v>
      </c>
      <c r="M42">
        <f t="shared" si="2"/>
        <v>9</v>
      </c>
      <c r="N42" t="str">
        <f t="shared" si="3"/>
        <v>Isha Nair-Operations</v>
      </c>
      <c r="O42" t="str">
        <f t="shared" si="4"/>
        <v>company.com</v>
      </c>
      <c r="P42" t="str">
        <f t="shared" si="5"/>
        <v>company.com</v>
      </c>
      <c r="Q42">
        <f t="shared" si="6"/>
        <v>2023</v>
      </c>
      <c r="R42">
        <f t="shared" ca="1" si="7"/>
        <v>3</v>
      </c>
      <c r="S42" t="str">
        <f t="shared" si="8"/>
        <v>False</v>
      </c>
    </row>
    <row r="43" spans="1:19" x14ac:dyDescent="0.4">
      <c r="A43" s="2" t="s">
        <v>1096</v>
      </c>
      <c r="B43" s="2" t="s">
        <v>251</v>
      </c>
      <c r="C43" s="2" t="s">
        <v>31</v>
      </c>
      <c r="D43" s="2" t="s">
        <v>44</v>
      </c>
      <c r="E43" s="3">
        <v>45274</v>
      </c>
      <c r="F43" s="2" t="s">
        <v>252</v>
      </c>
      <c r="G43" s="2" t="s">
        <v>1097</v>
      </c>
      <c r="H43" s="2" t="s">
        <v>55</v>
      </c>
      <c r="I43" s="6" t="s">
        <v>2351</v>
      </c>
      <c r="J43" s="6" t="s">
        <v>2362</v>
      </c>
      <c r="K43" t="str">
        <f t="shared" si="0"/>
        <v>ADITYA MEHTA</v>
      </c>
      <c r="L43" t="str">
        <f t="shared" si="1"/>
        <v>Finance</v>
      </c>
      <c r="M43">
        <f t="shared" si="2"/>
        <v>12</v>
      </c>
      <c r="N43" t="str">
        <f t="shared" si="3"/>
        <v>Aditya Mehta-Finance</v>
      </c>
      <c r="O43" t="str">
        <f t="shared" si="4"/>
        <v>company.com</v>
      </c>
      <c r="P43" t="str">
        <f t="shared" si="5"/>
        <v>company.com</v>
      </c>
      <c r="Q43">
        <f t="shared" si="6"/>
        <v>2023</v>
      </c>
      <c r="R43">
        <f t="shared" ca="1" si="7"/>
        <v>2</v>
      </c>
      <c r="S43" t="str">
        <f t="shared" si="8"/>
        <v>False</v>
      </c>
    </row>
    <row r="44" spans="1:19" x14ac:dyDescent="0.4">
      <c r="A44" s="2" t="s">
        <v>1114</v>
      </c>
      <c r="B44" s="2" t="s">
        <v>555</v>
      </c>
      <c r="C44" s="2" t="s">
        <v>31</v>
      </c>
      <c r="D44" s="2" t="s">
        <v>18</v>
      </c>
      <c r="E44" s="3">
        <v>45106</v>
      </c>
      <c r="F44" s="2" t="s">
        <v>556</v>
      </c>
      <c r="G44" s="2" t="s">
        <v>1115</v>
      </c>
      <c r="H44" s="2" t="s">
        <v>21</v>
      </c>
      <c r="I44" s="6" t="s">
        <v>2346</v>
      </c>
      <c r="J44" s="6" t="s">
        <v>2357</v>
      </c>
      <c r="K44" t="str">
        <f t="shared" si="0"/>
        <v>RIYA JOSHI</v>
      </c>
      <c r="L44" t="str">
        <f t="shared" si="1"/>
        <v>Finance</v>
      </c>
      <c r="M44">
        <f t="shared" si="2"/>
        <v>10</v>
      </c>
      <c r="N44" t="str">
        <f t="shared" si="3"/>
        <v>Riya Joshi-Finance</v>
      </c>
      <c r="O44" t="str">
        <f t="shared" si="4"/>
        <v>company.com</v>
      </c>
      <c r="P44" t="str">
        <f t="shared" si="5"/>
        <v>company.com</v>
      </c>
      <c r="Q44">
        <f t="shared" si="6"/>
        <v>2023</v>
      </c>
      <c r="R44">
        <f t="shared" ca="1" si="7"/>
        <v>3</v>
      </c>
      <c r="S44" t="str">
        <f t="shared" si="8"/>
        <v>False</v>
      </c>
    </row>
    <row r="45" spans="1:19" x14ac:dyDescent="0.4">
      <c r="A45" s="2" t="s">
        <v>1122</v>
      </c>
      <c r="B45" s="2" t="s">
        <v>1119</v>
      </c>
      <c r="C45" s="2" t="s">
        <v>10</v>
      </c>
      <c r="D45" s="2" t="s">
        <v>11</v>
      </c>
      <c r="E45" s="3">
        <v>45083</v>
      </c>
      <c r="F45" s="2" t="s">
        <v>1120</v>
      </c>
      <c r="G45" s="2" t="s">
        <v>1123</v>
      </c>
      <c r="H45" s="2" t="s">
        <v>28</v>
      </c>
      <c r="I45" s="6" t="s">
        <v>2345</v>
      </c>
      <c r="J45" s="6" t="s">
        <v>2357</v>
      </c>
      <c r="K45" t="str">
        <f t="shared" si="0"/>
        <v>ISHA JOSHI</v>
      </c>
      <c r="L45" t="str">
        <f t="shared" si="1"/>
        <v>It</v>
      </c>
      <c r="M45">
        <f t="shared" si="2"/>
        <v>10</v>
      </c>
      <c r="N45" t="str">
        <f t="shared" si="3"/>
        <v>Isha Joshi-IT</v>
      </c>
      <c r="O45" t="str">
        <f t="shared" si="4"/>
        <v>company.com</v>
      </c>
      <c r="P45" t="str">
        <f t="shared" si="5"/>
        <v>company.com</v>
      </c>
      <c r="Q45">
        <f t="shared" si="6"/>
        <v>2023</v>
      </c>
      <c r="R45">
        <f t="shared" ca="1" si="7"/>
        <v>3</v>
      </c>
      <c r="S45" t="str">
        <f t="shared" si="8"/>
        <v>False</v>
      </c>
    </row>
    <row r="46" spans="1:19" x14ac:dyDescent="0.4">
      <c r="A46" s="2" t="s">
        <v>1148</v>
      </c>
      <c r="B46" s="2" t="s">
        <v>61</v>
      </c>
      <c r="C46" s="2" t="s">
        <v>17</v>
      </c>
      <c r="D46" s="2" t="s">
        <v>49</v>
      </c>
      <c r="E46" s="3">
        <v>45045</v>
      </c>
      <c r="F46" s="2" t="s">
        <v>62</v>
      </c>
      <c r="G46" s="2" t="s">
        <v>1149</v>
      </c>
      <c r="H46" s="2" t="s">
        <v>21</v>
      </c>
      <c r="I46" s="6" t="s">
        <v>2348</v>
      </c>
      <c r="J46" s="6" t="s">
        <v>2357</v>
      </c>
      <c r="K46" t="str">
        <f t="shared" si="0"/>
        <v>ANANYA JOSHI</v>
      </c>
      <c r="L46" t="str">
        <f t="shared" si="1"/>
        <v>Sales</v>
      </c>
      <c r="M46">
        <f t="shared" si="2"/>
        <v>12</v>
      </c>
      <c r="N46" t="str">
        <f t="shared" si="3"/>
        <v>Ananya Joshi-Sales</v>
      </c>
      <c r="O46" t="str">
        <f t="shared" si="4"/>
        <v>company.com</v>
      </c>
      <c r="P46" t="str">
        <f t="shared" si="5"/>
        <v>company.com</v>
      </c>
      <c r="Q46">
        <f t="shared" si="6"/>
        <v>2023</v>
      </c>
      <c r="R46">
        <f t="shared" ca="1" si="7"/>
        <v>3</v>
      </c>
      <c r="S46" t="str">
        <f t="shared" si="8"/>
        <v>False</v>
      </c>
    </row>
    <row r="47" spans="1:19" x14ac:dyDescent="0.4">
      <c r="A47" s="2" t="s">
        <v>1154</v>
      </c>
      <c r="B47" s="2" t="s">
        <v>181</v>
      </c>
      <c r="C47" s="2" t="s">
        <v>24</v>
      </c>
      <c r="D47" s="2" t="s">
        <v>25</v>
      </c>
      <c r="E47" s="3">
        <v>45290</v>
      </c>
      <c r="F47" s="2" t="s">
        <v>182</v>
      </c>
      <c r="G47" s="2" t="s">
        <v>1155</v>
      </c>
      <c r="H47" s="2" t="s">
        <v>64</v>
      </c>
      <c r="I47" s="6" t="s">
        <v>2352</v>
      </c>
      <c r="J47" s="6" t="s">
        <v>2356</v>
      </c>
      <c r="K47" t="str">
        <f t="shared" si="0"/>
        <v>MEERA PATEL</v>
      </c>
      <c r="L47" t="str">
        <f t="shared" si="1"/>
        <v>Marketing</v>
      </c>
      <c r="M47">
        <f t="shared" si="2"/>
        <v>11</v>
      </c>
      <c r="N47" t="str">
        <f t="shared" si="3"/>
        <v>Meera Patel-Marketing</v>
      </c>
      <c r="O47" t="str">
        <f t="shared" si="4"/>
        <v>company.com</v>
      </c>
      <c r="P47" t="str">
        <f t="shared" si="5"/>
        <v>company.com</v>
      </c>
      <c r="Q47">
        <f t="shared" si="6"/>
        <v>2023</v>
      </c>
      <c r="R47">
        <f t="shared" ca="1" si="7"/>
        <v>2</v>
      </c>
      <c r="S47" t="str">
        <f t="shared" si="8"/>
        <v>False</v>
      </c>
    </row>
    <row r="48" spans="1:19" x14ac:dyDescent="0.4">
      <c r="A48" s="2" t="s">
        <v>1180</v>
      </c>
      <c r="B48" s="2" t="s">
        <v>555</v>
      </c>
      <c r="C48" s="2" t="s">
        <v>10</v>
      </c>
      <c r="D48" s="2" t="s">
        <v>25</v>
      </c>
      <c r="E48" s="3">
        <v>45261</v>
      </c>
      <c r="F48" s="2" t="s">
        <v>556</v>
      </c>
      <c r="G48" s="2" t="s">
        <v>1181</v>
      </c>
      <c r="H48" s="2" t="s">
        <v>64</v>
      </c>
      <c r="I48" s="6" t="s">
        <v>2346</v>
      </c>
      <c r="J48" s="6" t="s">
        <v>2357</v>
      </c>
      <c r="K48" t="str">
        <f t="shared" si="0"/>
        <v>RIYA JOSHI</v>
      </c>
      <c r="L48" t="str">
        <f t="shared" si="1"/>
        <v>It</v>
      </c>
      <c r="M48">
        <f t="shared" si="2"/>
        <v>10</v>
      </c>
      <c r="N48" t="str">
        <f t="shared" si="3"/>
        <v>Riya Joshi-IT</v>
      </c>
      <c r="O48" t="str">
        <f t="shared" si="4"/>
        <v>company.com</v>
      </c>
      <c r="P48" t="str">
        <f t="shared" si="5"/>
        <v>company.com</v>
      </c>
      <c r="Q48">
        <f t="shared" si="6"/>
        <v>2023</v>
      </c>
      <c r="R48">
        <f t="shared" ca="1" si="7"/>
        <v>2</v>
      </c>
      <c r="S48" t="str">
        <f t="shared" si="8"/>
        <v>False</v>
      </c>
    </row>
    <row r="49" spans="1:19" x14ac:dyDescent="0.4">
      <c r="A49" s="2" t="s">
        <v>1184</v>
      </c>
      <c r="B49" s="2" t="s">
        <v>95</v>
      </c>
      <c r="C49" s="2" t="s">
        <v>31</v>
      </c>
      <c r="D49" s="2" t="s">
        <v>18</v>
      </c>
      <c r="E49" s="3">
        <v>45145</v>
      </c>
      <c r="F49" s="2" t="s">
        <v>96</v>
      </c>
      <c r="G49" s="2" t="s">
        <v>1185</v>
      </c>
      <c r="H49" s="2" t="s">
        <v>21</v>
      </c>
      <c r="I49" s="6" t="s">
        <v>2352</v>
      </c>
      <c r="J49" s="6" t="s">
        <v>2360</v>
      </c>
      <c r="K49" t="str">
        <f t="shared" si="0"/>
        <v>MEERA SHARMA</v>
      </c>
      <c r="L49" t="str">
        <f t="shared" si="1"/>
        <v>Finance</v>
      </c>
      <c r="M49">
        <f t="shared" si="2"/>
        <v>12</v>
      </c>
      <c r="N49" t="str">
        <f t="shared" si="3"/>
        <v>Meera Sharma-Finance</v>
      </c>
      <c r="O49" t="str">
        <f t="shared" si="4"/>
        <v>company.com</v>
      </c>
      <c r="P49" t="str">
        <f t="shared" si="5"/>
        <v>company.com</v>
      </c>
      <c r="Q49">
        <f t="shared" si="6"/>
        <v>2023</v>
      </c>
      <c r="R49">
        <f t="shared" ca="1" si="7"/>
        <v>3</v>
      </c>
      <c r="S49" t="str">
        <f t="shared" si="8"/>
        <v>False</v>
      </c>
    </row>
    <row r="50" spans="1:19" x14ac:dyDescent="0.4">
      <c r="A50" s="2" t="s">
        <v>1192</v>
      </c>
      <c r="B50" s="2" t="s">
        <v>153</v>
      </c>
      <c r="C50" s="2" t="s">
        <v>17</v>
      </c>
      <c r="D50" s="2" t="s">
        <v>11</v>
      </c>
      <c r="E50" s="3">
        <v>44927</v>
      </c>
      <c r="F50" s="2" t="s">
        <v>154</v>
      </c>
      <c r="G50" s="2" t="s">
        <v>1193</v>
      </c>
      <c r="H50" s="2" t="s">
        <v>28</v>
      </c>
      <c r="I50" s="6" t="s">
        <v>2344</v>
      </c>
      <c r="J50" s="6" t="s">
        <v>2356</v>
      </c>
      <c r="K50" t="str">
        <f t="shared" si="0"/>
        <v>KABIR PATEL</v>
      </c>
      <c r="L50" t="str">
        <f t="shared" si="1"/>
        <v>Sales</v>
      </c>
      <c r="M50">
        <f t="shared" si="2"/>
        <v>11</v>
      </c>
      <c r="N50" t="str">
        <f t="shared" si="3"/>
        <v>Kabir Patel-Sales</v>
      </c>
      <c r="O50" t="str">
        <f t="shared" si="4"/>
        <v>company.com</v>
      </c>
      <c r="P50" t="str">
        <f t="shared" si="5"/>
        <v>company.com</v>
      </c>
      <c r="Q50">
        <f t="shared" si="6"/>
        <v>2023</v>
      </c>
      <c r="R50">
        <f t="shared" ca="1" si="7"/>
        <v>3</v>
      </c>
      <c r="S50" t="str">
        <f t="shared" si="8"/>
        <v>False</v>
      </c>
    </row>
    <row r="51" spans="1:19" x14ac:dyDescent="0.4">
      <c r="A51" s="2" t="s">
        <v>1210</v>
      </c>
      <c r="B51" s="2" t="s">
        <v>295</v>
      </c>
      <c r="C51" s="2" t="s">
        <v>53</v>
      </c>
      <c r="D51" s="2" t="s">
        <v>11</v>
      </c>
      <c r="E51" s="3">
        <v>45044</v>
      </c>
      <c r="F51" s="2" t="s">
        <v>296</v>
      </c>
      <c r="G51" s="2" t="s">
        <v>1211</v>
      </c>
      <c r="H51" s="2" t="s">
        <v>14</v>
      </c>
      <c r="I51" s="6" t="s">
        <v>2349</v>
      </c>
      <c r="J51" s="6" t="s">
        <v>2360</v>
      </c>
      <c r="K51" t="str">
        <f t="shared" si="0"/>
        <v>AARAV SHARMA</v>
      </c>
      <c r="L51" t="str">
        <f t="shared" si="1"/>
        <v>Hr</v>
      </c>
      <c r="M51">
        <f t="shared" si="2"/>
        <v>12</v>
      </c>
      <c r="N51" t="str">
        <f t="shared" si="3"/>
        <v>Aarav Sharma-HR</v>
      </c>
      <c r="O51" t="str">
        <f t="shared" si="4"/>
        <v>company.com</v>
      </c>
      <c r="P51" t="str">
        <f t="shared" si="5"/>
        <v>company.com</v>
      </c>
      <c r="Q51">
        <f t="shared" si="6"/>
        <v>2023</v>
      </c>
      <c r="R51">
        <f t="shared" ca="1" si="7"/>
        <v>3</v>
      </c>
      <c r="S51" t="str">
        <f t="shared" si="8"/>
        <v>False</v>
      </c>
    </row>
    <row r="52" spans="1:19" x14ac:dyDescent="0.4">
      <c r="A52" s="2" t="s">
        <v>69</v>
      </c>
      <c r="B52" s="2" t="s">
        <v>70</v>
      </c>
      <c r="C52" s="2" t="s">
        <v>10</v>
      </c>
      <c r="D52" s="2" t="s">
        <v>44</v>
      </c>
      <c r="E52" s="3">
        <v>44594</v>
      </c>
      <c r="F52" s="2" t="s">
        <v>71</v>
      </c>
      <c r="G52" s="2" t="s">
        <v>72</v>
      </c>
      <c r="H52" s="2" t="s">
        <v>64</v>
      </c>
      <c r="I52" s="6" t="s">
        <v>2350</v>
      </c>
      <c r="J52" s="6" t="s">
        <v>2361</v>
      </c>
      <c r="K52" t="str">
        <f t="shared" si="0"/>
        <v>VIVAAN KHAN</v>
      </c>
      <c r="L52" t="str">
        <f t="shared" si="1"/>
        <v>It</v>
      </c>
      <c r="M52">
        <f t="shared" si="2"/>
        <v>11</v>
      </c>
      <c r="N52" t="str">
        <f t="shared" si="3"/>
        <v>Vivaan Khan-IT</v>
      </c>
      <c r="O52" t="str">
        <f t="shared" si="4"/>
        <v>company.com</v>
      </c>
      <c r="P52" t="str">
        <f t="shared" si="5"/>
        <v>company.com</v>
      </c>
      <c r="Q52">
        <f t="shared" si="6"/>
        <v>2022</v>
      </c>
      <c r="R52">
        <f t="shared" ca="1" si="7"/>
        <v>4</v>
      </c>
      <c r="S52" t="str">
        <f t="shared" si="8"/>
        <v>False</v>
      </c>
    </row>
    <row r="53" spans="1:19" x14ac:dyDescent="0.4">
      <c r="A53" s="2" t="s">
        <v>152</v>
      </c>
      <c r="B53" s="2" t="s">
        <v>153</v>
      </c>
      <c r="C53" s="2" t="s">
        <v>87</v>
      </c>
      <c r="D53" s="2" t="s">
        <v>49</v>
      </c>
      <c r="E53" s="3">
        <v>44624</v>
      </c>
      <c r="F53" s="2" t="s">
        <v>154</v>
      </c>
      <c r="G53" s="2" t="s">
        <v>155</v>
      </c>
      <c r="H53" s="2" t="s">
        <v>28</v>
      </c>
      <c r="I53" s="6" t="s">
        <v>2344</v>
      </c>
      <c r="J53" s="6" t="s">
        <v>2356</v>
      </c>
      <c r="K53" t="str">
        <f t="shared" si="0"/>
        <v>KABIR PATEL</v>
      </c>
      <c r="L53" t="str">
        <f t="shared" si="1"/>
        <v>Operations</v>
      </c>
      <c r="M53">
        <f t="shared" si="2"/>
        <v>11</v>
      </c>
      <c r="N53" t="str">
        <f t="shared" si="3"/>
        <v>Kabir Patel-Operations</v>
      </c>
      <c r="O53" t="str">
        <f t="shared" si="4"/>
        <v>company.com</v>
      </c>
      <c r="P53" t="str">
        <f t="shared" si="5"/>
        <v>company.com</v>
      </c>
      <c r="Q53">
        <f t="shared" si="6"/>
        <v>2022</v>
      </c>
      <c r="R53">
        <f t="shared" ca="1" si="7"/>
        <v>4</v>
      </c>
      <c r="S53" t="str">
        <f t="shared" si="8"/>
        <v>False</v>
      </c>
    </row>
    <row r="54" spans="1:19" x14ac:dyDescent="0.4">
      <c r="A54" s="2" t="s">
        <v>170</v>
      </c>
      <c r="B54" s="2" t="s">
        <v>153</v>
      </c>
      <c r="C54" s="2" t="s">
        <v>24</v>
      </c>
      <c r="D54" s="2" t="s">
        <v>44</v>
      </c>
      <c r="E54" s="3">
        <v>44680</v>
      </c>
      <c r="F54" s="2" t="s">
        <v>154</v>
      </c>
      <c r="G54" s="2" t="s">
        <v>171</v>
      </c>
      <c r="H54" s="2" t="s">
        <v>14</v>
      </c>
      <c r="I54" s="6" t="s">
        <v>2344</v>
      </c>
      <c r="J54" s="6" t="s">
        <v>2356</v>
      </c>
      <c r="K54" t="str">
        <f t="shared" si="0"/>
        <v>KABIR PATEL</v>
      </c>
      <c r="L54" t="str">
        <f t="shared" si="1"/>
        <v>Marketing</v>
      </c>
      <c r="M54">
        <f t="shared" si="2"/>
        <v>11</v>
      </c>
      <c r="N54" t="str">
        <f t="shared" si="3"/>
        <v>Kabir Patel-Marketing</v>
      </c>
      <c r="O54" t="str">
        <f t="shared" si="4"/>
        <v>company.com</v>
      </c>
      <c r="P54" t="str">
        <f t="shared" si="5"/>
        <v>company.com</v>
      </c>
      <c r="Q54">
        <f t="shared" si="6"/>
        <v>2022</v>
      </c>
      <c r="R54">
        <f t="shared" ca="1" si="7"/>
        <v>4</v>
      </c>
      <c r="S54" t="str">
        <f t="shared" si="8"/>
        <v>False</v>
      </c>
    </row>
    <row r="55" spans="1:19" x14ac:dyDescent="0.4">
      <c r="A55" s="2" t="s">
        <v>244</v>
      </c>
      <c r="B55" s="2" t="s">
        <v>141</v>
      </c>
      <c r="C55" s="2" t="s">
        <v>17</v>
      </c>
      <c r="D55" s="2" t="s">
        <v>49</v>
      </c>
      <c r="E55" s="3">
        <v>44571</v>
      </c>
      <c r="F55" s="2" t="s">
        <v>142</v>
      </c>
      <c r="G55" s="2" t="s">
        <v>245</v>
      </c>
      <c r="H55" s="2" t="s">
        <v>55</v>
      </c>
      <c r="I55" s="6" t="s">
        <v>2352</v>
      </c>
      <c r="J55" s="6" t="s">
        <v>2358</v>
      </c>
      <c r="K55" t="str">
        <f t="shared" si="0"/>
        <v>MEERA DAS</v>
      </c>
      <c r="L55" t="str">
        <f t="shared" si="1"/>
        <v>Sales</v>
      </c>
      <c r="M55">
        <f t="shared" si="2"/>
        <v>9</v>
      </c>
      <c r="N55" t="str">
        <f t="shared" si="3"/>
        <v>Meera Das-Sales</v>
      </c>
      <c r="O55" t="str">
        <f t="shared" si="4"/>
        <v>company.com</v>
      </c>
      <c r="P55" t="str">
        <f t="shared" si="5"/>
        <v>company.com</v>
      </c>
      <c r="Q55">
        <f t="shared" si="6"/>
        <v>2022</v>
      </c>
      <c r="R55">
        <f t="shared" ca="1" si="7"/>
        <v>4</v>
      </c>
      <c r="S55" t="str">
        <f t="shared" si="8"/>
        <v>False</v>
      </c>
    </row>
    <row r="56" spans="1:19" x14ac:dyDescent="0.4">
      <c r="A56" s="2" t="s">
        <v>250</v>
      </c>
      <c r="B56" s="2" t="s">
        <v>251</v>
      </c>
      <c r="C56" s="2" t="s">
        <v>17</v>
      </c>
      <c r="D56" s="2" t="s">
        <v>11</v>
      </c>
      <c r="E56" s="3">
        <v>44657</v>
      </c>
      <c r="F56" s="2" t="s">
        <v>252</v>
      </c>
      <c r="G56" s="2" t="s">
        <v>253</v>
      </c>
      <c r="H56" s="2" t="s">
        <v>28</v>
      </c>
      <c r="I56" s="6" t="s">
        <v>2351</v>
      </c>
      <c r="J56" s="6" t="s">
        <v>2362</v>
      </c>
      <c r="K56" t="str">
        <f t="shared" si="0"/>
        <v>ADITYA MEHTA</v>
      </c>
      <c r="L56" t="str">
        <f t="shared" si="1"/>
        <v>Sales</v>
      </c>
      <c r="M56">
        <f t="shared" si="2"/>
        <v>12</v>
      </c>
      <c r="N56" t="str">
        <f t="shared" si="3"/>
        <v>Aditya Mehta-Sales</v>
      </c>
      <c r="O56" t="str">
        <f t="shared" si="4"/>
        <v>company.com</v>
      </c>
      <c r="P56" t="str">
        <f t="shared" si="5"/>
        <v>company.com</v>
      </c>
      <c r="Q56">
        <f t="shared" si="6"/>
        <v>2022</v>
      </c>
      <c r="R56">
        <f t="shared" ca="1" si="7"/>
        <v>4</v>
      </c>
      <c r="S56" t="str">
        <f t="shared" si="8"/>
        <v>False</v>
      </c>
    </row>
    <row r="57" spans="1:19" x14ac:dyDescent="0.4">
      <c r="A57" s="2" t="s">
        <v>286</v>
      </c>
      <c r="B57" s="2" t="s">
        <v>287</v>
      </c>
      <c r="C57" s="2" t="s">
        <v>24</v>
      </c>
      <c r="D57" s="2" t="s">
        <v>49</v>
      </c>
      <c r="E57" s="3">
        <v>44746</v>
      </c>
      <c r="F57" s="2" t="s">
        <v>288</v>
      </c>
      <c r="G57" s="2" t="s">
        <v>289</v>
      </c>
      <c r="H57" s="2" t="s">
        <v>64</v>
      </c>
      <c r="I57" s="6" t="s">
        <v>2352</v>
      </c>
      <c r="J57" s="6" t="s">
        <v>2354</v>
      </c>
      <c r="K57" t="str">
        <f t="shared" si="0"/>
        <v>MEERA SINGH</v>
      </c>
      <c r="L57" t="str">
        <f t="shared" si="1"/>
        <v>Marketing</v>
      </c>
      <c r="M57">
        <f t="shared" si="2"/>
        <v>11</v>
      </c>
      <c r="N57" t="str">
        <f t="shared" si="3"/>
        <v>Meera Singh-Marketing</v>
      </c>
      <c r="O57" t="str">
        <f t="shared" si="4"/>
        <v>company.com</v>
      </c>
      <c r="P57" t="str">
        <f t="shared" si="5"/>
        <v>company.com</v>
      </c>
      <c r="Q57">
        <f t="shared" si="6"/>
        <v>2022</v>
      </c>
      <c r="R57">
        <f t="shared" ca="1" si="7"/>
        <v>4</v>
      </c>
      <c r="S57" t="str">
        <f t="shared" si="8"/>
        <v>False</v>
      </c>
    </row>
    <row r="58" spans="1:19" x14ac:dyDescent="0.4">
      <c r="A58" s="2" t="s">
        <v>302</v>
      </c>
      <c r="B58" s="2" t="s">
        <v>303</v>
      </c>
      <c r="C58" s="2" t="s">
        <v>87</v>
      </c>
      <c r="D58" s="2" t="s">
        <v>25</v>
      </c>
      <c r="E58" s="3">
        <v>44814</v>
      </c>
      <c r="F58" s="2" t="s">
        <v>304</v>
      </c>
      <c r="G58" s="2" t="s">
        <v>305</v>
      </c>
      <c r="H58" s="2" t="s">
        <v>28</v>
      </c>
      <c r="I58" s="6" t="s">
        <v>2345</v>
      </c>
      <c r="J58" s="6" t="s">
        <v>2356</v>
      </c>
      <c r="K58" t="str">
        <f t="shared" si="0"/>
        <v>ISHA PATEL</v>
      </c>
      <c r="L58" t="str">
        <f t="shared" si="1"/>
        <v>Operations</v>
      </c>
      <c r="M58">
        <f t="shared" si="2"/>
        <v>10</v>
      </c>
      <c r="N58" t="str">
        <f t="shared" si="3"/>
        <v>Isha Patel-Operations</v>
      </c>
      <c r="O58" t="str">
        <f t="shared" si="4"/>
        <v>company.com</v>
      </c>
      <c r="P58" t="str">
        <f t="shared" si="5"/>
        <v>company.com</v>
      </c>
      <c r="Q58">
        <f t="shared" si="6"/>
        <v>2022</v>
      </c>
      <c r="R58">
        <f t="shared" ca="1" si="7"/>
        <v>4</v>
      </c>
      <c r="S58" t="str">
        <f t="shared" si="8"/>
        <v>False</v>
      </c>
    </row>
    <row r="59" spans="1:19" x14ac:dyDescent="0.4">
      <c r="A59" s="2" t="s">
        <v>310</v>
      </c>
      <c r="B59" s="2" t="s">
        <v>165</v>
      </c>
      <c r="C59" s="2" t="s">
        <v>87</v>
      </c>
      <c r="D59" s="2" t="s">
        <v>18</v>
      </c>
      <c r="E59" s="3">
        <v>44812</v>
      </c>
      <c r="F59" s="2" t="s">
        <v>166</v>
      </c>
      <c r="G59" s="2" t="s">
        <v>311</v>
      </c>
      <c r="H59" s="2" t="s">
        <v>64</v>
      </c>
      <c r="I59" s="6" t="s">
        <v>2351</v>
      </c>
      <c r="J59" s="6" t="s">
        <v>2358</v>
      </c>
      <c r="K59" t="str">
        <f t="shared" si="0"/>
        <v>ADITYA DAS</v>
      </c>
      <c r="L59" t="str">
        <f t="shared" si="1"/>
        <v>Operations</v>
      </c>
      <c r="M59">
        <f t="shared" si="2"/>
        <v>10</v>
      </c>
      <c r="N59" t="str">
        <f t="shared" si="3"/>
        <v>Aditya Das-Operations</v>
      </c>
      <c r="O59" t="str">
        <f t="shared" si="4"/>
        <v>company.com</v>
      </c>
      <c r="P59" t="str">
        <f t="shared" si="5"/>
        <v>company.com</v>
      </c>
      <c r="Q59">
        <f t="shared" si="6"/>
        <v>2022</v>
      </c>
      <c r="R59">
        <f t="shared" ca="1" si="7"/>
        <v>4</v>
      </c>
      <c r="S59" t="str">
        <f t="shared" si="8"/>
        <v>False</v>
      </c>
    </row>
    <row r="60" spans="1:19" x14ac:dyDescent="0.4">
      <c r="A60" s="2" t="s">
        <v>400</v>
      </c>
      <c r="B60" s="2" t="s">
        <v>401</v>
      </c>
      <c r="C60" s="2" t="s">
        <v>24</v>
      </c>
      <c r="D60" s="2" t="s">
        <v>49</v>
      </c>
      <c r="E60" s="3">
        <v>44611</v>
      </c>
      <c r="F60" s="2" t="s">
        <v>402</v>
      </c>
      <c r="G60" s="2" t="s">
        <v>403</v>
      </c>
      <c r="H60" s="2" t="s">
        <v>28</v>
      </c>
      <c r="I60" s="6" t="s">
        <v>2352</v>
      </c>
      <c r="J60" s="6" t="s">
        <v>2355</v>
      </c>
      <c r="K60" t="str">
        <f t="shared" si="0"/>
        <v>MEERA NAIR</v>
      </c>
      <c r="L60" t="str">
        <f t="shared" si="1"/>
        <v>Marketing</v>
      </c>
      <c r="M60">
        <f t="shared" si="2"/>
        <v>10</v>
      </c>
      <c r="N60" t="str">
        <f t="shared" si="3"/>
        <v>Meera Nair-Marketing</v>
      </c>
      <c r="O60" t="str">
        <f t="shared" si="4"/>
        <v>company.com</v>
      </c>
      <c r="P60" t="str">
        <f t="shared" si="5"/>
        <v>company.com</v>
      </c>
      <c r="Q60">
        <f t="shared" si="6"/>
        <v>2022</v>
      </c>
      <c r="R60">
        <f t="shared" ca="1" si="7"/>
        <v>4</v>
      </c>
      <c r="S60" t="str">
        <f t="shared" si="8"/>
        <v>False</v>
      </c>
    </row>
    <row r="61" spans="1:19" x14ac:dyDescent="0.4">
      <c r="A61" s="2" t="s">
        <v>408</v>
      </c>
      <c r="B61" s="2" t="s">
        <v>187</v>
      </c>
      <c r="C61" s="2" t="s">
        <v>31</v>
      </c>
      <c r="D61" s="2" t="s">
        <v>49</v>
      </c>
      <c r="E61" s="3">
        <v>44722</v>
      </c>
      <c r="F61" s="2" t="s">
        <v>188</v>
      </c>
      <c r="G61" s="2" t="s">
        <v>409</v>
      </c>
      <c r="H61" s="2" t="s">
        <v>28</v>
      </c>
      <c r="I61" s="6" t="s">
        <v>2349</v>
      </c>
      <c r="J61" s="6" t="s">
        <v>2359</v>
      </c>
      <c r="K61" t="str">
        <f t="shared" si="0"/>
        <v>AARAV REDDY</v>
      </c>
      <c r="L61" t="str">
        <f t="shared" si="1"/>
        <v>Finance</v>
      </c>
      <c r="M61">
        <f t="shared" si="2"/>
        <v>11</v>
      </c>
      <c r="N61" t="str">
        <f t="shared" si="3"/>
        <v>Aarav Reddy-Finance</v>
      </c>
      <c r="O61" t="str">
        <f t="shared" si="4"/>
        <v>company.com</v>
      </c>
      <c r="P61" t="str">
        <f t="shared" si="5"/>
        <v>company.com</v>
      </c>
      <c r="Q61">
        <f t="shared" si="6"/>
        <v>2022</v>
      </c>
      <c r="R61">
        <f t="shared" ca="1" si="7"/>
        <v>4</v>
      </c>
      <c r="S61" t="str">
        <f t="shared" si="8"/>
        <v>False</v>
      </c>
    </row>
    <row r="62" spans="1:19" x14ac:dyDescent="0.4">
      <c r="A62" s="2" t="s">
        <v>426</v>
      </c>
      <c r="B62" s="2" t="s">
        <v>209</v>
      </c>
      <c r="C62" s="2" t="s">
        <v>17</v>
      </c>
      <c r="D62" s="2" t="s">
        <v>49</v>
      </c>
      <c r="E62" s="3">
        <v>44908</v>
      </c>
      <c r="F62" s="2" t="s">
        <v>210</v>
      </c>
      <c r="G62" s="2" t="s">
        <v>427</v>
      </c>
      <c r="H62" s="2" t="s">
        <v>55</v>
      </c>
      <c r="I62" s="6" t="s">
        <v>2349</v>
      </c>
      <c r="J62" s="6" t="s">
        <v>2356</v>
      </c>
      <c r="K62" t="str">
        <f t="shared" si="0"/>
        <v>AARAV PATEL</v>
      </c>
      <c r="L62" t="str">
        <f t="shared" si="1"/>
        <v>Sales</v>
      </c>
      <c r="M62">
        <f t="shared" si="2"/>
        <v>11</v>
      </c>
      <c r="N62" t="str">
        <f t="shared" si="3"/>
        <v>Aarav Patel-Sales</v>
      </c>
      <c r="O62" t="str">
        <f t="shared" si="4"/>
        <v>company.com</v>
      </c>
      <c r="P62" t="str">
        <f t="shared" si="5"/>
        <v>company.com</v>
      </c>
      <c r="Q62">
        <f t="shared" si="6"/>
        <v>2022</v>
      </c>
      <c r="R62">
        <f t="shared" ca="1" si="7"/>
        <v>3</v>
      </c>
      <c r="S62" t="str">
        <f t="shared" si="8"/>
        <v>False</v>
      </c>
    </row>
    <row r="63" spans="1:19" x14ac:dyDescent="0.4">
      <c r="A63" s="2" t="s">
        <v>430</v>
      </c>
      <c r="B63" s="2" t="s">
        <v>129</v>
      </c>
      <c r="C63" s="2" t="s">
        <v>87</v>
      </c>
      <c r="D63" s="2" t="s">
        <v>49</v>
      </c>
      <c r="E63" s="3">
        <v>44867</v>
      </c>
      <c r="F63" s="2" t="s">
        <v>130</v>
      </c>
      <c r="G63" s="2" t="s">
        <v>431</v>
      </c>
      <c r="H63" s="2" t="s">
        <v>64</v>
      </c>
      <c r="I63" s="6" t="s">
        <v>2345</v>
      </c>
      <c r="J63" s="6" t="s">
        <v>2355</v>
      </c>
      <c r="K63" t="str">
        <f t="shared" si="0"/>
        <v>ISHA NAIR</v>
      </c>
      <c r="L63" t="str">
        <f t="shared" si="1"/>
        <v>Operations</v>
      </c>
      <c r="M63">
        <f t="shared" si="2"/>
        <v>9</v>
      </c>
      <c r="N63" t="str">
        <f t="shared" si="3"/>
        <v>Isha Nair-Operations</v>
      </c>
      <c r="O63" t="str">
        <f t="shared" si="4"/>
        <v>company.com</v>
      </c>
      <c r="P63" t="str">
        <f t="shared" si="5"/>
        <v>company.com</v>
      </c>
      <c r="Q63">
        <f t="shared" si="6"/>
        <v>2022</v>
      </c>
      <c r="R63">
        <f t="shared" ca="1" si="7"/>
        <v>3</v>
      </c>
      <c r="S63" t="str">
        <f t="shared" si="8"/>
        <v>False</v>
      </c>
    </row>
    <row r="64" spans="1:19" x14ac:dyDescent="0.4">
      <c r="A64" s="2" t="s">
        <v>446</v>
      </c>
      <c r="B64" s="2" t="s">
        <v>385</v>
      </c>
      <c r="C64" s="2" t="s">
        <v>17</v>
      </c>
      <c r="D64" s="2" t="s">
        <v>44</v>
      </c>
      <c r="E64" s="3">
        <v>44897</v>
      </c>
      <c r="F64" s="2" t="s">
        <v>386</v>
      </c>
      <c r="G64" s="2" t="s">
        <v>447</v>
      </c>
      <c r="H64" s="2" t="s">
        <v>28</v>
      </c>
      <c r="I64" s="6" t="s">
        <v>2343</v>
      </c>
      <c r="J64" s="6" t="s">
        <v>2355</v>
      </c>
      <c r="K64" t="str">
        <f t="shared" si="0"/>
        <v>DIYA NAIR</v>
      </c>
      <c r="L64" t="str">
        <f t="shared" si="1"/>
        <v>Sales</v>
      </c>
      <c r="M64">
        <f t="shared" si="2"/>
        <v>9</v>
      </c>
      <c r="N64" t="str">
        <f t="shared" si="3"/>
        <v>Diya Nair-Sales</v>
      </c>
      <c r="O64" t="str">
        <f t="shared" si="4"/>
        <v>company.com</v>
      </c>
      <c r="P64" t="str">
        <f t="shared" si="5"/>
        <v>company.com</v>
      </c>
      <c r="Q64">
        <f t="shared" si="6"/>
        <v>2022</v>
      </c>
      <c r="R64">
        <f t="shared" ca="1" si="7"/>
        <v>3</v>
      </c>
      <c r="S64" t="str">
        <f t="shared" si="8"/>
        <v>False</v>
      </c>
    </row>
    <row r="65" spans="1:19" x14ac:dyDescent="0.4">
      <c r="A65" s="2" t="s">
        <v>464</v>
      </c>
      <c r="B65" s="2" t="s">
        <v>385</v>
      </c>
      <c r="C65" s="2" t="s">
        <v>24</v>
      </c>
      <c r="D65" s="2" t="s">
        <v>49</v>
      </c>
      <c r="E65" s="3">
        <v>44900</v>
      </c>
      <c r="F65" s="2" t="s">
        <v>386</v>
      </c>
      <c r="G65" s="2" t="s">
        <v>465</v>
      </c>
      <c r="H65" s="2" t="s">
        <v>14</v>
      </c>
      <c r="I65" s="6" t="s">
        <v>2343</v>
      </c>
      <c r="J65" s="6" t="s">
        <v>2355</v>
      </c>
      <c r="K65" t="str">
        <f t="shared" si="0"/>
        <v>DIYA NAIR</v>
      </c>
      <c r="L65" t="str">
        <f t="shared" si="1"/>
        <v>Marketing</v>
      </c>
      <c r="M65">
        <f t="shared" si="2"/>
        <v>9</v>
      </c>
      <c r="N65" t="str">
        <f t="shared" si="3"/>
        <v>Diya Nair-Marketing</v>
      </c>
      <c r="O65" t="str">
        <f t="shared" si="4"/>
        <v>company.com</v>
      </c>
      <c r="P65" t="str">
        <f t="shared" si="5"/>
        <v>company.com</v>
      </c>
      <c r="Q65">
        <f t="shared" si="6"/>
        <v>2022</v>
      </c>
      <c r="R65">
        <f t="shared" ca="1" si="7"/>
        <v>3</v>
      </c>
      <c r="S65" t="str">
        <f t="shared" si="8"/>
        <v>False</v>
      </c>
    </row>
    <row r="66" spans="1:19" x14ac:dyDescent="0.4">
      <c r="A66" s="2" t="s">
        <v>472</v>
      </c>
      <c r="B66" s="2" t="s">
        <v>473</v>
      </c>
      <c r="C66" s="2" t="s">
        <v>10</v>
      </c>
      <c r="D66" s="2" t="s">
        <v>11</v>
      </c>
      <c r="E66" s="3">
        <v>44736</v>
      </c>
      <c r="F66" s="2" t="s">
        <v>474</v>
      </c>
      <c r="G66" s="2" t="s">
        <v>475</v>
      </c>
      <c r="H66" s="2" t="s">
        <v>14</v>
      </c>
      <c r="I66" s="6" t="s">
        <v>2352</v>
      </c>
      <c r="J66" s="6" t="s">
        <v>2361</v>
      </c>
      <c r="K66" t="str">
        <f t="shared" si="0"/>
        <v>MEERA KHAN</v>
      </c>
      <c r="L66" t="str">
        <f t="shared" si="1"/>
        <v>It</v>
      </c>
      <c r="M66">
        <f t="shared" si="2"/>
        <v>10</v>
      </c>
      <c r="N66" t="str">
        <f t="shared" si="3"/>
        <v>Meera Khan-IT</v>
      </c>
      <c r="O66" t="str">
        <f t="shared" si="4"/>
        <v>company.com</v>
      </c>
      <c r="P66" t="str">
        <f t="shared" si="5"/>
        <v>company.com</v>
      </c>
      <c r="Q66">
        <f t="shared" si="6"/>
        <v>2022</v>
      </c>
      <c r="R66">
        <f t="shared" ca="1" si="7"/>
        <v>4</v>
      </c>
      <c r="S66" t="str">
        <f t="shared" si="8"/>
        <v>False</v>
      </c>
    </row>
    <row r="67" spans="1:19" x14ac:dyDescent="0.4">
      <c r="A67" s="2" t="s">
        <v>480</v>
      </c>
      <c r="B67" s="2" t="s">
        <v>213</v>
      </c>
      <c r="C67" s="2" t="s">
        <v>17</v>
      </c>
      <c r="D67" s="2" t="s">
        <v>18</v>
      </c>
      <c r="E67" s="3">
        <v>44903</v>
      </c>
      <c r="F67" s="2" t="s">
        <v>214</v>
      </c>
      <c r="G67" s="2" t="s">
        <v>481</v>
      </c>
      <c r="H67" s="2" t="s">
        <v>21</v>
      </c>
      <c r="I67" s="6" t="s">
        <v>2350</v>
      </c>
      <c r="J67" s="6" t="s">
        <v>2356</v>
      </c>
      <c r="K67" t="str">
        <f t="shared" ref="K67:K130" si="9">UPPER(B67)</f>
        <v>VIVAAN PATEL</v>
      </c>
      <c r="L67" t="str">
        <f t="shared" ref="L67:L130" si="10">PROPER(C67)</f>
        <v>Sales</v>
      </c>
      <c r="M67">
        <f t="shared" ref="M67:M130" si="11">LEN(B67)</f>
        <v>12</v>
      </c>
      <c r="N67" t="str">
        <f t="shared" ref="N67:N130" si="12">_xlfn.CONCAT(B67,"-",C67)</f>
        <v>Vivaan Patel-Sales</v>
      </c>
      <c r="O67" t="str">
        <f t="shared" ref="O67:O130" si="13">RIGHT(F67,11)</f>
        <v>company.com</v>
      </c>
      <c r="P67" t="str">
        <f t="shared" ref="P67:P130" si="14">MID(F67,FIND("@",F67)+1,50)</f>
        <v>company.com</v>
      </c>
      <c r="Q67">
        <f t="shared" ref="Q67:Q130" si="15">YEAR(E67)</f>
        <v>2022</v>
      </c>
      <c r="R67">
        <f t="shared" ref="R67:R130" ca="1" si="16">DATEDIF(E67,TODAY(),"y")</f>
        <v>3</v>
      </c>
      <c r="S67" t="str">
        <f t="shared" ref="S67:S130" si="17">IF(YEAR(E67)&lt;2020,"True","False")</f>
        <v>False</v>
      </c>
    </row>
    <row r="68" spans="1:19" x14ac:dyDescent="0.4">
      <c r="A68" s="2" t="s">
        <v>494</v>
      </c>
      <c r="B68" s="2" t="s">
        <v>43</v>
      </c>
      <c r="C68" s="2" t="s">
        <v>17</v>
      </c>
      <c r="D68" s="2" t="s">
        <v>44</v>
      </c>
      <c r="E68" s="3">
        <v>44762</v>
      </c>
      <c r="F68" s="2" t="s">
        <v>45</v>
      </c>
      <c r="G68" s="2" t="s">
        <v>495</v>
      </c>
      <c r="H68" s="2" t="s">
        <v>28</v>
      </c>
      <c r="I68" s="6" t="s">
        <v>2348</v>
      </c>
      <c r="J68" s="6" t="s">
        <v>2362</v>
      </c>
      <c r="K68" t="str">
        <f t="shared" si="9"/>
        <v>ANANYA MEHTA</v>
      </c>
      <c r="L68" t="str">
        <f t="shared" si="10"/>
        <v>Sales</v>
      </c>
      <c r="M68">
        <f t="shared" si="11"/>
        <v>12</v>
      </c>
      <c r="N68" t="str">
        <f t="shared" si="12"/>
        <v>Ananya Mehta-Sales</v>
      </c>
      <c r="O68" t="str">
        <f t="shared" si="13"/>
        <v>company.com</v>
      </c>
      <c r="P68" t="str">
        <f t="shared" si="14"/>
        <v>company.com</v>
      </c>
      <c r="Q68">
        <f t="shared" si="15"/>
        <v>2022</v>
      </c>
      <c r="R68">
        <f t="shared" ca="1" si="16"/>
        <v>4</v>
      </c>
      <c r="S68" t="str">
        <f t="shared" si="17"/>
        <v>False</v>
      </c>
    </row>
    <row r="69" spans="1:19" x14ac:dyDescent="0.4">
      <c r="A69" s="2" t="s">
        <v>504</v>
      </c>
      <c r="B69" s="2" t="s">
        <v>443</v>
      </c>
      <c r="C69" s="2" t="s">
        <v>87</v>
      </c>
      <c r="D69" s="2" t="s">
        <v>11</v>
      </c>
      <c r="E69" s="3">
        <v>44897</v>
      </c>
      <c r="F69" s="2" t="s">
        <v>444</v>
      </c>
      <c r="G69" s="2" t="s">
        <v>505</v>
      </c>
      <c r="H69" s="2" t="s">
        <v>64</v>
      </c>
      <c r="I69" s="6" t="s">
        <v>2343</v>
      </c>
      <c r="J69" s="6" t="s">
        <v>2357</v>
      </c>
      <c r="K69" t="str">
        <f t="shared" si="9"/>
        <v>DIYA JOSHI</v>
      </c>
      <c r="L69" t="str">
        <f t="shared" si="10"/>
        <v>Operations</v>
      </c>
      <c r="M69">
        <f t="shared" si="11"/>
        <v>10</v>
      </c>
      <c r="N69" t="str">
        <f t="shared" si="12"/>
        <v>Diya Joshi-Operations</v>
      </c>
      <c r="O69" t="str">
        <f t="shared" si="13"/>
        <v>company.com</v>
      </c>
      <c r="P69" t="str">
        <f t="shared" si="14"/>
        <v>company.com</v>
      </c>
      <c r="Q69">
        <f t="shared" si="15"/>
        <v>2022</v>
      </c>
      <c r="R69">
        <f t="shared" ca="1" si="16"/>
        <v>3</v>
      </c>
      <c r="S69" t="str">
        <f t="shared" si="17"/>
        <v>False</v>
      </c>
    </row>
    <row r="70" spans="1:19" x14ac:dyDescent="0.4">
      <c r="A70" s="2" t="s">
        <v>526</v>
      </c>
      <c r="B70" s="2" t="s">
        <v>411</v>
      </c>
      <c r="C70" s="2" t="s">
        <v>17</v>
      </c>
      <c r="D70" s="2" t="s">
        <v>44</v>
      </c>
      <c r="E70" s="3">
        <v>44756</v>
      </c>
      <c r="F70" s="2" t="s">
        <v>412</v>
      </c>
      <c r="G70" s="2" t="s">
        <v>527</v>
      </c>
      <c r="H70" s="2" t="s">
        <v>55</v>
      </c>
      <c r="I70" s="6" t="s">
        <v>2349</v>
      </c>
      <c r="J70" s="6" t="s">
        <v>2357</v>
      </c>
      <c r="K70" t="str">
        <f t="shared" si="9"/>
        <v>AARAV JOSHI</v>
      </c>
      <c r="L70" t="str">
        <f t="shared" si="10"/>
        <v>Sales</v>
      </c>
      <c r="M70">
        <f t="shared" si="11"/>
        <v>11</v>
      </c>
      <c r="N70" t="str">
        <f t="shared" si="12"/>
        <v>Aarav Joshi-Sales</v>
      </c>
      <c r="O70" t="str">
        <f t="shared" si="13"/>
        <v>company.com</v>
      </c>
      <c r="P70" t="str">
        <f t="shared" si="14"/>
        <v>company.com</v>
      </c>
      <c r="Q70">
        <f t="shared" si="15"/>
        <v>2022</v>
      </c>
      <c r="R70">
        <f t="shared" ca="1" si="16"/>
        <v>4</v>
      </c>
      <c r="S70" t="str">
        <f t="shared" si="17"/>
        <v>False</v>
      </c>
    </row>
    <row r="71" spans="1:19" x14ac:dyDescent="0.4">
      <c r="A71" s="2" t="s">
        <v>548</v>
      </c>
      <c r="B71" s="2" t="s">
        <v>61</v>
      </c>
      <c r="C71" s="2" t="s">
        <v>87</v>
      </c>
      <c r="D71" s="2" t="s">
        <v>11</v>
      </c>
      <c r="E71" s="3">
        <v>44700</v>
      </c>
      <c r="F71" s="2" t="s">
        <v>62</v>
      </c>
      <c r="G71" s="2" t="s">
        <v>549</v>
      </c>
      <c r="H71" s="2" t="s">
        <v>64</v>
      </c>
      <c r="I71" s="6" t="s">
        <v>2348</v>
      </c>
      <c r="J71" s="6" t="s">
        <v>2357</v>
      </c>
      <c r="K71" t="str">
        <f t="shared" si="9"/>
        <v>ANANYA JOSHI</v>
      </c>
      <c r="L71" t="str">
        <f t="shared" si="10"/>
        <v>Operations</v>
      </c>
      <c r="M71">
        <f t="shared" si="11"/>
        <v>12</v>
      </c>
      <c r="N71" t="str">
        <f t="shared" si="12"/>
        <v>Ananya Joshi-Operations</v>
      </c>
      <c r="O71" t="str">
        <f t="shared" si="13"/>
        <v>company.com</v>
      </c>
      <c r="P71" t="str">
        <f t="shared" si="14"/>
        <v>company.com</v>
      </c>
      <c r="Q71">
        <f t="shared" si="15"/>
        <v>2022</v>
      </c>
      <c r="R71">
        <f t="shared" ca="1" si="16"/>
        <v>4</v>
      </c>
      <c r="S71" t="str">
        <f t="shared" si="17"/>
        <v>False</v>
      </c>
    </row>
    <row r="72" spans="1:19" x14ac:dyDescent="0.4">
      <c r="A72" s="2" t="s">
        <v>552</v>
      </c>
      <c r="B72" s="2" t="s">
        <v>279</v>
      </c>
      <c r="C72" s="2" t="s">
        <v>87</v>
      </c>
      <c r="D72" s="2" t="s">
        <v>44</v>
      </c>
      <c r="E72" s="3">
        <v>44823</v>
      </c>
      <c r="F72" s="2" t="s">
        <v>280</v>
      </c>
      <c r="G72" s="2" t="s">
        <v>553</v>
      </c>
      <c r="H72" s="2" t="s">
        <v>14</v>
      </c>
      <c r="I72" s="6" t="s">
        <v>2343</v>
      </c>
      <c r="J72" s="6" t="s">
        <v>2356</v>
      </c>
      <c r="K72" t="str">
        <f t="shared" si="9"/>
        <v>DIYA PATEL</v>
      </c>
      <c r="L72" t="str">
        <f t="shared" si="10"/>
        <v>Operations</v>
      </c>
      <c r="M72">
        <f t="shared" si="11"/>
        <v>10</v>
      </c>
      <c r="N72" t="str">
        <f t="shared" si="12"/>
        <v>Diya Patel-Operations</v>
      </c>
      <c r="O72" t="str">
        <f t="shared" si="13"/>
        <v>company.com</v>
      </c>
      <c r="P72" t="str">
        <f t="shared" si="14"/>
        <v>company.com</v>
      </c>
      <c r="Q72">
        <f t="shared" si="15"/>
        <v>2022</v>
      </c>
      <c r="R72">
        <f t="shared" ca="1" si="16"/>
        <v>4</v>
      </c>
      <c r="S72" t="str">
        <f t="shared" si="17"/>
        <v>False</v>
      </c>
    </row>
    <row r="73" spans="1:19" x14ac:dyDescent="0.4">
      <c r="A73" s="2" t="s">
        <v>564</v>
      </c>
      <c r="B73" s="2" t="s">
        <v>385</v>
      </c>
      <c r="C73" s="2" t="s">
        <v>24</v>
      </c>
      <c r="D73" s="2" t="s">
        <v>11</v>
      </c>
      <c r="E73" s="3">
        <v>44769</v>
      </c>
      <c r="F73" s="2" t="s">
        <v>386</v>
      </c>
      <c r="G73" s="2" t="s">
        <v>565</v>
      </c>
      <c r="H73" s="2" t="s">
        <v>64</v>
      </c>
      <c r="I73" s="6" t="s">
        <v>2343</v>
      </c>
      <c r="J73" s="6" t="s">
        <v>2355</v>
      </c>
      <c r="K73" t="str">
        <f t="shared" si="9"/>
        <v>DIYA NAIR</v>
      </c>
      <c r="L73" t="str">
        <f t="shared" si="10"/>
        <v>Marketing</v>
      </c>
      <c r="M73">
        <f t="shared" si="11"/>
        <v>9</v>
      </c>
      <c r="N73" t="str">
        <f t="shared" si="12"/>
        <v>Diya Nair-Marketing</v>
      </c>
      <c r="O73" t="str">
        <f t="shared" si="13"/>
        <v>company.com</v>
      </c>
      <c r="P73" t="str">
        <f t="shared" si="14"/>
        <v>company.com</v>
      </c>
      <c r="Q73">
        <f t="shared" si="15"/>
        <v>2022</v>
      </c>
      <c r="R73">
        <f t="shared" ca="1" si="16"/>
        <v>4</v>
      </c>
      <c r="S73" t="str">
        <f t="shared" si="17"/>
        <v>False</v>
      </c>
    </row>
    <row r="74" spans="1:19" x14ac:dyDescent="0.4">
      <c r="A74" s="2" t="s">
        <v>614</v>
      </c>
      <c r="B74" s="2" t="s">
        <v>177</v>
      </c>
      <c r="C74" s="2" t="s">
        <v>17</v>
      </c>
      <c r="D74" s="2" t="s">
        <v>25</v>
      </c>
      <c r="E74" s="3">
        <v>44720</v>
      </c>
      <c r="F74" s="2" t="s">
        <v>178</v>
      </c>
      <c r="G74" s="2" t="s">
        <v>615</v>
      </c>
      <c r="H74" s="2" t="s">
        <v>21</v>
      </c>
      <c r="I74" s="6" t="s">
        <v>2346</v>
      </c>
      <c r="J74" s="6" t="s">
        <v>2353</v>
      </c>
      <c r="K74" t="str">
        <f t="shared" si="9"/>
        <v>RIYA GUPTA</v>
      </c>
      <c r="L74" t="str">
        <f t="shared" si="10"/>
        <v>Sales</v>
      </c>
      <c r="M74">
        <f t="shared" si="11"/>
        <v>10</v>
      </c>
      <c r="N74" t="str">
        <f t="shared" si="12"/>
        <v>Riya Gupta-Sales</v>
      </c>
      <c r="O74" t="str">
        <f t="shared" si="13"/>
        <v>company.com</v>
      </c>
      <c r="P74" t="str">
        <f t="shared" si="14"/>
        <v>company.com</v>
      </c>
      <c r="Q74">
        <f t="shared" si="15"/>
        <v>2022</v>
      </c>
      <c r="R74">
        <f t="shared" ca="1" si="16"/>
        <v>4</v>
      </c>
      <c r="S74" t="str">
        <f t="shared" si="17"/>
        <v>False</v>
      </c>
    </row>
    <row r="75" spans="1:19" x14ac:dyDescent="0.4">
      <c r="A75" s="2" t="s">
        <v>618</v>
      </c>
      <c r="B75" s="2" t="s">
        <v>251</v>
      </c>
      <c r="C75" s="2" t="s">
        <v>87</v>
      </c>
      <c r="D75" s="2" t="s">
        <v>11</v>
      </c>
      <c r="E75" s="3">
        <v>44619</v>
      </c>
      <c r="F75" s="2" t="s">
        <v>252</v>
      </c>
      <c r="G75" s="2" t="s">
        <v>619</v>
      </c>
      <c r="H75" s="2" t="s">
        <v>14</v>
      </c>
      <c r="I75" s="6" t="s">
        <v>2351</v>
      </c>
      <c r="J75" s="6" t="s">
        <v>2362</v>
      </c>
      <c r="K75" t="str">
        <f t="shared" si="9"/>
        <v>ADITYA MEHTA</v>
      </c>
      <c r="L75" t="str">
        <f t="shared" si="10"/>
        <v>Operations</v>
      </c>
      <c r="M75">
        <f t="shared" si="11"/>
        <v>12</v>
      </c>
      <c r="N75" t="str">
        <f t="shared" si="12"/>
        <v>Aditya Mehta-Operations</v>
      </c>
      <c r="O75" t="str">
        <f t="shared" si="13"/>
        <v>company.com</v>
      </c>
      <c r="P75" t="str">
        <f t="shared" si="14"/>
        <v>company.com</v>
      </c>
      <c r="Q75">
        <f t="shared" si="15"/>
        <v>2022</v>
      </c>
      <c r="R75">
        <f t="shared" ca="1" si="16"/>
        <v>4</v>
      </c>
      <c r="S75" t="str">
        <f t="shared" si="17"/>
        <v>False</v>
      </c>
    </row>
    <row r="76" spans="1:19" x14ac:dyDescent="0.4">
      <c r="A76" s="2" t="s">
        <v>650</v>
      </c>
      <c r="B76" s="2" t="s">
        <v>651</v>
      </c>
      <c r="C76" s="2" t="s">
        <v>87</v>
      </c>
      <c r="D76" s="2" t="s">
        <v>44</v>
      </c>
      <c r="E76" s="3">
        <v>44656</v>
      </c>
      <c r="F76" s="2" t="s">
        <v>652</v>
      </c>
      <c r="G76" s="2" t="s">
        <v>653</v>
      </c>
      <c r="H76" s="2" t="s">
        <v>28</v>
      </c>
      <c r="I76" s="6" t="s">
        <v>2349</v>
      </c>
      <c r="J76" s="6" t="s">
        <v>2355</v>
      </c>
      <c r="K76" t="str">
        <f t="shared" si="9"/>
        <v>AARAV NAIR</v>
      </c>
      <c r="L76" t="str">
        <f t="shared" si="10"/>
        <v>Operations</v>
      </c>
      <c r="M76">
        <f t="shared" si="11"/>
        <v>10</v>
      </c>
      <c r="N76" t="str">
        <f t="shared" si="12"/>
        <v>Aarav Nair-Operations</v>
      </c>
      <c r="O76" t="str">
        <f t="shared" si="13"/>
        <v>company.com</v>
      </c>
      <c r="P76" t="str">
        <f t="shared" si="14"/>
        <v>company.com</v>
      </c>
      <c r="Q76">
        <f t="shared" si="15"/>
        <v>2022</v>
      </c>
      <c r="R76">
        <f t="shared" ca="1" si="16"/>
        <v>4</v>
      </c>
      <c r="S76" t="str">
        <f t="shared" si="17"/>
        <v>False</v>
      </c>
    </row>
    <row r="77" spans="1:19" x14ac:dyDescent="0.4">
      <c r="A77" s="2" t="s">
        <v>658</v>
      </c>
      <c r="B77" s="2" t="s">
        <v>489</v>
      </c>
      <c r="C77" s="2" t="s">
        <v>53</v>
      </c>
      <c r="D77" s="2" t="s">
        <v>49</v>
      </c>
      <c r="E77" s="3">
        <v>44833</v>
      </c>
      <c r="F77" s="2" t="s">
        <v>490</v>
      </c>
      <c r="G77" s="2" t="s">
        <v>659</v>
      </c>
      <c r="H77" s="2" t="s">
        <v>55</v>
      </c>
      <c r="I77" s="6" t="s">
        <v>2347</v>
      </c>
      <c r="J77" s="6" t="s">
        <v>2359</v>
      </c>
      <c r="K77" t="str">
        <f t="shared" si="9"/>
        <v>ARJUN REDDY</v>
      </c>
      <c r="L77" t="str">
        <f t="shared" si="10"/>
        <v>Hr</v>
      </c>
      <c r="M77">
        <f t="shared" si="11"/>
        <v>11</v>
      </c>
      <c r="N77" t="str">
        <f t="shared" si="12"/>
        <v>Arjun Reddy-HR</v>
      </c>
      <c r="O77" t="str">
        <f t="shared" si="13"/>
        <v>company.com</v>
      </c>
      <c r="P77" t="str">
        <f t="shared" si="14"/>
        <v>company.com</v>
      </c>
      <c r="Q77">
        <f t="shared" si="15"/>
        <v>2022</v>
      </c>
      <c r="R77">
        <f t="shared" ca="1" si="16"/>
        <v>4</v>
      </c>
      <c r="S77" t="str">
        <f t="shared" si="17"/>
        <v>False</v>
      </c>
    </row>
    <row r="78" spans="1:19" x14ac:dyDescent="0.4">
      <c r="A78" s="2" t="s">
        <v>674</v>
      </c>
      <c r="B78" s="2" t="s">
        <v>43</v>
      </c>
      <c r="C78" s="2" t="s">
        <v>31</v>
      </c>
      <c r="D78" s="2" t="s">
        <v>44</v>
      </c>
      <c r="E78" s="3">
        <v>44779</v>
      </c>
      <c r="F78" s="2" t="s">
        <v>45</v>
      </c>
      <c r="G78" s="2" t="s">
        <v>675</v>
      </c>
      <c r="H78" s="2" t="s">
        <v>64</v>
      </c>
      <c r="I78" s="6" t="s">
        <v>2348</v>
      </c>
      <c r="J78" s="6" t="s">
        <v>2362</v>
      </c>
      <c r="K78" t="str">
        <f t="shared" si="9"/>
        <v>ANANYA MEHTA</v>
      </c>
      <c r="L78" t="str">
        <f t="shared" si="10"/>
        <v>Finance</v>
      </c>
      <c r="M78">
        <f t="shared" si="11"/>
        <v>12</v>
      </c>
      <c r="N78" t="str">
        <f t="shared" si="12"/>
        <v>Ananya Mehta-Finance</v>
      </c>
      <c r="O78" t="str">
        <f t="shared" si="13"/>
        <v>company.com</v>
      </c>
      <c r="P78" t="str">
        <f t="shared" si="14"/>
        <v>company.com</v>
      </c>
      <c r="Q78">
        <f t="shared" si="15"/>
        <v>2022</v>
      </c>
      <c r="R78">
        <f t="shared" ca="1" si="16"/>
        <v>4</v>
      </c>
      <c r="S78" t="str">
        <f t="shared" si="17"/>
        <v>False</v>
      </c>
    </row>
    <row r="79" spans="1:19" x14ac:dyDescent="0.4">
      <c r="A79" s="2" t="s">
        <v>696</v>
      </c>
      <c r="B79" s="2" t="s">
        <v>95</v>
      </c>
      <c r="C79" s="2" t="s">
        <v>10</v>
      </c>
      <c r="D79" s="2" t="s">
        <v>18</v>
      </c>
      <c r="E79" s="3">
        <v>44710</v>
      </c>
      <c r="F79" s="2" t="s">
        <v>96</v>
      </c>
      <c r="G79" s="2" t="s">
        <v>697</v>
      </c>
      <c r="H79" s="2" t="s">
        <v>64</v>
      </c>
      <c r="I79" s="6" t="s">
        <v>2352</v>
      </c>
      <c r="J79" s="6" t="s">
        <v>2360</v>
      </c>
      <c r="K79" t="str">
        <f t="shared" si="9"/>
        <v>MEERA SHARMA</v>
      </c>
      <c r="L79" t="str">
        <f t="shared" si="10"/>
        <v>It</v>
      </c>
      <c r="M79">
        <f t="shared" si="11"/>
        <v>12</v>
      </c>
      <c r="N79" t="str">
        <f t="shared" si="12"/>
        <v>Meera Sharma-IT</v>
      </c>
      <c r="O79" t="str">
        <f t="shared" si="13"/>
        <v>company.com</v>
      </c>
      <c r="P79" t="str">
        <f t="shared" si="14"/>
        <v>company.com</v>
      </c>
      <c r="Q79">
        <f t="shared" si="15"/>
        <v>2022</v>
      </c>
      <c r="R79">
        <f t="shared" ca="1" si="16"/>
        <v>4</v>
      </c>
      <c r="S79" t="str">
        <f t="shared" si="17"/>
        <v>False</v>
      </c>
    </row>
    <row r="80" spans="1:19" x14ac:dyDescent="0.4">
      <c r="A80" s="2" t="s">
        <v>704</v>
      </c>
      <c r="B80" s="2" t="s">
        <v>161</v>
      </c>
      <c r="C80" s="2" t="s">
        <v>53</v>
      </c>
      <c r="D80" s="2" t="s">
        <v>44</v>
      </c>
      <c r="E80" s="3">
        <v>44646</v>
      </c>
      <c r="F80" s="2" t="s">
        <v>162</v>
      </c>
      <c r="G80" s="2" t="s">
        <v>705</v>
      </c>
      <c r="H80" s="2" t="s">
        <v>21</v>
      </c>
      <c r="I80" s="6" t="s">
        <v>2346</v>
      </c>
      <c r="J80" s="6" t="s">
        <v>2356</v>
      </c>
      <c r="K80" t="str">
        <f t="shared" si="9"/>
        <v>RIYA PATEL</v>
      </c>
      <c r="L80" t="str">
        <f t="shared" si="10"/>
        <v>Hr</v>
      </c>
      <c r="M80">
        <f t="shared" si="11"/>
        <v>10</v>
      </c>
      <c r="N80" t="str">
        <f t="shared" si="12"/>
        <v>Riya Patel-HR</v>
      </c>
      <c r="O80" t="str">
        <f t="shared" si="13"/>
        <v>company.com</v>
      </c>
      <c r="P80" t="str">
        <f t="shared" si="14"/>
        <v>company.com</v>
      </c>
      <c r="Q80">
        <f t="shared" si="15"/>
        <v>2022</v>
      </c>
      <c r="R80">
        <f t="shared" ca="1" si="16"/>
        <v>4</v>
      </c>
      <c r="S80" t="str">
        <f t="shared" si="17"/>
        <v>False</v>
      </c>
    </row>
    <row r="81" spans="1:19" x14ac:dyDescent="0.4">
      <c r="A81" s="2" t="s">
        <v>730</v>
      </c>
      <c r="B81" s="2" t="s">
        <v>405</v>
      </c>
      <c r="C81" s="2" t="s">
        <v>24</v>
      </c>
      <c r="D81" s="2" t="s">
        <v>11</v>
      </c>
      <c r="E81" s="3">
        <v>44708</v>
      </c>
      <c r="F81" s="2" t="s">
        <v>406</v>
      </c>
      <c r="G81" s="2" t="s">
        <v>731</v>
      </c>
      <c r="H81" s="2" t="s">
        <v>55</v>
      </c>
      <c r="I81" s="6" t="s">
        <v>2348</v>
      </c>
      <c r="J81" s="6" t="s">
        <v>2354</v>
      </c>
      <c r="K81" t="str">
        <f t="shared" si="9"/>
        <v>ANANYA SINGH</v>
      </c>
      <c r="L81" t="str">
        <f t="shared" si="10"/>
        <v>Marketing</v>
      </c>
      <c r="M81">
        <f t="shared" si="11"/>
        <v>12</v>
      </c>
      <c r="N81" t="str">
        <f t="shared" si="12"/>
        <v>Ananya Singh-Marketing</v>
      </c>
      <c r="O81" t="str">
        <f t="shared" si="13"/>
        <v>company.com</v>
      </c>
      <c r="P81" t="str">
        <f t="shared" si="14"/>
        <v>company.com</v>
      </c>
      <c r="Q81">
        <f t="shared" si="15"/>
        <v>2022</v>
      </c>
      <c r="R81">
        <f t="shared" ca="1" si="16"/>
        <v>4</v>
      </c>
      <c r="S81" t="str">
        <f t="shared" si="17"/>
        <v>False</v>
      </c>
    </row>
    <row r="82" spans="1:19" x14ac:dyDescent="0.4">
      <c r="A82" s="2" t="s">
        <v>780</v>
      </c>
      <c r="B82" s="2" t="s">
        <v>35</v>
      </c>
      <c r="C82" s="2" t="s">
        <v>87</v>
      </c>
      <c r="D82" s="2" t="s">
        <v>11</v>
      </c>
      <c r="E82" s="3">
        <v>44900</v>
      </c>
      <c r="F82" s="2" t="s">
        <v>36</v>
      </c>
      <c r="G82" s="2" t="s">
        <v>781</v>
      </c>
      <c r="H82" s="2" t="s">
        <v>21</v>
      </c>
      <c r="I82" s="6" t="s">
        <v>2345</v>
      </c>
      <c r="J82" s="6" t="s">
        <v>2358</v>
      </c>
      <c r="K82" t="str">
        <f t="shared" si="9"/>
        <v>ISHA DAS</v>
      </c>
      <c r="L82" t="str">
        <f t="shared" si="10"/>
        <v>Operations</v>
      </c>
      <c r="M82">
        <f t="shared" si="11"/>
        <v>8</v>
      </c>
      <c r="N82" t="str">
        <f t="shared" si="12"/>
        <v>Isha Das-Operations</v>
      </c>
      <c r="O82" t="str">
        <f t="shared" si="13"/>
        <v>company.com</v>
      </c>
      <c r="P82" t="str">
        <f t="shared" si="14"/>
        <v>company.com</v>
      </c>
      <c r="Q82">
        <f t="shared" si="15"/>
        <v>2022</v>
      </c>
      <c r="R82">
        <f t="shared" ca="1" si="16"/>
        <v>3</v>
      </c>
      <c r="S82" t="str">
        <f t="shared" si="17"/>
        <v>False</v>
      </c>
    </row>
    <row r="83" spans="1:19" x14ac:dyDescent="0.4">
      <c r="A83" s="2" t="s">
        <v>792</v>
      </c>
      <c r="B83" s="2" t="s">
        <v>299</v>
      </c>
      <c r="C83" s="2" t="s">
        <v>87</v>
      </c>
      <c r="D83" s="2" t="s">
        <v>49</v>
      </c>
      <c r="E83" s="3">
        <v>44758</v>
      </c>
      <c r="F83" s="2" t="s">
        <v>300</v>
      </c>
      <c r="G83" s="2" t="s">
        <v>793</v>
      </c>
      <c r="H83" s="2" t="s">
        <v>55</v>
      </c>
      <c r="I83" s="6" t="s">
        <v>2351</v>
      </c>
      <c r="J83" s="6" t="s">
        <v>2361</v>
      </c>
      <c r="K83" t="str">
        <f t="shared" si="9"/>
        <v>ADITYA KHAN</v>
      </c>
      <c r="L83" t="str">
        <f t="shared" si="10"/>
        <v>Operations</v>
      </c>
      <c r="M83">
        <f t="shared" si="11"/>
        <v>11</v>
      </c>
      <c r="N83" t="str">
        <f t="shared" si="12"/>
        <v>Aditya Khan-Operations</v>
      </c>
      <c r="O83" t="str">
        <f t="shared" si="13"/>
        <v>company.com</v>
      </c>
      <c r="P83" t="str">
        <f t="shared" si="14"/>
        <v>company.com</v>
      </c>
      <c r="Q83">
        <f t="shared" si="15"/>
        <v>2022</v>
      </c>
      <c r="R83">
        <f t="shared" ca="1" si="16"/>
        <v>4</v>
      </c>
      <c r="S83" t="str">
        <f t="shared" si="17"/>
        <v>False</v>
      </c>
    </row>
    <row r="84" spans="1:19" x14ac:dyDescent="0.4">
      <c r="A84" s="2" t="s">
        <v>798</v>
      </c>
      <c r="B84" s="2" t="s">
        <v>351</v>
      </c>
      <c r="C84" s="2" t="s">
        <v>24</v>
      </c>
      <c r="D84" s="2" t="s">
        <v>25</v>
      </c>
      <c r="E84" s="3">
        <v>44619</v>
      </c>
      <c r="F84" s="2" t="s">
        <v>352</v>
      </c>
      <c r="G84" s="2" t="s">
        <v>799</v>
      </c>
      <c r="H84" s="2" t="s">
        <v>55</v>
      </c>
      <c r="I84" s="6" t="s">
        <v>2348</v>
      </c>
      <c r="J84" s="6" t="s">
        <v>2361</v>
      </c>
      <c r="K84" t="str">
        <f t="shared" si="9"/>
        <v>ANANYA KHAN</v>
      </c>
      <c r="L84" t="str">
        <f t="shared" si="10"/>
        <v>Marketing</v>
      </c>
      <c r="M84">
        <f t="shared" si="11"/>
        <v>11</v>
      </c>
      <c r="N84" t="str">
        <f t="shared" si="12"/>
        <v>Ananya Khan-Marketing</v>
      </c>
      <c r="O84" t="str">
        <f t="shared" si="13"/>
        <v>company.com</v>
      </c>
      <c r="P84" t="str">
        <f t="shared" si="14"/>
        <v>company.com</v>
      </c>
      <c r="Q84">
        <f t="shared" si="15"/>
        <v>2022</v>
      </c>
      <c r="R84">
        <f t="shared" ca="1" si="16"/>
        <v>4</v>
      </c>
      <c r="S84" t="str">
        <f t="shared" si="17"/>
        <v>False</v>
      </c>
    </row>
    <row r="85" spans="1:19" x14ac:dyDescent="0.4">
      <c r="A85" s="2" t="s">
        <v>858</v>
      </c>
      <c r="B85" s="2" t="s">
        <v>195</v>
      </c>
      <c r="C85" s="2" t="s">
        <v>87</v>
      </c>
      <c r="D85" s="2" t="s">
        <v>18</v>
      </c>
      <c r="E85" s="3">
        <v>44859</v>
      </c>
      <c r="F85" s="2" t="s">
        <v>196</v>
      </c>
      <c r="G85" s="2" t="s">
        <v>859</v>
      </c>
      <c r="H85" s="2" t="s">
        <v>28</v>
      </c>
      <c r="I85" s="6" t="s">
        <v>2348</v>
      </c>
      <c r="J85" s="6" t="s">
        <v>2358</v>
      </c>
      <c r="K85" t="str">
        <f t="shared" si="9"/>
        <v>ANANYA DAS</v>
      </c>
      <c r="L85" t="str">
        <f t="shared" si="10"/>
        <v>Operations</v>
      </c>
      <c r="M85">
        <f t="shared" si="11"/>
        <v>10</v>
      </c>
      <c r="N85" t="str">
        <f t="shared" si="12"/>
        <v>Ananya Das-Operations</v>
      </c>
      <c r="O85" t="str">
        <f t="shared" si="13"/>
        <v>company.com</v>
      </c>
      <c r="P85" t="str">
        <f t="shared" si="14"/>
        <v>company.com</v>
      </c>
      <c r="Q85">
        <f t="shared" si="15"/>
        <v>2022</v>
      </c>
      <c r="R85">
        <f t="shared" ca="1" si="16"/>
        <v>3</v>
      </c>
      <c r="S85" t="str">
        <f t="shared" si="17"/>
        <v>False</v>
      </c>
    </row>
    <row r="86" spans="1:19" x14ac:dyDescent="0.4">
      <c r="A86" s="2" t="s">
        <v>870</v>
      </c>
      <c r="B86" s="2" t="s">
        <v>66</v>
      </c>
      <c r="C86" s="2" t="s">
        <v>24</v>
      </c>
      <c r="D86" s="2" t="s">
        <v>44</v>
      </c>
      <c r="E86" s="3">
        <v>44653</v>
      </c>
      <c r="F86" s="2" t="s">
        <v>67</v>
      </c>
      <c r="G86" s="2" t="s">
        <v>871</v>
      </c>
      <c r="H86" s="2" t="s">
        <v>28</v>
      </c>
      <c r="I86" s="6" t="s">
        <v>2349</v>
      </c>
      <c r="J86" s="6" t="s">
        <v>2361</v>
      </c>
      <c r="K86" t="str">
        <f t="shared" si="9"/>
        <v>AARAV KHAN</v>
      </c>
      <c r="L86" t="str">
        <f t="shared" si="10"/>
        <v>Marketing</v>
      </c>
      <c r="M86">
        <f t="shared" si="11"/>
        <v>10</v>
      </c>
      <c r="N86" t="str">
        <f t="shared" si="12"/>
        <v>Aarav Khan-Marketing</v>
      </c>
      <c r="O86" t="str">
        <f t="shared" si="13"/>
        <v>company.com</v>
      </c>
      <c r="P86" t="str">
        <f t="shared" si="14"/>
        <v>company.com</v>
      </c>
      <c r="Q86">
        <f t="shared" si="15"/>
        <v>2022</v>
      </c>
      <c r="R86">
        <f t="shared" ca="1" si="16"/>
        <v>4</v>
      </c>
      <c r="S86" t="str">
        <f t="shared" si="17"/>
        <v>False</v>
      </c>
    </row>
    <row r="87" spans="1:19" x14ac:dyDescent="0.4">
      <c r="A87" s="2" t="s">
        <v>874</v>
      </c>
      <c r="B87" s="2" t="s">
        <v>473</v>
      </c>
      <c r="C87" s="2" t="s">
        <v>53</v>
      </c>
      <c r="D87" s="2" t="s">
        <v>25</v>
      </c>
      <c r="E87" s="3">
        <v>44688</v>
      </c>
      <c r="F87" s="2" t="s">
        <v>474</v>
      </c>
      <c r="G87" s="2" t="s">
        <v>875</v>
      </c>
      <c r="H87" s="2" t="s">
        <v>14</v>
      </c>
      <c r="I87" s="6" t="s">
        <v>2352</v>
      </c>
      <c r="J87" s="6" t="s">
        <v>2361</v>
      </c>
      <c r="K87" t="str">
        <f t="shared" si="9"/>
        <v>MEERA KHAN</v>
      </c>
      <c r="L87" t="str">
        <f t="shared" si="10"/>
        <v>Hr</v>
      </c>
      <c r="M87">
        <f t="shared" si="11"/>
        <v>10</v>
      </c>
      <c r="N87" t="str">
        <f t="shared" si="12"/>
        <v>Meera Khan-HR</v>
      </c>
      <c r="O87" t="str">
        <f t="shared" si="13"/>
        <v>company.com</v>
      </c>
      <c r="P87" t="str">
        <f t="shared" si="14"/>
        <v>company.com</v>
      </c>
      <c r="Q87">
        <f t="shared" si="15"/>
        <v>2022</v>
      </c>
      <c r="R87">
        <f t="shared" ca="1" si="16"/>
        <v>4</v>
      </c>
      <c r="S87" t="str">
        <f t="shared" si="17"/>
        <v>False</v>
      </c>
    </row>
    <row r="88" spans="1:19" x14ac:dyDescent="0.4">
      <c r="A88" s="2" t="s">
        <v>934</v>
      </c>
      <c r="B88" s="2" t="s">
        <v>469</v>
      </c>
      <c r="C88" s="2" t="s">
        <v>31</v>
      </c>
      <c r="D88" s="2" t="s">
        <v>18</v>
      </c>
      <c r="E88" s="3">
        <v>44646</v>
      </c>
      <c r="F88" s="2" t="s">
        <v>470</v>
      </c>
      <c r="G88" s="2" t="s">
        <v>935</v>
      </c>
      <c r="H88" s="2" t="s">
        <v>64</v>
      </c>
      <c r="I88" s="6" t="s">
        <v>2348</v>
      </c>
      <c r="J88" s="6" t="s">
        <v>2355</v>
      </c>
      <c r="K88" t="str">
        <f t="shared" si="9"/>
        <v>ANANYA NAIR</v>
      </c>
      <c r="L88" t="str">
        <f t="shared" si="10"/>
        <v>Finance</v>
      </c>
      <c r="M88">
        <f t="shared" si="11"/>
        <v>11</v>
      </c>
      <c r="N88" t="str">
        <f t="shared" si="12"/>
        <v>Ananya Nair-Finance</v>
      </c>
      <c r="O88" t="str">
        <f t="shared" si="13"/>
        <v>company.com</v>
      </c>
      <c r="P88" t="str">
        <f t="shared" si="14"/>
        <v>company.com</v>
      </c>
      <c r="Q88">
        <f t="shared" si="15"/>
        <v>2022</v>
      </c>
      <c r="R88">
        <f t="shared" ca="1" si="16"/>
        <v>4</v>
      </c>
      <c r="S88" t="str">
        <f t="shared" si="17"/>
        <v>False</v>
      </c>
    </row>
    <row r="89" spans="1:19" x14ac:dyDescent="0.4">
      <c r="A89" s="2" t="s">
        <v>936</v>
      </c>
      <c r="B89" s="2" t="s">
        <v>401</v>
      </c>
      <c r="C89" s="2" t="s">
        <v>53</v>
      </c>
      <c r="D89" s="2" t="s">
        <v>11</v>
      </c>
      <c r="E89" s="3">
        <v>44912</v>
      </c>
      <c r="F89" s="2" t="s">
        <v>402</v>
      </c>
      <c r="G89" s="2" t="s">
        <v>937</v>
      </c>
      <c r="H89" s="2" t="s">
        <v>55</v>
      </c>
      <c r="I89" s="6" t="s">
        <v>2352</v>
      </c>
      <c r="J89" s="6" t="s">
        <v>2355</v>
      </c>
      <c r="K89" t="str">
        <f t="shared" si="9"/>
        <v>MEERA NAIR</v>
      </c>
      <c r="L89" t="str">
        <f t="shared" si="10"/>
        <v>Hr</v>
      </c>
      <c r="M89">
        <f t="shared" si="11"/>
        <v>10</v>
      </c>
      <c r="N89" t="str">
        <f t="shared" si="12"/>
        <v>Meera Nair-HR</v>
      </c>
      <c r="O89" t="str">
        <f t="shared" si="13"/>
        <v>company.com</v>
      </c>
      <c r="P89" t="str">
        <f t="shared" si="14"/>
        <v>company.com</v>
      </c>
      <c r="Q89">
        <f t="shared" si="15"/>
        <v>2022</v>
      </c>
      <c r="R89">
        <f t="shared" ca="1" si="16"/>
        <v>3</v>
      </c>
      <c r="S89" t="str">
        <f t="shared" si="17"/>
        <v>False</v>
      </c>
    </row>
    <row r="90" spans="1:19" x14ac:dyDescent="0.4">
      <c r="A90" s="2" t="s">
        <v>942</v>
      </c>
      <c r="B90" s="2" t="s">
        <v>213</v>
      </c>
      <c r="C90" s="2" t="s">
        <v>87</v>
      </c>
      <c r="D90" s="2" t="s">
        <v>44</v>
      </c>
      <c r="E90" s="3">
        <v>44895</v>
      </c>
      <c r="F90" s="2" t="s">
        <v>214</v>
      </c>
      <c r="G90" s="2" t="s">
        <v>943</v>
      </c>
      <c r="H90" s="2" t="s">
        <v>64</v>
      </c>
      <c r="I90" s="6" t="s">
        <v>2350</v>
      </c>
      <c r="J90" s="6" t="s">
        <v>2356</v>
      </c>
      <c r="K90" t="str">
        <f t="shared" si="9"/>
        <v>VIVAAN PATEL</v>
      </c>
      <c r="L90" t="str">
        <f t="shared" si="10"/>
        <v>Operations</v>
      </c>
      <c r="M90">
        <f t="shared" si="11"/>
        <v>12</v>
      </c>
      <c r="N90" t="str">
        <f t="shared" si="12"/>
        <v>Vivaan Patel-Operations</v>
      </c>
      <c r="O90" t="str">
        <f t="shared" si="13"/>
        <v>company.com</v>
      </c>
      <c r="P90" t="str">
        <f t="shared" si="14"/>
        <v>company.com</v>
      </c>
      <c r="Q90">
        <f t="shared" si="15"/>
        <v>2022</v>
      </c>
      <c r="R90">
        <f t="shared" ca="1" si="16"/>
        <v>3</v>
      </c>
      <c r="S90" t="str">
        <f t="shared" si="17"/>
        <v>False</v>
      </c>
    </row>
    <row r="91" spans="1:19" x14ac:dyDescent="0.4">
      <c r="A91" s="2" t="s">
        <v>950</v>
      </c>
      <c r="B91" s="2" t="s">
        <v>95</v>
      </c>
      <c r="C91" s="2" t="s">
        <v>24</v>
      </c>
      <c r="D91" s="2" t="s">
        <v>49</v>
      </c>
      <c r="E91" s="3">
        <v>44729</v>
      </c>
      <c r="F91" s="2" t="s">
        <v>96</v>
      </c>
      <c r="G91" s="2" t="s">
        <v>951</v>
      </c>
      <c r="H91" s="2" t="s">
        <v>64</v>
      </c>
      <c r="I91" s="6" t="s">
        <v>2352</v>
      </c>
      <c r="J91" s="6" t="s">
        <v>2360</v>
      </c>
      <c r="K91" t="str">
        <f t="shared" si="9"/>
        <v>MEERA SHARMA</v>
      </c>
      <c r="L91" t="str">
        <f t="shared" si="10"/>
        <v>Marketing</v>
      </c>
      <c r="M91">
        <f t="shared" si="11"/>
        <v>12</v>
      </c>
      <c r="N91" t="str">
        <f t="shared" si="12"/>
        <v>Meera Sharma-Marketing</v>
      </c>
      <c r="O91" t="str">
        <f t="shared" si="13"/>
        <v>company.com</v>
      </c>
      <c r="P91" t="str">
        <f t="shared" si="14"/>
        <v>company.com</v>
      </c>
      <c r="Q91">
        <f t="shared" si="15"/>
        <v>2022</v>
      </c>
      <c r="R91">
        <f t="shared" ca="1" si="16"/>
        <v>4</v>
      </c>
      <c r="S91" t="str">
        <f t="shared" si="17"/>
        <v>False</v>
      </c>
    </row>
    <row r="92" spans="1:19" x14ac:dyDescent="0.4">
      <c r="A92" s="2" t="s">
        <v>962</v>
      </c>
      <c r="B92" s="2" t="s">
        <v>57</v>
      </c>
      <c r="C92" s="2" t="s">
        <v>87</v>
      </c>
      <c r="D92" s="2" t="s">
        <v>44</v>
      </c>
      <c r="E92" s="3">
        <v>44855</v>
      </c>
      <c r="F92" s="2" t="s">
        <v>58</v>
      </c>
      <c r="G92" s="2" t="s">
        <v>963</v>
      </c>
      <c r="H92" s="2" t="s">
        <v>14</v>
      </c>
      <c r="I92" s="6" t="s">
        <v>2343</v>
      </c>
      <c r="J92" s="6" t="s">
        <v>2353</v>
      </c>
      <c r="K92" t="str">
        <f t="shared" si="9"/>
        <v>DIYA GUPTA</v>
      </c>
      <c r="L92" t="str">
        <f t="shared" si="10"/>
        <v>Operations</v>
      </c>
      <c r="M92">
        <f t="shared" si="11"/>
        <v>10</v>
      </c>
      <c r="N92" t="str">
        <f t="shared" si="12"/>
        <v>Diya Gupta-Operations</v>
      </c>
      <c r="O92" t="str">
        <f t="shared" si="13"/>
        <v>company.com</v>
      </c>
      <c r="P92" t="str">
        <f t="shared" si="14"/>
        <v>company.com</v>
      </c>
      <c r="Q92">
        <f t="shared" si="15"/>
        <v>2022</v>
      </c>
      <c r="R92">
        <f t="shared" ca="1" si="16"/>
        <v>4</v>
      </c>
      <c r="S92" t="str">
        <f t="shared" si="17"/>
        <v>False</v>
      </c>
    </row>
    <row r="93" spans="1:19" x14ac:dyDescent="0.4">
      <c r="A93" s="2" t="s">
        <v>992</v>
      </c>
      <c r="B93" s="2" t="s">
        <v>831</v>
      </c>
      <c r="C93" s="2" t="s">
        <v>10</v>
      </c>
      <c r="D93" s="2" t="s">
        <v>49</v>
      </c>
      <c r="E93" s="3">
        <v>44601</v>
      </c>
      <c r="F93" s="2" t="s">
        <v>832</v>
      </c>
      <c r="G93" s="2" t="s">
        <v>993</v>
      </c>
      <c r="H93" s="2" t="s">
        <v>21</v>
      </c>
      <c r="I93" s="6" t="s">
        <v>2343</v>
      </c>
      <c r="J93" s="6" t="s">
        <v>2360</v>
      </c>
      <c r="K93" t="str">
        <f t="shared" si="9"/>
        <v>DIYA SHARMA</v>
      </c>
      <c r="L93" t="str">
        <f t="shared" si="10"/>
        <v>It</v>
      </c>
      <c r="M93">
        <f t="shared" si="11"/>
        <v>11</v>
      </c>
      <c r="N93" t="str">
        <f t="shared" si="12"/>
        <v>Diya Sharma-IT</v>
      </c>
      <c r="O93" t="str">
        <f t="shared" si="13"/>
        <v>company.com</v>
      </c>
      <c r="P93" t="str">
        <f t="shared" si="14"/>
        <v>company.com</v>
      </c>
      <c r="Q93">
        <f t="shared" si="15"/>
        <v>2022</v>
      </c>
      <c r="R93">
        <f t="shared" ca="1" si="16"/>
        <v>4</v>
      </c>
      <c r="S93" t="str">
        <f t="shared" si="17"/>
        <v>False</v>
      </c>
    </row>
    <row r="94" spans="1:19" x14ac:dyDescent="0.4">
      <c r="A94" s="2" t="s">
        <v>1014</v>
      </c>
      <c r="B94" s="2" t="s">
        <v>133</v>
      </c>
      <c r="C94" s="2" t="s">
        <v>87</v>
      </c>
      <c r="D94" s="2" t="s">
        <v>44</v>
      </c>
      <c r="E94" s="3">
        <v>44912</v>
      </c>
      <c r="F94" s="2" t="s">
        <v>134</v>
      </c>
      <c r="G94" s="2" t="s">
        <v>1015</v>
      </c>
      <c r="H94" s="2" t="s">
        <v>28</v>
      </c>
      <c r="I94" s="6" t="s">
        <v>2347</v>
      </c>
      <c r="J94" s="6" t="s">
        <v>2360</v>
      </c>
      <c r="K94" t="str">
        <f t="shared" si="9"/>
        <v>ARJUN SHARMA</v>
      </c>
      <c r="L94" t="str">
        <f t="shared" si="10"/>
        <v>Operations</v>
      </c>
      <c r="M94">
        <f t="shared" si="11"/>
        <v>12</v>
      </c>
      <c r="N94" t="str">
        <f t="shared" si="12"/>
        <v>Arjun Sharma-Operations</v>
      </c>
      <c r="O94" t="str">
        <f t="shared" si="13"/>
        <v>company.com</v>
      </c>
      <c r="P94" t="str">
        <f t="shared" si="14"/>
        <v>company.com</v>
      </c>
      <c r="Q94">
        <f t="shared" si="15"/>
        <v>2022</v>
      </c>
      <c r="R94">
        <f t="shared" ca="1" si="16"/>
        <v>3</v>
      </c>
      <c r="S94" t="str">
        <f t="shared" si="17"/>
        <v>False</v>
      </c>
    </row>
    <row r="95" spans="1:19" x14ac:dyDescent="0.4">
      <c r="A95" s="2" t="s">
        <v>1028</v>
      </c>
      <c r="B95" s="2" t="s">
        <v>199</v>
      </c>
      <c r="C95" s="2" t="s">
        <v>10</v>
      </c>
      <c r="D95" s="2" t="s">
        <v>18</v>
      </c>
      <c r="E95" s="3">
        <v>44691</v>
      </c>
      <c r="F95" s="2" t="s">
        <v>200</v>
      </c>
      <c r="G95" s="2" t="s">
        <v>1029</v>
      </c>
      <c r="H95" s="2" t="s">
        <v>55</v>
      </c>
      <c r="I95" s="6" t="s">
        <v>2344</v>
      </c>
      <c r="J95" s="6" t="s">
        <v>2358</v>
      </c>
      <c r="K95" t="str">
        <f t="shared" si="9"/>
        <v>KABIR DAS</v>
      </c>
      <c r="L95" t="str">
        <f t="shared" si="10"/>
        <v>It</v>
      </c>
      <c r="M95">
        <f t="shared" si="11"/>
        <v>9</v>
      </c>
      <c r="N95" t="str">
        <f t="shared" si="12"/>
        <v>Kabir Das-IT</v>
      </c>
      <c r="O95" t="str">
        <f t="shared" si="13"/>
        <v>company.com</v>
      </c>
      <c r="P95" t="str">
        <f t="shared" si="14"/>
        <v>company.com</v>
      </c>
      <c r="Q95">
        <f t="shared" si="15"/>
        <v>2022</v>
      </c>
      <c r="R95">
        <f t="shared" ca="1" si="16"/>
        <v>4</v>
      </c>
      <c r="S95" t="str">
        <f t="shared" si="17"/>
        <v>False</v>
      </c>
    </row>
    <row r="96" spans="1:19" x14ac:dyDescent="0.4">
      <c r="A96" s="2" t="s">
        <v>1038</v>
      </c>
      <c r="B96" s="2" t="s">
        <v>213</v>
      </c>
      <c r="C96" s="2" t="s">
        <v>10</v>
      </c>
      <c r="D96" s="2" t="s">
        <v>18</v>
      </c>
      <c r="E96" s="3">
        <v>44700</v>
      </c>
      <c r="F96" s="2" t="s">
        <v>214</v>
      </c>
      <c r="G96" s="2" t="s">
        <v>1039</v>
      </c>
      <c r="H96" s="2" t="s">
        <v>64</v>
      </c>
      <c r="I96" s="6" t="s">
        <v>2350</v>
      </c>
      <c r="J96" s="6" t="s">
        <v>2356</v>
      </c>
      <c r="K96" t="str">
        <f t="shared" si="9"/>
        <v>VIVAAN PATEL</v>
      </c>
      <c r="L96" t="str">
        <f t="shared" si="10"/>
        <v>It</v>
      </c>
      <c r="M96">
        <f t="shared" si="11"/>
        <v>12</v>
      </c>
      <c r="N96" t="str">
        <f t="shared" si="12"/>
        <v>Vivaan Patel-IT</v>
      </c>
      <c r="O96" t="str">
        <f t="shared" si="13"/>
        <v>company.com</v>
      </c>
      <c r="P96" t="str">
        <f t="shared" si="14"/>
        <v>company.com</v>
      </c>
      <c r="Q96">
        <f t="shared" si="15"/>
        <v>2022</v>
      </c>
      <c r="R96">
        <f t="shared" ca="1" si="16"/>
        <v>4</v>
      </c>
      <c r="S96" t="str">
        <f t="shared" si="17"/>
        <v>False</v>
      </c>
    </row>
    <row r="97" spans="1:19" x14ac:dyDescent="0.4">
      <c r="A97" s="2" t="s">
        <v>1060</v>
      </c>
      <c r="B97" s="2" t="s">
        <v>255</v>
      </c>
      <c r="C97" s="2" t="s">
        <v>10</v>
      </c>
      <c r="D97" s="2" t="s">
        <v>25</v>
      </c>
      <c r="E97" s="3">
        <v>44866</v>
      </c>
      <c r="F97" s="2" t="s">
        <v>256</v>
      </c>
      <c r="G97" s="2" t="s">
        <v>1061</v>
      </c>
      <c r="H97" s="2" t="s">
        <v>21</v>
      </c>
      <c r="I97" s="6" t="s">
        <v>2346</v>
      </c>
      <c r="J97" s="6" t="s">
        <v>2354</v>
      </c>
      <c r="K97" t="str">
        <f t="shared" si="9"/>
        <v>RIYA SINGH</v>
      </c>
      <c r="L97" t="str">
        <f t="shared" si="10"/>
        <v>It</v>
      </c>
      <c r="M97">
        <f t="shared" si="11"/>
        <v>10</v>
      </c>
      <c r="N97" t="str">
        <f t="shared" si="12"/>
        <v>Riya Singh-IT</v>
      </c>
      <c r="O97" t="str">
        <f t="shared" si="13"/>
        <v>company.com</v>
      </c>
      <c r="P97" t="str">
        <f t="shared" si="14"/>
        <v>company.com</v>
      </c>
      <c r="Q97">
        <f t="shared" si="15"/>
        <v>2022</v>
      </c>
      <c r="R97">
        <f t="shared" ca="1" si="16"/>
        <v>3</v>
      </c>
      <c r="S97" t="str">
        <f t="shared" si="17"/>
        <v>False</v>
      </c>
    </row>
    <row r="98" spans="1:19" x14ac:dyDescent="0.4">
      <c r="A98" s="2" t="s">
        <v>1092</v>
      </c>
      <c r="B98" s="2" t="s">
        <v>9</v>
      </c>
      <c r="C98" s="2" t="s">
        <v>17</v>
      </c>
      <c r="D98" s="2" t="s">
        <v>44</v>
      </c>
      <c r="E98" s="3">
        <v>44853</v>
      </c>
      <c r="F98" s="2" t="s">
        <v>12</v>
      </c>
      <c r="G98" s="2" t="s">
        <v>1093</v>
      </c>
      <c r="H98" s="2" t="s">
        <v>64</v>
      </c>
      <c r="I98" s="6" t="s">
        <v>2352</v>
      </c>
      <c r="J98" s="6" t="s">
        <v>2362</v>
      </c>
      <c r="K98" t="str">
        <f t="shared" si="9"/>
        <v>MEERA MEHTA</v>
      </c>
      <c r="L98" t="str">
        <f t="shared" si="10"/>
        <v>Sales</v>
      </c>
      <c r="M98">
        <f t="shared" si="11"/>
        <v>11</v>
      </c>
      <c r="N98" t="str">
        <f t="shared" si="12"/>
        <v>Meera Mehta-Sales</v>
      </c>
      <c r="O98" t="str">
        <f t="shared" si="13"/>
        <v>company.com</v>
      </c>
      <c r="P98" t="str">
        <f t="shared" si="14"/>
        <v>company.com</v>
      </c>
      <c r="Q98">
        <f t="shared" si="15"/>
        <v>2022</v>
      </c>
      <c r="R98">
        <f t="shared" ca="1" si="16"/>
        <v>4</v>
      </c>
      <c r="S98" t="str">
        <f t="shared" si="17"/>
        <v>False</v>
      </c>
    </row>
    <row r="99" spans="1:19" x14ac:dyDescent="0.4">
      <c r="A99" s="2" t="s">
        <v>1094</v>
      </c>
      <c r="B99" s="2" t="s">
        <v>239</v>
      </c>
      <c r="C99" s="2" t="s">
        <v>10</v>
      </c>
      <c r="D99" s="2" t="s">
        <v>25</v>
      </c>
      <c r="E99" s="3">
        <v>44889</v>
      </c>
      <c r="F99" s="2" t="s">
        <v>240</v>
      </c>
      <c r="G99" s="2" t="s">
        <v>1095</v>
      </c>
      <c r="H99" s="2" t="s">
        <v>14</v>
      </c>
      <c r="I99" s="6" t="s">
        <v>2350</v>
      </c>
      <c r="J99" s="6" t="s">
        <v>2354</v>
      </c>
      <c r="K99" t="str">
        <f t="shared" si="9"/>
        <v>VIVAAN SINGH</v>
      </c>
      <c r="L99" t="str">
        <f t="shared" si="10"/>
        <v>It</v>
      </c>
      <c r="M99">
        <f t="shared" si="11"/>
        <v>12</v>
      </c>
      <c r="N99" t="str">
        <f t="shared" si="12"/>
        <v>Vivaan Singh-IT</v>
      </c>
      <c r="O99" t="str">
        <f t="shared" si="13"/>
        <v>company.com</v>
      </c>
      <c r="P99" t="str">
        <f t="shared" si="14"/>
        <v>company.com</v>
      </c>
      <c r="Q99">
        <f t="shared" si="15"/>
        <v>2022</v>
      </c>
      <c r="R99">
        <f t="shared" ca="1" si="16"/>
        <v>3</v>
      </c>
      <c r="S99" t="str">
        <f t="shared" si="17"/>
        <v>False</v>
      </c>
    </row>
    <row r="100" spans="1:19" x14ac:dyDescent="0.4">
      <c r="A100" s="2" t="s">
        <v>1152</v>
      </c>
      <c r="B100" s="2" t="s">
        <v>885</v>
      </c>
      <c r="C100" s="2" t="s">
        <v>10</v>
      </c>
      <c r="D100" s="2" t="s">
        <v>44</v>
      </c>
      <c r="E100" s="3">
        <v>44807</v>
      </c>
      <c r="F100" s="2" t="s">
        <v>886</v>
      </c>
      <c r="G100" s="2" t="s">
        <v>1153</v>
      </c>
      <c r="H100" s="2" t="s">
        <v>28</v>
      </c>
      <c r="I100" s="6" t="s">
        <v>2350</v>
      </c>
      <c r="J100" s="6" t="s">
        <v>2353</v>
      </c>
      <c r="K100" t="str">
        <f t="shared" si="9"/>
        <v>VIVAAN GUPTA</v>
      </c>
      <c r="L100" t="str">
        <f t="shared" si="10"/>
        <v>It</v>
      </c>
      <c r="M100">
        <f t="shared" si="11"/>
        <v>12</v>
      </c>
      <c r="N100" t="str">
        <f t="shared" si="12"/>
        <v>Vivaan Gupta-IT</v>
      </c>
      <c r="O100" t="str">
        <f t="shared" si="13"/>
        <v>company.com</v>
      </c>
      <c r="P100" t="str">
        <f t="shared" si="14"/>
        <v>company.com</v>
      </c>
      <c r="Q100">
        <f t="shared" si="15"/>
        <v>2022</v>
      </c>
      <c r="R100">
        <f t="shared" ca="1" si="16"/>
        <v>4</v>
      </c>
      <c r="S100" t="str">
        <f t="shared" si="17"/>
        <v>False</v>
      </c>
    </row>
    <row r="101" spans="1:19" x14ac:dyDescent="0.4">
      <c r="A101" s="2" t="s">
        <v>1186</v>
      </c>
      <c r="B101" s="2" t="s">
        <v>153</v>
      </c>
      <c r="C101" s="2" t="s">
        <v>24</v>
      </c>
      <c r="D101" s="2" t="s">
        <v>25</v>
      </c>
      <c r="E101" s="3">
        <v>44637</v>
      </c>
      <c r="F101" s="2" t="s">
        <v>154</v>
      </c>
      <c r="G101" s="2" t="s">
        <v>1187</v>
      </c>
      <c r="H101" s="2" t="s">
        <v>14</v>
      </c>
      <c r="I101" s="6" t="s">
        <v>2344</v>
      </c>
      <c r="J101" s="6" t="s">
        <v>2356</v>
      </c>
      <c r="K101" t="str">
        <f t="shared" si="9"/>
        <v>KABIR PATEL</v>
      </c>
      <c r="L101" t="str">
        <f t="shared" si="10"/>
        <v>Marketing</v>
      </c>
      <c r="M101">
        <f t="shared" si="11"/>
        <v>11</v>
      </c>
      <c r="N101" t="str">
        <f t="shared" si="12"/>
        <v>Kabir Patel-Marketing</v>
      </c>
      <c r="O101" t="str">
        <f t="shared" si="13"/>
        <v>company.com</v>
      </c>
      <c r="P101" t="str">
        <f t="shared" si="14"/>
        <v>company.com</v>
      </c>
      <c r="Q101">
        <f t="shared" si="15"/>
        <v>2022</v>
      </c>
      <c r="R101">
        <f t="shared" ca="1" si="16"/>
        <v>4</v>
      </c>
      <c r="S101" t="str">
        <f t="shared" si="17"/>
        <v>False</v>
      </c>
    </row>
    <row r="102" spans="1:19" x14ac:dyDescent="0.4">
      <c r="A102" s="2" t="s">
        <v>1188</v>
      </c>
      <c r="B102" s="2" t="s">
        <v>95</v>
      </c>
      <c r="C102" s="2" t="s">
        <v>87</v>
      </c>
      <c r="D102" s="2" t="s">
        <v>44</v>
      </c>
      <c r="E102" s="3">
        <v>44605</v>
      </c>
      <c r="F102" s="2" t="s">
        <v>96</v>
      </c>
      <c r="G102" s="2" t="s">
        <v>1189</v>
      </c>
      <c r="H102" s="2" t="s">
        <v>55</v>
      </c>
      <c r="I102" s="6" t="s">
        <v>2352</v>
      </c>
      <c r="J102" s="6" t="s">
        <v>2360</v>
      </c>
      <c r="K102" t="str">
        <f t="shared" si="9"/>
        <v>MEERA SHARMA</v>
      </c>
      <c r="L102" t="str">
        <f t="shared" si="10"/>
        <v>Operations</v>
      </c>
      <c r="M102">
        <f t="shared" si="11"/>
        <v>12</v>
      </c>
      <c r="N102" t="str">
        <f t="shared" si="12"/>
        <v>Meera Sharma-Operations</v>
      </c>
      <c r="O102" t="str">
        <f t="shared" si="13"/>
        <v>company.com</v>
      </c>
      <c r="P102" t="str">
        <f t="shared" si="14"/>
        <v>company.com</v>
      </c>
      <c r="Q102">
        <f t="shared" si="15"/>
        <v>2022</v>
      </c>
      <c r="R102">
        <f t="shared" ca="1" si="16"/>
        <v>4</v>
      </c>
      <c r="S102" t="str">
        <f t="shared" si="17"/>
        <v>False</v>
      </c>
    </row>
    <row r="103" spans="1:19" x14ac:dyDescent="0.4">
      <c r="A103" s="2" t="s">
        <v>1212</v>
      </c>
      <c r="B103" s="2" t="s">
        <v>629</v>
      </c>
      <c r="C103" s="2" t="s">
        <v>17</v>
      </c>
      <c r="D103" s="2" t="s">
        <v>44</v>
      </c>
      <c r="E103" s="3">
        <v>44657</v>
      </c>
      <c r="F103" s="2" t="s">
        <v>630</v>
      </c>
      <c r="G103" s="2" t="s">
        <v>1213</v>
      </c>
      <c r="H103" s="2" t="s">
        <v>55</v>
      </c>
      <c r="I103" s="6" t="s">
        <v>2351</v>
      </c>
      <c r="J103" s="6" t="s">
        <v>2357</v>
      </c>
      <c r="K103" t="str">
        <f t="shared" si="9"/>
        <v>ADITYA JOSHI</v>
      </c>
      <c r="L103" t="str">
        <f t="shared" si="10"/>
        <v>Sales</v>
      </c>
      <c r="M103">
        <f t="shared" si="11"/>
        <v>12</v>
      </c>
      <c r="N103" t="str">
        <f t="shared" si="12"/>
        <v>Aditya Joshi-Sales</v>
      </c>
      <c r="O103" t="str">
        <f t="shared" si="13"/>
        <v>company.com</v>
      </c>
      <c r="P103" t="str">
        <f t="shared" si="14"/>
        <v>company.com</v>
      </c>
      <c r="Q103">
        <f t="shared" si="15"/>
        <v>2022</v>
      </c>
      <c r="R103">
        <f t="shared" ca="1" si="16"/>
        <v>4</v>
      </c>
      <c r="S103" t="str">
        <f t="shared" si="17"/>
        <v>False</v>
      </c>
    </row>
    <row r="104" spans="1:19" x14ac:dyDescent="0.4">
      <c r="A104" s="2" t="s">
        <v>22</v>
      </c>
      <c r="B104" s="2" t="s">
        <v>23</v>
      </c>
      <c r="C104" s="2" t="s">
        <v>24</v>
      </c>
      <c r="D104" s="2" t="s">
        <v>25</v>
      </c>
      <c r="E104" s="3">
        <v>44393</v>
      </c>
      <c r="F104" s="2" t="s">
        <v>26</v>
      </c>
      <c r="G104" s="2" t="s">
        <v>27</v>
      </c>
      <c r="H104" s="2" t="s">
        <v>28</v>
      </c>
      <c r="I104" s="6" t="s">
        <v>2350</v>
      </c>
      <c r="J104" s="6" t="s">
        <v>2362</v>
      </c>
      <c r="K104" t="str">
        <f t="shared" si="9"/>
        <v>VIVAAN MEHTA</v>
      </c>
      <c r="L104" t="str">
        <f t="shared" si="10"/>
        <v>Marketing</v>
      </c>
      <c r="M104">
        <f t="shared" si="11"/>
        <v>12</v>
      </c>
      <c r="N104" t="str">
        <f t="shared" si="12"/>
        <v>Vivaan Mehta-Marketing</v>
      </c>
      <c r="O104" t="str">
        <f t="shared" si="13"/>
        <v>company.com</v>
      </c>
      <c r="P104" t="str">
        <f t="shared" si="14"/>
        <v>company.com</v>
      </c>
      <c r="Q104">
        <f t="shared" si="15"/>
        <v>2021</v>
      </c>
      <c r="R104">
        <f t="shared" ca="1" si="16"/>
        <v>5</v>
      </c>
      <c r="S104" t="str">
        <f t="shared" si="17"/>
        <v>False</v>
      </c>
    </row>
    <row r="105" spans="1:19" x14ac:dyDescent="0.4">
      <c r="A105" s="2" t="s">
        <v>29</v>
      </c>
      <c r="B105" s="2" t="s">
        <v>30</v>
      </c>
      <c r="C105" s="2" t="s">
        <v>31</v>
      </c>
      <c r="D105" s="2" t="s">
        <v>18</v>
      </c>
      <c r="E105" s="3">
        <v>44365</v>
      </c>
      <c r="F105" s="2" t="s">
        <v>32</v>
      </c>
      <c r="G105" s="2" t="s">
        <v>33</v>
      </c>
      <c r="H105" s="2" t="s">
        <v>28</v>
      </c>
      <c r="I105" s="6" t="s">
        <v>2348</v>
      </c>
      <c r="J105" s="6" t="s">
        <v>2359</v>
      </c>
      <c r="K105" t="str">
        <f t="shared" si="9"/>
        <v>ANANYA REDDY</v>
      </c>
      <c r="L105" t="str">
        <f t="shared" si="10"/>
        <v>Finance</v>
      </c>
      <c r="M105">
        <f t="shared" si="11"/>
        <v>12</v>
      </c>
      <c r="N105" t="str">
        <f t="shared" si="12"/>
        <v>Ananya Reddy-Finance</v>
      </c>
      <c r="O105" t="str">
        <f t="shared" si="13"/>
        <v>company.com</v>
      </c>
      <c r="P105" t="str">
        <f t="shared" si="14"/>
        <v>company.com</v>
      </c>
      <c r="Q105">
        <f t="shared" si="15"/>
        <v>2021</v>
      </c>
      <c r="R105">
        <f t="shared" ca="1" si="16"/>
        <v>5</v>
      </c>
      <c r="S105" t="str">
        <f t="shared" si="17"/>
        <v>False</v>
      </c>
    </row>
    <row r="106" spans="1:19" x14ac:dyDescent="0.4">
      <c r="A106" s="2" t="s">
        <v>198</v>
      </c>
      <c r="B106" s="2" t="s">
        <v>199</v>
      </c>
      <c r="C106" s="2" t="s">
        <v>24</v>
      </c>
      <c r="D106" s="2" t="s">
        <v>49</v>
      </c>
      <c r="E106" s="3">
        <v>44466</v>
      </c>
      <c r="F106" s="2" t="s">
        <v>200</v>
      </c>
      <c r="G106" s="2" t="s">
        <v>201</v>
      </c>
      <c r="H106" s="2" t="s">
        <v>55</v>
      </c>
      <c r="I106" s="6" t="s">
        <v>2344</v>
      </c>
      <c r="J106" s="6" t="s">
        <v>2358</v>
      </c>
      <c r="K106" t="str">
        <f t="shared" si="9"/>
        <v>KABIR DAS</v>
      </c>
      <c r="L106" t="str">
        <f t="shared" si="10"/>
        <v>Marketing</v>
      </c>
      <c r="M106">
        <f t="shared" si="11"/>
        <v>9</v>
      </c>
      <c r="N106" t="str">
        <f t="shared" si="12"/>
        <v>Kabir Das-Marketing</v>
      </c>
      <c r="O106" t="str">
        <f t="shared" si="13"/>
        <v>company.com</v>
      </c>
      <c r="P106" t="str">
        <f t="shared" si="14"/>
        <v>company.com</v>
      </c>
      <c r="Q106">
        <f t="shared" si="15"/>
        <v>2021</v>
      </c>
      <c r="R106">
        <f t="shared" ca="1" si="16"/>
        <v>5</v>
      </c>
      <c r="S106" t="str">
        <f t="shared" si="17"/>
        <v>False</v>
      </c>
    </row>
    <row r="107" spans="1:19" x14ac:dyDescent="0.4">
      <c r="A107" s="2" t="s">
        <v>202</v>
      </c>
      <c r="B107" s="2" t="s">
        <v>203</v>
      </c>
      <c r="C107" s="2" t="s">
        <v>17</v>
      </c>
      <c r="D107" s="2" t="s">
        <v>18</v>
      </c>
      <c r="E107" s="3">
        <v>44487</v>
      </c>
      <c r="F107" s="2" t="s">
        <v>204</v>
      </c>
      <c r="G107" s="2" t="s">
        <v>205</v>
      </c>
      <c r="H107" s="2" t="s">
        <v>14</v>
      </c>
      <c r="I107" s="6" t="s">
        <v>2348</v>
      </c>
      <c r="J107" s="6" t="s">
        <v>2353</v>
      </c>
      <c r="K107" t="str">
        <f t="shared" si="9"/>
        <v>ANANYA GUPTA</v>
      </c>
      <c r="L107" t="str">
        <f t="shared" si="10"/>
        <v>Sales</v>
      </c>
      <c r="M107">
        <f t="shared" si="11"/>
        <v>12</v>
      </c>
      <c r="N107" t="str">
        <f t="shared" si="12"/>
        <v>Ananya Gupta-Sales</v>
      </c>
      <c r="O107" t="str">
        <f t="shared" si="13"/>
        <v>company.com</v>
      </c>
      <c r="P107" t="str">
        <f t="shared" si="14"/>
        <v>company.com</v>
      </c>
      <c r="Q107">
        <f t="shared" si="15"/>
        <v>2021</v>
      </c>
      <c r="R107">
        <f t="shared" ca="1" si="16"/>
        <v>5</v>
      </c>
      <c r="S107" t="str">
        <f t="shared" si="17"/>
        <v>False</v>
      </c>
    </row>
    <row r="108" spans="1:19" x14ac:dyDescent="0.4">
      <c r="A108" s="2" t="s">
        <v>224</v>
      </c>
      <c r="B108" s="2" t="s">
        <v>225</v>
      </c>
      <c r="C108" s="2" t="s">
        <v>31</v>
      </c>
      <c r="D108" s="2" t="s">
        <v>49</v>
      </c>
      <c r="E108" s="3">
        <v>44288</v>
      </c>
      <c r="F108" s="2" t="s">
        <v>226</v>
      </c>
      <c r="G108" s="2" t="s">
        <v>227</v>
      </c>
      <c r="H108" s="2" t="s">
        <v>64</v>
      </c>
      <c r="I108" s="6" t="s">
        <v>2347</v>
      </c>
      <c r="J108" s="6" t="s">
        <v>2353</v>
      </c>
      <c r="K108" t="str">
        <f t="shared" si="9"/>
        <v>ARJUN GUPTA</v>
      </c>
      <c r="L108" t="str">
        <f t="shared" si="10"/>
        <v>Finance</v>
      </c>
      <c r="M108">
        <f t="shared" si="11"/>
        <v>11</v>
      </c>
      <c r="N108" t="str">
        <f t="shared" si="12"/>
        <v>Arjun Gupta-Finance</v>
      </c>
      <c r="O108" t="str">
        <f t="shared" si="13"/>
        <v>company.com</v>
      </c>
      <c r="P108" t="str">
        <f t="shared" si="14"/>
        <v>company.com</v>
      </c>
      <c r="Q108">
        <f t="shared" si="15"/>
        <v>2021</v>
      </c>
      <c r="R108">
        <f t="shared" ca="1" si="16"/>
        <v>5</v>
      </c>
      <c r="S108" t="str">
        <f t="shared" si="17"/>
        <v>False</v>
      </c>
    </row>
    <row r="109" spans="1:19" x14ac:dyDescent="0.4">
      <c r="A109" s="2" t="s">
        <v>232</v>
      </c>
      <c r="B109" s="2" t="s">
        <v>78</v>
      </c>
      <c r="C109" s="2" t="s">
        <v>87</v>
      </c>
      <c r="D109" s="2" t="s">
        <v>18</v>
      </c>
      <c r="E109" s="3">
        <v>44479</v>
      </c>
      <c r="F109" s="2" t="s">
        <v>79</v>
      </c>
      <c r="G109" s="2" t="s">
        <v>233</v>
      </c>
      <c r="H109" s="2" t="s">
        <v>64</v>
      </c>
      <c r="I109" s="6" t="s">
        <v>2348</v>
      </c>
      <c r="J109" s="6" t="s">
        <v>2356</v>
      </c>
      <c r="K109" t="str">
        <f t="shared" si="9"/>
        <v>ANANYA PATEL</v>
      </c>
      <c r="L109" t="str">
        <f t="shared" si="10"/>
        <v>Operations</v>
      </c>
      <c r="M109">
        <f t="shared" si="11"/>
        <v>12</v>
      </c>
      <c r="N109" t="str">
        <f t="shared" si="12"/>
        <v>Ananya Patel-Operations</v>
      </c>
      <c r="O109" t="str">
        <f t="shared" si="13"/>
        <v>company.com</v>
      </c>
      <c r="P109" t="str">
        <f t="shared" si="14"/>
        <v>company.com</v>
      </c>
      <c r="Q109">
        <f t="shared" si="15"/>
        <v>2021</v>
      </c>
      <c r="R109">
        <f t="shared" ca="1" si="16"/>
        <v>5</v>
      </c>
      <c r="S109" t="str">
        <f t="shared" si="17"/>
        <v>False</v>
      </c>
    </row>
    <row r="110" spans="1:19" x14ac:dyDescent="0.4">
      <c r="A110" s="2" t="s">
        <v>298</v>
      </c>
      <c r="B110" s="2" t="s">
        <v>299</v>
      </c>
      <c r="C110" s="2" t="s">
        <v>24</v>
      </c>
      <c r="D110" s="2" t="s">
        <v>44</v>
      </c>
      <c r="E110" s="3">
        <v>44516</v>
      </c>
      <c r="F110" s="2" t="s">
        <v>300</v>
      </c>
      <c r="G110" s="2" t="s">
        <v>301</v>
      </c>
      <c r="H110" s="2" t="s">
        <v>14</v>
      </c>
      <c r="I110" s="6" t="s">
        <v>2351</v>
      </c>
      <c r="J110" s="6" t="s">
        <v>2361</v>
      </c>
      <c r="K110" t="str">
        <f t="shared" si="9"/>
        <v>ADITYA KHAN</v>
      </c>
      <c r="L110" t="str">
        <f t="shared" si="10"/>
        <v>Marketing</v>
      </c>
      <c r="M110">
        <f t="shared" si="11"/>
        <v>11</v>
      </c>
      <c r="N110" t="str">
        <f t="shared" si="12"/>
        <v>Aditya Khan-Marketing</v>
      </c>
      <c r="O110" t="str">
        <f t="shared" si="13"/>
        <v>company.com</v>
      </c>
      <c r="P110" t="str">
        <f t="shared" si="14"/>
        <v>company.com</v>
      </c>
      <c r="Q110">
        <f t="shared" si="15"/>
        <v>2021</v>
      </c>
      <c r="R110">
        <f t="shared" ca="1" si="16"/>
        <v>4</v>
      </c>
      <c r="S110" t="str">
        <f t="shared" si="17"/>
        <v>False</v>
      </c>
    </row>
    <row r="111" spans="1:19" x14ac:dyDescent="0.4">
      <c r="A111" s="2" t="s">
        <v>384</v>
      </c>
      <c r="B111" s="2" t="s">
        <v>385</v>
      </c>
      <c r="C111" s="2" t="s">
        <v>53</v>
      </c>
      <c r="D111" s="2" t="s">
        <v>44</v>
      </c>
      <c r="E111" s="3">
        <v>44450</v>
      </c>
      <c r="F111" s="2" t="s">
        <v>386</v>
      </c>
      <c r="G111" s="2" t="s">
        <v>387</v>
      </c>
      <c r="H111" s="2" t="s">
        <v>55</v>
      </c>
      <c r="I111" s="6" t="s">
        <v>2343</v>
      </c>
      <c r="J111" s="6" t="s">
        <v>2355</v>
      </c>
      <c r="K111" t="str">
        <f t="shared" si="9"/>
        <v>DIYA NAIR</v>
      </c>
      <c r="L111" t="str">
        <f t="shared" si="10"/>
        <v>Hr</v>
      </c>
      <c r="M111">
        <f t="shared" si="11"/>
        <v>9</v>
      </c>
      <c r="N111" t="str">
        <f t="shared" si="12"/>
        <v>Diya Nair-HR</v>
      </c>
      <c r="O111" t="str">
        <f t="shared" si="13"/>
        <v>company.com</v>
      </c>
      <c r="P111" t="str">
        <f t="shared" si="14"/>
        <v>company.com</v>
      </c>
      <c r="Q111">
        <f t="shared" si="15"/>
        <v>2021</v>
      </c>
      <c r="R111">
        <f t="shared" ca="1" si="16"/>
        <v>5</v>
      </c>
      <c r="S111" t="str">
        <f t="shared" si="17"/>
        <v>False</v>
      </c>
    </row>
    <row r="112" spans="1:19" x14ac:dyDescent="0.4">
      <c r="A112" s="2" t="s">
        <v>404</v>
      </c>
      <c r="B112" s="2" t="s">
        <v>405</v>
      </c>
      <c r="C112" s="2" t="s">
        <v>10</v>
      </c>
      <c r="D112" s="2" t="s">
        <v>49</v>
      </c>
      <c r="E112" s="3">
        <v>44213</v>
      </c>
      <c r="F112" s="2" t="s">
        <v>406</v>
      </c>
      <c r="G112" s="2" t="s">
        <v>407</v>
      </c>
      <c r="H112" s="2" t="s">
        <v>21</v>
      </c>
      <c r="I112" s="6" t="s">
        <v>2348</v>
      </c>
      <c r="J112" s="6" t="s">
        <v>2354</v>
      </c>
      <c r="K112" t="str">
        <f t="shared" si="9"/>
        <v>ANANYA SINGH</v>
      </c>
      <c r="L112" t="str">
        <f t="shared" si="10"/>
        <v>It</v>
      </c>
      <c r="M112">
        <f t="shared" si="11"/>
        <v>12</v>
      </c>
      <c r="N112" t="str">
        <f t="shared" si="12"/>
        <v>Ananya Singh-IT</v>
      </c>
      <c r="O112" t="str">
        <f t="shared" si="13"/>
        <v>company.com</v>
      </c>
      <c r="P112" t="str">
        <f t="shared" si="14"/>
        <v>company.com</v>
      </c>
      <c r="Q112">
        <f t="shared" si="15"/>
        <v>2021</v>
      </c>
      <c r="R112">
        <f t="shared" ca="1" si="16"/>
        <v>5</v>
      </c>
      <c r="S112" t="str">
        <f t="shared" si="17"/>
        <v>False</v>
      </c>
    </row>
    <row r="113" spans="1:19" x14ac:dyDescent="0.4">
      <c r="A113" s="2" t="s">
        <v>424</v>
      </c>
      <c r="B113" s="2" t="s">
        <v>271</v>
      </c>
      <c r="C113" s="2" t="s">
        <v>87</v>
      </c>
      <c r="D113" s="2" t="s">
        <v>18</v>
      </c>
      <c r="E113" s="3">
        <v>44329</v>
      </c>
      <c r="F113" s="2" t="s">
        <v>272</v>
      </c>
      <c r="G113" s="2" t="s">
        <v>425</v>
      </c>
      <c r="H113" s="2" t="s">
        <v>21</v>
      </c>
      <c r="I113" s="6" t="s">
        <v>2347</v>
      </c>
      <c r="J113" s="6" t="s">
        <v>2357</v>
      </c>
      <c r="K113" t="str">
        <f t="shared" si="9"/>
        <v>ARJUN JOSHI</v>
      </c>
      <c r="L113" t="str">
        <f t="shared" si="10"/>
        <v>Operations</v>
      </c>
      <c r="M113">
        <f t="shared" si="11"/>
        <v>11</v>
      </c>
      <c r="N113" t="str">
        <f t="shared" si="12"/>
        <v>Arjun Joshi-Operations</v>
      </c>
      <c r="O113" t="str">
        <f t="shared" si="13"/>
        <v>company.com</v>
      </c>
      <c r="P113" t="str">
        <f t="shared" si="14"/>
        <v>company.com</v>
      </c>
      <c r="Q113">
        <f t="shared" si="15"/>
        <v>2021</v>
      </c>
      <c r="R113">
        <f t="shared" ca="1" si="16"/>
        <v>5</v>
      </c>
      <c r="S113" t="str">
        <f t="shared" si="17"/>
        <v>False</v>
      </c>
    </row>
    <row r="114" spans="1:19" x14ac:dyDescent="0.4">
      <c r="A114" s="2" t="s">
        <v>432</v>
      </c>
      <c r="B114" s="2" t="s">
        <v>157</v>
      </c>
      <c r="C114" s="2" t="s">
        <v>53</v>
      </c>
      <c r="D114" s="2" t="s">
        <v>44</v>
      </c>
      <c r="E114" s="3">
        <v>44542</v>
      </c>
      <c r="F114" s="2" t="s">
        <v>158</v>
      </c>
      <c r="G114" s="2" t="s">
        <v>433</v>
      </c>
      <c r="H114" s="2" t="s">
        <v>21</v>
      </c>
      <c r="I114" s="6" t="s">
        <v>2346</v>
      </c>
      <c r="J114" s="6" t="s">
        <v>2362</v>
      </c>
      <c r="K114" t="str">
        <f t="shared" si="9"/>
        <v>RIYA MEHTA</v>
      </c>
      <c r="L114" t="str">
        <f t="shared" si="10"/>
        <v>Hr</v>
      </c>
      <c r="M114">
        <f t="shared" si="11"/>
        <v>10</v>
      </c>
      <c r="N114" t="str">
        <f t="shared" si="12"/>
        <v>Riya Mehta-HR</v>
      </c>
      <c r="O114" t="str">
        <f t="shared" si="13"/>
        <v>company.com</v>
      </c>
      <c r="P114" t="str">
        <f t="shared" si="14"/>
        <v>company.com</v>
      </c>
      <c r="Q114">
        <f t="shared" si="15"/>
        <v>2021</v>
      </c>
      <c r="R114">
        <f t="shared" ca="1" si="16"/>
        <v>4</v>
      </c>
      <c r="S114" t="str">
        <f t="shared" si="17"/>
        <v>False</v>
      </c>
    </row>
    <row r="115" spans="1:19" x14ac:dyDescent="0.4">
      <c r="A115" s="2" t="s">
        <v>454</v>
      </c>
      <c r="B115" s="2" t="s">
        <v>279</v>
      </c>
      <c r="C115" s="2" t="s">
        <v>17</v>
      </c>
      <c r="D115" s="2" t="s">
        <v>49</v>
      </c>
      <c r="E115" s="3">
        <v>44422</v>
      </c>
      <c r="F115" s="2" t="s">
        <v>280</v>
      </c>
      <c r="G115" s="2" t="s">
        <v>455</v>
      </c>
      <c r="H115" s="2" t="s">
        <v>64</v>
      </c>
      <c r="I115" s="6" t="s">
        <v>2343</v>
      </c>
      <c r="J115" s="6" t="s">
        <v>2356</v>
      </c>
      <c r="K115" t="str">
        <f t="shared" si="9"/>
        <v>DIYA PATEL</v>
      </c>
      <c r="L115" t="str">
        <f t="shared" si="10"/>
        <v>Sales</v>
      </c>
      <c r="M115">
        <f t="shared" si="11"/>
        <v>10</v>
      </c>
      <c r="N115" t="str">
        <f t="shared" si="12"/>
        <v>Diya Patel-Sales</v>
      </c>
      <c r="O115" t="str">
        <f t="shared" si="13"/>
        <v>company.com</v>
      </c>
      <c r="P115" t="str">
        <f t="shared" si="14"/>
        <v>company.com</v>
      </c>
      <c r="Q115">
        <f t="shared" si="15"/>
        <v>2021</v>
      </c>
      <c r="R115">
        <f t="shared" ca="1" si="16"/>
        <v>5</v>
      </c>
      <c r="S115" t="str">
        <f t="shared" si="17"/>
        <v>False</v>
      </c>
    </row>
    <row r="116" spans="1:19" x14ac:dyDescent="0.4">
      <c r="A116" s="2" t="s">
        <v>456</v>
      </c>
      <c r="B116" s="2" t="s">
        <v>457</v>
      </c>
      <c r="C116" s="2" t="s">
        <v>17</v>
      </c>
      <c r="D116" s="2" t="s">
        <v>25</v>
      </c>
      <c r="E116" s="3">
        <v>44540</v>
      </c>
      <c r="F116" s="2" t="s">
        <v>458</v>
      </c>
      <c r="G116" s="2" t="s">
        <v>459</v>
      </c>
      <c r="H116" s="2" t="s">
        <v>28</v>
      </c>
      <c r="I116" s="6" t="s">
        <v>2344</v>
      </c>
      <c r="J116" s="6" t="s">
        <v>2362</v>
      </c>
      <c r="K116" t="str">
        <f t="shared" si="9"/>
        <v>KABIR MEHTA</v>
      </c>
      <c r="L116" t="str">
        <f t="shared" si="10"/>
        <v>Sales</v>
      </c>
      <c r="M116">
        <f t="shared" si="11"/>
        <v>11</v>
      </c>
      <c r="N116" t="str">
        <f t="shared" si="12"/>
        <v>Kabir Mehta-Sales</v>
      </c>
      <c r="O116" t="str">
        <f t="shared" si="13"/>
        <v>company.com</v>
      </c>
      <c r="P116" t="str">
        <f t="shared" si="14"/>
        <v>company.com</v>
      </c>
      <c r="Q116">
        <f t="shared" si="15"/>
        <v>2021</v>
      </c>
      <c r="R116">
        <f t="shared" ca="1" si="16"/>
        <v>4</v>
      </c>
      <c r="S116" t="str">
        <f t="shared" si="17"/>
        <v>False</v>
      </c>
    </row>
    <row r="117" spans="1:19" x14ac:dyDescent="0.4">
      <c r="A117" s="2" t="s">
        <v>478</v>
      </c>
      <c r="B117" s="2" t="s">
        <v>157</v>
      </c>
      <c r="C117" s="2" t="s">
        <v>17</v>
      </c>
      <c r="D117" s="2" t="s">
        <v>49</v>
      </c>
      <c r="E117" s="3">
        <v>44405</v>
      </c>
      <c r="F117" s="2" t="s">
        <v>158</v>
      </c>
      <c r="G117" s="2" t="s">
        <v>479</v>
      </c>
      <c r="H117" s="2" t="s">
        <v>21</v>
      </c>
      <c r="I117" s="6" t="s">
        <v>2346</v>
      </c>
      <c r="J117" s="6" t="s">
        <v>2362</v>
      </c>
      <c r="K117" t="str">
        <f t="shared" si="9"/>
        <v>RIYA MEHTA</v>
      </c>
      <c r="L117" t="str">
        <f t="shared" si="10"/>
        <v>Sales</v>
      </c>
      <c r="M117">
        <f t="shared" si="11"/>
        <v>10</v>
      </c>
      <c r="N117" t="str">
        <f t="shared" si="12"/>
        <v>Riya Mehta-Sales</v>
      </c>
      <c r="O117" t="str">
        <f t="shared" si="13"/>
        <v>company.com</v>
      </c>
      <c r="P117" t="str">
        <f t="shared" si="14"/>
        <v>company.com</v>
      </c>
      <c r="Q117">
        <f t="shared" si="15"/>
        <v>2021</v>
      </c>
      <c r="R117">
        <f t="shared" ca="1" si="16"/>
        <v>5</v>
      </c>
      <c r="S117" t="str">
        <f t="shared" si="17"/>
        <v>False</v>
      </c>
    </row>
    <row r="118" spans="1:19" x14ac:dyDescent="0.4">
      <c r="A118" s="2" t="s">
        <v>482</v>
      </c>
      <c r="B118" s="2" t="s">
        <v>411</v>
      </c>
      <c r="C118" s="2" t="s">
        <v>10</v>
      </c>
      <c r="D118" s="2" t="s">
        <v>25</v>
      </c>
      <c r="E118" s="3">
        <v>44486</v>
      </c>
      <c r="F118" s="2" t="s">
        <v>412</v>
      </c>
      <c r="G118" s="2" t="s">
        <v>483</v>
      </c>
      <c r="H118" s="2" t="s">
        <v>28</v>
      </c>
      <c r="I118" s="6" t="s">
        <v>2349</v>
      </c>
      <c r="J118" s="6" t="s">
        <v>2357</v>
      </c>
      <c r="K118" t="str">
        <f t="shared" si="9"/>
        <v>AARAV JOSHI</v>
      </c>
      <c r="L118" t="str">
        <f t="shared" si="10"/>
        <v>It</v>
      </c>
      <c r="M118">
        <f t="shared" si="11"/>
        <v>11</v>
      </c>
      <c r="N118" t="str">
        <f t="shared" si="12"/>
        <v>Aarav Joshi-IT</v>
      </c>
      <c r="O118" t="str">
        <f t="shared" si="13"/>
        <v>company.com</v>
      </c>
      <c r="P118" t="str">
        <f t="shared" si="14"/>
        <v>company.com</v>
      </c>
      <c r="Q118">
        <f t="shared" si="15"/>
        <v>2021</v>
      </c>
      <c r="R118">
        <f t="shared" ca="1" si="16"/>
        <v>5</v>
      </c>
      <c r="S118" t="str">
        <f t="shared" si="17"/>
        <v>False</v>
      </c>
    </row>
    <row r="119" spans="1:19" x14ac:dyDescent="0.4">
      <c r="A119" s="2" t="s">
        <v>502</v>
      </c>
      <c r="B119" s="2" t="s">
        <v>153</v>
      </c>
      <c r="C119" s="2" t="s">
        <v>87</v>
      </c>
      <c r="D119" s="2" t="s">
        <v>18</v>
      </c>
      <c r="E119" s="3">
        <v>44397</v>
      </c>
      <c r="F119" s="2" t="s">
        <v>154</v>
      </c>
      <c r="G119" s="2" t="s">
        <v>503</v>
      </c>
      <c r="H119" s="2" t="s">
        <v>21</v>
      </c>
      <c r="I119" s="6" t="s">
        <v>2344</v>
      </c>
      <c r="J119" s="6" t="s">
        <v>2356</v>
      </c>
      <c r="K119" t="str">
        <f t="shared" si="9"/>
        <v>KABIR PATEL</v>
      </c>
      <c r="L119" t="str">
        <f t="shared" si="10"/>
        <v>Operations</v>
      </c>
      <c r="M119">
        <f t="shared" si="11"/>
        <v>11</v>
      </c>
      <c r="N119" t="str">
        <f t="shared" si="12"/>
        <v>Kabir Patel-Operations</v>
      </c>
      <c r="O119" t="str">
        <f t="shared" si="13"/>
        <v>company.com</v>
      </c>
      <c r="P119" t="str">
        <f t="shared" si="14"/>
        <v>company.com</v>
      </c>
      <c r="Q119">
        <f t="shared" si="15"/>
        <v>2021</v>
      </c>
      <c r="R119">
        <f t="shared" ca="1" si="16"/>
        <v>5</v>
      </c>
      <c r="S119" t="str">
        <f t="shared" si="17"/>
        <v>False</v>
      </c>
    </row>
    <row r="120" spans="1:19" x14ac:dyDescent="0.4">
      <c r="A120" s="2" t="s">
        <v>506</v>
      </c>
      <c r="B120" s="2" t="s">
        <v>129</v>
      </c>
      <c r="C120" s="2" t="s">
        <v>17</v>
      </c>
      <c r="D120" s="2" t="s">
        <v>11</v>
      </c>
      <c r="E120" s="3">
        <v>44522</v>
      </c>
      <c r="F120" s="2" t="s">
        <v>130</v>
      </c>
      <c r="G120" s="2" t="s">
        <v>507</v>
      </c>
      <c r="H120" s="2" t="s">
        <v>21</v>
      </c>
      <c r="I120" s="6" t="s">
        <v>2345</v>
      </c>
      <c r="J120" s="6" t="s">
        <v>2355</v>
      </c>
      <c r="K120" t="str">
        <f t="shared" si="9"/>
        <v>ISHA NAIR</v>
      </c>
      <c r="L120" t="str">
        <f t="shared" si="10"/>
        <v>Sales</v>
      </c>
      <c r="M120">
        <f t="shared" si="11"/>
        <v>9</v>
      </c>
      <c r="N120" t="str">
        <f t="shared" si="12"/>
        <v>Isha Nair-Sales</v>
      </c>
      <c r="O120" t="str">
        <f t="shared" si="13"/>
        <v>company.com</v>
      </c>
      <c r="P120" t="str">
        <f t="shared" si="14"/>
        <v>company.com</v>
      </c>
      <c r="Q120">
        <f t="shared" si="15"/>
        <v>2021</v>
      </c>
      <c r="R120">
        <f t="shared" ca="1" si="16"/>
        <v>4</v>
      </c>
      <c r="S120" t="str">
        <f t="shared" si="17"/>
        <v>False</v>
      </c>
    </row>
    <row r="121" spans="1:19" x14ac:dyDescent="0.4">
      <c r="A121" s="2" t="s">
        <v>512</v>
      </c>
      <c r="B121" s="2" t="s">
        <v>351</v>
      </c>
      <c r="C121" s="2" t="s">
        <v>31</v>
      </c>
      <c r="D121" s="2" t="s">
        <v>18</v>
      </c>
      <c r="E121" s="3">
        <v>44519</v>
      </c>
      <c r="F121" s="2" t="s">
        <v>352</v>
      </c>
      <c r="G121" s="2" t="s">
        <v>513</v>
      </c>
      <c r="H121" s="2" t="s">
        <v>55</v>
      </c>
      <c r="I121" s="6" t="s">
        <v>2348</v>
      </c>
      <c r="J121" s="6" t="s">
        <v>2361</v>
      </c>
      <c r="K121" t="str">
        <f t="shared" si="9"/>
        <v>ANANYA KHAN</v>
      </c>
      <c r="L121" t="str">
        <f t="shared" si="10"/>
        <v>Finance</v>
      </c>
      <c r="M121">
        <f t="shared" si="11"/>
        <v>11</v>
      </c>
      <c r="N121" t="str">
        <f t="shared" si="12"/>
        <v>Ananya Khan-Finance</v>
      </c>
      <c r="O121" t="str">
        <f t="shared" si="13"/>
        <v>company.com</v>
      </c>
      <c r="P121" t="str">
        <f t="shared" si="14"/>
        <v>company.com</v>
      </c>
      <c r="Q121">
        <f t="shared" si="15"/>
        <v>2021</v>
      </c>
      <c r="R121">
        <f t="shared" ca="1" si="16"/>
        <v>4</v>
      </c>
      <c r="S121" t="str">
        <f t="shared" si="17"/>
        <v>False</v>
      </c>
    </row>
    <row r="122" spans="1:19" x14ac:dyDescent="0.4">
      <c r="A122" s="2" t="s">
        <v>538</v>
      </c>
      <c r="B122" s="2" t="s">
        <v>209</v>
      </c>
      <c r="C122" s="2" t="s">
        <v>31</v>
      </c>
      <c r="D122" s="2" t="s">
        <v>11</v>
      </c>
      <c r="E122" s="3">
        <v>44297</v>
      </c>
      <c r="F122" s="2" t="s">
        <v>210</v>
      </c>
      <c r="G122" s="2" t="s">
        <v>539</v>
      </c>
      <c r="H122" s="2" t="s">
        <v>14</v>
      </c>
      <c r="I122" s="6" t="s">
        <v>2349</v>
      </c>
      <c r="J122" s="6" t="s">
        <v>2356</v>
      </c>
      <c r="K122" t="str">
        <f t="shared" si="9"/>
        <v>AARAV PATEL</v>
      </c>
      <c r="L122" t="str">
        <f t="shared" si="10"/>
        <v>Finance</v>
      </c>
      <c r="M122">
        <f t="shared" si="11"/>
        <v>11</v>
      </c>
      <c r="N122" t="str">
        <f t="shared" si="12"/>
        <v>Aarav Patel-Finance</v>
      </c>
      <c r="O122" t="str">
        <f t="shared" si="13"/>
        <v>company.com</v>
      </c>
      <c r="P122" t="str">
        <f t="shared" si="14"/>
        <v>company.com</v>
      </c>
      <c r="Q122">
        <f t="shared" si="15"/>
        <v>2021</v>
      </c>
      <c r="R122">
        <f t="shared" ca="1" si="16"/>
        <v>5</v>
      </c>
      <c r="S122" t="str">
        <f t="shared" si="17"/>
        <v>False</v>
      </c>
    </row>
    <row r="123" spans="1:19" x14ac:dyDescent="0.4">
      <c r="A123" s="2" t="s">
        <v>542</v>
      </c>
      <c r="B123" s="2" t="s">
        <v>543</v>
      </c>
      <c r="C123" s="2" t="s">
        <v>10</v>
      </c>
      <c r="D123" s="2" t="s">
        <v>44</v>
      </c>
      <c r="E123" s="3">
        <v>44553</v>
      </c>
      <c r="F123" s="2" t="s">
        <v>544</v>
      </c>
      <c r="G123" s="2" t="s">
        <v>545</v>
      </c>
      <c r="H123" s="2" t="s">
        <v>55</v>
      </c>
      <c r="I123" s="6" t="s">
        <v>2350</v>
      </c>
      <c r="J123" s="6" t="s">
        <v>2357</v>
      </c>
      <c r="K123" t="str">
        <f t="shared" si="9"/>
        <v>VIVAAN JOSHI</v>
      </c>
      <c r="L123" t="str">
        <f t="shared" si="10"/>
        <v>It</v>
      </c>
      <c r="M123">
        <f t="shared" si="11"/>
        <v>12</v>
      </c>
      <c r="N123" t="str">
        <f t="shared" si="12"/>
        <v>Vivaan Joshi-IT</v>
      </c>
      <c r="O123" t="str">
        <f t="shared" si="13"/>
        <v>company.com</v>
      </c>
      <c r="P123" t="str">
        <f t="shared" si="14"/>
        <v>company.com</v>
      </c>
      <c r="Q123">
        <f t="shared" si="15"/>
        <v>2021</v>
      </c>
      <c r="R123">
        <f t="shared" ca="1" si="16"/>
        <v>4</v>
      </c>
      <c r="S123" t="str">
        <f t="shared" si="17"/>
        <v>False</v>
      </c>
    </row>
    <row r="124" spans="1:19" x14ac:dyDescent="0.4">
      <c r="A124" s="2" t="s">
        <v>570</v>
      </c>
      <c r="B124" s="2" t="s">
        <v>209</v>
      </c>
      <c r="C124" s="2" t="s">
        <v>24</v>
      </c>
      <c r="D124" s="2" t="s">
        <v>44</v>
      </c>
      <c r="E124" s="3">
        <v>44510</v>
      </c>
      <c r="F124" s="2" t="s">
        <v>210</v>
      </c>
      <c r="G124" s="2" t="s">
        <v>571</v>
      </c>
      <c r="H124" s="2" t="s">
        <v>28</v>
      </c>
      <c r="I124" s="6" t="s">
        <v>2349</v>
      </c>
      <c r="J124" s="6" t="s">
        <v>2356</v>
      </c>
      <c r="K124" t="str">
        <f t="shared" si="9"/>
        <v>AARAV PATEL</v>
      </c>
      <c r="L124" t="str">
        <f t="shared" si="10"/>
        <v>Marketing</v>
      </c>
      <c r="M124">
        <f t="shared" si="11"/>
        <v>11</v>
      </c>
      <c r="N124" t="str">
        <f t="shared" si="12"/>
        <v>Aarav Patel-Marketing</v>
      </c>
      <c r="O124" t="str">
        <f t="shared" si="13"/>
        <v>company.com</v>
      </c>
      <c r="P124" t="str">
        <f t="shared" si="14"/>
        <v>company.com</v>
      </c>
      <c r="Q124">
        <f t="shared" si="15"/>
        <v>2021</v>
      </c>
      <c r="R124">
        <f t="shared" ca="1" si="16"/>
        <v>4</v>
      </c>
      <c r="S124" t="str">
        <f t="shared" si="17"/>
        <v>False</v>
      </c>
    </row>
    <row r="125" spans="1:19" x14ac:dyDescent="0.4">
      <c r="A125" s="2" t="s">
        <v>586</v>
      </c>
      <c r="B125" s="2" t="s">
        <v>91</v>
      </c>
      <c r="C125" s="2" t="s">
        <v>24</v>
      </c>
      <c r="D125" s="2" t="s">
        <v>49</v>
      </c>
      <c r="E125" s="3">
        <v>44245</v>
      </c>
      <c r="F125" s="2" t="s">
        <v>92</v>
      </c>
      <c r="G125" s="2" t="s">
        <v>587</v>
      </c>
      <c r="H125" s="2" t="s">
        <v>28</v>
      </c>
      <c r="I125" s="6" t="s">
        <v>2345</v>
      </c>
      <c r="J125" s="6" t="s">
        <v>2362</v>
      </c>
      <c r="K125" t="str">
        <f t="shared" si="9"/>
        <v>ISHA MEHTA</v>
      </c>
      <c r="L125" t="str">
        <f t="shared" si="10"/>
        <v>Marketing</v>
      </c>
      <c r="M125">
        <f t="shared" si="11"/>
        <v>10</v>
      </c>
      <c r="N125" t="str">
        <f t="shared" si="12"/>
        <v>Isha Mehta-Marketing</v>
      </c>
      <c r="O125" t="str">
        <f t="shared" si="13"/>
        <v>company.com</v>
      </c>
      <c r="P125" t="str">
        <f t="shared" si="14"/>
        <v>company.com</v>
      </c>
      <c r="Q125">
        <f t="shared" si="15"/>
        <v>2021</v>
      </c>
      <c r="R125">
        <f t="shared" ca="1" si="16"/>
        <v>5</v>
      </c>
      <c r="S125" t="str">
        <f t="shared" si="17"/>
        <v>False</v>
      </c>
    </row>
    <row r="126" spans="1:19" x14ac:dyDescent="0.4">
      <c r="A126" s="2" t="s">
        <v>612</v>
      </c>
      <c r="B126" s="2" t="s">
        <v>61</v>
      </c>
      <c r="C126" s="2" t="s">
        <v>31</v>
      </c>
      <c r="D126" s="2" t="s">
        <v>11</v>
      </c>
      <c r="E126" s="3">
        <v>44441</v>
      </c>
      <c r="F126" s="2" t="s">
        <v>62</v>
      </c>
      <c r="G126" s="2" t="s">
        <v>613</v>
      </c>
      <c r="H126" s="2" t="s">
        <v>14</v>
      </c>
      <c r="I126" s="6" t="s">
        <v>2348</v>
      </c>
      <c r="J126" s="6" t="s">
        <v>2357</v>
      </c>
      <c r="K126" t="str">
        <f t="shared" si="9"/>
        <v>ANANYA JOSHI</v>
      </c>
      <c r="L126" t="str">
        <f t="shared" si="10"/>
        <v>Finance</v>
      </c>
      <c r="M126">
        <f t="shared" si="11"/>
        <v>12</v>
      </c>
      <c r="N126" t="str">
        <f t="shared" si="12"/>
        <v>Ananya Joshi-Finance</v>
      </c>
      <c r="O126" t="str">
        <f t="shared" si="13"/>
        <v>company.com</v>
      </c>
      <c r="P126" t="str">
        <f t="shared" si="14"/>
        <v>company.com</v>
      </c>
      <c r="Q126">
        <f t="shared" si="15"/>
        <v>2021</v>
      </c>
      <c r="R126">
        <f t="shared" ca="1" si="16"/>
        <v>5</v>
      </c>
      <c r="S126" t="str">
        <f t="shared" si="17"/>
        <v>False</v>
      </c>
    </row>
    <row r="127" spans="1:19" x14ac:dyDescent="0.4">
      <c r="A127" s="2" t="s">
        <v>626</v>
      </c>
      <c r="B127" s="2" t="s">
        <v>129</v>
      </c>
      <c r="C127" s="2" t="s">
        <v>10</v>
      </c>
      <c r="D127" s="2" t="s">
        <v>11</v>
      </c>
      <c r="E127" s="3">
        <v>44398</v>
      </c>
      <c r="F127" s="2" t="s">
        <v>130</v>
      </c>
      <c r="G127" s="2" t="s">
        <v>627</v>
      </c>
      <c r="H127" s="2" t="s">
        <v>21</v>
      </c>
      <c r="I127" s="6" t="s">
        <v>2345</v>
      </c>
      <c r="J127" s="6" t="s">
        <v>2355</v>
      </c>
      <c r="K127" t="str">
        <f t="shared" si="9"/>
        <v>ISHA NAIR</v>
      </c>
      <c r="L127" t="str">
        <f t="shared" si="10"/>
        <v>It</v>
      </c>
      <c r="M127">
        <f t="shared" si="11"/>
        <v>9</v>
      </c>
      <c r="N127" t="str">
        <f t="shared" si="12"/>
        <v>Isha Nair-IT</v>
      </c>
      <c r="O127" t="str">
        <f t="shared" si="13"/>
        <v>company.com</v>
      </c>
      <c r="P127" t="str">
        <f t="shared" si="14"/>
        <v>company.com</v>
      </c>
      <c r="Q127">
        <f t="shared" si="15"/>
        <v>2021</v>
      </c>
      <c r="R127">
        <f t="shared" ca="1" si="16"/>
        <v>5</v>
      </c>
      <c r="S127" t="str">
        <f t="shared" si="17"/>
        <v>False</v>
      </c>
    </row>
    <row r="128" spans="1:19" x14ac:dyDescent="0.4">
      <c r="A128" s="2" t="s">
        <v>684</v>
      </c>
      <c r="B128" s="2" t="s">
        <v>395</v>
      </c>
      <c r="C128" s="2" t="s">
        <v>87</v>
      </c>
      <c r="D128" s="2" t="s">
        <v>11</v>
      </c>
      <c r="E128" s="3">
        <v>44228</v>
      </c>
      <c r="F128" s="2" t="s">
        <v>396</v>
      </c>
      <c r="G128" s="2" t="s">
        <v>685</v>
      </c>
      <c r="H128" s="2" t="s">
        <v>55</v>
      </c>
      <c r="I128" s="6" t="s">
        <v>2346</v>
      </c>
      <c r="J128" s="6" t="s">
        <v>2355</v>
      </c>
      <c r="K128" t="str">
        <f t="shared" si="9"/>
        <v>RIYA NAIR</v>
      </c>
      <c r="L128" t="str">
        <f t="shared" si="10"/>
        <v>Operations</v>
      </c>
      <c r="M128">
        <f t="shared" si="11"/>
        <v>9</v>
      </c>
      <c r="N128" t="str">
        <f t="shared" si="12"/>
        <v>Riya Nair-Operations</v>
      </c>
      <c r="O128" t="str">
        <f t="shared" si="13"/>
        <v>company.com</v>
      </c>
      <c r="P128" t="str">
        <f t="shared" si="14"/>
        <v>company.com</v>
      </c>
      <c r="Q128">
        <f t="shared" si="15"/>
        <v>2021</v>
      </c>
      <c r="R128">
        <f t="shared" ca="1" si="16"/>
        <v>5</v>
      </c>
      <c r="S128" t="str">
        <f t="shared" si="17"/>
        <v>False</v>
      </c>
    </row>
    <row r="129" spans="1:19" x14ac:dyDescent="0.4">
      <c r="A129" s="2" t="s">
        <v>694</v>
      </c>
      <c r="B129" s="2" t="s">
        <v>137</v>
      </c>
      <c r="C129" s="2" t="s">
        <v>10</v>
      </c>
      <c r="D129" s="2" t="s">
        <v>11</v>
      </c>
      <c r="E129" s="3">
        <v>44275</v>
      </c>
      <c r="F129" s="2" t="s">
        <v>138</v>
      </c>
      <c r="G129" s="2" t="s">
        <v>695</v>
      </c>
      <c r="H129" s="2" t="s">
        <v>55</v>
      </c>
      <c r="I129" s="6" t="s">
        <v>2351</v>
      </c>
      <c r="J129" s="6" t="s">
        <v>2354</v>
      </c>
      <c r="K129" t="str">
        <f t="shared" si="9"/>
        <v>ADITYA SINGH</v>
      </c>
      <c r="L129" t="str">
        <f t="shared" si="10"/>
        <v>It</v>
      </c>
      <c r="M129">
        <f t="shared" si="11"/>
        <v>12</v>
      </c>
      <c r="N129" t="str">
        <f t="shared" si="12"/>
        <v>Aditya Singh-IT</v>
      </c>
      <c r="O129" t="str">
        <f t="shared" si="13"/>
        <v>company.com</v>
      </c>
      <c r="P129" t="str">
        <f t="shared" si="14"/>
        <v>company.com</v>
      </c>
      <c r="Q129">
        <f t="shared" si="15"/>
        <v>2021</v>
      </c>
      <c r="R129">
        <f t="shared" ca="1" si="16"/>
        <v>5</v>
      </c>
      <c r="S129" t="str">
        <f t="shared" si="17"/>
        <v>False</v>
      </c>
    </row>
    <row r="130" spans="1:19" x14ac:dyDescent="0.4">
      <c r="A130" s="2" t="s">
        <v>712</v>
      </c>
      <c r="B130" s="2" t="s">
        <v>401</v>
      </c>
      <c r="C130" s="2" t="s">
        <v>10</v>
      </c>
      <c r="D130" s="2" t="s">
        <v>11</v>
      </c>
      <c r="E130" s="3">
        <v>44239</v>
      </c>
      <c r="F130" s="2" t="s">
        <v>402</v>
      </c>
      <c r="G130" s="2" t="s">
        <v>713</v>
      </c>
      <c r="H130" s="2" t="s">
        <v>14</v>
      </c>
      <c r="I130" s="6" t="s">
        <v>2352</v>
      </c>
      <c r="J130" s="6" t="s">
        <v>2355</v>
      </c>
      <c r="K130" t="str">
        <f t="shared" si="9"/>
        <v>MEERA NAIR</v>
      </c>
      <c r="L130" t="str">
        <f t="shared" si="10"/>
        <v>It</v>
      </c>
      <c r="M130">
        <f t="shared" si="11"/>
        <v>10</v>
      </c>
      <c r="N130" t="str">
        <f t="shared" si="12"/>
        <v>Meera Nair-IT</v>
      </c>
      <c r="O130" t="str">
        <f t="shared" si="13"/>
        <v>company.com</v>
      </c>
      <c r="P130" t="str">
        <f t="shared" si="14"/>
        <v>company.com</v>
      </c>
      <c r="Q130">
        <f t="shared" si="15"/>
        <v>2021</v>
      </c>
      <c r="R130">
        <f t="shared" ca="1" si="16"/>
        <v>5</v>
      </c>
      <c r="S130" t="str">
        <f t="shared" si="17"/>
        <v>False</v>
      </c>
    </row>
    <row r="131" spans="1:19" x14ac:dyDescent="0.4">
      <c r="A131" s="2" t="s">
        <v>722</v>
      </c>
      <c r="B131" s="2" t="s">
        <v>533</v>
      </c>
      <c r="C131" s="2" t="s">
        <v>31</v>
      </c>
      <c r="D131" s="2" t="s">
        <v>11</v>
      </c>
      <c r="E131" s="3">
        <v>44457</v>
      </c>
      <c r="F131" s="2" t="s">
        <v>534</v>
      </c>
      <c r="G131" s="2" t="s">
        <v>723</v>
      </c>
      <c r="H131" s="2" t="s">
        <v>21</v>
      </c>
      <c r="I131" s="6" t="s">
        <v>2351</v>
      </c>
      <c r="J131" s="6" t="s">
        <v>2360</v>
      </c>
      <c r="K131" t="str">
        <f t="shared" ref="K131:K194" si="18">UPPER(B131)</f>
        <v>ADITYA SHARMA</v>
      </c>
      <c r="L131" t="str">
        <f t="shared" ref="L131:L194" si="19">PROPER(C131)</f>
        <v>Finance</v>
      </c>
      <c r="M131">
        <f t="shared" ref="M131:M194" si="20">LEN(B131)</f>
        <v>13</v>
      </c>
      <c r="N131" t="str">
        <f t="shared" ref="N131:N194" si="21">_xlfn.CONCAT(B131,"-",C131)</f>
        <v>Aditya Sharma-Finance</v>
      </c>
      <c r="O131" t="str">
        <f t="shared" ref="O131:O194" si="22">RIGHT(F131,11)</f>
        <v>company.com</v>
      </c>
      <c r="P131" t="str">
        <f t="shared" ref="P131:P194" si="23">MID(F131,FIND("@",F131)+1,50)</f>
        <v>company.com</v>
      </c>
      <c r="Q131">
        <f t="shared" ref="Q131:Q194" si="24">YEAR(E131)</f>
        <v>2021</v>
      </c>
      <c r="R131">
        <f t="shared" ref="R131:R194" ca="1" si="25">DATEDIF(E131,TODAY(),"y")</f>
        <v>5</v>
      </c>
      <c r="S131" t="str">
        <f t="shared" ref="S131:S194" si="26">IF(YEAR(E131)&lt;2020,"True","False")</f>
        <v>False</v>
      </c>
    </row>
    <row r="132" spans="1:19" x14ac:dyDescent="0.4">
      <c r="A132" s="2" t="s">
        <v>726</v>
      </c>
      <c r="B132" s="2" t="s">
        <v>279</v>
      </c>
      <c r="C132" s="2" t="s">
        <v>24</v>
      </c>
      <c r="D132" s="2" t="s">
        <v>25</v>
      </c>
      <c r="E132" s="3">
        <v>44389</v>
      </c>
      <c r="F132" s="2" t="s">
        <v>280</v>
      </c>
      <c r="G132" s="2" t="s">
        <v>727</v>
      </c>
      <c r="H132" s="2" t="s">
        <v>64</v>
      </c>
      <c r="I132" s="6" t="s">
        <v>2343</v>
      </c>
      <c r="J132" s="6" t="s">
        <v>2356</v>
      </c>
      <c r="K132" t="str">
        <f t="shared" si="18"/>
        <v>DIYA PATEL</v>
      </c>
      <c r="L132" t="str">
        <f t="shared" si="19"/>
        <v>Marketing</v>
      </c>
      <c r="M132">
        <f t="shared" si="20"/>
        <v>10</v>
      </c>
      <c r="N132" t="str">
        <f t="shared" si="21"/>
        <v>Diya Patel-Marketing</v>
      </c>
      <c r="O132" t="str">
        <f t="shared" si="22"/>
        <v>company.com</v>
      </c>
      <c r="P132" t="str">
        <f t="shared" si="23"/>
        <v>company.com</v>
      </c>
      <c r="Q132">
        <f t="shared" si="24"/>
        <v>2021</v>
      </c>
      <c r="R132">
        <f t="shared" ca="1" si="25"/>
        <v>5</v>
      </c>
      <c r="S132" t="str">
        <f t="shared" si="26"/>
        <v>False</v>
      </c>
    </row>
    <row r="133" spans="1:19" x14ac:dyDescent="0.4">
      <c r="A133" s="2" t="s">
        <v>744</v>
      </c>
      <c r="B133" s="2" t="s">
        <v>129</v>
      </c>
      <c r="C133" s="2" t="s">
        <v>53</v>
      </c>
      <c r="D133" s="2" t="s">
        <v>49</v>
      </c>
      <c r="E133" s="3">
        <v>44270</v>
      </c>
      <c r="F133" s="2" t="s">
        <v>130</v>
      </c>
      <c r="G133" s="2" t="s">
        <v>745</v>
      </c>
      <c r="H133" s="2" t="s">
        <v>21</v>
      </c>
      <c r="I133" s="6" t="s">
        <v>2345</v>
      </c>
      <c r="J133" s="6" t="s">
        <v>2355</v>
      </c>
      <c r="K133" t="str">
        <f t="shared" si="18"/>
        <v>ISHA NAIR</v>
      </c>
      <c r="L133" t="str">
        <f t="shared" si="19"/>
        <v>Hr</v>
      </c>
      <c r="M133">
        <f t="shared" si="20"/>
        <v>9</v>
      </c>
      <c r="N133" t="str">
        <f t="shared" si="21"/>
        <v>Isha Nair-HR</v>
      </c>
      <c r="O133" t="str">
        <f t="shared" si="22"/>
        <v>company.com</v>
      </c>
      <c r="P133" t="str">
        <f t="shared" si="23"/>
        <v>company.com</v>
      </c>
      <c r="Q133">
        <f t="shared" si="24"/>
        <v>2021</v>
      </c>
      <c r="R133">
        <f t="shared" ca="1" si="25"/>
        <v>5</v>
      </c>
      <c r="S133" t="str">
        <f t="shared" si="26"/>
        <v>False</v>
      </c>
    </row>
    <row r="134" spans="1:19" x14ac:dyDescent="0.4">
      <c r="A134" s="2" t="s">
        <v>768</v>
      </c>
      <c r="B134" s="2" t="s">
        <v>489</v>
      </c>
      <c r="C134" s="2" t="s">
        <v>10</v>
      </c>
      <c r="D134" s="2" t="s">
        <v>25</v>
      </c>
      <c r="E134" s="3">
        <v>44509</v>
      </c>
      <c r="F134" s="2" t="s">
        <v>490</v>
      </c>
      <c r="G134" s="2" t="s">
        <v>769</v>
      </c>
      <c r="H134" s="2" t="s">
        <v>28</v>
      </c>
      <c r="I134" s="6" t="s">
        <v>2347</v>
      </c>
      <c r="J134" s="6" t="s">
        <v>2359</v>
      </c>
      <c r="K134" t="str">
        <f t="shared" si="18"/>
        <v>ARJUN REDDY</v>
      </c>
      <c r="L134" t="str">
        <f t="shared" si="19"/>
        <v>It</v>
      </c>
      <c r="M134">
        <f t="shared" si="20"/>
        <v>11</v>
      </c>
      <c r="N134" t="str">
        <f t="shared" si="21"/>
        <v>Arjun Reddy-IT</v>
      </c>
      <c r="O134" t="str">
        <f t="shared" si="22"/>
        <v>company.com</v>
      </c>
      <c r="P134" t="str">
        <f t="shared" si="23"/>
        <v>company.com</v>
      </c>
      <c r="Q134">
        <f t="shared" si="24"/>
        <v>2021</v>
      </c>
      <c r="R134">
        <f t="shared" ca="1" si="25"/>
        <v>4</v>
      </c>
      <c r="S134" t="str">
        <f t="shared" si="26"/>
        <v>False</v>
      </c>
    </row>
    <row r="135" spans="1:19" x14ac:dyDescent="0.4">
      <c r="A135" s="2" t="s">
        <v>788</v>
      </c>
      <c r="B135" s="2" t="s">
        <v>23</v>
      </c>
      <c r="C135" s="2" t="s">
        <v>53</v>
      </c>
      <c r="D135" s="2" t="s">
        <v>18</v>
      </c>
      <c r="E135" s="3">
        <v>44410</v>
      </c>
      <c r="F135" s="2" t="s">
        <v>26</v>
      </c>
      <c r="G135" s="2" t="s">
        <v>789</v>
      </c>
      <c r="H135" s="2" t="s">
        <v>55</v>
      </c>
      <c r="I135" s="6" t="s">
        <v>2350</v>
      </c>
      <c r="J135" s="6" t="s">
        <v>2362</v>
      </c>
      <c r="K135" t="str">
        <f t="shared" si="18"/>
        <v>VIVAAN MEHTA</v>
      </c>
      <c r="L135" t="str">
        <f t="shared" si="19"/>
        <v>Hr</v>
      </c>
      <c r="M135">
        <f t="shared" si="20"/>
        <v>12</v>
      </c>
      <c r="N135" t="str">
        <f t="shared" si="21"/>
        <v>Vivaan Mehta-HR</v>
      </c>
      <c r="O135" t="str">
        <f t="shared" si="22"/>
        <v>company.com</v>
      </c>
      <c r="P135" t="str">
        <f t="shared" si="23"/>
        <v>company.com</v>
      </c>
      <c r="Q135">
        <f t="shared" si="24"/>
        <v>2021</v>
      </c>
      <c r="R135">
        <f t="shared" ca="1" si="25"/>
        <v>5</v>
      </c>
      <c r="S135" t="str">
        <f t="shared" si="26"/>
        <v>False</v>
      </c>
    </row>
    <row r="136" spans="1:19" x14ac:dyDescent="0.4">
      <c r="A136" s="2" t="s">
        <v>850</v>
      </c>
      <c r="B136" s="2" t="s">
        <v>57</v>
      </c>
      <c r="C136" s="2" t="s">
        <v>87</v>
      </c>
      <c r="D136" s="2" t="s">
        <v>49</v>
      </c>
      <c r="E136" s="3">
        <v>44392</v>
      </c>
      <c r="F136" s="2" t="s">
        <v>58</v>
      </c>
      <c r="G136" s="2" t="s">
        <v>851</v>
      </c>
      <c r="H136" s="2" t="s">
        <v>28</v>
      </c>
      <c r="I136" s="6" t="s">
        <v>2343</v>
      </c>
      <c r="J136" s="6" t="s">
        <v>2353</v>
      </c>
      <c r="K136" t="str">
        <f t="shared" si="18"/>
        <v>DIYA GUPTA</v>
      </c>
      <c r="L136" t="str">
        <f t="shared" si="19"/>
        <v>Operations</v>
      </c>
      <c r="M136">
        <f t="shared" si="20"/>
        <v>10</v>
      </c>
      <c r="N136" t="str">
        <f t="shared" si="21"/>
        <v>Diya Gupta-Operations</v>
      </c>
      <c r="O136" t="str">
        <f t="shared" si="22"/>
        <v>company.com</v>
      </c>
      <c r="P136" t="str">
        <f t="shared" si="23"/>
        <v>company.com</v>
      </c>
      <c r="Q136">
        <f t="shared" si="24"/>
        <v>2021</v>
      </c>
      <c r="R136">
        <f t="shared" ca="1" si="25"/>
        <v>5</v>
      </c>
      <c r="S136" t="str">
        <f t="shared" si="26"/>
        <v>False</v>
      </c>
    </row>
    <row r="137" spans="1:19" x14ac:dyDescent="0.4">
      <c r="A137" s="2" t="s">
        <v>890</v>
      </c>
      <c r="B137" s="2" t="s">
        <v>61</v>
      </c>
      <c r="C137" s="2" t="s">
        <v>17</v>
      </c>
      <c r="D137" s="2" t="s">
        <v>44</v>
      </c>
      <c r="E137" s="3">
        <v>44423</v>
      </c>
      <c r="F137" s="2" t="s">
        <v>62</v>
      </c>
      <c r="G137" s="2" t="s">
        <v>891</v>
      </c>
      <c r="H137" s="2" t="s">
        <v>21</v>
      </c>
      <c r="I137" s="6" t="s">
        <v>2348</v>
      </c>
      <c r="J137" s="6" t="s">
        <v>2357</v>
      </c>
      <c r="K137" t="str">
        <f t="shared" si="18"/>
        <v>ANANYA JOSHI</v>
      </c>
      <c r="L137" t="str">
        <f t="shared" si="19"/>
        <v>Sales</v>
      </c>
      <c r="M137">
        <f t="shared" si="20"/>
        <v>12</v>
      </c>
      <c r="N137" t="str">
        <f t="shared" si="21"/>
        <v>Ananya Joshi-Sales</v>
      </c>
      <c r="O137" t="str">
        <f t="shared" si="22"/>
        <v>company.com</v>
      </c>
      <c r="P137" t="str">
        <f t="shared" si="23"/>
        <v>company.com</v>
      </c>
      <c r="Q137">
        <f t="shared" si="24"/>
        <v>2021</v>
      </c>
      <c r="R137">
        <f t="shared" ca="1" si="25"/>
        <v>5</v>
      </c>
      <c r="S137" t="str">
        <f t="shared" si="26"/>
        <v>False</v>
      </c>
    </row>
    <row r="138" spans="1:19" x14ac:dyDescent="0.4">
      <c r="A138" s="2" t="s">
        <v>912</v>
      </c>
      <c r="B138" s="2" t="s">
        <v>603</v>
      </c>
      <c r="C138" s="2" t="s">
        <v>87</v>
      </c>
      <c r="D138" s="2" t="s">
        <v>18</v>
      </c>
      <c r="E138" s="3">
        <v>44401</v>
      </c>
      <c r="F138" s="2" t="s">
        <v>604</v>
      </c>
      <c r="G138" s="2" t="s">
        <v>913</v>
      </c>
      <c r="H138" s="2" t="s">
        <v>14</v>
      </c>
      <c r="I138" s="6" t="s">
        <v>2346</v>
      </c>
      <c r="J138" s="6" t="s">
        <v>2361</v>
      </c>
      <c r="K138" t="str">
        <f t="shared" si="18"/>
        <v>RIYA KHAN</v>
      </c>
      <c r="L138" t="str">
        <f t="shared" si="19"/>
        <v>Operations</v>
      </c>
      <c r="M138">
        <f t="shared" si="20"/>
        <v>9</v>
      </c>
      <c r="N138" t="str">
        <f t="shared" si="21"/>
        <v>Riya Khan-Operations</v>
      </c>
      <c r="O138" t="str">
        <f t="shared" si="22"/>
        <v>company.com</v>
      </c>
      <c r="P138" t="str">
        <f t="shared" si="23"/>
        <v>company.com</v>
      </c>
      <c r="Q138">
        <f t="shared" si="24"/>
        <v>2021</v>
      </c>
      <c r="R138">
        <f t="shared" ca="1" si="25"/>
        <v>5</v>
      </c>
      <c r="S138" t="str">
        <f t="shared" si="26"/>
        <v>False</v>
      </c>
    </row>
    <row r="139" spans="1:19" x14ac:dyDescent="0.4">
      <c r="A139" s="2" t="s">
        <v>920</v>
      </c>
      <c r="B139" s="2" t="s">
        <v>661</v>
      </c>
      <c r="C139" s="2" t="s">
        <v>10</v>
      </c>
      <c r="D139" s="2" t="s">
        <v>18</v>
      </c>
      <c r="E139" s="3">
        <v>44477</v>
      </c>
      <c r="F139" s="2" t="s">
        <v>662</v>
      </c>
      <c r="G139" s="2" t="s">
        <v>921</v>
      </c>
      <c r="H139" s="2" t="s">
        <v>64</v>
      </c>
      <c r="I139" s="6" t="s">
        <v>2344</v>
      </c>
      <c r="J139" s="6" t="s">
        <v>2361</v>
      </c>
      <c r="K139" t="str">
        <f t="shared" si="18"/>
        <v>KABIR KHAN</v>
      </c>
      <c r="L139" t="str">
        <f t="shared" si="19"/>
        <v>It</v>
      </c>
      <c r="M139">
        <f t="shared" si="20"/>
        <v>10</v>
      </c>
      <c r="N139" t="str">
        <f t="shared" si="21"/>
        <v>Kabir Khan-IT</v>
      </c>
      <c r="O139" t="str">
        <f t="shared" si="22"/>
        <v>company.com</v>
      </c>
      <c r="P139" t="str">
        <f t="shared" si="23"/>
        <v>company.com</v>
      </c>
      <c r="Q139">
        <f t="shared" si="24"/>
        <v>2021</v>
      </c>
      <c r="R139">
        <f t="shared" ca="1" si="25"/>
        <v>5</v>
      </c>
      <c r="S139" t="str">
        <f t="shared" si="26"/>
        <v>False</v>
      </c>
    </row>
    <row r="140" spans="1:19" x14ac:dyDescent="0.4">
      <c r="A140" s="2" t="s">
        <v>928</v>
      </c>
      <c r="B140" s="2" t="s">
        <v>255</v>
      </c>
      <c r="C140" s="2" t="s">
        <v>10</v>
      </c>
      <c r="D140" s="2" t="s">
        <v>44</v>
      </c>
      <c r="E140" s="3">
        <v>44270</v>
      </c>
      <c r="F140" s="2" t="s">
        <v>256</v>
      </c>
      <c r="G140" s="2" t="s">
        <v>929</v>
      </c>
      <c r="H140" s="2" t="s">
        <v>14</v>
      </c>
      <c r="I140" s="6" t="s">
        <v>2346</v>
      </c>
      <c r="J140" s="6" t="s">
        <v>2354</v>
      </c>
      <c r="K140" t="str">
        <f t="shared" si="18"/>
        <v>RIYA SINGH</v>
      </c>
      <c r="L140" t="str">
        <f t="shared" si="19"/>
        <v>It</v>
      </c>
      <c r="M140">
        <f t="shared" si="20"/>
        <v>10</v>
      </c>
      <c r="N140" t="str">
        <f t="shared" si="21"/>
        <v>Riya Singh-IT</v>
      </c>
      <c r="O140" t="str">
        <f t="shared" si="22"/>
        <v>company.com</v>
      </c>
      <c r="P140" t="str">
        <f t="shared" si="23"/>
        <v>company.com</v>
      </c>
      <c r="Q140">
        <f t="shared" si="24"/>
        <v>2021</v>
      </c>
      <c r="R140">
        <f t="shared" ca="1" si="25"/>
        <v>5</v>
      </c>
      <c r="S140" t="str">
        <f t="shared" si="26"/>
        <v>False</v>
      </c>
    </row>
    <row r="141" spans="1:19" x14ac:dyDescent="0.4">
      <c r="A141" s="2" t="s">
        <v>930</v>
      </c>
      <c r="B141" s="2" t="s">
        <v>333</v>
      </c>
      <c r="C141" s="2" t="s">
        <v>10</v>
      </c>
      <c r="D141" s="2" t="s">
        <v>49</v>
      </c>
      <c r="E141" s="3">
        <v>44256</v>
      </c>
      <c r="F141" s="2" t="s">
        <v>334</v>
      </c>
      <c r="G141" s="2" t="s">
        <v>931</v>
      </c>
      <c r="H141" s="2" t="s">
        <v>14</v>
      </c>
      <c r="I141" s="6" t="s">
        <v>2349</v>
      </c>
      <c r="J141" s="6" t="s">
        <v>2354</v>
      </c>
      <c r="K141" t="str">
        <f t="shared" si="18"/>
        <v>AARAV SINGH</v>
      </c>
      <c r="L141" t="str">
        <f t="shared" si="19"/>
        <v>It</v>
      </c>
      <c r="M141">
        <f t="shared" si="20"/>
        <v>11</v>
      </c>
      <c r="N141" t="str">
        <f t="shared" si="21"/>
        <v>Aarav Singh-IT</v>
      </c>
      <c r="O141" t="str">
        <f t="shared" si="22"/>
        <v>company.com</v>
      </c>
      <c r="P141" t="str">
        <f t="shared" si="23"/>
        <v>company.com</v>
      </c>
      <c r="Q141">
        <f t="shared" si="24"/>
        <v>2021</v>
      </c>
      <c r="R141">
        <f t="shared" ca="1" si="25"/>
        <v>5</v>
      </c>
      <c r="S141" t="str">
        <f t="shared" si="26"/>
        <v>False</v>
      </c>
    </row>
    <row r="142" spans="1:19" x14ac:dyDescent="0.4">
      <c r="A142" s="2" t="s">
        <v>938</v>
      </c>
      <c r="B142" s="2" t="s">
        <v>443</v>
      </c>
      <c r="C142" s="2" t="s">
        <v>53</v>
      </c>
      <c r="D142" s="2" t="s">
        <v>18</v>
      </c>
      <c r="E142" s="3">
        <v>44204</v>
      </c>
      <c r="F142" s="2" t="s">
        <v>444</v>
      </c>
      <c r="G142" s="2" t="s">
        <v>939</v>
      </c>
      <c r="H142" s="2" t="s">
        <v>55</v>
      </c>
      <c r="I142" s="6" t="s">
        <v>2343</v>
      </c>
      <c r="J142" s="6" t="s">
        <v>2357</v>
      </c>
      <c r="K142" t="str">
        <f t="shared" si="18"/>
        <v>DIYA JOSHI</v>
      </c>
      <c r="L142" t="str">
        <f t="shared" si="19"/>
        <v>Hr</v>
      </c>
      <c r="M142">
        <f t="shared" si="20"/>
        <v>10</v>
      </c>
      <c r="N142" t="str">
        <f t="shared" si="21"/>
        <v>Diya Joshi-HR</v>
      </c>
      <c r="O142" t="str">
        <f t="shared" si="22"/>
        <v>company.com</v>
      </c>
      <c r="P142" t="str">
        <f t="shared" si="23"/>
        <v>company.com</v>
      </c>
      <c r="Q142">
        <f t="shared" si="24"/>
        <v>2021</v>
      </c>
      <c r="R142">
        <f t="shared" ca="1" si="25"/>
        <v>5</v>
      </c>
      <c r="S142" t="str">
        <f t="shared" si="26"/>
        <v>False</v>
      </c>
    </row>
    <row r="143" spans="1:19" x14ac:dyDescent="0.4">
      <c r="A143" s="2" t="s">
        <v>952</v>
      </c>
      <c r="B143" s="2" t="s">
        <v>113</v>
      </c>
      <c r="C143" s="2" t="s">
        <v>24</v>
      </c>
      <c r="D143" s="2" t="s">
        <v>25</v>
      </c>
      <c r="E143" s="3">
        <v>44482</v>
      </c>
      <c r="F143" s="2" t="s">
        <v>114</v>
      </c>
      <c r="G143" s="2" t="s">
        <v>953</v>
      </c>
      <c r="H143" s="2" t="s">
        <v>64</v>
      </c>
      <c r="I143" s="6" t="s">
        <v>2343</v>
      </c>
      <c r="J143" s="6" t="s">
        <v>2359</v>
      </c>
      <c r="K143" t="str">
        <f t="shared" si="18"/>
        <v>DIYA REDDY</v>
      </c>
      <c r="L143" t="str">
        <f t="shared" si="19"/>
        <v>Marketing</v>
      </c>
      <c r="M143">
        <f t="shared" si="20"/>
        <v>10</v>
      </c>
      <c r="N143" t="str">
        <f t="shared" si="21"/>
        <v>Diya Reddy-Marketing</v>
      </c>
      <c r="O143" t="str">
        <f t="shared" si="22"/>
        <v>company.com</v>
      </c>
      <c r="P143" t="str">
        <f t="shared" si="23"/>
        <v>company.com</v>
      </c>
      <c r="Q143">
        <f t="shared" si="24"/>
        <v>2021</v>
      </c>
      <c r="R143">
        <f t="shared" ca="1" si="25"/>
        <v>5</v>
      </c>
      <c r="S143" t="str">
        <f t="shared" si="26"/>
        <v>False</v>
      </c>
    </row>
    <row r="144" spans="1:19" x14ac:dyDescent="0.4">
      <c r="A144" s="2" t="s">
        <v>988</v>
      </c>
      <c r="B144" s="2" t="s">
        <v>555</v>
      </c>
      <c r="C144" s="2" t="s">
        <v>10</v>
      </c>
      <c r="D144" s="2" t="s">
        <v>25</v>
      </c>
      <c r="E144" s="3">
        <v>44471</v>
      </c>
      <c r="F144" s="2" t="s">
        <v>556</v>
      </c>
      <c r="G144" s="2" t="s">
        <v>989</v>
      </c>
      <c r="H144" s="2" t="s">
        <v>55</v>
      </c>
      <c r="I144" s="6" t="s">
        <v>2346</v>
      </c>
      <c r="J144" s="6" t="s">
        <v>2357</v>
      </c>
      <c r="K144" t="str">
        <f t="shared" si="18"/>
        <v>RIYA JOSHI</v>
      </c>
      <c r="L144" t="str">
        <f t="shared" si="19"/>
        <v>It</v>
      </c>
      <c r="M144">
        <f t="shared" si="20"/>
        <v>10</v>
      </c>
      <c r="N144" t="str">
        <f t="shared" si="21"/>
        <v>Riya Joshi-IT</v>
      </c>
      <c r="O144" t="str">
        <f t="shared" si="22"/>
        <v>company.com</v>
      </c>
      <c r="P144" t="str">
        <f t="shared" si="23"/>
        <v>company.com</v>
      </c>
      <c r="Q144">
        <f t="shared" si="24"/>
        <v>2021</v>
      </c>
      <c r="R144">
        <f t="shared" ca="1" si="25"/>
        <v>5</v>
      </c>
      <c r="S144" t="str">
        <f t="shared" si="26"/>
        <v>False</v>
      </c>
    </row>
    <row r="145" spans="1:19" x14ac:dyDescent="0.4">
      <c r="A145" s="2" t="s">
        <v>990</v>
      </c>
      <c r="B145" s="2" t="s">
        <v>359</v>
      </c>
      <c r="C145" s="2" t="s">
        <v>53</v>
      </c>
      <c r="D145" s="2" t="s">
        <v>49</v>
      </c>
      <c r="E145" s="3">
        <v>44460</v>
      </c>
      <c r="F145" s="2" t="s">
        <v>360</v>
      </c>
      <c r="G145" s="2" t="s">
        <v>991</v>
      </c>
      <c r="H145" s="2" t="s">
        <v>64</v>
      </c>
      <c r="I145" s="6" t="s">
        <v>2347</v>
      </c>
      <c r="J145" s="6" t="s">
        <v>2355</v>
      </c>
      <c r="K145" t="str">
        <f t="shared" si="18"/>
        <v>ARJUN NAIR</v>
      </c>
      <c r="L145" t="str">
        <f t="shared" si="19"/>
        <v>Hr</v>
      </c>
      <c r="M145">
        <f t="shared" si="20"/>
        <v>10</v>
      </c>
      <c r="N145" t="str">
        <f t="shared" si="21"/>
        <v>Arjun Nair-HR</v>
      </c>
      <c r="O145" t="str">
        <f t="shared" si="22"/>
        <v>company.com</v>
      </c>
      <c r="P145" t="str">
        <f t="shared" si="23"/>
        <v>company.com</v>
      </c>
      <c r="Q145">
        <f t="shared" si="24"/>
        <v>2021</v>
      </c>
      <c r="R145">
        <f t="shared" ca="1" si="25"/>
        <v>5</v>
      </c>
      <c r="S145" t="str">
        <f t="shared" si="26"/>
        <v>False</v>
      </c>
    </row>
    <row r="146" spans="1:19" x14ac:dyDescent="0.4">
      <c r="A146" s="2" t="s">
        <v>1018</v>
      </c>
      <c r="B146" s="2" t="s">
        <v>567</v>
      </c>
      <c r="C146" s="2" t="s">
        <v>24</v>
      </c>
      <c r="D146" s="2" t="s">
        <v>18</v>
      </c>
      <c r="E146" s="3">
        <v>44287</v>
      </c>
      <c r="F146" s="2" t="s">
        <v>568</v>
      </c>
      <c r="G146" s="2" t="s">
        <v>1019</v>
      </c>
      <c r="H146" s="2" t="s">
        <v>14</v>
      </c>
      <c r="I146" s="6" t="s">
        <v>2347</v>
      </c>
      <c r="J146" s="6" t="s">
        <v>2356</v>
      </c>
      <c r="K146" t="str">
        <f t="shared" si="18"/>
        <v>ARJUN PATEL</v>
      </c>
      <c r="L146" t="str">
        <f t="shared" si="19"/>
        <v>Marketing</v>
      </c>
      <c r="M146">
        <f t="shared" si="20"/>
        <v>11</v>
      </c>
      <c r="N146" t="str">
        <f t="shared" si="21"/>
        <v>Arjun Patel-Marketing</v>
      </c>
      <c r="O146" t="str">
        <f t="shared" si="22"/>
        <v>company.com</v>
      </c>
      <c r="P146" t="str">
        <f t="shared" si="23"/>
        <v>company.com</v>
      </c>
      <c r="Q146">
        <f t="shared" si="24"/>
        <v>2021</v>
      </c>
      <c r="R146">
        <f t="shared" ca="1" si="25"/>
        <v>5</v>
      </c>
      <c r="S146" t="str">
        <f t="shared" si="26"/>
        <v>False</v>
      </c>
    </row>
    <row r="147" spans="1:19" x14ac:dyDescent="0.4">
      <c r="A147" s="2" t="s">
        <v>1020</v>
      </c>
      <c r="B147" s="2" t="s">
        <v>35</v>
      </c>
      <c r="C147" s="2" t="s">
        <v>10</v>
      </c>
      <c r="D147" s="2" t="s">
        <v>25</v>
      </c>
      <c r="E147" s="3">
        <v>44214</v>
      </c>
      <c r="F147" s="2" t="s">
        <v>36</v>
      </c>
      <c r="G147" s="2" t="s">
        <v>1021</v>
      </c>
      <c r="H147" s="2" t="s">
        <v>14</v>
      </c>
      <c r="I147" s="6" t="s">
        <v>2345</v>
      </c>
      <c r="J147" s="6" t="s">
        <v>2358</v>
      </c>
      <c r="K147" t="str">
        <f t="shared" si="18"/>
        <v>ISHA DAS</v>
      </c>
      <c r="L147" t="str">
        <f t="shared" si="19"/>
        <v>It</v>
      </c>
      <c r="M147">
        <f t="shared" si="20"/>
        <v>8</v>
      </c>
      <c r="N147" t="str">
        <f t="shared" si="21"/>
        <v>Isha Das-IT</v>
      </c>
      <c r="O147" t="str">
        <f t="shared" si="22"/>
        <v>company.com</v>
      </c>
      <c r="P147" t="str">
        <f t="shared" si="23"/>
        <v>company.com</v>
      </c>
      <c r="Q147">
        <f t="shared" si="24"/>
        <v>2021</v>
      </c>
      <c r="R147">
        <f t="shared" ca="1" si="25"/>
        <v>5</v>
      </c>
      <c r="S147" t="str">
        <f t="shared" si="26"/>
        <v>False</v>
      </c>
    </row>
    <row r="148" spans="1:19" x14ac:dyDescent="0.4">
      <c r="A148" s="2" t="s">
        <v>1032</v>
      </c>
      <c r="B148" s="2" t="s">
        <v>35</v>
      </c>
      <c r="C148" s="2" t="s">
        <v>10</v>
      </c>
      <c r="D148" s="2" t="s">
        <v>11</v>
      </c>
      <c r="E148" s="3">
        <v>44448</v>
      </c>
      <c r="F148" s="2" t="s">
        <v>36</v>
      </c>
      <c r="G148" s="2" t="s">
        <v>1033</v>
      </c>
      <c r="H148" s="2" t="s">
        <v>14</v>
      </c>
      <c r="I148" s="6" t="s">
        <v>2345</v>
      </c>
      <c r="J148" s="6" t="s">
        <v>2358</v>
      </c>
      <c r="K148" t="str">
        <f t="shared" si="18"/>
        <v>ISHA DAS</v>
      </c>
      <c r="L148" t="str">
        <f t="shared" si="19"/>
        <v>It</v>
      </c>
      <c r="M148">
        <f t="shared" si="20"/>
        <v>8</v>
      </c>
      <c r="N148" t="str">
        <f t="shared" si="21"/>
        <v>Isha Das-IT</v>
      </c>
      <c r="O148" t="str">
        <f t="shared" si="22"/>
        <v>company.com</v>
      </c>
      <c r="P148" t="str">
        <f t="shared" si="23"/>
        <v>company.com</v>
      </c>
      <c r="Q148">
        <f t="shared" si="24"/>
        <v>2021</v>
      </c>
      <c r="R148">
        <f t="shared" ca="1" si="25"/>
        <v>5</v>
      </c>
      <c r="S148" t="str">
        <f t="shared" si="26"/>
        <v>False</v>
      </c>
    </row>
    <row r="149" spans="1:19" x14ac:dyDescent="0.4">
      <c r="A149" s="2" t="s">
        <v>1036</v>
      </c>
      <c r="B149" s="2" t="s">
        <v>373</v>
      </c>
      <c r="C149" s="2" t="s">
        <v>10</v>
      </c>
      <c r="D149" s="2" t="s">
        <v>49</v>
      </c>
      <c r="E149" s="3">
        <v>44286</v>
      </c>
      <c r="F149" s="2" t="s">
        <v>374</v>
      </c>
      <c r="G149" s="2" t="s">
        <v>1037</v>
      </c>
      <c r="H149" s="2" t="s">
        <v>28</v>
      </c>
      <c r="I149" s="6" t="s">
        <v>2350</v>
      </c>
      <c r="J149" s="6" t="s">
        <v>2355</v>
      </c>
      <c r="K149" t="str">
        <f t="shared" si="18"/>
        <v>VIVAAN NAIR</v>
      </c>
      <c r="L149" t="str">
        <f t="shared" si="19"/>
        <v>It</v>
      </c>
      <c r="M149">
        <f t="shared" si="20"/>
        <v>11</v>
      </c>
      <c r="N149" t="str">
        <f t="shared" si="21"/>
        <v>Vivaan Nair-IT</v>
      </c>
      <c r="O149" t="str">
        <f t="shared" si="22"/>
        <v>company.com</v>
      </c>
      <c r="P149" t="str">
        <f t="shared" si="23"/>
        <v>company.com</v>
      </c>
      <c r="Q149">
        <f t="shared" si="24"/>
        <v>2021</v>
      </c>
      <c r="R149">
        <f t="shared" ca="1" si="25"/>
        <v>5</v>
      </c>
      <c r="S149" t="str">
        <f t="shared" si="26"/>
        <v>False</v>
      </c>
    </row>
    <row r="150" spans="1:19" x14ac:dyDescent="0.4">
      <c r="A150" s="2" t="s">
        <v>1070</v>
      </c>
      <c r="B150" s="2" t="s">
        <v>86</v>
      </c>
      <c r="C150" s="2" t="s">
        <v>17</v>
      </c>
      <c r="D150" s="2" t="s">
        <v>18</v>
      </c>
      <c r="E150" s="3">
        <v>44300</v>
      </c>
      <c r="F150" s="2" t="s">
        <v>88</v>
      </c>
      <c r="G150" s="2" t="s">
        <v>1071</v>
      </c>
      <c r="H150" s="2" t="s">
        <v>55</v>
      </c>
      <c r="I150" s="6" t="s">
        <v>2344</v>
      </c>
      <c r="J150" s="6" t="s">
        <v>2354</v>
      </c>
      <c r="K150" t="str">
        <f t="shared" si="18"/>
        <v>KABIR SINGH</v>
      </c>
      <c r="L150" t="str">
        <f t="shared" si="19"/>
        <v>Sales</v>
      </c>
      <c r="M150">
        <f t="shared" si="20"/>
        <v>11</v>
      </c>
      <c r="N150" t="str">
        <f t="shared" si="21"/>
        <v>Kabir Singh-Sales</v>
      </c>
      <c r="O150" t="str">
        <f t="shared" si="22"/>
        <v>company.com</v>
      </c>
      <c r="P150" t="str">
        <f t="shared" si="23"/>
        <v>company.com</v>
      </c>
      <c r="Q150">
        <f t="shared" si="24"/>
        <v>2021</v>
      </c>
      <c r="R150">
        <f t="shared" ca="1" si="25"/>
        <v>5</v>
      </c>
      <c r="S150" t="str">
        <f t="shared" si="26"/>
        <v>False</v>
      </c>
    </row>
    <row r="151" spans="1:19" x14ac:dyDescent="0.4">
      <c r="A151" s="2" t="s">
        <v>1108</v>
      </c>
      <c r="B151" s="2" t="s">
        <v>299</v>
      </c>
      <c r="C151" s="2" t="s">
        <v>31</v>
      </c>
      <c r="D151" s="2" t="s">
        <v>11</v>
      </c>
      <c r="E151" s="3">
        <v>44510</v>
      </c>
      <c r="F151" s="2" t="s">
        <v>300</v>
      </c>
      <c r="G151" s="2" t="s">
        <v>1109</v>
      </c>
      <c r="H151" s="2" t="s">
        <v>55</v>
      </c>
      <c r="I151" s="6" t="s">
        <v>2351</v>
      </c>
      <c r="J151" s="6" t="s">
        <v>2361</v>
      </c>
      <c r="K151" t="str">
        <f t="shared" si="18"/>
        <v>ADITYA KHAN</v>
      </c>
      <c r="L151" t="str">
        <f t="shared" si="19"/>
        <v>Finance</v>
      </c>
      <c r="M151">
        <f t="shared" si="20"/>
        <v>11</v>
      </c>
      <c r="N151" t="str">
        <f t="shared" si="21"/>
        <v>Aditya Khan-Finance</v>
      </c>
      <c r="O151" t="str">
        <f t="shared" si="22"/>
        <v>company.com</v>
      </c>
      <c r="P151" t="str">
        <f t="shared" si="23"/>
        <v>company.com</v>
      </c>
      <c r="Q151">
        <f t="shared" si="24"/>
        <v>2021</v>
      </c>
      <c r="R151">
        <f t="shared" ca="1" si="25"/>
        <v>4</v>
      </c>
      <c r="S151" t="str">
        <f t="shared" si="26"/>
        <v>False</v>
      </c>
    </row>
    <row r="152" spans="1:19" x14ac:dyDescent="0.4">
      <c r="A152" s="2" t="s">
        <v>1112</v>
      </c>
      <c r="B152" s="2" t="s">
        <v>489</v>
      </c>
      <c r="C152" s="2" t="s">
        <v>87</v>
      </c>
      <c r="D152" s="2" t="s">
        <v>11</v>
      </c>
      <c r="E152" s="3">
        <v>44410</v>
      </c>
      <c r="F152" s="2" t="s">
        <v>490</v>
      </c>
      <c r="G152" s="2" t="s">
        <v>1113</v>
      </c>
      <c r="H152" s="2" t="s">
        <v>55</v>
      </c>
      <c r="I152" s="6" t="s">
        <v>2347</v>
      </c>
      <c r="J152" s="6" t="s">
        <v>2359</v>
      </c>
      <c r="K152" t="str">
        <f t="shared" si="18"/>
        <v>ARJUN REDDY</v>
      </c>
      <c r="L152" t="str">
        <f t="shared" si="19"/>
        <v>Operations</v>
      </c>
      <c r="M152">
        <f t="shared" si="20"/>
        <v>11</v>
      </c>
      <c r="N152" t="str">
        <f t="shared" si="21"/>
        <v>Arjun Reddy-Operations</v>
      </c>
      <c r="O152" t="str">
        <f t="shared" si="22"/>
        <v>company.com</v>
      </c>
      <c r="P152" t="str">
        <f t="shared" si="23"/>
        <v>company.com</v>
      </c>
      <c r="Q152">
        <f t="shared" si="24"/>
        <v>2021</v>
      </c>
      <c r="R152">
        <f t="shared" ca="1" si="25"/>
        <v>5</v>
      </c>
      <c r="S152" t="str">
        <f t="shared" si="26"/>
        <v>False</v>
      </c>
    </row>
    <row r="153" spans="1:19" x14ac:dyDescent="0.4">
      <c r="A153" s="2" t="s">
        <v>1126</v>
      </c>
      <c r="B153" s="2" t="s">
        <v>78</v>
      </c>
      <c r="C153" s="2" t="s">
        <v>53</v>
      </c>
      <c r="D153" s="2" t="s">
        <v>18</v>
      </c>
      <c r="E153" s="3">
        <v>44222</v>
      </c>
      <c r="F153" s="2" t="s">
        <v>79</v>
      </c>
      <c r="G153" s="2" t="s">
        <v>1127</v>
      </c>
      <c r="H153" s="2" t="s">
        <v>21</v>
      </c>
      <c r="I153" s="6" t="s">
        <v>2348</v>
      </c>
      <c r="J153" s="6" t="s">
        <v>2356</v>
      </c>
      <c r="K153" t="str">
        <f t="shared" si="18"/>
        <v>ANANYA PATEL</v>
      </c>
      <c r="L153" t="str">
        <f t="shared" si="19"/>
        <v>Hr</v>
      </c>
      <c r="M153">
        <f t="shared" si="20"/>
        <v>12</v>
      </c>
      <c r="N153" t="str">
        <f t="shared" si="21"/>
        <v>Ananya Patel-HR</v>
      </c>
      <c r="O153" t="str">
        <f t="shared" si="22"/>
        <v>company.com</v>
      </c>
      <c r="P153" t="str">
        <f t="shared" si="23"/>
        <v>company.com</v>
      </c>
      <c r="Q153">
        <f t="shared" si="24"/>
        <v>2021</v>
      </c>
      <c r="R153">
        <f t="shared" ca="1" si="25"/>
        <v>5</v>
      </c>
      <c r="S153" t="str">
        <f t="shared" si="26"/>
        <v>False</v>
      </c>
    </row>
    <row r="154" spans="1:19" x14ac:dyDescent="0.4">
      <c r="A154" s="2" t="s">
        <v>1130</v>
      </c>
      <c r="B154" s="2" t="s">
        <v>23</v>
      </c>
      <c r="C154" s="2" t="s">
        <v>87</v>
      </c>
      <c r="D154" s="2" t="s">
        <v>11</v>
      </c>
      <c r="E154" s="3">
        <v>44481</v>
      </c>
      <c r="F154" s="2" t="s">
        <v>26</v>
      </c>
      <c r="G154" s="2" t="s">
        <v>1131</v>
      </c>
      <c r="H154" s="2" t="s">
        <v>28</v>
      </c>
      <c r="I154" s="6" t="s">
        <v>2350</v>
      </c>
      <c r="J154" s="6" t="s">
        <v>2362</v>
      </c>
      <c r="K154" t="str">
        <f t="shared" si="18"/>
        <v>VIVAAN MEHTA</v>
      </c>
      <c r="L154" t="str">
        <f t="shared" si="19"/>
        <v>Operations</v>
      </c>
      <c r="M154">
        <f t="shared" si="20"/>
        <v>12</v>
      </c>
      <c r="N154" t="str">
        <f t="shared" si="21"/>
        <v>Vivaan Mehta-Operations</v>
      </c>
      <c r="O154" t="str">
        <f t="shared" si="22"/>
        <v>company.com</v>
      </c>
      <c r="P154" t="str">
        <f t="shared" si="23"/>
        <v>company.com</v>
      </c>
      <c r="Q154">
        <f t="shared" si="24"/>
        <v>2021</v>
      </c>
      <c r="R154">
        <f t="shared" ca="1" si="25"/>
        <v>5</v>
      </c>
      <c r="S154" t="str">
        <f t="shared" si="26"/>
        <v>False</v>
      </c>
    </row>
    <row r="155" spans="1:19" x14ac:dyDescent="0.4">
      <c r="A155" s="2" t="s">
        <v>1156</v>
      </c>
      <c r="B155" s="2" t="s">
        <v>651</v>
      </c>
      <c r="C155" s="2" t="s">
        <v>31</v>
      </c>
      <c r="D155" s="2" t="s">
        <v>49</v>
      </c>
      <c r="E155" s="3">
        <v>44316</v>
      </c>
      <c r="F155" s="2" t="s">
        <v>652</v>
      </c>
      <c r="G155" s="2" t="s">
        <v>1157</v>
      </c>
      <c r="H155" s="2" t="s">
        <v>14</v>
      </c>
      <c r="I155" s="6" t="s">
        <v>2349</v>
      </c>
      <c r="J155" s="6" t="s">
        <v>2355</v>
      </c>
      <c r="K155" t="str">
        <f t="shared" si="18"/>
        <v>AARAV NAIR</v>
      </c>
      <c r="L155" t="str">
        <f t="shared" si="19"/>
        <v>Finance</v>
      </c>
      <c r="M155">
        <f t="shared" si="20"/>
        <v>10</v>
      </c>
      <c r="N155" t="str">
        <f t="shared" si="21"/>
        <v>Aarav Nair-Finance</v>
      </c>
      <c r="O155" t="str">
        <f t="shared" si="22"/>
        <v>company.com</v>
      </c>
      <c r="P155" t="str">
        <f t="shared" si="23"/>
        <v>company.com</v>
      </c>
      <c r="Q155">
        <f t="shared" si="24"/>
        <v>2021</v>
      </c>
      <c r="R155">
        <f t="shared" ca="1" si="25"/>
        <v>5</v>
      </c>
      <c r="S155" t="str">
        <f t="shared" si="26"/>
        <v>False</v>
      </c>
    </row>
    <row r="156" spans="1:19" x14ac:dyDescent="0.4">
      <c r="A156" s="2" t="s">
        <v>1158</v>
      </c>
      <c r="B156" s="2" t="s">
        <v>317</v>
      </c>
      <c r="C156" s="2" t="s">
        <v>31</v>
      </c>
      <c r="D156" s="2" t="s">
        <v>49</v>
      </c>
      <c r="E156" s="3">
        <v>44251</v>
      </c>
      <c r="F156" s="2" t="s">
        <v>318</v>
      </c>
      <c r="G156" s="2" t="s">
        <v>1159</v>
      </c>
      <c r="H156" s="2" t="s">
        <v>14</v>
      </c>
      <c r="I156" s="6" t="s">
        <v>2351</v>
      </c>
      <c r="J156" s="6" t="s">
        <v>2359</v>
      </c>
      <c r="K156" t="str">
        <f t="shared" si="18"/>
        <v>ADITYA REDDY</v>
      </c>
      <c r="L156" t="str">
        <f t="shared" si="19"/>
        <v>Finance</v>
      </c>
      <c r="M156">
        <f t="shared" si="20"/>
        <v>12</v>
      </c>
      <c r="N156" t="str">
        <f t="shared" si="21"/>
        <v>Aditya Reddy-Finance</v>
      </c>
      <c r="O156" t="str">
        <f t="shared" si="22"/>
        <v>company.com</v>
      </c>
      <c r="P156" t="str">
        <f t="shared" si="23"/>
        <v>company.com</v>
      </c>
      <c r="Q156">
        <f t="shared" si="24"/>
        <v>2021</v>
      </c>
      <c r="R156">
        <f t="shared" ca="1" si="25"/>
        <v>5</v>
      </c>
      <c r="S156" t="str">
        <f t="shared" si="26"/>
        <v>False</v>
      </c>
    </row>
    <row r="157" spans="1:19" x14ac:dyDescent="0.4">
      <c r="A157" s="2" t="s">
        <v>1208</v>
      </c>
      <c r="B157" s="2" t="s">
        <v>401</v>
      </c>
      <c r="C157" s="2" t="s">
        <v>10</v>
      </c>
      <c r="D157" s="2" t="s">
        <v>25</v>
      </c>
      <c r="E157" s="3">
        <v>44342</v>
      </c>
      <c r="F157" s="2" t="s">
        <v>402</v>
      </c>
      <c r="G157" s="2" t="s">
        <v>1209</v>
      </c>
      <c r="H157" s="2" t="s">
        <v>64</v>
      </c>
      <c r="I157" s="6" t="s">
        <v>2352</v>
      </c>
      <c r="J157" s="6" t="s">
        <v>2355</v>
      </c>
      <c r="K157" t="str">
        <f t="shared" si="18"/>
        <v>MEERA NAIR</v>
      </c>
      <c r="L157" t="str">
        <f t="shared" si="19"/>
        <v>It</v>
      </c>
      <c r="M157">
        <f t="shared" si="20"/>
        <v>10</v>
      </c>
      <c r="N157" t="str">
        <f t="shared" si="21"/>
        <v>Meera Nair-IT</v>
      </c>
      <c r="O157" t="str">
        <f t="shared" si="22"/>
        <v>company.com</v>
      </c>
      <c r="P157" t="str">
        <f t="shared" si="23"/>
        <v>company.com</v>
      </c>
      <c r="Q157">
        <f t="shared" si="24"/>
        <v>2021</v>
      </c>
      <c r="R157">
        <f t="shared" ca="1" si="25"/>
        <v>5</v>
      </c>
      <c r="S157" t="str">
        <f t="shared" si="26"/>
        <v>False</v>
      </c>
    </row>
    <row r="158" spans="1:19" x14ac:dyDescent="0.4">
      <c r="A158" s="2" t="s">
        <v>1222</v>
      </c>
      <c r="B158" s="2" t="s">
        <v>473</v>
      </c>
      <c r="C158" s="2" t="s">
        <v>17</v>
      </c>
      <c r="D158" s="2" t="s">
        <v>11</v>
      </c>
      <c r="E158" s="3">
        <v>44543</v>
      </c>
      <c r="F158" s="2" t="s">
        <v>474</v>
      </c>
      <c r="G158" s="2" t="s">
        <v>1223</v>
      </c>
      <c r="H158" s="2" t="s">
        <v>64</v>
      </c>
      <c r="I158" s="6" t="s">
        <v>2352</v>
      </c>
      <c r="J158" s="6" t="s">
        <v>2361</v>
      </c>
      <c r="K158" t="str">
        <f t="shared" si="18"/>
        <v>MEERA KHAN</v>
      </c>
      <c r="L158" t="str">
        <f t="shared" si="19"/>
        <v>Sales</v>
      </c>
      <c r="M158">
        <f t="shared" si="20"/>
        <v>10</v>
      </c>
      <c r="N158" t="str">
        <f t="shared" si="21"/>
        <v>Meera Khan-Sales</v>
      </c>
      <c r="O158" t="str">
        <f t="shared" si="22"/>
        <v>company.com</v>
      </c>
      <c r="P158" t="str">
        <f t="shared" si="23"/>
        <v>company.com</v>
      </c>
      <c r="Q158">
        <f t="shared" si="24"/>
        <v>2021</v>
      </c>
      <c r="R158">
        <f t="shared" ca="1" si="25"/>
        <v>4</v>
      </c>
      <c r="S158" t="str">
        <f t="shared" si="26"/>
        <v>False</v>
      </c>
    </row>
    <row r="159" spans="1:19" x14ac:dyDescent="0.4">
      <c r="A159" s="2" t="s">
        <v>65</v>
      </c>
      <c r="B159" s="2" t="s">
        <v>66</v>
      </c>
      <c r="C159" s="2" t="s">
        <v>31</v>
      </c>
      <c r="D159" s="2" t="s">
        <v>11</v>
      </c>
      <c r="E159" s="3">
        <v>44060</v>
      </c>
      <c r="F159" s="2" t="s">
        <v>67</v>
      </c>
      <c r="G159" s="2" t="s">
        <v>68</v>
      </c>
      <c r="H159" s="2" t="s">
        <v>14</v>
      </c>
      <c r="I159" s="6" t="s">
        <v>2349</v>
      </c>
      <c r="J159" s="6" t="s">
        <v>2361</v>
      </c>
      <c r="K159" t="str">
        <f t="shared" si="18"/>
        <v>AARAV KHAN</v>
      </c>
      <c r="L159" t="str">
        <f t="shared" si="19"/>
        <v>Finance</v>
      </c>
      <c r="M159">
        <f t="shared" si="20"/>
        <v>10</v>
      </c>
      <c r="N159" t="str">
        <f t="shared" si="21"/>
        <v>Aarav Khan-Finance</v>
      </c>
      <c r="O159" t="str">
        <f t="shared" si="22"/>
        <v>company.com</v>
      </c>
      <c r="P159" t="str">
        <f t="shared" si="23"/>
        <v>company.com</v>
      </c>
      <c r="Q159">
        <f t="shared" si="24"/>
        <v>2020</v>
      </c>
      <c r="R159">
        <f t="shared" ca="1" si="25"/>
        <v>6</v>
      </c>
      <c r="S159" t="str">
        <f t="shared" si="26"/>
        <v>False</v>
      </c>
    </row>
    <row r="160" spans="1:19" x14ac:dyDescent="0.4">
      <c r="A160" s="2" t="s">
        <v>186</v>
      </c>
      <c r="B160" s="2" t="s">
        <v>187</v>
      </c>
      <c r="C160" s="2" t="s">
        <v>10</v>
      </c>
      <c r="D160" s="2" t="s">
        <v>25</v>
      </c>
      <c r="E160" s="3">
        <v>43961</v>
      </c>
      <c r="F160" s="2" t="s">
        <v>188</v>
      </c>
      <c r="G160" s="2" t="s">
        <v>189</v>
      </c>
      <c r="H160" s="2" t="s">
        <v>28</v>
      </c>
      <c r="I160" s="6" t="s">
        <v>2349</v>
      </c>
      <c r="J160" s="6" t="s">
        <v>2359</v>
      </c>
      <c r="K160" t="str">
        <f t="shared" si="18"/>
        <v>AARAV REDDY</v>
      </c>
      <c r="L160" t="str">
        <f t="shared" si="19"/>
        <v>It</v>
      </c>
      <c r="M160">
        <f t="shared" si="20"/>
        <v>11</v>
      </c>
      <c r="N160" t="str">
        <f t="shared" si="21"/>
        <v>Aarav Reddy-IT</v>
      </c>
      <c r="O160" t="str">
        <f t="shared" si="22"/>
        <v>company.com</v>
      </c>
      <c r="P160" t="str">
        <f t="shared" si="23"/>
        <v>company.com</v>
      </c>
      <c r="Q160">
        <f t="shared" si="24"/>
        <v>2020</v>
      </c>
      <c r="R160">
        <f t="shared" ca="1" si="25"/>
        <v>6</v>
      </c>
      <c r="S160" t="str">
        <f t="shared" si="26"/>
        <v>False</v>
      </c>
    </row>
    <row r="161" spans="1:19" x14ac:dyDescent="0.4">
      <c r="A161" s="2" t="s">
        <v>246</v>
      </c>
      <c r="B161" s="2" t="s">
        <v>61</v>
      </c>
      <c r="C161" s="2" t="s">
        <v>10</v>
      </c>
      <c r="D161" s="2" t="s">
        <v>49</v>
      </c>
      <c r="E161" s="3">
        <v>44025</v>
      </c>
      <c r="F161" s="2" t="s">
        <v>62</v>
      </c>
      <c r="G161" s="2" t="s">
        <v>247</v>
      </c>
      <c r="H161" s="2" t="s">
        <v>21</v>
      </c>
      <c r="I161" s="6" t="s">
        <v>2348</v>
      </c>
      <c r="J161" s="6" t="s">
        <v>2357</v>
      </c>
      <c r="K161" t="str">
        <f t="shared" si="18"/>
        <v>ANANYA JOSHI</v>
      </c>
      <c r="L161" t="str">
        <f t="shared" si="19"/>
        <v>It</v>
      </c>
      <c r="M161">
        <f t="shared" si="20"/>
        <v>12</v>
      </c>
      <c r="N161" t="str">
        <f t="shared" si="21"/>
        <v>Ananya Joshi-IT</v>
      </c>
      <c r="O161" t="str">
        <f t="shared" si="22"/>
        <v>company.com</v>
      </c>
      <c r="P161" t="str">
        <f t="shared" si="23"/>
        <v>company.com</v>
      </c>
      <c r="Q161">
        <f t="shared" si="24"/>
        <v>2020</v>
      </c>
      <c r="R161">
        <f t="shared" ca="1" si="25"/>
        <v>6</v>
      </c>
      <c r="S161" t="str">
        <f t="shared" si="26"/>
        <v>False</v>
      </c>
    </row>
    <row r="162" spans="1:19" x14ac:dyDescent="0.4">
      <c r="A162" s="2" t="s">
        <v>274</v>
      </c>
      <c r="B162" s="2" t="s">
        <v>267</v>
      </c>
      <c r="C162" s="2" t="s">
        <v>87</v>
      </c>
      <c r="D162" s="2" t="s">
        <v>18</v>
      </c>
      <c r="E162" s="3">
        <v>44174</v>
      </c>
      <c r="F162" s="2" t="s">
        <v>268</v>
      </c>
      <c r="G162" s="2" t="s">
        <v>275</v>
      </c>
      <c r="H162" s="2" t="s">
        <v>28</v>
      </c>
      <c r="I162" s="6" t="s">
        <v>2343</v>
      </c>
      <c r="J162" s="6" t="s">
        <v>2362</v>
      </c>
      <c r="K162" t="str">
        <f t="shared" si="18"/>
        <v>DIYA MEHTA</v>
      </c>
      <c r="L162" t="str">
        <f t="shared" si="19"/>
        <v>Operations</v>
      </c>
      <c r="M162">
        <f t="shared" si="20"/>
        <v>10</v>
      </c>
      <c r="N162" t="str">
        <f t="shared" si="21"/>
        <v>Diya Mehta-Operations</v>
      </c>
      <c r="O162" t="str">
        <f t="shared" si="22"/>
        <v>company.com</v>
      </c>
      <c r="P162" t="str">
        <f t="shared" si="23"/>
        <v>company.com</v>
      </c>
      <c r="Q162">
        <f t="shared" si="24"/>
        <v>2020</v>
      </c>
      <c r="R162">
        <f t="shared" ca="1" si="25"/>
        <v>5</v>
      </c>
      <c r="S162" t="str">
        <f t="shared" si="26"/>
        <v>False</v>
      </c>
    </row>
    <row r="163" spans="1:19" x14ac:dyDescent="0.4">
      <c r="A163" s="2" t="s">
        <v>312</v>
      </c>
      <c r="B163" s="2" t="s">
        <v>235</v>
      </c>
      <c r="C163" s="2" t="s">
        <v>17</v>
      </c>
      <c r="D163" s="2" t="s">
        <v>11</v>
      </c>
      <c r="E163" s="3">
        <v>44139</v>
      </c>
      <c r="F163" s="2" t="s">
        <v>236</v>
      </c>
      <c r="G163" s="2" t="s">
        <v>313</v>
      </c>
      <c r="H163" s="2" t="s">
        <v>64</v>
      </c>
      <c r="I163" s="6" t="s">
        <v>2349</v>
      </c>
      <c r="J163" s="6" t="s">
        <v>2353</v>
      </c>
      <c r="K163" t="str">
        <f t="shared" si="18"/>
        <v>AARAV GUPTA</v>
      </c>
      <c r="L163" t="str">
        <f t="shared" si="19"/>
        <v>Sales</v>
      </c>
      <c r="M163">
        <f t="shared" si="20"/>
        <v>11</v>
      </c>
      <c r="N163" t="str">
        <f t="shared" si="21"/>
        <v>Aarav Gupta-Sales</v>
      </c>
      <c r="O163" t="str">
        <f t="shared" si="22"/>
        <v>company.com</v>
      </c>
      <c r="P163" t="str">
        <f t="shared" si="23"/>
        <v>company.com</v>
      </c>
      <c r="Q163">
        <f t="shared" si="24"/>
        <v>2020</v>
      </c>
      <c r="R163">
        <f t="shared" ca="1" si="25"/>
        <v>5</v>
      </c>
      <c r="S163" t="str">
        <f t="shared" si="26"/>
        <v>False</v>
      </c>
    </row>
    <row r="164" spans="1:19" x14ac:dyDescent="0.4">
      <c r="A164" s="2" t="s">
        <v>354</v>
      </c>
      <c r="B164" s="2" t="s">
        <v>86</v>
      </c>
      <c r="C164" s="2" t="s">
        <v>17</v>
      </c>
      <c r="D164" s="2" t="s">
        <v>49</v>
      </c>
      <c r="E164" s="3">
        <v>44088</v>
      </c>
      <c r="F164" s="2" t="s">
        <v>88</v>
      </c>
      <c r="G164" s="2" t="s">
        <v>355</v>
      </c>
      <c r="H164" s="2" t="s">
        <v>21</v>
      </c>
      <c r="I164" s="6" t="s">
        <v>2344</v>
      </c>
      <c r="J164" s="6" t="s">
        <v>2354</v>
      </c>
      <c r="K164" t="str">
        <f t="shared" si="18"/>
        <v>KABIR SINGH</v>
      </c>
      <c r="L164" t="str">
        <f t="shared" si="19"/>
        <v>Sales</v>
      </c>
      <c r="M164">
        <f t="shared" si="20"/>
        <v>11</v>
      </c>
      <c r="N164" t="str">
        <f t="shared" si="21"/>
        <v>Kabir Singh-Sales</v>
      </c>
      <c r="O164" t="str">
        <f t="shared" si="22"/>
        <v>company.com</v>
      </c>
      <c r="P164" t="str">
        <f t="shared" si="23"/>
        <v>company.com</v>
      </c>
      <c r="Q164">
        <f t="shared" si="24"/>
        <v>2020</v>
      </c>
      <c r="R164">
        <f t="shared" ca="1" si="25"/>
        <v>6</v>
      </c>
      <c r="S164" t="str">
        <f t="shared" si="26"/>
        <v>False</v>
      </c>
    </row>
    <row r="165" spans="1:19" x14ac:dyDescent="0.4">
      <c r="A165" s="2" t="s">
        <v>422</v>
      </c>
      <c r="B165" s="2" t="s">
        <v>299</v>
      </c>
      <c r="C165" s="2" t="s">
        <v>10</v>
      </c>
      <c r="D165" s="2" t="s">
        <v>11</v>
      </c>
      <c r="E165" s="3">
        <v>44153</v>
      </c>
      <c r="F165" s="2" t="s">
        <v>300</v>
      </c>
      <c r="G165" s="2" t="s">
        <v>423</v>
      </c>
      <c r="H165" s="2" t="s">
        <v>28</v>
      </c>
      <c r="I165" s="6" t="s">
        <v>2351</v>
      </c>
      <c r="J165" s="6" t="s">
        <v>2361</v>
      </c>
      <c r="K165" t="str">
        <f t="shared" si="18"/>
        <v>ADITYA KHAN</v>
      </c>
      <c r="L165" t="str">
        <f t="shared" si="19"/>
        <v>It</v>
      </c>
      <c r="M165">
        <f t="shared" si="20"/>
        <v>11</v>
      </c>
      <c r="N165" t="str">
        <f t="shared" si="21"/>
        <v>Aditya Khan-IT</v>
      </c>
      <c r="O165" t="str">
        <f t="shared" si="22"/>
        <v>company.com</v>
      </c>
      <c r="P165" t="str">
        <f t="shared" si="23"/>
        <v>company.com</v>
      </c>
      <c r="Q165">
        <f t="shared" si="24"/>
        <v>2020</v>
      </c>
      <c r="R165">
        <f t="shared" ca="1" si="25"/>
        <v>5</v>
      </c>
      <c r="S165" t="str">
        <f t="shared" si="26"/>
        <v>False</v>
      </c>
    </row>
    <row r="166" spans="1:19" x14ac:dyDescent="0.4">
      <c r="A166" s="2" t="s">
        <v>460</v>
      </c>
      <c r="B166" s="2" t="s">
        <v>16</v>
      </c>
      <c r="C166" s="2" t="s">
        <v>31</v>
      </c>
      <c r="D166" s="2" t="s">
        <v>18</v>
      </c>
      <c r="E166" s="3">
        <v>44089</v>
      </c>
      <c r="F166" s="2" t="s">
        <v>19</v>
      </c>
      <c r="G166" s="2" t="s">
        <v>461</v>
      </c>
      <c r="H166" s="2" t="s">
        <v>14</v>
      </c>
      <c r="I166" s="6" t="s">
        <v>2352</v>
      </c>
      <c r="J166" s="6" t="s">
        <v>2359</v>
      </c>
      <c r="K166" t="str">
        <f t="shared" si="18"/>
        <v>MEERA REDDY</v>
      </c>
      <c r="L166" t="str">
        <f t="shared" si="19"/>
        <v>Finance</v>
      </c>
      <c r="M166">
        <f t="shared" si="20"/>
        <v>11</v>
      </c>
      <c r="N166" t="str">
        <f t="shared" si="21"/>
        <v>Meera Reddy-Finance</v>
      </c>
      <c r="O166" t="str">
        <f t="shared" si="22"/>
        <v>company.com</v>
      </c>
      <c r="P166" t="str">
        <f t="shared" si="23"/>
        <v>company.com</v>
      </c>
      <c r="Q166">
        <f t="shared" si="24"/>
        <v>2020</v>
      </c>
      <c r="R166">
        <f t="shared" ca="1" si="25"/>
        <v>6</v>
      </c>
      <c r="S166" t="str">
        <f t="shared" si="26"/>
        <v>False</v>
      </c>
    </row>
    <row r="167" spans="1:19" x14ac:dyDescent="0.4">
      <c r="A167" s="2" t="s">
        <v>500</v>
      </c>
      <c r="B167" s="2" t="s">
        <v>121</v>
      </c>
      <c r="C167" s="2" t="s">
        <v>87</v>
      </c>
      <c r="D167" s="2" t="s">
        <v>11</v>
      </c>
      <c r="E167" s="3">
        <v>43995</v>
      </c>
      <c r="F167" s="2" t="s">
        <v>122</v>
      </c>
      <c r="G167" s="2" t="s">
        <v>501</v>
      </c>
      <c r="H167" s="2" t="s">
        <v>28</v>
      </c>
      <c r="I167" s="6" t="s">
        <v>2348</v>
      </c>
      <c r="J167" s="6" t="s">
        <v>2360</v>
      </c>
      <c r="K167" t="str">
        <f t="shared" si="18"/>
        <v>ANANYA SHARMA</v>
      </c>
      <c r="L167" t="str">
        <f t="shared" si="19"/>
        <v>Operations</v>
      </c>
      <c r="M167">
        <f t="shared" si="20"/>
        <v>13</v>
      </c>
      <c r="N167" t="str">
        <f t="shared" si="21"/>
        <v>Ananya Sharma-Operations</v>
      </c>
      <c r="O167" t="str">
        <f t="shared" si="22"/>
        <v>company.com</v>
      </c>
      <c r="P167" t="str">
        <f t="shared" si="23"/>
        <v>company.com</v>
      </c>
      <c r="Q167">
        <f t="shared" si="24"/>
        <v>2020</v>
      </c>
      <c r="R167">
        <f t="shared" ca="1" si="25"/>
        <v>6</v>
      </c>
      <c r="S167" t="str">
        <f t="shared" si="26"/>
        <v>False</v>
      </c>
    </row>
    <row r="168" spans="1:19" x14ac:dyDescent="0.4">
      <c r="A168" s="2" t="s">
        <v>514</v>
      </c>
      <c r="B168" s="2" t="s">
        <v>39</v>
      </c>
      <c r="C168" s="2" t="s">
        <v>53</v>
      </c>
      <c r="D168" s="2" t="s">
        <v>25</v>
      </c>
      <c r="E168" s="3">
        <v>43838</v>
      </c>
      <c r="F168" s="2" t="s">
        <v>40</v>
      </c>
      <c r="G168" s="2" t="s">
        <v>515</v>
      </c>
      <c r="H168" s="2" t="s">
        <v>14</v>
      </c>
      <c r="I168" s="6" t="s">
        <v>2349</v>
      </c>
      <c r="J168" s="6" t="s">
        <v>2358</v>
      </c>
      <c r="K168" t="str">
        <f t="shared" si="18"/>
        <v>AARAV DAS</v>
      </c>
      <c r="L168" t="str">
        <f t="shared" si="19"/>
        <v>Hr</v>
      </c>
      <c r="M168">
        <f t="shared" si="20"/>
        <v>9</v>
      </c>
      <c r="N168" t="str">
        <f t="shared" si="21"/>
        <v>Aarav Das-HR</v>
      </c>
      <c r="O168" t="str">
        <f t="shared" si="22"/>
        <v>company.com</v>
      </c>
      <c r="P168" t="str">
        <f t="shared" si="23"/>
        <v>company.com</v>
      </c>
      <c r="Q168">
        <f t="shared" si="24"/>
        <v>2020</v>
      </c>
      <c r="R168">
        <f t="shared" ca="1" si="25"/>
        <v>6</v>
      </c>
      <c r="S168" t="str">
        <f t="shared" si="26"/>
        <v>False</v>
      </c>
    </row>
    <row r="169" spans="1:19" x14ac:dyDescent="0.4">
      <c r="A169" s="2" t="s">
        <v>520</v>
      </c>
      <c r="B169" s="2" t="s">
        <v>153</v>
      </c>
      <c r="C169" s="2" t="s">
        <v>24</v>
      </c>
      <c r="D169" s="2" t="s">
        <v>25</v>
      </c>
      <c r="E169" s="3">
        <v>43970</v>
      </c>
      <c r="F169" s="2" t="s">
        <v>154</v>
      </c>
      <c r="G169" s="2" t="s">
        <v>521</v>
      </c>
      <c r="H169" s="2" t="s">
        <v>21</v>
      </c>
      <c r="I169" s="6" t="s">
        <v>2344</v>
      </c>
      <c r="J169" s="6" t="s">
        <v>2356</v>
      </c>
      <c r="K169" t="str">
        <f t="shared" si="18"/>
        <v>KABIR PATEL</v>
      </c>
      <c r="L169" t="str">
        <f t="shared" si="19"/>
        <v>Marketing</v>
      </c>
      <c r="M169">
        <f t="shared" si="20"/>
        <v>11</v>
      </c>
      <c r="N169" t="str">
        <f t="shared" si="21"/>
        <v>Kabir Patel-Marketing</v>
      </c>
      <c r="O169" t="str">
        <f t="shared" si="22"/>
        <v>company.com</v>
      </c>
      <c r="P169" t="str">
        <f t="shared" si="23"/>
        <v>company.com</v>
      </c>
      <c r="Q169">
        <f t="shared" si="24"/>
        <v>2020</v>
      </c>
      <c r="R169">
        <f t="shared" ca="1" si="25"/>
        <v>6</v>
      </c>
      <c r="S169" t="str">
        <f t="shared" si="26"/>
        <v>False</v>
      </c>
    </row>
    <row r="170" spans="1:19" x14ac:dyDescent="0.4">
      <c r="A170" s="2" t="s">
        <v>532</v>
      </c>
      <c r="B170" s="2" t="s">
        <v>533</v>
      </c>
      <c r="C170" s="2" t="s">
        <v>87</v>
      </c>
      <c r="D170" s="2" t="s">
        <v>25</v>
      </c>
      <c r="E170" s="3">
        <v>44175</v>
      </c>
      <c r="F170" s="2" t="s">
        <v>534</v>
      </c>
      <c r="G170" s="2" t="s">
        <v>535</v>
      </c>
      <c r="H170" s="2" t="s">
        <v>21</v>
      </c>
      <c r="I170" s="6" t="s">
        <v>2351</v>
      </c>
      <c r="J170" s="6" t="s">
        <v>2360</v>
      </c>
      <c r="K170" t="str">
        <f t="shared" si="18"/>
        <v>ADITYA SHARMA</v>
      </c>
      <c r="L170" t="str">
        <f t="shared" si="19"/>
        <v>Operations</v>
      </c>
      <c r="M170">
        <f t="shared" si="20"/>
        <v>13</v>
      </c>
      <c r="N170" t="str">
        <f t="shared" si="21"/>
        <v>Aditya Sharma-Operations</v>
      </c>
      <c r="O170" t="str">
        <f t="shared" si="22"/>
        <v>company.com</v>
      </c>
      <c r="P170" t="str">
        <f t="shared" si="23"/>
        <v>company.com</v>
      </c>
      <c r="Q170">
        <f t="shared" si="24"/>
        <v>2020</v>
      </c>
      <c r="R170">
        <f t="shared" ca="1" si="25"/>
        <v>5</v>
      </c>
      <c r="S170" t="str">
        <f t="shared" si="26"/>
        <v>False</v>
      </c>
    </row>
    <row r="171" spans="1:19" x14ac:dyDescent="0.4">
      <c r="A171" s="2" t="s">
        <v>536</v>
      </c>
      <c r="B171" s="2" t="s">
        <v>221</v>
      </c>
      <c r="C171" s="2" t="s">
        <v>10</v>
      </c>
      <c r="D171" s="2" t="s">
        <v>49</v>
      </c>
      <c r="E171" s="3">
        <v>43834</v>
      </c>
      <c r="F171" s="2" t="s">
        <v>222</v>
      </c>
      <c r="G171" s="2" t="s">
        <v>537</v>
      </c>
      <c r="H171" s="2" t="s">
        <v>14</v>
      </c>
      <c r="I171" s="6" t="s">
        <v>2345</v>
      </c>
      <c r="J171" s="6" t="s">
        <v>2359</v>
      </c>
      <c r="K171" t="str">
        <f t="shared" si="18"/>
        <v>ISHA REDDY</v>
      </c>
      <c r="L171" t="str">
        <f t="shared" si="19"/>
        <v>It</v>
      </c>
      <c r="M171">
        <f t="shared" si="20"/>
        <v>10</v>
      </c>
      <c r="N171" t="str">
        <f t="shared" si="21"/>
        <v>Isha Reddy-IT</v>
      </c>
      <c r="O171" t="str">
        <f t="shared" si="22"/>
        <v>company.com</v>
      </c>
      <c r="P171" t="str">
        <f t="shared" si="23"/>
        <v>company.com</v>
      </c>
      <c r="Q171">
        <f t="shared" si="24"/>
        <v>2020</v>
      </c>
      <c r="R171">
        <f t="shared" ca="1" si="25"/>
        <v>6</v>
      </c>
      <c r="S171" t="str">
        <f t="shared" si="26"/>
        <v>False</v>
      </c>
    </row>
    <row r="172" spans="1:19" x14ac:dyDescent="0.4">
      <c r="A172" s="2" t="s">
        <v>560</v>
      </c>
      <c r="B172" s="2" t="s">
        <v>561</v>
      </c>
      <c r="C172" s="2" t="s">
        <v>87</v>
      </c>
      <c r="D172" s="2" t="s">
        <v>49</v>
      </c>
      <c r="E172" s="3">
        <v>44020</v>
      </c>
      <c r="F172" s="2" t="s">
        <v>562</v>
      </c>
      <c r="G172" s="2" t="s">
        <v>563</v>
      </c>
      <c r="H172" s="2" t="s">
        <v>28</v>
      </c>
      <c r="I172" s="6" t="s">
        <v>2347</v>
      </c>
      <c r="J172" s="6" t="s">
        <v>2358</v>
      </c>
      <c r="K172" t="str">
        <f t="shared" si="18"/>
        <v>ARJUN DAS</v>
      </c>
      <c r="L172" t="str">
        <f t="shared" si="19"/>
        <v>Operations</v>
      </c>
      <c r="M172">
        <f t="shared" si="20"/>
        <v>9</v>
      </c>
      <c r="N172" t="str">
        <f t="shared" si="21"/>
        <v>Arjun Das-Operations</v>
      </c>
      <c r="O172" t="str">
        <f t="shared" si="22"/>
        <v>company.com</v>
      </c>
      <c r="P172" t="str">
        <f t="shared" si="23"/>
        <v>company.com</v>
      </c>
      <c r="Q172">
        <f t="shared" si="24"/>
        <v>2020</v>
      </c>
      <c r="R172">
        <f t="shared" ca="1" si="25"/>
        <v>6</v>
      </c>
      <c r="S172" t="str">
        <f t="shared" si="26"/>
        <v>False</v>
      </c>
    </row>
    <row r="173" spans="1:19" x14ac:dyDescent="0.4">
      <c r="A173" s="2" t="s">
        <v>572</v>
      </c>
      <c r="B173" s="2" t="s">
        <v>533</v>
      </c>
      <c r="C173" s="2" t="s">
        <v>87</v>
      </c>
      <c r="D173" s="2" t="s">
        <v>18</v>
      </c>
      <c r="E173" s="3">
        <v>43886</v>
      </c>
      <c r="F173" s="2" t="s">
        <v>534</v>
      </c>
      <c r="G173" s="2" t="s">
        <v>573</v>
      </c>
      <c r="H173" s="2" t="s">
        <v>21</v>
      </c>
      <c r="I173" s="6" t="s">
        <v>2351</v>
      </c>
      <c r="J173" s="6" t="s">
        <v>2360</v>
      </c>
      <c r="K173" t="str">
        <f t="shared" si="18"/>
        <v>ADITYA SHARMA</v>
      </c>
      <c r="L173" t="str">
        <f t="shared" si="19"/>
        <v>Operations</v>
      </c>
      <c r="M173">
        <f t="shared" si="20"/>
        <v>13</v>
      </c>
      <c r="N173" t="str">
        <f t="shared" si="21"/>
        <v>Aditya Sharma-Operations</v>
      </c>
      <c r="O173" t="str">
        <f t="shared" si="22"/>
        <v>company.com</v>
      </c>
      <c r="P173" t="str">
        <f t="shared" si="23"/>
        <v>company.com</v>
      </c>
      <c r="Q173">
        <f t="shared" si="24"/>
        <v>2020</v>
      </c>
      <c r="R173">
        <f t="shared" ca="1" si="25"/>
        <v>6</v>
      </c>
      <c r="S173" t="str">
        <f t="shared" si="26"/>
        <v>False</v>
      </c>
    </row>
    <row r="174" spans="1:19" x14ac:dyDescent="0.4">
      <c r="A174" s="2" t="s">
        <v>602</v>
      </c>
      <c r="B174" s="2" t="s">
        <v>603</v>
      </c>
      <c r="C174" s="2" t="s">
        <v>53</v>
      </c>
      <c r="D174" s="2" t="s">
        <v>49</v>
      </c>
      <c r="E174" s="3">
        <v>44011</v>
      </c>
      <c r="F174" s="2" t="s">
        <v>604</v>
      </c>
      <c r="G174" s="2" t="s">
        <v>605</v>
      </c>
      <c r="H174" s="2" t="s">
        <v>28</v>
      </c>
      <c r="I174" s="6" t="s">
        <v>2346</v>
      </c>
      <c r="J174" s="6" t="s">
        <v>2361</v>
      </c>
      <c r="K174" t="str">
        <f t="shared" si="18"/>
        <v>RIYA KHAN</v>
      </c>
      <c r="L174" t="str">
        <f t="shared" si="19"/>
        <v>Hr</v>
      </c>
      <c r="M174">
        <f t="shared" si="20"/>
        <v>9</v>
      </c>
      <c r="N174" t="str">
        <f t="shared" si="21"/>
        <v>Riya Khan-HR</v>
      </c>
      <c r="O174" t="str">
        <f t="shared" si="22"/>
        <v>company.com</v>
      </c>
      <c r="P174" t="str">
        <f t="shared" si="23"/>
        <v>company.com</v>
      </c>
      <c r="Q174">
        <f t="shared" si="24"/>
        <v>2020</v>
      </c>
      <c r="R174">
        <f t="shared" ca="1" si="25"/>
        <v>6</v>
      </c>
      <c r="S174" t="str">
        <f t="shared" si="26"/>
        <v>False</v>
      </c>
    </row>
    <row r="175" spans="1:19" x14ac:dyDescent="0.4">
      <c r="A175" s="2" t="s">
        <v>616</v>
      </c>
      <c r="B175" s="2" t="s">
        <v>473</v>
      </c>
      <c r="C175" s="2" t="s">
        <v>53</v>
      </c>
      <c r="D175" s="2" t="s">
        <v>25</v>
      </c>
      <c r="E175" s="3">
        <v>44182</v>
      </c>
      <c r="F175" s="2" t="s">
        <v>474</v>
      </c>
      <c r="G175" s="2" t="s">
        <v>617</v>
      </c>
      <c r="H175" s="2" t="s">
        <v>21</v>
      </c>
      <c r="I175" s="6" t="s">
        <v>2352</v>
      </c>
      <c r="J175" s="6" t="s">
        <v>2361</v>
      </c>
      <c r="K175" t="str">
        <f t="shared" si="18"/>
        <v>MEERA KHAN</v>
      </c>
      <c r="L175" t="str">
        <f t="shared" si="19"/>
        <v>Hr</v>
      </c>
      <c r="M175">
        <f t="shared" si="20"/>
        <v>10</v>
      </c>
      <c r="N175" t="str">
        <f t="shared" si="21"/>
        <v>Meera Khan-HR</v>
      </c>
      <c r="O175" t="str">
        <f t="shared" si="22"/>
        <v>company.com</v>
      </c>
      <c r="P175" t="str">
        <f t="shared" si="23"/>
        <v>company.com</v>
      </c>
      <c r="Q175">
        <f t="shared" si="24"/>
        <v>2020</v>
      </c>
      <c r="R175">
        <f t="shared" ca="1" si="25"/>
        <v>5</v>
      </c>
      <c r="S175" t="str">
        <f t="shared" si="26"/>
        <v>False</v>
      </c>
    </row>
    <row r="176" spans="1:19" x14ac:dyDescent="0.4">
      <c r="A176" s="2" t="s">
        <v>628</v>
      </c>
      <c r="B176" s="2" t="s">
        <v>629</v>
      </c>
      <c r="C176" s="2" t="s">
        <v>31</v>
      </c>
      <c r="D176" s="2" t="s">
        <v>18</v>
      </c>
      <c r="E176" s="3">
        <v>44116</v>
      </c>
      <c r="F176" s="2" t="s">
        <v>630</v>
      </c>
      <c r="G176" s="2" t="s">
        <v>631</v>
      </c>
      <c r="H176" s="2" t="s">
        <v>28</v>
      </c>
      <c r="I176" s="6" t="s">
        <v>2351</v>
      </c>
      <c r="J176" s="6" t="s">
        <v>2357</v>
      </c>
      <c r="K176" t="str">
        <f t="shared" si="18"/>
        <v>ADITYA JOSHI</v>
      </c>
      <c r="L176" t="str">
        <f t="shared" si="19"/>
        <v>Finance</v>
      </c>
      <c r="M176">
        <f t="shared" si="20"/>
        <v>12</v>
      </c>
      <c r="N176" t="str">
        <f t="shared" si="21"/>
        <v>Aditya Joshi-Finance</v>
      </c>
      <c r="O176" t="str">
        <f t="shared" si="22"/>
        <v>company.com</v>
      </c>
      <c r="P176" t="str">
        <f t="shared" si="23"/>
        <v>company.com</v>
      </c>
      <c r="Q176">
        <f t="shared" si="24"/>
        <v>2020</v>
      </c>
      <c r="R176">
        <f t="shared" ca="1" si="25"/>
        <v>6</v>
      </c>
      <c r="S176" t="str">
        <f t="shared" si="26"/>
        <v>False</v>
      </c>
    </row>
    <row r="177" spans="1:19" x14ac:dyDescent="0.4">
      <c r="A177" s="2" t="s">
        <v>646</v>
      </c>
      <c r="B177" s="2" t="s">
        <v>579</v>
      </c>
      <c r="C177" s="2" t="s">
        <v>87</v>
      </c>
      <c r="D177" s="2" t="s">
        <v>11</v>
      </c>
      <c r="E177" s="3">
        <v>43846</v>
      </c>
      <c r="F177" s="2" t="s">
        <v>580</v>
      </c>
      <c r="G177" s="2" t="s">
        <v>647</v>
      </c>
      <c r="H177" s="2" t="s">
        <v>14</v>
      </c>
      <c r="I177" s="6" t="s">
        <v>2343</v>
      </c>
      <c r="J177" s="6" t="s">
        <v>2361</v>
      </c>
      <c r="K177" t="str">
        <f t="shared" si="18"/>
        <v>DIYA KHAN</v>
      </c>
      <c r="L177" t="str">
        <f t="shared" si="19"/>
        <v>Operations</v>
      </c>
      <c r="M177">
        <f t="shared" si="20"/>
        <v>9</v>
      </c>
      <c r="N177" t="str">
        <f t="shared" si="21"/>
        <v>Diya Khan-Operations</v>
      </c>
      <c r="O177" t="str">
        <f t="shared" si="22"/>
        <v>company.com</v>
      </c>
      <c r="P177" t="str">
        <f t="shared" si="23"/>
        <v>company.com</v>
      </c>
      <c r="Q177">
        <f t="shared" si="24"/>
        <v>2020</v>
      </c>
      <c r="R177">
        <f t="shared" ca="1" si="25"/>
        <v>6</v>
      </c>
      <c r="S177" t="str">
        <f t="shared" si="26"/>
        <v>False</v>
      </c>
    </row>
    <row r="178" spans="1:19" x14ac:dyDescent="0.4">
      <c r="A178" s="2" t="s">
        <v>668</v>
      </c>
      <c r="B178" s="2" t="s">
        <v>39</v>
      </c>
      <c r="C178" s="2" t="s">
        <v>87</v>
      </c>
      <c r="D178" s="2" t="s">
        <v>49</v>
      </c>
      <c r="E178" s="3">
        <v>43894</v>
      </c>
      <c r="F178" s="2" t="s">
        <v>40</v>
      </c>
      <c r="G178" s="2" t="s">
        <v>669</v>
      </c>
      <c r="H178" s="2" t="s">
        <v>28</v>
      </c>
      <c r="I178" s="6" t="s">
        <v>2349</v>
      </c>
      <c r="J178" s="6" t="s">
        <v>2358</v>
      </c>
      <c r="K178" t="str">
        <f t="shared" si="18"/>
        <v>AARAV DAS</v>
      </c>
      <c r="L178" t="str">
        <f t="shared" si="19"/>
        <v>Operations</v>
      </c>
      <c r="M178">
        <f t="shared" si="20"/>
        <v>9</v>
      </c>
      <c r="N178" t="str">
        <f t="shared" si="21"/>
        <v>Aarav Das-Operations</v>
      </c>
      <c r="O178" t="str">
        <f t="shared" si="22"/>
        <v>company.com</v>
      </c>
      <c r="P178" t="str">
        <f t="shared" si="23"/>
        <v>company.com</v>
      </c>
      <c r="Q178">
        <f t="shared" si="24"/>
        <v>2020</v>
      </c>
      <c r="R178">
        <f t="shared" ca="1" si="25"/>
        <v>6</v>
      </c>
      <c r="S178" t="str">
        <f t="shared" si="26"/>
        <v>False</v>
      </c>
    </row>
    <row r="179" spans="1:19" x14ac:dyDescent="0.4">
      <c r="A179" s="2" t="s">
        <v>676</v>
      </c>
      <c r="B179" s="2" t="s">
        <v>677</v>
      </c>
      <c r="C179" s="2" t="s">
        <v>87</v>
      </c>
      <c r="D179" s="2" t="s">
        <v>25</v>
      </c>
      <c r="E179" s="3">
        <v>43927</v>
      </c>
      <c r="F179" s="2" t="s">
        <v>678</v>
      </c>
      <c r="G179" s="2" t="s">
        <v>679</v>
      </c>
      <c r="H179" s="2" t="s">
        <v>55</v>
      </c>
      <c r="I179" s="6" t="s">
        <v>2347</v>
      </c>
      <c r="J179" s="6" t="s">
        <v>2361</v>
      </c>
      <c r="K179" t="str">
        <f t="shared" si="18"/>
        <v>ARJUN KHAN</v>
      </c>
      <c r="L179" t="str">
        <f t="shared" si="19"/>
        <v>Operations</v>
      </c>
      <c r="M179">
        <f t="shared" si="20"/>
        <v>10</v>
      </c>
      <c r="N179" t="str">
        <f t="shared" si="21"/>
        <v>Arjun Khan-Operations</v>
      </c>
      <c r="O179" t="str">
        <f t="shared" si="22"/>
        <v>company.com</v>
      </c>
      <c r="P179" t="str">
        <f t="shared" si="23"/>
        <v>company.com</v>
      </c>
      <c r="Q179">
        <f t="shared" si="24"/>
        <v>2020</v>
      </c>
      <c r="R179">
        <f t="shared" ca="1" si="25"/>
        <v>6</v>
      </c>
      <c r="S179" t="str">
        <f t="shared" si="26"/>
        <v>False</v>
      </c>
    </row>
    <row r="180" spans="1:19" x14ac:dyDescent="0.4">
      <c r="A180" s="2" t="s">
        <v>682</v>
      </c>
      <c r="B180" s="2" t="s">
        <v>665</v>
      </c>
      <c r="C180" s="2" t="s">
        <v>31</v>
      </c>
      <c r="D180" s="2" t="s">
        <v>44</v>
      </c>
      <c r="E180" s="3">
        <v>44098</v>
      </c>
      <c r="F180" s="2" t="s">
        <v>666</v>
      </c>
      <c r="G180" s="2" t="s">
        <v>683</v>
      </c>
      <c r="H180" s="2" t="s">
        <v>14</v>
      </c>
      <c r="I180" s="6" t="s">
        <v>2345</v>
      </c>
      <c r="J180" s="6" t="s">
        <v>2354</v>
      </c>
      <c r="K180" t="str">
        <f t="shared" si="18"/>
        <v>ISHA SINGH</v>
      </c>
      <c r="L180" t="str">
        <f t="shared" si="19"/>
        <v>Finance</v>
      </c>
      <c r="M180">
        <f t="shared" si="20"/>
        <v>10</v>
      </c>
      <c r="N180" t="str">
        <f t="shared" si="21"/>
        <v>Isha Singh-Finance</v>
      </c>
      <c r="O180" t="str">
        <f t="shared" si="22"/>
        <v>company.com</v>
      </c>
      <c r="P180" t="str">
        <f t="shared" si="23"/>
        <v>company.com</v>
      </c>
      <c r="Q180">
        <f t="shared" si="24"/>
        <v>2020</v>
      </c>
      <c r="R180">
        <f t="shared" ca="1" si="25"/>
        <v>6</v>
      </c>
      <c r="S180" t="str">
        <f t="shared" si="26"/>
        <v>False</v>
      </c>
    </row>
    <row r="181" spans="1:19" x14ac:dyDescent="0.4">
      <c r="A181" s="2" t="s">
        <v>728</v>
      </c>
      <c r="B181" s="2" t="s">
        <v>99</v>
      </c>
      <c r="C181" s="2" t="s">
        <v>53</v>
      </c>
      <c r="D181" s="2" t="s">
        <v>25</v>
      </c>
      <c r="E181" s="3">
        <v>44100</v>
      </c>
      <c r="F181" s="2" t="s">
        <v>100</v>
      </c>
      <c r="G181" s="2" t="s">
        <v>729</v>
      </c>
      <c r="H181" s="2" t="s">
        <v>64</v>
      </c>
      <c r="I181" s="6" t="s">
        <v>2343</v>
      </c>
      <c r="J181" s="6" t="s">
        <v>2354</v>
      </c>
      <c r="K181" t="str">
        <f t="shared" si="18"/>
        <v>DIYA SINGH</v>
      </c>
      <c r="L181" t="str">
        <f t="shared" si="19"/>
        <v>Hr</v>
      </c>
      <c r="M181">
        <f t="shared" si="20"/>
        <v>10</v>
      </c>
      <c r="N181" t="str">
        <f t="shared" si="21"/>
        <v>Diya Singh-HR</v>
      </c>
      <c r="O181" t="str">
        <f t="shared" si="22"/>
        <v>company.com</v>
      </c>
      <c r="P181" t="str">
        <f t="shared" si="23"/>
        <v>company.com</v>
      </c>
      <c r="Q181">
        <f t="shared" si="24"/>
        <v>2020</v>
      </c>
      <c r="R181">
        <f t="shared" ca="1" si="25"/>
        <v>6</v>
      </c>
      <c r="S181" t="str">
        <f t="shared" si="26"/>
        <v>False</v>
      </c>
    </row>
    <row r="182" spans="1:19" x14ac:dyDescent="0.4">
      <c r="A182" s="2" t="s">
        <v>734</v>
      </c>
      <c r="B182" s="2" t="s">
        <v>199</v>
      </c>
      <c r="C182" s="2" t="s">
        <v>17</v>
      </c>
      <c r="D182" s="2" t="s">
        <v>25</v>
      </c>
      <c r="E182" s="3">
        <v>44042</v>
      </c>
      <c r="F182" s="2" t="s">
        <v>200</v>
      </c>
      <c r="G182" s="2" t="s">
        <v>735</v>
      </c>
      <c r="H182" s="2" t="s">
        <v>21</v>
      </c>
      <c r="I182" s="6" t="s">
        <v>2344</v>
      </c>
      <c r="J182" s="6" t="s">
        <v>2358</v>
      </c>
      <c r="K182" t="str">
        <f t="shared" si="18"/>
        <v>KABIR DAS</v>
      </c>
      <c r="L182" t="str">
        <f t="shared" si="19"/>
        <v>Sales</v>
      </c>
      <c r="M182">
        <f t="shared" si="20"/>
        <v>9</v>
      </c>
      <c r="N182" t="str">
        <f t="shared" si="21"/>
        <v>Kabir Das-Sales</v>
      </c>
      <c r="O182" t="str">
        <f t="shared" si="22"/>
        <v>company.com</v>
      </c>
      <c r="P182" t="str">
        <f t="shared" si="23"/>
        <v>company.com</v>
      </c>
      <c r="Q182">
        <f t="shared" si="24"/>
        <v>2020</v>
      </c>
      <c r="R182">
        <f t="shared" ca="1" si="25"/>
        <v>6</v>
      </c>
      <c r="S182" t="str">
        <f t="shared" si="26"/>
        <v>False</v>
      </c>
    </row>
    <row r="183" spans="1:19" x14ac:dyDescent="0.4">
      <c r="A183" s="2" t="s">
        <v>736</v>
      </c>
      <c r="B183" s="2" t="s">
        <v>575</v>
      </c>
      <c r="C183" s="2" t="s">
        <v>17</v>
      </c>
      <c r="D183" s="2" t="s">
        <v>25</v>
      </c>
      <c r="E183" s="3">
        <v>43894</v>
      </c>
      <c r="F183" s="2" t="s">
        <v>576</v>
      </c>
      <c r="G183" s="2" t="s">
        <v>737</v>
      </c>
      <c r="H183" s="2" t="s">
        <v>55</v>
      </c>
      <c r="I183" s="6" t="s">
        <v>2350</v>
      </c>
      <c r="J183" s="6" t="s">
        <v>2358</v>
      </c>
      <c r="K183" t="str">
        <f t="shared" si="18"/>
        <v>VIVAAN DAS</v>
      </c>
      <c r="L183" t="str">
        <f t="shared" si="19"/>
        <v>Sales</v>
      </c>
      <c r="M183">
        <f t="shared" si="20"/>
        <v>10</v>
      </c>
      <c r="N183" t="str">
        <f t="shared" si="21"/>
        <v>Vivaan Das-Sales</v>
      </c>
      <c r="O183" t="str">
        <f t="shared" si="22"/>
        <v>company.com</v>
      </c>
      <c r="P183" t="str">
        <f t="shared" si="23"/>
        <v>company.com</v>
      </c>
      <c r="Q183">
        <f t="shared" si="24"/>
        <v>2020</v>
      </c>
      <c r="R183">
        <f t="shared" ca="1" si="25"/>
        <v>6</v>
      </c>
      <c r="S183" t="str">
        <f t="shared" si="26"/>
        <v>False</v>
      </c>
    </row>
    <row r="184" spans="1:19" x14ac:dyDescent="0.4">
      <c r="A184" s="2" t="s">
        <v>740</v>
      </c>
      <c r="B184" s="2" t="s">
        <v>385</v>
      </c>
      <c r="C184" s="2" t="s">
        <v>87</v>
      </c>
      <c r="D184" s="2" t="s">
        <v>11</v>
      </c>
      <c r="E184" s="3">
        <v>44099</v>
      </c>
      <c r="F184" s="2" t="s">
        <v>386</v>
      </c>
      <c r="G184" s="2" t="s">
        <v>741</v>
      </c>
      <c r="H184" s="2" t="s">
        <v>14</v>
      </c>
      <c r="I184" s="6" t="s">
        <v>2343</v>
      </c>
      <c r="J184" s="6" t="s">
        <v>2355</v>
      </c>
      <c r="K184" t="str">
        <f t="shared" si="18"/>
        <v>DIYA NAIR</v>
      </c>
      <c r="L184" t="str">
        <f t="shared" si="19"/>
        <v>Operations</v>
      </c>
      <c r="M184">
        <f t="shared" si="20"/>
        <v>9</v>
      </c>
      <c r="N184" t="str">
        <f t="shared" si="21"/>
        <v>Diya Nair-Operations</v>
      </c>
      <c r="O184" t="str">
        <f t="shared" si="22"/>
        <v>company.com</v>
      </c>
      <c r="P184" t="str">
        <f t="shared" si="23"/>
        <v>company.com</v>
      </c>
      <c r="Q184">
        <f t="shared" si="24"/>
        <v>2020</v>
      </c>
      <c r="R184">
        <f t="shared" ca="1" si="25"/>
        <v>6</v>
      </c>
      <c r="S184" t="str">
        <f t="shared" si="26"/>
        <v>False</v>
      </c>
    </row>
    <row r="185" spans="1:19" x14ac:dyDescent="0.4">
      <c r="A185" s="2" t="s">
        <v>750</v>
      </c>
      <c r="B185" s="2" t="s">
        <v>677</v>
      </c>
      <c r="C185" s="2" t="s">
        <v>31</v>
      </c>
      <c r="D185" s="2" t="s">
        <v>11</v>
      </c>
      <c r="E185" s="3">
        <v>43959</v>
      </c>
      <c r="F185" s="2" t="s">
        <v>678</v>
      </c>
      <c r="G185" s="2" t="s">
        <v>751</v>
      </c>
      <c r="H185" s="2" t="s">
        <v>55</v>
      </c>
      <c r="I185" s="6" t="s">
        <v>2347</v>
      </c>
      <c r="J185" s="6" t="s">
        <v>2361</v>
      </c>
      <c r="K185" t="str">
        <f t="shared" si="18"/>
        <v>ARJUN KHAN</v>
      </c>
      <c r="L185" t="str">
        <f t="shared" si="19"/>
        <v>Finance</v>
      </c>
      <c r="M185">
        <f t="shared" si="20"/>
        <v>10</v>
      </c>
      <c r="N185" t="str">
        <f t="shared" si="21"/>
        <v>Arjun Khan-Finance</v>
      </c>
      <c r="O185" t="str">
        <f t="shared" si="22"/>
        <v>company.com</v>
      </c>
      <c r="P185" t="str">
        <f t="shared" si="23"/>
        <v>company.com</v>
      </c>
      <c r="Q185">
        <f t="shared" si="24"/>
        <v>2020</v>
      </c>
      <c r="R185">
        <f t="shared" ca="1" si="25"/>
        <v>6</v>
      </c>
      <c r="S185" t="str">
        <f t="shared" si="26"/>
        <v>False</v>
      </c>
    </row>
    <row r="186" spans="1:19" x14ac:dyDescent="0.4">
      <c r="A186" s="2" t="s">
        <v>762</v>
      </c>
      <c r="B186" s="2" t="s">
        <v>469</v>
      </c>
      <c r="C186" s="2" t="s">
        <v>87</v>
      </c>
      <c r="D186" s="2" t="s">
        <v>11</v>
      </c>
      <c r="E186" s="3">
        <v>43839</v>
      </c>
      <c r="F186" s="2" t="s">
        <v>470</v>
      </c>
      <c r="G186" s="2" t="s">
        <v>763</v>
      </c>
      <c r="H186" s="2" t="s">
        <v>21</v>
      </c>
      <c r="I186" s="6" t="s">
        <v>2348</v>
      </c>
      <c r="J186" s="6" t="s">
        <v>2355</v>
      </c>
      <c r="K186" t="str">
        <f t="shared" si="18"/>
        <v>ANANYA NAIR</v>
      </c>
      <c r="L186" t="str">
        <f t="shared" si="19"/>
        <v>Operations</v>
      </c>
      <c r="M186">
        <f t="shared" si="20"/>
        <v>11</v>
      </c>
      <c r="N186" t="str">
        <f t="shared" si="21"/>
        <v>Ananya Nair-Operations</v>
      </c>
      <c r="O186" t="str">
        <f t="shared" si="22"/>
        <v>company.com</v>
      </c>
      <c r="P186" t="str">
        <f t="shared" si="23"/>
        <v>company.com</v>
      </c>
      <c r="Q186">
        <f t="shared" si="24"/>
        <v>2020</v>
      </c>
      <c r="R186">
        <f t="shared" ca="1" si="25"/>
        <v>6</v>
      </c>
      <c r="S186" t="str">
        <f t="shared" si="26"/>
        <v>False</v>
      </c>
    </row>
    <row r="187" spans="1:19" x14ac:dyDescent="0.4">
      <c r="A187" s="2" t="s">
        <v>772</v>
      </c>
      <c r="B187" s="2" t="s">
        <v>57</v>
      </c>
      <c r="C187" s="2" t="s">
        <v>53</v>
      </c>
      <c r="D187" s="2" t="s">
        <v>25</v>
      </c>
      <c r="E187" s="3">
        <v>44094</v>
      </c>
      <c r="F187" s="2" t="s">
        <v>58</v>
      </c>
      <c r="G187" s="2" t="s">
        <v>773</v>
      </c>
      <c r="H187" s="2" t="s">
        <v>28</v>
      </c>
      <c r="I187" s="6" t="s">
        <v>2343</v>
      </c>
      <c r="J187" s="6" t="s">
        <v>2353</v>
      </c>
      <c r="K187" t="str">
        <f t="shared" si="18"/>
        <v>DIYA GUPTA</v>
      </c>
      <c r="L187" t="str">
        <f t="shared" si="19"/>
        <v>Hr</v>
      </c>
      <c r="M187">
        <f t="shared" si="20"/>
        <v>10</v>
      </c>
      <c r="N187" t="str">
        <f t="shared" si="21"/>
        <v>Diya Gupta-HR</v>
      </c>
      <c r="O187" t="str">
        <f t="shared" si="22"/>
        <v>company.com</v>
      </c>
      <c r="P187" t="str">
        <f t="shared" si="23"/>
        <v>company.com</v>
      </c>
      <c r="Q187">
        <f t="shared" si="24"/>
        <v>2020</v>
      </c>
      <c r="R187">
        <f t="shared" ca="1" si="25"/>
        <v>6</v>
      </c>
      <c r="S187" t="str">
        <f t="shared" si="26"/>
        <v>False</v>
      </c>
    </row>
    <row r="188" spans="1:19" x14ac:dyDescent="0.4">
      <c r="A188" s="2" t="s">
        <v>784</v>
      </c>
      <c r="B188" s="2" t="s">
        <v>321</v>
      </c>
      <c r="C188" s="2" t="s">
        <v>53</v>
      </c>
      <c r="D188" s="2" t="s">
        <v>49</v>
      </c>
      <c r="E188" s="3">
        <v>43908</v>
      </c>
      <c r="F188" s="2" t="s">
        <v>322</v>
      </c>
      <c r="G188" s="2" t="s">
        <v>785</v>
      </c>
      <c r="H188" s="2" t="s">
        <v>28</v>
      </c>
      <c r="I188" s="6" t="s">
        <v>2344</v>
      </c>
      <c r="J188" s="6" t="s">
        <v>2355</v>
      </c>
      <c r="K188" t="str">
        <f t="shared" si="18"/>
        <v>KABIR NAIR</v>
      </c>
      <c r="L188" t="str">
        <f t="shared" si="19"/>
        <v>Hr</v>
      </c>
      <c r="M188">
        <f t="shared" si="20"/>
        <v>10</v>
      </c>
      <c r="N188" t="str">
        <f t="shared" si="21"/>
        <v>Kabir Nair-HR</v>
      </c>
      <c r="O188" t="str">
        <f t="shared" si="22"/>
        <v>company.com</v>
      </c>
      <c r="P188" t="str">
        <f t="shared" si="23"/>
        <v>company.com</v>
      </c>
      <c r="Q188">
        <f t="shared" si="24"/>
        <v>2020</v>
      </c>
      <c r="R188">
        <f t="shared" ca="1" si="25"/>
        <v>6</v>
      </c>
      <c r="S188" t="str">
        <f t="shared" si="26"/>
        <v>False</v>
      </c>
    </row>
    <row r="189" spans="1:19" x14ac:dyDescent="0.4">
      <c r="A189" s="2" t="s">
        <v>854</v>
      </c>
      <c r="B189" s="2" t="s">
        <v>443</v>
      </c>
      <c r="C189" s="2" t="s">
        <v>53</v>
      </c>
      <c r="D189" s="2" t="s">
        <v>44</v>
      </c>
      <c r="E189" s="3">
        <v>43987</v>
      </c>
      <c r="F189" s="2" t="s">
        <v>444</v>
      </c>
      <c r="G189" s="2" t="s">
        <v>855</v>
      </c>
      <c r="H189" s="2" t="s">
        <v>21</v>
      </c>
      <c r="I189" s="6" t="s">
        <v>2343</v>
      </c>
      <c r="J189" s="6" t="s">
        <v>2357</v>
      </c>
      <c r="K189" t="str">
        <f t="shared" si="18"/>
        <v>DIYA JOSHI</v>
      </c>
      <c r="L189" t="str">
        <f t="shared" si="19"/>
        <v>Hr</v>
      </c>
      <c r="M189">
        <f t="shared" si="20"/>
        <v>10</v>
      </c>
      <c r="N189" t="str">
        <f t="shared" si="21"/>
        <v>Diya Joshi-HR</v>
      </c>
      <c r="O189" t="str">
        <f t="shared" si="22"/>
        <v>company.com</v>
      </c>
      <c r="P189" t="str">
        <f t="shared" si="23"/>
        <v>company.com</v>
      </c>
      <c r="Q189">
        <f t="shared" si="24"/>
        <v>2020</v>
      </c>
      <c r="R189">
        <f t="shared" ca="1" si="25"/>
        <v>6</v>
      </c>
      <c r="S189" t="str">
        <f t="shared" si="26"/>
        <v>False</v>
      </c>
    </row>
    <row r="190" spans="1:19" x14ac:dyDescent="0.4">
      <c r="A190" s="2" t="s">
        <v>860</v>
      </c>
      <c r="B190" s="2" t="s">
        <v>113</v>
      </c>
      <c r="C190" s="2" t="s">
        <v>53</v>
      </c>
      <c r="D190" s="2" t="s">
        <v>25</v>
      </c>
      <c r="E190" s="3">
        <v>43862</v>
      </c>
      <c r="F190" s="2" t="s">
        <v>114</v>
      </c>
      <c r="G190" s="2" t="s">
        <v>861</v>
      </c>
      <c r="H190" s="2" t="s">
        <v>64</v>
      </c>
      <c r="I190" s="6" t="s">
        <v>2343</v>
      </c>
      <c r="J190" s="6" t="s">
        <v>2359</v>
      </c>
      <c r="K190" t="str">
        <f t="shared" si="18"/>
        <v>DIYA REDDY</v>
      </c>
      <c r="L190" t="str">
        <f t="shared" si="19"/>
        <v>Hr</v>
      </c>
      <c r="M190">
        <f t="shared" si="20"/>
        <v>10</v>
      </c>
      <c r="N190" t="str">
        <f t="shared" si="21"/>
        <v>Diya Reddy-HR</v>
      </c>
      <c r="O190" t="str">
        <f t="shared" si="22"/>
        <v>company.com</v>
      </c>
      <c r="P190" t="str">
        <f t="shared" si="23"/>
        <v>company.com</v>
      </c>
      <c r="Q190">
        <f t="shared" si="24"/>
        <v>2020</v>
      </c>
      <c r="R190">
        <f t="shared" ca="1" si="25"/>
        <v>6</v>
      </c>
      <c r="S190" t="str">
        <f t="shared" si="26"/>
        <v>False</v>
      </c>
    </row>
    <row r="191" spans="1:19" x14ac:dyDescent="0.4">
      <c r="A191" s="2" t="s">
        <v>862</v>
      </c>
      <c r="B191" s="2" t="s">
        <v>303</v>
      </c>
      <c r="C191" s="2" t="s">
        <v>53</v>
      </c>
      <c r="D191" s="2" t="s">
        <v>11</v>
      </c>
      <c r="E191" s="3">
        <v>44101</v>
      </c>
      <c r="F191" s="2" t="s">
        <v>304</v>
      </c>
      <c r="G191" s="2" t="s">
        <v>863</v>
      </c>
      <c r="H191" s="2" t="s">
        <v>55</v>
      </c>
      <c r="I191" s="6" t="s">
        <v>2345</v>
      </c>
      <c r="J191" s="6" t="s">
        <v>2356</v>
      </c>
      <c r="K191" t="str">
        <f t="shared" si="18"/>
        <v>ISHA PATEL</v>
      </c>
      <c r="L191" t="str">
        <f t="shared" si="19"/>
        <v>Hr</v>
      </c>
      <c r="M191">
        <f t="shared" si="20"/>
        <v>10</v>
      </c>
      <c r="N191" t="str">
        <f t="shared" si="21"/>
        <v>Isha Patel-HR</v>
      </c>
      <c r="O191" t="str">
        <f t="shared" si="22"/>
        <v>company.com</v>
      </c>
      <c r="P191" t="str">
        <f t="shared" si="23"/>
        <v>company.com</v>
      </c>
      <c r="Q191">
        <f t="shared" si="24"/>
        <v>2020</v>
      </c>
      <c r="R191">
        <f t="shared" ca="1" si="25"/>
        <v>6</v>
      </c>
      <c r="S191" t="str">
        <f t="shared" si="26"/>
        <v>False</v>
      </c>
    </row>
    <row r="192" spans="1:19" x14ac:dyDescent="0.4">
      <c r="A192" s="2" t="s">
        <v>882</v>
      </c>
      <c r="B192" s="2" t="s">
        <v>91</v>
      </c>
      <c r="C192" s="2" t="s">
        <v>31</v>
      </c>
      <c r="D192" s="2" t="s">
        <v>25</v>
      </c>
      <c r="E192" s="3">
        <v>44043</v>
      </c>
      <c r="F192" s="2" t="s">
        <v>92</v>
      </c>
      <c r="G192" s="2" t="s">
        <v>883</v>
      </c>
      <c r="H192" s="2" t="s">
        <v>14</v>
      </c>
      <c r="I192" s="6" t="s">
        <v>2345</v>
      </c>
      <c r="J192" s="6" t="s">
        <v>2362</v>
      </c>
      <c r="K192" t="str">
        <f t="shared" si="18"/>
        <v>ISHA MEHTA</v>
      </c>
      <c r="L192" t="str">
        <f t="shared" si="19"/>
        <v>Finance</v>
      </c>
      <c r="M192">
        <f t="shared" si="20"/>
        <v>10</v>
      </c>
      <c r="N192" t="str">
        <f t="shared" si="21"/>
        <v>Isha Mehta-Finance</v>
      </c>
      <c r="O192" t="str">
        <f t="shared" si="22"/>
        <v>company.com</v>
      </c>
      <c r="P192" t="str">
        <f t="shared" si="23"/>
        <v>company.com</v>
      </c>
      <c r="Q192">
        <f t="shared" si="24"/>
        <v>2020</v>
      </c>
      <c r="R192">
        <f t="shared" ca="1" si="25"/>
        <v>6</v>
      </c>
      <c r="S192" t="str">
        <f t="shared" si="26"/>
        <v>False</v>
      </c>
    </row>
    <row r="193" spans="1:19" x14ac:dyDescent="0.4">
      <c r="A193" s="2" t="s">
        <v>906</v>
      </c>
      <c r="B193" s="2" t="s">
        <v>543</v>
      </c>
      <c r="C193" s="2" t="s">
        <v>53</v>
      </c>
      <c r="D193" s="2" t="s">
        <v>49</v>
      </c>
      <c r="E193" s="3">
        <v>44036</v>
      </c>
      <c r="F193" s="2" t="s">
        <v>544</v>
      </c>
      <c r="G193" s="2" t="s">
        <v>907</v>
      </c>
      <c r="H193" s="2" t="s">
        <v>64</v>
      </c>
      <c r="I193" s="6" t="s">
        <v>2350</v>
      </c>
      <c r="J193" s="6" t="s">
        <v>2357</v>
      </c>
      <c r="K193" t="str">
        <f t="shared" si="18"/>
        <v>VIVAAN JOSHI</v>
      </c>
      <c r="L193" t="str">
        <f t="shared" si="19"/>
        <v>Hr</v>
      </c>
      <c r="M193">
        <f t="shared" si="20"/>
        <v>12</v>
      </c>
      <c r="N193" t="str">
        <f t="shared" si="21"/>
        <v>Vivaan Joshi-HR</v>
      </c>
      <c r="O193" t="str">
        <f t="shared" si="22"/>
        <v>company.com</v>
      </c>
      <c r="P193" t="str">
        <f t="shared" si="23"/>
        <v>company.com</v>
      </c>
      <c r="Q193">
        <f t="shared" si="24"/>
        <v>2020</v>
      </c>
      <c r="R193">
        <f t="shared" ca="1" si="25"/>
        <v>6</v>
      </c>
      <c r="S193" t="str">
        <f t="shared" si="26"/>
        <v>False</v>
      </c>
    </row>
    <row r="194" spans="1:19" x14ac:dyDescent="0.4">
      <c r="A194" s="2" t="s">
        <v>910</v>
      </c>
      <c r="B194" s="2" t="s">
        <v>103</v>
      </c>
      <c r="C194" s="2" t="s">
        <v>53</v>
      </c>
      <c r="D194" s="2" t="s">
        <v>18</v>
      </c>
      <c r="E194" s="3">
        <v>43866</v>
      </c>
      <c r="F194" s="2" t="s">
        <v>104</v>
      </c>
      <c r="G194" s="2" t="s">
        <v>911</v>
      </c>
      <c r="H194" s="2" t="s">
        <v>21</v>
      </c>
      <c r="I194" s="6" t="s">
        <v>2343</v>
      </c>
      <c r="J194" s="6" t="s">
        <v>2358</v>
      </c>
      <c r="K194" t="str">
        <f t="shared" si="18"/>
        <v>DIYA DAS</v>
      </c>
      <c r="L194" t="str">
        <f t="shared" si="19"/>
        <v>Hr</v>
      </c>
      <c r="M194">
        <f t="shared" si="20"/>
        <v>8</v>
      </c>
      <c r="N194" t="str">
        <f t="shared" si="21"/>
        <v>Diya Das-HR</v>
      </c>
      <c r="O194" t="str">
        <f t="shared" si="22"/>
        <v>company.com</v>
      </c>
      <c r="P194" t="str">
        <f t="shared" si="23"/>
        <v>company.com</v>
      </c>
      <c r="Q194">
        <f t="shared" si="24"/>
        <v>2020</v>
      </c>
      <c r="R194">
        <f t="shared" ca="1" si="25"/>
        <v>6</v>
      </c>
      <c r="S194" t="str">
        <f t="shared" si="26"/>
        <v>False</v>
      </c>
    </row>
    <row r="195" spans="1:19" x14ac:dyDescent="0.4">
      <c r="A195" s="2" t="s">
        <v>916</v>
      </c>
      <c r="B195" s="2" t="s">
        <v>43</v>
      </c>
      <c r="C195" s="2" t="s">
        <v>31</v>
      </c>
      <c r="D195" s="2" t="s">
        <v>44</v>
      </c>
      <c r="E195" s="3">
        <v>44159</v>
      </c>
      <c r="F195" s="2" t="s">
        <v>45</v>
      </c>
      <c r="G195" s="2" t="s">
        <v>917</v>
      </c>
      <c r="H195" s="2" t="s">
        <v>14</v>
      </c>
      <c r="I195" s="6" t="s">
        <v>2348</v>
      </c>
      <c r="J195" s="6" t="s">
        <v>2362</v>
      </c>
      <c r="K195" t="str">
        <f t="shared" ref="K195:K258" si="27">UPPER(B195)</f>
        <v>ANANYA MEHTA</v>
      </c>
      <c r="L195" t="str">
        <f t="shared" ref="L195:L258" si="28">PROPER(C195)</f>
        <v>Finance</v>
      </c>
      <c r="M195">
        <f t="shared" ref="M195:M258" si="29">LEN(B195)</f>
        <v>12</v>
      </c>
      <c r="N195" t="str">
        <f t="shared" ref="N195:N258" si="30">_xlfn.CONCAT(B195,"-",C195)</f>
        <v>Ananya Mehta-Finance</v>
      </c>
      <c r="O195" t="str">
        <f t="shared" ref="O195:O258" si="31">RIGHT(F195,11)</f>
        <v>company.com</v>
      </c>
      <c r="P195" t="str">
        <f t="shared" ref="P195:P258" si="32">MID(F195,FIND("@",F195)+1,50)</f>
        <v>company.com</v>
      </c>
      <c r="Q195">
        <f t="shared" ref="Q195:Q258" si="33">YEAR(E195)</f>
        <v>2020</v>
      </c>
      <c r="R195">
        <f t="shared" ref="R195:R258" ca="1" si="34">DATEDIF(E195,TODAY(),"y")</f>
        <v>5</v>
      </c>
      <c r="S195" t="str">
        <f t="shared" ref="S195:S258" si="35">IF(YEAR(E195)&lt;2020,"True","False")</f>
        <v>False</v>
      </c>
    </row>
    <row r="196" spans="1:19" x14ac:dyDescent="0.4">
      <c r="A196" s="2" t="s">
        <v>940</v>
      </c>
      <c r="B196" s="2" t="s">
        <v>831</v>
      </c>
      <c r="C196" s="2" t="s">
        <v>17</v>
      </c>
      <c r="D196" s="2" t="s">
        <v>25</v>
      </c>
      <c r="E196" s="3">
        <v>43986</v>
      </c>
      <c r="F196" s="2" t="s">
        <v>832</v>
      </c>
      <c r="G196" s="2" t="s">
        <v>941</v>
      </c>
      <c r="H196" s="2" t="s">
        <v>21</v>
      </c>
      <c r="I196" s="6" t="s">
        <v>2343</v>
      </c>
      <c r="J196" s="6" t="s">
        <v>2360</v>
      </c>
      <c r="K196" t="str">
        <f t="shared" si="27"/>
        <v>DIYA SHARMA</v>
      </c>
      <c r="L196" t="str">
        <f t="shared" si="28"/>
        <v>Sales</v>
      </c>
      <c r="M196">
        <f t="shared" si="29"/>
        <v>11</v>
      </c>
      <c r="N196" t="str">
        <f t="shared" si="30"/>
        <v>Diya Sharma-Sales</v>
      </c>
      <c r="O196" t="str">
        <f t="shared" si="31"/>
        <v>company.com</v>
      </c>
      <c r="P196" t="str">
        <f t="shared" si="32"/>
        <v>company.com</v>
      </c>
      <c r="Q196">
        <f t="shared" si="33"/>
        <v>2020</v>
      </c>
      <c r="R196">
        <f t="shared" ca="1" si="34"/>
        <v>6</v>
      </c>
      <c r="S196" t="str">
        <f t="shared" si="35"/>
        <v>False</v>
      </c>
    </row>
    <row r="197" spans="1:19" x14ac:dyDescent="0.4">
      <c r="A197" s="2" t="s">
        <v>958</v>
      </c>
      <c r="B197" s="2" t="s">
        <v>405</v>
      </c>
      <c r="C197" s="2" t="s">
        <v>17</v>
      </c>
      <c r="D197" s="2" t="s">
        <v>49</v>
      </c>
      <c r="E197" s="3">
        <v>44004</v>
      </c>
      <c r="F197" s="2" t="s">
        <v>406</v>
      </c>
      <c r="G197" s="2" t="s">
        <v>959</v>
      </c>
      <c r="H197" s="2" t="s">
        <v>55</v>
      </c>
      <c r="I197" s="6" t="s">
        <v>2348</v>
      </c>
      <c r="J197" s="6" t="s">
        <v>2354</v>
      </c>
      <c r="K197" t="str">
        <f t="shared" si="27"/>
        <v>ANANYA SINGH</v>
      </c>
      <c r="L197" t="str">
        <f t="shared" si="28"/>
        <v>Sales</v>
      </c>
      <c r="M197">
        <f t="shared" si="29"/>
        <v>12</v>
      </c>
      <c r="N197" t="str">
        <f t="shared" si="30"/>
        <v>Ananya Singh-Sales</v>
      </c>
      <c r="O197" t="str">
        <f t="shared" si="31"/>
        <v>company.com</v>
      </c>
      <c r="P197" t="str">
        <f t="shared" si="32"/>
        <v>company.com</v>
      </c>
      <c r="Q197">
        <f t="shared" si="33"/>
        <v>2020</v>
      </c>
      <c r="R197">
        <f t="shared" ca="1" si="34"/>
        <v>6</v>
      </c>
      <c r="S197" t="str">
        <f t="shared" si="35"/>
        <v>False</v>
      </c>
    </row>
    <row r="198" spans="1:19" x14ac:dyDescent="0.4">
      <c r="A198" s="2" t="s">
        <v>966</v>
      </c>
      <c r="B198" s="2" t="s">
        <v>209</v>
      </c>
      <c r="C198" s="2" t="s">
        <v>31</v>
      </c>
      <c r="D198" s="2" t="s">
        <v>11</v>
      </c>
      <c r="E198" s="3">
        <v>43864</v>
      </c>
      <c r="F198" s="2" t="s">
        <v>210</v>
      </c>
      <c r="G198" s="2" t="s">
        <v>967</v>
      </c>
      <c r="H198" s="2" t="s">
        <v>55</v>
      </c>
      <c r="I198" s="6" t="s">
        <v>2349</v>
      </c>
      <c r="J198" s="6" t="s">
        <v>2356</v>
      </c>
      <c r="K198" t="str">
        <f t="shared" si="27"/>
        <v>AARAV PATEL</v>
      </c>
      <c r="L198" t="str">
        <f t="shared" si="28"/>
        <v>Finance</v>
      </c>
      <c r="M198">
        <f t="shared" si="29"/>
        <v>11</v>
      </c>
      <c r="N198" t="str">
        <f t="shared" si="30"/>
        <v>Aarav Patel-Finance</v>
      </c>
      <c r="O198" t="str">
        <f t="shared" si="31"/>
        <v>company.com</v>
      </c>
      <c r="P198" t="str">
        <f t="shared" si="32"/>
        <v>company.com</v>
      </c>
      <c r="Q198">
        <f t="shared" si="33"/>
        <v>2020</v>
      </c>
      <c r="R198">
        <f t="shared" ca="1" si="34"/>
        <v>6</v>
      </c>
      <c r="S198" t="str">
        <f t="shared" si="35"/>
        <v>False</v>
      </c>
    </row>
    <row r="199" spans="1:19" x14ac:dyDescent="0.4">
      <c r="A199" s="2" t="s">
        <v>974</v>
      </c>
      <c r="B199" s="2" t="s">
        <v>457</v>
      </c>
      <c r="C199" s="2" t="s">
        <v>17</v>
      </c>
      <c r="D199" s="2" t="s">
        <v>44</v>
      </c>
      <c r="E199" s="3">
        <v>44045</v>
      </c>
      <c r="F199" s="2" t="s">
        <v>458</v>
      </c>
      <c r="G199" s="2" t="s">
        <v>975</v>
      </c>
      <c r="H199" s="2" t="s">
        <v>14</v>
      </c>
      <c r="I199" s="6" t="s">
        <v>2344</v>
      </c>
      <c r="J199" s="6" t="s">
        <v>2362</v>
      </c>
      <c r="K199" t="str">
        <f t="shared" si="27"/>
        <v>KABIR MEHTA</v>
      </c>
      <c r="L199" t="str">
        <f t="shared" si="28"/>
        <v>Sales</v>
      </c>
      <c r="M199">
        <f t="shared" si="29"/>
        <v>11</v>
      </c>
      <c r="N199" t="str">
        <f t="shared" si="30"/>
        <v>Kabir Mehta-Sales</v>
      </c>
      <c r="O199" t="str">
        <f t="shared" si="31"/>
        <v>company.com</v>
      </c>
      <c r="P199" t="str">
        <f t="shared" si="32"/>
        <v>company.com</v>
      </c>
      <c r="Q199">
        <f t="shared" si="33"/>
        <v>2020</v>
      </c>
      <c r="R199">
        <f t="shared" ca="1" si="34"/>
        <v>6</v>
      </c>
      <c r="S199" t="str">
        <f t="shared" si="35"/>
        <v>False</v>
      </c>
    </row>
    <row r="200" spans="1:19" x14ac:dyDescent="0.4">
      <c r="A200" s="2" t="s">
        <v>980</v>
      </c>
      <c r="B200" s="2" t="s">
        <v>165</v>
      </c>
      <c r="C200" s="2" t="s">
        <v>87</v>
      </c>
      <c r="D200" s="2" t="s">
        <v>11</v>
      </c>
      <c r="E200" s="3">
        <v>43958</v>
      </c>
      <c r="F200" s="2" t="s">
        <v>166</v>
      </c>
      <c r="G200" s="2" t="s">
        <v>981</v>
      </c>
      <c r="H200" s="2" t="s">
        <v>64</v>
      </c>
      <c r="I200" s="6" t="s">
        <v>2351</v>
      </c>
      <c r="J200" s="6" t="s">
        <v>2358</v>
      </c>
      <c r="K200" t="str">
        <f t="shared" si="27"/>
        <v>ADITYA DAS</v>
      </c>
      <c r="L200" t="str">
        <f t="shared" si="28"/>
        <v>Operations</v>
      </c>
      <c r="M200">
        <f t="shared" si="29"/>
        <v>10</v>
      </c>
      <c r="N200" t="str">
        <f t="shared" si="30"/>
        <v>Aditya Das-Operations</v>
      </c>
      <c r="O200" t="str">
        <f t="shared" si="31"/>
        <v>company.com</v>
      </c>
      <c r="P200" t="str">
        <f t="shared" si="32"/>
        <v>company.com</v>
      </c>
      <c r="Q200">
        <f t="shared" si="33"/>
        <v>2020</v>
      </c>
      <c r="R200">
        <f t="shared" ca="1" si="34"/>
        <v>6</v>
      </c>
      <c r="S200" t="str">
        <f t="shared" si="35"/>
        <v>False</v>
      </c>
    </row>
    <row r="201" spans="1:19" x14ac:dyDescent="0.4">
      <c r="A201" s="2" t="s">
        <v>1026</v>
      </c>
      <c r="B201" s="2" t="s">
        <v>9</v>
      </c>
      <c r="C201" s="2" t="s">
        <v>53</v>
      </c>
      <c r="D201" s="2" t="s">
        <v>25</v>
      </c>
      <c r="E201" s="3">
        <v>43908</v>
      </c>
      <c r="F201" s="2" t="s">
        <v>12</v>
      </c>
      <c r="G201" s="2" t="s">
        <v>1027</v>
      </c>
      <c r="H201" s="2" t="s">
        <v>28</v>
      </c>
      <c r="I201" s="6" t="s">
        <v>2352</v>
      </c>
      <c r="J201" s="6" t="s">
        <v>2362</v>
      </c>
      <c r="K201" t="str">
        <f t="shared" si="27"/>
        <v>MEERA MEHTA</v>
      </c>
      <c r="L201" t="str">
        <f t="shared" si="28"/>
        <v>Hr</v>
      </c>
      <c r="M201">
        <f t="shared" si="29"/>
        <v>11</v>
      </c>
      <c r="N201" t="str">
        <f t="shared" si="30"/>
        <v>Meera Mehta-HR</v>
      </c>
      <c r="O201" t="str">
        <f t="shared" si="31"/>
        <v>company.com</v>
      </c>
      <c r="P201" t="str">
        <f t="shared" si="32"/>
        <v>company.com</v>
      </c>
      <c r="Q201">
        <f t="shared" si="33"/>
        <v>2020</v>
      </c>
      <c r="R201">
        <f t="shared" ca="1" si="34"/>
        <v>6</v>
      </c>
      <c r="S201" t="str">
        <f t="shared" si="35"/>
        <v>False</v>
      </c>
    </row>
    <row r="202" spans="1:19" x14ac:dyDescent="0.4">
      <c r="A202" s="2" t="s">
        <v>1040</v>
      </c>
      <c r="B202" s="2" t="s">
        <v>187</v>
      </c>
      <c r="C202" s="2" t="s">
        <v>17</v>
      </c>
      <c r="D202" s="2" t="s">
        <v>25</v>
      </c>
      <c r="E202" s="3">
        <v>44053</v>
      </c>
      <c r="F202" s="2" t="s">
        <v>188</v>
      </c>
      <c r="G202" s="2" t="s">
        <v>1041</v>
      </c>
      <c r="H202" s="2" t="s">
        <v>28</v>
      </c>
      <c r="I202" s="6" t="s">
        <v>2349</v>
      </c>
      <c r="J202" s="6" t="s">
        <v>2359</v>
      </c>
      <c r="K202" t="str">
        <f t="shared" si="27"/>
        <v>AARAV REDDY</v>
      </c>
      <c r="L202" t="str">
        <f t="shared" si="28"/>
        <v>Sales</v>
      </c>
      <c r="M202">
        <f t="shared" si="29"/>
        <v>11</v>
      </c>
      <c r="N202" t="str">
        <f t="shared" si="30"/>
        <v>Aarav Reddy-Sales</v>
      </c>
      <c r="O202" t="str">
        <f t="shared" si="31"/>
        <v>company.com</v>
      </c>
      <c r="P202" t="str">
        <f t="shared" si="32"/>
        <v>company.com</v>
      </c>
      <c r="Q202">
        <f t="shared" si="33"/>
        <v>2020</v>
      </c>
      <c r="R202">
        <f t="shared" ca="1" si="34"/>
        <v>6</v>
      </c>
      <c r="S202" t="str">
        <f t="shared" si="35"/>
        <v>False</v>
      </c>
    </row>
    <row r="203" spans="1:19" x14ac:dyDescent="0.4">
      <c r="A203" s="2" t="s">
        <v>1068</v>
      </c>
      <c r="B203" s="2" t="s">
        <v>39</v>
      </c>
      <c r="C203" s="2" t="s">
        <v>53</v>
      </c>
      <c r="D203" s="2" t="s">
        <v>11</v>
      </c>
      <c r="E203" s="3">
        <v>43924</v>
      </c>
      <c r="F203" s="2" t="s">
        <v>40</v>
      </c>
      <c r="G203" s="2" t="s">
        <v>1069</v>
      </c>
      <c r="H203" s="2" t="s">
        <v>28</v>
      </c>
      <c r="I203" s="6" t="s">
        <v>2349</v>
      </c>
      <c r="J203" s="6" t="s">
        <v>2358</v>
      </c>
      <c r="K203" t="str">
        <f t="shared" si="27"/>
        <v>AARAV DAS</v>
      </c>
      <c r="L203" t="str">
        <f t="shared" si="28"/>
        <v>Hr</v>
      </c>
      <c r="M203">
        <f t="shared" si="29"/>
        <v>9</v>
      </c>
      <c r="N203" t="str">
        <f t="shared" si="30"/>
        <v>Aarav Das-HR</v>
      </c>
      <c r="O203" t="str">
        <f t="shared" si="31"/>
        <v>company.com</v>
      </c>
      <c r="P203" t="str">
        <f t="shared" si="32"/>
        <v>company.com</v>
      </c>
      <c r="Q203">
        <f t="shared" si="33"/>
        <v>2020</v>
      </c>
      <c r="R203">
        <f t="shared" ca="1" si="34"/>
        <v>6</v>
      </c>
      <c r="S203" t="str">
        <f t="shared" si="35"/>
        <v>False</v>
      </c>
    </row>
    <row r="204" spans="1:19" x14ac:dyDescent="0.4">
      <c r="A204" s="2" t="s">
        <v>1098</v>
      </c>
      <c r="B204" s="2" t="s">
        <v>48</v>
      </c>
      <c r="C204" s="2" t="s">
        <v>24</v>
      </c>
      <c r="D204" s="2" t="s">
        <v>18</v>
      </c>
      <c r="E204" s="3">
        <v>43831</v>
      </c>
      <c r="F204" s="2" t="s">
        <v>50</v>
      </c>
      <c r="G204" s="2" t="s">
        <v>1099</v>
      </c>
      <c r="H204" s="2" t="s">
        <v>64</v>
      </c>
      <c r="I204" s="6" t="s">
        <v>2351</v>
      </c>
      <c r="J204" s="6" t="s">
        <v>2353</v>
      </c>
      <c r="K204" t="str">
        <f t="shared" si="27"/>
        <v>ADITYA GUPTA</v>
      </c>
      <c r="L204" t="str">
        <f t="shared" si="28"/>
        <v>Marketing</v>
      </c>
      <c r="M204">
        <f t="shared" si="29"/>
        <v>12</v>
      </c>
      <c r="N204" t="str">
        <f t="shared" si="30"/>
        <v>Aditya Gupta-Marketing</v>
      </c>
      <c r="O204" t="str">
        <f t="shared" si="31"/>
        <v>company.com</v>
      </c>
      <c r="P204" t="str">
        <f t="shared" si="32"/>
        <v>company.com</v>
      </c>
      <c r="Q204">
        <f t="shared" si="33"/>
        <v>2020</v>
      </c>
      <c r="R204">
        <f t="shared" ca="1" si="34"/>
        <v>6</v>
      </c>
      <c r="S204" t="str">
        <f t="shared" si="35"/>
        <v>False</v>
      </c>
    </row>
    <row r="205" spans="1:19" x14ac:dyDescent="0.4">
      <c r="A205" s="2" t="s">
        <v>1124</v>
      </c>
      <c r="B205" s="2" t="s">
        <v>74</v>
      </c>
      <c r="C205" s="2" t="s">
        <v>17</v>
      </c>
      <c r="D205" s="2" t="s">
        <v>25</v>
      </c>
      <c r="E205" s="3">
        <v>44086</v>
      </c>
      <c r="F205" s="2" t="s">
        <v>75</v>
      </c>
      <c r="G205" s="2" t="s">
        <v>1125</v>
      </c>
      <c r="H205" s="2" t="s">
        <v>14</v>
      </c>
      <c r="I205" s="6" t="s">
        <v>2346</v>
      </c>
      <c r="J205" s="6" t="s">
        <v>2358</v>
      </c>
      <c r="K205" t="str">
        <f t="shared" si="27"/>
        <v>RIYA DAS</v>
      </c>
      <c r="L205" t="str">
        <f t="shared" si="28"/>
        <v>Sales</v>
      </c>
      <c r="M205">
        <f t="shared" si="29"/>
        <v>8</v>
      </c>
      <c r="N205" t="str">
        <f t="shared" si="30"/>
        <v>Riya Das-Sales</v>
      </c>
      <c r="O205" t="str">
        <f t="shared" si="31"/>
        <v>company.com</v>
      </c>
      <c r="P205" t="str">
        <f t="shared" si="32"/>
        <v>company.com</v>
      </c>
      <c r="Q205">
        <f t="shared" si="33"/>
        <v>2020</v>
      </c>
      <c r="R205">
        <f t="shared" ca="1" si="34"/>
        <v>6</v>
      </c>
      <c r="S205" t="str">
        <f t="shared" si="35"/>
        <v>False</v>
      </c>
    </row>
    <row r="206" spans="1:19" x14ac:dyDescent="0.4">
      <c r="A206" s="2" t="s">
        <v>1136</v>
      </c>
      <c r="B206" s="2" t="s">
        <v>217</v>
      </c>
      <c r="C206" s="2" t="s">
        <v>53</v>
      </c>
      <c r="D206" s="2" t="s">
        <v>11</v>
      </c>
      <c r="E206" s="3">
        <v>43974</v>
      </c>
      <c r="F206" s="2" t="s">
        <v>218</v>
      </c>
      <c r="G206" s="2" t="s">
        <v>1137</v>
      </c>
      <c r="H206" s="2" t="s">
        <v>55</v>
      </c>
      <c r="I206" s="6" t="s">
        <v>2352</v>
      </c>
      <c r="J206" s="6" t="s">
        <v>2353</v>
      </c>
      <c r="K206" t="str">
        <f t="shared" si="27"/>
        <v>MEERA GUPTA</v>
      </c>
      <c r="L206" t="str">
        <f t="shared" si="28"/>
        <v>Hr</v>
      </c>
      <c r="M206">
        <f t="shared" si="29"/>
        <v>11</v>
      </c>
      <c r="N206" t="str">
        <f t="shared" si="30"/>
        <v>Meera Gupta-HR</v>
      </c>
      <c r="O206" t="str">
        <f t="shared" si="31"/>
        <v>company.com</v>
      </c>
      <c r="P206" t="str">
        <f t="shared" si="32"/>
        <v>company.com</v>
      </c>
      <c r="Q206">
        <f t="shared" si="33"/>
        <v>2020</v>
      </c>
      <c r="R206">
        <f t="shared" ca="1" si="34"/>
        <v>6</v>
      </c>
      <c r="S206" t="str">
        <f t="shared" si="35"/>
        <v>False</v>
      </c>
    </row>
    <row r="207" spans="1:19" x14ac:dyDescent="0.4">
      <c r="A207" s="2" t="s">
        <v>1138</v>
      </c>
      <c r="B207" s="2" t="s">
        <v>351</v>
      </c>
      <c r="C207" s="2" t="s">
        <v>53</v>
      </c>
      <c r="D207" s="2" t="s">
        <v>49</v>
      </c>
      <c r="E207" s="3">
        <v>44054</v>
      </c>
      <c r="F207" s="2" t="s">
        <v>352</v>
      </c>
      <c r="G207" s="2" t="s">
        <v>1139</v>
      </c>
      <c r="H207" s="2" t="s">
        <v>14</v>
      </c>
      <c r="I207" s="6" t="s">
        <v>2348</v>
      </c>
      <c r="J207" s="6" t="s">
        <v>2361</v>
      </c>
      <c r="K207" t="str">
        <f t="shared" si="27"/>
        <v>ANANYA KHAN</v>
      </c>
      <c r="L207" t="str">
        <f t="shared" si="28"/>
        <v>Hr</v>
      </c>
      <c r="M207">
        <f t="shared" si="29"/>
        <v>11</v>
      </c>
      <c r="N207" t="str">
        <f t="shared" si="30"/>
        <v>Ananya Khan-HR</v>
      </c>
      <c r="O207" t="str">
        <f t="shared" si="31"/>
        <v>company.com</v>
      </c>
      <c r="P207" t="str">
        <f t="shared" si="32"/>
        <v>company.com</v>
      </c>
      <c r="Q207">
        <f t="shared" si="33"/>
        <v>2020</v>
      </c>
      <c r="R207">
        <f t="shared" ca="1" si="34"/>
        <v>6</v>
      </c>
      <c r="S207" t="str">
        <f t="shared" si="35"/>
        <v>False</v>
      </c>
    </row>
    <row r="208" spans="1:19" x14ac:dyDescent="0.4">
      <c r="A208" s="2" t="s">
        <v>1142</v>
      </c>
      <c r="B208" s="2" t="s">
        <v>199</v>
      </c>
      <c r="C208" s="2" t="s">
        <v>10</v>
      </c>
      <c r="D208" s="2" t="s">
        <v>25</v>
      </c>
      <c r="E208" s="3">
        <v>44062</v>
      </c>
      <c r="F208" s="2" t="s">
        <v>200</v>
      </c>
      <c r="G208" s="2" t="s">
        <v>1143</v>
      </c>
      <c r="H208" s="2" t="s">
        <v>28</v>
      </c>
      <c r="I208" s="6" t="s">
        <v>2344</v>
      </c>
      <c r="J208" s="6" t="s">
        <v>2358</v>
      </c>
      <c r="K208" t="str">
        <f t="shared" si="27"/>
        <v>KABIR DAS</v>
      </c>
      <c r="L208" t="str">
        <f t="shared" si="28"/>
        <v>It</v>
      </c>
      <c r="M208">
        <f t="shared" si="29"/>
        <v>9</v>
      </c>
      <c r="N208" t="str">
        <f t="shared" si="30"/>
        <v>Kabir Das-IT</v>
      </c>
      <c r="O208" t="str">
        <f t="shared" si="31"/>
        <v>company.com</v>
      </c>
      <c r="P208" t="str">
        <f t="shared" si="32"/>
        <v>company.com</v>
      </c>
      <c r="Q208">
        <f t="shared" si="33"/>
        <v>2020</v>
      </c>
      <c r="R208">
        <f t="shared" ca="1" si="34"/>
        <v>6</v>
      </c>
      <c r="S208" t="str">
        <f t="shared" si="35"/>
        <v>False</v>
      </c>
    </row>
    <row r="209" spans="1:19" x14ac:dyDescent="0.4">
      <c r="A209" s="2" t="s">
        <v>1172</v>
      </c>
      <c r="B209" s="2" t="s">
        <v>279</v>
      </c>
      <c r="C209" s="2" t="s">
        <v>10</v>
      </c>
      <c r="D209" s="2" t="s">
        <v>44</v>
      </c>
      <c r="E209" s="3">
        <v>44017</v>
      </c>
      <c r="F209" s="2" t="s">
        <v>280</v>
      </c>
      <c r="G209" s="2" t="s">
        <v>1173</v>
      </c>
      <c r="H209" s="2" t="s">
        <v>14</v>
      </c>
      <c r="I209" s="6" t="s">
        <v>2343</v>
      </c>
      <c r="J209" s="6" t="s">
        <v>2356</v>
      </c>
      <c r="K209" t="str">
        <f t="shared" si="27"/>
        <v>DIYA PATEL</v>
      </c>
      <c r="L209" t="str">
        <f t="shared" si="28"/>
        <v>It</v>
      </c>
      <c r="M209">
        <f t="shared" si="29"/>
        <v>10</v>
      </c>
      <c r="N209" t="str">
        <f t="shared" si="30"/>
        <v>Diya Patel-IT</v>
      </c>
      <c r="O209" t="str">
        <f t="shared" si="31"/>
        <v>company.com</v>
      </c>
      <c r="P209" t="str">
        <f t="shared" si="32"/>
        <v>company.com</v>
      </c>
      <c r="Q209">
        <f t="shared" si="33"/>
        <v>2020</v>
      </c>
      <c r="R209">
        <f t="shared" ca="1" si="34"/>
        <v>6</v>
      </c>
      <c r="S209" t="str">
        <f t="shared" si="35"/>
        <v>False</v>
      </c>
    </row>
    <row r="210" spans="1:19" x14ac:dyDescent="0.4">
      <c r="A210" s="2" t="s">
        <v>1218</v>
      </c>
      <c r="B210" s="2" t="s">
        <v>16</v>
      </c>
      <c r="C210" s="2" t="s">
        <v>10</v>
      </c>
      <c r="D210" s="2" t="s">
        <v>44</v>
      </c>
      <c r="E210" s="3">
        <v>44058</v>
      </c>
      <c r="F210" s="2" t="s">
        <v>19</v>
      </c>
      <c r="G210" s="2" t="s">
        <v>1219</v>
      </c>
      <c r="H210" s="2" t="s">
        <v>55</v>
      </c>
      <c r="I210" s="6" t="s">
        <v>2352</v>
      </c>
      <c r="J210" s="6" t="s">
        <v>2359</v>
      </c>
      <c r="K210" t="str">
        <f t="shared" si="27"/>
        <v>MEERA REDDY</v>
      </c>
      <c r="L210" t="str">
        <f t="shared" si="28"/>
        <v>It</v>
      </c>
      <c r="M210">
        <f t="shared" si="29"/>
        <v>11</v>
      </c>
      <c r="N210" t="str">
        <f t="shared" si="30"/>
        <v>Meera Reddy-IT</v>
      </c>
      <c r="O210" t="str">
        <f t="shared" si="31"/>
        <v>company.com</v>
      </c>
      <c r="P210" t="str">
        <f t="shared" si="32"/>
        <v>company.com</v>
      </c>
      <c r="Q210">
        <f t="shared" si="33"/>
        <v>2020</v>
      </c>
      <c r="R210">
        <f t="shared" ca="1" si="34"/>
        <v>6</v>
      </c>
      <c r="S210" t="str">
        <f t="shared" si="35"/>
        <v>False</v>
      </c>
    </row>
    <row r="211" spans="1:19" x14ac:dyDescent="0.4">
      <c r="A211" s="2" t="s">
        <v>73</v>
      </c>
      <c r="B211" s="2" t="s">
        <v>74</v>
      </c>
      <c r="C211" s="2" t="s">
        <v>24</v>
      </c>
      <c r="D211" s="2" t="s">
        <v>49</v>
      </c>
      <c r="E211" s="3">
        <v>43779</v>
      </c>
      <c r="F211" s="2" t="s">
        <v>75</v>
      </c>
      <c r="G211" s="2" t="s">
        <v>76</v>
      </c>
      <c r="H211" s="2" t="s">
        <v>64</v>
      </c>
      <c r="I211" s="6" t="s">
        <v>2346</v>
      </c>
      <c r="J211" s="6" t="s">
        <v>2358</v>
      </c>
      <c r="K211" t="str">
        <f t="shared" si="27"/>
        <v>RIYA DAS</v>
      </c>
      <c r="L211" t="str">
        <f t="shared" si="28"/>
        <v>Marketing</v>
      </c>
      <c r="M211">
        <f t="shared" si="29"/>
        <v>8</v>
      </c>
      <c r="N211" t="str">
        <f t="shared" si="30"/>
        <v>Riya Das-Marketing</v>
      </c>
      <c r="O211" t="str">
        <f t="shared" si="31"/>
        <v>company.com</v>
      </c>
      <c r="P211" t="str">
        <f t="shared" si="32"/>
        <v>company.com</v>
      </c>
      <c r="Q211">
        <f t="shared" si="33"/>
        <v>2019</v>
      </c>
      <c r="R211">
        <f t="shared" ca="1" si="34"/>
        <v>6</v>
      </c>
      <c r="S211" t="str">
        <f t="shared" si="35"/>
        <v>True</v>
      </c>
    </row>
    <row r="212" spans="1:19" x14ac:dyDescent="0.4">
      <c r="A212" s="2" t="s">
        <v>77</v>
      </c>
      <c r="B212" s="2" t="s">
        <v>78</v>
      </c>
      <c r="C212" s="2" t="s">
        <v>17</v>
      </c>
      <c r="D212" s="2" t="s">
        <v>44</v>
      </c>
      <c r="E212" s="3">
        <v>43480</v>
      </c>
      <c r="F212" s="2" t="s">
        <v>79</v>
      </c>
      <c r="G212" s="2" t="s">
        <v>80</v>
      </c>
      <c r="H212" s="2" t="s">
        <v>21</v>
      </c>
      <c r="I212" s="6" t="s">
        <v>2348</v>
      </c>
      <c r="J212" s="6" t="s">
        <v>2356</v>
      </c>
      <c r="K212" t="str">
        <f t="shared" si="27"/>
        <v>ANANYA PATEL</v>
      </c>
      <c r="L212" t="str">
        <f t="shared" si="28"/>
        <v>Sales</v>
      </c>
      <c r="M212">
        <f t="shared" si="29"/>
        <v>12</v>
      </c>
      <c r="N212" t="str">
        <f t="shared" si="30"/>
        <v>Ananya Patel-Sales</v>
      </c>
      <c r="O212" t="str">
        <f t="shared" si="31"/>
        <v>company.com</v>
      </c>
      <c r="P212" t="str">
        <f t="shared" si="32"/>
        <v>company.com</v>
      </c>
      <c r="Q212">
        <f t="shared" si="33"/>
        <v>2019</v>
      </c>
      <c r="R212">
        <f t="shared" ca="1" si="34"/>
        <v>7</v>
      </c>
      <c r="S212" t="str">
        <f t="shared" si="35"/>
        <v>True</v>
      </c>
    </row>
    <row r="213" spans="1:19" x14ac:dyDescent="0.4">
      <c r="A213" s="2" t="s">
        <v>102</v>
      </c>
      <c r="B213" s="2" t="s">
        <v>103</v>
      </c>
      <c r="C213" s="2" t="s">
        <v>10</v>
      </c>
      <c r="D213" s="2" t="s">
        <v>18</v>
      </c>
      <c r="E213" s="3">
        <v>43664</v>
      </c>
      <c r="F213" s="2" t="s">
        <v>104</v>
      </c>
      <c r="G213" s="2" t="s">
        <v>105</v>
      </c>
      <c r="H213" s="2" t="s">
        <v>14</v>
      </c>
      <c r="I213" s="6" t="s">
        <v>2343</v>
      </c>
      <c r="J213" s="6" t="s">
        <v>2358</v>
      </c>
      <c r="K213" t="str">
        <f t="shared" si="27"/>
        <v>DIYA DAS</v>
      </c>
      <c r="L213" t="str">
        <f t="shared" si="28"/>
        <v>It</v>
      </c>
      <c r="M213">
        <f t="shared" si="29"/>
        <v>8</v>
      </c>
      <c r="N213" t="str">
        <f t="shared" si="30"/>
        <v>Diya Das-IT</v>
      </c>
      <c r="O213" t="str">
        <f t="shared" si="31"/>
        <v>company.com</v>
      </c>
      <c r="P213" t="str">
        <f t="shared" si="32"/>
        <v>company.com</v>
      </c>
      <c r="Q213">
        <f t="shared" si="33"/>
        <v>2019</v>
      </c>
      <c r="R213">
        <f t="shared" ca="1" si="34"/>
        <v>7</v>
      </c>
      <c r="S213" t="str">
        <f t="shared" si="35"/>
        <v>True</v>
      </c>
    </row>
    <row r="214" spans="1:19" x14ac:dyDescent="0.4">
      <c r="A214" s="2" t="s">
        <v>116</v>
      </c>
      <c r="B214" s="2" t="s">
        <v>117</v>
      </c>
      <c r="C214" s="2" t="s">
        <v>24</v>
      </c>
      <c r="D214" s="2" t="s">
        <v>49</v>
      </c>
      <c r="E214" s="3">
        <v>43676</v>
      </c>
      <c r="F214" s="2" t="s">
        <v>118</v>
      </c>
      <c r="G214" s="2" t="s">
        <v>119</v>
      </c>
      <c r="H214" s="2" t="s">
        <v>55</v>
      </c>
      <c r="I214" s="6" t="s">
        <v>2344</v>
      </c>
      <c r="J214" s="6" t="s">
        <v>2360</v>
      </c>
      <c r="K214" t="str">
        <f t="shared" si="27"/>
        <v>KABIR SHARMA</v>
      </c>
      <c r="L214" t="str">
        <f t="shared" si="28"/>
        <v>Marketing</v>
      </c>
      <c r="M214">
        <f t="shared" si="29"/>
        <v>12</v>
      </c>
      <c r="N214" t="str">
        <f t="shared" si="30"/>
        <v>Kabir Sharma-Marketing</v>
      </c>
      <c r="O214" t="str">
        <f t="shared" si="31"/>
        <v>company.com</v>
      </c>
      <c r="P214" t="str">
        <f t="shared" si="32"/>
        <v>company.com</v>
      </c>
      <c r="Q214">
        <f t="shared" si="33"/>
        <v>2019</v>
      </c>
      <c r="R214">
        <f t="shared" ca="1" si="34"/>
        <v>7</v>
      </c>
      <c r="S214" t="str">
        <f t="shared" si="35"/>
        <v>True</v>
      </c>
    </row>
    <row r="215" spans="1:19" x14ac:dyDescent="0.4">
      <c r="A215" s="2" t="s">
        <v>120</v>
      </c>
      <c r="B215" s="2" t="s">
        <v>121</v>
      </c>
      <c r="C215" s="2" t="s">
        <v>53</v>
      </c>
      <c r="D215" s="2" t="s">
        <v>18</v>
      </c>
      <c r="E215" s="3">
        <v>43786</v>
      </c>
      <c r="F215" s="2" t="s">
        <v>122</v>
      </c>
      <c r="G215" s="2" t="s">
        <v>123</v>
      </c>
      <c r="H215" s="2" t="s">
        <v>21</v>
      </c>
      <c r="I215" s="6" t="s">
        <v>2348</v>
      </c>
      <c r="J215" s="6" t="s">
        <v>2360</v>
      </c>
      <c r="K215" t="str">
        <f t="shared" si="27"/>
        <v>ANANYA SHARMA</v>
      </c>
      <c r="L215" t="str">
        <f t="shared" si="28"/>
        <v>Hr</v>
      </c>
      <c r="M215">
        <f t="shared" si="29"/>
        <v>13</v>
      </c>
      <c r="N215" t="str">
        <f t="shared" si="30"/>
        <v>Ananya Sharma-HR</v>
      </c>
      <c r="O215" t="str">
        <f t="shared" si="31"/>
        <v>company.com</v>
      </c>
      <c r="P215" t="str">
        <f t="shared" si="32"/>
        <v>company.com</v>
      </c>
      <c r="Q215">
        <f t="shared" si="33"/>
        <v>2019</v>
      </c>
      <c r="R215">
        <f t="shared" ca="1" si="34"/>
        <v>6</v>
      </c>
      <c r="S215" t="str">
        <f t="shared" si="35"/>
        <v>True</v>
      </c>
    </row>
    <row r="216" spans="1:19" x14ac:dyDescent="0.4">
      <c r="A216" s="2" t="s">
        <v>140</v>
      </c>
      <c r="B216" s="2" t="s">
        <v>141</v>
      </c>
      <c r="C216" s="2" t="s">
        <v>24</v>
      </c>
      <c r="D216" s="2" t="s">
        <v>49</v>
      </c>
      <c r="E216" s="3">
        <v>43678</v>
      </c>
      <c r="F216" s="2" t="s">
        <v>142</v>
      </c>
      <c r="G216" s="2" t="s">
        <v>143</v>
      </c>
      <c r="H216" s="2" t="s">
        <v>21</v>
      </c>
      <c r="I216" s="6" t="s">
        <v>2352</v>
      </c>
      <c r="J216" s="6" t="s">
        <v>2358</v>
      </c>
      <c r="K216" t="str">
        <f t="shared" si="27"/>
        <v>MEERA DAS</v>
      </c>
      <c r="L216" t="str">
        <f t="shared" si="28"/>
        <v>Marketing</v>
      </c>
      <c r="M216">
        <f t="shared" si="29"/>
        <v>9</v>
      </c>
      <c r="N216" t="str">
        <f t="shared" si="30"/>
        <v>Meera Das-Marketing</v>
      </c>
      <c r="O216" t="str">
        <f t="shared" si="31"/>
        <v>company.com</v>
      </c>
      <c r="P216" t="str">
        <f t="shared" si="32"/>
        <v>company.com</v>
      </c>
      <c r="Q216">
        <f t="shared" si="33"/>
        <v>2019</v>
      </c>
      <c r="R216">
        <f t="shared" ca="1" si="34"/>
        <v>7</v>
      </c>
      <c r="S216" t="str">
        <f t="shared" si="35"/>
        <v>True</v>
      </c>
    </row>
    <row r="217" spans="1:19" x14ac:dyDescent="0.4">
      <c r="A217" s="2" t="s">
        <v>148</v>
      </c>
      <c r="B217" s="2" t="s">
        <v>149</v>
      </c>
      <c r="C217" s="2" t="s">
        <v>31</v>
      </c>
      <c r="D217" s="2" t="s">
        <v>25</v>
      </c>
      <c r="E217" s="3">
        <v>43709</v>
      </c>
      <c r="F217" s="2" t="s">
        <v>150</v>
      </c>
      <c r="G217" s="2" t="s">
        <v>151</v>
      </c>
      <c r="H217" s="2" t="s">
        <v>14</v>
      </c>
      <c r="I217" s="6" t="s">
        <v>2344</v>
      </c>
      <c r="J217" s="6" t="s">
        <v>2357</v>
      </c>
      <c r="K217" t="str">
        <f t="shared" si="27"/>
        <v>KABIR JOSHI</v>
      </c>
      <c r="L217" t="str">
        <f t="shared" si="28"/>
        <v>Finance</v>
      </c>
      <c r="M217">
        <f t="shared" si="29"/>
        <v>11</v>
      </c>
      <c r="N217" t="str">
        <f t="shared" si="30"/>
        <v>Kabir Joshi-Finance</v>
      </c>
      <c r="O217" t="str">
        <f t="shared" si="31"/>
        <v>company.com</v>
      </c>
      <c r="P217" t="str">
        <f t="shared" si="32"/>
        <v>company.com</v>
      </c>
      <c r="Q217">
        <f t="shared" si="33"/>
        <v>2019</v>
      </c>
      <c r="R217">
        <f t="shared" ca="1" si="34"/>
        <v>7</v>
      </c>
      <c r="S217" t="str">
        <f t="shared" si="35"/>
        <v>True</v>
      </c>
    </row>
    <row r="218" spans="1:19" x14ac:dyDescent="0.4">
      <c r="A218" s="2" t="s">
        <v>156</v>
      </c>
      <c r="B218" s="2" t="s">
        <v>157</v>
      </c>
      <c r="C218" s="2" t="s">
        <v>53</v>
      </c>
      <c r="D218" s="2" t="s">
        <v>25</v>
      </c>
      <c r="E218" s="3">
        <v>43734</v>
      </c>
      <c r="F218" s="2" t="s">
        <v>158</v>
      </c>
      <c r="G218" s="2" t="s">
        <v>159</v>
      </c>
      <c r="H218" s="2" t="s">
        <v>64</v>
      </c>
      <c r="I218" s="6" t="s">
        <v>2346</v>
      </c>
      <c r="J218" s="6" t="s">
        <v>2362</v>
      </c>
      <c r="K218" t="str">
        <f t="shared" si="27"/>
        <v>RIYA MEHTA</v>
      </c>
      <c r="L218" t="str">
        <f t="shared" si="28"/>
        <v>Hr</v>
      </c>
      <c r="M218">
        <f t="shared" si="29"/>
        <v>10</v>
      </c>
      <c r="N218" t="str">
        <f t="shared" si="30"/>
        <v>Riya Mehta-HR</v>
      </c>
      <c r="O218" t="str">
        <f t="shared" si="31"/>
        <v>company.com</v>
      </c>
      <c r="P218" t="str">
        <f t="shared" si="32"/>
        <v>company.com</v>
      </c>
      <c r="Q218">
        <f t="shared" si="33"/>
        <v>2019</v>
      </c>
      <c r="R218">
        <f t="shared" ca="1" si="34"/>
        <v>7</v>
      </c>
      <c r="S218" t="str">
        <f t="shared" si="35"/>
        <v>True</v>
      </c>
    </row>
    <row r="219" spans="1:19" x14ac:dyDescent="0.4">
      <c r="A219" s="2" t="s">
        <v>180</v>
      </c>
      <c r="B219" s="2" t="s">
        <v>181</v>
      </c>
      <c r="C219" s="2" t="s">
        <v>17</v>
      </c>
      <c r="D219" s="2" t="s">
        <v>44</v>
      </c>
      <c r="E219" s="3">
        <v>43820</v>
      </c>
      <c r="F219" s="2" t="s">
        <v>182</v>
      </c>
      <c r="G219" s="2" t="s">
        <v>183</v>
      </c>
      <c r="H219" s="2" t="s">
        <v>55</v>
      </c>
      <c r="I219" s="6" t="s">
        <v>2352</v>
      </c>
      <c r="J219" s="6" t="s">
        <v>2356</v>
      </c>
      <c r="K219" t="str">
        <f t="shared" si="27"/>
        <v>MEERA PATEL</v>
      </c>
      <c r="L219" t="str">
        <f t="shared" si="28"/>
        <v>Sales</v>
      </c>
      <c r="M219">
        <f t="shared" si="29"/>
        <v>11</v>
      </c>
      <c r="N219" t="str">
        <f t="shared" si="30"/>
        <v>Meera Patel-Sales</v>
      </c>
      <c r="O219" t="str">
        <f t="shared" si="31"/>
        <v>company.com</v>
      </c>
      <c r="P219" t="str">
        <f t="shared" si="32"/>
        <v>company.com</v>
      </c>
      <c r="Q219">
        <f t="shared" si="33"/>
        <v>2019</v>
      </c>
      <c r="R219">
        <f t="shared" ca="1" si="34"/>
        <v>6</v>
      </c>
      <c r="S219" t="str">
        <f t="shared" si="35"/>
        <v>True</v>
      </c>
    </row>
    <row r="220" spans="1:19" x14ac:dyDescent="0.4">
      <c r="A220" s="2" t="s">
        <v>228</v>
      </c>
      <c r="B220" s="2" t="s">
        <v>129</v>
      </c>
      <c r="C220" s="2" t="s">
        <v>53</v>
      </c>
      <c r="D220" s="2" t="s">
        <v>49</v>
      </c>
      <c r="E220" s="3">
        <v>43747</v>
      </c>
      <c r="F220" s="2" t="s">
        <v>130</v>
      </c>
      <c r="G220" s="2" t="s">
        <v>229</v>
      </c>
      <c r="H220" s="2" t="s">
        <v>21</v>
      </c>
      <c r="I220" s="6" t="s">
        <v>2345</v>
      </c>
      <c r="J220" s="6" t="s">
        <v>2355</v>
      </c>
      <c r="K220" t="str">
        <f t="shared" si="27"/>
        <v>ISHA NAIR</v>
      </c>
      <c r="L220" t="str">
        <f t="shared" si="28"/>
        <v>Hr</v>
      </c>
      <c r="M220">
        <f t="shared" si="29"/>
        <v>9</v>
      </c>
      <c r="N220" t="str">
        <f t="shared" si="30"/>
        <v>Isha Nair-HR</v>
      </c>
      <c r="O220" t="str">
        <f t="shared" si="31"/>
        <v>company.com</v>
      </c>
      <c r="P220" t="str">
        <f t="shared" si="32"/>
        <v>company.com</v>
      </c>
      <c r="Q220">
        <f t="shared" si="33"/>
        <v>2019</v>
      </c>
      <c r="R220">
        <f t="shared" ca="1" si="34"/>
        <v>7</v>
      </c>
      <c r="S220" t="str">
        <f t="shared" si="35"/>
        <v>True</v>
      </c>
    </row>
    <row r="221" spans="1:19" x14ac:dyDescent="0.4">
      <c r="A221" s="2" t="s">
        <v>276</v>
      </c>
      <c r="B221" s="2" t="s">
        <v>235</v>
      </c>
      <c r="C221" s="2" t="s">
        <v>10</v>
      </c>
      <c r="D221" s="2" t="s">
        <v>25</v>
      </c>
      <c r="E221" s="3">
        <v>43731</v>
      </c>
      <c r="F221" s="2" t="s">
        <v>236</v>
      </c>
      <c r="G221" s="2" t="s">
        <v>277</v>
      </c>
      <c r="H221" s="2" t="s">
        <v>55</v>
      </c>
      <c r="I221" s="6" t="s">
        <v>2349</v>
      </c>
      <c r="J221" s="6" t="s">
        <v>2353</v>
      </c>
      <c r="K221" t="str">
        <f t="shared" si="27"/>
        <v>AARAV GUPTA</v>
      </c>
      <c r="L221" t="str">
        <f t="shared" si="28"/>
        <v>It</v>
      </c>
      <c r="M221">
        <f t="shared" si="29"/>
        <v>11</v>
      </c>
      <c r="N221" t="str">
        <f t="shared" si="30"/>
        <v>Aarav Gupta-IT</v>
      </c>
      <c r="O221" t="str">
        <f t="shared" si="31"/>
        <v>company.com</v>
      </c>
      <c r="P221" t="str">
        <f t="shared" si="32"/>
        <v>company.com</v>
      </c>
      <c r="Q221">
        <f t="shared" si="33"/>
        <v>2019</v>
      </c>
      <c r="R221">
        <f t="shared" ca="1" si="34"/>
        <v>7</v>
      </c>
      <c r="S221" t="str">
        <f t="shared" si="35"/>
        <v>True</v>
      </c>
    </row>
    <row r="222" spans="1:19" x14ac:dyDescent="0.4">
      <c r="A222" s="2" t="s">
        <v>320</v>
      </c>
      <c r="B222" s="2" t="s">
        <v>321</v>
      </c>
      <c r="C222" s="2" t="s">
        <v>17</v>
      </c>
      <c r="D222" s="2" t="s">
        <v>49</v>
      </c>
      <c r="E222" s="3">
        <v>43616</v>
      </c>
      <c r="F222" s="2" t="s">
        <v>322</v>
      </c>
      <c r="G222" s="2" t="s">
        <v>323</v>
      </c>
      <c r="H222" s="2" t="s">
        <v>55</v>
      </c>
      <c r="I222" s="6" t="s">
        <v>2344</v>
      </c>
      <c r="J222" s="6" t="s">
        <v>2355</v>
      </c>
      <c r="K222" t="str">
        <f t="shared" si="27"/>
        <v>KABIR NAIR</v>
      </c>
      <c r="L222" t="str">
        <f t="shared" si="28"/>
        <v>Sales</v>
      </c>
      <c r="M222">
        <f t="shared" si="29"/>
        <v>10</v>
      </c>
      <c r="N222" t="str">
        <f t="shared" si="30"/>
        <v>Kabir Nair-Sales</v>
      </c>
      <c r="O222" t="str">
        <f t="shared" si="31"/>
        <v>company.com</v>
      </c>
      <c r="P222" t="str">
        <f t="shared" si="32"/>
        <v>company.com</v>
      </c>
      <c r="Q222">
        <f t="shared" si="33"/>
        <v>2019</v>
      </c>
      <c r="R222">
        <f t="shared" ca="1" si="34"/>
        <v>7</v>
      </c>
      <c r="S222" t="str">
        <f t="shared" si="35"/>
        <v>True</v>
      </c>
    </row>
    <row r="223" spans="1:19" x14ac:dyDescent="0.4">
      <c r="A223" s="2" t="s">
        <v>332</v>
      </c>
      <c r="B223" s="2" t="s">
        <v>333</v>
      </c>
      <c r="C223" s="2" t="s">
        <v>53</v>
      </c>
      <c r="D223" s="2" t="s">
        <v>49</v>
      </c>
      <c r="E223" s="3">
        <v>43634</v>
      </c>
      <c r="F223" s="2" t="s">
        <v>334</v>
      </c>
      <c r="G223" s="2" t="s">
        <v>335</v>
      </c>
      <c r="H223" s="2" t="s">
        <v>28</v>
      </c>
      <c r="I223" s="6" t="s">
        <v>2349</v>
      </c>
      <c r="J223" s="6" t="s">
        <v>2354</v>
      </c>
      <c r="K223" t="str">
        <f t="shared" si="27"/>
        <v>AARAV SINGH</v>
      </c>
      <c r="L223" t="str">
        <f t="shared" si="28"/>
        <v>Hr</v>
      </c>
      <c r="M223">
        <f t="shared" si="29"/>
        <v>11</v>
      </c>
      <c r="N223" t="str">
        <f t="shared" si="30"/>
        <v>Aarav Singh-HR</v>
      </c>
      <c r="O223" t="str">
        <f t="shared" si="31"/>
        <v>company.com</v>
      </c>
      <c r="P223" t="str">
        <f t="shared" si="32"/>
        <v>company.com</v>
      </c>
      <c r="Q223">
        <f t="shared" si="33"/>
        <v>2019</v>
      </c>
      <c r="R223">
        <f t="shared" ca="1" si="34"/>
        <v>7</v>
      </c>
      <c r="S223" t="str">
        <f t="shared" si="35"/>
        <v>True</v>
      </c>
    </row>
    <row r="224" spans="1:19" x14ac:dyDescent="0.4">
      <c r="A224" s="2" t="s">
        <v>370</v>
      </c>
      <c r="B224" s="2" t="s">
        <v>133</v>
      </c>
      <c r="C224" s="2" t="s">
        <v>53</v>
      </c>
      <c r="D224" s="2" t="s">
        <v>25</v>
      </c>
      <c r="E224" s="3">
        <v>43497</v>
      </c>
      <c r="F224" s="2" t="s">
        <v>134</v>
      </c>
      <c r="G224" s="2" t="s">
        <v>371</v>
      </c>
      <c r="H224" s="2" t="s">
        <v>28</v>
      </c>
      <c r="I224" s="6" t="s">
        <v>2347</v>
      </c>
      <c r="J224" s="6" t="s">
        <v>2360</v>
      </c>
      <c r="K224" t="str">
        <f t="shared" si="27"/>
        <v>ARJUN SHARMA</v>
      </c>
      <c r="L224" t="str">
        <f t="shared" si="28"/>
        <v>Hr</v>
      </c>
      <c r="M224">
        <f t="shared" si="29"/>
        <v>12</v>
      </c>
      <c r="N224" t="str">
        <f t="shared" si="30"/>
        <v>Arjun Sharma-HR</v>
      </c>
      <c r="O224" t="str">
        <f t="shared" si="31"/>
        <v>company.com</v>
      </c>
      <c r="P224" t="str">
        <f t="shared" si="32"/>
        <v>company.com</v>
      </c>
      <c r="Q224">
        <f t="shared" si="33"/>
        <v>2019</v>
      </c>
      <c r="R224">
        <f t="shared" ca="1" si="34"/>
        <v>7</v>
      </c>
      <c r="S224" t="str">
        <f t="shared" si="35"/>
        <v>True</v>
      </c>
    </row>
    <row r="225" spans="1:19" x14ac:dyDescent="0.4">
      <c r="A225" s="2" t="s">
        <v>380</v>
      </c>
      <c r="B225" s="2" t="s">
        <v>351</v>
      </c>
      <c r="C225" s="2" t="s">
        <v>17</v>
      </c>
      <c r="D225" s="2" t="s">
        <v>25</v>
      </c>
      <c r="E225" s="3">
        <v>43520</v>
      </c>
      <c r="F225" s="2" t="s">
        <v>352</v>
      </c>
      <c r="G225" s="2" t="s">
        <v>381</v>
      </c>
      <c r="H225" s="2" t="s">
        <v>55</v>
      </c>
      <c r="I225" s="6" t="s">
        <v>2348</v>
      </c>
      <c r="J225" s="6" t="s">
        <v>2361</v>
      </c>
      <c r="K225" t="str">
        <f t="shared" si="27"/>
        <v>ANANYA KHAN</v>
      </c>
      <c r="L225" t="str">
        <f t="shared" si="28"/>
        <v>Sales</v>
      </c>
      <c r="M225">
        <f t="shared" si="29"/>
        <v>11</v>
      </c>
      <c r="N225" t="str">
        <f t="shared" si="30"/>
        <v>Ananya Khan-Sales</v>
      </c>
      <c r="O225" t="str">
        <f t="shared" si="31"/>
        <v>company.com</v>
      </c>
      <c r="P225" t="str">
        <f t="shared" si="32"/>
        <v>company.com</v>
      </c>
      <c r="Q225">
        <f t="shared" si="33"/>
        <v>2019</v>
      </c>
      <c r="R225">
        <f t="shared" ca="1" si="34"/>
        <v>7</v>
      </c>
      <c r="S225" t="str">
        <f t="shared" si="35"/>
        <v>True</v>
      </c>
    </row>
    <row r="226" spans="1:19" x14ac:dyDescent="0.4">
      <c r="A226" s="2" t="s">
        <v>410</v>
      </c>
      <c r="B226" s="2" t="s">
        <v>411</v>
      </c>
      <c r="C226" s="2" t="s">
        <v>31</v>
      </c>
      <c r="D226" s="2" t="s">
        <v>44</v>
      </c>
      <c r="E226" s="3">
        <v>43645</v>
      </c>
      <c r="F226" s="2" t="s">
        <v>412</v>
      </c>
      <c r="G226" s="2" t="s">
        <v>413</v>
      </c>
      <c r="H226" s="2" t="s">
        <v>14</v>
      </c>
      <c r="I226" s="6" t="s">
        <v>2349</v>
      </c>
      <c r="J226" s="6" t="s">
        <v>2357</v>
      </c>
      <c r="K226" t="str">
        <f t="shared" si="27"/>
        <v>AARAV JOSHI</v>
      </c>
      <c r="L226" t="str">
        <f t="shared" si="28"/>
        <v>Finance</v>
      </c>
      <c r="M226">
        <f t="shared" si="29"/>
        <v>11</v>
      </c>
      <c r="N226" t="str">
        <f t="shared" si="30"/>
        <v>Aarav Joshi-Finance</v>
      </c>
      <c r="O226" t="str">
        <f t="shared" si="31"/>
        <v>company.com</v>
      </c>
      <c r="P226" t="str">
        <f t="shared" si="32"/>
        <v>company.com</v>
      </c>
      <c r="Q226">
        <f t="shared" si="33"/>
        <v>2019</v>
      </c>
      <c r="R226">
        <f t="shared" ca="1" si="34"/>
        <v>7</v>
      </c>
      <c r="S226" t="str">
        <f t="shared" si="35"/>
        <v>True</v>
      </c>
    </row>
    <row r="227" spans="1:19" x14ac:dyDescent="0.4">
      <c r="A227" s="2" t="s">
        <v>416</v>
      </c>
      <c r="B227" s="2" t="s">
        <v>199</v>
      </c>
      <c r="C227" s="2" t="s">
        <v>17</v>
      </c>
      <c r="D227" s="2" t="s">
        <v>49</v>
      </c>
      <c r="E227" s="3">
        <v>43811</v>
      </c>
      <c r="F227" s="2" t="s">
        <v>200</v>
      </c>
      <c r="G227" s="2" t="s">
        <v>417</v>
      </c>
      <c r="H227" s="2" t="s">
        <v>28</v>
      </c>
      <c r="I227" s="6" t="s">
        <v>2344</v>
      </c>
      <c r="J227" s="6" t="s">
        <v>2358</v>
      </c>
      <c r="K227" t="str">
        <f t="shared" si="27"/>
        <v>KABIR DAS</v>
      </c>
      <c r="L227" t="str">
        <f t="shared" si="28"/>
        <v>Sales</v>
      </c>
      <c r="M227">
        <f t="shared" si="29"/>
        <v>9</v>
      </c>
      <c r="N227" t="str">
        <f t="shared" si="30"/>
        <v>Kabir Das-Sales</v>
      </c>
      <c r="O227" t="str">
        <f t="shared" si="31"/>
        <v>company.com</v>
      </c>
      <c r="P227" t="str">
        <f t="shared" si="32"/>
        <v>company.com</v>
      </c>
      <c r="Q227">
        <f t="shared" si="33"/>
        <v>2019</v>
      </c>
      <c r="R227">
        <f t="shared" ca="1" si="34"/>
        <v>6</v>
      </c>
      <c r="S227" t="str">
        <f t="shared" si="35"/>
        <v>True</v>
      </c>
    </row>
    <row r="228" spans="1:19" x14ac:dyDescent="0.4">
      <c r="A228" s="2" t="s">
        <v>462</v>
      </c>
      <c r="B228" s="2" t="s">
        <v>78</v>
      </c>
      <c r="C228" s="2" t="s">
        <v>53</v>
      </c>
      <c r="D228" s="2" t="s">
        <v>49</v>
      </c>
      <c r="E228" s="3">
        <v>43732</v>
      </c>
      <c r="F228" s="2" t="s">
        <v>79</v>
      </c>
      <c r="G228" s="2" t="s">
        <v>463</v>
      </c>
      <c r="H228" s="2" t="s">
        <v>14</v>
      </c>
      <c r="I228" s="6" t="s">
        <v>2348</v>
      </c>
      <c r="J228" s="6" t="s">
        <v>2356</v>
      </c>
      <c r="K228" t="str">
        <f t="shared" si="27"/>
        <v>ANANYA PATEL</v>
      </c>
      <c r="L228" t="str">
        <f t="shared" si="28"/>
        <v>Hr</v>
      </c>
      <c r="M228">
        <f t="shared" si="29"/>
        <v>12</v>
      </c>
      <c r="N228" t="str">
        <f t="shared" si="30"/>
        <v>Ananya Patel-HR</v>
      </c>
      <c r="O228" t="str">
        <f t="shared" si="31"/>
        <v>company.com</v>
      </c>
      <c r="P228" t="str">
        <f t="shared" si="32"/>
        <v>company.com</v>
      </c>
      <c r="Q228">
        <f t="shared" si="33"/>
        <v>2019</v>
      </c>
      <c r="R228">
        <f t="shared" ca="1" si="34"/>
        <v>7</v>
      </c>
      <c r="S228" t="str">
        <f t="shared" si="35"/>
        <v>True</v>
      </c>
    </row>
    <row r="229" spans="1:19" x14ac:dyDescent="0.4">
      <c r="A229" s="2" t="s">
        <v>488</v>
      </c>
      <c r="B229" s="2" t="s">
        <v>489</v>
      </c>
      <c r="C229" s="2" t="s">
        <v>10</v>
      </c>
      <c r="D229" s="2" t="s">
        <v>11</v>
      </c>
      <c r="E229" s="3">
        <v>43706</v>
      </c>
      <c r="F229" s="2" t="s">
        <v>490</v>
      </c>
      <c r="G229" s="2" t="s">
        <v>491</v>
      </c>
      <c r="H229" s="2" t="s">
        <v>64</v>
      </c>
      <c r="I229" s="6" t="s">
        <v>2347</v>
      </c>
      <c r="J229" s="6" t="s">
        <v>2359</v>
      </c>
      <c r="K229" t="str">
        <f t="shared" si="27"/>
        <v>ARJUN REDDY</v>
      </c>
      <c r="L229" t="str">
        <f t="shared" si="28"/>
        <v>It</v>
      </c>
      <c r="M229">
        <f t="shared" si="29"/>
        <v>11</v>
      </c>
      <c r="N229" t="str">
        <f t="shared" si="30"/>
        <v>Arjun Reddy-IT</v>
      </c>
      <c r="O229" t="str">
        <f t="shared" si="31"/>
        <v>company.com</v>
      </c>
      <c r="P229" t="str">
        <f t="shared" si="32"/>
        <v>company.com</v>
      </c>
      <c r="Q229">
        <f t="shared" si="33"/>
        <v>2019</v>
      </c>
      <c r="R229">
        <f t="shared" ca="1" si="34"/>
        <v>7</v>
      </c>
      <c r="S229" t="str">
        <f t="shared" si="35"/>
        <v>True</v>
      </c>
    </row>
    <row r="230" spans="1:19" x14ac:dyDescent="0.4">
      <c r="A230" s="2" t="s">
        <v>498</v>
      </c>
      <c r="B230" s="2" t="s">
        <v>78</v>
      </c>
      <c r="C230" s="2" t="s">
        <v>53</v>
      </c>
      <c r="D230" s="2" t="s">
        <v>49</v>
      </c>
      <c r="E230" s="3">
        <v>43759</v>
      </c>
      <c r="F230" s="2" t="s">
        <v>79</v>
      </c>
      <c r="G230" s="2" t="s">
        <v>499</v>
      </c>
      <c r="H230" s="2" t="s">
        <v>28</v>
      </c>
      <c r="I230" s="6" t="s">
        <v>2348</v>
      </c>
      <c r="J230" s="6" t="s">
        <v>2356</v>
      </c>
      <c r="K230" t="str">
        <f t="shared" si="27"/>
        <v>ANANYA PATEL</v>
      </c>
      <c r="L230" t="str">
        <f t="shared" si="28"/>
        <v>Hr</v>
      </c>
      <c r="M230">
        <f t="shared" si="29"/>
        <v>12</v>
      </c>
      <c r="N230" t="str">
        <f t="shared" si="30"/>
        <v>Ananya Patel-HR</v>
      </c>
      <c r="O230" t="str">
        <f t="shared" si="31"/>
        <v>company.com</v>
      </c>
      <c r="P230" t="str">
        <f t="shared" si="32"/>
        <v>company.com</v>
      </c>
      <c r="Q230">
        <f t="shared" si="33"/>
        <v>2019</v>
      </c>
      <c r="R230">
        <f t="shared" ca="1" si="34"/>
        <v>7</v>
      </c>
      <c r="S230" t="str">
        <f t="shared" si="35"/>
        <v>True</v>
      </c>
    </row>
    <row r="231" spans="1:19" x14ac:dyDescent="0.4">
      <c r="A231" s="2" t="s">
        <v>530</v>
      </c>
      <c r="B231" s="2" t="s">
        <v>39</v>
      </c>
      <c r="C231" s="2" t="s">
        <v>87</v>
      </c>
      <c r="D231" s="2" t="s">
        <v>25</v>
      </c>
      <c r="E231" s="3">
        <v>43820</v>
      </c>
      <c r="F231" s="2" t="s">
        <v>40</v>
      </c>
      <c r="G231" s="2" t="s">
        <v>531</v>
      </c>
      <c r="H231" s="2" t="s">
        <v>21</v>
      </c>
      <c r="I231" s="6" t="s">
        <v>2349</v>
      </c>
      <c r="J231" s="6" t="s">
        <v>2358</v>
      </c>
      <c r="K231" t="str">
        <f t="shared" si="27"/>
        <v>AARAV DAS</v>
      </c>
      <c r="L231" t="str">
        <f t="shared" si="28"/>
        <v>Operations</v>
      </c>
      <c r="M231">
        <f t="shared" si="29"/>
        <v>9</v>
      </c>
      <c r="N231" t="str">
        <f t="shared" si="30"/>
        <v>Aarav Das-Operations</v>
      </c>
      <c r="O231" t="str">
        <f t="shared" si="31"/>
        <v>company.com</v>
      </c>
      <c r="P231" t="str">
        <f t="shared" si="32"/>
        <v>company.com</v>
      </c>
      <c r="Q231">
        <f t="shared" si="33"/>
        <v>2019</v>
      </c>
      <c r="R231">
        <f t="shared" ca="1" si="34"/>
        <v>6</v>
      </c>
      <c r="S231" t="str">
        <f t="shared" si="35"/>
        <v>True</v>
      </c>
    </row>
    <row r="232" spans="1:19" x14ac:dyDescent="0.4">
      <c r="A232" s="2" t="s">
        <v>558</v>
      </c>
      <c r="B232" s="2" t="s">
        <v>251</v>
      </c>
      <c r="C232" s="2" t="s">
        <v>17</v>
      </c>
      <c r="D232" s="2" t="s">
        <v>11</v>
      </c>
      <c r="E232" s="3">
        <v>43759</v>
      </c>
      <c r="F232" s="2" t="s">
        <v>252</v>
      </c>
      <c r="G232" s="2" t="s">
        <v>559</v>
      </c>
      <c r="H232" s="2" t="s">
        <v>28</v>
      </c>
      <c r="I232" s="6" t="s">
        <v>2351</v>
      </c>
      <c r="J232" s="6" t="s">
        <v>2362</v>
      </c>
      <c r="K232" t="str">
        <f t="shared" si="27"/>
        <v>ADITYA MEHTA</v>
      </c>
      <c r="L232" t="str">
        <f t="shared" si="28"/>
        <v>Sales</v>
      </c>
      <c r="M232">
        <f t="shared" si="29"/>
        <v>12</v>
      </c>
      <c r="N232" t="str">
        <f t="shared" si="30"/>
        <v>Aditya Mehta-Sales</v>
      </c>
      <c r="O232" t="str">
        <f t="shared" si="31"/>
        <v>company.com</v>
      </c>
      <c r="P232" t="str">
        <f t="shared" si="32"/>
        <v>company.com</v>
      </c>
      <c r="Q232">
        <f t="shared" si="33"/>
        <v>2019</v>
      </c>
      <c r="R232">
        <f t="shared" ca="1" si="34"/>
        <v>7</v>
      </c>
      <c r="S232" t="str">
        <f t="shared" si="35"/>
        <v>True</v>
      </c>
    </row>
    <row r="233" spans="1:19" x14ac:dyDescent="0.4">
      <c r="A233" s="2" t="s">
        <v>590</v>
      </c>
      <c r="B233" s="2" t="s">
        <v>107</v>
      </c>
      <c r="C233" s="2" t="s">
        <v>53</v>
      </c>
      <c r="D233" s="2" t="s">
        <v>44</v>
      </c>
      <c r="E233" s="3">
        <v>43784</v>
      </c>
      <c r="F233" s="2" t="s">
        <v>108</v>
      </c>
      <c r="G233" s="2" t="s">
        <v>591</v>
      </c>
      <c r="H233" s="2" t="s">
        <v>28</v>
      </c>
      <c r="I233" s="6" t="s">
        <v>2347</v>
      </c>
      <c r="J233" s="6" t="s">
        <v>2362</v>
      </c>
      <c r="K233" t="str">
        <f t="shared" si="27"/>
        <v>ARJUN MEHTA</v>
      </c>
      <c r="L233" t="str">
        <f t="shared" si="28"/>
        <v>Hr</v>
      </c>
      <c r="M233">
        <f t="shared" si="29"/>
        <v>11</v>
      </c>
      <c r="N233" t="str">
        <f t="shared" si="30"/>
        <v>Arjun Mehta-HR</v>
      </c>
      <c r="O233" t="str">
        <f t="shared" si="31"/>
        <v>company.com</v>
      </c>
      <c r="P233" t="str">
        <f t="shared" si="32"/>
        <v>company.com</v>
      </c>
      <c r="Q233">
        <f t="shared" si="33"/>
        <v>2019</v>
      </c>
      <c r="R233">
        <f t="shared" ca="1" si="34"/>
        <v>6</v>
      </c>
      <c r="S233" t="str">
        <f t="shared" si="35"/>
        <v>True</v>
      </c>
    </row>
    <row r="234" spans="1:19" x14ac:dyDescent="0.4">
      <c r="A234" s="2" t="s">
        <v>606</v>
      </c>
      <c r="B234" s="2" t="s">
        <v>391</v>
      </c>
      <c r="C234" s="2" t="s">
        <v>17</v>
      </c>
      <c r="D234" s="2" t="s">
        <v>44</v>
      </c>
      <c r="E234" s="3">
        <v>43800</v>
      </c>
      <c r="F234" s="2" t="s">
        <v>392</v>
      </c>
      <c r="G234" s="2" t="s">
        <v>607</v>
      </c>
      <c r="H234" s="2" t="s">
        <v>14</v>
      </c>
      <c r="I234" s="6" t="s">
        <v>2351</v>
      </c>
      <c r="J234" s="6" t="s">
        <v>2356</v>
      </c>
      <c r="K234" t="str">
        <f t="shared" si="27"/>
        <v>ADITYA PATEL</v>
      </c>
      <c r="L234" t="str">
        <f t="shared" si="28"/>
        <v>Sales</v>
      </c>
      <c r="M234">
        <f t="shared" si="29"/>
        <v>12</v>
      </c>
      <c r="N234" t="str">
        <f t="shared" si="30"/>
        <v>Aditya Patel-Sales</v>
      </c>
      <c r="O234" t="str">
        <f t="shared" si="31"/>
        <v>company.com</v>
      </c>
      <c r="P234" t="str">
        <f t="shared" si="32"/>
        <v>company.com</v>
      </c>
      <c r="Q234">
        <f t="shared" si="33"/>
        <v>2019</v>
      </c>
      <c r="R234">
        <f t="shared" ca="1" si="34"/>
        <v>6</v>
      </c>
      <c r="S234" t="str">
        <f t="shared" si="35"/>
        <v>True</v>
      </c>
    </row>
    <row r="235" spans="1:19" x14ac:dyDescent="0.4">
      <c r="A235" s="2" t="s">
        <v>764</v>
      </c>
      <c r="B235" s="2" t="s">
        <v>405</v>
      </c>
      <c r="C235" s="2" t="s">
        <v>10</v>
      </c>
      <c r="D235" s="2" t="s">
        <v>25</v>
      </c>
      <c r="E235" s="3">
        <v>43513</v>
      </c>
      <c r="F235" s="2" t="s">
        <v>406</v>
      </c>
      <c r="G235" s="2" t="s">
        <v>765</v>
      </c>
      <c r="H235" s="2" t="s">
        <v>28</v>
      </c>
      <c r="I235" s="6" t="s">
        <v>2348</v>
      </c>
      <c r="J235" s="6" t="s">
        <v>2354</v>
      </c>
      <c r="K235" t="str">
        <f t="shared" si="27"/>
        <v>ANANYA SINGH</v>
      </c>
      <c r="L235" t="str">
        <f t="shared" si="28"/>
        <v>It</v>
      </c>
      <c r="M235">
        <f t="shared" si="29"/>
        <v>12</v>
      </c>
      <c r="N235" t="str">
        <f t="shared" si="30"/>
        <v>Ananya Singh-IT</v>
      </c>
      <c r="O235" t="str">
        <f t="shared" si="31"/>
        <v>company.com</v>
      </c>
      <c r="P235" t="str">
        <f t="shared" si="32"/>
        <v>company.com</v>
      </c>
      <c r="Q235">
        <f t="shared" si="33"/>
        <v>2019</v>
      </c>
      <c r="R235">
        <f t="shared" ca="1" si="34"/>
        <v>7</v>
      </c>
      <c r="S235" t="str">
        <f t="shared" si="35"/>
        <v>True</v>
      </c>
    </row>
    <row r="236" spans="1:19" x14ac:dyDescent="0.4">
      <c r="A236" s="2" t="s">
        <v>766</v>
      </c>
      <c r="B236" s="2" t="s">
        <v>74</v>
      </c>
      <c r="C236" s="2" t="s">
        <v>53</v>
      </c>
      <c r="D236" s="2" t="s">
        <v>49</v>
      </c>
      <c r="E236" s="3">
        <v>43570</v>
      </c>
      <c r="F236" s="2" t="s">
        <v>75</v>
      </c>
      <c r="G236" s="2" t="s">
        <v>767</v>
      </c>
      <c r="H236" s="2" t="s">
        <v>64</v>
      </c>
      <c r="I236" s="6" t="s">
        <v>2346</v>
      </c>
      <c r="J236" s="6" t="s">
        <v>2358</v>
      </c>
      <c r="K236" t="str">
        <f t="shared" si="27"/>
        <v>RIYA DAS</v>
      </c>
      <c r="L236" t="str">
        <f t="shared" si="28"/>
        <v>Hr</v>
      </c>
      <c r="M236">
        <f t="shared" si="29"/>
        <v>8</v>
      </c>
      <c r="N236" t="str">
        <f t="shared" si="30"/>
        <v>Riya Das-HR</v>
      </c>
      <c r="O236" t="str">
        <f t="shared" si="31"/>
        <v>company.com</v>
      </c>
      <c r="P236" t="str">
        <f t="shared" si="32"/>
        <v>company.com</v>
      </c>
      <c r="Q236">
        <f t="shared" si="33"/>
        <v>2019</v>
      </c>
      <c r="R236">
        <f t="shared" ca="1" si="34"/>
        <v>7</v>
      </c>
      <c r="S236" t="str">
        <f t="shared" si="35"/>
        <v>True</v>
      </c>
    </row>
    <row r="237" spans="1:19" x14ac:dyDescent="0.4">
      <c r="A237" s="2" t="s">
        <v>804</v>
      </c>
      <c r="B237" s="2" t="s">
        <v>199</v>
      </c>
      <c r="C237" s="2" t="s">
        <v>53</v>
      </c>
      <c r="D237" s="2" t="s">
        <v>18</v>
      </c>
      <c r="E237" s="3">
        <v>43564</v>
      </c>
      <c r="F237" s="2" t="s">
        <v>200</v>
      </c>
      <c r="G237" s="2" t="s">
        <v>805</v>
      </c>
      <c r="H237" s="2" t="s">
        <v>14</v>
      </c>
      <c r="I237" s="6" t="s">
        <v>2344</v>
      </c>
      <c r="J237" s="6" t="s">
        <v>2358</v>
      </c>
      <c r="K237" t="str">
        <f t="shared" si="27"/>
        <v>KABIR DAS</v>
      </c>
      <c r="L237" t="str">
        <f t="shared" si="28"/>
        <v>Hr</v>
      </c>
      <c r="M237">
        <f t="shared" si="29"/>
        <v>9</v>
      </c>
      <c r="N237" t="str">
        <f t="shared" si="30"/>
        <v>Kabir Das-HR</v>
      </c>
      <c r="O237" t="str">
        <f t="shared" si="31"/>
        <v>company.com</v>
      </c>
      <c r="P237" t="str">
        <f t="shared" si="32"/>
        <v>company.com</v>
      </c>
      <c r="Q237">
        <f t="shared" si="33"/>
        <v>2019</v>
      </c>
      <c r="R237">
        <f t="shared" ca="1" si="34"/>
        <v>7</v>
      </c>
      <c r="S237" t="str">
        <f t="shared" si="35"/>
        <v>True</v>
      </c>
    </row>
    <row r="238" spans="1:19" x14ac:dyDescent="0.4">
      <c r="A238" s="2" t="s">
        <v>848</v>
      </c>
      <c r="B238" s="2" t="s">
        <v>86</v>
      </c>
      <c r="C238" s="2" t="s">
        <v>17</v>
      </c>
      <c r="D238" s="2" t="s">
        <v>18</v>
      </c>
      <c r="E238" s="3">
        <v>43548</v>
      </c>
      <c r="F238" s="2" t="s">
        <v>88</v>
      </c>
      <c r="G238" s="2" t="s">
        <v>849</v>
      </c>
      <c r="H238" s="2" t="s">
        <v>55</v>
      </c>
      <c r="I238" s="6" t="s">
        <v>2344</v>
      </c>
      <c r="J238" s="6" t="s">
        <v>2354</v>
      </c>
      <c r="K238" t="str">
        <f t="shared" si="27"/>
        <v>KABIR SINGH</v>
      </c>
      <c r="L238" t="str">
        <f t="shared" si="28"/>
        <v>Sales</v>
      </c>
      <c r="M238">
        <f t="shared" si="29"/>
        <v>11</v>
      </c>
      <c r="N238" t="str">
        <f t="shared" si="30"/>
        <v>Kabir Singh-Sales</v>
      </c>
      <c r="O238" t="str">
        <f t="shared" si="31"/>
        <v>company.com</v>
      </c>
      <c r="P238" t="str">
        <f t="shared" si="32"/>
        <v>company.com</v>
      </c>
      <c r="Q238">
        <f t="shared" si="33"/>
        <v>2019</v>
      </c>
      <c r="R238">
        <f t="shared" ca="1" si="34"/>
        <v>7</v>
      </c>
      <c r="S238" t="str">
        <f t="shared" si="35"/>
        <v>True</v>
      </c>
    </row>
    <row r="239" spans="1:19" x14ac:dyDescent="0.4">
      <c r="A239" s="2" t="s">
        <v>878</v>
      </c>
      <c r="B239" s="2" t="s">
        <v>333</v>
      </c>
      <c r="C239" s="2" t="s">
        <v>24</v>
      </c>
      <c r="D239" s="2" t="s">
        <v>44</v>
      </c>
      <c r="E239" s="3">
        <v>43489</v>
      </c>
      <c r="F239" s="2" t="s">
        <v>334</v>
      </c>
      <c r="G239" s="2" t="s">
        <v>879</v>
      </c>
      <c r="H239" s="2" t="s">
        <v>55</v>
      </c>
      <c r="I239" s="6" t="s">
        <v>2349</v>
      </c>
      <c r="J239" s="6" t="s">
        <v>2354</v>
      </c>
      <c r="K239" t="str">
        <f t="shared" si="27"/>
        <v>AARAV SINGH</v>
      </c>
      <c r="L239" t="str">
        <f t="shared" si="28"/>
        <v>Marketing</v>
      </c>
      <c r="M239">
        <f t="shared" si="29"/>
        <v>11</v>
      </c>
      <c r="N239" t="str">
        <f t="shared" si="30"/>
        <v>Aarav Singh-Marketing</v>
      </c>
      <c r="O239" t="str">
        <f t="shared" si="31"/>
        <v>company.com</v>
      </c>
      <c r="P239" t="str">
        <f t="shared" si="32"/>
        <v>company.com</v>
      </c>
      <c r="Q239">
        <f t="shared" si="33"/>
        <v>2019</v>
      </c>
      <c r="R239">
        <f t="shared" ca="1" si="34"/>
        <v>7</v>
      </c>
      <c r="S239" t="str">
        <f t="shared" si="35"/>
        <v>True</v>
      </c>
    </row>
    <row r="240" spans="1:19" x14ac:dyDescent="0.4">
      <c r="A240" s="2" t="s">
        <v>880</v>
      </c>
      <c r="B240" s="2" t="s">
        <v>373</v>
      </c>
      <c r="C240" s="2" t="s">
        <v>17</v>
      </c>
      <c r="D240" s="2" t="s">
        <v>44</v>
      </c>
      <c r="E240" s="3">
        <v>43622</v>
      </c>
      <c r="F240" s="2" t="s">
        <v>374</v>
      </c>
      <c r="G240" s="2" t="s">
        <v>881</v>
      </c>
      <c r="H240" s="2" t="s">
        <v>28</v>
      </c>
      <c r="I240" s="6" t="s">
        <v>2350</v>
      </c>
      <c r="J240" s="6" t="s">
        <v>2355</v>
      </c>
      <c r="K240" t="str">
        <f t="shared" si="27"/>
        <v>VIVAAN NAIR</v>
      </c>
      <c r="L240" t="str">
        <f t="shared" si="28"/>
        <v>Sales</v>
      </c>
      <c r="M240">
        <f t="shared" si="29"/>
        <v>11</v>
      </c>
      <c r="N240" t="str">
        <f t="shared" si="30"/>
        <v>Vivaan Nair-Sales</v>
      </c>
      <c r="O240" t="str">
        <f t="shared" si="31"/>
        <v>company.com</v>
      </c>
      <c r="P240" t="str">
        <f t="shared" si="32"/>
        <v>company.com</v>
      </c>
      <c r="Q240">
        <f t="shared" si="33"/>
        <v>2019</v>
      </c>
      <c r="R240">
        <f t="shared" ca="1" si="34"/>
        <v>7</v>
      </c>
      <c r="S240" t="str">
        <f t="shared" si="35"/>
        <v>True</v>
      </c>
    </row>
    <row r="241" spans="1:19" x14ac:dyDescent="0.4">
      <c r="A241" s="2" t="s">
        <v>898</v>
      </c>
      <c r="B241" s="2" t="s">
        <v>321</v>
      </c>
      <c r="C241" s="2" t="s">
        <v>53</v>
      </c>
      <c r="D241" s="2" t="s">
        <v>44</v>
      </c>
      <c r="E241" s="3">
        <v>43571</v>
      </c>
      <c r="F241" s="2" t="s">
        <v>322</v>
      </c>
      <c r="G241" s="2" t="s">
        <v>899</v>
      </c>
      <c r="H241" s="2" t="s">
        <v>21</v>
      </c>
      <c r="I241" s="6" t="s">
        <v>2344</v>
      </c>
      <c r="J241" s="6" t="s">
        <v>2355</v>
      </c>
      <c r="K241" t="str">
        <f t="shared" si="27"/>
        <v>KABIR NAIR</v>
      </c>
      <c r="L241" t="str">
        <f t="shared" si="28"/>
        <v>Hr</v>
      </c>
      <c r="M241">
        <f t="shared" si="29"/>
        <v>10</v>
      </c>
      <c r="N241" t="str">
        <f t="shared" si="30"/>
        <v>Kabir Nair-HR</v>
      </c>
      <c r="O241" t="str">
        <f t="shared" si="31"/>
        <v>company.com</v>
      </c>
      <c r="P241" t="str">
        <f t="shared" si="32"/>
        <v>company.com</v>
      </c>
      <c r="Q241">
        <f t="shared" si="33"/>
        <v>2019</v>
      </c>
      <c r="R241">
        <f t="shared" ca="1" si="34"/>
        <v>7</v>
      </c>
      <c r="S241" t="str">
        <f t="shared" si="35"/>
        <v>True</v>
      </c>
    </row>
    <row r="242" spans="1:19" x14ac:dyDescent="0.4">
      <c r="A242" s="2" t="s">
        <v>914</v>
      </c>
      <c r="B242" s="2" t="s">
        <v>74</v>
      </c>
      <c r="C242" s="2" t="s">
        <v>10</v>
      </c>
      <c r="D242" s="2" t="s">
        <v>11</v>
      </c>
      <c r="E242" s="3">
        <v>43807</v>
      </c>
      <c r="F242" s="2" t="s">
        <v>75</v>
      </c>
      <c r="G242" s="2" t="s">
        <v>915</v>
      </c>
      <c r="H242" s="2" t="s">
        <v>21</v>
      </c>
      <c r="I242" s="6" t="s">
        <v>2346</v>
      </c>
      <c r="J242" s="6" t="s">
        <v>2358</v>
      </c>
      <c r="K242" t="str">
        <f t="shared" si="27"/>
        <v>RIYA DAS</v>
      </c>
      <c r="L242" t="str">
        <f t="shared" si="28"/>
        <v>It</v>
      </c>
      <c r="M242">
        <f t="shared" si="29"/>
        <v>8</v>
      </c>
      <c r="N242" t="str">
        <f t="shared" si="30"/>
        <v>Riya Das-IT</v>
      </c>
      <c r="O242" t="str">
        <f t="shared" si="31"/>
        <v>company.com</v>
      </c>
      <c r="P242" t="str">
        <f t="shared" si="32"/>
        <v>company.com</v>
      </c>
      <c r="Q242">
        <f t="shared" si="33"/>
        <v>2019</v>
      </c>
      <c r="R242">
        <f t="shared" ca="1" si="34"/>
        <v>6</v>
      </c>
      <c r="S242" t="str">
        <f t="shared" si="35"/>
        <v>True</v>
      </c>
    </row>
    <row r="243" spans="1:19" x14ac:dyDescent="0.4">
      <c r="A243" s="2" t="s">
        <v>932</v>
      </c>
      <c r="B243" s="2" t="s">
        <v>187</v>
      </c>
      <c r="C243" s="2" t="s">
        <v>24</v>
      </c>
      <c r="D243" s="2" t="s">
        <v>11</v>
      </c>
      <c r="E243" s="3">
        <v>43495</v>
      </c>
      <c r="F243" s="2" t="s">
        <v>188</v>
      </c>
      <c r="G243" s="2" t="s">
        <v>933</v>
      </c>
      <c r="H243" s="2" t="s">
        <v>14</v>
      </c>
      <c r="I243" s="6" t="s">
        <v>2349</v>
      </c>
      <c r="J243" s="6" t="s">
        <v>2359</v>
      </c>
      <c r="K243" t="str">
        <f t="shared" si="27"/>
        <v>AARAV REDDY</v>
      </c>
      <c r="L243" t="str">
        <f t="shared" si="28"/>
        <v>Marketing</v>
      </c>
      <c r="M243">
        <f t="shared" si="29"/>
        <v>11</v>
      </c>
      <c r="N243" t="str">
        <f t="shared" si="30"/>
        <v>Aarav Reddy-Marketing</v>
      </c>
      <c r="O243" t="str">
        <f t="shared" si="31"/>
        <v>company.com</v>
      </c>
      <c r="P243" t="str">
        <f t="shared" si="32"/>
        <v>company.com</v>
      </c>
      <c r="Q243">
        <f t="shared" si="33"/>
        <v>2019</v>
      </c>
      <c r="R243">
        <f t="shared" ca="1" si="34"/>
        <v>7</v>
      </c>
      <c r="S243" t="str">
        <f t="shared" si="35"/>
        <v>True</v>
      </c>
    </row>
    <row r="244" spans="1:19" x14ac:dyDescent="0.4">
      <c r="A244" s="2" t="s">
        <v>954</v>
      </c>
      <c r="B244" s="2" t="s">
        <v>299</v>
      </c>
      <c r="C244" s="2" t="s">
        <v>87</v>
      </c>
      <c r="D244" s="2" t="s">
        <v>44</v>
      </c>
      <c r="E244" s="3">
        <v>43773</v>
      </c>
      <c r="F244" s="2" t="s">
        <v>300</v>
      </c>
      <c r="G244" s="2" t="s">
        <v>955</v>
      </c>
      <c r="H244" s="2" t="s">
        <v>64</v>
      </c>
      <c r="I244" s="6" t="s">
        <v>2351</v>
      </c>
      <c r="J244" s="6" t="s">
        <v>2361</v>
      </c>
      <c r="K244" t="str">
        <f t="shared" si="27"/>
        <v>ADITYA KHAN</v>
      </c>
      <c r="L244" t="str">
        <f t="shared" si="28"/>
        <v>Operations</v>
      </c>
      <c r="M244">
        <f t="shared" si="29"/>
        <v>11</v>
      </c>
      <c r="N244" t="str">
        <f t="shared" si="30"/>
        <v>Aditya Khan-Operations</v>
      </c>
      <c r="O244" t="str">
        <f t="shared" si="31"/>
        <v>company.com</v>
      </c>
      <c r="P244" t="str">
        <f t="shared" si="32"/>
        <v>company.com</v>
      </c>
      <c r="Q244">
        <f t="shared" si="33"/>
        <v>2019</v>
      </c>
      <c r="R244">
        <f t="shared" ca="1" si="34"/>
        <v>6</v>
      </c>
      <c r="S244" t="str">
        <f t="shared" si="35"/>
        <v>True</v>
      </c>
    </row>
    <row r="245" spans="1:19" x14ac:dyDescent="0.4">
      <c r="A245" s="2" t="s">
        <v>964</v>
      </c>
      <c r="B245" s="2" t="s">
        <v>157</v>
      </c>
      <c r="C245" s="2" t="s">
        <v>17</v>
      </c>
      <c r="D245" s="2" t="s">
        <v>11</v>
      </c>
      <c r="E245" s="3">
        <v>43580</v>
      </c>
      <c r="F245" s="2" t="s">
        <v>158</v>
      </c>
      <c r="G245" s="2" t="s">
        <v>965</v>
      </c>
      <c r="H245" s="2" t="s">
        <v>64</v>
      </c>
      <c r="I245" s="6" t="s">
        <v>2346</v>
      </c>
      <c r="J245" s="6" t="s">
        <v>2362</v>
      </c>
      <c r="K245" t="str">
        <f t="shared" si="27"/>
        <v>RIYA MEHTA</v>
      </c>
      <c r="L245" t="str">
        <f t="shared" si="28"/>
        <v>Sales</v>
      </c>
      <c r="M245">
        <f t="shared" si="29"/>
        <v>10</v>
      </c>
      <c r="N245" t="str">
        <f t="shared" si="30"/>
        <v>Riya Mehta-Sales</v>
      </c>
      <c r="O245" t="str">
        <f t="shared" si="31"/>
        <v>company.com</v>
      </c>
      <c r="P245" t="str">
        <f t="shared" si="32"/>
        <v>company.com</v>
      </c>
      <c r="Q245">
        <f t="shared" si="33"/>
        <v>2019</v>
      </c>
      <c r="R245">
        <f t="shared" ca="1" si="34"/>
        <v>7</v>
      </c>
      <c r="S245" t="str">
        <f t="shared" si="35"/>
        <v>True</v>
      </c>
    </row>
    <row r="246" spans="1:19" x14ac:dyDescent="0.4">
      <c r="A246" s="2" t="s">
        <v>968</v>
      </c>
      <c r="B246" s="2" t="s">
        <v>221</v>
      </c>
      <c r="C246" s="2" t="s">
        <v>31</v>
      </c>
      <c r="D246" s="2" t="s">
        <v>44</v>
      </c>
      <c r="E246" s="3">
        <v>43823</v>
      </c>
      <c r="F246" s="2" t="s">
        <v>222</v>
      </c>
      <c r="G246" s="2" t="s">
        <v>969</v>
      </c>
      <c r="H246" s="2" t="s">
        <v>64</v>
      </c>
      <c r="I246" s="6" t="s">
        <v>2345</v>
      </c>
      <c r="J246" s="6" t="s">
        <v>2359</v>
      </c>
      <c r="K246" t="str">
        <f t="shared" si="27"/>
        <v>ISHA REDDY</v>
      </c>
      <c r="L246" t="str">
        <f t="shared" si="28"/>
        <v>Finance</v>
      </c>
      <c r="M246">
        <f t="shared" si="29"/>
        <v>10</v>
      </c>
      <c r="N246" t="str">
        <f t="shared" si="30"/>
        <v>Isha Reddy-Finance</v>
      </c>
      <c r="O246" t="str">
        <f t="shared" si="31"/>
        <v>company.com</v>
      </c>
      <c r="P246" t="str">
        <f t="shared" si="32"/>
        <v>company.com</v>
      </c>
      <c r="Q246">
        <f t="shared" si="33"/>
        <v>2019</v>
      </c>
      <c r="R246">
        <f t="shared" ca="1" si="34"/>
        <v>6</v>
      </c>
      <c r="S246" t="str">
        <f t="shared" si="35"/>
        <v>True</v>
      </c>
    </row>
    <row r="247" spans="1:19" x14ac:dyDescent="0.4">
      <c r="A247" s="2" t="s">
        <v>978</v>
      </c>
      <c r="B247" s="2" t="s">
        <v>74</v>
      </c>
      <c r="C247" s="2" t="s">
        <v>17</v>
      </c>
      <c r="D247" s="2" t="s">
        <v>44</v>
      </c>
      <c r="E247" s="3">
        <v>43820</v>
      </c>
      <c r="F247" s="2" t="s">
        <v>75</v>
      </c>
      <c r="G247" s="2" t="s">
        <v>979</v>
      </c>
      <c r="H247" s="2" t="s">
        <v>55</v>
      </c>
      <c r="I247" s="6" t="s">
        <v>2346</v>
      </c>
      <c r="J247" s="6" t="s">
        <v>2358</v>
      </c>
      <c r="K247" t="str">
        <f t="shared" si="27"/>
        <v>RIYA DAS</v>
      </c>
      <c r="L247" t="str">
        <f t="shared" si="28"/>
        <v>Sales</v>
      </c>
      <c r="M247">
        <f t="shared" si="29"/>
        <v>8</v>
      </c>
      <c r="N247" t="str">
        <f t="shared" si="30"/>
        <v>Riya Das-Sales</v>
      </c>
      <c r="O247" t="str">
        <f t="shared" si="31"/>
        <v>company.com</v>
      </c>
      <c r="P247" t="str">
        <f t="shared" si="32"/>
        <v>company.com</v>
      </c>
      <c r="Q247">
        <f t="shared" si="33"/>
        <v>2019</v>
      </c>
      <c r="R247">
        <f t="shared" ca="1" si="34"/>
        <v>6</v>
      </c>
      <c r="S247" t="str">
        <f t="shared" si="35"/>
        <v>True</v>
      </c>
    </row>
    <row r="248" spans="1:19" x14ac:dyDescent="0.4">
      <c r="A248" s="2" t="s">
        <v>982</v>
      </c>
      <c r="B248" s="2" t="s">
        <v>66</v>
      </c>
      <c r="C248" s="2" t="s">
        <v>10</v>
      </c>
      <c r="D248" s="2" t="s">
        <v>44</v>
      </c>
      <c r="E248" s="3">
        <v>43649</v>
      </c>
      <c r="F248" s="2" t="s">
        <v>67</v>
      </c>
      <c r="G248" s="2" t="s">
        <v>983</v>
      </c>
      <c r="H248" s="2" t="s">
        <v>64</v>
      </c>
      <c r="I248" s="6" t="s">
        <v>2349</v>
      </c>
      <c r="J248" s="6" t="s">
        <v>2361</v>
      </c>
      <c r="K248" t="str">
        <f t="shared" si="27"/>
        <v>AARAV KHAN</v>
      </c>
      <c r="L248" t="str">
        <f t="shared" si="28"/>
        <v>It</v>
      </c>
      <c r="M248">
        <f t="shared" si="29"/>
        <v>10</v>
      </c>
      <c r="N248" t="str">
        <f t="shared" si="30"/>
        <v>Aarav Khan-IT</v>
      </c>
      <c r="O248" t="str">
        <f t="shared" si="31"/>
        <v>company.com</v>
      </c>
      <c r="P248" t="str">
        <f t="shared" si="32"/>
        <v>company.com</v>
      </c>
      <c r="Q248">
        <f t="shared" si="33"/>
        <v>2019</v>
      </c>
      <c r="R248">
        <f t="shared" ca="1" si="34"/>
        <v>7</v>
      </c>
      <c r="S248" t="str">
        <f t="shared" si="35"/>
        <v>True</v>
      </c>
    </row>
    <row r="249" spans="1:19" x14ac:dyDescent="0.4">
      <c r="A249" s="2" t="s">
        <v>996</v>
      </c>
      <c r="B249" s="2" t="s">
        <v>43</v>
      </c>
      <c r="C249" s="2" t="s">
        <v>10</v>
      </c>
      <c r="D249" s="2" t="s">
        <v>49</v>
      </c>
      <c r="E249" s="3">
        <v>43790</v>
      </c>
      <c r="F249" s="2" t="s">
        <v>45</v>
      </c>
      <c r="G249" s="2" t="s">
        <v>997</v>
      </c>
      <c r="H249" s="2" t="s">
        <v>21</v>
      </c>
      <c r="I249" s="6" t="s">
        <v>2348</v>
      </c>
      <c r="J249" s="6" t="s">
        <v>2362</v>
      </c>
      <c r="K249" t="str">
        <f t="shared" si="27"/>
        <v>ANANYA MEHTA</v>
      </c>
      <c r="L249" t="str">
        <f t="shared" si="28"/>
        <v>It</v>
      </c>
      <c r="M249">
        <f t="shared" si="29"/>
        <v>12</v>
      </c>
      <c r="N249" t="str">
        <f t="shared" si="30"/>
        <v>Ananya Mehta-IT</v>
      </c>
      <c r="O249" t="str">
        <f t="shared" si="31"/>
        <v>company.com</v>
      </c>
      <c r="P249" t="str">
        <f t="shared" si="32"/>
        <v>company.com</v>
      </c>
      <c r="Q249">
        <f t="shared" si="33"/>
        <v>2019</v>
      </c>
      <c r="R249">
        <f t="shared" ca="1" si="34"/>
        <v>6</v>
      </c>
      <c r="S249" t="str">
        <f t="shared" si="35"/>
        <v>True</v>
      </c>
    </row>
    <row r="250" spans="1:19" x14ac:dyDescent="0.4">
      <c r="A250" s="2" t="s">
        <v>1002</v>
      </c>
      <c r="B250" s="2" t="s">
        <v>395</v>
      </c>
      <c r="C250" s="2" t="s">
        <v>53</v>
      </c>
      <c r="D250" s="2" t="s">
        <v>18</v>
      </c>
      <c r="E250" s="3">
        <v>43638</v>
      </c>
      <c r="F250" s="2" t="s">
        <v>396</v>
      </c>
      <c r="G250" s="2" t="s">
        <v>1003</v>
      </c>
      <c r="H250" s="2" t="s">
        <v>21</v>
      </c>
      <c r="I250" s="6" t="s">
        <v>2346</v>
      </c>
      <c r="J250" s="6" t="s">
        <v>2355</v>
      </c>
      <c r="K250" t="str">
        <f t="shared" si="27"/>
        <v>RIYA NAIR</v>
      </c>
      <c r="L250" t="str">
        <f t="shared" si="28"/>
        <v>Hr</v>
      </c>
      <c r="M250">
        <f t="shared" si="29"/>
        <v>9</v>
      </c>
      <c r="N250" t="str">
        <f t="shared" si="30"/>
        <v>Riya Nair-HR</v>
      </c>
      <c r="O250" t="str">
        <f t="shared" si="31"/>
        <v>company.com</v>
      </c>
      <c r="P250" t="str">
        <f t="shared" si="32"/>
        <v>company.com</v>
      </c>
      <c r="Q250">
        <f t="shared" si="33"/>
        <v>2019</v>
      </c>
      <c r="R250">
        <f t="shared" ca="1" si="34"/>
        <v>7</v>
      </c>
      <c r="S250" t="str">
        <f t="shared" si="35"/>
        <v>True</v>
      </c>
    </row>
    <row r="251" spans="1:19" x14ac:dyDescent="0.4">
      <c r="A251" s="2" t="s">
        <v>1024</v>
      </c>
      <c r="B251" s="2" t="s">
        <v>401</v>
      </c>
      <c r="C251" s="2" t="s">
        <v>10</v>
      </c>
      <c r="D251" s="2" t="s">
        <v>44</v>
      </c>
      <c r="E251" s="3">
        <v>43583</v>
      </c>
      <c r="F251" s="2" t="s">
        <v>402</v>
      </c>
      <c r="G251" s="2" t="s">
        <v>1025</v>
      </c>
      <c r="H251" s="2" t="s">
        <v>28</v>
      </c>
      <c r="I251" s="6" t="s">
        <v>2352</v>
      </c>
      <c r="J251" s="6" t="s">
        <v>2355</v>
      </c>
      <c r="K251" t="str">
        <f t="shared" si="27"/>
        <v>MEERA NAIR</v>
      </c>
      <c r="L251" t="str">
        <f t="shared" si="28"/>
        <v>It</v>
      </c>
      <c r="M251">
        <f t="shared" si="29"/>
        <v>10</v>
      </c>
      <c r="N251" t="str">
        <f t="shared" si="30"/>
        <v>Meera Nair-IT</v>
      </c>
      <c r="O251" t="str">
        <f t="shared" si="31"/>
        <v>company.com</v>
      </c>
      <c r="P251" t="str">
        <f t="shared" si="32"/>
        <v>company.com</v>
      </c>
      <c r="Q251">
        <f t="shared" si="33"/>
        <v>2019</v>
      </c>
      <c r="R251">
        <f t="shared" ca="1" si="34"/>
        <v>7</v>
      </c>
      <c r="S251" t="str">
        <f t="shared" si="35"/>
        <v>True</v>
      </c>
    </row>
    <row r="252" spans="1:19" x14ac:dyDescent="0.4">
      <c r="A252" s="2" t="s">
        <v>1048</v>
      </c>
      <c r="B252" s="2" t="s">
        <v>303</v>
      </c>
      <c r="C252" s="2" t="s">
        <v>10</v>
      </c>
      <c r="D252" s="2" t="s">
        <v>18</v>
      </c>
      <c r="E252" s="3">
        <v>43727</v>
      </c>
      <c r="F252" s="2" t="s">
        <v>304</v>
      </c>
      <c r="G252" s="2" t="s">
        <v>1049</v>
      </c>
      <c r="H252" s="2" t="s">
        <v>14</v>
      </c>
      <c r="I252" s="6" t="s">
        <v>2345</v>
      </c>
      <c r="J252" s="6" t="s">
        <v>2356</v>
      </c>
      <c r="K252" t="str">
        <f t="shared" si="27"/>
        <v>ISHA PATEL</v>
      </c>
      <c r="L252" t="str">
        <f t="shared" si="28"/>
        <v>It</v>
      </c>
      <c r="M252">
        <f t="shared" si="29"/>
        <v>10</v>
      </c>
      <c r="N252" t="str">
        <f t="shared" si="30"/>
        <v>Isha Patel-IT</v>
      </c>
      <c r="O252" t="str">
        <f t="shared" si="31"/>
        <v>company.com</v>
      </c>
      <c r="P252" t="str">
        <f t="shared" si="32"/>
        <v>company.com</v>
      </c>
      <c r="Q252">
        <f t="shared" si="33"/>
        <v>2019</v>
      </c>
      <c r="R252">
        <f t="shared" ca="1" si="34"/>
        <v>7</v>
      </c>
      <c r="S252" t="str">
        <f t="shared" si="35"/>
        <v>True</v>
      </c>
    </row>
    <row r="253" spans="1:19" x14ac:dyDescent="0.4">
      <c r="A253" s="2" t="s">
        <v>1050</v>
      </c>
      <c r="B253" s="2" t="s">
        <v>677</v>
      </c>
      <c r="C253" s="2" t="s">
        <v>31</v>
      </c>
      <c r="D253" s="2" t="s">
        <v>44</v>
      </c>
      <c r="E253" s="3">
        <v>43611</v>
      </c>
      <c r="F253" s="2" t="s">
        <v>678</v>
      </c>
      <c r="G253" s="2" t="s">
        <v>1051</v>
      </c>
      <c r="H253" s="2" t="s">
        <v>64</v>
      </c>
      <c r="I253" s="6" t="s">
        <v>2347</v>
      </c>
      <c r="J253" s="6" t="s">
        <v>2361</v>
      </c>
      <c r="K253" t="str">
        <f t="shared" si="27"/>
        <v>ARJUN KHAN</v>
      </c>
      <c r="L253" t="str">
        <f t="shared" si="28"/>
        <v>Finance</v>
      </c>
      <c r="M253">
        <f t="shared" si="29"/>
        <v>10</v>
      </c>
      <c r="N253" t="str">
        <f t="shared" si="30"/>
        <v>Arjun Khan-Finance</v>
      </c>
      <c r="O253" t="str">
        <f t="shared" si="31"/>
        <v>company.com</v>
      </c>
      <c r="P253" t="str">
        <f t="shared" si="32"/>
        <v>company.com</v>
      </c>
      <c r="Q253">
        <f t="shared" si="33"/>
        <v>2019</v>
      </c>
      <c r="R253">
        <f t="shared" ca="1" si="34"/>
        <v>7</v>
      </c>
      <c r="S253" t="str">
        <f t="shared" si="35"/>
        <v>True</v>
      </c>
    </row>
    <row r="254" spans="1:19" x14ac:dyDescent="0.4">
      <c r="A254" s="2" t="s">
        <v>1052</v>
      </c>
      <c r="B254" s="2" t="s">
        <v>651</v>
      </c>
      <c r="C254" s="2" t="s">
        <v>24</v>
      </c>
      <c r="D254" s="2" t="s">
        <v>25</v>
      </c>
      <c r="E254" s="3">
        <v>43609</v>
      </c>
      <c r="F254" s="2" t="s">
        <v>652</v>
      </c>
      <c r="G254" s="2" t="s">
        <v>1053</v>
      </c>
      <c r="H254" s="2" t="s">
        <v>64</v>
      </c>
      <c r="I254" s="6" t="s">
        <v>2349</v>
      </c>
      <c r="J254" s="6" t="s">
        <v>2355</v>
      </c>
      <c r="K254" t="str">
        <f t="shared" si="27"/>
        <v>AARAV NAIR</v>
      </c>
      <c r="L254" t="str">
        <f t="shared" si="28"/>
        <v>Marketing</v>
      </c>
      <c r="M254">
        <f t="shared" si="29"/>
        <v>10</v>
      </c>
      <c r="N254" t="str">
        <f t="shared" si="30"/>
        <v>Aarav Nair-Marketing</v>
      </c>
      <c r="O254" t="str">
        <f t="shared" si="31"/>
        <v>company.com</v>
      </c>
      <c r="P254" t="str">
        <f t="shared" si="32"/>
        <v>company.com</v>
      </c>
      <c r="Q254">
        <f t="shared" si="33"/>
        <v>2019</v>
      </c>
      <c r="R254">
        <f t="shared" ca="1" si="34"/>
        <v>7</v>
      </c>
      <c r="S254" t="str">
        <f t="shared" si="35"/>
        <v>True</v>
      </c>
    </row>
    <row r="255" spans="1:19" x14ac:dyDescent="0.4">
      <c r="A255" s="2" t="s">
        <v>1054</v>
      </c>
      <c r="B255" s="2" t="s">
        <v>449</v>
      </c>
      <c r="C255" s="2" t="s">
        <v>31</v>
      </c>
      <c r="D255" s="2" t="s">
        <v>49</v>
      </c>
      <c r="E255" s="3">
        <v>43531</v>
      </c>
      <c r="F255" s="2" t="s">
        <v>450</v>
      </c>
      <c r="G255" s="2" t="s">
        <v>1055</v>
      </c>
      <c r="H255" s="2" t="s">
        <v>14</v>
      </c>
      <c r="I255" s="6" t="s">
        <v>2347</v>
      </c>
      <c r="J255" s="6" t="s">
        <v>2354</v>
      </c>
      <c r="K255" t="str">
        <f t="shared" si="27"/>
        <v>ARJUN SINGH</v>
      </c>
      <c r="L255" t="str">
        <f t="shared" si="28"/>
        <v>Finance</v>
      </c>
      <c r="M255">
        <f t="shared" si="29"/>
        <v>11</v>
      </c>
      <c r="N255" t="str">
        <f t="shared" si="30"/>
        <v>Arjun Singh-Finance</v>
      </c>
      <c r="O255" t="str">
        <f t="shared" si="31"/>
        <v>company.com</v>
      </c>
      <c r="P255" t="str">
        <f t="shared" si="32"/>
        <v>company.com</v>
      </c>
      <c r="Q255">
        <f t="shared" si="33"/>
        <v>2019</v>
      </c>
      <c r="R255">
        <f t="shared" ca="1" si="34"/>
        <v>7</v>
      </c>
      <c r="S255" t="str">
        <f t="shared" si="35"/>
        <v>True</v>
      </c>
    </row>
    <row r="256" spans="1:19" x14ac:dyDescent="0.4">
      <c r="A256" s="2" t="s">
        <v>1064</v>
      </c>
      <c r="B256" s="2" t="s">
        <v>39</v>
      </c>
      <c r="C256" s="2" t="s">
        <v>31</v>
      </c>
      <c r="D256" s="2" t="s">
        <v>18</v>
      </c>
      <c r="E256" s="3">
        <v>43678</v>
      </c>
      <c r="F256" s="2" t="s">
        <v>40</v>
      </c>
      <c r="G256" s="2" t="s">
        <v>1065</v>
      </c>
      <c r="H256" s="2" t="s">
        <v>14</v>
      </c>
      <c r="I256" s="6" t="s">
        <v>2349</v>
      </c>
      <c r="J256" s="6" t="s">
        <v>2358</v>
      </c>
      <c r="K256" t="str">
        <f t="shared" si="27"/>
        <v>AARAV DAS</v>
      </c>
      <c r="L256" t="str">
        <f t="shared" si="28"/>
        <v>Finance</v>
      </c>
      <c r="M256">
        <f t="shared" si="29"/>
        <v>9</v>
      </c>
      <c r="N256" t="str">
        <f t="shared" si="30"/>
        <v>Aarav Das-Finance</v>
      </c>
      <c r="O256" t="str">
        <f t="shared" si="31"/>
        <v>company.com</v>
      </c>
      <c r="P256" t="str">
        <f t="shared" si="32"/>
        <v>company.com</v>
      </c>
      <c r="Q256">
        <f t="shared" si="33"/>
        <v>2019</v>
      </c>
      <c r="R256">
        <f t="shared" ca="1" si="34"/>
        <v>7</v>
      </c>
      <c r="S256" t="str">
        <f t="shared" si="35"/>
        <v>True</v>
      </c>
    </row>
    <row r="257" spans="1:19" x14ac:dyDescent="0.4">
      <c r="A257" s="2" t="s">
        <v>1080</v>
      </c>
      <c r="B257" s="2" t="s">
        <v>165</v>
      </c>
      <c r="C257" s="2" t="s">
        <v>17</v>
      </c>
      <c r="D257" s="2" t="s">
        <v>25</v>
      </c>
      <c r="E257" s="3">
        <v>43763</v>
      </c>
      <c r="F257" s="2" t="s">
        <v>166</v>
      </c>
      <c r="G257" s="2" t="s">
        <v>1081</v>
      </c>
      <c r="H257" s="2" t="s">
        <v>21</v>
      </c>
      <c r="I257" s="6" t="s">
        <v>2351</v>
      </c>
      <c r="J257" s="6" t="s">
        <v>2358</v>
      </c>
      <c r="K257" t="str">
        <f t="shared" si="27"/>
        <v>ADITYA DAS</v>
      </c>
      <c r="L257" t="str">
        <f t="shared" si="28"/>
        <v>Sales</v>
      </c>
      <c r="M257">
        <f t="shared" si="29"/>
        <v>10</v>
      </c>
      <c r="N257" t="str">
        <f t="shared" si="30"/>
        <v>Aditya Das-Sales</v>
      </c>
      <c r="O257" t="str">
        <f t="shared" si="31"/>
        <v>company.com</v>
      </c>
      <c r="P257" t="str">
        <f t="shared" si="32"/>
        <v>company.com</v>
      </c>
      <c r="Q257">
        <f t="shared" si="33"/>
        <v>2019</v>
      </c>
      <c r="R257">
        <f t="shared" ca="1" si="34"/>
        <v>6</v>
      </c>
      <c r="S257" t="str">
        <f t="shared" si="35"/>
        <v>True</v>
      </c>
    </row>
    <row r="258" spans="1:19" x14ac:dyDescent="0.4">
      <c r="A258" s="2" t="s">
        <v>1082</v>
      </c>
      <c r="B258" s="2" t="s">
        <v>30</v>
      </c>
      <c r="C258" s="2" t="s">
        <v>24</v>
      </c>
      <c r="D258" s="2" t="s">
        <v>49</v>
      </c>
      <c r="E258" s="3">
        <v>43566</v>
      </c>
      <c r="F258" s="2" t="s">
        <v>32</v>
      </c>
      <c r="G258" s="2" t="s">
        <v>1083</v>
      </c>
      <c r="H258" s="2" t="s">
        <v>55</v>
      </c>
      <c r="I258" s="6" t="s">
        <v>2348</v>
      </c>
      <c r="J258" s="6" t="s">
        <v>2359</v>
      </c>
      <c r="K258" t="str">
        <f t="shared" si="27"/>
        <v>ANANYA REDDY</v>
      </c>
      <c r="L258" t="str">
        <f t="shared" si="28"/>
        <v>Marketing</v>
      </c>
      <c r="M258">
        <f t="shared" si="29"/>
        <v>12</v>
      </c>
      <c r="N258" t="str">
        <f t="shared" si="30"/>
        <v>Ananya Reddy-Marketing</v>
      </c>
      <c r="O258" t="str">
        <f t="shared" si="31"/>
        <v>company.com</v>
      </c>
      <c r="P258" t="str">
        <f t="shared" si="32"/>
        <v>company.com</v>
      </c>
      <c r="Q258">
        <f t="shared" si="33"/>
        <v>2019</v>
      </c>
      <c r="R258">
        <f t="shared" ca="1" si="34"/>
        <v>7</v>
      </c>
      <c r="S258" t="str">
        <f t="shared" si="35"/>
        <v>True</v>
      </c>
    </row>
    <row r="259" spans="1:19" x14ac:dyDescent="0.4">
      <c r="A259" s="2" t="s">
        <v>1084</v>
      </c>
      <c r="B259" s="2" t="s">
        <v>271</v>
      </c>
      <c r="C259" s="2" t="s">
        <v>31</v>
      </c>
      <c r="D259" s="2" t="s">
        <v>25</v>
      </c>
      <c r="E259" s="3">
        <v>43621</v>
      </c>
      <c r="F259" s="2" t="s">
        <v>272</v>
      </c>
      <c r="G259" s="2" t="s">
        <v>1085</v>
      </c>
      <c r="H259" s="2" t="s">
        <v>14</v>
      </c>
      <c r="I259" s="6" t="s">
        <v>2347</v>
      </c>
      <c r="J259" s="6" t="s">
        <v>2357</v>
      </c>
      <c r="K259" t="str">
        <f t="shared" ref="K259:K322" si="36">UPPER(B259)</f>
        <v>ARJUN JOSHI</v>
      </c>
      <c r="L259" t="str">
        <f t="shared" ref="L259:L322" si="37">PROPER(C259)</f>
        <v>Finance</v>
      </c>
      <c r="M259">
        <f t="shared" ref="M259:M322" si="38">LEN(B259)</f>
        <v>11</v>
      </c>
      <c r="N259" t="str">
        <f t="shared" ref="N259:N322" si="39">_xlfn.CONCAT(B259,"-",C259)</f>
        <v>Arjun Joshi-Finance</v>
      </c>
      <c r="O259" t="str">
        <f t="shared" ref="O259:O322" si="40">RIGHT(F259,11)</f>
        <v>company.com</v>
      </c>
      <c r="P259" t="str">
        <f t="shared" ref="P259:P322" si="41">MID(F259,FIND("@",F259)+1,50)</f>
        <v>company.com</v>
      </c>
      <c r="Q259">
        <f t="shared" ref="Q259:Q322" si="42">YEAR(E259)</f>
        <v>2019</v>
      </c>
      <c r="R259">
        <f t="shared" ref="R259:R322" ca="1" si="43">DATEDIF(E259,TODAY(),"y")</f>
        <v>7</v>
      </c>
      <c r="S259" t="str">
        <f t="shared" ref="S259:S322" si="44">IF(YEAR(E259)&lt;2020,"True","False")</f>
        <v>True</v>
      </c>
    </row>
    <row r="260" spans="1:19" x14ac:dyDescent="0.4">
      <c r="A260" s="2" t="s">
        <v>1100</v>
      </c>
      <c r="B260" s="2" t="s">
        <v>78</v>
      </c>
      <c r="C260" s="2" t="s">
        <v>53</v>
      </c>
      <c r="D260" s="2" t="s">
        <v>11</v>
      </c>
      <c r="E260" s="3">
        <v>43753</v>
      </c>
      <c r="F260" s="2" t="s">
        <v>79</v>
      </c>
      <c r="G260" s="2" t="s">
        <v>1101</v>
      </c>
      <c r="H260" s="2" t="s">
        <v>64</v>
      </c>
      <c r="I260" s="6" t="s">
        <v>2348</v>
      </c>
      <c r="J260" s="6" t="s">
        <v>2356</v>
      </c>
      <c r="K260" t="str">
        <f t="shared" si="36"/>
        <v>ANANYA PATEL</v>
      </c>
      <c r="L260" t="str">
        <f t="shared" si="37"/>
        <v>Hr</v>
      </c>
      <c r="M260">
        <f t="shared" si="38"/>
        <v>12</v>
      </c>
      <c r="N260" t="str">
        <f t="shared" si="39"/>
        <v>Ananya Patel-HR</v>
      </c>
      <c r="O260" t="str">
        <f t="shared" si="40"/>
        <v>company.com</v>
      </c>
      <c r="P260" t="str">
        <f t="shared" si="41"/>
        <v>company.com</v>
      </c>
      <c r="Q260">
        <f t="shared" si="42"/>
        <v>2019</v>
      </c>
      <c r="R260">
        <f t="shared" ca="1" si="43"/>
        <v>7</v>
      </c>
      <c r="S260" t="str">
        <f t="shared" si="44"/>
        <v>True</v>
      </c>
    </row>
    <row r="261" spans="1:19" x14ac:dyDescent="0.4">
      <c r="A261" s="2" t="s">
        <v>1110</v>
      </c>
      <c r="B261" s="2" t="s">
        <v>359</v>
      </c>
      <c r="C261" s="2" t="s">
        <v>10</v>
      </c>
      <c r="D261" s="2" t="s">
        <v>25</v>
      </c>
      <c r="E261" s="3">
        <v>43765</v>
      </c>
      <c r="F261" s="2" t="s">
        <v>360</v>
      </c>
      <c r="G261" s="2" t="s">
        <v>1111</v>
      </c>
      <c r="H261" s="2" t="s">
        <v>55</v>
      </c>
      <c r="I261" s="6" t="s">
        <v>2347</v>
      </c>
      <c r="J261" s="6" t="s">
        <v>2355</v>
      </c>
      <c r="K261" t="str">
        <f t="shared" si="36"/>
        <v>ARJUN NAIR</v>
      </c>
      <c r="L261" t="str">
        <f t="shared" si="37"/>
        <v>It</v>
      </c>
      <c r="M261">
        <f t="shared" si="38"/>
        <v>10</v>
      </c>
      <c r="N261" t="str">
        <f t="shared" si="39"/>
        <v>Arjun Nair-IT</v>
      </c>
      <c r="O261" t="str">
        <f t="shared" si="40"/>
        <v>company.com</v>
      </c>
      <c r="P261" t="str">
        <f t="shared" si="41"/>
        <v>company.com</v>
      </c>
      <c r="Q261">
        <f t="shared" si="42"/>
        <v>2019</v>
      </c>
      <c r="R261">
        <f t="shared" ca="1" si="43"/>
        <v>6</v>
      </c>
      <c r="S261" t="str">
        <f t="shared" si="44"/>
        <v>True</v>
      </c>
    </row>
    <row r="262" spans="1:19" x14ac:dyDescent="0.4">
      <c r="A262" s="2" t="s">
        <v>1118</v>
      </c>
      <c r="B262" s="2" t="s">
        <v>1119</v>
      </c>
      <c r="C262" s="2" t="s">
        <v>53</v>
      </c>
      <c r="D262" s="2" t="s">
        <v>18</v>
      </c>
      <c r="E262" s="3">
        <v>43555</v>
      </c>
      <c r="F262" s="2" t="s">
        <v>1120</v>
      </c>
      <c r="G262" s="2" t="s">
        <v>1121</v>
      </c>
      <c r="H262" s="2" t="s">
        <v>64</v>
      </c>
      <c r="I262" s="6" t="s">
        <v>2345</v>
      </c>
      <c r="J262" s="6" t="s">
        <v>2357</v>
      </c>
      <c r="K262" t="str">
        <f t="shared" si="36"/>
        <v>ISHA JOSHI</v>
      </c>
      <c r="L262" t="str">
        <f t="shared" si="37"/>
        <v>Hr</v>
      </c>
      <c r="M262">
        <f t="shared" si="38"/>
        <v>10</v>
      </c>
      <c r="N262" t="str">
        <f t="shared" si="39"/>
        <v>Isha Joshi-HR</v>
      </c>
      <c r="O262" t="str">
        <f t="shared" si="40"/>
        <v>company.com</v>
      </c>
      <c r="P262" t="str">
        <f t="shared" si="41"/>
        <v>company.com</v>
      </c>
      <c r="Q262">
        <f t="shared" si="42"/>
        <v>2019</v>
      </c>
      <c r="R262">
        <f t="shared" ca="1" si="43"/>
        <v>7</v>
      </c>
      <c r="S262" t="str">
        <f t="shared" si="44"/>
        <v>True</v>
      </c>
    </row>
    <row r="263" spans="1:19" x14ac:dyDescent="0.4">
      <c r="A263" s="2" t="s">
        <v>1146</v>
      </c>
      <c r="B263" s="2" t="s">
        <v>473</v>
      </c>
      <c r="C263" s="2" t="s">
        <v>10</v>
      </c>
      <c r="D263" s="2" t="s">
        <v>44</v>
      </c>
      <c r="E263" s="3">
        <v>43628</v>
      </c>
      <c r="F263" s="2" t="s">
        <v>474</v>
      </c>
      <c r="G263" s="2" t="s">
        <v>1147</v>
      </c>
      <c r="H263" s="2" t="s">
        <v>14</v>
      </c>
      <c r="I263" s="6" t="s">
        <v>2352</v>
      </c>
      <c r="J263" s="6" t="s">
        <v>2361</v>
      </c>
      <c r="K263" t="str">
        <f t="shared" si="36"/>
        <v>MEERA KHAN</v>
      </c>
      <c r="L263" t="str">
        <f t="shared" si="37"/>
        <v>It</v>
      </c>
      <c r="M263">
        <f t="shared" si="38"/>
        <v>10</v>
      </c>
      <c r="N263" t="str">
        <f t="shared" si="39"/>
        <v>Meera Khan-IT</v>
      </c>
      <c r="O263" t="str">
        <f t="shared" si="40"/>
        <v>company.com</v>
      </c>
      <c r="P263" t="str">
        <f t="shared" si="41"/>
        <v>company.com</v>
      </c>
      <c r="Q263">
        <f t="shared" si="42"/>
        <v>2019</v>
      </c>
      <c r="R263">
        <f t="shared" ca="1" si="43"/>
        <v>7</v>
      </c>
      <c r="S263" t="str">
        <f t="shared" si="44"/>
        <v>True</v>
      </c>
    </row>
    <row r="264" spans="1:19" x14ac:dyDescent="0.4">
      <c r="A264" s="2" t="s">
        <v>1162</v>
      </c>
      <c r="B264" s="2" t="s">
        <v>165</v>
      </c>
      <c r="C264" s="2" t="s">
        <v>87</v>
      </c>
      <c r="D264" s="2" t="s">
        <v>49</v>
      </c>
      <c r="E264" s="3">
        <v>43775</v>
      </c>
      <c r="F264" s="2" t="s">
        <v>166</v>
      </c>
      <c r="G264" s="2" t="s">
        <v>1163</v>
      </c>
      <c r="H264" s="2" t="s">
        <v>14</v>
      </c>
      <c r="I264" s="6" t="s">
        <v>2351</v>
      </c>
      <c r="J264" s="6" t="s">
        <v>2358</v>
      </c>
      <c r="K264" t="str">
        <f t="shared" si="36"/>
        <v>ADITYA DAS</v>
      </c>
      <c r="L264" t="str">
        <f t="shared" si="37"/>
        <v>Operations</v>
      </c>
      <c r="M264">
        <f t="shared" si="38"/>
        <v>10</v>
      </c>
      <c r="N264" t="str">
        <f t="shared" si="39"/>
        <v>Aditya Das-Operations</v>
      </c>
      <c r="O264" t="str">
        <f t="shared" si="40"/>
        <v>company.com</v>
      </c>
      <c r="P264" t="str">
        <f t="shared" si="41"/>
        <v>company.com</v>
      </c>
      <c r="Q264">
        <f t="shared" si="42"/>
        <v>2019</v>
      </c>
      <c r="R264">
        <f t="shared" ca="1" si="43"/>
        <v>6</v>
      </c>
      <c r="S264" t="str">
        <f t="shared" si="44"/>
        <v>True</v>
      </c>
    </row>
    <row r="265" spans="1:19" x14ac:dyDescent="0.4">
      <c r="A265" s="2" t="s">
        <v>1164</v>
      </c>
      <c r="B265" s="2" t="s">
        <v>187</v>
      </c>
      <c r="C265" s="2" t="s">
        <v>10</v>
      </c>
      <c r="D265" s="2" t="s">
        <v>18</v>
      </c>
      <c r="E265" s="3">
        <v>43589</v>
      </c>
      <c r="F265" s="2" t="s">
        <v>188</v>
      </c>
      <c r="G265" s="2" t="s">
        <v>1165</v>
      </c>
      <c r="H265" s="2" t="s">
        <v>21</v>
      </c>
      <c r="I265" s="6" t="s">
        <v>2349</v>
      </c>
      <c r="J265" s="6" t="s">
        <v>2359</v>
      </c>
      <c r="K265" t="str">
        <f t="shared" si="36"/>
        <v>AARAV REDDY</v>
      </c>
      <c r="L265" t="str">
        <f t="shared" si="37"/>
        <v>It</v>
      </c>
      <c r="M265">
        <f t="shared" si="38"/>
        <v>11</v>
      </c>
      <c r="N265" t="str">
        <f t="shared" si="39"/>
        <v>Aarav Reddy-IT</v>
      </c>
      <c r="O265" t="str">
        <f t="shared" si="40"/>
        <v>company.com</v>
      </c>
      <c r="P265" t="str">
        <f t="shared" si="41"/>
        <v>company.com</v>
      </c>
      <c r="Q265">
        <f t="shared" si="42"/>
        <v>2019</v>
      </c>
      <c r="R265">
        <f t="shared" ca="1" si="43"/>
        <v>7</v>
      </c>
      <c r="S265" t="str">
        <f t="shared" si="44"/>
        <v>True</v>
      </c>
    </row>
    <row r="266" spans="1:19" x14ac:dyDescent="0.4">
      <c r="A266" s="2" t="s">
        <v>1166</v>
      </c>
      <c r="B266" s="2" t="s">
        <v>411</v>
      </c>
      <c r="C266" s="2" t="s">
        <v>10</v>
      </c>
      <c r="D266" s="2" t="s">
        <v>49</v>
      </c>
      <c r="E266" s="3">
        <v>43540</v>
      </c>
      <c r="F266" s="2" t="s">
        <v>412</v>
      </c>
      <c r="G266" s="2" t="s">
        <v>1167</v>
      </c>
      <c r="H266" s="2" t="s">
        <v>21</v>
      </c>
      <c r="I266" s="6" t="s">
        <v>2349</v>
      </c>
      <c r="J266" s="6" t="s">
        <v>2357</v>
      </c>
      <c r="K266" t="str">
        <f t="shared" si="36"/>
        <v>AARAV JOSHI</v>
      </c>
      <c r="L266" t="str">
        <f t="shared" si="37"/>
        <v>It</v>
      </c>
      <c r="M266">
        <f t="shared" si="38"/>
        <v>11</v>
      </c>
      <c r="N266" t="str">
        <f t="shared" si="39"/>
        <v>Aarav Joshi-IT</v>
      </c>
      <c r="O266" t="str">
        <f t="shared" si="40"/>
        <v>company.com</v>
      </c>
      <c r="P266" t="str">
        <f t="shared" si="41"/>
        <v>company.com</v>
      </c>
      <c r="Q266">
        <f t="shared" si="42"/>
        <v>2019</v>
      </c>
      <c r="R266">
        <f t="shared" ca="1" si="43"/>
        <v>7</v>
      </c>
      <c r="S266" t="str">
        <f t="shared" si="44"/>
        <v>True</v>
      </c>
    </row>
    <row r="267" spans="1:19" x14ac:dyDescent="0.4">
      <c r="A267" s="2" t="s">
        <v>1168</v>
      </c>
      <c r="B267" s="2" t="s">
        <v>86</v>
      </c>
      <c r="C267" s="2" t="s">
        <v>31</v>
      </c>
      <c r="D267" s="2" t="s">
        <v>44</v>
      </c>
      <c r="E267" s="3">
        <v>43515</v>
      </c>
      <c r="F267" s="2" t="s">
        <v>88</v>
      </c>
      <c r="G267" s="2" t="s">
        <v>1169</v>
      </c>
      <c r="H267" s="2" t="s">
        <v>55</v>
      </c>
      <c r="I267" s="6" t="s">
        <v>2344</v>
      </c>
      <c r="J267" s="6" t="s">
        <v>2354</v>
      </c>
      <c r="K267" t="str">
        <f t="shared" si="36"/>
        <v>KABIR SINGH</v>
      </c>
      <c r="L267" t="str">
        <f t="shared" si="37"/>
        <v>Finance</v>
      </c>
      <c r="M267">
        <f t="shared" si="38"/>
        <v>11</v>
      </c>
      <c r="N267" t="str">
        <f t="shared" si="39"/>
        <v>Kabir Singh-Finance</v>
      </c>
      <c r="O267" t="str">
        <f t="shared" si="40"/>
        <v>company.com</v>
      </c>
      <c r="P267" t="str">
        <f t="shared" si="41"/>
        <v>company.com</v>
      </c>
      <c r="Q267">
        <f t="shared" si="42"/>
        <v>2019</v>
      </c>
      <c r="R267">
        <f t="shared" ca="1" si="43"/>
        <v>7</v>
      </c>
      <c r="S267" t="str">
        <f t="shared" si="44"/>
        <v>True</v>
      </c>
    </row>
    <row r="268" spans="1:19" x14ac:dyDescent="0.4">
      <c r="A268" s="2" t="s">
        <v>1176</v>
      </c>
      <c r="B268" s="2" t="s">
        <v>1177</v>
      </c>
      <c r="C268" s="2" t="s">
        <v>17</v>
      </c>
      <c r="D268" s="2" t="s">
        <v>49</v>
      </c>
      <c r="E268" s="3">
        <v>43592</v>
      </c>
      <c r="F268" s="2" t="s">
        <v>1178</v>
      </c>
      <c r="G268" s="2" t="s">
        <v>1179</v>
      </c>
      <c r="H268" s="2" t="s">
        <v>21</v>
      </c>
      <c r="I268" s="6" t="s">
        <v>2346</v>
      </c>
      <c r="J268" s="6" t="s">
        <v>2359</v>
      </c>
      <c r="K268" t="str">
        <f t="shared" si="36"/>
        <v>RIYA REDDY</v>
      </c>
      <c r="L268" t="str">
        <f t="shared" si="37"/>
        <v>Sales</v>
      </c>
      <c r="M268">
        <f t="shared" si="38"/>
        <v>10</v>
      </c>
      <c r="N268" t="str">
        <f t="shared" si="39"/>
        <v>Riya Reddy-Sales</v>
      </c>
      <c r="O268" t="str">
        <f t="shared" si="40"/>
        <v>company.com</v>
      </c>
      <c r="P268" t="str">
        <f t="shared" si="41"/>
        <v>company.com</v>
      </c>
      <c r="Q268">
        <f t="shared" si="42"/>
        <v>2019</v>
      </c>
      <c r="R268">
        <f t="shared" ca="1" si="43"/>
        <v>7</v>
      </c>
      <c r="S268" t="str">
        <f t="shared" si="44"/>
        <v>True</v>
      </c>
    </row>
    <row r="269" spans="1:19" x14ac:dyDescent="0.4">
      <c r="A269" s="2" t="s">
        <v>1190</v>
      </c>
      <c r="B269" s="2" t="s">
        <v>255</v>
      </c>
      <c r="C269" s="2" t="s">
        <v>53</v>
      </c>
      <c r="D269" s="2" t="s">
        <v>11</v>
      </c>
      <c r="E269" s="3">
        <v>43649</v>
      </c>
      <c r="F269" s="2" t="s">
        <v>256</v>
      </c>
      <c r="G269" s="2" t="s">
        <v>1191</v>
      </c>
      <c r="H269" s="2" t="s">
        <v>14</v>
      </c>
      <c r="I269" s="6" t="s">
        <v>2346</v>
      </c>
      <c r="J269" s="6" t="s">
        <v>2354</v>
      </c>
      <c r="K269" t="str">
        <f t="shared" si="36"/>
        <v>RIYA SINGH</v>
      </c>
      <c r="L269" t="str">
        <f t="shared" si="37"/>
        <v>Hr</v>
      </c>
      <c r="M269">
        <f t="shared" si="38"/>
        <v>10</v>
      </c>
      <c r="N269" t="str">
        <f t="shared" si="39"/>
        <v>Riya Singh-HR</v>
      </c>
      <c r="O269" t="str">
        <f t="shared" si="40"/>
        <v>company.com</v>
      </c>
      <c r="P269" t="str">
        <f t="shared" si="41"/>
        <v>company.com</v>
      </c>
      <c r="Q269">
        <f t="shared" si="42"/>
        <v>2019</v>
      </c>
      <c r="R269">
        <f t="shared" ca="1" si="43"/>
        <v>7</v>
      </c>
      <c r="S269" t="str">
        <f t="shared" si="44"/>
        <v>True</v>
      </c>
    </row>
    <row r="270" spans="1:19" x14ac:dyDescent="0.4">
      <c r="A270" s="2" t="s">
        <v>15</v>
      </c>
      <c r="B270" s="2" t="s">
        <v>16</v>
      </c>
      <c r="C270" s="2" t="s">
        <v>17</v>
      </c>
      <c r="D270" s="2" t="s">
        <v>18</v>
      </c>
      <c r="E270" s="3">
        <v>43336</v>
      </c>
      <c r="F270" s="2" t="s">
        <v>19</v>
      </c>
      <c r="G270" s="2" t="s">
        <v>20</v>
      </c>
      <c r="H270" s="2" t="s">
        <v>21</v>
      </c>
      <c r="I270" s="6" t="s">
        <v>2352</v>
      </c>
      <c r="J270" s="6" t="s">
        <v>2359</v>
      </c>
      <c r="K270" t="str">
        <f t="shared" si="36"/>
        <v>MEERA REDDY</v>
      </c>
      <c r="L270" t="str">
        <f t="shared" si="37"/>
        <v>Sales</v>
      </c>
      <c r="M270">
        <f t="shared" si="38"/>
        <v>11</v>
      </c>
      <c r="N270" t="str">
        <f t="shared" si="39"/>
        <v>Meera Reddy-Sales</v>
      </c>
      <c r="O270" t="str">
        <f t="shared" si="40"/>
        <v>company.com</v>
      </c>
      <c r="P270" t="str">
        <f t="shared" si="41"/>
        <v>company.com</v>
      </c>
      <c r="Q270">
        <f t="shared" si="42"/>
        <v>2018</v>
      </c>
      <c r="R270">
        <f t="shared" ca="1" si="43"/>
        <v>8</v>
      </c>
      <c r="S270" t="str">
        <f t="shared" si="44"/>
        <v>True</v>
      </c>
    </row>
    <row r="271" spans="1:19" x14ac:dyDescent="0.4">
      <c r="A271" s="2" t="s">
        <v>52</v>
      </c>
      <c r="B271" s="2" t="s">
        <v>23</v>
      </c>
      <c r="C271" s="2" t="s">
        <v>53</v>
      </c>
      <c r="D271" s="2" t="s">
        <v>44</v>
      </c>
      <c r="E271" s="3">
        <v>43197</v>
      </c>
      <c r="F271" s="2" t="s">
        <v>26</v>
      </c>
      <c r="G271" s="2" t="s">
        <v>54</v>
      </c>
      <c r="H271" s="2" t="s">
        <v>55</v>
      </c>
      <c r="I271" s="6" t="s">
        <v>2350</v>
      </c>
      <c r="J271" s="6" t="s">
        <v>2362</v>
      </c>
      <c r="K271" t="str">
        <f t="shared" si="36"/>
        <v>VIVAAN MEHTA</v>
      </c>
      <c r="L271" t="str">
        <f t="shared" si="37"/>
        <v>Hr</v>
      </c>
      <c r="M271">
        <f t="shared" si="38"/>
        <v>12</v>
      </c>
      <c r="N271" t="str">
        <f t="shared" si="39"/>
        <v>Vivaan Mehta-HR</v>
      </c>
      <c r="O271" t="str">
        <f t="shared" si="40"/>
        <v>company.com</v>
      </c>
      <c r="P271" t="str">
        <f t="shared" si="41"/>
        <v>company.com</v>
      </c>
      <c r="Q271">
        <f t="shared" si="42"/>
        <v>2018</v>
      </c>
      <c r="R271">
        <f t="shared" ca="1" si="43"/>
        <v>8</v>
      </c>
      <c r="S271" t="str">
        <f t="shared" si="44"/>
        <v>True</v>
      </c>
    </row>
    <row r="272" spans="1:19" x14ac:dyDescent="0.4">
      <c r="A272" s="2" t="s">
        <v>60</v>
      </c>
      <c r="B272" s="2" t="s">
        <v>61</v>
      </c>
      <c r="C272" s="2" t="s">
        <v>10</v>
      </c>
      <c r="D272" s="2" t="s">
        <v>44</v>
      </c>
      <c r="E272" s="3">
        <v>43345</v>
      </c>
      <c r="F272" s="2" t="s">
        <v>62</v>
      </c>
      <c r="G272" s="2" t="s">
        <v>63</v>
      </c>
      <c r="H272" s="2" t="s">
        <v>64</v>
      </c>
      <c r="I272" s="6" t="s">
        <v>2348</v>
      </c>
      <c r="J272" s="6" t="s">
        <v>2357</v>
      </c>
      <c r="K272" t="str">
        <f t="shared" si="36"/>
        <v>ANANYA JOSHI</v>
      </c>
      <c r="L272" t="str">
        <f t="shared" si="37"/>
        <v>It</v>
      </c>
      <c r="M272">
        <f t="shared" si="38"/>
        <v>12</v>
      </c>
      <c r="N272" t="str">
        <f t="shared" si="39"/>
        <v>Ananya Joshi-IT</v>
      </c>
      <c r="O272" t="str">
        <f t="shared" si="40"/>
        <v>company.com</v>
      </c>
      <c r="P272" t="str">
        <f t="shared" si="41"/>
        <v>company.com</v>
      </c>
      <c r="Q272">
        <f t="shared" si="42"/>
        <v>2018</v>
      </c>
      <c r="R272">
        <f t="shared" ca="1" si="43"/>
        <v>8</v>
      </c>
      <c r="S272" t="str">
        <f t="shared" si="44"/>
        <v>True</v>
      </c>
    </row>
    <row r="273" spans="1:19" x14ac:dyDescent="0.4">
      <c r="A273" s="2" t="s">
        <v>124</v>
      </c>
      <c r="B273" s="2" t="s">
        <v>125</v>
      </c>
      <c r="C273" s="2" t="s">
        <v>31</v>
      </c>
      <c r="D273" s="2" t="s">
        <v>18</v>
      </c>
      <c r="E273" s="3">
        <v>43115</v>
      </c>
      <c r="F273" s="2" t="s">
        <v>126</v>
      </c>
      <c r="G273" s="2" t="s">
        <v>127</v>
      </c>
      <c r="H273" s="2" t="s">
        <v>21</v>
      </c>
      <c r="I273" s="6" t="s">
        <v>2346</v>
      </c>
      <c r="J273" s="6" t="s">
        <v>2360</v>
      </c>
      <c r="K273" t="str">
        <f t="shared" si="36"/>
        <v>RIYA SHARMA</v>
      </c>
      <c r="L273" t="str">
        <f t="shared" si="37"/>
        <v>Finance</v>
      </c>
      <c r="M273">
        <f t="shared" si="38"/>
        <v>11</v>
      </c>
      <c r="N273" t="str">
        <f t="shared" si="39"/>
        <v>Riya Sharma-Finance</v>
      </c>
      <c r="O273" t="str">
        <f t="shared" si="40"/>
        <v>company.com</v>
      </c>
      <c r="P273" t="str">
        <f t="shared" si="41"/>
        <v>company.com</v>
      </c>
      <c r="Q273">
        <f t="shared" si="42"/>
        <v>2018</v>
      </c>
      <c r="R273">
        <f t="shared" ca="1" si="43"/>
        <v>8</v>
      </c>
      <c r="S273" t="str">
        <f t="shared" si="44"/>
        <v>True</v>
      </c>
    </row>
    <row r="274" spans="1:19" x14ac:dyDescent="0.4">
      <c r="A274" s="2" t="s">
        <v>172</v>
      </c>
      <c r="B274" s="2" t="s">
        <v>70</v>
      </c>
      <c r="C274" s="2" t="s">
        <v>53</v>
      </c>
      <c r="D274" s="2" t="s">
        <v>25</v>
      </c>
      <c r="E274" s="3">
        <v>43439</v>
      </c>
      <c r="F274" s="2" t="s">
        <v>71</v>
      </c>
      <c r="G274" s="2" t="s">
        <v>173</v>
      </c>
      <c r="H274" s="2" t="s">
        <v>21</v>
      </c>
      <c r="I274" s="6" t="s">
        <v>2350</v>
      </c>
      <c r="J274" s="6" t="s">
        <v>2361</v>
      </c>
      <c r="K274" t="str">
        <f t="shared" si="36"/>
        <v>VIVAAN KHAN</v>
      </c>
      <c r="L274" t="str">
        <f t="shared" si="37"/>
        <v>Hr</v>
      </c>
      <c r="M274">
        <f t="shared" si="38"/>
        <v>11</v>
      </c>
      <c r="N274" t="str">
        <f t="shared" si="39"/>
        <v>Vivaan Khan-HR</v>
      </c>
      <c r="O274" t="str">
        <f t="shared" si="40"/>
        <v>company.com</v>
      </c>
      <c r="P274" t="str">
        <f t="shared" si="41"/>
        <v>company.com</v>
      </c>
      <c r="Q274">
        <f t="shared" si="42"/>
        <v>2018</v>
      </c>
      <c r="R274">
        <f t="shared" ca="1" si="43"/>
        <v>7</v>
      </c>
      <c r="S274" t="str">
        <f t="shared" si="44"/>
        <v>True</v>
      </c>
    </row>
    <row r="275" spans="1:19" x14ac:dyDescent="0.4">
      <c r="A275" s="2" t="s">
        <v>174</v>
      </c>
      <c r="B275" s="2" t="s">
        <v>66</v>
      </c>
      <c r="C275" s="2" t="s">
        <v>31</v>
      </c>
      <c r="D275" s="2" t="s">
        <v>49</v>
      </c>
      <c r="E275" s="3">
        <v>43424</v>
      </c>
      <c r="F275" s="2" t="s">
        <v>67</v>
      </c>
      <c r="G275" s="2" t="s">
        <v>175</v>
      </c>
      <c r="H275" s="2" t="s">
        <v>64</v>
      </c>
      <c r="I275" s="6" t="s">
        <v>2349</v>
      </c>
      <c r="J275" s="6" t="s">
        <v>2361</v>
      </c>
      <c r="K275" t="str">
        <f t="shared" si="36"/>
        <v>AARAV KHAN</v>
      </c>
      <c r="L275" t="str">
        <f t="shared" si="37"/>
        <v>Finance</v>
      </c>
      <c r="M275">
        <f t="shared" si="38"/>
        <v>10</v>
      </c>
      <c r="N275" t="str">
        <f t="shared" si="39"/>
        <v>Aarav Khan-Finance</v>
      </c>
      <c r="O275" t="str">
        <f t="shared" si="40"/>
        <v>company.com</v>
      </c>
      <c r="P275" t="str">
        <f t="shared" si="41"/>
        <v>company.com</v>
      </c>
      <c r="Q275">
        <f t="shared" si="42"/>
        <v>2018</v>
      </c>
      <c r="R275">
        <f t="shared" ca="1" si="43"/>
        <v>7</v>
      </c>
      <c r="S275" t="str">
        <f t="shared" si="44"/>
        <v>True</v>
      </c>
    </row>
    <row r="276" spans="1:19" x14ac:dyDescent="0.4">
      <c r="A276" s="2" t="s">
        <v>184</v>
      </c>
      <c r="B276" s="2" t="s">
        <v>95</v>
      </c>
      <c r="C276" s="2" t="s">
        <v>31</v>
      </c>
      <c r="D276" s="2" t="s">
        <v>25</v>
      </c>
      <c r="E276" s="3">
        <v>43234</v>
      </c>
      <c r="F276" s="2" t="s">
        <v>96</v>
      </c>
      <c r="G276" s="2" t="s">
        <v>185</v>
      </c>
      <c r="H276" s="2" t="s">
        <v>64</v>
      </c>
      <c r="I276" s="6" t="s">
        <v>2352</v>
      </c>
      <c r="J276" s="6" t="s">
        <v>2360</v>
      </c>
      <c r="K276" t="str">
        <f t="shared" si="36"/>
        <v>MEERA SHARMA</v>
      </c>
      <c r="L276" t="str">
        <f t="shared" si="37"/>
        <v>Finance</v>
      </c>
      <c r="M276">
        <f t="shared" si="38"/>
        <v>12</v>
      </c>
      <c r="N276" t="str">
        <f t="shared" si="39"/>
        <v>Meera Sharma-Finance</v>
      </c>
      <c r="O276" t="str">
        <f t="shared" si="40"/>
        <v>company.com</v>
      </c>
      <c r="P276" t="str">
        <f t="shared" si="41"/>
        <v>company.com</v>
      </c>
      <c r="Q276">
        <f t="shared" si="42"/>
        <v>2018</v>
      </c>
      <c r="R276">
        <f t="shared" ca="1" si="43"/>
        <v>8</v>
      </c>
      <c r="S276" t="str">
        <f t="shared" si="44"/>
        <v>True</v>
      </c>
    </row>
    <row r="277" spans="1:19" x14ac:dyDescent="0.4">
      <c r="A277" s="2" t="s">
        <v>194</v>
      </c>
      <c r="B277" s="2" t="s">
        <v>195</v>
      </c>
      <c r="C277" s="2" t="s">
        <v>31</v>
      </c>
      <c r="D277" s="2" t="s">
        <v>11</v>
      </c>
      <c r="E277" s="3">
        <v>43363</v>
      </c>
      <c r="F277" s="2" t="s">
        <v>196</v>
      </c>
      <c r="G277" s="2" t="s">
        <v>197</v>
      </c>
      <c r="H277" s="2" t="s">
        <v>28</v>
      </c>
      <c r="I277" s="6" t="s">
        <v>2348</v>
      </c>
      <c r="J277" s="6" t="s">
        <v>2358</v>
      </c>
      <c r="K277" t="str">
        <f t="shared" si="36"/>
        <v>ANANYA DAS</v>
      </c>
      <c r="L277" t="str">
        <f t="shared" si="37"/>
        <v>Finance</v>
      </c>
      <c r="M277">
        <f t="shared" si="38"/>
        <v>10</v>
      </c>
      <c r="N277" t="str">
        <f t="shared" si="39"/>
        <v>Ananya Das-Finance</v>
      </c>
      <c r="O277" t="str">
        <f t="shared" si="40"/>
        <v>company.com</v>
      </c>
      <c r="P277" t="str">
        <f t="shared" si="41"/>
        <v>company.com</v>
      </c>
      <c r="Q277">
        <f t="shared" si="42"/>
        <v>2018</v>
      </c>
      <c r="R277">
        <f t="shared" ca="1" si="43"/>
        <v>8</v>
      </c>
      <c r="S277" t="str">
        <f t="shared" si="44"/>
        <v>True</v>
      </c>
    </row>
    <row r="278" spans="1:19" x14ac:dyDescent="0.4">
      <c r="A278" s="2" t="s">
        <v>212</v>
      </c>
      <c r="B278" s="2" t="s">
        <v>213</v>
      </c>
      <c r="C278" s="2" t="s">
        <v>17</v>
      </c>
      <c r="D278" s="2" t="s">
        <v>11</v>
      </c>
      <c r="E278" s="3">
        <v>43287</v>
      </c>
      <c r="F278" s="2" t="s">
        <v>214</v>
      </c>
      <c r="G278" s="2" t="s">
        <v>215</v>
      </c>
      <c r="H278" s="2" t="s">
        <v>21</v>
      </c>
      <c r="I278" s="6" t="s">
        <v>2350</v>
      </c>
      <c r="J278" s="6" t="s">
        <v>2356</v>
      </c>
      <c r="K278" t="str">
        <f t="shared" si="36"/>
        <v>VIVAAN PATEL</v>
      </c>
      <c r="L278" t="str">
        <f t="shared" si="37"/>
        <v>Sales</v>
      </c>
      <c r="M278">
        <f t="shared" si="38"/>
        <v>12</v>
      </c>
      <c r="N278" t="str">
        <f t="shared" si="39"/>
        <v>Vivaan Patel-Sales</v>
      </c>
      <c r="O278" t="str">
        <f t="shared" si="40"/>
        <v>company.com</v>
      </c>
      <c r="P278" t="str">
        <f t="shared" si="41"/>
        <v>company.com</v>
      </c>
      <c r="Q278">
        <f t="shared" si="42"/>
        <v>2018</v>
      </c>
      <c r="R278">
        <f t="shared" ca="1" si="43"/>
        <v>8</v>
      </c>
      <c r="S278" t="str">
        <f t="shared" si="44"/>
        <v>True</v>
      </c>
    </row>
    <row r="279" spans="1:19" x14ac:dyDescent="0.4">
      <c r="A279" s="2" t="s">
        <v>220</v>
      </c>
      <c r="B279" s="2" t="s">
        <v>221</v>
      </c>
      <c r="C279" s="2" t="s">
        <v>53</v>
      </c>
      <c r="D279" s="2" t="s">
        <v>25</v>
      </c>
      <c r="E279" s="3">
        <v>43313</v>
      </c>
      <c r="F279" s="2" t="s">
        <v>222</v>
      </c>
      <c r="G279" s="2" t="s">
        <v>223</v>
      </c>
      <c r="H279" s="2" t="s">
        <v>14</v>
      </c>
      <c r="I279" s="6" t="s">
        <v>2345</v>
      </c>
      <c r="J279" s="6" t="s">
        <v>2359</v>
      </c>
      <c r="K279" t="str">
        <f t="shared" si="36"/>
        <v>ISHA REDDY</v>
      </c>
      <c r="L279" t="str">
        <f t="shared" si="37"/>
        <v>Hr</v>
      </c>
      <c r="M279">
        <f t="shared" si="38"/>
        <v>10</v>
      </c>
      <c r="N279" t="str">
        <f t="shared" si="39"/>
        <v>Isha Reddy-HR</v>
      </c>
      <c r="O279" t="str">
        <f t="shared" si="40"/>
        <v>company.com</v>
      </c>
      <c r="P279" t="str">
        <f t="shared" si="41"/>
        <v>company.com</v>
      </c>
      <c r="Q279">
        <f t="shared" si="42"/>
        <v>2018</v>
      </c>
      <c r="R279">
        <f t="shared" ca="1" si="43"/>
        <v>8</v>
      </c>
      <c r="S279" t="str">
        <f t="shared" si="44"/>
        <v>True</v>
      </c>
    </row>
    <row r="280" spans="1:19" x14ac:dyDescent="0.4">
      <c r="A280" s="2" t="s">
        <v>238</v>
      </c>
      <c r="B280" s="2" t="s">
        <v>239</v>
      </c>
      <c r="C280" s="2" t="s">
        <v>53</v>
      </c>
      <c r="D280" s="2" t="s">
        <v>49</v>
      </c>
      <c r="E280" s="3">
        <v>43409</v>
      </c>
      <c r="F280" s="2" t="s">
        <v>240</v>
      </c>
      <c r="G280" s="2" t="s">
        <v>241</v>
      </c>
      <c r="H280" s="2" t="s">
        <v>28</v>
      </c>
      <c r="I280" s="6" t="s">
        <v>2350</v>
      </c>
      <c r="J280" s="6" t="s">
        <v>2354</v>
      </c>
      <c r="K280" t="str">
        <f t="shared" si="36"/>
        <v>VIVAAN SINGH</v>
      </c>
      <c r="L280" t="str">
        <f t="shared" si="37"/>
        <v>Hr</v>
      </c>
      <c r="M280">
        <f t="shared" si="38"/>
        <v>12</v>
      </c>
      <c r="N280" t="str">
        <f t="shared" si="39"/>
        <v>Vivaan Singh-HR</v>
      </c>
      <c r="O280" t="str">
        <f t="shared" si="40"/>
        <v>company.com</v>
      </c>
      <c r="P280" t="str">
        <f t="shared" si="41"/>
        <v>company.com</v>
      </c>
      <c r="Q280">
        <f t="shared" si="42"/>
        <v>2018</v>
      </c>
      <c r="R280">
        <f t="shared" ca="1" si="43"/>
        <v>7</v>
      </c>
      <c r="S280" t="str">
        <f t="shared" si="44"/>
        <v>True</v>
      </c>
    </row>
    <row r="281" spans="1:19" x14ac:dyDescent="0.4">
      <c r="A281" s="2" t="s">
        <v>242</v>
      </c>
      <c r="B281" s="2" t="s">
        <v>157</v>
      </c>
      <c r="C281" s="2" t="s">
        <v>10</v>
      </c>
      <c r="D281" s="2" t="s">
        <v>25</v>
      </c>
      <c r="E281" s="3">
        <v>43362</v>
      </c>
      <c r="F281" s="2" t="s">
        <v>158</v>
      </c>
      <c r="G281" s="2" t="s">
        <v>243</v>
      </c>
      <c r="H281" s="2" t="s">
        <v>28</v>
      </c>
      <c r="I281" s="6" t="s">
        <v>2346</v>
      </c>
      <c r="J281" s="6" t="s">
        <v>2362</v>
      </c>
      <c r="K281" t="str">
        <f t="shared" si="36"/>
        <v>RIYA MEHTA</v>
      </c>
      <c r="L281" t="str">
        <f t="shared" si="37"/>
        <v>It</v>
      </c>
      <c r="M281">
        <f t="shared" si="38"/>
        <v>10</v>
      </c>
      <c r="N281" t="str">
        <f t="shared" si="39"/>
        <v>Riya Mehta-IT</v>
      </c>
      <c r="O281" t="str">
        <f t="shared" si="40"/>
        <v>company.com</v>
      </c>
      <c r="P281" t="str">
        <f t="shared" si="41"/>
        <v>company.com</v>
      </c>
      <c r="Q281">
        <f t="shared" si="42"/>
        <v>2018</v>
      </c>
      <c r="R281">
        <f t="shared" ca="1" si="43"/>
        <v>8</v>
      </c>
      <c r="S281" t="str">
        <f t="shared" si="44"/>
        <v>True</v>
      </c>
    </row>
    <row r="282" spans="1:19" x14ac:dyDescent="0.4">
      <c r="A282" s="2" t="s">
        <v>258</v>
      </c>
      <c r="B282" s="2" t="s">
        <v>137</v>
      </c>
      <c r="C282" s="2" t="s">
        <v>53</v>
      </c>
      <c r="D282" s="2" t="s">
        <v>49</v>
      </c>
      <c r="E282" s="3">
        <v>43110</v>
      </c>
      <c r="F282" s="2" t="s">
        <v>138</v>
      </c>
      <c r="G282" s="2" t="s">
        <v>259</v>
      </c>
      <c r="H282" s="2" t="s">
        <v>14</v>
      </c>
      <c r="I282" s="6" t="s">
        <v>2351</v>
      </c>
      <c r="J282" s="6" t="s">
        <v>2354</v>
      </c>
      <c r="K282" t="str">
        <f t="shared" si="36"/>
        <v>ADITYA SINGH</v>
      </c>
      <c r="L282" t="str">
        <f t="shared" si="37"/>
        <v>Hr</v>
      </c>
      <c r="M282">
        <f t="shared" si="38"/>
        <v>12</v>
      </c>
      <c r="N282" t="str">
        <f t="shared" si="39"/>
        <v>Aditya Singh-HR</v>
      </c>
      <c r="O282" t="str">
        <f t="shared" si="40"/>
        <v>company.com</v>
      </c>
      <c r="P282" t="str">
        <f t="shared" si="41"/>
        <v>company.com</v>
      </c>
      <c r="Q282">
        <f t="shared" si="42"/>
        <v>2018</v>
      </c>
      <c r="R282">
        <f t="shared" ca="1" si="43"/>
        <v>8</v>
      </c>
      <c r="S282" t="str">
        <f t="shared" si="44"/>
        <v>True</v>
      </c>
    </row>
    <row r="283" spans="1:19" x14ac:dyDescent="0.4">
      <c r="A283" s="2" t="s">
        <v>314</v>
      </c>
      <c r="B283" s="2" t="s">
        <v>113</v>
      </c>
      <c r="C283" s="2" t="s">
        <v>10</v>
      </c>
      <c r="D283" s="2" t="s">
        <v>49</v>
      </c>
      <c r="E283" s="3">
        <v>43217</v>
      </c>
      <c r="F283" s="2" t="s">
        <v>114</v>
      </c>
      <c r="G283" s="2" t="s">
        <v>315</v>
      </c>
      <c r="H283" s="2" t="s">
        <v>28</v>
      </c>
      <c r="I283" s="6" t="s">
        <v>2343</v>
      </c>
      <c r="J283" s="6" t="s">
        <v>2359</v>
      </c>
      <c r="K283" t="str">
        <f t="shared" si="36"/>
        <v>DIYA REDDY</v>
      </c>
      <c r="L283" t="str">
        <f t="shared" si="37"/>
        <v>It</v>
      </c>
      <c r="M283">
        <f t="shared" si="38"/>
        <v>10</v>
      </c>
      <c r="N283" t="str">
        <f t="shared" si="39"/>
        <v>Diya Reddy-IT</v>
      </c>
      <c r="O283" t="str">
        <f t="shared" si="40"/>
        <v>company.com</v>
      </c>
      <c r="P283" t="str">
        <f t="shared" si="41"/>
        <v>company.com</v>
      </c>
      <c r="Q283">
        <f t="shared" si="42"/>
        <v>2018</v>
      </c>
      <c r="R283">
        <f t="shared" ca="1" si="43"/>
        <v>8</v>
      </c>
      <c r="S283" t="str">
        <f t="shared" si="44"/>
        <v>True</v>
      </c>
    </row>
    <row r="284" spans="1:19" x14ac:dyDescent="0.4">
      <c r="A284" s="2" t="s">
        <v>328</v>
      </c>
      <c r="B284" s="2" t="s">
        <v>153</v>
      </c>
      <c r="C284" s="2" t="s">
        <v>31</v>
      </c>
      <c r="D284" s="2" t="s">
        <v>11</v>
      </c>
      <c r="E284" s="3">
        <v>43448</v>
      </c>
      <c r="F284" s="2" t="s">
        <v>154</v>
      </c>
      <c r="G284" s="2" t="s">
        <v>329</v>
      </c>
      <c r="H284" s="2" t="s">
        <v>55</v>
      </c>
      <c r="I284" s="6" t="s">
        <v>2344</v>
      </c>
      <c r="J284" s="6" t="s">
        <v>2356</v>
      </c>
      <c r="K284" t="str">
        <f t="shared" si="36"/>
        <v>KABIR PATEL</v>
      </c>
      <c r="L284" t="str">
        <f t="shared" si="37"/>
        <v>Finance</v>
      </c>
      <c r="M284">
        <f t="shared" si="38"/>
        <v>11</v>
      </c>
      <c r="N284" t="str">
        <f t="shared" si="39"/>
        <v>Kabir Patel-Finance</v>
      </c>
      <c r="O284" t="str">
        <f t="shared" si="40"/>
        <v>company.com</v>
      </c>
      <c r="P284" t="str">
        <f t="shared" si="41"/>
        <v>company.com</v>
      </c>
      <c r="Q284">
        <f t="shared" si="42"/>
        <v>2018</v>
      </c>
      <c r="R284">
        <f t="shared" ca="1" si="43"/>
        <v>7</v>
      </c>
      <c r="S284" t="str">
        <f t="shared" si="44"/>
        <v>True</v>
      </c>
    </row>
    <row r="285" spans="1:19" x14ac:dyDescent="0.4">
      <c r="A285" s="2" t="s">
        <v>336</v>
      </c>
      <c r="B285" s="2" t="s">
        <v>157</v>
      </c>
      <c r="C285" s="2" t="s">
        <v>53</v>
      </c>
      <c r="D285" s="2" t="s">
        <v>18</v>
      </c>
      <c r="E285" s="3">
        <v>43421</v>
      </c>
      <c r="F285" s="2" t="s">
        <v>158</v>
      </c>
      <c r="G285" s="2" t="s">
        <v>337</v>
      </c>
      <c r="H285" s="2" t="s">
        <v>21</v>
      </c>
      <c r="I285" s="6" t="s">
        <v>2346</v>
      </c>
      <c r="J285" s="6" t="s">
        <v>2362</v>
      </c>
      <c r="K285" t="str">
        <f t="shared" si="36"/>
        <v>RIYA MEHTA</v>
      </c>
      <c r="L285" t="str">
        <f t="shared" si="37"/>
        <v>Hr</v>
      </c>
      <c r="M285">
        <f t="shared" si="38"/>
        <v>10</v>
      </c>
      <c r="N285" t="str">
        <f t="shared" si="39"/>
        <v>Riya Mehta-HR</v>
      </c>
      <c r="O285" t="str">
        <f t="shared" si="40"/>
        <v>company.com</v>
      </c>
      <c r="P285" t="str">
        <f t="shared" si="41"/>
        <v>company.com</v>
      </c>
      <c r="Q285">
        <f t="shared" si="42"/>
        <v>2018</v>
      </c>
      <c r="R285">
        <f t="shared" ca="1" si="43"/>
        <v>7</v>
      </c>
      <c r="S285" t="str">
        <f t="shared" si="44"/>
        <v>True</v>
      </c>
    </row>
    <row r="286" spans="1:19" x14ac:dyDescent="0.4">
      <c r="A286" s="2" t="s">
        <v>344</v>
      </c>
      <c r="B286" s="2" t="s">
        <v>345</v>
      </c>
      <c r="C286" s="2" t="s">
        <v>53</v>
      </c>
      <c r="D286" s="2" t="s">
        <v>49</v>
      </c>
      <c r="E286" s="3">
        <v>43331</v>
      </c>
      <c r="F286" s="2" t="s">
        <v>346</v>
      </c>
      <c r="G286" s="2" t="s">
        <v>347</v>
      </c>
      <c r="H286" s="2" t="s">
        <v>55</v>
      </c>
      <c r="I286" s="6" t="s">
        <v>2345</v>
      </c>
      <c r="J286" s="6" t="s">
        <v>2360</v>
      </c>
      <c r="K286" t="str">
        <f t="shared" si="36"/>
        <v>ISHA SHARMA</v>
      </c>
      <c r="L286" t="str">
        <f t="shared" si="37"/>
        <v>Hr</v>
      </c>
      <c r="M286">
        <f t="shared" si="38"/>
        <v>11</v>
      </c>
      <c r="N286" t="str">
        <f t="shared" si="39"/>
        <v>Isha Sharma-HR</v>
      </c>
      <c r="O286" t="str">
        <f t="shared" si="40"/>
        <v>company.com</v>
      </c>
      <c r="P286" t="str">
        <f t="shared" si="41"/>
        <v>company.com</v>
      </c>
      <c r="Q286">
        <f t="shared" si="42"/>
        <v>2018</v>
      </c>
      <c r="R286">
        <f t="shared" ca="1" si="43"/>
        <v>8</v>
      </c>
      <c r="S286" t="str">
        <f t="shared" si="44"/>
        <v>True</v>
      </c>
    </row>
    <row r="287" spans="1:19" x14ac:dyDescent="0.4">
      <c r="A287" s="2" t="s">
        <v>378</v>
      </c>
      <c r="B287" s="2" t="s">
        <v>78</v>
      </c>
      <c r="C287" s="2" t="s">
        <v>17</v>
      </c>
      <c r="D287" s="2" t="s">
        <v>44</v>
      </c>
      <c r="E287" s="3">
        <v>43376</v>
      </c>
      <c r="F287" s="2" t="s">
        <v>79</v>
      </c>
      <c r="G287" s="2" t="s">
        <v>379</v>
      </c>
      <c r="H287" s="2" t="s">
        <v>55</v>
      </c>
      <c r="I287" s="6" t="s">
        <v>2348</v>
      </c>
      <c r="J287" s="6" t="s">
        <v>2356</v>
      </c>
      <c r="K287" t="str">
        <f t="shared" si="36"/>
        <v>ANANYA PATEL</v>
      </c>
      <c r="L287" t="str">
        <f t="shared" si="37"/>
        <v>Sales</v>
      </c>
      <c r="M287">
        <f t="shared" si="38"/>
        <v>12</v>
      </c>
      <c r="N287" t="str">
        <f t="shared" si="39"/>
        <v>Ananya Patel-Sales</v>
      </c>
      <c r="O287" t="str">
        <f t="shared" si="40"/>
        <v>company.com</v>
      </c>
      <c r="P287" t="str">
        <f t="shared" si="41"/>
        <v>company.com</v>
      </c>
      <c r="Q287">
        <f t="shared" si="42"/>
        <v>2018</v>
      </c>
      <c r="R287">
        <f t="shared" ca="1" si="43"/>
        <v>8</v>
      </c>
      <c r="S287" t="str">
        <f t="shared" si="44"/>
        <v>True</v>
      </c>
    </row>
    <row r="288" spans="1:19" x14ac:dyDescent="0.4">
      <c r="A288" s="2" t="s">
        <v>382</v>
      </c>
      <c r="B288" s="2" t="s">
        <v>82</v>
      </c>
      <c r="C288" s="2" t="s">
        <v>53</v>
      </c>
      <c r="D288" s="2" t="s">
        <v>49</v>
      </c>
      <c r="E288" s="3">
        <v>43292</v>
      </c>
      <c r="F288" s="2" t="s">
        <v>83</v>
      </c>
      <c r="G288" s="2" t="s">
        <v>383</v>
      </c>
      <c r="H288" s="2" t="s">
        <v>64</v>
      </c>
      <c r="I288" s="6" t="s">
        <v>2352</v>
      </c>
      <c r="J288" s="6" t="s">
        <v>2357</v>
      </c>
      <c r="K288" t="str">
        <f t="shared" si="36"/>
        <v>MEERA JOSHI</v>
      </c>
      <c r="L288" t="str">
        <f t="shared" si="37"/>
        <v>Hr</v>
      </c>
      <c r="M288">
        <f t="shared" si="38"/>
        <v>11</v>
      </c>
      <c r="N288" t="str">
        <f t="shared" si="39"/>
        <v>Meera Joshi-HR</v>
      </c>
      <c r="O288" t="str">
        <f t="shared" si="40"/>
        <v>company.com</v>
      </c>
      <c r="P288" t="str">
        <f t="shared" si="41"/>
        <v>company.com</v>
      </c>
      <c r="Q288">
        <f t="shared" si="42"/>
        <v>2018</v>
      </c>
      <c r="R288">
        <f t="shared" ca="1" si="43"/>
        <v>8</v>
      </c>
      <c r="S288" t="str">
        <f t="shared" si="44"/>
        <v>True</v>
      </c>
    </row>
    <row r="289" spans="1:19" x14ac:dyDescent="0.4">
      <c r="A289" s="2" t="s">
        <v>466</v>
      </c>
      <c r="B289" s="2" t="s">
        <v>363</v>
      </c>
      <c r="C289" s="2" t="s">
        <v>87</v>
      </c>
      <c r="D289" s="2" t="s">
        <v>49</v>
      </c>
      <c r="E289" s="3">
        <v>43315</v>
      </c>
      <c r="F289" s="2" t="s">
        <v>364</v>
      </c>
      <c r="G289" s="2" t="s">
        <v>467</v>
      </c>
      <c r="H289" s="2" t="s">
        <v>55</v>
      </c>
      <c r="I289" s="6" t="s">
        <v>2344</v>
      </c>
      <c r="J289" s="6" t="s">
        <v>2359</v>
      </c>
      <c r="K289" t="str">
        <f t="shared" si="36"/>
        <v>KABIR REDDY</v>
      </c>
      <c r="L289" t="str">
        <f t="shared" si="37"/>
        <v>Operations</v>
      </c>
      <c r="M289">
        <f t="shared" si="38"/>
        <v>11</v>
      </c>
      <c r="N289" t="str">
        <f t="shared" si="39"/>
        <v>Kabir Reddy-Operations</v>
      </c>
      <c r="O289" t="str">
        <f t="shared" si="40"/>
        <v>company.com</v>
      </c>
      <c r="P289" t="str">
        <f t="shared" si="41"/>
        <v>company.com</v>
      </c>
      <c r="Q289">
        <f t="shared" si="42"/>
        <v>2018</v>
      </c>
      <c r="R289">
        <f t="shared" ca="1" si="43"/>
        <v>8</v>
      </c>
      <c r="S289" t="str">
        <f t="shared" si="44"/>
        <v>True</v>
      </c>
    </row>
    <row r="290" spans="1:19" x14ac:dyDescent="0.4">
      <c r="A290" s="2" t="s">
        <v>524</v>
      </c>
      <c r="B290" s="2" t="s">
        <v>16</v>
      </c>
      <c r="C290" s="2" t="s">
        <v>87</v>
      </c>
      <c r="D290" s="2" t="s">
        <v>44</v>
      </c>
      <c r="E290" s="3">
        <v>43106</v>
      </c>
      <c r="F290" s="2" t="s">
        <v>19</v>
      </c>
      <c r="G290" s="2" t="s">
        <v>525</v>
      </c>
      <c r="H290" s="2" t="s">
        <v>64</v>
      </c>
      <c r="I290" s="6" t="s">
        <v>2352</v>
      </c>
      <c r="J290" s="6" t="s">
        <v>2359</v>
      </c>
      <c r="K290" t="str">
        <f t="shared" si="36"/>
        <v>MEERA REDDY</v>
      </c>
      <c r="L290" t="str">
        <f t="shared" si="37"/>
        <v>Operations</v>
      </c>
      <c r="M290">
        <f t="shared" si="38"/>
        <v>11</v>
      </c>
      <c r="N290" t="str">
        <f t="shared" si="39"/>
        <v>Meera Reddy-Operations</v>
      </c>
      <c r="O290" t="str">
        <f t="shared" si="40"/>
        <v>company.com</v>
      </c>
      <c r="P290" t="str">
        <f t="shared" si="41"/>
        <v>company.com</v>
      </c>
      <c r="Q290">
        <f t="shared" si="42"/>
        <v>2018</v>
      </c>
      <c r="R290">
        <f t="shared" ca="1" si="43"/>
        <v>8</v>
      </c>
      <c r="S290" t="str">
        <f t="shared" si="44"/>
        <v>True</v>
      </c>
    </row>
    <row r="291" spans="1:19" x14ac:dyDescent="0.4">
      <c r="A291" s="2" t="s">
        <v>592</v>
      </c>
      <c r="B291" s="2" t="s">
        <v>457</v>
      </c>
      <c r="C291" s="2" t="s">
        <v>17</v>
      </c>
      <c r="D291" s="2" t="s">
        <v>49</v>
      </c>
      <c r="E291" s="3">
        <v>43199</v>
      </c>
      <c r="F291" s="2" t="s">
        <v>458</v>
      </c>
      <c r="G291" s="2" t="s">
        <v>593</v>
      </c>
      <c r="H291" s="2" t="s">
        <v>28</v>
      </c>
      <c r="I291" s="6" t="s">
        <v>2344</v>
      </c>
      <c r="J291" s="6" t="s">
        <v>2362</v>
      </c>
      <c r="K291" t="str">
        <f t="shared" si="36"/>
        <v>KABIR MEHTA</v>
      </c>
      <c r="L291" t="str">
        <f t="shared" si="37"/>
        <v>Sales</v>
      </c>
      <c r="M291">
        <f t="shared" si="38"/>
        <v>11</v>
      </c>
      <c r="N291" t="str">
        <f t="shared" si="39"/>
        <v>Kabir Mehta-Sales</v>
      </c>
      <c r="O291" t="str">
        <f t="shared" si="40"/>
        <v>company.com</v>
      </c>
      <c r="P291" t="str">
        <f t="shared" si="41"/>
        <v>company.com</v>
      </c>
      <c r="Q291">
        <f t="shared" si="42"/>
        <v>2018</v>
      </c>
      <c r="R291">
        <f t="shared" ca="1" si="43"/>
        <v>8</v>
      </c>
      <c r="S291" t="str">
        <f t="shared" si="44"/>
        <v>True</v>
      </c>
    </row>
    <row r="292" spans="1:19" x14ac:dyDescent="0.4">
      <c r="A292" s="2" t="s">
        <v>600</v>
      </c>
      <c r="B292" s="2" t="s">
        <v>149</v>
      </c>
      <c r="C292" s="2" t="s">
        <v>87</v>
      </c>
      <c r="D292" s="2" t="s">
        <v>44</v>
      </c>
      <c r="E292" s="3">
        <v>43124</v>
      </c>
      <c r="F292" s="2" t="s">
        <v>150</v>
      </c>
      <c r="G292" s="2" t="s">
        <v>601</v>
      </c>
      <c r="H292" s="2" t="s">
        <v>21</v>
      </c>
      <c r="I292" s="6" t="s">
        <v>2344</v>
      </c>
      <c r="J292" s="6" t="s">
        <v>2357</v>
      </c>
      <c r="K292" t="str">
        <f t="shared" si="36"/>
        <v>KABIR JOSHI</v>
      </c>
      <c r="L292" t="str">
        <f t="shared" si="37"/>
        <v>Operations</v>
      </c>
      <c r="M292">
        <f t="shared" si="38"/>
        <v>11</v>
      </c>
      <c r="N292" t="str">
        <f t="shared" si="39"/>
        <v>Kabir Joshi-Operations</v>
      </c>
      <c r="O292" t="str">
        <f t="shared" si="40"/>
        <v>company.com</v>
      </c>
      <c r="P292" t="str">
        <f t="shared" si="41"/>
        <v>company.com</v>
      </c>
      <c r="Q292">
        <f t="shared" si="42"/>
        <v>2018</v>
      </c>
      <c r="R292">
        <f t="shared" ca="1" si="43"/>
        <v>8</v>
      </c>
      <c r="S292" t="str">
        <f t="shared" si="44"/>
        <v>True</v>
      </c>
    </row>
    <row r="293" spans="1:19" x14ac:dyDescent="0.4">
      <c r="A293" s="2" t="s">
        <v>640</v>
      </c>
      <c r="B293" s="2" t="s">
        <v>641</v>
      </c>
      <c r="C293" s="2" t="s">
        <v>24</v>
      </c>
      <c r="D293" s="2" t="s">
        <v>44</v>
      </c>
      <c r="E293" s="3">
        <v>43442</v>
      </c>
      <c r="F293" s="2" t="s">
        <v>642</v>
      </c>
      <c r="G293" s="2" t="s">
        <v>643</v>
      </c>
      <c r="H293" s="2" t="s">
        <v>64</v>
      </c>
      <c r="I293" s="6" t="s">
        <v>2349</v>
      </c>
      <c r="J293" s="6" t="s">
        <v>2362</v>
      </c>
      <c r="K293" t="str">
        <f t="shared" si="36"/>
        <v>AARAV MEHTA</v>
      </c>
      <c r="L293" t="str">
        <f t="shared" si="37"/>
        <v>Marketing</v>
      </c>
      <c r="M293">
        <f t="shared" si="38"/>
        <v>11</v>
      </c>
      <c r="N293" t="str">
        <f t="shared" si="39"/>
        <v>Aarav Mehta-Marketing</v>
      </c>
      <c r="O293" t="str">
        <f t="shared" si="40"/>
        <v>company.com</v>
      </c>
      <c r="P293" t="str">
        <f t="shared" si="41"/>
        <v>company.com</v>
      </c>
      <c r="Q293">
        <f t="shared" si="42"/>
        <v>2018</v>
      </c>
      <c r="R293">
        <f t="shared" ca="1" si="43"/>
        <v>7</v>
      </c>
      <c r="S293" t="str">
        <f t="shared" si="44"/>
        <v>True</v>
      </c>
    </row>
    <row r="294" spans="1:19" x14ac:dyDescent="0.4">
      <c r="A294" s="2" t="s">
        <v>644</v>
      </c>
      <c r="B294" s="2" t="s">
        <v>39</v>
      </c>
      <c r="C294" s="2" t="s">
        <v>24</v>
      </c>
      <c r="D294" s="2" t="s">
        <v>44</v>
      </c>
      <c r="E294" s="3">
        <v>43371</v>
      </c>
      <c r="F294" s="2" t="s">
        <v>40</v>
      </c>
      <c r="G294" s="2" t="s">
        <v>645</v>
      </c>
      <c r="H294" s="2" t="s">
        <v>21</v>
      </c>
      <c r="I294" s="6" t="s">
        <v>2349</v>
      </c>
      <c r="J294" s="6" t="s">
        <v>2358</v>
      </c>
      <c r="K294" t="str">
        <f t="shared" si="36"/>
        <v>AARAV DAS</v>
      </c>
      <c r="L294" t="str">
        <f t="shared" si="37"/>
        <v>Marketing</v>
      </c>
      <c r="M294">
        <f t="shared" si="38"/>
        <v>9</v>
      </c>
      <c r="N294" t="str">
        <f t="shared" si="39"/>
        <v>Aarav Das-Marketing</v>
      </c>
      <c r="O294" t="str">
        <f t="shared" si="40"/>
        <v>company.com</v>
      </c>
      <c r="P294" t="str">
        <f t="shared" si="41"/>
        <v>company.com</v>
      </c>
      <c r="Q294">
        <f t="shared" si="42"/>
        <v>2018</v>
      </c>
      <c r="R294">
        <f t="shared" ca="1" si="43"/>
        <v>8</v>
      </c>
      <c r="S294" t="str">
        <f t="shared" si="44"/>
        <v>True</v>
      </c>
    </row>
    <row r="295" spans="1:19" x14ac:dyDescent="0.4">
      <c r="A295" s="2" t="s">
        <v>654</v>
      </c>
      <c r="B295" s="2" t="s">
        <v>23</v>
      </c>
      <c r="C295" s="2" t="s">
        <v>10</v>
      </c>
      <c r="D295" s="2" t="s">
        <v>44</v>
      </c>
      <c r="E295" s="3">
        <v>43301</v>
      </c>
      <c r="F295" s="2" t="s">
        <v>26</v>
      </c>
      <c r="G295" s="2" t="s">
        <v>655</v>
      </c>
      <c r="H295" s="2" t="s">
        <v>64</v>
      </c>
      <c r="I295" s="6" t="s">
        <v>2350</v>
      </c>
      <c r="J295" s="6" t="s">
        <v>2362</v>
      </c>
      <c r="K295" t="str">
        <f t="shared" si="36"/>
        <v>VIVAAN MEHTA</v>
      </c>
      <c r="L295" t="str">
        <f t="shared" si="37"/>
        <v>It</v>
      </c>
      <c r="M295">
        <f t="shared" si="38"/>
        <v>12</v>
      </c>
      <c r="N295" t="str">
        <f t="shared" si="39"/>
        <v>Vivaan Mehta-IT</v>
      </c>
      <c r="O295" t="str">
        <f t="shared" si="40"/>
        <v>company.com</v>
      </c>
      <c r="P295" t="str">
        <f t="shared" si="41"/>
        <v>company.com</v>
      </c>
      <c r="Q295">
        <f t="shared" si="42"/>
        <v>2018</v>
      </c>
      <c r="R295">
        <f t="shared" ca="1" si="43"/>
        <v>8</v>
      </c>
      <c r="S295" t="str">
        <f t="shared" si="44"/>
        <v>True</v>
      </c>
    </row>
    <row r="296" spans="1:19" x14ac:dyDescent="0.4">
      <c r="A296" s="2" t="s">
        <v>656</v>
      </c>
      <c r="B296" s="2" t="s">
        <v>117</v>
      </c>
      <c r="C296" s="2" t="s">
        <v>24</v>
      </c>
      <c r="D296" s="2" t="s">
        <v>18</v>
      </c>
      <c r="E296" s="3">
        <v>43285</v>
      </c>
      <c r="F296" s="2" t="s">
        <v>118</v>
      </c>
      <c r="G296" s="2" t="s">
        <v>657</v>
      </c>
      <c r="H296" s="2" t="s">
        <v>64</v>
      </c>
      <c r="I296" s="6" t="s">
        <v>2344</v>
      </c>
      <c r="J296" s="6" t="s">
        <v>2360</v>
      </c>
      <c r="K296" t="str">
        <f t="shared" si="36"/>
        <v>KABIR SHARMA</v>
      </c>
      <c r="L296" t="str">
        <f t="shared" si="37"/>
        <v>Marketing</v>
      </c>
      <c r="M296">
        <f t="shared" si="38"/>
        <v>12</v>
      </c>
      <c r="N296" t="str">
        <f t="shared" si="39"/>
        <v>Kabir Sharma-Marketing</v>
      </c>
      <c r="O296" t="str">
        <f t="shared" si="40"/>
        <v>company.com</v>
      </c>
      <c r="P296" t="str">
        <f t="shared" si="41"/>
        <v>company.com</v>
      </c>
      <c r="Q296">
        <f t="shared" si="42"/>
        <v>2018</v>
      </c>
      <c r="R296">
        <f t="shared" ca="1" si="43"/>
        <v>8</v>
      </c>
      <c r="S296" t="str">
        <f t="shared" si="44"/>
        <v>True</v>
      </c>
    </row>
    <row r="297" spans="1:19" x14ac:dyDescent="0.4">
      <c r="A297" s="2" t="s">
        <v>692</v>
      </c>
      <c r="B297" s="2" t="s">
        <v>74</v>
      </c>
      <c r="C297" s="2" t="s">
        <v>53</v>
      </c>
      <c r="D297" s="2" t="s">
        <v>18</v>
      </c>
      <c r="E297" s="3">
        <v>43139</v>
      </c>
      <c r="F297" s="2" t="s">
        <v>75</v>
      </c>
      <c r="G297" s="2" t="s">
        <v>693</v>
      </c>
      <c r="H297" s="2" t="s">
        <v>21</v>
      </c>
      <c r="I297" s="6" t="s">
        <v>2346</v>
      </c>
      <c r="J297" s="6" t="s">
        <v>2358</v>
      </c>
      <c r="K297" t="str">
        <f t="shared" si="36"/>
        <v>RIYA DAS</v>
      </c>
      <c r="L297" t="str">
        <f t="shared" si="37"/>
        <v>Hr</v>
      </c>
      <c r="M297">
        <f t="shared" si="38"/>
        <v>8</v>
      </c>
      <c r="N297" t="str">
        <f t="shared" si="39"/>
        <v>Riya Das-HR</v>
      </c>
      <c r="O297" t="str">
        <f t="shared" si="40"/>
        <v>company.com</v>
      </c>
      <c r="P297" t="str">
        <f t="shared" si="41"/>
        <v>company.com</v>
      </c>
      <c r="Q297">
        <f t="shared" si="42"/>
        <v>2018</v>
      </c>
      <c r="R297">
        <f t="shared" ca="1" si="43"/>
        <v>8</v>
      </c>
      <c r="S297" t="str">
        <f t="shared" si="44"/>
        <v>True</v>
      </c>
    </row>
    <row r="298" spans="1:19" x14ac:dyDescent="0.4">
      <c r="A298" s="2" t="s">
        <v>698</v>
      </c>
      <c r="B298" s="2" t="s">
        <v>213</v>
      </c>
      <c r="C298" s="2" t="s">
        <v>87</v>
      </c>
      <c r="D298" s="2" t="s">
        <v>11</v>
      </c>
      <c r="E298" s="3">
        <v>43354</v>
      </c>
      <c r="F298" s="2" t="s">
        <v>214</v>
      </c>
      <c r="G298" s="2" t="s">
        <v>699</v>
      </c>
      <c r="H298" s="2" t="s">
        <v>64</v>
      </c>
      <c r="I298" s="6" t="s">
        <v>2350</v>
      </c>
      <c r="J298" s="6" t="s">
        <v>2356</v>
      </c>
      <c r="K298" t="str">
        <f t="shared" si="36"/>
        <v>VIVAAN PATEL</v>
      </c>
      <c r="L298" t="str">
        <f t="shared" si="37"/>
        <v>Operations</v>
      </c>
      <c r="M298">
        <f t="shared" si="38"/>
        <v>12</v>
      </c>
      <c r="N298" t="str">
        <f t="shared" si="39"/>
        <v>Vivaan Patel-Operations</v>
      </c>
      <c r="O298" t="str">
        <f t="shared" si="40"/>
        <v>company.com</v>
      </c>
      <c r="P298" t="str">
        <f t="shared" si="41"/>
        <v>company.com</v>
      </c>
      <c r="Q298">
        <f t="shared" si="42"/>
        <v>2018</v>
      </c>
      <c r="R298">
        <f t="shared" ca="1" si="43"/>
        <v>8</v>
      </c>
      <c r="S298" t="str">
        <f t="shared" si="44"/>
        <v>True</v>
      </c>
    </row>
    <row r="299" spans="1:19" x14ac:dyDescent="0.4">
      <c r="A299" s="2" t="s">
        <v>702</v>
      </c>
      <c r="B299" s="2" t="s">
        <v>641</v>
      </c>
      <c r="C299" s="2" t="s">
        <v>17</v>
      </c>
      <c r="D299" s="2" t="s">
        <v>49</v>
      </c>
      <c r="E299" s="3">
        <v>43334</v>
      </c>
      <c r="F299" s="2" t="s">
        <v>642</v>
      </c>
      <c r="G299" s="2" t="s">
        <v>703</v>
      </c>
      <c r="H299" s="2" t="s">
        <v>28</v>
      </c>
      <c r="I299" s="6" t="s">
        <v>2349</v>
      </c>
      <c r="J299" s="6" t="s">
        <v>2362</v>
      </c>
      <c r="K299" t="str">
        <f t="shared" si="36"/>
        <v>AARAV MEHTA</v>
      </c>
      <c r="L299" t="str">
        <f t="shared" si="37"/>
        <v>Sales</v>
      </c>
      <c r="M299">
        <f t="shared" si="38"/>
        <v>11</v>
      </c>
      <c r="N299" t="str">
        <f t="shared" si="39"/>
        <v>Aarav Mehta-Sales</v>
      </c>
      <c r="O299" t="str">
        <f t="shared" si="40"/>
        <v>company.com</v>
      </c>
      <c r="P299" t="str">
        <f t="shared" si="41"/>
        <v>company.com</v>
      </c>
      <c r="Q299">
        <f t="shared" si="42"/>
        <v>2018</v>
      </c>
      <c r="R299">
        <f t="shared" ca="1" si="43"/>
        <v>8</v>
      </c>
      <c r="S299" t="str">
        <f t="shared" si="44"/>
        <v>True</v>
      </c>
    </row>
    <row r="300" spans="1:19" x14ac:dyDescent="0.4">
      <c r="A300" s="2" t="s">
        <v>714</v>
      </c>
      <c r="B300" s="2" t="s">
        <v>473</v>
      </c>
      <c r="C300" s="2" t="s">
        <v>53</v>
      </c>
      <c r="D300" s="2" t="s">
        <v>49</v>
      </c>
      <c r="E300" s="3">
        <v>43217</v>
      </c>
      <c r="F300" s="2" t="s">
        <v>474</v>
      </c>
      <c r="G300" s="2" t="s">
        <v>715</v>
      </c>
      <c r="H300" s="2" t="s">
        <v>55</v>
      </c>
      <c r="I300" s="6" t="s">
        <v>2352</v>
      </c>
      <c r="J300" s="6" t="s">
        <v>2361</v>
      </c>
      <c r="K300" t="str">
        <f t="shared" si="36"/>
        <v>MEERA KHAN</v>
      </c>
      <c r="L300" t="str">
        <f t="shared" si="37"/>
        <v>Hr</v>
      </c>
      <c r="M300">
        <f t="shared" si="38"/>
        <v>10</v>
      </c>
      <c r="N300" t="str">
        <f t="shared" si="39"/>
        <v>Meera Khan-HR</v>
      </c>
      <c r="O300" t="str">
        <f t="shared" si="40"/>
        <v>company.com</v>
      </c>
      <c r="P300" t="str">
        <f t="shared" si="41"/>
        <v>company.com</v>
      </c>
      <c r="Q300">
        <f t="shared" si="42"/>
        <v>2018</v>
      </c>
      <c r="R300">
        <f t="shared" ca="1" si="43"/>
        <v>8</v>
      </c>
      <c r="S300" t="str">
        <f t="shared" si="44"/>
        <v>True</v>
      </c>
    </row>
    <row r="301" spans="1:19" x14ac:dyDescent="0.4">
      <c r="A301" s="2" t="s">
        <v>732</v>
      </c>
      <c r="B301" s="2" t="s">
        <v>165</v>
      </c>
      <c r="C301" s="2" t="s">
        <v>53</v>
      </c>
      <c r="D301" s="2" t="s">
        <v>25</v>
      </c>
      <c r="E301" s="3">
        <v>43183</v>
      </c>
      <c r="F301" s="2" t="s">
        <v>166</v>
      </c>
      <c r="G301" s="2" t="s">
        <v>733</v>
      </c>
      <c r="H301" s="2" t="s">
        <v>14</v>
      </c>
      <c r="I301" s="6" t="s">
        <v>2351</v>
      </c>
      <c r="J301" s="6" t="s">
        <v>2358</v>
      </c>
      <c r="K301" t="str">
        <f t="shared" si="36"/>
        <v>ADITYA DAS</v>
      </c>
      <c r="L301" t="str">
        <f t="shared" si="37"/>
        <v>Hr</v>
      </c>
      <c r="M301">
        <f t="shared" si="38"/>
        <v>10</v>
      </c>
      <c r="N301" t="str">
        <f t="shared" si="39"/>
        <v>Aditya Das-HR</v>
      </c>
      <c r="O301" t="str">
        <f t="shared" si="40"/>
        <v>company.com</v>
      </c>
      <c r="P301" t="str">
        <f t="shared" si="41"/>
        <v>company.com</v>
      </c>
      <c r="Q301">
        <f t="shared" si="42"/>
        <v>2018</v>
      </c>
      <c r="R301">
        <f t="shared" ca="1" si="43"/>
        <v>8</v>
      </c>
      <c r="S301" t="str">
        <f t="shared" si="44"/>
        <v>True</v>
      </c>
    </row>
    <row r="302" spans="1:19" x14ac:dyDescent="0.4">
      <c r="A302" s="2" t="s">
        <v>742</v>
      </c>
      <c r="B302" s="2" t="s">
        <v>555</v>
      </c>
      <c r="C302" s="2" t="s">
        <v>10</v>
      </c>
      <c r="D302" s="2" t="s">
        <v>11</v>
      </c>
      <c r="E302" s="3">
        <v>43214</v>
      </c>
      <c r="F302" s="2" t="s">
        <v>556</v>
      </c>
      <c r="G302" s="2" t="s">
        <v>743</v>
      </c>
      <c r="H302" s="2" t="s">
        <v>64</v>
      </c>
      <c r="I302" s="6" t="s">
        <v>2346</v>
      </c>
      <c r="J302" s="6" t="s">
        <v>2357</v>
      </c>
      <c r="K302" t="str">
        <f t="shared" si="36"/>
        <v>RIYA JOSHI</v>
      </c>
      <c r="L302" t="str">
        <f t="shared" si="37"/>
        <v>It</v>
      </c>
      <c r="M302">
        <f t="shared" si="38"/>
        <v>10</v>
      </c>
      <c r="N302" t="str">
        <f t="shared" si="39"/>
        <v>Riya Joshi-IT</v>
      </c>
      <c r="O302" t="str">
        <f t="shared" si="40"/>
        <v>company.com</v>
      </c>
      <c r="P302" t="str">
        <f t="shared" si="41"/>
        <v>company.com</v>
      </c>
      <c r="Q302">
        <f t="shared" si="42"/>
        <v>2018</v>
      </c>
      <c r="R302">
        <f t="shared" ca="1" si="43"/>
        <v>8</v>
      </c>
      <c r="S302" t="str">
        <f t="shared" si="44"/>
        <v>True</v>
      </c>
    </row>
    <row r="303" spans="1:19" x14ac:dyDescent="0.4">
      <c r="A303" s="2" t="s">
        <v>748</v>
      </c>
      <c r="B303" s="2" t="s">
        <v>35</v>
      </c>
      <c r="C303" s="2" t="s">
        <v>87</v>
      </c>
      <c r="D303" s="2" t="s">
        <v>18</v>
      </c>
      <c r="E303" s="3">
        <v>43317</v>
      </c>
      <c r="F303" s="2" t="s">
        <v>36</v>
      </c>
      <c r="G303" s="2" t="s">
        <v>749</v>
      </c>
      <c r="H303" s="2" t="s">
        <v>64</v>
      </c>
      <c r="I303" s="6" t="s">
        <v>2345</v>
      </c>
      <c r="J303" s="6" t="s">
        <v>2358</v>
      </c>
      <c r="K303" t="str">
        <f t="shared" si="36"/>
        <v>ISHA DAS</v>
      </c>
      <c r="L303" t="str">
        <f t="shared" si="37"/>
        <v>Operations</v>
      </c>
      <c r="M303">
        <f t="shared" si="38"/>
        <v>8</v>
      </c>
      <c r="N303" t="str">
        <f t="shared" si="39"/>
        <v>Isha Das-Operations</v>
      </c>
      <c r="O303" t="str">
        <f t="shared" si="40"/>
        <v>company.com</v>
      </c>
      <c r="P303" t="str">
        <f t="shared" si="41"/>
        <v>company.com</v>
      </c>
      <c r="Q303">
        <f t="shared" si="42"/>
        <v>2018</v>
      </c>
      <c r="R303">
        <f t="shared" ca="1" si="43"/>
        <v>8</v>
      </c>
      <c r="S303" t="str">
        <f t="shared" si="44"/>
        <v>True</v>
      </c>
    </row>
    <row r="304" spans="1:19" x14ac:dyDescent="0.4">
      <c r="A304" s="2" t="s">
        <v>754</v>
      </c>
      <c r="B304" s="2" t="s">
        <v>74</v>
      </c>
      <c r="C304" s="2" t="s">
        <v>53</v>
      </c>
      <c r="D304" s="2" t="s">
        <v>25</v>
      </c>
      <c r="E304" s="3">
        <v>43156</v>
      </c>
      <c r="F304" s="2" t="s">
        <v>75</v>
      </c>
      <c r="G304" s="2" t="s">
        <v>755</v>
      </c>
      <c r="H304" s="2" t="s">
        <v>28</v>
      </c>
      <c r="I304" s="6" t="s">
        <v>2346</v>
      </c>
      <c r="J304" s="6" t="s">
        <v>2358</v>
      </c>
      <c r="K304" t="str">
        <f t="shared" si="36"/>
        <v>RIYA DAS</v>
      </c>
      <c r="L304" t="str">
        <f t="shared" si="37"/>
        <v>Hr</v>
      </c>
      <c r="M304">
        <f t="shared" si="38"/>
        <v>8</v>
      </c>
      <c r="N304" t="str">
        <f t="shared" si="39"/>
        <v>Riya Das-HR</v>
      </c>
      <c r="O304" t="str">
        <f t="shared" si="40"/>
        <v>company.com</v>
      </c>
      <c r="P304" t="str">
        <f t="shared" si="41"/>
        <v>company.com</v>
      </c>
      <c r="Q304">
        <f t="shared" si="42"/>
        <v>2018</v>
      </c>
      <c r="R304">
        <f t="shared" ca="1" si="43"/>
        <v>8</v>
      </c>
      <c r="S304" t="str">
        <f t="shared" si="44"/>
        <v>True</v>
      </c>
    </row>
    <row r="305" spans="1:19" x14ac:dyDescent="0.4">
      <c r="A305" s="2" t="s">
        <v>756</v>
      </c>
      <c r="B305" s="2" t="s">
        <v>133</v>
      </c>
      <c r="C305" s="2" t="s">
        <v>53</v>
      </c>
      <c r="D305" s="2" t="s">
        <v>25</v>
      </c>
      <c r="E305" s="3">
        <v>43288</v>
      </c>
      <c r="F305" s="2" t="s">
        <v>134</v>
      </c>
      <c r="G305" s="2" t="s">
        <v>757</v>
      </c>
      <c r="H305" s="2" t="s">
        <v>64</v>
      </c>
      <c r="I305" s="6" t="s">
        <v>2347</v>
      </c>
      <c r="J305" s="6" t="s">
        <v>2360</v>
      </c>
      <c r="K305" t="str">
        <f t="shared" si="36"/>
        <v>ARJUN SHARMA</v>
      </c>
      <c r="L305" t="str">
        <f t="shared" si="37"/>
        <v>Hr</v>
      </c>
      <c r="M305">
        <f t="shared" si="38"/>
        <v>12</v>
      </c>
      <c r="N305" t="str">
        <f t="shared" si="39"/>
        <v>Arjun Sharma-HR</v>
      </c>
      <c r="O305" t="str">
        <f t="shared" si="40"/>
        <v>company.com</v>
      </c>
      <c r="P305" t="str">
        <f t="shared" si="41"/>
        <v>company.com</v>
      </c>
      <c r="Q305">
        <f t="shared" si="42"/>
        <v>2018</v>
      </c>
      <c r="R305">
        <f t="shared" ca="1" si="43"/>
        <v>8</v>
      </c>
      <c r="S305" t="str">
        <f t="shared" si="44"/>
        <v>True</v>
      </c>
    </row>
    <row r="306" spans="1:19" x14ac:dyDescent="0.4">
      <c r="A306" s="2" t="s">
        <v>776</v>
      </c>
      <c r="B306" s="2" t="s">
        <v>74</v>
      </c>
      <c r="C306" s="2" t="s">
        <v>31</v>
      </c>
      <c r="D306" s="2" t="s">
        <v>25</v>
      </c>
      <c r="E306" s="3">
        <v>43402</v>
      </c>
      <c r="F306" s="2" t="s">
        <v>75</v>
      </c>
      <c r="G306" s="2" t="s">
        <v>777</v>
      </c>
      <c r="H306" s="2" t="s">
        <v>21</v>
      </c>
      <c r="I306" s="6" t="s">
        <v>2346</v>
      </c>
      <c r="J306" s="6" t="s">
        <v>2358</v>
      </c>
      <c r="K306" t="str">
        <f t="shared" si="36"/>
        <v>RIYA DAS</v>
      </c>
      <c r="L306" t="str">
        <f t="shared" si="37"/>
        <v>Finance</v>
      </c>
      <c r="M306">
        <f t="shared" si="38"/>
        <v>8</v>
      </c>
      <c r="N306" t="str">
        <f t="shared" si="39"/>
        <v>Riya Das-Finance</v>
      </c>
      <c r="O306" t="str">
        <f t="shared" si="40"/>
        <v>company.com</v>
      </c>
      <c r="P306" t="str">
        <f t="shared" si="41"/>
        <v>company.com</v>
      </c>
      <c r="Q306">
        <f t="shared" si="42"/>
        <v>2018</v>
      </c>
      <c r="R306">
        <f t="shared" ca="1" si="43"/>
        <v>7</v>
      </c>
      <c r="S306" t="str">
        <f t="shared" si="44"/>
        <v>True</v>
      </c>
    </row>
    <row r="307" spans="1:19" x14ac:dyDescent="0.4">
      <c r="A307" s="2" t="s">
        <v>782</v>
      </c>
      <c r="B307" s="2" t="s">
        <v>629</v>
      </c>
      <c r="C307" s="2" t="s">
        <v>31</v>
      </c>
      <c r="D307" s="2" t="s">
        <v>11</v>
      </c>
      <c r="E307" s="3">
        <v>43179</v>
      </c>
      <c r="F307" s="2" t="s">
        <v>630</v>
      </c>
      <c r="G307" s="2" t="s">
        <v>783</v>
      </c>
      <c r="H307" s="2" t="s">
        <v>28</v>
      </c>
      <c r="I307" s="6" t="s">
        <v>2351</v>
      </c>
      <c r="J307" s="6" t="s">
        <v>2357</v>
      </c>
      <c r="K307" t="str">
        <f t="shared" si="36"/>
        <v>ADITYA JOSHI</v>
      </c>
      <c r="L307" t="str">
        <f t="shared" si="37"/>
        <v>Finance</v>
      </c>
      <c r="M307">
        <f t="shared" si="38"/>
        <v>12</v>
      </c>
      <c r="N307" t="str">
        <f t="shared" si="39"/>
        <v>Aditya Joshi-Finance</v>
      </c>
      <c r="O307" t="str">
        <f t="shared" si="40"/>
        <v>company.com</v>
      </c>
      <c r="P307" t="str">
        <f t="shared" si="41"/>
        <v>company.com</v>
      </c>
      <c r="Q307">
        <f t="shared" si="42"/>
        <v>2018</v>
      </c>
      <c r="R307">
        <f t="shared" ca="1" si="43"/>
        <v>8</v>
      </c>
      <c r="S307" t="str">
        <f t="shared" si="44"/>
        <v>True</v>
      </c>
    </row>
    <row r="308" spans="1:19" x14ac:dyDescent="0.4">
      <c r="A308" s="2" t="s">
        <v>794</v>
      </c>
      <c r="B308" s="2" t="s">
        <v>271</v>
      </c>
      <c r="C308" s="2" t="s">
        <v>17</v>
      </c>
      <c r="D308" s="2" t="s">
        <v>18</v>
      </c>
      <c r="E308" s="3">
        <v>43352</v>
      </c>
      <c r="F308" s="2" t="s">
        <v>272</v>
      </c>
      <c r="G308" s="2" t="s">
        <v>795</v>
      </c>
      <c r="H308" s="2" t="s">
        <v>21</v>
      </c>
      <c r="I308" s="6" t="s">
        <v>2347</v>
      </c>
      <c r="J308" s="6" t="s">
        <v>2357</v>
      </c>
      <c r="K308" t="str">
        <f t="shared" si="36"/>
        <v>ARJUN JOSHI</v>
      </c>
      <c r="L308" t="str">
        <f t="shared" si="37"/>
        <v>Sales</v>
      </c>
      <c r="M308">
        <f t="shared" si="38"/>
        <v>11</v>
      </c>
      <c r="N308" t="str">
        <f t="shared" si="39"/>
        <v>Arjun Joshi-Sales</v>
      </c>
      <c r="O308" t="str">
        <f t="shared" si="40"/>
        <v>company.com</v>
      </c>
      <c r="P308" t="str">
        <f t="shared" si="41"/>
        <v>company.com</v>
      </c>
      <c r="Q308">
        <f t="shared" si="42"/>
        <v>2018</v>
      </c>
      <c r="R308">
        <f t="shared" ca="1" si="43"/>
        <v>8</v>
      </c>
      <c r="S308" t="str">
        <f t="shared" si="44"/>
        <v>True</v>
      </c>
    </row>
    <row r="309" spans="1:19" x14ac:dyDescent="0.4">
      <c r="A309" s="2" t="s">
        <v>796</v>
      </c>
      <c r="B309" s="2" t="s">
        <v>299</v>
      </c>
      <c r="C309" s="2" t="s">
        <v>87</v>
      </c>
      <c r="D309" s="2" t="s">
        <v>49</v>
      </c>
      <c r="E309" s="3">
        <v>43198</v>
      </c>
      <c r="F309" s="2" t="s">
        <v>300</v>
      </c>
      <c r="G309" s="2" t="s">
        <v>797</v>
      </c>
      <c r="H309" s="2" t="s">
        <v>21</v>
      </c>
      <c r="I309" s="6" t="s">
        <v>2351</v>
      </c>
      <c r="J309" s="6" t="s">
        <v>2361</v>
      </c>
      <c r="K309" t="str">
        <f t="shared" si="36"/>
        <v>ADITYA KHAN</v>
      </c>
      <c r="L309" t="str">
        <f t="shared" si="37"/>
        <v>Operations</v>
      </c>
      <c r="M309">
        <f t="shared" si="38"/>
        <v>11</v>
      </c>
      <c r="N309" t="str">
        <f t="shared" si="39"/>
        <v>Aditya Khan-Operations</v>
      </c>
      <c r="O309" t="str">
        <f t="shared" si="40"/>
        <v>company.com</v>
      </c>
      <c r="P309" t="str">
        <f t="shared" si="41"/>
        <v>company.com</v>
      </c>
      <c r="Q309">
        <f t="shared" si="42"/>
        <v>2018</v>
      </c>
      <c r="R309">
        <f t="shared" ca="1" si="43"/>
        <v>8</v>
      </c>
      <c r="S309" t="str">
        <f t="shared" si="44"/>
        <v>True</v>
      </c>
    </row>
    <row r="310" spans="1:19" x14ac:dyDescent="0.4">
      <c r="A310" s="2" t="s">
        <v>840</v>
      </c>
      <c r="B310" s="2" t="s">
        <v>661</v>
      </c>
      <c r="C310" s="2" t="s">
        <v>17</v>
      </c>
      <c r="D310" s="2" t="s">
        <v>44</v>
      </c>
      <c r="E310" s="3">
        <v>43173</v>
      </c>
      <c r="F310" s="2" t="s">
        <v>662</v>
      </c>
      <c r="G310" s="2" t="s">
        <v>841</v>
      </c>
      <c r="H310" s="2" t="s">
        <v>21</v>
      </c>
      <c r="I310" s="6" t="s">
        <v>2344</v>
      </c>
      <c r="J310" s="6" t="s">
        <v>2361</v>
      </c>
      <c r="K310" t="str">
        <f t="shared" si="36"/>
        <v>KABIR KHAN</v>
      </c>
      <c r="L310" t="str">
        <f t="shared" si="37"/>
        <v>Sales</v>
      </c>
      <c r="M310">
        <f t="shared" si="38"/>
        <v>10</v>
      </c>
      <c r="N310" t="str">
        <f t="shared" si="39"/>
        <v>Kabir Khan-Sales</v>
      </c>
      <c r="O310" t="str">
        <f t="shared" si="40"/>
        <v>company.com</v>
      </c>
      <c r="P310" t="str">
        <f t="shared" si="41"/>
        <v>company.com</v>
      </c>
      <c r="Q310">
        <f t="shared" si="42"/>
        <v>2018</v>
      </c>
      <c r="R310">
        <f t="shared" ca="1" si="43"/>
        <v>8</v>
      </c>
      <c r="S310" t="str">
        <f t="shared" si="44"/>
        <v>True</v>
      </c>
    </row>
    <row r="311" spans="1:19" x14ac:dyDescent="0.4">
      <c r="A311" s="2" t="s">
        <v>852</v>
      </c>
      <c r="B311" s="2" t="s">
        <v>141</v>
      </c>
      <c r="C311" s="2" t="s">
        <v>10</v>
      </c>
      <c r="D311" s="2" t="s">
        <v>49</v>
      </c>
      <c r="E311" s="3">
        <v>43146</v>
      </c>
      <c r="F311" s="2" t="s">
        <v>142</v>
      </c>
      <c r="G311" s="2" t="s">
        <v>853</v>
      </c>
      <c r="H311" s="2" t="s">
        <v>28</v>
      </c>
      <c r="I311" s="6" t="s">
        <v>2352</v>
      </c>
      <c r="J311" s="6" t="s">
        <v>2358</v>
      </c>
      <c r="K311" t="str">
        <f t="shared" si="36"/>
        <v>MEERA DAS</v>
      </c>
      <c r="L311" t="str">
        <f t="shared" si="37"/>
        <v>It</v>
      </c>
      <c r="M311">
        <f t="shared" si="38"/>
        <v>9</v>
      </c>
      <c r="N311" t="str">
        <f t="shared" si="39"/>
        <v>Meera Das-IT</v>
      </c>
      <c r="O311" t="str">
        <f t="shared" si="40"/>
        <v>company.com</v>
      </c>
      <c r="P311" t="str">
        <f t="shared" si="41"/>
        <v>company.com</v>
      </c>
      <c r="Q311">
        <f t="shared" si="42"/>
        <v>2018</v>
      </c>
      <c r="R311">
        <f t="shared" ca="1" si="43"/>
        <v>8</v>
      </c>
      <c r="S311" t="str">
        <f t="shared" si="44"/>
        <v>True</v>
      </c>
    </row>
    <row r="312" spans="1:19" x14ac:dyDescent="0.4">
      <c r="A312" s="2" t="s">
        <v>900</v>
      </c>
      <c r="B312" s="2" t="s">
        <v>287</v>
      </c>
      <c r="C312" s="2" t="s">
        <v>10</v>
      </c>
      <c r="D312" s="2" t="s">
        <v>18</v>
      </c>
      <c r="E312" s="3">
        <v>43161</v>
      </c>
      <c r="F312" s="2" t="s">
        <v>288</v>
      </c>
      <c r="G312" s="2" t="s">
        <v>901</v>
      </c>
      <c r="H312" s="2" t="s">
        <v>64</v>
      </c>
      <c r="I312" s="6" t="s">
        <v>2352</v>
      </c>
      <c r="J312" s="6" t="s">
        <v>2354</v>
      </c>
      <c r="K312" t="str">
        <f t="shared" si="36"/>
        <v>MEERA SINGH</v>
      </c>
      <c r="L312" t="str">
        <f t="shared" si="37"/>
        <v>It</v>
      </c>
      <c r="M312">
        <f t="shared" si="38"/>
        <v>11</v>
      </c>
      <c r="N312" t="str">
        <f t="shared" si="39"/>
        <v>Meera Singh-IT</v>
      </c>
      <c r="O312" t="str">
        <f t="shared" si="40"/>
        <v>company.com</v>
      </c>
      <c r="P312" t="str">
        <f t="shared" si="41"/>
        <v>company.com</v>
      </c>
      <c r="Q312">
        <f t="shared" si="42"/>
        <v>2018</v>
      </c>
      <c r="R312">
        <f t="shared" ca="1" si="43"/>
        <v>8</v>
      </c>
      <c r="S312" t="str">
        <f t="shared" si="44"/>
        <v>True</v>
      </c>
    </row>
    <row r="313" spans="1:19" x14ac:dyDescent="0.4">
      <c r="A313" s="2" t="s">
        <v>926</v>
      </c>
      <c r="B313" s="2" t="s">
        <v>209</v>
      </c>
      <c r="C313" s="2" t="s">
        <v>10</v>
      </c>
      <c r="D313" s="2" t="s">
        <v>49</v>
      </c>
      <c r="E313" s="3">
        <v>43315</v>
      </c>
      <c r="F313" s="2" t="s">
        <v>210</v>
      </c>
      <c r="G313" s="2" t="s">
        <v>927</v>
      </c>
      <c r="H313" s="2" t="s">
        <v>21</v>
      </c>
      <c r="I313" s="6" t="s">
        <v>2349</v>
      </c>
      <c r="J313" s="6" t="s">
        <v>2356</v>
      </c>
      <c r="K313" t="str">
        <f t="shared" si="36"/>
        <v>AARAV PATEL</v>
      </c>
      <c r="L313" t="str">
        <f t="shared" si="37"/>
        <v>It</v>
      </c>
      <c r="M313">
        <f t="shared" si="38"/>
        <v>11</v>
      </c>
      <c r="N313" t="str">
        <f t="shared" si="39"/>
        <v>Aarav Patel-IT</v>
      </c>
      <c r="O313" t="str">
        <f t="shared" si="40"/>
        <v>company.com</v>
      </c>
      <c r="P313" t="str">
        <f t="shared" si="41"/>
        <v>company.com</v>
      </c>
      <c r="Q313">
        <f t="shared" si="42"/>
        <v>2018</v>
      </c>
      <c r="R313">
        <f t="shared" ca="1" si="43"/>
        <v>8</v>
      </c>
      <c r="S313" t="str">
        <f t="shared" si="44"/>
        <v>True</v>
      </c>
    </row>
    <row r="314" spans="1:19" x14ac:dyDescent="0.4">
      <c r="A314" s="2" t="s">
        <v>970</v>
      </c>
      <c r="B314" s="2" t="s">
        <v>209</v>
      </c>
      <c r="C314" s="2" t="s">
        <v>53</v>
      </c>
      <c r="D314" s="2" t="s">
        <v>18</v>
      </c>
      <c r="E314" s="3">
        <v>43396</v>
      </c>
      <c r="F314" s="2" t="s">
        <v>210</v>
      </c>
      <c r="G314" s="2" t="s">
        <v>971</v>
      </c>
      <c r="H314" s="2" t="s">
        <v>21</v>
      </c>
      <c r="I314" s="6" t="s">
        <v>2349</v>
      </c>
      <c r="J314" s="6" t="s">
        <v>2356</v>
      </c>
      <c r="K314" t="str">
        <f t="shared" si="36"/>
        <v>AARAV PATEL</v>
      </c>
      <c r="L314" t="str">
        <f t="shared" si="37"/>
        <v>Hr</v>
      </c>
      <c r="M314">
        <f t="shared" si="38"/>
        <v>11</v>
      </c>
      <c r="N314" t="str">
        <f t="shared" si="39"/>
        <v>Aarav Patel-HR</v>
      </c>
      <c r="O314" t="str">
        <f t="shared" si="40"/>
        <v>company.com</v>
      </c>
      <c r="P314" t="str">
        <f t="shared" si="41"/>
        <v>company.com</v>
      </c>
      <c r="Q314">
        <f t="shared" si="42"/>
        <v>2018</v>
      </c>
      <c r="R314">
        <f t="shared" ca="1" si="43"/>
        <v>8</v>
      </c>
      <c r="S314" t="str">
        <f t="shared" si="44"/>
        <v>True</v>
      </c>
    </row>
    <row r="315" spans="1:19" x14ac:dyDescent="0.4">
      <c r="A315" s="2" t="s">
        <v>986</v>
      </c>
      <c r="B315" s="2" t="s">
        <v>191</v>
      </c>
      <c r="C315" s="2" t="s">
        <v>17</v>
      </c>
      <c r="D315" s="2" t="s">
        <v>49</v>
      </c>
      <c r="E315" s="3">
        <v>43208</v>
      </c>
      <c r="F315" s="2" t="s">
        <v>192</v>
      </c>
      <c r="G315" s="2" t="s">
        <v>987</v>
      </c>
      <c r="H315" s="2" t="s">
        <v>28</v>
      </c>
      <c r="I315" s="6" t="s">
        <v>2344</v>
      </c>
      <c r="J315" s="6" t="s">
        <v>2353</v>
      </c>
      <c r="K315" t="str">
        <f t="shared" si="36"/>
        <v>KABIR GUPTA</v>
      </c>
      <c r="L315" t="str">
        <f t="shared" si="37"/>
        <v>Sales</v>
      </c>
      <c r="M315">
        <f t="shared" si="38"/>
        <v>11</v>
      </c>
      <c r="N315" t="str">
        <f t="shared" si="39"/>
        <v>Kabir Gupta-Sales</v>
      </c>
      <c r="O315" t="str">
        <f t="shared" si="40"/>
        <v>company.com</v>
      </c>
      <c r="P315" t="str">
        <f t="shared" si="41"/>
        <v>company.com</v>
      </c>
      <c r="Q315">
        <f t="shared" si="42"/>
        <v>2018</v>
      </c>
      <c r="R315">
        <f t="shared" ca="1" si="43"/>
        <v>8</v>
      </c>
      <c r="S315" t="str">
        <f t="shared" si="44"/>
        <v>True</v>
      </c>
    </row>
    <row r="316" spans="1:19" x14ac:dyDescent="0.4">
      <c r="A316" s="2" t="s">
        <v>1022</v>
      </c>
      <c r="B316" s="2" t="s">
        <v>141</v>
      </c>
      <c r="C316" s="2" t="s">
        <v>10</v>
      </c>
      <c r="D316" s="2" t="s">
        <v>11</v>
      </c>
      <c r="E316" s="3">
        <v>43202</v>
      </c>
      <c r="F316" s="2" t="s">
        <v>142</v>
      </c>
      <c r="G316" s="2" t="s">
        <v>1023</v>
      </c>
      <c r="H316" s="2" t="s">
        <v>21</v>
      </c>
      <c r="I316" s="6" t="s">
        <v>2352</v>
      </c>
      <c r="J316" s="6" t="s">
        <v>2358</v>
      </c>
      <c r="K316" t="str">
        <f t="shared" si="36"/>
        <v>MEERA DAS</v>
      </c>
      <c r="L316" t="str">
        <f t="shared" si="37"/>
        <v>It</v>
      </c>
      <c r="M316">
        <f t="shared" si="38"/>
        <v>9</v>
      </c>
      <c r="N316" t="str">
        <f t="shared" si="39"/>
        <v>Meera Das-IT</v>
      </c>
      <c r="O316" t="str">
        <f t="shared" si="40"/>
        <v>company.com</v>
      </c>
      <c r="P316" t="str">
        <f t="shared" si="41"/>
        <v>company.com</v>
      </c>
      <c r="Q316">
        <f t="shared" si="42"/>
        <v>2018</v>
      </c>
      <c r="R316">
        <f t="shared" ca="1" si="43"/>
        <v>8</v>
      </c>
      <c r="S316" t="str">
        <f t="shared" si="44"/>
        <v>True</v>
      </c>
    </row>
    <row r="317" spans="1:19" x14ac:dyDescent="0.4">
      <c r="A317" s="2" t="s">
        <v>1066</v>
      </c>
      <c r="B317" s="2" t="s">
        <v>665</v>
      </c>
      <c r="C317" s="2" t="s">
        <v>53</v>
      </c>
      <c r="D317" s="2" t="s">
        <v>44</v>
      </c>
      <c r="E317" s="3">
        <v>43234</v>
      </c>
      <c r="F317" s="2" t="s">
        <v>666</v>
      </c>
      <c r="G317" s="2" t="s">
        <v>1067</v>
      </c>
      <c r="H317" s="2" t="s">
        <v>64</v>
      </c>
      <c r="I317" s="6" t="s">
        <v>2345</v>
      </c>
      <c r="J317" s="6" t="s">
        <v>2354</v>
      </c>
      <c r="K317" t="str">
        <f t="shared" si="36"/>
        <v>ISHA SINGH</v>
      </c>
      <c r="L317" t="str">
        <f t="shared" si="37"/>
        <v>Hr</v>
      </c>
      <c r="M317">
        <f t="shared" si="38"/>
        <v>10</v>
      </c>
      <c r="N317" t="str">
        <f t="shared" si="39"/>
        <v>Isha Singh-HR</v>
      </c>
      <c r="O317" t="str">
        <f t="shared" si="40"/>
        <v>company.com</v>
      </c>
      <c r="P317" t="str">
        <f t="shared" si="41"/>
        <v>company.com</v>
      </c>
      <c r="Q317">
        <f t="shared" si="42"/>
        <v>2018</v>
      </c>
      <c r="R317">
        <f t="shared" ca="1" si="43"/>
        <v>8</v>
      </c>
      <c r="S317" t="str">
        <f t="shared" si="44"/>
        <v>True</v>
      </c>
    </row>
    <row r="318" spans="1:19" x14ac:dyDescent="0.4">
      <c r="A318" s="2" t="s">
        <v>1074</v>
      </c>
      <c r="B318" s="2" t="s">
        <v>66</v>
      </c>
      <c r="C318" s="2" t="s">
        <v>24</v>
      </c>
      <c r="D318" s="2" t="s">
        <v>49</v>
      </c>
      <c r="E318" s="3">
        <v>43159</v>
      </c>
      <c r="F318" s="2" t="s">
        <v>67</v>
      </c>
      <c r="G318" s="2" t="s">
        <v>1075</v>
      </c>
      <c r="H318" s="2" t="s">
        <v>21</v>
      </c>
      <c r="I318" s="6" t="s">
        <v>2349</v>
      </c>
      <c r="J318" s="6" t="s">
        <v>2361</v>
      </c>
      <c r="K318" t="str">
        <f t="shared" si="36"/>
        <v>AARAV KHAN</v>
      </c>
      <c r="L318" t="str">
        <f t="shared" si="37"/>
        <v>Marketing</v>
      </c>
      <c r="M318">
        <f t="shared" si="38"/>
        <v>10</v>
      </c>
      <c r="N318" t="str">
        <f t="shared" si="39"/>
        <v>Aarav Khan-Marketing</v>
      </c>
      <c r="O318" t="str">
        <f t="shared" si="40"/>
        <v>company.com</v>
      </c>
      <c r="P318" t="str">
        <f t="shared" si="41"/>
        <v>company.com</v>
      </c>
      <c r="Q318">
        <f t="shared" si="42"/>
        <v>2018</v>
      </c>
      <c r="R318">
        <f t="shared" ca="1" si="43"/>
        <v>8</v>
      </c>
      <c r="S318" t="str">
        <f t="shared" si="44"/>
        <v>True</v>
      </c>
    </row>
    <row r="319" spans="1:19" x14ac:dyDescent="0.4">
      <c r="A319" s="2" t="s">
        <v>1090</v>
      </c>
      <c r="B319" s="2" t="s">
        <v>203</v>
      </c>
      <c r="C319" s="2" t="s">
        <v>17</v>
      </c>
      <c r="D319" s="2" t="s">
        <v>18</v>
      </c>
      <c r="E319" s="3">
        <v>43434</v>
      </c>
      <c r="F319" s="2" t="s">
        <v>204</v>
      </c>
      <c r="G319" s="2" t="s">
        <v>1091</v>
      </c>
      <c r="H319" s="2" t="s">
        <v>64</v>
      </c>
      <c r="I319" s="6" t="s">
        <v>2348</v>
      </c>
      <c r="J319" s="6" t="s">
        <v>2353</v>
      </c>
      <c r="K319" t="str">
        <f t="shared" si="36"/>
        <v>ANANYA GUPTA</v>
      </c>
      <c r="L319" t="str">
        <f t="shared" si="37"/>
        <v>Sales</v>
      </c>
      <c r="M319">
        <f t="shared" si="38"/>
        <v>12</v>
      </c>
      <c r="N319" t="str">
        <f t="shared" si="39"/>
        <v>Ananya Gupta-Sales</v>
      </c>
      <c r="O319" t="str">
        <f t="shared" si="40"/>
        <v>company.com</v>
      </c>
      <c r="P319" t="str">
        <f t="shared" si="41"/>
        <v>company.com</v>
      </c>
      <c r="Q319">
        <f t="shared" si="42"/>
        <v>2018</v>
      </c>
      <c r="R319">
        <f t="shared" ca="1" si="43"/>
        <v>7</v>
      </c>
      <c r="S319" t="str">
        <f t="shared" si="44"/>
        <v>True</v>
      </c>
    </row>
    <row r="320" spans="1:19" x14ac:dyDescent="0.4">
      <c r="A320" s="2" t="s">
        <v>1106</v>
      </c>
      <c r="B320" s="2" t="s">
        <v>141</v>
      </c>
      <c r="C320" s="2" t="s">
        <v>17</v>
      </c>
      <c r="D320" s="2" t="s">
        <v>25</v>
      </c>
      <c r="E320" s="3">
        <v>43251</v>
      </c>
      <c r="F320" s="2" t="s">
        <v>142</v>
      </c>
      <c r="G320" s="2" t="s">
        <v>1107</v>
      </c>
      <c r="H320" s="2" t="s">
        <v>14</v>
      </c>
      <c r="I320" s="6" t="s">
        <v>2352</v>
      </c>
      <c r="J320" s="6" t="s">
        <v>2358</v>
      </c>
      <c r="K320" t="str">
        <f t="shared" si="36"/>
        <v>MEERA DAS</v>
      </c>
      <c r="L320" t="str">
        <f t="shared" si="37"/>
        <v>Sales</v>
      </c>
      <c r="M320">
        <f t="shared" si="38"/>
        <v>9</v>
      </c>
      <c r="N320" t="str">
        <f t="shared" si="39"/>
        <v>Meera Das-Sales</v>
      </c>
      <c r="O320" t="str">
        <f t="shared" si="40"/>
        <v>company.com</v>
      </c>
      <c r="P320" t="str">
        <f t="shared" si="41"/>
        <v>company.com</v>
      </c>
      <c r="Q320">
        <f t="shared" si="42"/>
        <v>2018</v>
      </c>
      <c r="R320">
        <f t="shared" ca="1" si="43"/>
        <v>8</v>
      </c>
      <c r="S320" t="str">
        <f t="shared" si="44"/>
        <v>True</v>
      </c>
    </row>
    <row r="321" spans="1:19" x14ac:dyDescent="0.4">
      <c r="A321" s="2" t="s">
        <v>1116</v>
      </c>
      <c r="B321" s="2" t="s">
        <v>225</v>
      </c>
      <c r="C321" s="2" t="s">
        <v>87</v>
      </c>
      <c r="D321" s="2" t="s">
        <v>18</v>
      </c>
      <c r="E321" s="3">
        <v>43183</v>
      </c>
      <c r="F321" s="2" t="s">
        <v>226</v>
      </c>
      <c r="G321" s="2" t="s">
        <v>1117</v>
      </c>
      <c r="H321" s="2" t="s">
        <v>55</v>
      </c>
      <c r="I321" s="6" t="s">
        <v>2347</v>
      </c>
      <c r="J321" s="6" t="s">
        <v>2353</v>
      </c>
      <c r="K321" t="str">
        <f t="shared" si="36"/>
        <v>ARJUN GUPTA</v>
      </c>
      <c r="L321" t="str">
        <f t="shared" si="37"/>
        <v>Operations</v>
      </c>
      <c r="M321">
        <f t="shared" si="38"/>
        <v>11</v>
      </c>
      <c r="N321" t="str">
        <f t="shared" si="39"/>
        <v>Arjun Gupta-Operations</v>
      </c>
      <c r="O321" t="str">
        <f t="shared" si="40"/>
        <v>company.com</v>
      </c>
      <c r="P321" t="str">
        <f t="shared" si="41"/>
        <v>company.com</v>
      </c>
      <c r="Q321">
        <f t="shared" si="42"/>
        <v>2018</v>
      </c>
      <c r="R321">
        <f t="shared" ca="1" si="43"/>
        <v>8</v>
      </c>
      <c r="S321" t="str">
        <f t="shared" si="44"/>
        <v>True</v>
      </c>
    </row>
    <row r="322" spans="1:19" x14ac:dyDescent="0.4">
      <c r="A322" s="2" t="s">
        <v>1144</v>
      </c>
      <c r="B322" s="2" t="s">
        <v>191</v>
      </c>
      <c r="C322" s="2" t="s">
        <v>87</v>
      </c>
      <c r="D322" s="2" t="s">
        <v>25</v>
      </c>
      <c r="E322" s="3">
        <v>43239</v>
      </c>
      <c r="F322" s="2" t="s">
        <v>192</v>
      </c>
      <c r="G322" s="2" t="s">
        <v>1145</v>
      </c>
      <c r="H322" s="2" t="s">
        <v>64</v>
      </c>
      <c r="I322" s="6" t="s">
        <v>2344</v>
      </c>
      <c r="J322" s="6" t="s">
        <v>2353</v>
      </c>
      <c r="K322" t="str">
        <f t="shared" si="36"/>
        <v>KABIR GUPTA</v>
      </c>
      <c r="L322" t="str">
        <f t="shared" si="37"/>
        <v>Operations</v>
      </c>
      <c r="M322">
        <f t="shared" si="38"/>
        <v>11</v>
      </c>
      <c r="N322" t="str">
        <f t="shared" si="39"/>
        <v>Kabir Gupta-Operations</v>
      </c>
      <c r="O322" t="str">
        <f t="shared" si="40"/>
        <v>company.com</v>
      </c>
      <c r="P322" t="str">
        <f t="shared" si="41"/>
        <v>company.com</v>
      </c>
      <c r="Q322">
        <f t="shared" si="42"/>
        <v>2018</v>
      </c>
      <c r="R322">
        <f t="shared" ca="1" si="43"/>
        <v>8</v>
      </c>
      <c r="S322" t="str">
        <f t="shared" si="44"/>
        <v>True</v>
      </c>
    </row>
    <row r="323" spans="1:19" x14ac:dyDescent="0.4">
      <c r="A323" s="2" t="s">
        <v>1214</v>
      </c>
      <c r="B323" s="2" t="s">
        <v>195</v>
      </c>
      <c r="C323" s="2" t="s">
        <v>31</v>
      </c>
      <c r="D323" s="2" t="s">
        <v>49</v>
      </c>
      <c r="E323" s="3">
        <v>43191</v>
      </c>
      <c r="F323" s="2" t="s">
        <v>196</v>
      </c>
      <c r="G323" s="2" t="s">
        <v>1215</v>
      </c>
      <c r="H323" s="2" t="s">
        <v>21</v>
      </c>
      <c r="I323" s="6" t="s">
        <v>2348</v>
      </c>
      <c r="J323" s="6" t="s">
        <v>2358</v>
      </c>
      <c r="K323" t="str">
        <f t="shared" ref="K323:K386" si="45">UPPER(B323)</f>
        <v>ANANYA DAS</v>
      </c>
      <c r="L323" t="str">
        <f t="shared" ref="L323:L386" si="46">PROPER(C323)</f>
        <v>Finance</v>
      </c>
      <c r="M323">
        <f t="shared" ref="M323:M386" si="47">LEN(B323)</f>
        <v>10</v>
      </c>
      <c r="N323" t="str">
        <f t="shared" ref="N323:N386" si="48">_xlfn.CONCAT(B323,"-",C323)</f>
        <v>Ananya Das-Finance</v>
      </c>
      <c r="O323" t="str">
        <f t="shared" ref="O323:O386" si="49">RIGHT(F323,11)</f>
        <v>company.com</v>
      </c>
      <c r="P323" t="str">
        <f t="shared" ref="P323:P386" si="50">MID(F323,FIND("@",F323)+1,50)</f>
        <v>company.com</v>
      </c>
      <c r="Q323">
        <f t="shared" ref="Q323:Q386" si="51">YEAR(E323)</f>
        <v>2018</v>
      </c>
      <c r="R323">
        <f t="shared" ref="R323:R386" ca="1" si="52">DATEDIF(E323,TODAY(),"y")</f>
        <v>8</v>
      </c>
      <c r="S323" t="str">
        <f t="shared" ref="S323:S386" si="53">IF(YEAR(E323)&lt;2020,"True","False")</f>
        <v>True</v>
      </c>
    </row>
    <row r="324" spans="1:19" x14ac:dyDescent="0.4">
      <c r="A324" s="2" t="s">
        <v>1220</v>
      </c>
      <c r="B324" s="2" t="s">
        <v>16</v>
      </c>
      <c r="C324" s="2" t="s">
        <v>87</v>
      </c>
      <c r="D324" s="2" t="s">
        <v>18</v>
      </c>
      <c r="E324" s="3">
        <v>43271</v>
      </c>
      <c r="F324" s="2" t="s">
        <v>19</v>
      </c>
      <c r="G324" s="2" t="s">
        <v>1221</v>
      </c>
      <c r="H324" s="2" t="s">
        <v>21</v>
      </c>
      <c r="I324" s="6" t="s">
        <v>2352</v>
      </c>
      <c r="J324" s="6" t="s">
        <v>2359</v>
      </c>
      <c r="K324" t="str">
        <f t="shared" si="45"/>
        <v>MEERA REDDY</v>
      </c>
      <c r="L324" t="str">
        <f t="shared" si="46"/>
        <v>Operations</v>
      </c>
      <c r="M324">
        <f t="shared" si="47"/>
        <v>11</v>
      </c>
      <c r="N324" t="str">
        <f t="shared" si="48"/>
        <v>Meera Reddy-Operations</v>
      </c>
      <c r="O324" t="str">
        <f t="shared" si="49"/>
        <v>company.com</v>
      </c>
      <c r="P324" t="str">
        <f t="shared" si="50"/>
        <v>company.com</v>
      </c>
      <c r="Q324">
        <f t="shared" si="51"/>
        <v>2018</v>
      </c>
      <c r="R324">
        <f t="shared" ca="1" si="52"/>
        <v>8</v>
      </c>
      <c r="S324" t="str">
        <f t="shared" si="53"/>
        <v>True</v>
      </c>
    </row>
    <row r="325" spans="1:19" x14ac:dyDescent="0.4">
      <c r="A325" s="2" t="s">
        <v>8</v>
      </c>
      <c r="B325" s="2" t="s">
        <v>9</v>
      </c>
      <c r="C325" s="2" t="s">
        <v>10</v>
      </c>
      <c r="D325" s="2" t="s">
        <v>11</v>
      </c>
      <c r="E325" s="3">
        <v>43022</v>
      </c>
      <c r="F325" s="2" t="s">
        <v>12</v>
      </c>
      <c r="G325" s="2" t="s">
        <v>13</v>
      </c>
      <c r="H325" s="2" t="s">
        <v>14</v>
      </c>
      <c r="I325" s="6" t="s">
        <v>2352</v>
      </c>
      <c r="J325" s="6" t="s">
        <v>2362</v>
      </c>
      <c r="K325" t="str">
        <f t="shared" si="45"/>
        <v>MEERA MEHTA</v>
      </c>
      <c r="L325" t="str">
        <f t="shared" si="46"/>
        <v>It</v>
      </c>
      <c r="M325">
        <f t="shared" si="47"/>
        <v>11</v>
      </c>
      <c r="N325" t="str">
        <f t="shared" si="48"/>
        <v>Meera Mehta-IT</v>
      </c>
      <c r="O325" t="str">
        <f t="shared" si="49"/>
        <v>company.com</v>
      </c>
      <c r="P325" t="str">
        <f t="shared" si="50"/>
        <v>company.com</v>
      </c>
      <c r="Q325">
        <f t="shared" si="51"/>
        <v>2017</v>
      </c>
      <c r="R325">
        <f t="shared" ca="1" si="52"/>
        <v>9</v>
      </c>
      <c r="S325" t="str">
        <f t="shared" si="53"/>
        <v>True</v>
      </c>
    </row>
    <row r="326" spans="1:19" x14ac:dyDescent="0.4">
      <c r="A326" s="2" t="s">
        <v>47</v>
      </c>
      <c r="B326" s="2" t="s">
        <v>48</v>
      </c>
      <c r="C326" s="2" t="s">
        <v>10</v>
      </c>
      <c r="D326" s="2" t="s">
        <v>49</v>
      </c>
      <c r="E326" s="3">
        <v>42931</v>
      </c>
      <c r="F326" s="2" t="s">
        <v>50</v>
      </c>
      <c r="G326" s="2" t="s">
        <v>51</v>
      </c>
      <c r="H326" s="2" t="s">
        <v>21</v>
      </c>
      <c r="I326" s="6" t="s">
        <v>2351</v>
      </c>
      <c r="J326" s="6" t="s">
        <v>2353</v>
      </c>
      <c r="K326" t="str">
        <f t="shared" si="45"/>
        <v>ADITYA GUPTA</v>
      </c>
      <c r="L326" t="str">
        <f t="shared" si="46"/>
        <v>It</v>
      </c>
      <c r="M326">
        <f t="shared" si="47"/>
        <v>12</v>
      </c>
      <c r="N326" t="str">
        <f t="shared" si="48"/>
        <v>Aditya Gupta-IT</v>
      </c>
      <c r="O326" t="str">
        <f t="shared" si="49"/>
        <v>company.com</v>
      </c>
      <c r="P326" t="str">
        <f t="shared" si="50"/>
        <v>company.com</v>
      </c>
      <c r="Q326">
        <f t="shared" si="51"/>
        <v>2017</v>
      </c>
      <c r="R326">
        <f t="shared" ca="1" si="52"/>
        <v>9</v>
      </c>
      <c r="S326" t="str">
        <f t="shared" si="53"/>
        <v>True</v>
      </c>
    </row>
    <row r="327" spans="1:19" x14ac:dyDescent="0.4">
      <c r="A327" s="2" t="s">
        <v>106</v>
      </c>
      <c r="B327" s="2" t="s">
        <v>107</v>
      </c>
      <c r="C327" s="2" t="s">
        <v>24</v>
      </c>
      <c r="D327" s="2" t="s">
        <v>25</v>
      </c>
      <c r="E327" s="3">
        <v>42942</v>
      </c>
      <c r="F327" s="2" t="s">
        <v>108</v>
      </c>
      <c r="G327" s="2" t="s">
        <v>109</v>
      </c>
      <c r="H327" s="2" t="s">
        <v>28</v>
      </c>
      <c r="I327" s="6" t="s">
        <v>2347</v>
      </c>
      <c r="J327" s="6" t="s">
        <v>2362</v>
      </c>
      <c r="K327" t="str">
        <f t="shared" si="45"/>
        <v>ARJUN MEHTA</v>
      </c>
      <c r="L327" t="str">
        <f t="shared" si="46"/>
        <v>Marketing</v>
      </c>
      <c r="M327">
        <f t="shared" si="47"/>
        <v>11</v>
      </c>
      <c r="N327" t="str">
        <f t="shared" si="48"/>
        <v>Arjun Mehta-Marketing</v>
      </c>
      <c r="O327" t="str">
        <f t="shared" si="49"/>
        <v>company.com</v>
      </c>
      <c r="P327" t="str">
        <f t="shared" si="50"/>
        <v>company.com</v>
      </c>
      <c r="Q327">
        <f t="shared" si="51"/>
        <v>2017</v>
      </c>
      <c r="R327">
        <f t="shared" ca="1" si="52"/>
        <v>9</v>
      </c>
      <c r="S327" t="str">
        <f t="shared" si="53"/>
        <v>True</v>
      </c>
    </row>
    <row r="328" spans="1:19" x14ac:dyDescent="0.4">
      <c r="A328" s="2" t="s">
        <v>168</v>
      </c>
      <c r="B328" s="2" t="s">
        <v>141</v>
      </c>
      <c r="C328" s="2" t="s">
        <v>10</v>
      </c>
      <c r="D328" s="2" t="s">
        <v>49</v>
      </c>
      <c r="E328" s="3">
        <v>43040</v>
      </c>
      <c r="F328" s="2" t="s">
        <v>142</v>
      </c>
      <c r="G328" s="2" t="s">
        <v>169</v>
      </c>
      <c r="H328" s="2" t="s">
        <v>64</v>
      </c>
      <c r="I328" s="6" t="s">
        <v>2352</v>
      </c>
      <c r="J328" s="6" t="s">
        <v>2358</v>
      </c>
      <c r="K328" t="str">
        <f t="shared" si="45"/>
        <v>MEERA DAS</v>
      </c>
      <c r="L328" t="str">
        <f t="shared" si="46"/>
        <v>It</v>
      </c>
      <c r="M328">
        <f t="shared" si="47"/>
        <v>9</v>
      </c>
      <c r="N328" t="str">
        <f t="shared" si="48"/>
        <v>Meera Das-IT</v>
      </c>
      <c r="O328" t="str">
        <f t="shared" si="49"/>
        <v>company.com</v>
      </c>
      <c r="P328" t="str">
        <f t="shared" si="50"/>
        <v>company.com</v>
      </c>
      <c r="Q328">
        <f t="shared" si="51"/>
        <v>2017</v>
      </c>
      <c r="R328">
        <f t="shared" ca="1" si="52"/>
        <v>8</v>
      </c>
      <c r="S328" t="str">
        <f t="shared" si="53"/>
        <v>True</v>
      </c>
    </row>
    <row r="329" spans="1:19" x14ac:dyDescent="0.4">
      <c r="A329" s="2" t="s">
        <v>176</v>
      </c>
      <c r="B329" s="2" t="s">
        <v>177</v>
      </c>
      <c r="C329" s="2" t="s">
        <v>17</v>
      </c>
      <c r="D329" s="2" t="s">
        <v>44</v>
      </c>
      <c r="E329" s="3">
        <v>42959</v>
      </c>
      <c r="F329" s="2" t="s">
        <v>178</v>
      </c>
      <c r="G329" s="2" t="s">
        <v>179</v>
      </c>
      <c r="H329" s="2" t="s">
        <v>21</v>
      </c>
      <c r="I329" s="6" t="s">
        <v>2346</v>
      </c>
      <c r="J329" s="6" t="s">
        <v>2353</v>
      </c>
      <c r="K329" t="str">
        <f t="shared" si="45"/>
        <v>RIYA GUPTA</v>
      </c>
      <c r="L329" t="str">
        <f t="shared" si="46"/>
        <v>Sales</v>
      </c>
      <c r="M329">
        <f t="shared" si="47"/>
        <v>10</v>
      </c>
      <c r="N329" t="str">
        <f t="shared" si="48"/>
        <v>Riya Gupta-Sales</v>
      </c>
      <c r="O329" t="str">
        <f t="shared" si="49"/>
        <v>company.com</v>
      </c>
      <c r="P329" t="str">
        <f t="shared" si="50"/>
        <v>company.com</v>
      </c>
      <c r="Q329">
        <f t="shared" si="51"/>
        <v>2017</v>
      </c>
      <c r="R329">
        <f t="shared" ca="1" si="52"/>
        <v>9</v>
      </c>
      <c r="S329" t="str">
        <f t="shared" si="53"/>
        <v>True</v>
      </c>
    </row>
    <row r="330" spans="1:19" x14ac:dyDescent="0.4">
      <c r="A330" s="2" t="s">
        <v>230</v>
      </c>
      <c r="B330" s="2" t="s">
        <v>121</v>
      </c>
      <c r="C330" s="2" t="s">
        <v>10</v>
      </c>
      <c r="D330" s="2" t="s">
        <v>18</v>
      </c>
      <c r="E330" s="3">
        <v>43100</v>
      </c>
      <c r="F330" s="2" t="s">
        <v>122</v>
      </c>
      <c r="G330" s="2" t="s">
        <v>231</v>
      </c>
      <c r="H330" s="2" t="s">
        <v>28</v>
      </c>
      <c r="I330" s="6" t="s">
        <v>2348</v>
      </c>
      <c r="J330" s="6" t="s">
        <v>2360</v>
      </c>
      <c r="K330" t="str">
        <f t="shared" si="45"/>
        <v>ANANYA SHARMA</v>
      </c>
      <c r="L330" t="str">
        <f t="shared" si="46"/>
        <v>It</v>
      </c>
      <c r="M330">
        <f t="shared" si="47"/>
        <v>13</v>
      </c>
      <c r="N330" t="str">
        <f t="shared" si="48"/>
        <v>Ananya Sharma-IT</v>
      </c>
      <c r="O330" t="str">
        <f t="shared" si="49"/>
        <v>company.com</v>
      </c>
      <c r="P330" t="str">
        <f t="shared" si="50"/>
        <v>company.com</v>
      </c>
      <c r="Q330">
        <f t="shared" si="51"/>
        <v>2017</v>
      </c>
      <c r="R330">
        <f t="shared" ca="1" si="52"/>
        <v>8</v>
      </c>
      <c r="S330" t="str">
        <f t="shared" si="53"/>
        <v>True</v>
      </c>
    </row>
    <row r="331" spans="1:19" x14ac:dyDescent="0.4">
      <c r="A331" s="2" t="s">
        <v>254</v>
      </c>
      <c r="B331" s="2" t="s">
        <v>255</v>
      </c>
      <c r="C331" s="2" t="s">
        <v>53</v>
      </c>
      <c r="D331" s="2" t="s">
        <v>18</v>
      </c>
      <c r="E331" s="3">
        <v>43041</v>
      </c>
      <c r="F331" s="2" t="s">
        <v>256</v>
      </c>
      <c r="G331" s="2" t="s">
        <v>257</v>
      </c>
      <c r="H331" s="2" t="s">
        <v>21</v>
      </c>
      <c r="I331" s="6" t="s">
        <v>2346</v>
      </c>
      <c r="J331" s="6" t="s">
        <v>2354</v>
      </c>
      <c r="K331" t="str">
        <f t="shared" si="45"/>
        <v>RIYA SINGH</v>
      </c>
      <c r="L331" t="str">
        <f t="shared" si="46"/>
        <v>Hr</v>
      </c>
      <c r="M331">
        <f t="shared" si="47"/>
        <v>10</v>
      </c>
      <c r="N331" t="str">
        <f t="shared" si="48"/>
        <v>Riya Singh-HR</v>
      </c>
      <c r="O331" t="str">
        <f t="shared" si="49"/>
        <v>company.com</v>
      </c>
      <c r="P331" t="str">
        <f t="shared" si="50"/>
        <v>company.com</v>
      </c>
      <c r="Q331">
        <f t="shared" si="51"/>
        <v>2017</v>
      </c>
      <c r="R331">
        <f t="shared" ca="1" si="52"/>
        <v>8</v>
      </c>
      <c r="S331" t="str">
        <f t="shared" si="53"/>
        <v>True</v>
      </c>
    </row>
    <row r="332" spans="1:19" x14ac:dyDescent="0.4">
      <c r="A332" s="2" t="s">
        <v>262</v>
      </c>
      <c r="B332" s="2" t="s">
        <v>263</v>
      </c>
      <c r="C332" s="2" t="s">
        <v>24</v>
      </c>
      <c r="D332" s="2" t="s">
        <v>11</v>
      </c>
      <c r="E332" s="3">
        <v>43013</v>
      </c>
      <c r="F332" s="2" t="s">
        <v>264</v>
      </c>
      <c r="G332" s="2" t="s">
        <v>265</v>
      </c>
      <c r="H332" s="2" t="s">
        <v>64</v>
      </c>
      <c r="I332" s="6" t="s">
        <v>2345</v>
      </c>
      <c r="J332" s="6" t="s">
        <v>2353</v>
      </c>
      <c r="K332" t="str">
        <f t="shared" si="45"/>
        <v>ISHA GUPTA</v>
      </c>
      <c r="L332" t="str">
        <f t="shared" si="46"/>
        <v>Marketing</v>
      </c>
      <c r="M332">
        <f t="shared" si="47"/>
        <v>10</v>
      </c>
      <c r="N332" t="str">
        <f t="shared" si="48"/>
        <v>Isha Gupta-Marketing</v>
      </c>
      <c r="O332" t="str">
        <f t="shared" si="49"/>
        <v>company.com</v>
      </c>
      <c r="P332" t="str">
        <f t="shared" si="50"/>
        <v>company.com</v>
      </c>
      <c r="Q332">
        <f t="shared" si="51"/>
        <v>2017</v>
      </c>
      <c r="R332">
        <f t="shared" ca="1" si="52"/>
        <v>9</v>
      </c>
      <c r="S332" t="str">
        <f t="shared" si="53"/>
        <v>True</v>
      </c>
    </row>
    <row r="333" spans="1:19" x14ac:dyDescent="0.4">
      <c r="A333" s="2" t="s">
        <v>294</v>
      </c>
      <c r="B333" s="2" t="s">
        <v>295</v>
      </c>
      <c r="C333" s="2" t="s">
        <v>87</v>
      </c>
      <c r="D333" s="2" t="s">
        <v>44</v>
      </c>
      <c r="E333" s="3">
        <v>42826</v>
      </c>
      <c r="F333" s="2" t="s">
        <v>296</v>
      </c>
      <c r="G333" s="2" t="s">
        <v>297</v>
      </c>
      <c r="H333" s="2" t="s">
        <v>14</v>
      </c>
      <c r="I333" s="6" t="s">
        <v>2349</v>
      </c>
      <c r="J333" s="6" t="s">
        <v>2360</v>
      </c>
      <c r="K333" t="str">
        <f t="shared" si="45"/>
        <v>AARAV SHARMA</v>
      </c>
      <c r="L333" t="str">
        <f t="shared" si="46"/>
        <v>Operations</v>
      </c>
      <c r="M333">
        <f t="shared" si="47"/>
        <v>12</v>
      </c>
      <c r="N333" t="str">
        <f t="shared" si="48"/>
        <v>Aarav Sharma-Operations</v>
      </c>
      <c r="O333" t="str">
        <f t="shared" si="49"/>
        <v>company.com</v>
      </c>
      <c r="P333" t="str">
        <f t="shared" si="50"/>
        <v>company.com</v>
      </c>
      <c r="Q333">
        <f t="shared" si="51"/>
        <v>2017</v>
      </c>
      <c r="R333">
        <f t="shared" ca="1" si="52"/>
        <v>9</v>
      </c>
      <c r="S333" t="str">
        <f t="shared" si="53"/>
        <v>True</v>
      </c>
    </row>
    <row r="334" spans="1:19" x14ac:dyDescent="0.4">
      <c r="A334" s="2" t="s">
        <v>338</v>
      </c>
      <c r="B334" s="2" t="s">
        <v>255</v>
      </c>
      <c r="C334" s="2" t="s">
        <v>53</v>
      </c>
      <c r="D334" s="2" t="s">
        <v>11</v>
      </c>
      <c r="E334" s="3">
        <v>42774</v>
      </c>
      <c r="F334" s="2" t="s">
        <v>256</v>
      </c>
      <c r="G334" s="2" t="s">
        <v>339</v>
      </c>
      <c r="H334" s="2" t="s">
        <v>28</v>
      </c>
      <c r="I334" s="6" t="s">
        <v>2346</v>
      </c>
      <c r="J334" s="6" t="s">
        <v>2354</v>
      </c>
      <c r="K334" t="str">
        <f t="shared" si="45"/>
        <v>RIYA SINGH</v>
      </c>
      <c r="L334" t="str">
        <f t="shared" si="46"/>
        <v>Hr</v>
      </c>
      <c r="M334">
        <f t="shared" si="47"/>
        <v>10</v>
      </c>
      <c r="N334" t="str">
        <f t="shared" si="48"/>
        <v>Riya Singh-HR</v>
      </c>
      <c r="O334" t="str">
        <f t="shared" si="49"/>
        <v>company.com</v>
      </c>
      <c r="P334" t="str">
        <f t="shared" si="50"/>
        <v>company.com</v>
      </c>
      <c r="Q334">
        <f t="shared" si="51"/>
        <v>2017</v>
      </c>
      <c r="R334">
        <f t="shared" ca="1" si="52"/>
        <v>9</v>
      </c>
      <c r="S334" t="str">
        <f t="shared" si="53"/>
        <v>True</v>
      </c>
    </row>
    <row r="335" spans="1:19" x14ac:dyDescent="0.4">
      <c r="A335" s="2" t="s">
        <v>340</v>
      </c>
      <c r="B335" s="2" t="s">
        <v>16</v>
      </c>
      <c r="C335" s="2" t="s">
        <v>10</v>
      </c>
      <c r="D335" s="2" t="s">
        <v>11</v>
      </c>
      <c r="E335" s="3">
        <v>42971</v>
      </c>
      <c r="F335" s="2" t="s">
        <v>19</v>
      </c>
      <c r="G335" s="2" t="s">
        <v>341</v>
      </c>
      <c r="H335" s="2" t="s">
        <v>55</v>
      </c>
      <c r="I335" s="6" t="s">
        <v>2352</v>
      </c>
      <c r="J335" s="6" t="s">
        <v>2359</v>
      </c>
      <c r="K335" t="str">
        <f t="shared" si="45"/>
        <v>MEERA REDDY</v>
      </c>
      <c r="L335" t="str">
        <f t="shared" si="46"/>
        <v>It</v>
      </c>
      <c r="M335">
        <f t="shared" si="47"/>
        <v>11</v>
      </c>
      <c r="N335" t="str">
        <f t="shared" si="48"/>
        <v>Meera Reddy-IT</v>
      </c>
      <c r="O335" t="str">
        <f t="shared" si="49"/>
        <v>company.com</v>
      </c>
      <c r="P335" t="str">
        <f t="shared" si="50"/>
        <v>company.com</v>
      </c>
      <c r="Q335">
        <f t="shared" si="51"/>
        <v>2017</v>
      </c>
      <c r="R335">
        <f t="shared" ca="1" si="52"/>
        <v>9</v>
      </c>
      <c r="S335" t="str">
        <f t="shared" si="53"/>
        <v>True</v>
      </c>
    </row>
    <row r="336" spans="1:19" x14ac:dyDescent="0.4">
      <c r="A336" s="2" t="s">
        <v>350</v>
      </c>
      <c r="B336" s="2" t="s">
        <v>351</v>
      </c>
      <c r="C336" s="2" t="s">
        <v>31</v>
      </c>
      <c r="D336" s="2" t="s">
        <v>11</v>
      </c>
      <c r="E336" s="3">
        <v>42985</v>
      </c>
      <c r="F336" s="2" t="s">
        <v>352</v>
      </c>
      <c r="G336" s="2" t="s">
        <v>353</v>
      </c>
      <c r="H336" s="2" t="s">
        <v>55</v>
      </c>
      <c r="I336" s="6" t="s">
        <v>2348</v>
      </c>
      <c r="J336" s="6" t="s">
        <v>2361</v>
      </c>
      <c r="K336" t="str">
        <f t="shared" si="45"/>
        <v>ANANYA KHAN</v>
      </c>
      <c r="L336" t="str">
        <f t="shared" si="46"/>
        <v>Finance</v>
      </c>
      <c r="M336">
        <f t="shared" si="47"/>
        <v>11</v>
      </c>
      <c r="N336" t="str">
        <f t="shared" si="48"/>
        <v>Ananya Khan-Finance</v>
      </c>
      <c r="O336" t="str">
        <f t="shared" si="49"/>
        <v>company.com</v>
      </c>
      <c r="P336" t="str">
        <f t="shared" si="50"/>
        <v>company.com</v>
      </c>
      <c r="Q336">
        <f t="shared" si="51"/>
        <v>2017</v>
      </c>
      <c r="R336">
        <f t="shared" ca="1" si="52"/>
        <v>9</v>
      </c>
      <c r="S336" t="str">
        <f t="shared" si="53"/>
        <v>True</v>
      </c>
    </row>
    <row r="337" spans="1:19" x14ac:dyDescent="0.4">
      <c r="A337" s="2" t="s">
        <v>418</v>
      </c>
      <c r="B337" s="2" t="s">
        <v>351</v>
      </c>
      <c r="C337" s="2" t="s">
        <v>53</v>
      </c>
      <c r="D337" s="2" t="s">
        <v>44</v>
      </c>
      <c r="E337" s="3">
        <v>43076</v>
      </c>
      <c r="F337" s="2" t="s">
        <v>352</v>
      </c>
      <c r="G337" s="2" t="s">
        <v>419</v>
      </c>
      <c r="H337" s="2" t="s">
        <v>21</v>
      </c>
      <c r="I337" s="6" t="s">
        <v>2348</v>
      </c>
      <c r="J337" s="6" t="s">
        <v>2361</v>
      </c>
      <c r="K337" t="str">
        <f t="shared" si="45"/>
        <v>ANANYA KHAN</v>
      </c>
      <c r="L337" t="str">
        <f t="shared" si="46"/>
        <v>Hr</v>
      </c>
      <c r="M337">
        <f t="shared" si="47"/>
        <v>11</v>
      </c>
      <c r="N337" t="str">
        <f t="shared" si="48"/>
        <v>Ananya Khan-HR</v>
      </c>
      <c r="O337" t="str">
        <f t="shared" si="49"/>
        <v>company.com</v>
      </c>
      <c r="P337" t="str">
        <f t="shared" si="50"/>
        <v>company.com</v>
      </c>
      <c r="Q337">
        <f t="shared" si="51"/>
        <v>2017</v>
      </c>
      <c r="R337">
        <f t="shared" ca="1" si="52"/>
        <v>8</v>
      </c>
      <c r="S337" t="str">
        <f t="shared" si="53"/>
        <v>True</v>
      </c>
    </row>
    <row r="338" spans="1:19" x14ac:dyDescent="0.4">
      <c r="A338" s="2" t="s">
        <v>420</v>
      </c>
      <c r="B338" s="2" t="s">
        <v>303</v>
      </c>
      <c r="C338" s="2" t="s">
        <v>31</v>
      </c>
      <c r="D338" s="2" t="s">
        <v>11</v>
      </c>
      <c r="E338" s="3">
        <v>42959</v>
      </c>
      <c r="F338" s="2" t="s">
        <v>304</v>
      </c>
      <c r="G338" s="2" t="s">
        <v>421</v>
      </c>
      <c r="H338" s="2" t="s">
        <v>28</v>
      </c>
      <c r="I338" s="6" t="s">
        <v>2345</v>
      </c>
      <c r="J338" s="6" t="s">
        <v>2356</v>
      </c>
      <c r="K338" t="str">
        <f t="shared" si="45"/>
        <v>ISHA PATEL</v>
      </c>
      <c r="L338" t="str">
        <f t="shared" si="46"/>
        <v>Finance</v>
      </c>
      <c r="M338">
        <f t="shared" si="47"/>
        <v>10</v>
      </c>
      <c r="N338" t="str">
        <f t="shared" si="48"/>
        <v>Isha Patel-Finance</v>
      </c>
      <c r="O338" t="str">
        <f t="shared" si="49"/>
        <v>company.com</v>
      </c>
      <c r="P338" t="str">
        <f t="shared" si="50"/>
        <v>company.com</v>
      </c>
      <c r="Q338">
        <f t="shared" si="51"/>
        <v>2017</v>
      </c>
      <c r="R338">
        <f t="shared" ca="1" si="52"/>
        <v>9</v>
      </c>
      <c r="S338" t="str">
        <f t="shared" si="53"/>
        <v>True</v>
      </c>
    </row>
    <row r="339" spans="1:19" x14ac:dyDescent="0.4">
      <c r="A339" s="2" t="s">
        <v>428</v>
      </c>
      <c r="B339" s="2" t="s">
        <v>333</v>
      </c>
      <c r="C339" s="2" t="s">
        <v>31</v>
      </c>
      <c r="D339" s="2" t="s">
        <v>18</v>
      </c>
      <c r="E339" s="3">
        <v>42938</v>
      </c>
      <c r="F339" s="2" t="s">
        <v>334</v>
      </c>
      <c r="G339" s="2" t="s">
        <v>429</v>
      </c>
      <c r="H339" s="2" t="s">
        <v>28</v>
      </c>
      <c r="I339" s="6" t="s">
        <v>2349</v>
      </c>
      <c r="J339" s="6" t="s">
        <v>2354</v>
      </c>
      <c r="K339" t="str">
        <f t="shared" si="45"/>
        <v>AARAV SINGH</v>
      </c>
      <c r="L339" t="str">
        <f t="shared" si="46"/>
        <v>Finance</v>
      </c>
      <c r="M339">
        <f t="shared" si="47"/>
        <v>11</v>
      </c>
      <c r="N339" t="str">
        <f t="shared" si="48"/>
        <v>Aarav Singh-Finance</v>
      </c>
      <c r="O339" t="str">
        <f t="shared" si="49"/>
        <v>company.com</v>
      </c>
      <c r="P339" t="str">
        <f t="shared" si="50"/>
        <v>company.com</v>
      </c>
      <c r="Q339">
        <f t="shared" si="51"/>
        <v>2017</v>
      </c>
      <c r="R339">
        <f t="shared" ca="1" si="52"/>
        <v>9</v>
      </c>
      <c r="S339" t="str">
        <f t="shared" si="53"/>
        <v>True</v>
      </c>
    </row>
    <row r="340" spans="1:19" x14ac:dyDescent="0.4">
      <c r="A340" s="2" t="s">
        <v>436</v>
      </c>
      <c r="B340" s="2" t="s">
        <v>395</v>
      </c>
      <c r="C340" s="2" t="s">
        <v>24</v>
      </c>
      <c r="D340" s="2" t="s">
        <v>18</v>
      </c>
      <c r="E340" s="3">
        <v>42942</v>
      </c>
      <c r="F340" s="2" t="s">
        <v>396</v>
      </c>
      <c r="G340" s="2" t="s">
        <v>437</v>
      </c>
      <c r="H340" s="2" t="s">
        <v>55</v>
      </c>
      <c r="I340" s="6" t="s">
        <v>2346</v>
      </c>
      <c r="J340" s="6" t="s">
        <v>2355</v>
      </c>
      <c r="K340" t="str">
        <f t="shared" si="45"/>
        <v>RIYA NAIR</v>
      </c>
      <c r="L340" t="str">
        <f t="shared" si="46"/>
        <v>Marketing</v>
      </c>
      <c r="M340">
        <f t="shared" si="47"/>
        <v>9</v>
      </c>
      <c r="N340" t="str">
        <f t="shared" si="48"/>
        <v>Riya Nair-Marketing</v>
      </c>
      <c r="O340" t="str">
        <f t="shared" si="49"/>
        <v>company.com</v>
      </c>
      <c r="P340" t="str">
        <f t="shared" si="50"/>
        <v>company.com</v>
      </c>
      <c r="Q340">
        <f t="shared" si="51"/>
        <v>2017</v>
      </c>
      <c r="R340">
        <f t="shared" ca="1" si="52"/>
        <v>9</v>
      </c>
      <c r="S340" t="str">
        <f t="shared" si="53"/>
        <v>True</v>
      </c>
    </row>
    <row r="341" spans="1:19" x14ac:dyDescent="0.4">
      <c r="A341" s="2" t="s">
        <v>448</v>
      </c>
      <c r="B341" s="2" t="s">
        <v>449</v>
      </c>
      <c r="C341" s="2" t="s">
        <v>31</v>
      </c>
      <c r="D341" s="2" t="s">
        <v>44</v>
      </c>
      <c r="E341" s="3">
        <v>42778</v>
      </c>
      <c r="F341" s="2" t="s">
        <v>450</v>
      </c>
      <c r="G341" s="2" t="s">
        <v>451</v>
      </c>
      <c r="H341" s="2" t="s">
        <v>21</v>
      </c>
      <c r="I341" s="6" t="s">
        <v>2347</v>
      </c>
      <c r="J341" s="6" t="s">
        <v>2354</v>
      </c>
      <c r="K341" t="str">
        <f t="shared" si="45"/>
        <v>ARJUN SINGH</v>
      </c>
      <c r="L341" t="str">
        <f t="shared" si="46"/>
        <v>Finance</v>
      </c>
      <c r="M341">
        <f t="shared" si="47"/>
        <v>11</v>
      </c>
      <c r="N341" t="str">
        <f t="shared" si="48"/>
        <v>Arjun Singh-Finance</v>
      </c>
      <c r="O341" t="str">
        <f t="shared" si="49"/>
        <v>company.com</v>
      </c>
      <c r="P341" t="str">
        <f t="shared" si="50"/>
        <v>company.com</v>
      </c>
      <c r="Q341">
        <f t="shared" si="51"/>
        <v>2017</v>
      </c>
      <c r="R341">
        <f t="shared" ca="1" si="52"/>
        <v>9</v>
      </c>
      <c r="S341" t="str">
        <f t="shared" si="53"/>
        <v>True</v>
      </c>
    </row>
    <row r="342" spans="1:19" x14ac:dyDescent="0.4">
      <c r="A342" s="2" t="s">
        <v>492</v>
      </c>
      <c r="B342" s="2" t="s">
        <v>401</v>
      </c>
      <c r="C342" s="2" t="s">
        <v>87</v>
      </c>
      <c r="D342" s="2" t="s">
        <v>11</v>
      </c>
      <c r="E342" s="3">
        <v>42809</v>
      </c>
      <c r="F342" s="2" t="s">
        <v>402</v>
      </c>
      <c r="G342" s="2" t="s">
        <v>493</v>
      </c>
      <c r="H342" s="2" t="s">
        <v>14</v>
      </c>
      <c r="I342" s="6" t="s">
        <v>2352</v>
      </c>
      <c r="J342" s="6" t="s">
        <v>2355</v>
      </c>
      <c r="K342" t="str">
        <f t="shared" si="45"/>
        <v>MEERA NAIR</v>
      </c>
      <c r="L342" t="str">
        <f t="shared" si="46"/>
        <v>Operations</v>
      </c>
      <c r="M342">
        <f t="shared" si="47"/>
        <v>10</v>
      </c>
      <c r="N342" t="str">
        <f t="shared" si="48"/>
        <v>Meera Nair-Operations</v>
      </c>
      <c r="O342" t="str">
        <f t="shared" si="49"/>
        <v>company.com</v>
      </c>
      <c r="P342" t="str">
        <f t="shared" si="50"/>
        <v>company.com</v>
      </c>
      <c r="Q342">
        <f t="shared" si="51"/>
        <v>2017</v>
      </c>
      <c r="R342">
        <f t="shared" ca="1" si="52"/>
        <v>9</v>
      </c>
      <c r="S342" t="str">
        <f t="shared" si="53"/>
        <v>True</v>
      </c>
    </row>
    <row r="343" spans="1:19" x14ac:dyDescent="0.4">
      <c r="A343" s="2" t="s">
        <v>522</v>
      </c>
      <c r="B343" s="2" t="s">
        <v>66</v>
      </c>
      <c r="C343" s="2" t="s">
        <v>10</v>
      </c>
      <c r="D343" s="2" t="s">
        <v>44</v>
      </c>
      <c r="E343" s="3">
        <v>42826</v>
      </c>
      <c r="F343" s="2" t="s">
        <v>67</v>
      </c>
      <c r="G343" s="2" t="s">
        <v>523</v>
      </c>
      <c r="H343" s="2" t="s">
        <v>14</v>
      </c>
      <c r="I343" s="6" t="s">
        <v>2349</v>
      </c>
      <c r="J343" s="6" t="s">
        <v>2361</v>
      </c>
      <c r="K343" t="str">
        <f t="shared" si="45"/>
        <v>AARAV KHAN</v>
      </c>
      <c r="L343" t="str">
        <f t="shared" si="46"/>
        <v>It</v>
      </c>
      <c r="M343">
        <f t="shared" si="47"/>
        <v>10</v>
      </c>
      <c r="N343" t="str">
        <f t="shared" si="48"/>
        <v>Aarav Khan-IT</v>
      </c>
      <c r="O343" t="str">
        <f t="shared" si="49"/>
        <v>company.com</v>
      </c>
      <c r="P343" t="str">
        <f t="shared" si="50"/>
        <v>company.com</v>
      </c>
      <c r="Q343">
        <f t="shared" si="51"/>
        <v>2017</v>
      </c>
      <c r="R343">
        <f t="shared" ca="1" si="52"/>
        <v>9</v>
      </c>
      <c r="S343" t="str">
        <f t="shared" si="53"/>
        <v>True</v>
      </c>
    </row>
    <row r="344" spans="1:19" x14ac:dyDescent="0.4">
      <c r="A344" s="2" t="s">
        <v>540</v>
      </c>
      <c r="B344" s="2" t="s">
        <v>103</v>
      </c>
      <c r="C344" s="2" t="s">
        <v>24</v>
      </c>
      <c r="D344" s="2" t="s">
        <v>18</v>
      </c>
      <c r="E344" s="3">
        <v>43010</v>
      </c>
      <c r="F344" s="2" t="s">
        <v>104</v>
      </c>
      <c r="G344" s="2" t="s">
        <v>541</v>
      </c>
      <c r="H344" s="2" t="s">
        <v>55</v>
      </c>
      <c r="I344" s="6" t="s">
        <v>2343</v>
      </c>
      <c r="J344" s="6" t="s">
        <v>2358</v>
      </c>
      <c r="K344" t="str">
        <f t="shared" si="45"/>
        <v>DIYA DAS</v>
      </c>
      <c r="L344" t="str">
        <f t="shared" si="46"/>
        <v>Marketing</v>
      </c>
      <c r="M344">
        <f t="shared" si="47"/>
        <v>8</v>
      </c>
      <c r="N344" t="str">
        <f t="shared" si="48"/>
        <v>Diya Das-Marketing</v>
      </c>
      <c r="O344" t="str">
        <f t="shared" si="49"/>
        <v>company.com</v>
      </c>
      <c r="P344" t="str">
        <f t="shared" si="50"/>
        <v>company.com</v>
      </c>
      <c r="Q344">
        <f t="shared" si="51"/>
        <v>2017</v>
      </c>
      <c r="R344">
        <f t="shared" ca="1" si="52"/>
        <v>9</v>
      </c>
      <c r="S344" t="str">
        <f t="shared" si="53"/>
        <v>True</v>
      </c>
    </row>
    <row r="345" spans="1:19" x14ac:dyDescent="0.4">
      <c r="A345" s="2" t="s">
        <v>546</v>
      </c>
      <c r="B345" s="2" t="s">
        <v>145</v>
      </c>
      <c r="C345" s="2" t="s">
        <v>24</v>
      </c>
      <c r="D345" s="2" t="s">
        <v>49</v>
      </c>
      <c r="E345" s="3">
        <v>43095</v>
      </c>
      <c r="F345" s="2" t="s">
        <v>146</v>
      </c>
      <c r="G345" s="2" t="s">
        <v>547</v>
      </c>
      <c r="H345" s="2" t="s">
        <v>64</v>
      </c>
      <c r="I345" s="6" t="s">
        <v>2351</v>
      </c>
      <c r="J345" s="6" t="s">
        <v>2355</v>
      </c>
      <c r="K345" t="str">
        <f t="shared" si="45"/>
        <v>ADITYA NAIR</v>
      </c>
      <c r="L345" t="str">
        <f t="shared" si="46"/>
        <v>Marketing</v>
      </c>
      <c r="M345">
        <f t="shared" si="47"/>
        <v>11</v>
      </c>
      <c r="N345" t="str">
        <f t="shared" si="48"/>
        <v>Aditya Nair-Marketing</v>
      </c>
      <c r="O345" t="str">
        <f t="shared" si="49"/>
        <v>company.com</v>
      </c>
      <c r="P345" t="str">
        <f t="shared" si="50"/>
        <v>company.com</v>
      </c>
      <c r="Q345">
        <f t="shared" si="51"/>
        <v>2017</v>
      </c>
      <c r="R345">
        <f t="shared" ca="1" si="52"/>
        <v>8</v>
      </c>
      <c r="S345" t="str">
        <f t="shared" si="53"/>
        <v>True</v>
      </c>
    </row>
    <row r="346" spans="1:19" x14ac:dyDescent="0.4">
      <c r="A346" s="2" t="s">
        <v>550</v>
      </c>
      <c r="B346" s="2" t="s">
        <v>157</v>
      </c>
      <c r="C346" s="2" t="s">
        <v>24</v>
      </c>
      <c r="D346" s="2" t="s">
        <v>25</v>
      </c>
      <c r="E346" s="3">
        <v>42975</v>
      </c>
      <c r="F346" s="2" t="s">
        <v>158</v>
      </c>
      <c r="G346" s="2" t="s">
        <v>551</v>
      </c>
      <c r="H346" s="2" t="s">
        <v>28</v>
      </c>
      <c r="I346" s="6" t="s">
        <v>2346</v>
      </c>
      <c r="J346" s="6" t="s">
        <v>2362</v>
      </c>
      <c r="K346" t="str">
        <f t="shared" si="45"/>
        <v>RIYA MEHTA</v>
      </c>
      <c r="L346" t="str">
        <f t="shared" si="46"/>
        <v>Marketing</v>
      </c>
      <c r="M346">
        <f t="shared" si="47"/>
        <v>10</v>
      </c>
      <c r="N346" t="str">
        <f t="shared" si="48"/>
        <v>Riya Mehta-Marketing</v>
      </c>
      <c r="O346" t="str">
        <f t="shared" si="49"/>
        <v>company.com</v>
      </c>
      <c r="P346" t="str">
        <f t="shared" si="50"/>
        <v>company.com</v>
      </c>
      <c r="Q346">
        <f t="shared" si="51"/>
        <v>2017</v>
      </c>
      <c r="R346">
        <f t="shared" ca="1" si="52"/>
        <v>9</v>
      </c>
      <c r="S346" t="str">
        <f t="shared" si="53"/>
        <v>True</v>
      </c>
    </row>
    <row r="347" spans="1:19" x14ac:dyDescent="0.4">
      <c r="A347" s="2" t="s">
        <v>566</v>
      </c>
      <c r="B347" s="2" t="s">
        <v>567</v>
      </c>
      <c r="C347" s="2" t="s">
        <v>53</v>
      </c>
      <c r="D347" s="2" t="s">
        <v>11</v>
      </c>
      <c r="E347" s="3">
        <v>43017</v>
      </c>
      <c r="F347" s="2" t="s">
        <v>568</v>
      </c>
      <c r="G347" s="2" t="s">
        <v>569</v>
      </c>
      <c r="H347" s="2" t="s">
        <v>28</v>
      </c>
      <c r="I347" s="6" t="s">
        <v>2347</v>
      </c>
      <c r="J347" s="6" t="s">
        <v>2356</v>
      </c>
      <c r="K347" t="str">
        <f t="shared" si="45"/>
        <v>ARJUN PATEL</v>
      </c>
      <c r="L347" t="str">
        <f t="shared" si="46"/>
        <v>Hr</v>
      </c>
      <c r="M347">
        <f t="shared" si="47"/>
        <v>11</v>
      </c>
      <c r="N347" t="str">
        <f t="shared" si="48"/>
        <v>Arjun Patel-HR</v>
      </c>
      <c r="O347" t="str">
        <f t="shared" si="49"/>
        <v>company.com</v>
      </c>
      <c r="P347" t="str">
        <f t="shared" si="50"/>
        <v>company.com</v>
      </c>
      <c r="Q347">
        <f t="shared" si="51"/>
        <v>2017</v>
      </c>
      <c r="R347">
        <f t="shared" ca="1" si="52"/>
        <v>9</v>
      </c>
      <c r="S347" t="str">
        <f t="shared" si="53"/>
        <v>True</v>
      </c>
    </row>
    <row r="348" spans="1:19" x14ac:dyDescent="0.4">
      <c r="A348" s="2" t="s">
        <v>582</v>
      </c>
      <c r="B348" s="2" t="s">
        <v>217</v>
      </c>
      <c r="C348" s="2" t="s">
        <v>31</v>
      </c>
      <c r="D348" s="2" t="s">
        <v>44</v>
      </c>
      <c r="E348" s="3">
        <v>43091</v>
      </c>
      <c r="F348" s="2" t="s">
        <v>218</v>
      </c>
      <c r="G348" s="2" t="s">
        <v>583</v>
      </c>
      <c r="H348" s="2" t="s">
        <v>55</v>
      </c>
      <c r="I348" s="6" t="s">
        <v>2352</v>
      </c>
      <c r="J348" s="6" t="s">
        <v>2353</v>
      </c>
      <c r="K348" t="str">
        <f t="shared" si="45"/>
        <v>MEERA GUPTA</v>
      </c>
      <c r="L348" t="str">
        <f t="shared" si="46"/>
        <v>Finance</v>
      </c>
      <c r="M348">
        <f t="shared" si="47"/>
        <v>11</v>
      </c>
      <c r="N348" t="str">
        <f t="shared" si="48"/>
        <v>Meera Gupta-Finance</v>
      </c>
      <c r="O348" t="str">
        <f t="shared" si="49"/>
        <v>company.com</v>
      </c>
      <c r="P348" t="str">
        <f t="shared" si="50"/>
        <v>company.com</v>
      </c>
      <c r="Q348">
        <f t="shared" si="51"/>
        <v>2017</v>
      </c>
      <c r="R348">
        <f t="shared" ca="1" si="52"/>
        <v>8</v>
      </c>
      <c r="S348" t="str">
        <f t="shared" si="53"/>
        <v>True</v>
      </c>
    </row>
    <row r="349" spans="1:19" x14ac:dyDescent="0.4">
      <c r="A349" s="2" t="s">
        <v>598</v>
      </c>
      <c r="B349" s="2" t="s">
        <v>133</v>
      </c>
      <c r="C349" s="2" t="s">
        <v>87</v>
      </c>
      <c r="D349" s="2" t="s">
        <v>25</v>
      </c>
      <c r="E349" s="3">
        <v>43026</v>
      </c>
      <c r="F349" s="2" t="s">
        <v>134</v>
      </c>
      <c r="G349" s="2" t="s">
        <v>599</v>
      </c>
      <c r="H349" s="2" t="s">
        <v>14</v>
      </c>
      <c r="I349" s="6" t="s">
        <v>2347</v>
      </c>
      <c r="J349" s="6" t="s">
        <v>2360</v>
      </c>
      <c r="K349" t="str">
        <f t="shared" si="45"/>
        <v>ARJUN SHARMA</v>
      </c>
      <c r="L349" t="str">
        <f t="shared" si="46"/>
        <v>Operations</v>
      </c>
      <c r="M349">
        <f t="shared" si="47"/>
        <v>12</v>
      </c>
      <c r="N349" t="str">
        <f t="shared" si="48"/>
        <v>Arjun Sharma-Operations</v>
      </c>
      <c r="O349" t="str">
        <f t="shared" si="49"/>
        <v>company.com</v>
      </c>
      <c r="P349" t="str">
        <f t="shared" si="50"/>
        <v>company.com</v>
      </c>
      <c r="Q349">
        <f t="shared" si="51"/>
        <v>2017</v>
      </c>
      <c r="R349">
        <f t="shared" ca="1" si="52"/>
        <v>9</v>
      </c>
      <c r="S349" t="str">
        <f t="shared" si="53"/>
        <v>True</v>
      </c>
    </row>
    <row r="350" spans="1:19" x14ac:dyDescent="0.4">
      <c r="A350" s="2" t="s">
        <v>610</v>
      </c>
      <c r="B350" s="2" t="s">
        <v>149</v>
      </c>
      <c r="C350" s="2" t="s">
        <v>87</v>
      </c>
      <c r="D350" s="2" t="s">
        <v>49</v>
      </c>
      <c r="E350" s="3">
        <v>42865</v>
      </c>
      <c r="F350" s="2" t="s">
        <v>150</v>
      </c>
      <c r="G350" s="2" t="s">
        <v>611</v>
      </c>
      <c r="H350" s="2" t="s">
        <v>14</v>
      </c>
      <c r="I350" s="6" t="s">
        <v>2344</v>
      </c>
      <c r="J350" s="6" t="s">
        <v>2357</v>
      </c>
      <c r="K350" t="str">
        <f t="shared" si="45"/>
        <v>KABIR JOSHI</v>
      </c>
      <c r="L350" t="str">
        <f t="shared" si="46"/>
        <v>Operations</v>
      </c>
      <c r="M350">
        <f t="shared" si="47"/>
        <v>11</v>
      </c>
      <c r="N350" t="str">
        <f t="shared" si="48"/>
        <v>Kabir Joshi-Operations</v>
      </c>
      <c r="O350" t="str">
        <f t="shared" si="49"/>
        <v>company.com</v>
      </c>
      <c r="P350" t="str">
        <f t="shared" si="50"/>
        <v>company.com</v>
      </c>
      <c r="Q350">
        <f t="shared" si="51"/>
        <v>2017</v>
      </c>
      <c r="R350">
        <f t="shared" ca="1" si="52"/>
        <v>9</v>
      </c>
      <c r="S350" t="str">
        <f t="shared" si="53"/>
        <v>True</v>
      </c>
    </row>
    <row r="351" spans="1:19" x14ac:dyDescent="0.4">
      <c r="A351" s="2" t="s">
        <v>634</v>
      </c>
      <c r="B351" s="2" t="s">
        <v>145</v>
      </c>
      <c r="C351" s="2" t="s">
        <v>31</v>
      </c>
      <c r="D351" s="2" t="s">
        <v>25</v>
      </c>
      <c r="E351" s="3">
        <v>43048</v>
      </c>
      <c r="F351" s="2" t="s">
        <v>146</v>
      </c>
      <c r="G351" s="2" t="s">
        <v>635</v>
      </c>
      <c r="H351" s="2" t="s">
        <v>64</v>
      </c>
      <c r="I351" s="6" t="s">
        <v>2351</v>
      </c>
      <c r="J351" s="6" t="s">
        <v>2355</v>
      </c>
      <c r="K351" t="str">
        <f t="shared" si="45"/>
        <v>ADITYA NAIR</v>
      </c>
      <c r="L351" t="str">
        <f t="shared" si="46"/>
        <v>Finance</v>
      </c>
      <c r="M351">
        <f t="shared" si="47"/>
        <v>11</v>
      </c>
      <c r="N351" t="str">
        <f t="shared" si="48"/>
        <v>Aditya Nair-Finance</v>
      </c>
      <c r="O351" t="str">
        <f t="shared" si="49"/>
        <v>company.com</v>
      </c>
      <c r="P351" t="str">
        <f t="shared" si="50"/>
        <v>company.com</v>
      </c>
      <c r="Q351">
        <f t="shared" si="51"/>
        <v>2017</v>
      </c>
      <c r="R351">
        <f t="shared" ca="1" si="52"/>
        <v>8</v>
      </c>
      <c r="S351" t="str">
        <f t="shared" si="53"/>
        <v>True</v>
      </c>
    </row>
    <row r="352" spans="1:19" x14ac:dyDescent="0.4">
      <c r="A352" s="2" t="s">
        <v>664</v>
      </c>
      <c r="B352" s="2" t="s">
        <v>665</v>
      </c>
      <c r="C352" s="2" t="s">
        <v>87</v>
      </c>
      <c r="D352" s="2" t="s">
        <v>49</v>
      </c>
      <c r="E352" s="3">
        <v>42803</v>
      </c>
      <c r="F352" s="2" t="s">
        <v>666</v>
      </c>
      <c r="G352" s="2" t="s">
        <v>667</v>
      </c>
      <c r="H352" s="2" t="s">
        <v>64</v>
      </c>
      <c r="I352" s="6" t="s">
        <v>2345</v>
      </c>
      <c r="J352" s="6" t="s">
        <v>2354</v>
      </c>
      <c r="K352" t="str">
        <f t="shared" si="45"/>
        <v>ISHA SINGH</v>
      </c>
      <c r="L352" t="str">
        <f t="shared" si="46"/>
        <v>Operations</v>
      </c>
      <c r="M352">
        <f t="shared" si="47"/>
        <v>10</v>
      </c>
      <c r="N352" t="str">
        <f t="shared" si="48"/>
        <v>Isha Singh-Operations</v>
      </c>
      <c r="O352" t="str">
        <f t="shared" si="49"/>
        <v>company.com</v>
      </c>
      <c r="P352" t="str">
        <f t="shared" si="50"/>
        <v>company.com</v>
      </c>
      <c r="Q352">
        <f t="shared" si="51"/>
        <v>2017</v>
      </c>
      <c r="R352">
        <f t="shared" ca="1" si="52"/>
        <v>9</v>
      </c>
      <c r="S352" t="str">
        <f t="shared" si="53"/>
        <v>True</v>
      </c>
    </row>
    <row r="353" spans="1:19" x14ac:dyDescent="0.4">
      <c r="A353" s="2" t="s">
        <v>680</v>
      </c>
      <c r="B353" s="2" t="s">
        <v>651</v>
      </c>
      <c r="C353" s="2" t="s">
        <v>31</v>
      </c>
      <c r="D353" s="2" t="s">
        <v>11</v>
      </c>
      <c r="E353" s="3">
        <v>43022</v>
      </c>
      <c r="F353" s="2" t="s">
        <v>652</v>
      </c>
      <c r="G353" s="2" t="s">
        <v>681</v>
      </c>
      <c r="H353" s="2" t="s">
        <v>21</v>
      </c>
      <c r="I353" s="6" t="s">
        <v>2349</v>
      </c>
      <c r="J353" s="6" t="s">
        <v>2355</v>
      </c>
      <c r="K353" t="str">
        <f t="shared" si="45"/>
        <v>AARAV NAIR</v>
      </c>
      <c r="L353" t="str">
        <f t="shared" si="46"/>
        <v>Finance</v>
      </c>
      <c r="M353">
        <f t="shared" si="47"/>
        <v>10</v>
      </c>
      <c r="N353" t="str">
        <f t="shared" si="48"/>
        <v>Aarav Nair-Finance</v>
      </c>
      <c r="O353" t="str">
        <f t="shared" si="49"/>
        <v>company.com</v>
      </c>
      <c r="P353" t="str">
        <f t="shared" si="50"/>
        <v>company.com</v>
      </c>
      <c r="Q353">
        <f t="shared" si="51"/>
        <v>2017</v>
      </c>
      <c r="R353">
        <f t="shared" ca="1" si="52"/>
        <v>9</v>
      </c>
      <c r="S353" t="str">
        <f t="shared" si="53"/>
        <v>True</v>
      </c>
    </row>
    <row r="354" spans="1:19" x14ac:dyDescent="0.4">
      <c r="A354" s="2" t="s">
        <v>688</v>
      </c>
      <c r="B354" s="2" t="s">
        <v>153</v>
      </c>
      <c r="C354" s="2" t="s">
        <v>31</v>
      </c>
      <c r="D354" s="2" t="s">
        <v>49</v>
      </c>
      <c r="E354" s="3">
        <v>42897</v>
      </c>
      <c r="F354" s="2" t="s">
        <v>154</v>
      </c>
      <c r="G354" s="2" t="s">
        <v>689</v>
      </c>
      <c r="H354" s="2" t="s">
        <v>21</v>
      </c>
      <c r="I354" s="6" t="s">
        <v>2344</v>
      </c>
      <c r="J354" s="6" t="s">
        <v>2356</v>
      </c>
      <c r="K354" t="str">
        <f t="shared" si="45"/>
        <v>KABIR PATEL</v>
      </c>
      <c r="L354" t="str">
        <f t="shared" si="46"/>
        <v>Finance</v>
      </c>
      <c r="M354">
        <f t="shared" si="47"/>
        <v>11</v>
      </c>
      <c r="N354" t="str">
        <f t="shared" si="48"/>
        <v>Kabir Patel-Finance</v>
      </c>
      <c r="O354" t="str">
        <f t="shared" si="49"/>
        <v>company.com</v>
      </c>
      <c r="P354" t="str">
        <f t="shared" si="50"/>
        <v>company.com</v>
      </c>
      <c r="Q354">
        <f t="shared" si="51"/>
        <v>2017</v>
      </c>
      <c r="R354">
        <f t="shared" ca="1" si="52"/>
        <v>9</v>
      </c>
      <c r="S354" t="str">
        <f t="shared" si="53"/>
        <v>True</v>
      </c>
    </row>
    <row r="355" spans="1:19" x14ac:dyDescent="0.4">
      <c r="A355" s="2" t="s">
        <v>716</v>
      </c>
      <c r="B355" s="2" t="s">
        <v>303</v>
      </c>
      <c r="C355" s="2" t="s">
        <v>53</v>
      </c>
      <c r="D355" s="2" t="s">
        <v>49</v>
      </c>
      <c r="E355" s="3">
        <v>42948</v>
      </c>
      <c r="F355" s="2" t="s">
        <v>304</v>
      </c>
      <c r="G355" s="2" t="s">
        <v>717</v>
      </c>
      <c r="H355" s="2" t="s">
        <v>21</v>
      </c>
      <c r="I355" s="6" t="s">
        <v>2345</v>
      </c>
      <c r="J355" s="6" t="s">
        <v>2356</v>
      </c>
      <c r="K355" t="str">
        <f t="shared" si="45"/>
        <v>ISHA PATEL</v>
      </c>
      <c r="L355" t="str">
        <f t="shared" si="46"/>
        <v>Hr</v>
      </c>
      <c r="M355">
        <f t="shared" si="47"/>
        <v>10</v>
      </c>
      <c r="N355" t="str">
        <f t="shared" si="48"/>
        <v>Isha Patel-HR</v>
      </c>
      <c r="O355" t="str">
        <f t="shared" si="49"/>
        <v>company.com</v>
      </c>
      <c r="P355" t="str">
        <f t="shared" si="50"/>
        <v>company.com</v>
      </c>
      <c r="Q355">
        <f t="shared" si="51"/>
        <v>2017</v>
      </c>
      <c r="R355">
        <f t="shared" ca="1" si="52"/>
        <v>9</v>
      </c>
      <c r="S355" t="str">
        <f t="shared" si="53"/>
        <v>True</v>
      </c>
    </row>
    <row r="356" spans="1:19" x14ac:dyDescent="0.4">
      <c r="A356" s="2" t="s">
        <v>752</v>
      </c>
      <c r="B356" s="2" t="s">
        <v>95</v>
      </c>
      <c r="C356" s="2" t="s">
        <v>24</v>
      </c>
      <c r="D356" s="2" t="s">
        <v>25</v>
      </c>
      <c r="E356" s="3">
        <v>42778</v>
      </c>
      <c r="F356" s="2" t="s">
        <v>96</v>
      </c>
      <c r="G356" s="2" t="s">
        <v>753</v>
      </c>
      <c r="H356" s="2" t="s">
        <v>21</v>
      </c>
      <c r="I356" s="6" t="s">
        <v>2352</v>
      </c>
      <c r="J356" s="6" t="s">
        <v>2360</v>
      </c>
      <c r="K356" t="str">
        <f t="shared" si="45"/>
        <v>MEERA SHARMA</v>
      </c>
      <c r="L356" t="str">
        <f t="shared" si="46"/>
        <v>Marketing</v>
      </c>
      <c r="M356">
        <f t="shared" si="47"/>
        <v>12</v>
      </c>
      <c r="N356" t="str">
        <f t="shared" si="48"/>
        <v>Meera Sharma-Marketing</v>
      </c>
      <c r="O356" t="str">
        <f t="shared" si="49"/>
        <v>company.com</v>
      </c>
      <c r="P356" t="str">
        <f t="shared" si="50"/>
        <v>company.com</v>
      </c>
      <c r="Q356">
        <f t="shared" si="51"/>
        <v>2017</v>
      </c>
      <c r="R356">
        <f t="shared" ca="1" si="52"/>
        <v>9</v>
      </c>
      <c r="S356" t="str">
        <f t="shared" si="53"/>
        <v>True</v>
      </c>
    </row>
    <row r="357" spans="1:19" x14ac:dyDescent="0.4">
      <c r="A357" s="2" t="s">
        <v>760</v>
      </c>
      <c r="B357" s="2" t="s">
        <v>575</v>
      </c>
      <c r="C357" s="2" t="s">
        <v>31</v>
      </c>
      <c r="D357" s="2" t="s">
        <v>25</v>
      </c>
      <c r="E357" s="3">
        <v>43047</v>
      </c>
      <c r="F357" s="2" t="s">
        <v>576</v>
      </c>
      <c r="G357" s="2" t="s">
        <v>761</v>
      </c>
      <c r="H357" s="2" t="s">
        <v>55</v>
      </c>
      <c r="I357" s="6" t="s">
        <v>2350</v>
      </c>
      <c r="J357" s="6" t="s">
        <v>2358</v>
      </c>
      <c r="K357" t="str">
        <f t="shared" si="45"/>
        <v>VIVAAN DAS</v>
      </c>
      <c r="L357" t="str">
        <f t="shared" si="46"/>
        <v>Finance</v>
      </c>
      <c r="M357">
        <f t="shared" si="47"/>
        <v>10</v>
      </c>
      <c r="N357" t="str">
        <f t="shared" si="48"/>
        <v>Vivaan Das-Finance</v>
      </c>
      <c r="O357" t="str">
        <f t="shared" si="49"/>
        <v>company.com</v>
      </c>
      <c r="P357" t="str">
        <f t="shared" si="50"/>
        <v>company.com</v>
      </c>
      <c r="Q357">
        <f t="shared" si="51"/>
        <v>2017</v>
      </c>
      <c r="R357">
        <f t="shared" ca="1" si="52"/>
        <v>8</v>
      </c>
      <c r="S357" t="str">
        <f t="shared" si="53"/>
        <v>True</v>
      </c>
    </row>
    <row r="358" spans="1:19" x14ac:dyDescent="0.4">
      <c r="A358" s="2" t="s">
        <v>790</v>
      </c>
      <c r="B358" s="2" t="s">
        <v>345</v>
      </c>
      <c r="C358" s="2" t="s">
        <v>31</v>
      </c>
      <c r="D358" s="2" t="s">
        <v>18</v>
      </c>
      <c r="E358" s="3">
        <v>43052</v>
      </c>
      <c r="F358" s="2" t="s">
        <v>346</v>
      </c>
      <c r="G358" s="2" t="s">
        <v>791</v>
      </c>
      <c r="H358" s="2" t="s">
        <v>28</v>
      </c>
      <c r="I358" s="6" t="s">
        <v>2345</v>
      </c>
      <c r="J358" s="6" t="s">
        <v>2360</v>
      </c>
      <c r="K358" t="str">
        <f t="shared" si="45"/>
        <v>ISHA SHARMA</v>
      </c>
      <c r="L358" t="str">
        <f t="shared" si="46"/>
        <v>Finance</v>
      </c>
      <c r="M358">
        <f t="shared" si="47"/>
        <v>11</v>
      </c>
      <c r="N358" t="str">
        <f t="shared" si="48"/>
        <v>Isha Sharma-Finance</v>
      </c>
      <c r="O358" t="str">
        <f t="shared" si="49"/>
        <v>company.com</v>
      </c>
      <c r="P358" t="str">
        <f t="shared" si="50"/>
        <v>company.com</v>
      </c>
      <c r="Q358">
        <f t="shared" si="51"/>
        <v>2017</v>
      </c>
      <c r="R358">
        <f t="shared" ca="1" si="52"/>
        <v>8</v>
      </c>
      <c r="S358" t="str">
        <f t="shared" si="53"/>
        <v>True</v>
      </c>
    </row>
    <row r="359" spans="1:19" x14ac:dyDescent="0.4">
      <c r="A359" s="2" t="s">
        <v>800</v>
      </c>
      <c r="B359" s="2" t="s">
        <v>543</v>
      </c>
      <c r="C359" s="2" t="s">
        <v>24</v>
      </c>
      <c r="D359" s="2" t="s">
        <v>25</v>
      </c>
      <c r="E359" s="3">
        <v>43093</v>
      </c>
      <c r="F359" s="2" t="s">
        <v>544</v>
      </c>
      <c r="G359" s="2" t="s">
        <v>801</v>
      </c>
      <c r="H359" s="2" t="s">
        <v>64</v>
      </c>
      <c r="I359" s="6" t="s">
        <v>2350</v>
      </c>
      <c r="J359" s="6" t="s">
        <v>2357</v>
      </c>
      <c r="K359" t="str">
        <f t="shared" si="45"/>
        <v>VIVAAN JOSHI</v>
      </c>
      <c r="L359" t="str">
        <f t="shared" si="46"/>
        <v>Marketing</v>
      </c>
      <c r="M359">
        <f t="shared" si="47"/>
        <v>12</v>
      </c>
      <c r="N359" t="str">
        <f t="shared" si="48"/>
        <v>Vivaan Joshi-Marketing</v>
      </c>
      <c r="O359" t="str">
        <f t="shared" si="49"/>
        <v>company.com</v>
      </c>
      <c r="P359" t="str">
        <f t="shared" si="50"/>
        <v>company.com</v>
      </c>
      <c r="Q359">
        <f t="shared" si="51"/>
        <v>2017</v>
      </c>
      <c r="R359">
        <f t="shared" ca="1" si="52"/>
        <v>8</v>
      </c>
      <c r="S359" t="str">
        <f t="shared" si="53"/>
        <v>True</v>
      </c>
    </row>
    <row r="360" spans="1:19" x14ac:dyDescent="0.4">
      <c r="A360" s="2" t="s">
        <v>810</v>
      </c>
      <c r="B360" s="2" t="s">
        <v>141</v>
      </c>
      <c r="C360" s="2" t="s">
        <v>31</v>
      </c>
      <c r="D360" s="2" t="s">
        <v>11</v>
      </c>
      <c r="E360" s="3">
        <v>43076</v>
      </c>
      <c r="F360" s="2" t="s">
        <v>142</v>
      </c>
      <c r="G360" s="2" t="s">
        <v>811</v>
      </c>
      <c r="H360" s="2" t="s">
        <v>28</v>
      </c>
      <c r="I360" s="6" t="s">
        <v>2352</v>
      </c>
      <c r="J360" s="6" t="s">
        <v>2358</v>
      </c>
      <c r="K360" t="str">
        <f t="shared" si="45"/>
        <v>MEERA DAS</v>
      </c>
      <c r="L360" t="str">
        <f t="shared" si="46"/>
        <v>Finance</v>
      </c>
      <c r="M360">
        <f t="shared" si="47"/>
        <v>9</v>
      </c>
      <c r="N360" t="str">
        <f t="shared" si="48"/>
        <v>Meera Das-Finance</v>
      </c>
      <c r="O360" t="str">
        <f t="shared" si="49"/>
        <v>company.com</v>
      </c>
      <c r="P360" t="str">
        <f t="shared" si="50"/>
        <v>company.com</v>
      </c>
      <c r="Q360">
        <f t="shared" si="51"/>
        <v>2017</v>
      </c>
      <c r="R360">
        <f t="shared" ca="1" si="52"/>
        <v>8</v>
      </c>
      <c r="S360" t="str">
        <f t="shared" si="53"/>
        <v>True</v>
      </c>
    </row>
    <row r="361" spans="1:19" x14ac:dyDescent="0.4">
      <c r="A361" s="2" t="s">
        <v>812</v>
      </c>
      <c r="B361" s="2" t="s">
        <v>133</v>
      </c>
      <c r="C361" s="2" t="s">
        <v>24</v>
      </c>
      <c r="D361" s="2" t="s">
        <v>49</v>
      </c>
      <c r="E361" s="3">
        <v>43029</v>
      </c>
      <c r="F361" s="2" t="s">
        <v>134</v>
      </c>
      <c r="G361" s="2" t="s">
        <v>813</v>
      </c>
      <c r="H361" s="2" t="s">
        <v>64</v>
      </c>
      <c r="I361" s="6" t="s">
        <v>2347</v>
      </c>
      <c r="J361" s="6" t="s">
        <v>2360</v>
      </c>
      <c r="K361" t="str">
        <f t="shared" si="45"/>
        <v>ARJUN SHARMA</v>
      </c>
      <c r="L361" t="str">
        <f t="shared" si="46"/>
        <v>Marketing</v>
      </c>
      <c r="M361">
        <f t="shared" si="47"/>
        <v>12</v>
      </c>
      <c r="N361" t="str">
        <f t="shared" si="48"/>
        <v>Arjun Sharma-Marketing</v>
      </c>
      <c r="O361" t="str">
        <f t="shared" si="49"/>
        <v>company.com</v>
      </c>
      <c r="P361" t="str">
        <f t="shared" si="50"/>
        <v>company.com</v>
      </c>
      <c r="Q361">
        <f t="shared" si="51"/>
        <v>2017</v>
      </c>
      <c r="R361">
        <f t="shared" ca="1" si="52"/>
        <v>9</v>
      </c>
      <c r="S361" t="str">
        <f t="shared" si="53"/>
        <v>True</v>
      </c>
    </row>
    <row r="362" spans="1:19" x14ac:dyDescent="0.4">
      <c r="A362" s="2" t="s">
        <v>842</v>
      </c>
      <c r="B362" s="2" t="s">
        <v>199</v>
      </c>
      <c r="C362" s="2" t="s">
        <v>17</v>
      </c>
      <c r="D362" s="2" t="s">
        <v>11</v>
      </c>
      <c r="E362" s="3">
        <v>42876</v>
      </c>
      <c r="F362" s="2" t="s">
        <v>200</v>
      </c>
      <c r="G362" s="2" t="s">
        <v>843</v>
      </c>
      <c r="H362" s="2" t="s">
        <v>21</v>
      </c>
      <c r="I362" s="6" t="s">
        <v>2344</v>
      </c>
      <c r="J362" s="6" t="s">
        <v>2358</v>
      </c>
      <c r="K362" t="str">
        <f t="shared" si="45"/>
        <v>KABIR DAS</v>
      </c>
      <c r="L362" t="str">
        <f t="shared" si="46"/>
        <v>Sales</v>
      </c>
      <c r="M362">
        <f t="shared" si="47"/>
        <v>9</v>
      </c>
      <c r="N362" t="str">
        <f t="shared" si="48"/>
        <v>Kabir Das-Sales</v>
      </c>
      <c r="O362" t="str">
        <f t="shared" si="49"/>
        <v>company.com</v>
      </c>
      <c r="P362" t="str">
        <f t="shared" si="50"/>
        <v>company.com</v>
      </c>
      <c r="Q362">
        <f t="shared" si="51"/>
        <v>2017</v>
      </c>
      <c r="R362">
        <f t="shared" ca="1" si="52"/>
        <v>9</v>
      </c>
      <c r="S362" t="str">
        <f t="shared" si="53"/>
        <v>True</v>
      </c>
    </row>
    <row r="363" spans="1:19" x14ac:dyDescent="0.4">
      <c r="A363" s="2" t="s">
        <v>844</v>
      </c>
      <c r="B363" s="2" t="s">
        <v>317</v>
      </c>
      <c r="C363" s="2" t="s">
        <v>87</v>
      </c>
      <c r="D363" s="2" t="s">
        <v>25</v>
      </c>
      <c r="E363" s="3">
        <v>42943</v>
      </c>
      <c r="F363" s="2" t="s">
        <v>318</v>
      </c>
      <c r="G363" s="2" t="s">
        <v>845</v>
      </c>
      <c r="H363" s="2" t="s">
        <v>64</v>
      </c>
      <c r="I363" s="6" t="s">
        <v>2351</v>
      </c>
      <c r="J363" s="6" t="s">
        <v>2359</v>
      </c>
      <c r="K363" t="str">
        <f t="shared" si="45"/>
        <v>ADITYA REDDY</v>
      </c>
      <c r="L363" t="str">
        <f t="shared" si="46"/>
        <v>Operations</v>
      </c>
      <c r="M363">
        <f t="shared" si="47"/>
        <v>12</v>
      </c>
      <c r="N363" t="str">
        <f t="shared" si="48"/>
        <v>Aditya Reddy-Operations</v>
      </c>
      <c r="O363" t="str">
        <f t="shared" si="49"/>
        <v>company.com</v>
      </c>
      <c r="P363" t="str">
        <f t="shared" si="50"/>
        <v>company.com</v>
      </c>
      <c r="Q363">
        <f t="shared" si="51"/>
        <v>2017</v>
      </c>
      <c r="R363">
        <f t="shared" ca="1" si="52"/>
        <v>9</v>
      </c>
      <c r="S363" t="str">
        <f t="shared" si="53"/>
        <v>True</v>
      </c>
    </row>
    <row r="364" spans="1:19" x14ac:dyDescent="0.4">
      <c r="A364" s="2" t="s">
        <v>892</v>
      </c>
      <c r="B364" s="2" t="s">
        <v>165</v>
      </c>
      <c r="C364" s="2" t="s">
        <v>17</v>
      </c>
      <c r="D364" s="2" t="s">
        <v>49</v>
      </c>
      <c r="E364" s="3">
        <v>42939</v>
      </c>
      <c r="F364" s="2" t="s">
        <v>166</v>
      </c>
      <c r="G364" s="2" t="s">
        <v>893</v>
      </c>
      <c r="H364" s="2" t="s">
        <v>14</v>
      </c>
      <c r="I364" s="6" t="s">
        <v>2351</v>
      </c>
      <c r="J364" s="6" t="s">
        <v>2358</v>
      </c>
      <c r="K364" t="str">
        <f t="shared" si="45"/>
        <v>ADITYA DAS</v>
      </c>
      <c r="L364" t="str">
        <f t="shared" si="46"/>
        <v>Sales</v>
      </c>
      <c r="M364">
        <f t="shared" si="47"/>
        <v>10</v>
      </c>
      <c r="N364" t="str">
        <f t="shared" si="48"/>
        <v>Aditya Das-Sales</v>
      </c>
      <c r="O364" t="str">
        <f t="shared" si="49"/>
        <v>company.com</v>
      </c>
      <c r="P364" t="str">
        <f t="shared" si="50"/>
        <v>company.com</v>
      </c>
      <c r="Q364">
        <f t="shared" si="51"/>
        <v>2017</v>
      </c>
      <c r="R364">
        <f t="shared" ca="1" si="52"/>
        <v>9</v>
      </c>
      <c r="S364" t="str">
        <f t="shared" si="53"/>
        <v>True</v>
      </c>
    </row>
    <row r="365" spans="1:19" x14ac:dyDescent="0.4">
      <c r="A365" s="2" t="s">
        <v>896</v>
      </c>
      <c r="B365" s="2" t="s">
        <v>651</v>
      </c>
      <c r="C365" s="2" t="s">
        <v>53</v>
      </c>
      <c r="D365" s="2" t="s">
        <v>11</v>
      </c>
      <c r="E365" s="3">
        <v>42855</v>
      </c>
      <c r="F365" s="2" t="s">
        <v>652</v>
      </c>
      <c r="G365" s="2" t="s">
        <v>897</v>
      </c>
      <c r="H365" s="2" t="s">
        <v>28</v>
      </c>
      <c r="I365" s="6" t="s">
        <v>2349</v>
      </c>
      <c r="J365" s="6" t="s">
        <v>2355</v>
      </c>
      <c r="K365" t="str">
        <f t="shared" si="45"/>
        <v>AARAV NAIR</v>
      </c>
      <c r="L365" t="str">
        <f t="shared" si="46"/>
        <v>Hr</v>
      </c>
      <c r="M365">
        <f t="shared" si="47"/>
        <v>10</v>
      </c>
      <c r="N365" t="str">
        <f t="shared" si="48"/>
        <v>Aarav Nair-HR</v>
      </c>
      <c r="O365" t="str">
        <f t="shared" si="49"/>
        <v>company.com</v>
      </c>
      <c r="P365" t="str">
        <f t="shared" si="50"/>
        <v>company.com</v>
      </c>
      <c r="Q365">
        <f t="shared" si="51"/>
        <v>2017</v>
      </c>
      <c r="R365">
        <f t="shared" ca="1" si="52"/>
        <v>9</v>
      </c>
      <c r="S365" t="str">
        <f t="shared" si="53"/>
        <v>True</v>
      </c>
    </row>
    <row r="366" spans="1:19" x14ac:dyDescent="0.4">
      <c r="A366" s="2" t="s">
        <v>908</v>
      </c>
      <c r="B366" s="2" t="s">
        <v>82</v>
      </c>
      <c r="C366" s="2" t="s">
        <v>87</v>
      </c>
      <c r="D366" s="2" t="s">
        <v>25</v>
      </c>
      <c r="E366" s="3">
        <v>42988</v>
      </c>
      <c r="F366" s="2" t="s">
        <v>83</v>
      </c>
      <c r="G366" s="2" t="s">
        <v>909</v>
      </c>
      <c r="H366" s="2" t="s">
        <v>14</v>
      </c>
      <c r="I366" s="6" t="s">
        <v>2352</v>
      </c>
      <c r="J366" s="6" t="s">
        <v>2357</v>
      </c>
      <c r="K366" t="str">
        <f t="shared" si="45"/>
        <v>MEERA JOSHI</v>
      </c>
      <c r="L366" t="str">
        <f t="shared" si="46"/>
        <v>Operations</v>
      </c>
      <c r="M366">
        <f t="shared" si="47"/>
        <v>11</v>
      </c>
      <c r="N366" t="str">
        <f t="shared" si="48"/>
        <v>Meera Joshi-Operations</v>
      </c>
      <c r="O366" t="str">
        <f t="shared" si="49"/>
        <v>company.com</v>
      </c>
      <c r="P366" t="str">
        <f t="shared" si="50"/>
        <v>company.com</v>
      </c>
      <c r="Q366">
        <f t="shared" si="51"/>
        <v>2017</v>
      </c>
      <c r="R366">
        <f t="shared" ca="1" si="52"/>
        <v>9</v>
      </c>
      <c r="S366" t="str">
        <f t="shared" si="53"/>
        <v>True</v>
      </c>
    </row>
    <row r="367" spans="1:19" x14ac:dyDescent="0.4">
      <c r="A367" s="2" t="s">
        <v>924</v>
      </c>
      <c r="B367" s="2" t="s">
        <v>103</v>
      </c>
      <c r="C367" s="2" t="s">
        <v>87</v>
      </c>
      <c r="D367" s="2" t="s">
        <v>49</v>
      </c>
      <c r="E367" s="3">
        <v>42968</v>
      </c>
      <c r="F367" s="2" t="s">
        <v>104</v>
      </c>
      <c r="G367" s="2" t="s">
        <v>925</v>
      </c>
      <c r="H367" s="2" t="s">
        <v>64</v>
      </c>
      <c r="I367" s="6" t="s">
        <v>2343</v>
      </c>
      <c r="J367" s="6" t="s">
        <v>2358</v>
      </c>
      <c r="K367" t="str">
        <f t="shared" si="45"/>
        <v>DIYA DAS</v>
      </c>
      <c r="L367" t="str">
        <f t="shared" si="46"/>
        <v>Operations</v>
      </c>
      <c r="M367">
        <f t="shared" si="47"/>
        <v>8</v>
      </c>
      <c r="N367" t="str">
        <f t="shared" si="48"/>
        <v>Diya Das-Operations</v>
      </c>
      <c r="O367" t="str">
        <f t="shared" si="49"/>
        <v>company.com</v>
      </c>
      <c r="P367" t="str">
        <f t="shared" si="50"/>
        <v>company.com</v>
      </c>
      <c r="Q367">
        <f t="shared" si="51"/>
        <v>2017</v>
      </c>
      <c r="R367">
        <f t="shared" ca="1" si="52"/>
        <v>9</v>
      </c>
      <c r="S367" t="str">
        <f t="shared" si="53"/>
        <v>True</v>
      </c>
    </row>
    <row r="368" spans="1:19" x14ac:dyDescent="0.4">
      <c r="A368" s="2" t="s">
        <v>1004</v>
      </c>
      <c r="B368" s="2" t="s">
        <v>641</v>
      </c>
      <c r="C368" s="2" t="s">
        <v>53</v>
      </c>
      <c r="D368" s="2" t="s">
        <v>18</v>
      </c>
      <c r="E368" s="3">
        <v>43003</v>
      </c>
      <c r="F368" s="2" t="s">
        <v>642</v>
      </c>
      <c r="G368" s="2" t="s">
        <v>1005</v>
      </c>
      <c r="H368" s="2" t="s">
        <v>55</v>
      </c>
      <c r="I368" s="6" t="s">
        <v>2349</v>
      </c>
      <c r="J368" s="6" t="s">
        <v>2362</v>
      </c>
      <c r="K368" t="str">
        <f t="shared" si="45"/>
        <v>AARAV MEHTA</v>
      </c>
      <c r="L368" t="str">
        <f t="shared" si="46"/>
        <v>Hr</v>
      </c>
      <c r="M368">
        <f t="shared" si="47"/>
        <v>11</v>
      </c>
      <c r="N368" t="str">
        <f t="shared" si="48"/>
        <v>Aarav Mehta-HR</v>
      </c>
      <c r="O368" t="str">
        <f t="shared" si="49"/>
        <v>company.com</v>
      </c>
      <c r="P368" t="str">
        <f t="shared" si="50"/>
        <v>company.com</v>
      </c>
      <c r="Q368">
        <f t="shared" si="51"/>
        <v>2017</v>
      </c>
      <c r="R368">
        <f t="shared" ca="1" si="52"/>
        <v>9</v>
      </c>
      <c r="S368" t="str">
        <f t="shared" si="53"/>
        <v>True</v>
      </c>
    </row>
    <row r="369" spans="1:19" x14ac:dyDescent="0.4">
      <c r="A369" s="2" t="s">
        <v>1010</v>
      </c>
      <c r="B369" s="2" t="s">
        <v>95</v>
      </c>
      <c r="C369" s="2" t="s">
        <v>31</v>
      </c>
      <c r="D369" s="2" t="s">
        <v>11</v>
      </c>
      <c r="E369" s="3">
        <v>42913</v>
      </c>
      <c r="F369" s="2" t="s">
        <v>96</v>
      </c>
      <c r="G369" s="2" t="s">
        <v>1011</v>
      </c>
      <c r="H369" s="2" t="s">
        <v>21</v>
      </c>
      <c r="I369" s="6" t="s">
        <v>2352</v>
      </c>
      <c r="J369" s="6" t="s">
        <v>2360</v>
      </c>
      <c r="K369" t="str">
        <f t="shared" si="45"/>
        <v>MEERA SHARMA</v>
      </c>
      <c r="L369" t="str">
        <f t="shared" si="46"/>
        <v>Finance</v>
      </c>
      <c r="M369">
        <f t="shared" si="47"/>
        <v>12</v>
      </c>
      <c r="N369" t="str">
        <f t="shared" si="48"/>
        <v>Meera Sharma-Finance</v>
      </c>
      <c r="O369" t="str">
        <f t="shared" si="49"/>
        <v>company.com</v>
      </c>
      <c r="P369" t="str">
        <f t="shared" si="50"/>
        <v>company.com</v>
      </c>
      <c r="Q369">
        <f t="shared" si="51"/>
        <v>2017</v>
      </c>
      <c r="R369">
        <f t="shared" ca="1" si="52"/>
        <v>9</v>
      </c>
      <c r="S369" t="str">
        <f t="shared" si="53"/>
        <v>True</v>
      </c>
    </row>
    <row r="370" spans="1:19" x14ac:dyDescent="0.4">
      <c r="A370" s="2" t="s">
        <v>1030</v>
      </c>
      <c r="B370" s="2" t="s">
        <v>359</v>
      </c>
      <c r="C370" s="2" t="s">
        <v>17</v>
      </c>
      <c r="D370" s="2" t="s">
        <v>44</v>
      </c>
      <c r="E370" s="3">
        <v>42754</v>
      </c>
      <c r="F370" s="2" t="s">
        <v>360</v>
      </c>
      <c r="G370" s="2" t="s">
        <v>1031</v>
      </c>
      <c r="H370" s="2" t="s">
        <v>14</v>
      </c>
      <c r="I370" s="6" t="s">
        <v>2347</v>
      </c>
      <c r="J370" s="6" t="s">
        <v>2355</v>
      </c>
      <c r="K370" t="str">
        <f t="shared" si="45"/>
        <v>ARJUN NAIR</v>
      </c>
      <c r="L370" t="str">
        <f t="shared" si="46"/>
        <v>Sales</v>
      </c>
      <c r="M370">
        <f t="shared" si="47"/>
        <v>10</v>
      </c>
      <c r="N370" t="str">
        <f t="shared" si="48"/>
        <v>Arjun Nair-Sales</v>
      </c>
      <c r="O370" t="str">
        <f t="shared" si="49"/>
        <v>company.com</v>
      </c>
      <c r="P370" t="str">
        <f t="shared" si="50"/>
        <v>company.com</v>
      </c>
      <c r="Q370">
        <f t="shared" si="51"/>
        <v>2017</v>
      </c>
      <c r="R370">
        <f t="shared" ca="1" si="52"/>
        <v>9</v>
      </c>
      <c r="S370" t="str">
        <f t="shared" si="53"/>
        <v>True</v>
      </c>
    </row>
    <row r="371" spans="1:19" x14ac:dyDescent="0.4">
      <c r="A371" s="2" t="s">
        <v>1056</v>
      </c>
      <c r="B371" s="2" t="s">
        <v>95</v>
      </c>
      <c r="C371" s="2" t="s">
        <v>10</v>
      </c>
      <c r="D371" s="2" t="s">
        <v>18</v>
      </c>
      <c r="E371" s="3">
        <v>43013</v>
      </c>
      <c r="F371" s="2" t="s">
        <v>96</v>
      </c>
      <c r="G371" s="2" t="s">
        <v>1057</v>
      </c>
      <c r="H371" s="2" t="s">
        <v>28</v>
      </c>
      <c r="I371" s="6" t="s">
        <v>2352</v>
      </c>
      <c r="J371" s="6" t="s">
        <v>2360</v>
      </c>
      <c r="K371" t="str">
        <f t="shared" si="45"/>
        <v>MEERA SHARMA</v>
      </c>
      <c r="L371" t="str">
        <f t="shared" si="46"/>
        <v>It</v>
      </c>
      <c r="M371">
        <f t="shared" si="47"/>
        <v>12</v>
      </c>
      <c r="N371" t="str">
        <f t="shared" si="48"/>
        <v>Meera Sharma-IT</v>
      </c>
      <c r="O371" t="str">
        <f t="shared" si="49"/>
        <v>company.com</v>
      </c>
      <c r="P371" t="str">
        <f t="shared" si="50"/>
        <v>company.com</v>
      </c>
      <c r="Q371">
        <f t="shared" si="51"/>
        <v>2017</v>
      </c>
      <c r="R371">
        <f t="shared" ca="1" si="52"/>
        <v>9</v>
      </c>
      <c r="S371" t="str">
        <f t="shared" si="53"/>
        <v>True</v>
      </c>
    </row>
    <row r="372" spans="1:19" x14ac:dyDescent="0.4">
      <c r="A372" s="2" t="s">
        <v>1134</v>
      </c>
      <c r="B372" s="2" t="s">
        <v>443</v>
      </c>
      <c r="C372" s="2" t="s">
        <v>31</v>
      </c>
      <c r="D372" s="2" t="s">
        <v>44</v>
      </c>
      <c r="E372" s="3">
        <v>42802</v>
      </c>
      <c r="F372" s="2" t="s">
        <v>444</v>
      </c>
      <c r="G372" s="2" t="s">
        <v>1135</v>
      </c>
      <c r="H372" s="2" t="s">
        <v>64</v>
      </c>
      <c r="I372" s="6" t="s">
        <v>2343</v>
      </c>
      <c r="J372" s="6" t="s">
        <v>2357</v>
      </c>
      <c r="K372" t="str">
        <f t="shared" si="45"/>
        <v>DIYA JOSHI</v>
      </c>
      <c r="L372" t="str">
        <f t="shared" si="46"/>
        <v>Finance</v>
      </c>
      <c r="M372">
        <f t="shared" si="47"/>
        <v>10</v>
      </c>
      <c r="N372" t="str">
        <f t="shared" si="48"/>
        <v>Diya Joshi-Finance</v>
      </c>
      <c r="O372" t="str">
        <f t="shared" si="49"/>
        <v>company.com</v>
      </c>
      <c r="P372" t="str">
        <f t="shared" si="50"/>
        <v>company.com</v>
      </c>
      <c r="Q372">
        <f t="shared" si="51"/>
        <v>2017</v>
      </c>
      <c r="R372">
        <f t="shared" ca="1" si="52"/>
        <v>9</v>
      </c>
      <c r="S372" t="str">
        <f t="shared" si="53"/>
        <v>True</v>
      </c>
    </row>
    <row r="373" spans="1:19" x14ac:dyDescent="0.4">
      <c r="A373" s="2" t="s">
        <v>1170</v>
      </c>
      <c r="B373" s="2" t="s">
        <v>141</v>
      </c>
      <c r="C373" s="2" t="s">
        <v>87</v>
      </c>
      <c r="D373" s="2" t="s">
        <v>11</v>
      </c>
      <c r="E373" s="3">
        <v>42964</v>
      </c>
      <c r="F373" s="2" t="s">
        <v>142</v>
      </c>
      <c r="G373" s="2" t="s">
        <v>1171</v>
      </c>
      <c r="H373" s="2" t="s">
        <v>14</v>
      </c>
      <c r="I373" s="6" t="s">
        <v>2352</v>
      </c>
      <c r="J373" s="6" t="s">
        <v>2358</v>
      </c>
      <c r="K373" t="str">
        <f t="shared" si="45"/>
        <v>MEERA DAS</v>
      </c>
      <c r="L373" t="str">
        <f t="shared" si="46"/>
        <v>Operations</v>
      </c>
      <c r="M373">
        <f t="shared" si="47"/>
        <v>9</v>
      </c>
      <c r="N373" t="str">
        <f t="shared" si="48"/>
        <v>Meera Das-Operations</v>
      </c>
      <c r="O373" t="str">
        <f t="shared" si="49"/>
        <v>company.com</v>
      </c>
      <c r="P373" t="str">
        <f t="shared" si="50"/>
        <v>company.com</v>
      </c>
      <c r="Q373">
        <f t="shared" si="51"/>
        <v>2017</v>
      </c>
      <c r="R373">
        <f t="shared" ca="1" si="52"/>
        <v>9</v>
      </c>
      <c r="S373" t="str">
        <f t="shared" si="53"/>
        <v>True</v>
      </c>
    </row>
    <row r="374" spans="1:19" x14ac:dyDescent="0.4">
      <c r="A374" s="2" t="s">
        <v>1174</v>
      </c>
      <c r="B374" s="2" t="s">
        <v>43</v>
      </c>
      <c r="C374" s="2" t="s">
        <v>17</v>
      </c>
      <c r="D374" s="2" t="s">
        <v>49</v>
      </c>
      <c r="E374" s="3">
        <v>42809</v>
      </c>
      <c r="F374" s="2" t="s">
        <v>45</v>
      </c>
      <c r="G374" s="2" t="s">
        <v>1175</v>
      </c>
      <c r="H374" s="2" t="s">
        <v>55</v>
      </c>
      <c r="I374" s="6" t="s">
        <v>2348</v>
      </c>
      <c r="J374" s="6" t="s">
        <v>2362</v>
      </c>
      <c r="K374" t="str">
        <f t="shared" si="45"/>
        <v>ANANYA MEHTA</v>
      </c>
      <c r="L374" t="str">
        <f t="shared" si="46"/>
        <v>Sales</v>
      </c>
      <c r="M374">
        <f t="shared" si="47"/>
        <v>12</v>
      </c>
      <c r="N374" t="str">
        <f t="shared" si="48"/>
        <v>Ananya Mehta-Sales</v>
      </c>
      <c r="O374" t="str">
        <f t="shared" si="49"/>
        <v>company.com</v>
      </c>
      <c r="P374" t="str">
        <f t="shared" si="50"/>
        <v>company.com</v>
      </c>
      <c r="Q374">
        <f t="shared" si="51"/>
        <v>2017</v>
      </c>
      <c r="R374">
        <f t="shared" ca="1" si="52"/>
        <v>9</v>
      </c>
      <c r="S374" t="str">
        <f t="shared" si="53"/>
        <v>True</v>
      </c>
    </row>
    <row r="375" spans="1:19" x14ac:dyDescent="0.4">
      <c r="A375" s="2" t="s">
        <v>1182</v>
      </c>
      <c r="B375" s="2" t="s">
        <v>555</v>
      </c>
      <c r="C375" s="2" t="s">
        <v>24</v>
      </c>
      <c r="D375" s="2" t="s">
        <v>25</v>
      </c>
      <c r="E375" s="3">
        <v>42773</v>
      </c>
      <c r="F375" s="2" t="s">
        <v>556</v>
      </c>
      <c r="G375" s="2" t="s">
        <v>1183</v>
      </c>
      <c r="H375" s="2" t="s">
        <v>14</v>
      </c>
      <c r="I375" s="6" t="s">
        <v>2346</v>
      </c>
      <c r="J375" s="6" t="s">
        <v>2357</v>
      </c>
      <c r="K375" t="str">
        <f t="shared" si="45"/>
        <v>RIYA JOSHI</v>
      </c>
      <c r="L375" t="str">
        <f t="shared" si="46"/>
        <v>Marketing</v>
      </c>
      <c r="M375">
        <f t="shared" si="47"/>
        <v>10</v>
      </c>
      <c r="N375" t="str">
        <f t="shared" si="48"/>
        <v>Riya Joshi-Marketing</v>
      </c>
      <c r="O375" t="str">
        <f t="shared" si="49"/>
        <v>company.com</v>
      </c>
      <c r="P375" t="str">
        <f t="shared" si="50"/>
        <v>company.com</v>
      </c>
      <c r="Q375">
        <f t="shared" si="51"/>
        <v>2017</v>
      </c>
      <c r="R375">
        <f t="shared" ca="1" si="52"/>
        <v>9</v>
      </c>
      <c r="S375" t="str">
        <f t="shared" si="53"/>
        <v>True</v>
      </c>
    </row>
    <row r="376" spans="1:19" x14ac:dyDescent="0.4">
      <c r="A376" s="2" t="s">
        <v>1194</v>
      </c>
      <c r="B376" s="2" t="s">
        <v>831</v>
      </c>
      <c r="C376" s="2" t="s">
        <v>10</v>
      </c>
      <c r="D376" s="2" t="s">
        <v>25</v>
      </c>
      <c r="E376" s="3">
        <v>43052</v>
      </c>
      <c r="F376" s="2" t="s">
        <v>832</v>
      </c>
      <c r="G376" s="2" t="s">
        <v>1195</v>
      </c>
      <c r="H376" s="2" t="s">
        <v>14</v>
      </c>
      <c r="I376" s="6" t="s">
        <v>2343</v>
      </c>
      <c r="J376" s="6" t="s">
        <v>2360</v>
      </c>
      <c r="K376" t="str">
        <f t="shared" si="45"/>
        <v>DIYA SHARMA</v>
      </c>
      <c r="L376" t="str">
        <f t="shared" si="46"/>
        <v>It</v>
      </c>
      <c r="M376">
        <f t="shared" si="47"/>
        <v>11</v>
      </c>
      <c r="N376" t="str">
        <f t="shared" si="48"/>
        <v>Diya Sharma-IT</v>
      </c>
      <c r="O376" t="str">
        <f t="shared" si="49"/>
        <v>company.com</v>
      </c>
      <c r="P376" t="str">
        <f t="shared" si="50"/>
        <v>company.com</v>
      </c>
      <c r="Q376">
        <f t="shared" si="51"/>
        <v>2017</v>
      </c>
      <c r="R376">
        <f t="shared" ca="1" si="52"/>
        <v>8</v>
      </c>
      <c r="S376" t="str">
        <f t="shared" si="53"/>
        <v>True</v>
      </c>
    </row>
    <row r="377" spans="1:19" x14ac:dyDescent="0.4">
      <c r="A377" s="2" t="s">
        <v>1204</v>
      </c>
      <c r="B377" s="2" t="s">
        <v>295</v>
      </c>
      <c r="C377" s="2" t="s">
        <v>17</v>
      </c>
      <c r="D377" s="2" t="s">
        <v>11</v>
      </c>
      <c r="E377" s="3">
        <v>42858</v>
      </c>
      <c r="F377" s="2" t="s">
        <v>296</v>
      </c>
      <c r="G377" s="2" t="s">
        <v>1205</v>
      </c>
      <c r="H377" s="2" t="s">
        <v>21</v>
      </c>
      <c r="I377" s="6" t="s">
        <v>2349</v>
      </c>
      <c r="J377" s="6" t="s">
        <v>2360</v>
      </c>
      <c r="K377" t="str">
        <f t="shared" si="45"/>
        <v>AARAV SHARMA</v>
      </c>
      <c r="L377" t="str">
        <f t="shared" si="46"/>
        <v>Sales</v>
      </c>
      <c r="M377">
        <f t="shared" si="47"/>
        <v>12</v>
      </c>
      <c r="N377" t="str">
        <f t="shared" si="48"/>
        <v>Aarav Sharma-Sales</v>
      </c>
      <c r="O377" t="str">
        <f t="shared" si="49"/>
        <v>company.com</v>
      </c>
      <c r="P377" t="str">
        <f t="shared" si="50"/>
        <v>company.com</v>
      </c>
      <c r="Q377">
        <f t="shared" si="51"/>
        <v>2017</v>
      </c>
      <c r="R377">
        <f t="shared" ca="1" si="52"/>
        <v>9</v>
      </c>
      <c r="S377" t="str">
        <f t="shared" si="53"/>
        <v>True</v>
      </c>
    </row>
    <row r="378" spans="1:19" x14ac:dyDescent="0.4">
      <c r="A378" s="2" t="s">
        <v>1206</v>
      </c>
      <c r="B378" s="2" t="s">
        <v>333</v>
      </c>
      <c r="C378" s="2" t="s">
        <v>17</v>
      </c>
      <c r="D378" s="2" t="s">
        <v>11</v>
      </c>
      <c r="E378" s="3">
        <v>42796</v>
      </c>
      <c r="F378" s="2" t="s">
        <v>334</v>
      </c>
      <c r="G378" s="2" t="s">
        <v>1207</v>
      </c>
      <c r="H378" s="2" t="s">
        <v>14</v>
      </c>
      <c r="I378" s="6" t="s">
        <v>2349</v>
      </c>
      <c r="J378" s="6" t="s">
        <v>2354</v>
      </c>
      <c r="K378" t="str">
        <f t="shared" si="45"/>
        <v>AARAV SINGH</v>
      </c>
      <c r="L378" t="str">
        <f t="shared" si="46"/>
        <v>Sales</v>
      </c>
      <c r="M378">
        <f t="shared" si="47"/>
        <v>11</v>
      </c>
      <c r="N378" t="str">
        <f t="shared" si="48"/>
        <v>Aarav Singh-Sales</v>
      </c>
      <c r="O378" t="str">
        <f t="shared" si="49"/>
        <v>company.com</v>
      </c>
      <c r="P378" t="str">
        <f t="shared" si="50"/>
        <v>company.com</v>
      </c>
      <c r="Q378">
        <f t="shared" si="51"/>
        <v>2017</v>
      </c>
      <c r="R378">
        <f t="shared" ca="1" si="52"/>
        <v>9</v>
      </c>
      <c r="S378" t="str">
        <f t="shared" si="53"/>
        <v>True</v>
      </c>
    </row>
    <row r="379" spans="1:19" x14ac:dyDescent="0.4">
      <c r="A379" s="2" t="s">
        <v>42</v>
      </c>
      <c r="B379" s="2" t="s">
        <v>43</v>
      </c>
      <c r="C379" s="2" t="s">
        <v>31</v>
      </c>
      <c r="D379" s="2" t="s">
        <v>44</v>
      </c>
      <c r="E379" s="3">
        <v>42631</v>
      </c>
      <c r="F379" s="2" t="s">
        <v>45</v>
      </c>
      <c r="G379" s="2" t="s">
        <v>46</v>
      </c>
      <c r="H379" s="2" t="s">
        <v>21</v>
      </c>
      <c r="I379" s="6" t="s">
        <v>2348</v>
      </c>
      <c r="J379" s="6" t="s">
        <v>2362</v>
      </c>
      <c r="K379" t="str">
        <f t="shared" si="45"/>
        <v>ANANYA MEHTA</v>
      </c>
      <c r="L379" t="str">
        <f t="shared" si="46"/>
        <v>Finance</v>
      </c>
      <c r="M379">
        <f t="shared" si="47"/>
        <v>12</v>
      </c>
      <c r="N379" t="str">
        <f t="shared" si="48"/>
        <v>Ananya Mehta-Finance</v>
      </c>
      <c r="O379" t="str">
        <f t="shared" si="49"/>
        <v>company.com</v>
      </c>
      <c r="P379" t="str">
        <f t="shared" si="50"/>
        <v>company.com</v>
      </c>
      <c r="Q379">
        <f t="shared" si="51"/>
        <v>2016</v>
      </c>
      <c r="R379">
        <f t="shared" ca="1" si="52"/>
        <v>10</v>
      </c>
      <c r="S379" t="str">
        <f t="shared" si="53"/>
        <v>True</v>
      </c>
    </row>
    <row r="380" spans="1:19" x14ac:dyDescent="0.4">
      <c r="A380" s="2" t="s">
        <v>98</v>
      </c>
      <c r="B380" s="2" t="s">
        <v>99</v>
      </c>
      <c r="C380" s="2" t="s">
        <v>24</v>
      </c>
      <c r="D380" s="2" t="s">
        <v>25</v>
      </c>
      <c r="E380" s="3">
        <v>42557</v>
      </c>
      <c r="F380" s="2" t="s">
        <v>100</v>
      </c>
      <c r="G380" s="2" t="s">
        <v>101</v>
      </c>
      <c r="H380" s="2" t="s">
        <v>55</v>
      </c>
      <c r="I380" s="6" t="s">
        <v>2343</v>
      </c>
      <c r="J380" s="6" t="s">
        <v>2354</v>
      </c>
      <c r="K380" t="str">
        <f t="shared" si="45"/>
        <v>DIYA SINGH</v>
      </c>
      <c r="L380" t="str">
        <f t="shared" si="46"/>
        <v>Marketing</v>
      </c>
      <c r="M380">
        <f t="shared" si="47"/>
        <v>10</v>
      </c>
      <c r="N380" t="str">
        <f t="shared" si="48"/>
        <v>Diya Singh-Marketing</v>
      </c>
      <c r="O380" t="str">
        <f t="shared" si="49"/>
        <v>company.com</v>
      </c>
      <c r="P380" t="str">
        <f t="shared" si="50"/>
        <v>company.com</v>
      </c>
      <c r="Q380">
        <f t="shared" si="51"/>
        <v>2016</v>
      </c>
      <c r="R380">
        <f t="shared" ca="1" si="52"/>
        <v>10</v>
      </c>
      <c r="S380" t="str">
        <f t="shared" si="53"/>
        <v>True</v>
      </c>
    </row>
    <row r="381" spans="1:19" x14ac:dyDescent="0.4">
      <c r="A381" s="2" t="s">
        <v>110</v>
      </c>
      <c r="B381" s="2" t="s">
        <v>74</v>
      </c>
      <c r="C381" s="2" t="s">
        <v>31</v>
      </c>
      <c r="D381" s="2" t="s">
        <v>18</v>
      </c>
      <c r="E381" s="3">
        <v>42581</v>
      </c>
      <c r="F381" s="2" t="s">
        <v>75</v>
      </c>
      <c r="G381" s="2" t="s">
        <v>111</v>
      </c>
      <c r="H381" s="2" t="s">
        <v>55</v>
      </c>
      <c r="I381" s="6" t="s">
        <v>2346</v>
      </c>
      <c r="J381" s="6" t="s">
        <v>2358</v>
      </c>
      <c r="K381" t="str">
        <f t="shared" si="45"/>
        <v>RIYA DAS</v>
      </c>
      <c r="L381" t="str">
        <f t="shared" si="46"/>
        <v>Finance</v>
      </c>
      <c r="M381">
        <f t="shared" si="47"/>
        <v>8</v>
      </c>
      <c r="N381" t="str">
        <f t="shared" si="48"/>
        <v>Riya Das-Finance</v>
      </c>
      <c r="O381" t="str">
        <f t="shared" si="49"/>
        <v>company.com</v>
      </c>
      <c r="P381" t="str">
        <f t="shared" si="50"/>
        <v>company.com</v>
      </c>
      <c r="Q381">
        <f t="shared" si="51"/>
        <v>2016</v>
      </c>
      <c r="R381">
        <f t="shared" ca="1" si="52"/>
        <v>10</v>
      </c>
      <c r="S381" t="str">
        <f t="shared" si="53"/>
        <v>True</v>
      </c>
    </row>
    <row r="382" spans="1:19" x14ac:dyDescent="0.4">
      <c r="A382" s="2" t="s">
        <v>112</v>
      </c>
      <c r="B382" s="2" t="s">
        <v>113</v>
      </c>
      <c r="C382" s="2" t="s">
        <v>87</v>
      </c>
      <c r="D382" s="2" t="s">
        <v>49</v>
      </c>
      <c r="E382" s="3">
        <v>42710</v>
      </c>
      <c r="F382" s="2" t="s">
        <v>114</v>
      </c>
      <c r="G382" s="2" t="s">
        <v>115</v>
      </c>
      <c r="H382" s="2" t="s">
        <v>55</v>
      </c>
      <c r="I382" s="6" t="s">
        <v>2343</v>
      </c>
      <c r="J382" s="6" t="s">
        <v>2359</v>
      </c>
      <c r="K382" t="str">
        <f t="shared" si="45"/>
        <v>DIYA REDDY</v>
      </c>
      <c r="L382" t="str">
        <f t="shared" si="46"/>
        <v>Operations</v>
      </c>
      <c r="M382">
        <f t="shared" si="47"/>
        <v>10</v>
      </c>
      <c r="N382" t="str">
        <f t="shared" si="48"/>
        <v>Diya Reddy-Operations</v>
      </c>
      <c r="O382" t="str">
        <f t="shared" si="49"/>
        <v>company.com</v>
      </c>
      <c r="P382" t="str">
        <f t="shared" si="50"/>
        <v>company.com</v>
      </c>
      <c r="Q382">
        <f t="shared" si="51"/>
        <v>2016</v>
      </c>
      <c r="R382">
        <f t="shared" ca="1" si="52"/>
        <v>9</v>
      </c>
      <c r="S382" t="str">
        <f t="shared" si="53"/>
        <v>True</v>
      </c>
    </row>
    <row r="383" spans="1:19" x14ac:dyDescent="0.4">
      <c r="A383" s="2" t="s">
        <v>136</v>
      </c>
      <c r="B383" s="2" t="s">
        <v>137</v>
      </c>
      <c r="C383" s="2" t="s">
        <v>17</v>
      </c>
      <c r="D383" s="2" t="s">
        <v>44</v>
      </c>
      <c r="E383" s="3">
        <v>42380</v>
      </c>
      <c r="F383" s="2" t="s">
        <v>138</v>
      </c>
      <c r="G383" s="2" t="s">
        <v>139</v>
      </c>
      <c r="H383" s="2" t="s">
        <v>21</v>
      </c>
      <c r="I383" s="6" t="s">
        <v>2351</v>
      </c>
      <c r="J383" s="6" t="s">
        <v>2354</v>
      </c>
      <c r="K383" t="str">
        <f t="shared" si="45"/>
        <v>ADITYA SINGH</v>
      </c>
      <c r="L383" t="str">
        <f t="shared" si="46"/>
        <v>Sales</v>
      </c>
      <c r="M383">
        <f t="shared" si="47"/>
        <v>12</v>
      </c>
      <c r="N383" t="str">
        <f t="shared" si="48"/>
        <v>Aditya Singh-Sales</v>
      </c>
      <c r="O383" t="str">
        <f t="shared" si="49"/>
        <v>company.com</v>
      </c>
      <c r="P383" t="str">
        <f t="shared" si="50"/>
        <v>company.com</v>
      </c>
      <c r="Q383">
        <f t="shared" si="51"/>
        <v>2016</v>
      </c>
      <c r="R383">
        <f t="shared" ca="1" si="52"/>
        <v>10</v>
      </c>
      <c r="S383" t="str">
        <f t="shared" si="53"/>
        <v>True</v>
      </c>
    </row>
    <row r="384" spans="1:19" x14ac:dyDescent="0.4">
      <c r="A384" s="2" t="s">
        <v>190</v>
      </c>
      <c r="B384" s="2" t="s">
        <v>191</v>
      </c>
      <c r="C384" s="2" t="s">
        <v>31</v>
      </c>
      <c r="D384" s="2" t="s">
        <v>18</v>
      </c>
      <c r="E384" s="3">
        <v>42376</v>
      </c>
      <c r="F384" s="2" t="s">
        <v>192</v>
      </c>
      <c r="G384" s="2" t="s">
        <v>193</v>
      </c>
      <c r="H384" s="2" t="s">
        <v>14</v>
      </c>
      <c r="I384" s="6" t="s">
        <v>2344</v>
      </c>
      <c r="J384" s="6" t="s">
        <v>2353</v>
      </c>
      <c r="K384" t="str">
        <f t="shared" si="45"/>
        <v>KABIR GUPTA</v>
      </c>
      <c r="L384" t="str">
        <f t="shared" si="46"/>
        <v>Finance</v>
      </c>
      <c r="M384">
        <f t="shared" si="47"/>
        <v>11</v>
      </c>
      <c r="N384" t="str">
        <f t="shared" si="48"/>
        <v>Kabir Gupta-Finance</v>
      </c>
      <c r="O384" t="str">
        <f t="shared" si="49"/>
        <v>company.com</v>
      </c>
      <c r="P384" t="str">
        <f t="shared" si="50"/>
        <v>company.com</v>
      </c>
      <c r="Q384">
        <f t="shared" si="51"/>
        <v>2016</v>
      </c>
      <c r="R384">
        <f t="shared" ca="1" si="52"/>
        <v>10</v>
      </c>
      <c r="S384" t="str">
        <f t="shared" si="53"/>
        <v>True</v>
      </c>
    </row>
    <row r="385" spans="1:19" x14ac:dyDescent="0.4">
      <c r="A385" s="2" t="s">
        <v>206</v>
      </c>
      <c r="B385" s="2" t="s">
        <v>187</v>
      </c>
      <c r="C385" s="2" t="s">
        <v>17</v>
      </c>
      <c r="D385" s="2" t="s">
        <v>11</v>
      </c>
      <c r="E385" s="3">
        <v>42501</v>
      </c>
      <c r="F385" s="2" t="s">
        <v>188</v>
      </c>
      <c r="G385" s="2" t="s">
        <v>207</v>
      </c>
      <c r="H385" s="2" t="s">
        <v>14</v>
      </c>
      <c r="I385" s="6" t="s">
        <v>2349</v>
      </c>
      <c r="J385" s="6" t="s">
        <v>2359</v>
      </c>
      <c r="K385" t="str">
        <f t="shared" si="45"/>
        <v>AARAV REDDY</v>
      </c>
      <c r="L385" t="str">
        <f t="shared" si="46"/>
        <v>Sales</v>
      </c>
      <c r="M385">
        <f t="shared" si="47"/>
        <v>11</v>
      </c>
      <c r="N385" t="str">
        <f t="shared" si="48"/>
        <v>Aarav Reddy-Sales</v>
      </c>
      <c r="O385" t="str">
        <f t="shared" si="49"/>
        <v>company.com</v>
      </c>
      <c r="P385" t="str">
        <f t="shared" si="50"/>
        <v>company.com</v>
      </c>
      <c r="Q385">
        <f t="shared" si="51"/>
        <v>2016</v>
      </c>
      <c r="R385">
        <f t="shared" ca="1" si="52"/>
        <v>10</v>
      </c>
      <c r="S385" t="str">
        <f t="shared" si="53"/>
        <v>True</v>
      </c>
    </row>
    <row r="386" spans="1:19" x14ac:dyDescent="0.4">
      <c r="A386" s="2" t="s">
        <v>208</v>
      </c>
      <c r="B386" s="2" t="s">
        <v>209</v>
      </c>
      <c r="C386" s="2" t="s">
        <v>53</v>
      </c>
      <c r="D386" s="2" t="s">
        <v>18</v>
      </c>
      <c r="E386" s="3">
        <v>42531</v>
      </c>
      <c r="F386" s="2" t="s">
        <v>210</v>
      </c>
      <c r="G386" s="2" t="s">
        <v>211</v>
      </c>
      <c r="H386" s="2" t="s">
        <v>55</v>
      </c>
      <c r="I386" s="6" t="s">
        <v>2349</v>
      </c>
      <c r="J386" s="6" t="s">
        <v>2356</v>
      </c>
      <c r="K386" t="str">
        <f t="shared" si="45"/>
        <v>AARAV PATEL</v>
      </c>
      <c r="L386" t="str">
        <f t="shared" si="46"/>
        <v>Hr</v>
      </c>
      <c r="M386">
        <f t="shared" si="47"/>
        <v>11</v>
      </c>
      <c r="N386" t="str">
        <f t="shared" si="48"/>
        <v>Aarav Patel-HR</v>
      </c>
      <c r="O386" t="str">
        <f t="shared" si="49"/>
        <v>company.com</v>
      </c>
      <c r="P386" t="str">
        <f t="shared" si="50"/>
        <v>company.com</v>
      </c>
      <c r="Q386">
        <f t="shared" si="51"/>
        <v>2016</v>
      </c>
      <c r="R386">
        <f t="shared" ca="1" si="52"/>
        <v>10</v>
      </c>
      <c r="S386" t="str">
        <f t="shared" si="53"/>
        <v>True</v>
      </c>
    </row>
    <row r="387" spans="1:19" x14ac:dyDescent="0.4">
      <c r="A387" s="2" t="s">
        <v>234</v>
      </c>
      <c r="B387" s="2" t="s">
        <v>235</v>
      </c>
      <c r="C387" s="2" t="s">
        <v>17</v>
      </c>
      <c r="D387" s="2" t="s">
        <v>49</v>
      </c>
      <c r="E387" s="3">
        <v>42630</v>
      </c>
      <c r="F387" s="2" t="s">
        <v>236</v>
      </c>
      <c r="G387" s="2" t="s">
        <v>237</v>
      </c>
      <c r="H387" s="2" t="s">
        <v>14</v>
      </c>
      <c r="I387" s="6" t="s">
        <v>2349</v>
      </c>
      <c r="J387" s="6" t="s">
        <v>2353</v>
      </c>
      <c r="K387" t="str">
        <f t="shared" ref="K387:K450" si="54">UPPER(B387)</f>
        <v>AARAV GUPTA</v>
      </c>
      <c r="L387" t="str">
        <f t="shared" ref="L387:L450" si="55">PROPER(C387)</f>
        <v>Sales</v>
      </c>
      <c r="M387">
        <f t="shared" ref="M387:M450" si="56">LEN(B387)</f>
        <v>11</v>
      </c>
      <c r="N387" t="str">
        <f t="shared" ref="N387:N450" si="57">_xlfn.CONCAT(B387,"-",C387)</f>
        <v>Aarav Gupta-Sales</v>
      </c>
      <c r="O387" t="str">
        <f t="shared" ref="O387:O450" si="58">RIGHT(F387,11)</f>
        <v>company.com</v>
      </c>
      <c r="P387" t="str">
        <f t="shared" ref="P387:P450" si="59">MID(F387,FIND("@",F387)+1,50)</f>
        <v>company.com</v>
      </c>
      <c r="Q387">
        <f t="shared" ref="Q387:Q450" si="60">YEAR(E387)</f>
        <v>2016</v>
      </c>
      <c r="R387">
        <f t="shared" ref="R387:R450" ca="1" si="61">DATEDIF(E387,TODAY(),"y")</f>
        <v>10</v>
      </c>
      <c r="S387" t="str">
        <f t="shared" ref="S387:S450" si="62">IF(YEAR(E387)&lt;2020,"True","False")</f>
        <v>True</v>
      </c>
    </row>
    <row r="388" spans="1:19" x14ac:dyDescent="0.4">
      <c r="A388" s="2" t="s">
        <v>284</v>
      </c>
      <c r="B388" s="2" t="s">
        <v>141</v>
      </c>
      <c r="C388" s="2" t="s">
        <v>53</v>
      </c>
      <c r="D388" s="2" t="s">
        <v>18</v>
      </c>
      <c r="E388" s="3">
        <v>42599</v>
      </c>
      <c r="F388" s="2" t="s">
        <v>142</v>
      </c>
      <c r="G388" s="2" t="s">
        <v>285</v>
      </c>
      <c r="H388" s="2" t="s">
        <v>14</v>
      </c>
      <c r="I388" s="6" t="s">
        <v>2352</v>
      </c>
      <c r="J388" s="6" t="s">
        <v>2358</v>
      </c>
      <c r="K388" t="str">
        <f t="shared" si="54"/>
        <v>MEERA DAS</v>
      </c>
      <c r="L388" t="str">
        <f t="shared" si="55"/>
        <v>Hr</v>
      </c>
      <c r="M388">
        <f t="shared" si="56"/>
        <v>9</v>
      </c>
      <c r="N388" t="str">
        <f t="shared" si="57"/>
        <v>Meera Das-HR</v>
      </c>
      <c r="O388" t="str">
        <f t="shared" si="58"/>
        <v>company.com</v>
      </c>
      <c r="P388" t="str">
        <f t="shared" si="59"/>
        <v>company.com</v>
      </c>
      <c r="Q388">
        <f t="shared" si="60"/>
        <v>2016</v>
      </c>
      <c r="R388">
        <f t="shared" ca="1" si="61"/>
        <v>10</v>
      </c>
      <c r="S388" t="str">
        <f t="shared" si="62"/>
        <v>True</v>
      </c>
    </row>
    <row r="389" spans="1:19" x14ac:dyDescent="0.4">
      <c r="A389" s="2" t="s">
        <v>316</v>
      </c>
      <c r="B389" s="2" t="s">
        <v>317</v>
      </c>
      <c r="C389" s="2" t="s">
        <v>31</v>
      </c>
      <c r="D389" s="2" t="s">
        <v>49</v>
      </c>
      <c r="E389" s="3">
        <v>42685</v>
      </c>
      <c r="F389" s="2" t="s">
        <v>318</v>
      </c>
      <c r="G389" s="2" t="s">
        <v>319</v>
      </c>
      <c r="H389" s="2" t="s">
        <v>55</v>
      </c>
      <c r="I389" s="6" t="s">
        <v>2351</v>
      </c>
      <c r="J389" s="6" t="s">
        <v>2359</v>
      </c>
      <c r="K389" t="str">
        <f t="shared" si="54"/>
        <v>ADITYA REDDY</v>
      </c>
      <c r="L389" t="str">
        <f t="shared" si="55"/>
        <v>Finance</v>
      </c>
      <c r="M389">
        <f t="shared" si="56"/>
        <v>12</v>
      </c>
      <c r="N389" t="str">
        <f t="shared" si="57"/>
        <v>Aditya Reddy-Finance</v>
      </c>
      <c r="O389" t="str">
        <f t="shared" si="58"/>
        <v>company.com</v>
      </c>
      <c r="P389" t="str">
        <f t="shared" si="59"/>
        <v>company.com</v>
      </c>
      <c r="Q389">
        <f t="shared" si="60"/>
        <v>2016</v>
      </c>
      <c r="R389">
        <f t="shared" ca="1" si="61"/>
        <v>9</v>
      </c>
      <c r="S389" t="str">
        <f t="shared" si="62"/>
        <v>True</v>
      </c>
    </row>
    <row r="390" spans="1:19" x14ac:dyDescent="0.4">
      <c r="A390" s="2" t="s">
        <v>326</v>
      </c>
      <c r="B390" s="2" t="s">
        <v>113</v>
      </c>
      <c r="C390" s="2" t="s">
        <v>87</v>
      </c>
      <c r="D390" s="2" t="s">
        <v>25</v>
      </c>
      <c r="E390" s="3">
        <v>42723</v>
      </c>
      <c r="F390" s="2" t="s">
        <v>114</v>
      </c>
      <c r="G390" s="2" t="s">
        <v>327</v>
      </c>
      <c r="H390" s="2" t="s">
        <v>21</v>
      </c>
      <c r="I390" s="6" t="s">
        <v>2343</v>
      </c>
      <c r="J390" s="6" t="s">
        <v>2359</v>
      </c>
      <c r="K390" t="str">
        <f t="shared" si="54"/>
        <v>DIYA REDDY</v>
      </c>
      <c r="L390" t="str">
        <f t="shared" si="55"/>
        <v>Operations</v>
      </c>
      <c r="M390">
        <f t="shared" si="56"/>
        <v>10</v>
      </c>
      <c r="N390" t="str">
        <f t="shared" si="57"/>
        <v>Diya Reddy-Operations</v>
      </c>
      <c r="O390" t="str">
        <f t="shared" si="58"/>
        <v>company.com</v>
      </c>
      <c r="P390" t="str">
        <f t="shared" si="59"/>
        <v>company.com</v>
      </c>
      <c r="Q390">
        <f t="shared" si="60"/>
        <v>2016</v>
      </c>
      <c r="R390">
        <f t="shared" ca="1" si="61"/>
        <v>9</v>
      </c>
      <c r="S390" t="str">
        <f t="shared" si="62"/>
        <v>True</v>
      </c>
    </row>
    <row r="391" spans="1:19" x14ac:dyDescent="0.4">
      <c r="A391" s="2" t="s">
        <v>330</v>
      </c>
      <c r="B391" s="2" t="s">
        <v>187</v>
      </c>
      <c r="C391" s="2" t="s">
        <v>87</v>
      </c>
      <c r="D391" s="2" t="s">
        <v>11</v>
      </c>
      <c r="E391" s="3">
        <v>42531</v>
      </c>
      <c r="F391" s="2" t="s">
        <v>188</v>
      </c>
      <c r="G391" s="2" t="s">
        <v>331</v>
      </c>
      <c r="H391" s="2" t="s">
        <v>55</v>
      </c>
      <c r="I391" s="6" t="s">
        <v>2349</v>
      </c>
      <c r="J391" s="6" t="s">
        <v>2359</v>
      </c>
      <c r="K391" t="str">
        <f t="shared" si="54"/>
        <v>AARAV REDDY</v>
      </c>
      <c r="L391" t="str">
        <f t="shared" si="55"/>
        <v>Operations</v>
      </c>
      <c r="M391">
        <f t="shared" si="56"/>
        <v>11</v>
      </c>
      <c r="N391" t="str">
        <f t="shared" si="57"/>
        <v>Aarav Reddy-Operations</v>
      </c>
      <c r="O391" t="str">
        <f t="shared" si="58"/>
        <v>company.com</v>
      </c>
      <c r="P391" t="str">
        <f t="shared" si="59"/>
        <v>company.com</v>
      </c>
      <c r="Q391">
        <f t="shared" si="60"/>
        <v>2016</v>
      </c>
      <c r="R391">
        <f t="shared" ca="1" si="61"/>
        <v>10</v>
      </c>
      <c r="S391" t="str">
        <f t="shared" si="62"/>
        <v>True</v>
      </c>
    </row>
    <row r="392" spans="1:19" x14ac:dyDescent="0.4">
      <c r="A392" s="2" t="s">
        <v>342</v>
      </c>
      <c r="B392" s="2" t="s">
        <v>91</v>
      </c>
      <c r="C392" s="2" t="s">
        <v>87</v>
      </c>
      <c r="D392" s="2" t="s">
        <v>49</v>
      </c>
      <c r="E392" s="3">
        <v>42585</v>
      </c>
      <c r="F392" s="2" t="s">
        <v>92</v>
      </c>
      <c r="G392" s="2" t="s">
        <v>343</v>
      </c>
      <c r="H392" s="2" t="s">
        <v>14</v>
      </c>
      <c r="I392" s="6" t="s">
        <v>2345</v>
      </c>
      <c r="J392" s="6" t="s">
        <v>2362</v>
      </c>
      <c r="K392" t="str">
        <f t="shared" si="54"/>
        <v>ISHA MEHTA</v>
      </c>
      <c r="L392" t="str">
        <f t="shared" si="55"/>
        <v>Operations</v>
      </c>
      <c r="M392">
        <f t="shared" si="56"/>
        <v>10</v>
      </c>
      <c r="N392" t="str">
        <f t="shared" si="57"/>
        <v>Isha Mehta-Operations</v>
      </c>
      <c r="O392" t="str">
        <f t="shared" si="58"/>
        <v>company.com</v>
      </c>
      <c r="P392" t="str">
        <f t="shared" si="59"/>
        <v>company.com</v>
      </c>
      <c r="Q392">
        <f t="shared" si="60"/>
        <v>2016</v>
      </c>
      <c r="R392">
        <f t="shared" ca="1" si="61"/>
        <v>10</v>
      </c>
      <c r="S392" t="str">
        <f t="shared" si="62"/>
        <v>True</v>
      </c>
    </row>
    <row r="393" spans="1:19" x14ac:dyDescent="0.4">
      <c r="A393" s="2" t="s">
        <v>348</v>
      </c>
      <c r="B393" s="2" t="s">
        <v>181</v>
      </c>
      <c r="C393" s="2" t="s">
        <v>24</v>
      </c>
      <c r="D393" s="2" t="s">
        <v>18</v>
      </c>
      <c r="E393" s="3">
        <v>42418</v>
      </c>
      <c r="F393" s="2" t="s">
        <v>182</v>
      </c>
      <c r="G393" s="2" t="s">
        <v>349</v>
      </c>
      <c r="H393" s="2" t="s">
        <v>21</v>
      </c>
      <c r="I393" s="6" t="s">
        <v>2352</v>
      </c>
      <c r="J393" s="6" t="s">
        <v>2356</v>
      </c>
      <c r="K393" t="str">
        <f t="shared" si="54"/>
        <v>MEERA PATEL</v>
      </c>
      <c r="L393" t="str">
        <f t="shared" si="55"/>
        <v>Marketing</v>
      </c>
      <c r="M393">
        <f t="shared" si="56"/>
        <v>11</v>
      </c>
      <c r="N393" t="str">
        <f t="shared" si="57"/>
        <v>Meera Patel-Marketing</v>
      </c>
      <c r="O393" t="str">
        <f t="shared" si="58"/>
        <v>company.com</v>
      </c>
      <c r="P393" t="str">
        <f t="shared" si="59"/>
        <v>company.com</v>
      </c>
      <c r="Q393">
        <f t="shared" si="60"/>
        <v>2016</v>
      </c>
      <c r="R393">
        <f t="shared" ca="1" si="61"/>
        <v>10</v>
      </c>
      <c r="S393" t="str">
        <f t="shared" si="62"/>
        <v>True</v>
      </c>
    </row>
    <row r="394" spans="1:19" x14ac:dyDescent="0.4">
      <c r="A394" s="2" t="s">
        <v>362</v>
      </c>
      <c r="B394" s="2" t="s">
        <v>363</v>
      </c>
      <c r="C394" s="2" t="s">
        <v>87</v>
      </c>
      <c r="D394" s="2" t="s">
        <v>25</v>
      </c>
      <c r="E394" s="3">
        <v>42570</v>
      </c>
      <c r="F394" s="2" t="s">
        <v>364</v>
      </c>
      <c r="G394" s="2" t="s">
        <v>365</v>
      </c>
      <c r="H394" s="2" t="s">
        <v>28</v>
      </c>
      <c r="I394" s="6" t="s">
        <v>2344</v>
      </c>
      <c r="J394" s="6" t="s">
        <v>2359</v>
      </c>
      <c r="K394" t="str">
        <f t="shared" si="54"/>
        <v>KABIR REDDY</v>
      </c>
      <c r="L394" t="str">
        <f t="shared" si="55"/>
        <v>Operations</v>
      </c>
      <c r="M394">
        <f t="shared" si="56"/>
        <v>11</v>
      </c>
      <c r="N394" t="str">
        <f t="shared" si="57"/>
        <v>Kabir Reddy-Operations</v>
      </c>
      <c r="O394" t="str">
        <f t="shared" si="58"/>
        <v>company.com</v>
      </c>
      <c r="P394" t="str">
        <f t="shared" si="59"/>
        <v>company.com</v>
      </c>
      <c r="Q394">
        <f t="shared" si="60"/>
        <v>2016</v>
      </c>
      <c r="R394">
        <f t="shared" ca="1" si="61"/>
        <v>10</v>
      </c>
      <c r="S394" t="str">
        <f t="shared" si="62"/>
        <v>True</v>
      </c>
    </row>
    <row r="395" spans="1:19" x14ac:dyDescent="0.4">
      <c r="A395" s="2" t="s">
        <v>376</v>
      </c>
      <c r="B395" s="2" t="s">
        <v>299</v>
      </c>
      <c r="C395" s="2" t="s">
        <v>17</v>
      </c>
      <c r="D395" s="2" t="s">
        <v>44</v>
      </c>
      <c r="E395" s="3">
        <v>42540</v>
      </c>
      <c r="F395" s="2" t="s">
        <v>300</v>
      </c>
      <c r="G395" s="2" t="s">
        <v>377</v>
      </c>
      <c r="H395" s="2" t="s">
        <v>28</v>
      </c>
      <c r="I395" s="6" t="s">
        <v>2351</v>
      </c>
      <c r="J395" s="6" t="s">
        <v>2361</v>
      </c>
      <c r="K395" t="str">
        <f t="shared" si="54"/>
        <v>ADITYA KHAN</v>
      </c>
      <c r="L395" t="str">
        <f t="shared" si="55"/>
        <v>Sales</v>
      </c>
      <c r="M395">
        <f t="shared" si="56"/>
        <v>11</v>
      </c>
      <c r="N395" t="str">
        <f t="shared" si="57"/>
        <v>Aditya Khan-Sales</v>
      </c>
      <c r="O395" t="str">
        <f t="shared" si="58"/>
        <v>company.com</v>
      </c>
      <c r="P395" t="str">
        <f t="shared" si="59"/>
        <v>company.com</v>
      </c>
      <c r="Q395">
        <f t="shared" si="60"/>
        <v>2016</v>
      </c>
      <c r="R395">
        <f t="shared" ca="1" si="61"/>
        <v>10</v>
      </c>
      <c r="S395" t="str">
        <f t="shared" si="62"/>
        <v>True</v>
      </c>
    </row>
    <row r="396" spans="1:19" x14ac:dyDescent="0.4">
      <c r="A396" s="2" t="s">
        <v>388</v>
      </c>
      <c r="B396" s="2" t="s">
        <v>149</v>
      </c>
      <c r="C396" s="2" t="s">
        <v>53</v>
      </c>
      <c r="D396" s="2" t="s">
        <v>25</v>
      </c>
      <c r="E396" s="3">
        <v>42561</v>
      </c>
      <c r="F396" s="2" t="s">
        <v>150</v>
      </c>
      <c r="G396" s="2" t="s">
        <v>389</v>
      </c>
      <c r="H396" s="2" t="s">
        <v>28</v>
      </c>
      <c r="I396" s="6" t="s">
        <v>2344</v>
      </c>
      <c r="J396" s="6" t="s">
        <v>2357</v>
      </c>
      <c r="K396" t="str">
        <f t="shared" si="54"/>
        <v>KABIR JOSHI</v>
      </c>
      <c r="L396" t="str">
        <f t="shared" si="55"/>
        <v>Hr</v>
      </c>
      <c r="M396">
        <f t="shared" si="56"/>
        <v>11</v>
      </c>
      <c r="N396" t="str">
        <f t="shared" si="57"/>
        <v>Kabir Joshi-HR</v>
      </c>
      <c r="O396" t="str">
        <f t="shared" si="58"/>
        <v>company.com</v>
      </c>
      <c r="P396" t="str">
        <f t="shared" si="59"/>
        <v>company.com</v>
      </c>
      <c r="Q396">
        <f t="shared" si="60"/>
        <v>2016</v>
      </c>
      <c r="R396">
        <f t="shared" ca="1" si="61"/>
        <v>10</v>
      </c>
      <c r="S396" t="str">
        <f t="shared" si="62"/>
        <v>True</v>
      </c>
    </row>
    <row r="397" spans="1:19" x14ac:dyDescent="0.4">
      <c r="A397" s="2" t="s">
        <v>398</v>
      </c>
      <c r="B397" s="2" t="s">
        <v>191</v>
      </c>
      <c r="C397" s="2" t="s">
        <v>24</v>
      </c>
      <c r="D397" s="2" t="s">
        <v>11</v>
      </c>
      <c r="E397" s="3">
        <v>42371</v>
      </c>
      <c r="F397" s="2" t="s">
        <v>192</v>
      </c>
      <c r="G397" s="2" t="s">
        <v>399</v>
      </c>
      <c r="H397" s="2" t="s">
        <v>64</v>
      </c>
      <c r="I397" s="6" t="s">
        <v>2344</v>
      </c>
      <c r="J397" s="6" t="s">
        <v>2353</v>
      </c>
      <c r="K397" t="str">
        <f t="shared" si="54"/>
        <v>KABIR GUPTA</v>
      </c>
      <c r="L397" t="str">
        <f t="shared" si="55"/>
        <v>Marketing</v>
      </c>
      <c r="M397">
        <f t="shared" si="56"/>
        <v>11</v>
      </c>
      <c r="N397" t="str">
        <f t="shared" si="57"/>
        <v>Kabir Gupta-Marketing</v>
      </c>
      <c r="O397" t="str">
        <f t="shared" si="58"/>
        <v>company.com</v>
      </c>
      <c r="P397" t="str">
        <f t="shared" si="59"/>
        <v>company.com</v>
      </c>
      <c r="Q397">
        <f t="shared" si="60"/>
        <v>2016</v>
      </c>
      <c r="R397">
        <f t="shared" ca="1" si="61"/>
        <v>10</v>
      </c>
      <c r="S397" t="str">
        <f t="shared" si="62"/>
        <v>True</v>
      </c>
    </row>
    <row r="398" spans="1:19" x14ac:dyDescent="0.4">
      <c r="A398" s="2" t="s">
        <v>438</v>
      </c>
      <c r="B398" s="2" t="s">
        <v>39</v>
      </c>
      <c r="C398" s="2" t="s">
        <v>17</v>
      </c>
      <c r="D398" s="2" t="s">
        <v>25</v>
      </c>
      <c r="E398" s="3">
        <v>42432</v>
      </c>
      <c r="F398" s="2" t="s">
        <v>40</v>
      </c>
      <c r="G398" s="2" t="s">
        <v>439</v>
      </c>
      <c r="H398" s="2" t="s">
        <v>28</v>
      </c>
      <c r="I398" s="6" t="s">
        <v>2349</v>
      </c>
      <c r="J398" s="6" t="s">
        <v>2358</v>
      </c>
      <c r="K398" t="str">
        <f t="shared" si="54"/>
        <v>AARAV DAS</v>
      </c>
      <c r="L398" t="str">
        <f t="shared" si="55"/>
        <v>Sales</v>
      </c>
      <c r="M398">
        <f t="shared" si="56"/>
        <v>9</v>
      </c>
      <c r="N398" t="str">
        <f t="shared" si="57"/>
        <v>Aarav Das-Sales</v>
      </c>
      <c r="O398" t="str">
        <f t="shared" si="58"/>
        <v>company.com</v>
      </c>
      <c r="P398" t="str">
        <f t="shared" si="59"/>
        <v>company.com</v>
      </c>
      <c r="Q398">
        <f t="shared" si="60"/>
        <v>2016</v>
      </c>
      <c r="R398">
        <f t="shared" ca="1" si="61"/>
        <v>10</v>
      </c>
      <c r="S398" t="str">
        <f t="shared" si="62"/>
        <v>True</v>
      </c>
    </row>
    <row r="399" spans="1:19" x14ac:dyDescent="0.4">
      <c r="A399" s="2" t="s">
        <v>440</v>
      </c>
      <c r="B399" s="2" t="s">
        <v>401</v>
      </c>
      <c r="C399" s="2" t="s">
        <v>31</v>
      </c>
      <c r="D399" s="2" t="s">
        <v>11</v>
      </c>
      <c r="E399" s="3">
        <v>42636</v>
      </c>
      <c r="F399" s="2" t="s">
        <v>402</v>
      </c>
      <c r="G399" s="2" t="s">
        <v>441</v>
      </c>
      <c r="H399" s="2" t="s">
        <v>14</v>
      </c>
      <c r="I399" s="6" t="s">
        <v>2352</v>
      </c>
      <c r="J399" s="6" t="s">
        <v>2355</v>
      </c>
      <c r="K399" t="str">
        <f t="shared" si="54"/>
        <v>MEERA NAIR</v>
      </c>
      <c r="L399" t="str">
        <f t="shared" si="55"/>
        <v>Finance</v>
      </c>
      <c r="M399">
        <f t="shared" si="56"/>
        <v>10</v>
      </c>
      <c r="N399" t="str">
        <f t="shared" si="57"/>
        <v>Meera Nair-Finance</v>
      </c>
      <c r="O399" t="str">
        <f t="shared" si="58"/>
        <v>company.com</v>
      </c>
      <c r="P399" t="str">
        <f t="shared" si="59"/>
        <v>company.com</v>
      </c>
      <c r="Q399">
        <f t="shared" si="60"/>
        <v>2016</v>
      </c>
      <c r="R399">
        <f t="shared" ca="1" si="61"/>
        <v>10</v>
      </c>
      <c r="S399" t="str">
        <f t="shared" si="62"/>
        <v>True</v>
      </c>
    </row>
    <row r="400" spans="1:19" x14ac:dyDescent="0.4">
      <c r="A400" s="2" t="s">
        <v>452</v>
      </c>
      <c r="B400" s="2" t="s">
        <v>321</v>
      </c>
      <c r="C400" s="2" t="s">
        <v>24</v>
      </c>
      <c r="D400" s="2" t="s">
        <v>49</v>
      </c>
      <c r="E400" s="3">
        <v>42717</v>
      </c>
      <c r="F400" s="2" t="s">
        <v>322</v>
      </c>
      <c r="G400" s="2" t="s">
        <v>453</v>
      </c>
      <c r="H400" s="2" t="s">
        <v>55</v>
      </c>
      <c r="I400" s="6" t="s">
        <v>2344</v>
      </c>
      <c r="J400" s="6" t="s">
        <v>2355</v>
      </c>
      <c r="K400" t="str">
        <f t="shared" si="54"/>
        <v>KABIR NAIR</v>
      </c>
      <c r="L400" t="str">
        <f t="shared" si="55"/>
        <v>Marketing</v>
      </c>
      <c r="M400">
        <f t="shared" si="56"/>
        <v>10</v>
      </c>
      <c r="N400" t="str">
        <f t="shared" si="57"/>
        <v>Kabir Nair-Marketing</v>
      </c>
      <c r="O400" t="str">
        <f t="shared" si="58"/>
        <v>company.com</v>
      </c>
      <c r="P400" t="str">
        <f t="shared" si="59"/>
        <v>company.com</v>
      </c>
      <c r="Q400">
        <f t="shared" si="60"/>
        <v>2016</v>
      </c>
      <c r="R400">
        <f t="shared" ca="1" si="61"/>
        <v>9</v>
      </c>
      <c r="S400" t="str">
        <f t="shared" si="62"/>
        <v>True</v>
      </c>
    </row>
    <row r="401" spans="1:19" x14ac:dyDescent="0.4">
      <c r="A401" s="2" t="s">
        <v>468</v>
      </c>
      <c r="B401" s="2" t="s">
        <v>469</v>
      </c>
      <c r="C401" s="2" t="s">
        <v>10</v>
      </c>
      <c r="D401" s="2" t="s">
        <v>18</v>
      </c>
      <c r="E401" s="3">
        <v>42658</v>
      </c>
      <c r="F401" s="2" t="s">
        <v>470</v>
      </c>
      <c r="G401" s="2" t="s">
        <v>471</v>
      </c>
      <c r="H401" s="2" t="s">
        <v>14</v>
      </c>
      <c r="I401" s="6" t="s">
        <v>2348</v>
      </c>
      <c r="J401" s="6" t="s">
        <v>2355</v>
      </c>
      <c r="K401" t="str">
        <f t="shared" si="54"/>
        <v>ANANYA NAIR</v>
      </c>
      <c r="L401" t="str">
        <f t="shared" si="55"/>
        <v>It</v>
      </c>
      <c r="M401">
        <f t="shared" si="56"/>
        <v>11</v>
      </c>
      <c r="N401" t="str">
        <f t="shared" si="57"/>
        <v>Ananya Nair-IT</v>
      </c>
      <c r="O401" t="str">
        <f t="shared" si="58"/>
        <v>company.com</v>
      </c>
      <c r="P401" t="str">
        <f t="shared" si="59"/>
        <v>company.com</v>
      </c>
      <c r="Q401">
        <f t="shared" si="60"/>
        <v>2016</v>
      </c>
      <c r="R401">
        <f t="shared" ca="1" si="61"/>
        <v>10</v>
      </c>
      <c r="S401" t="str">
        <f t="shared" si="62"/>
        <v>True</v>
      </c>
    </row>
    <row r="402" spans="1:19" x14ac:dyDescent="0.4">
      <c r="A402" s="2" t="s">
        <v>484</v>
      </c>
      <c r="B402" s="2" t="s">
        <v>395</v>
      </c>
      <c r="C402" s="2" t="s">
        <v>87</v>
      </c>
      <c r="D402" s="2" t="s">
        <v>49</v>
      </c>
      <c r="E402" s="3">
        <v>42601</v>
      </c>
      <c r="F402" s="2" t="s">
        <v>396</v>
      </c>
      <c r="G402" s="2" t="s">
        <v>485</v>
      </c>
      <c r="H402" s="2" t="s">
        <v>28</v>
      </c>
      <c r="I402" s="6" t="s">
        <v>2346</v>
      </c>
      <c r="J402" s="6" t="s">
        <v>2355</v>
      </c>
      <c r="K402" t="str">
        <f t="shared" si="54"/>
        <v>RIYA NAIR</v>
      </c>
      <c r="L402" t="str">
        <f t="shared" si="55"/>
        <v>Operations</v>
      </c>
      <c r="M402">
        <f t="shared" si="56"/>
        <v>9</v>
      </c>
      <c r="N402" t="str">
        <f t="shared" si="57"/>
        <v>Riya Nair-Operations</v>
      </c>
      <c r="O402" t="str">
        <f t="shared" si="58"/>
        <v>company.com</v>
      </c>
      <c r="P402" t="str">
        <f t="shared" si="59"/>
        <v>company.com</v>
      </c>
      <c r="Q402">
        <f t="shared" si="60"/>
        <v>2016</v>
      </c>
      <c r="R402">
        <f t="shared" ca="1" si="61"/>
        <v>10</v>
      </c>
      <c r="S402" t="str">
        <f t="shared" si="62"/>
        <v>True</v>
      </c>
    </row>
    <row r="403" spans="1:19" x14ac:dyDescent="0.4">
      <c r="A403" s="2" t="s">
        <v>496</v>
      </c>
      <c r="B403" s="2" t="s">
        <v>469</v>
      </c>
      <c r="C403" s="2" t="s">
        <v>10</v>
      </c>
      <c r="D403" s="2" t="s">
        <v>49</v>
      </c>
      <c r="E403" s="3">
        <v>42479</v>
      </c>
      <c r="F403" s="2" t="s">
        <v>470</v>
      </c>
      <c r="G403" s="2" t="s">
        <v>497</v>
      </c>
      <c r="H403" s="2" t="s">
        <v>28</v>
      </c>
      <c r="I403" s="6" t="s">
        <v>2348</v>
      </c>
      <c r="J403" s="6" t="s">
        <v>2355</v>
      </c>
      <c r="K403" t="str">
        <f t="shared" si="54"/>
        <v>ANANYA NAIR</v>
      </c>
      <c r="L403" t="str">
        <f t="shared" si="55"/>
        <v>It</v>
      </c>
      <c r="M403">
        <f t="shared" si="56"/>
        <v>11</v>
      </c>
      <c r="N403" t="str">
        <f t="shared" si="57"/>
        <v>Ananya Nair-IT</v>
      </c>
      <c r="O403" t="str">
        <f t="shared" si="58"/>
        <v>company.com</v>
      </c>
      <c r="P403" t="str">
        <f t="shared" si="59"/>
        <v>company.com</v>
      </c>
      <c r="Q403">
        <f t="shared" si="60"/>
        <v>2016</v>
      </c>
      <c r="R403">
        <f t="shared" ca="1" si="61"/>
        <v>10</v>
      </c>
      <c r="S403" t="str">
        <f t="shared" si="62"/>
        <v>True</v>
      </c>
    </row>
    <row r="404" spans="1:19" x14ac:dyDescent="0.4">
      <c r="A404" s="2" t="s">
        <v>518</v>
      </c>
      <c r="B404" s="2" t="s">
        <v>177</v>
      </c>
      <c r="C404" s="2" t="s">
        <v>17</v>
      </c>
      <c r="D404" s="2" t="s">
        <v>25</v>
      </c>
      <c r="E404" s="3">
        <v>42706</v>
      </c>
      <c r="F404" s="2" t="s">
        <v>178</v>
      </c>
      <c r="G404" s="2" t="s">
        <v>519</v>
      </c>
      <c r="H404" s="2" t="s">
        <v>14</v>
      </c>
      <c r="I404" s="6" t="s">
        <v>2346</v>
      </c>
      <c r="J404" s="6" t="s">
        <v>2353</v>
      </c>
      <c r="K404" t="str">
        <f t="shared" si="54"/>
        <v>RIYA GUPTA</v>
      </c>
      <c r="L404" t="str">
        <f t="shared" si="55"/>
        <v>Sales</v>
      </c>
      <c r="M404">
        <f t="shared" si="56"/>
        <v>10</v>
      </c>
      <c r="N404" t="str">
        <f t="shared" si="57"/>
        <v>Riya Gupta-Sales</v>
      </c>
      <c r="O404" t="str">
        <f t="shared" si="58"/>
        <v>company.com</v>
      </c>
      <c r="P404" t="str">
        <f t="shared" si="59"/>
        <v>company.com</v>
      </c>
      <c r="Q404">
        <f t="shared" si="60"/>
        <v>2016</v>
      </c>
      <c r="R404">
        <f t="shared" ca="1" si="61"/>
        <v>9</v>
      </c>
      <c r="S404" t="str">
        <f t="shared" si="62"/>
        <v>True</v>
      </c>
    </row>
    <row r="405" spans="1:19" x14ac:dyDescent="0.4">
      <c r="A405" s="2" t="s">
        <v>588</v>
      </c>
      <c r="B405" s="2" t="s">
        <v>86</v>
      </c>
      <c r="C405" s="2" t="s">
        <v>10</v>
      </c>
      <c r="D405" s="2" t="s">
        <v>11</v>
      </c>
      <c r="E405" s="3">
        <v>42704</v>
      </c>
      <c r="F405" s="2" t="s">
        <v>88</v>
      </c>
      <c r="G405" s="2" t="s">
        <v>589</v>
      </c>
      <c r="H405" s="2" t="s">
        <v>64</v>
      </c>
      <c r="I405" s="6" t="s">
        <v>2344</v>
      </c>
      <c r="J405" s="6" t="s">
        <v>2354</v>
      </c>
      <c r="K405" t="str">
        <f t="shared" si="54"/>
        <v>KABIR SINGH</v>
      </c>
      <c r="L405" t="str">
        <f t="shared" si="55"/>
        <v>It</v>
      </c>
      <c r="M405">
        <f t="shared" si="56"/>
        <v>11</v>
      </c>
      <c r="N405" t="str">
        <f t="shared" si="57"/>
        <v>Kabir Singh-IT</v>
      </c>
      <c r="O405" t="str">
        <f t="shared" si="58"/>
        <v>company.com</v>
      </c>
      <c r="P405" t="str">
        <f t="shared" si="59"/>
        <v>company.com</v>
      </c>
      <c r="Q405">
        <f t="shared" si="60"/>
        <v>2016</v>
      </c>
      <c r="R405">
        <f t="shared" ca="1" si="61"/>
        <v>9</v>
      </c>
      <c r="S405" t="str">
        <f t="shared" si="62"/>
        <v>True</v>
      </c>
    </row>
    <row r="406" spans="1:19" x14ac:dyDescent="0.4">
      <c r="A406" s="2" t="s">
        <v>624</v>
      </c>
      <c r="B406" s="2" t="s">
        <v>575</v>
      </c>
      <c r="C406" s="2" t="s">
        <v>53</v>
      </c>
      <c r="D406" s="2" t="s">
        <v>11</v>
      </c>
      <c r="E406" s="3">
        <v>42529</v>
      </c>
      <c r="F406" s="2" t="s">
        <v>576</v>
      </c>
      <c r="G406" s="2" t="s">
        <v>625</v>
      </c>
      <c r="H406" s="2" t="s">
        <v>21</v>
      </c>
      <c r="I406" s="6" t="s">
        <v>2350</v>
      </c>
      <c r="J406" s="6" t="s">
        <v>2358</v>
      </c>
      <c r="K406" t="str">
        <f t="shared" si="54"/>
        <v>VIVAAN DAS</v>
      </c>
      <c r="L406" t="str">
        <f t="shared" si="55"/>
        <v>Hr</v>
      </c>
      <c r="M406">
        <f t="shared" si="56"/>
        <v>10</v>
      </c>
      <c r="N406" t="str">
        <f t="shared" si="57"/>
        <v>Vivaan Das-HR</v>
      </c>
      <c r="O406" t="str">
        <f t="shared" si="58"/>
        <v>company.com</v>
      </c>
      <c r="P406" t="str">
        <f t="shared" si="59"/>
        <v>company.com</v>
      </c>
      <c r="Q406">
        <f t="shared" si="60"/>
        <v>2016</v>
      </c>
      <c r="R406">
        <f t="shared" ca="1" si="61"/>
        <v>10</v>
      </c>
      <c r="S406" t="str">
        <f t="shared" si="62"/>
        <v>True</v>
      </c>
    </row>
    <row r="407" spans="1:19" x14ac:dyDescent="0.4">
      <c r="A407" s="2" t="s">
        <v>660</v>
      </c>
      <c r="B407" s="2" t="s">
        <v>661</v>
      </c>
      <c r="C407" s="2" t="s">
        <v>24</v>
      </c>
      <c r="D407" s="2" t="s">
        <v>11</v>
      </c>
      <c r="E407" s="3">
        <v>42569</v>
      </c>
      <c r="F407" s="2" t="s">
        <v>662</v>
      </c>
      <c r="G407" s="2" t="s">
        <v>663</v>
      </c>
      <c r="H407" s="2" t="s">
        <v>55</v>
      </c>
      <c r="I407" s="6" t="s">
        <v>2344</v>
      </c>
      <c r="J407" s="6" t="s">
        <v>2361</v>
      </c>
      <c r="K407" t="str">
        <f t="shared" si="54"/>
        <v>KABIR KHAN</v>
      </c>
      <c r="L407" t="str">
        <f t="shared" si="55"/>
        <v>Marketing</v>
      </c>
      <c r="M407">
        <f t="shared" si="56"/>
        <v>10</v>
      </c>
      <c r="N407" t="str">
        <f t="shared" si="57"/>
        <v>Kabir Khan-Marketing</v>
      </c>
      <c r="O407" t="str">
        <f t="shared" si="58"/>
        <v>company.com</v>
      </c>
      <c r="P407" t="str">
        <f t="shared" si="59"/>
        <v>company.com</v>
      </c>
      <c r="Q407">
        <f t="shared" si="60"/>
        <v>2016</v>
      </c>
      <c r="R407">
        <f t="shared" ca="1" si="61"/>
        <v>10</v>
      </c>
      <c r="S407" t="str">
        <f t="shared" si="62"/>
        <v>True</v>
      </c>
    </row>
    <row r="408" spans="1:19" x14ac:dyDescent="0.4">
      <c r="A408" s="2" t="s">
        <v>686</v>
      </c>
      <c r="B408" s="2" t="s">
        <v>145</v>
      </c>
      <c r="C408" s="2" t="s">
        <v>87</v>
      </c>
      <c r="D408" s="2" t="s">
        <v>18</v>
      </c>
      <c r="E408" s="3">
        <v>42700</v>
      </c>
      <c r="F408" s="2" t="s">
        <v>146</v>
      </c>
      <c r="G408" s="2" t="s">
        <v>687</v>
      </c>
      <c r="H408" s="2" t="s">
        <v>55</v>
      </c>
      <c r="I408" s="6" t="s">
        <v>2351</v>
      </c>
      <c r="J408" s="6" t="s">
        <v>2355</v>
      </c>
      <c r="K408" t="str">
        <f t="shared" si="54"/>
        <v>ADITYA NAIR</v>
      </c>
      <c r="L408" t="str">
        <f t="shared" si="55"/>
        <v>Operations</v>
      </c>
      <c r="M408">
        <f t="shared" si="56"/>
        <v>11</v>
      </c>
      <c r="N408" t="str">
        <f t="shared" si="57"/>
        <v>Aditya Nair-Operations</v>
      </c>
      <c r="O408" t="str">
        <f t="shared" si="58"/>
        <v>company.com</v>
      </c>
      <c r="P408" t="str">
        <f t="shared" si="59"/>
        <v>company.com</v>
      </c>
      <c r="Q408">
        <f t="shared" si="60"/>
        <v>2016</v>
      </c>
      <c r="R408">
        <f t="shared" ca="1" si="61"/>
        <v>9</v>
      </c>
      <c r="S408" t="str">
        <f t="shared" si="62"/>
        <v>True</v>
      </c>
    </row>
    <row r="409" spans="1:19" x14ac:dyDescent="0.4">
      <c r="A409" s="2" t="s">
        <v>724</v>
      </c>
      <c r="B409" s="2" t="s">
        <v>157</v>
      </c>
      <c r="C409" s="2" t="s">
        <v>10</v>
      </c>
      <c r="D409" s="2" t="s">
        <v>44</v>
      </c>
      <c r="E409" s="3">
        <v>42645</v>
      </c>
      <c r="F409" s="2" t="s">
        <v>158</v>
      </c>
      <c r="G409" s="2" t="s">
        <v>725</v>
      </c>
      <c r="H409" s="2" t="s">
        <v>55</v>
      </c>
      <c r="I409" s="6" t="s">
        <v>2346</v>
      </c>
      <c r="J409" s="6" t="s">
        <v>2362</v>
      </c>
      <c r="K409" t="str">
        <f t="shared" si="54"/>
        <v>RIYA MEHTA</v>
      </c>
      <c r="L409" t="str">
        <f t="shared" si="55"/>
        <v>It</v>
      </c>
      <c r="M409">
        <f t="shared" si="56"/>
        <v>10</v>
      </c>
      <c r="N409" t="str">
        <f t="shared" si="57"/>
        <v>Riya Mehta-IT</v>
      </c>
      <c r="O409" t="str">
        <f t="shared" si="58"/>
        <v>company.com</v>
      </c>
      <c r="P409" t="str">
        <f t="shared" si="59"/>
        <v>company.com</v>
      </c>
      <c r="Q409">
        <f t="shared" si="60"/>
        <v>2016</v>
      </c>
      <c r="R409">
        <f t="shared" ca="1" si="61"/>
        <v>10</v>
      </c>
      <c r="S409" t="str">
        <f t="shared" si="62"/>
        <v>True</v>
      </c>
    </row>
    <row r="410" spans="1:19" x14ac:dyDescent="0.4">
      <c r="A410" s="2" t="s">
        <v>774</v>
      </c>
      <c r="B410" s="2" t="s">
        <v>225</v>
      </c>
      <c r="C410" s="2" t="s">
        <v>53</v>
      </c>
      <c r="D410" s="2" t="s">
        <v>25</v>
      </c>
      <c r="E410" s="3">
        <v>42533</v>
      </c>
      <c r="F410" s="2" t="s">
        <v>226</v>
      </c>
      <c r="G410" s="2" t="s">
        <v>775</v>
      </c>
      <c r="H410" s="2" t="s">
        <v>14</v>
      </c>
      <c r="I410" s="6" t="s">
        <v>2347</v>
      </c>
      <c r="J410" s="6" t="s">
        <v>2353</v>
      </c>
      <c r="K410" t="str">
        <f t="shared" si="54"/>
        <v>ARJUN GUPTA</v>
      </c>
      <c r="L410" t="str">
        <f t="shared" si="55"/>
        <v>Hr</v>
      </c>
      <c r="M410">
        <f t="shared" si="56"/>
        <v>11</v>
      </c>
      <c r="N410" t="str">
        <f t="shared" si="57"/>
        <v>Arjun Gupta-HR</v>
      </c>
      <c r="O410" t="str">
        <f t="shared" si="58"/>
        <v>company.com</v>
      </c>
      <c r="P410" t="str">
        <f t="shared" si="59"/>
        <v>company.com</v>
      </c>
      <c r="Q410">
        <f t="shared" si="60"/>
        <v>2016</v>
      </c>
      <c r="R410">
        <f t="shared" ca="1" si="61"/>
        <v>10</v>
      </c>
      <c r="S410" t="str">
        <f t="shared" si="62"/>
        <v>True</v>
      </c>
    </row>
    <row r="411" spans="1:19" x14ac:dyDescent="0.4">
      <c r="A411" s="2" t="s">
        <v>808</v>
      </c>
      <c r="B411" s="2" t="s">
        <v>363</v>
      </c>
      <c r="C411" s="2" t="s">
        <v>10</v>
      </c>
      <c r="D411" s="2" t="s">
        <v>49</v>
      </c>
      <c r="E411" s="3">
        <v>42713</v>
      </c>
      <c r="F411" s="2" t="s">
        <v>364</v>
      </c>
      <c r="G411" s="2" t="s">
        <v>809</v>
      </c>
      <c r="H411" s="2" t="s">
        <v>64</v>
      </c>
      <c r="I411" s="6" t="s">
        <v>2344</v>
      </c>
      <c r="J411" s="6" t="s">
        <v>2359</v>
      </c>
      <c r="K411" t="str">
        <f t="shared" si="54"/>
        <v>KABIR REDDY</v>
      </c>
      <c r="L411" t="str">
        <f t="shared" si="55"/>
        <v>It</v>
      </c>
      <c r="M411">
        <f t="shared" si="56"/>
        <v>11</v>
      </c>
      <c r="N411" t="str">
        <f t="shared" si="57"/>
        <v>Kabir Reddy-IT</v>
      </c>
      <c r="O411" t="str">
        <f t="shared" si="58"/>
        <v>company.com</v>
      </c>
      <c r="P411" t="str">
        <f t="shared" si="59"/>
        <v>company.com</v>
      </c>
      <c r="Q411">
        <f t="shared" si="60"/>
        <v>2016</v>
      </c>
      <c r="R411">
        <f t="shared" ca="1" si="61"/>
        <v>9</v>
      </c>
      <c r="S411" t="str">
        <f t="shared" si="62"/>
        <v>True</v>
      </c>
    </row>
    <row r="412" spans="1:19" x14ac:dyDescent="0.4">
      <c r="A412" s="2" t="s">
        <v>814</v>
      </c>
      <c r="B412" s="2" t="s">
        <v>473</v>
      </c>
      <c r="C412" s="2" t="s">
        <v>10</v>
      </c>
      <c r="D412" s="2" t="s">
        <v>44</v>
      </c>
      <c r="E412" s="3">
        <v>42723</v>
      </c>
      <c r="F412" s="2" t="s">
        <v>474</v>
      </c>
      <c r="G412" s="2" t="s">
        <v>815</v>
      </c>
      <c r="H412" s="2" t="s">
        <v>21</v>
      </c>
      <c r="I412" s="6" t="s">
        <v>2352</v>
      </c>
      <c r="J412" s="6" t="s">
        <v>2361</v>
      </c>
      <c r="K412" t="str">
        <f t="shared" si="54"/>
        <v>MEERA KHAN</v>
      </c>
      <c r="L412" t="str">
        <f t="shared" si="55"/>
        <v>It</v>
      </c>
      <c r="M412">
        <f t="shared" si="56"/>
        <v>10</v>
      </c>
      <c r="N412" t="str">
        <f t="shared" si="57"/>
        <v>Meera Khan-IT</v>
      </c>
      <c r="O412" t="str">
        <f t="shared" si="58"/>
        <v>company.com</v>
      </c>
      <c r="P412" t="str">
        <f t="shared" si="59"/>
        <v>company.com</v>
      </c>
      <c r="Q412">
        <f t="shared" si="60"/>
        <v>2016</v>
      </c>
      <c r="R412">
        <f t="shared" ca="1" si="61"/>
        <v>9</v>
      </c>
      <c r="S412" t="str">
        <f t="shared" si="62"/>
        <v>True</v>
      </c>
    </row>
    <row r="413" spans="1:19" x14ac:dyDescent="0.4">
      <c r="A413" s="2" t="s">
        <v>816</v>
      </c>
      <c r="B413" s="2" t="s">
        <v>91</v>
      </c>
      <c r="C413" s="2" t="s">
        <v>87</v>
      </c>
      <c r="D413" s="2" t="s">
        <v>18</v>
      </c>
      <c r="E413" s="3">
        <v>42628</v>
      </c>
      <c r="F413" s="2" t="s">
        <v>92</v>
      </c>
      <c r="G413" s="2" t="s">
        <v>817</v>
      </c>
      <c r="H413" s="2" t="s">
        <v>55</v>
      </c>
      <c r="I413" s="6" t="s">
        <v>2345</v>
      </c>
      <c r="J413" s="6" t="s">
        <v>2362</v>
      </c>
      <c r="K413" t="str">
        <f t="shared" si="54"/>
        <v>ISHA MEHTA</v>
      </c>
      <c r="L413" t="str">
        <f t="shared" si="55"/>
        <v>Operations</v>
      </c>
      <c r="M413">
        <f t="shared" si="56"/>
        <v>10</v>
      </c>
      <c r="N413" t="str">
        <f t="shared" si="57"/>
        <v>Isha Mehta-Operations</v>
      </c>
      <c r="O413" t="str">
        <f t="shared" si="58"/>
        <v>company.com</v>
      </c>
      <c r="P413" t="str">
        <f t="shared" si="59"/>
        <v>company.com</v>
      </c>
      <c r="Q413">
        <f t="shared" si="60"/>
        <v>2016</v>
      </c>
      <c r="R413">
        <f t="shared" ca="1" si="61"/>
        <v>10</v>
      </c>
      <c r="S413" t="str">
        <f t="shared" si="62"/>
        <v>True</v>
      </c>
    </row>
    <row r="414" spans="1:19" x14ac:dyDescent="0.4">
      <c r="A414" s="2" t="s">
        <v>824</v>
      </c>
      <c r="B414" s="2" t="s">
        <v>411</v>
      </c>
      <c r="C414" s="2" t="s">
        <v>10</v>
      </c>
      <c r="D414" s="2" t="s">
        <v>44</v>
      </c>
      <c r="E414" s="3">
        <v>42543</v>
      </c>
      <c r="F414" s="2" t="s">
        <v>412</v>
      </c>
      <c r="G414" s="2" t="s">
        <v>825</v>
      </c>
      <c r="H414" s="2" t="s">
        <v>64</v>
      </c>
      <c r="I414" s="6" t="s">
        <v>2349</v>
      </c>
      <c r="J414" s="6" t="s">
        <v>2357</v>
      </c>
      <c r="K414" t="str">
        <f t="shared" si="54"/>
        <v>AARAV JOSHI</v>
      </c>
      <c r="L414" t="str">
        <f t="shared" si="55"/>
        <v>It</v>
      </c>
      <c r="M414">
        <f t="shared" si="56"/>
        <v>11</v>
      </c>
      <c r="N414" t="str">
        <f t="shared" si="57"/>
        <v>Aarav Joshi-IT</v>
      </c>
      <c r="O414" t="str">
        <f t="shared" si="58"/>
        <v>company.com</v>
      </c>
      <c r="P414" t="str">
        <f t="shared" si="59"/>
        <v>company.com</v>
      </c>
      <c r="Q414">
        <f t="shared" si="60"/>
        <v>2016</v>
      </c>
      <c r="R414">
        <f t="shared" ca="1" si="61"/>
        <v>10</v>
      </c>
      <c r="S414" t="str">
        <f t="shared" si="62"/>
        <v>True</v>
      </c>
    </row>
    <row r="415" spans="1:19" x14ac:dyDescent="0.4">
      <c r="A415" s="2" t="s">
        <v>826</v>
      </c>
      <c r="B415" s="2" t="s">
        <v>225</v>
      </c>
      <c r="C415" s="2" t="s">
        <v>31</v>
      </c>
      <c r="D415" s="2" t="s">
        <v>44</v>
      </c>
      <c r="E415" s="3">
        <v>42384</v>
      </c>
      <c r="F415" s="2" t="s">
        <v>226</v>
      </c>
      <c r="G415" s="2" t="s">
        <v>827</v>
      </c>
      <c r="H415" s="2" t="s">
        <v>28</v>
      </c>
      <c r="I415" s="6" t="s">
        <v>2347</v>
      </c>
      <c r="J415" s="6" t="s">
        <v>2353</v>
      </c>
      <c r="K415" t="str">
        <f t="shared" si="54"/>
        <v>ARJUN GUPTA</v>
      </c>
      <c r="L415" t="str">
        <f t="shared" si="55"/>
        <v>Finance</v>
      </c>
      <c r="M415">
        <f t="shared" si="56"/>
        <v>11</v>
      </c>
      <c r="N415" t="str">
        <f t="shared" si="57"/>
        <v>Arjun Gupta-Finance</v>
      </c>
      <c r="O415" t="str">
        <f t="shared" si="58"/>
        <v>company.com</v>
      </c>
      <c r="P415" t="str">
        <f t="shared" si="59"/>
        <v>company.com</v>
      </c>
      <c r="Q415">
        <f t="shared" si="60"/>
        <v>2016</v>
      </c>
      <c r="R415">
        <f t="shared" ca="1" si="61"/>
        <v>10</v>
      </c>
      <c r="S415" t="str">
        <f t="shared" si="62"/>
        <v>True</v>
      </c>
    </row>
    <row r="416" spans="1:19" x14ac:dyDescent="0.4">
      <c r="A416" s="2" t="s">
        <v>838</v>
      </c>
      <c r="B416" s="2" t="s">
        <v>82</v>
      </c>
      <c r="C416" s="2" t="s">
        <v>17</v>
      </c>
      <c r="D416" s="2" t="s">
        <v>49</v>
      </c>
      <c r="E416" s="3">
        <v>42570</v>
      </c>
      <c r="F416" s="2" t="s">
        <v>83</v>
      </c>
      <c r="G416" s="2" t="s">
        <v>839</v>
      </c>
      <c r="H416" s="2" t="s">
        <v>55</v>
      </c>
      <c r="I416" s="6" t="s">
        <v>2352</v>
      </c>
      <c r="J416" s="6" t="s">
        <v>2357</v>
      </c>
      <c r="K416" t="str">
        <f t="shared" si="54"/>
        <v>MEERA JOSHI</v>
      </c>
      <c r="L416" t="str">
        <f t="shared" si="55"/>
        <v>Sales</v>
      </c>
      <c r="M416">
        <f t="shared" si="56"/>
        <v>11</v>
      </c>
      <c r="N416" t="str">
        <f t="shared" si="57"/>
        <v>Meera Joshi-Sales</v>
      </c>
      <c r="O416" t="str">
        <f t="shared" si="58"/>
        <v>company.com</v>
      </c>
      <c r="P416" t="str">
        <f t="shared" si="59"/>
        <v>company.com</v>
      </c>
      <c r="Q416">
        <f t="shared" si="60"/>
        <v>2016</v>
      </c>
      <c r="R416">
        <f t="shared" ca="1" si="61"/>
        <v>10</v>
      </c>
      <c r="S416" t="str">
        <f t="shared" si="62"/>
        <v>True</v>
      </c>
    </row>
    <row r="417" spans="1:19" x14ac:dyDescent="0.4">
      <c r="A417" s="2" t="s">
        <v>866</v>
      </c>
      <c r="B417" s="2" t="s">
        <v>263</v>
      </c>
      <c r="C417" s="2" t="s">
        <v>31</v>
      </c>
      <c r="D417" s="2" t="s">
        <v>44</v>
      </c>
      <c r="E417" s="3">
        <v>42388</v>
      </c>
      <c r="F417" s="2" t="s">
        <v>264</v>
      </c>
      <c r="G417" s="2" t="s">
        <v>867</v>
      </c>
      <c r="H417" s="2" t="s">
        <v>14</v>
      </c>
      <c r="I417" s="6" t="s">
        <v>2345</v>
      </c>
      <c r="J417" s="6" t="s">
        <v>2353</v>
      </c>
      <c r="K417" t="str">
        <f t="shared" si="54"/>
        <v>ISHA GUPTA</v>
      </c>
      <c r="L417" t="str">
        <f t="shared" si="55"/>
        <v>Finance</v>
      </c>
      <c r="M417">
        <f t="shared" si="56"/>
        <v>10</v>
      </c>
      <c r="N417" t="str">
        <f t="shared" si="57"/>
        <v>Isha Gupta-Finance</v>
      </c>
      <c r="O417" t="str">
        <f t="shared" si="58"/>
        <v>company.com</v>
      </c>
      <c r="P417" t="str">
        <f t="shared" si="59"/>
        <v>company.com</v>
      </c>
      <c r="Q417">
        <f t="shared" si="60"/>
        <v>2016</v>
      </c>
      <c r="R417">
        <f t="shared" ca="1" si="61"/>
        <v>10</v>
      </c>
      <c r="S417" t="str">
        <f t="shared" si="62"/>
        <v>True</v>
      </c>
    </row>
    <row r="418" spans="1:19" x14ac:dyDescent="0.4">
      <c r="A418" s="2" t="s">
        <v>872</v>
      </c>
      <c r="B418" s="2" t="s">
        <v>9</v>
      </c>
      <c r="C418" s="2" t="s">
        <v>24</v>
      </c>
      <c r="D418" s="2" t="s">
        <v>18</v>
      </c>
      <c r="E418" s="3">
        <v>42482</v>
      </c>
      <c r="F418" s="2" t="s">
        <v>12</v>
      </c>
      <c r="G418" s="2" t="s">
        <v>873</v>
      </c>
      <c r="H418" s="2" t="s">
        <v>21</v>
      </c>
      <c r="I418" s="6" t="s">
        <v>2352</v>
      </c>
      <c r="J418" s="6" t="s">
        <v>2362</v>
      </c>
      <c r="K418" t="str">
        <f t="shared" si="54"/>
        <v>MEERA MEHTA</v>
      </c>
      <c r="L418" t="str">
        <f t="shared" si="55"/>
        <v>Marketing</v>
      </c>
      <c r="M418">
        <f t="shared" si="56"/>
        <v>11</v>
      </c>
      <c r="N418" t="str">
        <f t="shared" si="57"/>
        <v>Meera Mehta-Marketing</v>
      </c>
      <c r="O418" t="str">
        <f t="shared" si="58"/>
        <v>company.com</v>
      </c>
      <c r="P418" t="str">
        <f t="shared" si="59"/>
        <v>company.com</v>
      </c>
      <c r="Q418">
        <f t="shared" si="60"/>
        <v>2016</v>
      </c>
      <c r="R418">
        <f t="shared" ca="1" si="61"/>
        <v>10</v>
      </c>
      <c r="S418" t="str">
        <f t="shared" si="62"/>
        <v>True</v>
      </c>
    </row>
    <row r="419" spans="1:19" x14ac:dyDescent="0.4">
      <c r="A419" s="2" t="s">
        <v>876</v>
      </c>
      <c r="B419" s="2" t="s">
        <v>70</v>
      </c>
      <c r="C419" s="2" t="s">
        <v>10</v>
      </c>
      <c r="D419" s="2" t="s">
        <v>18</v>
      </c>
      <c r="E419" s="3">
        <v>42588</v>
      </c>
      <c r="F419" s="2" t="s">
        <v>71</v>
      </c>
      <c r="G419" s="2" t="s">
        <v>877</v>
      </c>
      <c r="H419" s="2" t="s">
        <v>55</v>
      </c>
      <c r="I419" s="6" t="s">
        <v>2350</v>
      </c>
      <c r="J419" s="6" t="s">
        <v>2361</v>
      </c>
      <c r="K419" t="str">
        <f t="shared" si="54"/>
        <v>VIVAAN KHAN</v>
      </c>
      <c r="L419" t="str">
        <f t="shared" si="55"/>
        <v>It</v>
      </c>
      <c r="M419">
        <f t="shared" si="56"/>
        <v>11</v>
      </c>
      <c r="N419" t="str">
        <f t="shared" si="57"/>
        <v>Vivaan Khan-IT</v>
      </c>
      <c r="O419" t="str">
        <f t="shared" si="58"/>
        <v>company.com</v>
      </c>
      <c r="P419" t="str">
        <f t="shared" si="59"/>
        <v>company.com</v>
      </c>
      <c r="Q419">
        <f t="shared" si="60"/>
        <v>2016</v>
      </c>
      <c r="R419">
        <f t="shared" ca="1" si="61"/>
        <v>10</v>
      </c>
      <c r="S419" t="str">
        <f t="shared" si="62"/>
        <v>True</v>
      </c>
    </row>
    <row r="420" spans="1:19" x14ac:dyDescent="0.4">
      <c r="A420" s="2" t="s">
        <v>888</v>
      </c>
      <c r="B420" s="2" t="s">
        <v>271</v>
      </c>
      <c r="C420" s="2" t="s">
        <v>31</v>
      </c>
      <c r="D420" s="2" t="s">
        <v>44</v>
      </c>
      <c r="E420" s="3">
        <v>42735</v>
      </c>
      <c r="F420" s="2" t="s">
        <v>272</v>
      </c>
      <c r="G420" s="2" t="s">
        <v>889</v>
      </c>
      <c r="H420" s="2" t="s">
        <v>64</v>
      </c>
      <c r="I420" s="6" t="s">
        <v>2347</v>
      </c>
      <c r="J420" s="6" t="s">
        <v>2357</v>
      </c>
      <c r="K420" t="str">
        <f t="shared" si="54"/>
        <v>ARJUN JOSHI</v>
      </c>
      <c r="L420" t="str">
        <f t="shared" si="55"/>
        <v>Finance</v>
      </c>
      <c r="M420">
        <f t="shared" si="56"/>
        <v>11</v>
      </c>
      <c r="N420" t="str">
        <f t="shared" si="57"/>
        <v>Arjun Joshi-Finance</v>
      </c>
      <c r="O420" t="str">
        <f t="shared" si="58"/>
        <v>company.com</v>
      </c>
      <c r="P420" t="str">
        <f t="shared" si="59"/>
        <v>company.com</v>
      </c>
      <c r="Q420">
        <f t="shared" si="60"/>
        <v>2016</v>
      </c>
      <c r="R420">
        <f t="shared" ca="1" si="61"/>
        <v>9</v>
      </c>
      <c r="S420" t="str">
        <f t="shared" si="62"/>
        <v>True</v>
      </c>
    </row>
    <row r="421" spans="1:19" x14ac:dyDescent="0.4">
      <c r="A421" s="2" t="s">
        <v>902</v>
      </c>
      <c r="B421" s="2" t="s">
        <v>411</v>
      </c>
      <c r="C421" s="2" t="s">
        <v>87</v>
      </c>
      <c r="D421" s="2" t="s">
        <v>11</v>
      </c>
      <c r="E421" s="3">
        <v>42561</v>
      </c>
      <c r="F421" s="2" t="s">
        <v>412</v>
      </c>
      <c r="G421" s="2" t="s">
        <v>903</v>
      </c>
      <c r="H421" s="2" t="s">
        <v>21</v>
      </c>
      <c r="I421" s="6" t="s">
        <v>2349</v>
      </c>
      <c r="J421" s="6" t="s">
        <v>2357</v>
      </c>
      <c r="K421" t="str">
        <f t="shared" si="54"/>
        <v>AARAV JOSHI</v>
      </c>
      <c r="L421" t="str">
        <f t="shared" si="55"/>
        <v>Operations</v>
      </c>
      <c r="M421">
        <f t="shared" si="56"/>
        <v>11</v>
      </c>
      <c r="N421" t="str">
        <f t="shared" si="57"/>
        <v>Aarav Joshi-Operations</v>
      </c>
      <c r="O421" t="str">
        <f t="shared" si="58"/>
        <v>company.com</v>
      </c>
      <c r="P421" t="str">
        <f t="shared" si="59"/>
        <v>company.com</v>
      </c>
      <c r="Q421">
        <f t="shared" si="60"/>
        <v>2016</v>
      </c>
      <c r="R421">
        <f t="shared" ca="1" si="61"/>
        <v>10</v>
      </c>
      <c r="S421" t="str">
        <f t="shared" si="62"/>
        <v>True</v>
      </c>
    </row>
    <row r="422" spans="1:19" x14ac:dyDescent="0.4">
      <c r="A422" s="2" t="s">
        <v>904</v>
      </c>
      <c r="B422" s="2" t="s">
        <v>70</v>
      </c>
      <c r="C422" s="2" t="s">
        <v>31</v>
      </c>
      <c r="D422" s="2" t="s">
        <v>44</v>
      </c>
      <c r="E422" s="3">
        <v>42460</v>
      </c>
      <c r="F422" s="2" t="s">
        <v>71</v>
      </c>
      <c r="G422" s="2" t="s">
        <v>905</v>
      </c>
      <c r="H422" s="2" t="s">
        <v>64</v>
      </c>
      <c r="I422" s="6" t="s">
        <v>2350</v>
      </c>
      <c r="J422" s="6" t="s">
        <v>2361</v>
      </c>
      <c r="K422" t="str">
        <f t="shared" si="54"/>
        <v>VIVAAN KHAN</v>
      </c>
      <c r="L422" t="str">
        <f t="shared" si="55"/>
        <v>Finance</v>
      </c>
      <c r="M422">
        <f t="shared" si="56"/>
        <v>11</v>
      </c>
      <c r="N422" t="str">
        <f t="shared" si="57"/>
        <v>Vivaan Khan-Finance</v>
      </c>
      <c r="O422" t="str">
        <f t="shared" si="58"/>
        <v>company.com</v>
      </c>
      <c r="P422" t="str">
        <f t="shared" si="59"/>
        <v>company.com</v>
      </c>
      <c r="Q422">
        <f t="shared" si="60"/>
        <v>2016</v>
      </c>
      <c r="R422">
        <f t="shared" ca="1" si="61"/>
        <v>10</v>
      </c>
      <c r="S422" t="str">
        <f t="shared" si="62"/>
        <v>True</v>
      </c>
    </row>
    <row r="423" spans="1:19" x14ac:dyDescent="0.4">
      <c r="A423" s="2" t="s">
        <v>918</v>
      </c>
      <c r="B423" s="2" t="s">
        <v>363</v>
      </c>
      <c r="C423" s="2" t="s">
        <v>24</v>
      </c>
      <c r="D423" s="2" t="s">
        <v>18</v>
      </c>
      <c r="E423" s="3">
        <v>42732</v>
      </c>
      <c r="F423" s="2" t="s">
        <v>364</v>
      </c>
      <c r="G423" s="2" t="s">
        <v>919</v>
      </c>
      <c r="H423" s="2" t="s">
        <v>55</v>
      </c>
      <c r="I423" s="6" t="s">
        <v>2344</v>
      </c>
      <c r="J423" s="6" t="s">
        <v>2359</v>
      </c>
      <c r="K423" t="str">
        <f t="shared" si="54"/>
        <v>KABIR REDDY</v>
      </c>
      <c r="L423" t="str">
        <f t="shared" si="55"/>
        <v>Marketing</v>
      </c>
      <c r="M423">
        <f t="shared" si="56"/>
        <v>11</v>
      </c>
      <c r="N423" t="str">
        <f t="shared" si="57"/>
        <v>Kabir Reddy-Marketing</v>
      </c>
      <c r="O423" t="str">
        <f t="shared" si="58"/>
        <v>company.com</v>
      </c>
      <c r="P423" t="str">
        <f t="shared" si="59"/>
        <v>company.com</v>
      </c>
      <c r="Q423">
        <f t="shared" si="60"/>
        <v>2016</v>
      </c>
      <c r="R423">
        <f t="shared" ca="1" si="61"/>
        <v>9</v>
      </c>
      <c r="S423" t="str">
        <f t="shared" si="62"/>
        <v>True</v>
      </c>
    </row>
    <row r="424" spans="1:19" x14ac:dyDescent="0.4">
      <c r="A424" s="2" t="s">
        <v>922</v>
      </c>
      <c r="B424" s="2" t="s">
        <v>217</v>
      </c>
      <c r="C424" s="2" t="s">
        <v>24</v>
      </c>
      <c r="D424" s="2" t="s">
        <v>49</v>
      </c>
      <c r="E424" s="3">
        <v>42385</v>
      </c>
      <c r="F424" s="2" t="s">
        <v>218</v>
      </c>
      <c r="G424" s="2" t="s">
        <v>923</v>
      </c>
      <c r="H424" s="2" t="s">
        <v>14</v>
      </c>
      <c r="I424" s="6" t="s">
        <v>2352</v>
      </c>
      <c r="J424" s="6" t="s">
        <v>2353</v>
      </c>
      <c r="K424" t="str">
        <f t="shared" si="54"/>
        <v>MEERA GUPTA</v>
      </c>
      <c r="L424" t="str">
        <f t="shared" si="55"/>
        <v>Marketing</v>
      </c>
      <c r="M424">
        <f t="shared" si="56"/>
        <v>11</v>
      </c>
      <c r="N424" t="str">
        <f t="shared" si="57"/>
        <v>Meera Gupta-Marketing</v>
      </c>
      <c r="O424" t="str">
        <f t="shared" si="58"/>
        <v>company.com</v>
      </c>
      <c r="P424" t="str">
        <f t="shared" si="59"/>
        <v>company.com</v>
      </c>
      <c r="Q424">
        <f t="shared" si="60"/>
        <v>2016</v>
      </c>
      <c r="R424">
        <f t="shared" ca="1" si="61"/>
        <v>10</v>
      </c>
      <c r="S424" t="str">
        <f t="shared" si="62"/>
        <v>True</v>
      </c>
    </row>
    <row r="425" spans="1:19" x14ac:dyDescent="0.4">
      <c r="A425" s="2" t="s">
        <v>946</v>
      </c>
      <c r="B425" s="2" t="s">
        <v>99</v>
      </c>
      <c r="C425" s="2" t="s">
        <v>53</v>
      </c>
      <c r="D425" s="2" t="s">
        <v>25</v>
      </c>
      <c r="E425" s="3">
        <v>42509</v>
      </c>
      <c r="F425" s="2" t="s">
        <v>100</v>
      </c>
      <c r="G425" s="2" t="s">
        <v>947</v>
      </c>
      <c r="H425" s="2" t="s">
        <v>14</v>
      </c>
      <c r="I425" s="6" t="s">
        <v>2343</v>
      </c>
      <c r="J425" s="6" t="s">
        <v>2354</v>
      </c>
      <c r="K425" t="str">
        <f t="shared" si="54"/>
        <v>DIYA SINGH</v>
      </c>
      <c r="L425" t="str">
        <f t="shared" si="55"/>
        <v>Hr</v>
      </c>
      <c r="M425">
        <f t="shared" si="56"/>
        <v>10</v>
      </c>
      <c r="N425" t="str">
        <f t="shared" si="57"/>
        <v>Diya Singh-HR</v>
      </c>
      <c r="O425" t="str">
        <f t="shared" si="58"/>
        <v>company.com</v>
      </c>
      <c r="P425" t="str">
        <f t="shared" si="59"/>
        <v>company.com</v>
      </c>
      <c r="Q425">
        <f t="shared" si="60"/>
        <v>2016</v>
      </c>
      <c r="R425">
        <f t="shared" ca="1" si="61"/>
        <v>10</v>
      </c>
      <c r="S425" t="str">
        <f t="shared" si="62"/>
        <v>True</v>
      </c>
    </row>
    <row r="426" spans="1:19" x14ac:dyDescent="0.4">
      <c r="A426" s="2" t="s">
        <v>960</v>
      </c>
      <c r="B426" s="2" t="s">
        <v>191</v>
      </c>
      <c r="C426" s="2" t="s">
        <v>10</v>
      </c>
      <c r="D426" s="2" t="s">
        <v>25</v>
      </c>
      <c r="E426" s="3">
        <v>42672</v>
      </c>
      <c r="F426" s="2" t="s">
        <v>192</v>
      </c>
      <c r="G426" s="2" t="s">
        <v>961</v>
      </c>
      <c r="H426" s="2" t="s">
        <v>21</v>
      </c>
      <c r="I426" s="6" t="s">
        <v>2344</v>
      </c>
      <c r="J426" s="6" t="s">
        <v>2353</v>
      </c>
      <c r="K426" t="str">
        <f t="shared" si="54"/>
        <v>KABIR GUPTA</v>
      </c>
      <c r="L426" t="str">
        <f t="shared" si="55"/>
        <v>It</v>
      </c>
      <c r="M426">
        <f t="shared" si="56"/>
        <v>11</v>
      </c>
      <c r="N426" t="str">
        <f t="shared" si="57"/>
        <v>Kabir Gupta-IT</v>
      </c>
      <c r="O426" t="str">
        <f t="shared" si="58"/>
        <v>company.com</v>
      </c>
      <c r="P426" t="str">
        <f t="shared" si="59"/>
        <v>company.com</v>
      </c>
      <c r="Q426">
        <f t="shared" si="60"/>
        <v>2016</v>
      </c>
      <c r="R426">
        <f t="shared" ca="1" si="61"/>
        <v>9</v>
      </c>
      <c r="S426" t="str">
        <f t="shared" si="62"/>
        <v>True</v>
      </c>
    </row>
    <row r="427" spans="1:19" x14ac:dyDescent="0.4">
      <c r="A427" s="2" t="s">
        <v>998</v>
      </c>
      <c r="B427" s="2" t="s">
        <v>303</v>
      </c>
      <c r="C427" s="2" t="s">
        <v>87</v>
      </c>
      <c r="D427" s="2" t="s">
        <v>44</v>
      </c>
      <c r="E427" s="3">
        <v>42623</v>
      </c>
      <c r="F427" s="2" t="s">
        <v>304</v>
      </c>
      <c r="G427" s="2" t="s">
        <v>999</v>
      </c>
      <c r="H427" s="2" t="s">
        <v>28</v>
      </c>
      <c r="I427" s="6" t="s">
        <v>2345</v>
      </c>
      <c r="J427" s="6" t="s">
        <v>2356</v>
      </c>
      <c r="K427" t="str">
        <f t="shared" si="54"/>
        <v>ISHA PATEL</v>
      </c>
      <c r="L427" t="str">
        <f t="shared" si="55"/>
        <v>Operations</v>
      </c>
      <c r="M427">
        <f t="shared" si="56"/>
        <v>10</v>
      </c>
      <c r="N427" t="str">
        <f t="shared" si="57"/>
        <v>Isha Patel-Operations</v>
      </c>
      <c r="O427" t="str">
        <f t="shared" si="58"/>
        <v>company.com</v>
      </c>
      <c r="P427" t="str">
        <f t="shared" si="59"/>
        <v>company.com</v>
      </c>
      <c r="Q427">
        <f t="shared" si="60"/>
        <v>2016</v>
      </c>
      <c r="R427">
        <f t="shared" ca="1" si="61"/>
        <v>10</v>
      </c>
      <c r="S427" t="str">
        <f t="shared" si="62"/>
        <v>True</v>
      </c>
    </row>
    <row r="428" spans="1:19" x14ac:dyDescent="0.4">
      <c r="A428" s="2" t="s">
        <v>1000</v>
      </c>
      <c r="B428" s="2" t="s">
        <v>351</v>
      </c>
      <c r="C428" s="2" t="s">
        <v>17</v>
      </c>
      <c r="D428" s="2" t="s">
        <v>44</v>
      </c>
      <c r="E428" s="3">
        <v>42388</v>
      </c>
      <c r="F428" s="2" t="s">
        <v>352</v>
      </c>
      <c r="G428" s="2" t="s">
        <v>1001</v>
      </c>
      <c r="H428" s="2" t="s">
        <v>64</v>
      </c>
      <c r="I428" s="6" t="s">
        <v>2348</v>
      </c>
      <c r="J428" s="6" t="s">
        <v>2361</v>
      </c>
      <c r="K428" t="str">
        <f t="shared" si="54"/>
        <v>ANANYA KHAN</v>
      </c>
      <c r="L428" t="str">
        <f t="shared" si="55"/>
        <v>Sales</v>
      </c>
      <c r="M428">
        <f t="shared" si="56"/>
        <v>11</v>
      </c>
      <c r="N428" t="str">
        <f t="shared" si="57"/>
        <v>Ananya Khan-Sales</v>
      </c>
      <c r="O428" t="str">
        <f t="shared" si="58"/>
        <v>company.com</v>
      </c>
      <c r="P428" t="str">
        <f t="shared" si="59"/>
        <v>company.com</v>
      </c>
      <c r="Q428">
        <f t="shared" si="60"/>
        <v>2016</v>
      </c>
      <c r="R428">
        <f t="shared" ca="1" si="61"/>
        <v>10</v>
      </c>
      <c r="S428" t="str">
        <f t="shared" si="62"/>
        <v>True</v>
      </c>
    </row>
    <row r="429" spans="1:19" x14ac:dyDescent="0.4">
      <c r="A429" s="2" t="s">
        <v>1012</v>
      </c>
      <c r="B429" s="2" t="s">
        <v>351</v>
      </c>
      <c r="C429" s="2" t="s">
        <v>10</v>
      </c>
      <c r="D429" s="2" t="s">
        <v>11</v>
      </c>
      <c r="E429" s="3">
        <v>42725</v>
      </c>
      <c r="F429" s="2" t="s">
        <v>352</v>
      </c>
      <c r="G429" s="2" t="s">
        <v>1013</v>
      </c>
      <c r="H429" s="2" t="s">
        <v>55</v>
      </c>
      <c r="I429" s="6" t="s">
        <v>2348</v>
      </c>
      <c r="J429" s="6" t="s">
        <v>2361</v>
      </c>
      <c r="K429" t="str">
        <f t="shared" si="54"/>
        <v>ANANYA KHAN</v>
      </c>
      <c r="L429" t="str">
        <f t="shared" si="55"/>
        <v>It</v>
      </c>
      <c r="M429">
        <f t="shared" si="56"/>
        <v>11</v>
      </c>
      <c r="N429" t="str">
        <f t="shared" si="57"/>
        <v>Ananya Khan-IT</v>
      </c>
      <c r="O429" t="str">
        <f t="shared" si="58"/>
        <v>company.com</v>
      </c>
      <c r="P429" t="str">
        <f t="shared" si="59"/>
        <v>company.com</v>
      </c>
      <c r="Q429">
        <f t="shared" si="60"/>
        <v>2016</v>
      </c>
      <c r="R429">
        <f t="shared" ca="1" si="61"/>
        <v>9</v>
      </c>
      <c r="S429" t="str">
        <f t="shared" si="62"/>
        <v>True</v>
      </c>
    </row>
    <row r="430" spans="1:19" x14ac:dyDescent="0.4">
      <c r="A430" s="2" t="s">
        <v>1016</v>
      </c>
      <c r="B430" s="2" t="s">
        <v>209</v>
      </c>
      <c r="C430" s="2" t="s">
        <v>87</v>
      </c>
      <c r="D430" s="2" t="s">
        <v>18</v>
      </c>
      <c r="E430" s="3">
        <v>42685</v>
      </c>
      <c r="F430" s="2" t="s">
        <v>210</v>
      </c>
      <c r="G430" s="2" t="s">
        <v>1017</v>
      </c>
      <c r="H430" s="2" t="s">
        <v>21</v>
      </c>
      <c r="I430" s="6" t="s">
        <v>2349</v>
      </c>
      <c r="J430" s="6" t="s">
        <v>2356</v>
      </c>
      <c r="K430" t="str">
        <f t="shared" si="54"/>
        <v>AARAV PATEL</v>
      </c>
      <c r="L430" t="str">
        <f t="shared" si="55"/>
        <v>Operations</v>
      </c>
      <c r="M430">
        <f t="shared" si="56"/>
        <v>11</v>
      </c>
      <c r="N430" t="str">
        <f t="shared" si="57"/>
        <v>Aarav Patel-Operations</v>
      </c>
      <c r="O430" t="str">
        <f t="shared" si="58"/>
        <v>company.com</v>
      </c>
      <c r="P430" t="str">
        <f t="shared" si="59"/>
        <v>company.com</v>
      </c>
      <c r="Q430">
        <f t="shared" si="60"/>
        <v>2016</v>
      </c>
      <c r="R430">
        <f t="shared" ca="1" si="61"/>
        <v>9</v>
      </c>
      <c r="S430" t="str">
        <f t="shared" si="62"/>
        <v>True</v>
      </c>
    </row>
    <row r="431" spans="1:19" x14ac:dyDescent="0.4">
      <c r="A431" s="2" t="s">
        <v>1042</v>
      </c>
      <c r="B431" s="2" t="s">
        <v>141</v>
      </c>
      <c r="C431" s="2" t="s">
        <v>87</v>
      </c>
      <c r="D431" s="2" t="s">
        <v>44</v>
      </c>
      <c r="E431" s="3">
        <v>42563</v>
      </c>
      <c r="F431" s="2" t="s">
        <v>142</v>
      </c>
      <c r="G431" s="2" t="s">
        <v>1043</v>
      </c>
      <c r="H431" s="2" t="s">
        <v>55</v>
      </c>
      <c r="I431" s="6" t="s">
        <v>2352</v>
      </c>
      <c r="J431" s="6" t="s">
        <v>2358</v>
      </c>
      <c r="K431" t="str">
        <f t="shared" si="54"/>
        <v>MEERA DAS</v>
      </c>
      <c r="L431" t="str">
        <f t="shared" si="55"/>
        <v>Operations</v>
      </c>
      <c r="M431">
        <f t="shared" si="56"/>
        <v>9</v>
      </c>
      <c r="N431" t="str">
        <f t="shared" si="57"/>
        <v>Meera Das-Operations</v>
      </c>
      <c r="O431" t="str">
        <f t="shared" si="58"/>
        <v>company.com</v>
      </c>
      <c r="P431" t="str">
        <f t="shared" si="59"/>
        <v>company.com</v>
      </c>
      <c r="Q431">
        <f t="shared" si="60"/>
        <v>2016</v>
      </c>
      <c r="R431">
        <f t="shared" ca="1" si="61"/>
        <v>10</v>
      </c>
      <c r="S431" t="str">
        <f t="shared" si="62"/>
        <v>True</v>
      </c>
    </row>
    <row r="432" spans="1:19" x14ac:dyDescent="0.4">
      <c r="A432" s="2" t="s">
        <v>1062</v>
      </c>
      <c r="B432" s="2" t="s">
        <v>149</v>
      </c>
      <c r="C432" s="2" t="s">
        <v>10</v>
      </c>
      <c r="D432" s="2" t="s">
        <v>25</v>
      </c>
      <c r="E432" s="3">
        <v>42647</v>
      </c>
      <c r="F432" s="2" t="s">
        <v>150</v>
      </c>
      <c r="G432" s="2" t="s">
        <v>1063</v>
      </c>
      <c r="H432" s="2" t="s">
        <v>55</v>
      </c>
      <c r="I432" s="6" t="s">
        <v>2344</v>
      </c>
      <c r="J432" s="6" t="s">
        <v>2357</v>
      </c>
      <c r="K432" t="str">
        <f t="shared" si="54"/>
        <v>KABIR JOSHI</v>
      </c>
      <c r="L432" t="str">
        <f t="shared" si="55"/>
        <v>It</v>
      </c>
      <c r="M432">
        <f t="shared" si="56"/>
        <v>11</v>
      </c>
      <c r="N432" t="str">
        <f t="shared" si="57"/>
        <v>Kabir Joshi-IT</v>
      </c>
      <c r="O432" t="str">
        <f t="shared" si="58"/>
        <v>company.com</v>
      </c>
      <c r="P432" t="str">
        <f t="shared" si="59"/>
        <v>company.com</v>
      </c>
      <c r="Q432">
        <f t="shared" si="60"/>
        <v>2016</v>
      </c>
      <c r="R432">
        <f t="shared" ca="1" si="61"/>
        <v>10</v>
      </c>
      <c r="S432" t="str">
        <f t="shared" si="62"/>
        <v>True</v>
      </c>
    </row>
    <row r="433" spans="1:19" x14ac:dyDescent="0.4">
      <c r="A433" s="2" t="s">
        <v>1072</v>
      </c>
      <c r="B433" s="2" t="s">
        <v>117</v>
      </c>
      <c r="C433" s="2" t="s">
        <v>24</v>
      </c>
      <c r="D433" s="2" t="s">
        <v>44</v>
      </c>
      <c r="E433" s="3">
        <v>42580</v>
      </c>
      <c r="F433" s="2" t="s">
        <v>118</v>
      </c>
      <c r="G433" s="2" t="s">
        <v>1073</v>
      </c>
      <c r="H433" s="2" t="s">
        <v>55</v>
      </c>
      <c r="I433" s="6" t="s">
        <v>2344</v>
      </c>
      <c r="J433" s="6" t="s">
        <v>2360</v>
      </c>
      <c r="K433" t="str">
        <f t="shared" si="54"/>
        <v>KABIR SHARMA</v>
      </c>
      <c r="L433" t="str">
        <f t="shared" si="55"/>
        <v>Marketing</v>
      </c>
      <c r="M433">
        <f t="shared" si="56"/>
        <v>12</v>
      </c>
      <c r="N433" t="str">
        <f t="shared" si="57"/>
        <v>Kabir Sharma-Marketing</v>
      </c>
      <c r="O433" t="str">
        <f t="shared" si="58"/>
        <v>company.com</v>
      </c>
      <c r="P433" t="str">
        <f t="shared" si="59"/>
        <v>company.com</v>
      </c>
      <c r="Q433">
        <f t="shared" si="60"/>
        <v>2016</v>
      </c>
      <c r="R433">
        <f t="shared" ca="1" si="61"/>
        <v>10</v>
      </c>
      <c r="S433" t="str">
        <f t="shared" si="62"/>
        <v>True</v>
      </c>
    </row>
    <row r="434" spans="1:19" x14ac:dyDescent="0.4">
      <c r="A434" s="2" t="s">
        <v>1078</v>
      </c>
      <c r="B434" s="2" t="s">
        <v>195</v>
      </c>
      <c r="C434" s="2" t="s">
        <v>31</v>
      </c>
      <c r="D434" s="2" t="s">
        <v>25</v>
      </c>
      <c r="E434" s="3">
        <v>42579</v>
      </c>
      <c r="F434" s="2" t="s">
        <v>196</v>
      </c>
      <c r="G434" s="2" t="s">
        <v>1079</v>
      </c>
      <c r="H434" s="2" t="s">
        <v>21</v>
      </c>
      <c r="I434" s="6" t="s">
        <v>2348</v>
      </c>
      <c r="J434" s="6" t="s">
        <v>2358</v>
      </c>
      <c r="K434" t="str">
        <f t="shared" si="54"/>
        <v>ANANYA DAS</v>
      </c>
      <c r="L434" t="str">
        <f t="shared" si="55"/>
        <v>Finance</v>
      </c>
      <c r="M434">
        <f t="shared" si="56"/>
        <v>10</v>
      </c>
      <c r="N434" t="str">
        <f t="shared" si="57"/>
        <v>Ananya Das-Finance</v>
      </c>
      <c r="O434" t="str">
        <f t="shared" si="58"/>
        <v>company.com</v>
      </c>
      <c r="P434" t="str">
        <f t="shared" si="59"/>
        <v>company.com</v>
      </c>
      <c r="Q434">
        <f t="shared" si="60"/>
        <v>2016</v>
      </c>
      <c r="R434">
        <f t="shared" ca="1" si="61"/>
        <v>10</v>
      </c>
      <c r="S434" t="str">
        <f t="shared" si="62"/>
        <v>True</v>
      </c>
    </row>
    <row r="435" spans="1:19" x14ac:dyDescent="0.4">
      <c r="A435" s="2" t="s">
        <v>1086</v>
      </c>
      <c r="B435" s="2" t="s">
        <v>1087</v>
      </c>
      <c r="C435" s="2" t="s">
        <v>31</v>
      </c>
      <c r="D435" s="2" t="s">
        <v>49</v>
      </c>
      <c r="E435" s="3">
        <v>42434</v>
      </c>
      <c r="F435" s="2" t="s">
        <v>1088</v>
      </c>
      <c r="G435" s="2" t="s">
        <v>1089</v>
      </c>
      <c r="H435" s="2" t="s">
        <v>14</v>
      </c>
      <c r="I435" s="6" t="s">
        <v>2350</v>
      </c>
      <c r="J435" s="6" t="s">
        <v>2360</v>
      </c>
      <c r="K435" t="str">
        <f t="shared" si="54"/>
        <v>VIVAAN SHARMA</v>
      </c>
      <c r="L435" t="str">
        <f t="shared" si="55"/>
        <v>Finance</v>
      </c>
      <c r="M435">
        <f t="shared" si="56"/>
        <v>13</v>
      </c>
      <c r="N435" t="str">
        <f t="shared" si="57"/>
        <v>Vivaan Sharma-Finance</v>
      </c>
      <c r="O435" t="str">
        <f t="shared" si="58"/>
        <v>company.com</v>
      </c>
      <c r="P435" t="str">
        <f t="shared" si="59"/>
        <v>company.com</v>
      </c>
      <c r="Q435">
        <f t="shared" si="60"/>
        <v>2016</v>
      </c>
      <c r="R435">
        <f t="shared" ca="1" si="61"/>
        <v>10</v>
      </c>
      <c r="S435" t="str">
        <f t="shared" si="62"/>
        <v>True</v>
      </c>
    </row>
    <row r="436" spans="1:19" x14ac:dyDescent="0.4">
      <c r="A436" s="2" t="s">
        <v>1104</v>
      </c>
      <c r="B436" s="2" t="s">
        <v>1087</v>
      </c>
      <c r="C436" s="2" t="s">
        <v>53</v>
      </c>
      <c r="D436" s="2" t="s">
        <v>25</v>
      </c>
      <c r="E436" s="3">
        <v>42586</v>
      </c>
      <c r="F436" s="2" t="s">
        <v>1088</v>
      </c>
      <c r="G436" s="2" t="s">
        <v>1105</v>
      </c>
      <c r="H436" s="2" t="s">
        <v>55</v>
      </c>
      <c r="I436" s="6" t="s">
        <v>2350</v>
      </c>
      <c r="J436" s="6" t="s">
        <v>2360</v>
      </c>
      <c r="K436" t="str">
        <f t="shared" si="54"/>
        <v>VIVAAN SHARMA</v>
      </c>
      <c r="L436" t="str">
        <f t="shared" si="55"/>
        <v>Hr</v>
      </c>
      <c r="M436">
        <f t="shared" si="56"/>
        <v>13</v>
      </c>
      <c r="N436" t="str">
        <f t="shared" si="57"/>
        <v>Vivaan Sharma-HR</v>
      </c>
      <c r="O436" t="str">
        <f t="shared" si="58"/>
        <v>company.com</v>
      </c>
      <c r="P436" t="str">
        <f t="shared" si="59"/>
        <v>company.com</v>
      </c>
      <c r="Q436">
        <f t="shared" si="60"/>
        <v>2016</v>
      </c>
      <c r="R436">
        <f t="shared" ca="1" si="61"/>
        <v>10</v>
      </c>
      <c r="S436" t="str">
        <f t="shared" si="62"/>
        <v>True</v>
      </c>
    </row>
    <row r="437" spans="1:19" x14ac:dyDescent="0.4">
      <c r="A437" s="2" t="s">
        <v>1132</v>
      </c>
      <c r="B437" s="2" t="s">
        <v>235</v>
      </c>
      <c r="C437" s="2" t="s">
        <v>31</v>
      </c>
      <c r="D437" s="2" t="s">
        <v>25</v>
      </c>
      <c r="E437" s="3">
        <v>42437</v>
      </c>
      <c r="F437" s="2" t="s">
        <v>236</v>
      </c>
      <c r="G437" s="2" t="s">
        <v>1133</v>
      </c>
      <c r="H437" s="2" t="s">
        <v>14</v>
      </c>
      <c r="I437" s="6" t="s">
        <v>2349</v>
      </c>
      <c r="J437" s="6" t="s">
        <v>2353</v>
      </c>
      <c r="K437" t="str">
        <f t="shared" si="54"/>
        <v>AARAV GUPTA</v>
      </c>
      <c r="L437" t="str">
        <f t="shared" si="55"/>
        <v>Finance</v>
      </c>
      <c r="M437">
        <f t="shared" si="56"/>
        <v>11</v>
      </c>
      <c r="N437" t="str">
        <f t="shared" si="57"/>
        <v>Aarav Gupta-Finance</v>
      </c>
      <c r="O437" t="str">
        <f t="shared" si="58"/>
        <v>company.com</v>
      </c>
      <c r="P437" t="str">
        <f t="shared" si="59"/>
        <v>company.com</v>
      </c>
      <c r="Q437">
        <f t="shared" si="60"/>
        <v>2016</v>
      </c>
      <c r="R437">
        <f t="shared" ca="1" si="61"/>
        <v>10</v>
      </c>
      <c r="S437" t="str">
        <f t="shared" si="62"/>
        <v>True</v>
      </c>
    </row>
    <row r="438" spans="1:19" x14ac:dyDescent="0.4">
      <c r="A438" s="2" t="s">
        <v>1140</v>
      </c>
      <c r="B438" s="2" t="s">
        <v>161</v>
      </c>
      <c r="C438" s="2" t="s">
        <v>10</v>
      </c>
      <c r="D438" s="2" t="s">
        <v>25</v>
      </c>
      <c r="E438" s="3">
        <v>42509</v>
      </c>
      <c r="F438" s="2" t="s">
        <v>162</v>
      </c>
      <c r="G438" s="2" t="s">
        <v>1141</v>
      </c>
      <c r="H438" s="2" t="s">
        <v>21</v>
      </c>
      <c r="I438" s="6" t="s">
        <v>2346</v>
      </c>
      <c r="J438" s="6" t="s">
        <v>2356</v>
      </c>
      <c r="K438" t="str">
        <f t="shared" si="54"/>
        <v>RIYA PATEL</v>
      </c>
      <c r="L438" t="str">
        <f t="shared" si="55"/>
        <v>It</v>
      </c>
      <c r="M438">
        <f t="shared" si="56"/>
        <v>10</v>
      </c>
      <c r="N438" t="str">
        <f t="shared" si="57"/>
        <v>Riya Patel-IT</v>
      </c>
      <c r="O438" t="str">
        <f t="shared" si="58"/>
        <v>company.com</v>
      </c>
      <c r="P438" t="str">
        <f t="shared" si="59"/>
        <v>company.com</v>
      </c>
      <c r="Q438">
        <f t="shared" si="60"/>
        <v>2016</v>
      </c>
      <c r="R438">
        <f t="shared" ca="1" si="61"/>
        <v>10</v>
      </c>
      <c r="S438" t="str">
        <f t="shared" si="62"/>
        <v>True</v>
      </c>
    </row>
    <row r="439" spans="1:19" x14ac:dyDescent="0.4">
      <c r="A439" s="2" t="s">
        <v>1198</v>
      </c>
      <c r="B439" s="2" t="s">
        <v>82</v>
      </c>
      <c r="C439" s="2" t="s">
        <v>17</v>
      </c>
      <c r="D439" s="2" t="s">
        <v>44</v>
      </c>
      <c r="E439" s="3">
        <v>42659</v>
      </c>
      <c r="F439" s="2" t="s">
        <v>83</v>
      </c>
      <c r="G439" s="2" t="s">
        <v>1199</v>
      </c>
      <c r="H439" s="2" t="s">
        <v>14</v>
      </c>
      <c r="I439" s="6" t="s">
        <v>2352</v>
      </c>
      <c r="J439" s="6" t="s">
        <v>2357</v>
      </c>
      <c r="K439" t="str">
        <f t="shared" si="54"/>
        <v>MEERA JOSHI</v>
      </c>
      <c r="L439" t="str">
        <f t="shared" si="55"/>
        <v>Sales</v>
      </c>
      <c r="M439">
        <f t="shared" si="56"/>
        <v>11</v>
      </c>
      <c r="N439" t="str">
        <f t="shared" si="57"/>
        <v>Meera Joshi-Sales</v>
      </c>
      <c r="O439" t="str">
        <f t="shared" si="58"/>
        <v>company.com</v>
      </c>
      <c r="P439" t="str">
        <f t="shared" si="59"/>
        <v>company.com</v>
      </c>
      <c r="Q439">
        <f t="shared" si="60"/>
        <v>2016</v>
      </c>
      <c r="R439">
        <f t="shared" ca="1" si="61"/>
        <v>10</v>
      </c>
      <c r="S439" t="str">
        <f t="shared" si="62"/>
        <v>True</v>
      </c>
    </row>
    <row r="440" spans="1:19" x14ac:dyDescent="0.4">
      <c r="A440" s="2" t="s">
        <v>1200</v>
      </c>
      <c r="B440" s="2" t="s">
        <v>363</v>
      </c>
      <c r="C440" s="2" t="s">
        <v>87</v>
      </c>
      <c r="D440" s="2" t="s">
        <v>44</v>
      </c>
      <c r="E440" s="3">
        <v>42683</v>
      </c>
      <c r="F440" s="2" t="s">
        <v>364</v>
      </c>
      <c r="G440" s="2" t="s">
        <v>1201</v>
      </c>
      <c r="H440" s="2" t="s">
        <v>64</v>
      </c>
      <c r="I440" s="6" t="s">
        <v>2344</v>
      </c>
      <c r="J440" s="6" t="s">
        <v>2359</v>
      </c>
      <c r="K440" t="str">
        <f t="shared" si="54"/>
        <v>KABIR REDDY</v>
      </c>
      <c r="L440" t="str">
        <f t="shared" si="55"/>
        <v>Operations</v>
      </c>
      <c r="M440">
        <f t="shared" si="56"/>
        <v>11</v>
      </c>
      <c r="N440" t="str">
        <f t="shared" si="57"/>
        <v>Kabir Reddy-Operations</v>
      </c>
      <c r="O440" t="str">
        <f t="shared" si="58"/>
        <v>company.com</v>
      </c>
      <c r="P440" t="str">
        <f t="shared" si="59"/>
        <v>company.com</v>
      </c>
      <c r="Q440">
        <f t="shared" si="60"/>
        <v>2016</v>
      </c>
      <c r="R440">
        <f t="shared" ca="1" si="61"/>
        <v>9</v>
      </c>
      <c r="S440" t="str">
        <f t="shared" si="62"/>
        <v>True</v>
      </c>
    </row>
    <row r="441" spans="1:19" x14ac:dyDescent="0.4">
      <c r="A441" s="2" t="s">
        <v>1202</v>
      </c>
      <c r="B441" s="2" t="s">
        <v>66</v>
      </c>
      <c r="C441" s="2" t="s">
        <v>53</v>
      </c>
      <c r="D441" s="2" t="s">
        <v>49</v>
      </c>
      <c r="E441" s="3">
        <v>42383</v>
      </c>
      <c r="F441" s="2" t="s">
        <v>67</v>
      </c>
      <c r="G441" s="2" t="s">
        <v>1203</v>
      </c>
      <c r="H441" s="2" t="s">
        <v>64</v>
      </c>
      <c r="I441" s="6" t="s">
        <v>2349</v>
      </c>
      <c r="J441" s="6" t="s">
        <v>2361</v>
      </c>
      <c r="K441" t="str">
        <f t="shared" si="54"/>
        <v>AARAV KHAN</v>
      </c>
      <c r="L441" t="str">
        <f t="shared" si="55"/>
        <v>Hr</v>
      </c>
      <c r="M441">
        <f t="shared" si="56"/>
        <v>10</v>
      </c>
      <c r="N441" t="str">
        <f t="shared" si="57"/>
        <v>Aarav Khan-HR</v>
      </c>
      <c r="O441" t="str">
        <f t="shared" si="58"/>
        <v>company.com</v>
      </c>
      <c r="P441" t="str">
        <f t="shared" si="59"/>
        <v>company.com</v>
      </c>
      <c r="Q441">
        <f t="shared" si="60"/>
        <v>2016</v>
      </c>
      <c r="R441">
        <f t="shared" ca="1" si="61"/>
        <v>10</v>
      </c>
      <c r="S441" t="str">
        <f t="shared" si="62"/>
        <v>True</v>
      </c>
    </row>
    <row r="442" spans="1:19" x14ac:dyDescent="0.4">
      <c r="A442" s="2" t="s">
        <v>1216</v>
      </c>
      <c r="B442" s="2" t="s">
        <v>113</v>
      </c>
      <c r="C442" s="2" t="s">
        <v>53</v>
      </c>
      <c r="D442" s="2" t="s">
        <v>11</v>
      </c>
      <c r="E442" s="3">
        <v>42692</v>
      </c>
      <c r="F442" s="2" t="s">
        <v>114</v>
      </c>
      <c r="G442" s="2" t="s">
        <v>1217</v>
      </c>
      <c r="H442" s="2" t="s">
        <v>64</v>
      </c>
      <c r="I442" s="6" t="s">
        <v>2343</v>
      </c>
      <c r="J442" s="6" t="s">
        <v>2359</v>
      </c>
      <c r="K442" t="str">
        <f t="shared" si="54"/>
        <v>DIYA REDDY</v>
      </c>
      <c r="L442" t="str">
        <f t="shared" si="55"/>
        <v>Hr</v>
      </c>
      <c r="M442">
        <f t="shared" si="56"/>
        <v>10</v>
      </c>
      <c r="N442" t="str">
        <f t="shared" si="57"/>
        <v>Diya Reddy-HR</v>
      </c>
      <c r="O442" t="str">
        <f t="shared" si="58"/>
        <v>company.com</v>
      </c>
      <c r="P442" t="str">
        <f t="shared" si="59"/>
        <v>company.com</v>
      </c>
      <c r="Q442">
        <f t="shared" si="60"/>
        <v>2016</v>
      </c>
      <c r="R442">
        <f t="shared" ca="1" si="61"/>
        <v>9</v>
      </c>
      <c r="S442" t="str">
        <f t="shared" si="62"/>
        <v>True</v>
      </c>
    </row>
    <row r="443" spans="1:19" x14ac:dyDescent="0.4">
      <c r="A443" s="2" t="s">
        <v>34</v>
      </c>
      <c r="B443" s="2" t="s">
        <v>35</v>
      </c>
      <c r="C443" s="2" t="s">
        <v>31</v>
      </c>
      <c r="D443" s="2" t="s">
        <v>18</v>
      </c>
      <c r="E443" s="3">
        <v>42326</v>
      </c>
      <c r="F443" s="2" t="s">
        <v>36</v>
      </c>
      <c r="G443" s="2" t="s">
        <v>37</v>
      </c>
      <c r="H443" s="2" t="s">
        <v>28</v>
      </c>
      <c r="I443" s="6" t="s">
        <v>2345</v>
      </c>
      <c r="J443" s="6" t="s">
        <v>2358</v>
      </c>
      <c r="K443" t="str">
        <f t="shared" si="54"/>
        <v>ISHA DAS</v>
      </c>
      <c r="L443" t="str">
        <f t="shared" si="55"/>
        <v>Finance</v>
      </c>
      <c r="M443">
        <f t="shared" si="56"/>
        <v>8</v>
      </c>
      <c r="N443" t="str">
        <f t="shared" si="57"/>
        <v>Isha Das-Finance</v>
      </c>
      <c r="O443" t="str">
        <f t="shared" si="58"/>
        <v>company.com</v>
      </c>
      <c r="P443" t="str">
        <f t="shared" si="59"/>
        <v>company.com</v>
      </c>
      <c r="Q443">
        <f t="shared" si="60"/>
        <v>2015</v>
      </c>
      <c r="R443">
        <f t="shared" ca="1" si="61"/>
        <v>10</v>
      </c>
      <c r="S443" t="str">
        <f t="shared" si="62"/>
        <v>True</v>
      </c>
    </row>
    <row r="444" spans="1:19" x14ac:dyDescent="0.4">
      <c r="A444" s="2" t="s">
        <v>38</v>
      </c>
      <c r="B444" s="2" t="s">
        <v>39</v>
      </c>
      <c r="C444" s="2" t="s">
        <v>17</v>
      </c>
      <c r="D444" s="2" t="s">
        <v>11</v>
      </c>
      <c r="E444" s="3">
        <v>42014</v>
      </c>
      <c r="F444" s="2" t="s">
        <v>40</v>
      </c>
      <c r="G444" s="2" t="s">
        <v>41</v>
      </c>
      <c r="H444" s="2" t="s">
        <v>28</v>
      </c>
      <c r="I444" s="6" t="s">
        <v>2349</v>
      </c>
      <c r="J444" s="6" t="s">
        <v>2358</v>
      </c>
      <c r="K444" t="str">
        <f t="shared" si="54"/>
        <v>AARAV DAS</v>
      </c>
      <c r="L444" t="str">
        <f t="shared" si="55"/>
        <v>Sales</v>
      </c>
      <c r="M444">
        <f t="shared" si="56"/>
        <v>9</v>
      </c>
      <c r="N444" t="str">
        <f t="shared" si="57"/>
        <v>Aarav Das-Sales</v>
      </c>
      <c r="O444" t="str">
        <f t="shared" si="58"/>
        <v>company.com</v>
      </c>
      <c r="P444" t="str">
        <f t="shared" si="59"/>
        <v>company.com</v>
      </c>
      <c r="Q444">
        <f t="shared" si="60"/>
        <v>2015</v>
      </c>
      <c r="R444">
        <f t="shared" ca="1" si="61"/>
        <v>11</v>
      </c>
      <c r="S444" t="str">
        <f t="shared" si="62"/>
        <v>True</v>
      </c>
    </row>
    <row r="445" spans="1:19" x14ac:dyDescent="0.4">
      <c r="A445" s="2" t="s">
        <v>81</v>
      </c>
      <c r="B445" s="2" t="s">
        <v>82</v>
      </c>
      <c r="C445" s="2" t="s">
        <v>24</v>
      </c>
      <c r="D445" s="2" t="s">
        <v>44</v>
      </c>
      <c r="E445" s="3">
        <v>42247</v>
      </c>
      <c r="F445" s="2" t="s">
        <v>83</v>
      </c>
      <c r="G445" s="2" t="s">
        <v>84</v>
      </c>
      <c r="H445" s="2" t="s">
        <v>21</v>
      </c>
      <c r="I445" s="6" t="s">
        <v>2352</v>
      </c>
      <c r="J445" s="6" t="s">
        <v>2357</v>
      </c>
      <c r="K445" t="str">
        <f t="shared" si="54"/>
        <v>MEERA JOSHI</v>
      </c>
      <c r="L445" t="str">
        <f t="shared" si="55"/>
        <v>Marketing</v>
      </c>
      <c r="M445">
        <f t="shared" si="56"/>
        <v>11</v>
      </c>
      <c r="N445" t="str">
        <f t="shared" si="57"/>
        <v>Meera Joshi-Marketing</v>
      </c>
      <c r="O445" t="str">
        <f t="shared" si="58"/>
        <v>company.com</v>
      </c>
      <c r="P445" t="str">
        <f t="shared" si="59"/>
        <v>company.com</v>
      </c>
      <c r="Q445">
        <f t="shared" si="60"/>
        <v>2015</v>
      </c>
      <c r="R445">
        <f t="shared" ca="1" si="61"/>
        <v>11</v>
      </c>
      <c r="S445" t="str">
        <f t="shared" si="62"/>
        <v>True</v>
      </c>
    </row>
    <row r="446" spans="1:19" x14ac:dyDescent="0.4">
      <c r="A446" s="2" t="s">
        <v>90</v>
      </c>
      <c r="B446" s="2" t="s">
        <v>91</v>
      </c>
      <c r="C446" s="2" t="s">
        <v>87</v>
      </c>
      <c r="D446" s="2" t="s">
        <v>18</v>
      </c>
      <c r="E446" s="3">
        <v>42236</v>
      </c>
      <c r="F446" s="2" t="s">
        <v>92</v>
      </c>
      <c r="G446" s="2" t="s">
        <v>93</v>
      </c>
      <c r="H446" s="2" t="s">
        <v>64</v>
      </c>
      <c r="I446" s="6" t="s">
        <v>2345</v>
      </c>
      <c r="J446" s="6" t="s">
        <v>2362</v>
      </c>
      <c r="K446" t="str">
        <f t="shared" si="54"/>
        <v>ISHA MEHTA</v>
      </c>
      <c r="L446" t="str">
        <f t="shared" si="55"/>
        <v>Operations</v>
      </c>
      <c r="M446">
        <f t="shared" si="56"/>
        <v>10</v>
      </c>
      <c r="N446" t="str">
        <f t="shared" si="57"/>
        <v>Isha Mehta-Operations</v>
      </c>
      <c r="O446" t="str">
        <f t="shared" si="58"/>
        <v>company.com</v>
      </c>
      <c r="P446" t="str">
        <f t="shared" si="59"/>
        <v>company.com</v>
      </c>
      <c r="Q446">
        <f t="shared" si="60"/>
        <v>2015</v>
      </c>
      <c r="R446">
        <f t="shared" ca="1" si="61"/>
        <v>11</v>
      </c>
      <c r="S446" t="str">
        <f t="shared" si="62"/>
        <v>True</v>
      </c>
    </row>
    <row r="447" spans="1:19" x14ac:dyDescent="0.4">
      <c r="A447" s="2" t="s">
        <v>94</v>
      </c>
      <c r="B447" s="2" t="s">
        <v>95</v>
      </c>
      <c r="C447" s="2" t="s">
        <v>87</v>
      </c>
      <c r="D447" s="2" t="s">
        <v>18</v>
      </c>
      <c r="E447" s="3">
        <v>42124</v>
      </c>
      <c r="F447" s="2" t="s">
        <v>96</v>
      </c>
      <c r="G447" s="2" t="s">
        <v>97</v>
      </c>
      <c r="H447" s="2" t="s">
        <v>21</v>
      </c>
      <c r="I447" s="6" t="s">
        <v>2352</v>
      </c>
      <c r="J447" s="6" t="s">
        <v>2360</v>
      </c>
      <c r="K447" t="str">
        <f t="shared" si="54"/>
        <v>MEERA SHARMA</v>
      </c>
      <c r="L447" t="str">
        <f t="shared" si="55"/>
        <v>Operations</v>
      </c>
      <c r="M447">
        <f t="shared" si="56"/>
        <v>12</v>
      </c>
      <c r="N447" t="str">
        <f t="shared" si="57"/>
        <v>Meera Sharma-Operations</v>
      </c>
      <c r="O447" t="str">
        <f t="shared" si="58"/>
        <v>company.com</v>
      </c>
      <c r="P447" t="str">
        <f t="shared" si="59"/>
        <v>company.com</v>
      </c>
      <c r="Q447">
        <f t="shared" si="60"/>
        <v>2015</v>
      </c>
      <c r="R447">
        <f t="shared" ca="1" si="61"/>
        <v>11</v>
      </c>
      <c r="S447" t="str">
        <f t="shared" si="62"/>
        <v>True</v>
      </c>
    </row>
    <row r="448" spans="1:19" x14ac:dyDescent="0.4">
      <c r="A448" s="2" t="s">
        <v>132</v>
      </c>
      <c r="B448" s="2" t="s">
        <v>133</v>
      </c>
      <c r="C448" s="2" t="s">
        <v>31</v>
      </c>
      <c r="D448" s="2" t="s">
        <v>11</v>
      </c>
      <c r="E448" s="3">
        <v>42359</v>
      </c>
      <c r="F448" s="2" t="s">
        <v>134</v>
      </c>
      <c r="G448" s="2" t="s">
        <v>135</v>
      </c>
      <c r="H448" s="2" t="s">
        <v>14</v>
      </c>
      <c r="I448" s="6" t="s">
        <v>2347</v>
      </c>
      <c r="J448" s="6" t="s">
        <v>2360</v>
      </c>
      <c r="K448" t="str">
        <f t="shared" si="54"/>
        <v>ARJUN SHARMA</v>
      </c>
      <c r="L448" t="str">
        <f t="shared" si="55"/>
        <v>Finance</v>
      </c>
      <c r="M448">
        <f t="shared" si="56"/>
        <v>12</v>
      </c>
      <c r="N448" t="str">
        <f t="shared" si="57"/>
        <v>Arjun Sharma-Finance</v>
      </c>
      <c r="O448" t="str">
        <f t="shared" si="58"/>
        <v>company.com</v>
      </c>
      <c r="P448" t="str">
        <f t="shared" si="59"/>
        <v>company.com</v>
      </c>
      <c r="Q448">
        <f t="shared" si="60"/>
        <v>2015</v>
      </c>
      <c r="R448">
        <f t="shared" ca="1" si="61"/>
        <v>10</v>
      </c>
      <c r="S448" t="str">
        <f t="shared" si="62"/>
        <v>True</v>
      </c>
    </row>
    <row r="449" spans="1:19" x14ac:dyDescent="0.4">
      <c r="A449" s="2" t="s">
        <v>144</v>
      </c>
      <c r="B449" s="2" t="s">
        <v>145</v>
      </c>
      <c r="C449" s="2" t="s">
        <v>31</v>
      </c>
      <c r="D449" s="2" t="s">
        <v>25</v>
      </c>
      <c r="E449" s="3">
        <v>42327</v>
      </c>
      <c r="F449" s="2" t="s">
        <v>146</v>
      </c>
      <c r="G449" s="2" t="s">
        <v>147</v>
      </c>
      <c r="H449" s="2" t="s">
        <v>55</v>
      </c>
      <c r="I449" s="6" t="s">
        <v>2351</v>
      </c>
      <c r="J449" s="6" t="s">
        <v>2355</v>
      </c>
      <c r="K449" t="str">
        <f t="shared" si="54"/>
        <v>ADITYA NAIR</v>
      </c>
      <c r="L449" t="str">
        <f t="shared" si="55"/>
        <v>Finance</v>
      </c>
      <c r="M449">
        <f t="shared" si="56"/>
        <v>11</v>
      </c>
      <c r="N449" t="str">
        <f t="shared" si="57"/>
        <v>Aditya Nair-Finance</v>
      </c>
      <c r="O449" t="str">
        <f t="shared" si="58"/>
        <v>company.com</v>
      </c>
      <c r="P449" t="str">
        <f t="shared" si="59"/>
        <v>company.com</v>
      </c>
      <c r="Q449">
        <f t="shared" si="60"/>
        <v>2015</v>
      </c>
      <c r="R449">
        <f t="shared" ca="1" si="61"/>
        <v>10</v>
      </c>
      <c r="S449" t="str">
        <f t="shared" si="62"/>
        <v>True</v>
      </c>
    </row>
    <row r="450" spans="1:19" x14ac:dyDescent="0.4">
      <c r="A450" s="2" t="s">
        <v>164</v>
      </c>
      <c r="B450" s="2" t="s">
        <v>165</v>
      </c>
      <c r="C450" s="2" t="s">
        <v>10</v>
      </c>
      <c r="D450" s="2" t="s">
        <v>18</v>
      </c>
      <c r="E450" s="3">
        <v>42055</v>
      </c>
      <c r="F450" s="2" t="s">
        <v>166</v>
      </c>
      <c r="G450" s="2" t="s">
        <v>167</v>
      </c>
      <c r="H450" s="2" t="s">
        <v>21</v>
      </c>
      <c r="I450" s="6" t="s">
        <v>2351</v>
      </c>
      <c r="J450" s="6" t="s">
        <v>2358</v>
      </c>
      <c r="K450" t="str">
        <f t="shared" si="54"/>
        <v>ADITYA DAS</v>
      </c>
      <c r="L450" t="str">
        <f t="shared" si="55"/>
        <v>It</v>
      </c>
      <c r="M450">
        <f t="shared" si="56"/>
        <v>10</v>
      </c>
      <c r="N450" t="str">
        <f t="shared" si="57"/>
        <v>Aditya Das-IT</v>
      </c>
      <c r="O450" t="str">
        <f t="shared" si="58"/>
        <v>company.com</v>
      </c>
      <c r="P450" t="str">
        <f t="shared" si="59"/>
        <v>company.com</v>
      </c>
      <c r="Q450">
        <f t="shared" si="60"/>
        <v>2015</v>
      </c>
      <c r="R450">
        <f t="shared" ca="1" si="61"/>
        <v>11</v>
      </c>
      <c r="S450" t="str">
        <f t="shared" si="62"/>
        <v>True</v>
      </c>
    </row>
    <row r="451" spans="1:19" x14ac:dyDescent="0.4">
      <c r="A451" s="2" t="s">
        <v>216</v>
      </c>
      <c r="B451" s="2" t="s">
        <v>217</v>
      </c>
      <c r="C451" s="2" t="s">
        <v>10</v>
      </c>
      <c r="D451" s="2" t="s">
        <v>25</v>
      </c>
      <c r="E451" s="3">
        <v>42274</v>
      </c>
      <c r="F451" s="2" t="s">
        <v>218</v>
      </c>
      <c r="G451" s="2" t="s">
        <v>219</v>
      </c>
      <c r="H451" s="2" t="s">
        <v>14</v>
      </c>
      <c r="I451" s="6" t="s">
        <v>2352</v>
      </c>
      <c r="J451" s="6" t="s">
        <v>2353</v>
      </c>
      <c r="K451" t="str">
        <f t="shared" ref="K451:K501" si="63">UPPER(B451)</f>
        <v>MEERA GUPTA</v>
      </c>
      <c r="L451" t="str">
        <f t="shared" ref="L451:L501" si="64">PROPER(C451)</f>
        <v>It</v>
      </c>
      <c r="M451">
        <f t="shared" ref="M451:M501" si="65">LEN(B451)</f>
        <v>11</v>
      </c>
      <c r="N451" t="str">
        <f t="shared" ref="N451:N501" si="66">_xlfn.CONCAT(B451,"-",C451)</f>
        <v>Meera Gupta-IT</v>
      </c>
      <c r="O451" t="str">
        <f t="shared" ref="O451:O501" si="67">RIGHT(F451,11)</f>
        <v>company.com</v>
      </c>
      <c r="P451" t="str">
        <f t="shared" ref="P451:P501" si="68">MID(F451,FIND("@",F451)+1,50)</f>
        <v>company.com</v>
      </c>
      <c r="Q451">
        <f t="shared" ref="Q451:Q501" si="69">YEAR(E451)</f>
        <v>2015</v>
      </c>
      <c r="R451">
        <f t="shared" ref="R451:R501" ca="1" si="70">DATEDIF(E451,TODAY(),"y")</f>
        <v>11</v>
      </c>
      <c r="S451" t="str">
        <f t="shared" ref="S451:S501" si="71">IF(YEAR(E451)&lt;2020,"True","False")</f>
        <v>True</v>
      </c>
    </row>
    <row r="452" spans="1:19" x14ac:dyDescent="0.4">
      <c r="A452" s="2" t="s">
        <v>266</v>
      </c>
      <c r="B452" s="2" t="s">
        <v>267</v>
      </c>
      <c r="C452" s="2" t="s">
        <v>87</v>
      </c>
      <c r="D452" s="2" t="s">
        <v>44</v>
      </c>
      <c r="E452" s="3">
        <v>42281</v>
      </c>
      <c r="F452" s="2" t="s">
        <v>268</v>
      </c>
      <c r="G452" s="2" t="s">
        <v>269</v>
      </c>
      <c r="H452" s="2" t="s">
        <v>21</v>
      </c>
      <c r="I452" s="6" t="s">
        <v>2343</v>
      </c>
      <c r="J452" s="6" t="s">
        <v>2362</v>
      </c>
      <c r="K452" t="str">
        <f t="shared" si="63"/>
        <v>DIYA MEHTA</v>
      </c>
      <c r="L452" t="str">
        <f t="shared" si="64"/>
        <v>Operations</v>
      </c>
      <c r="M452">
        <f t="shared" si="65"/>
        <v>10</v>
      </c>
      <c r="N452" t="str">
        <f t="shared" si="66"/>
        <v>Diya Mehta-Operations</v>
      </c>
      <c r="O452" t="str">
        <f t="shared" si="67"/>
        <v>company.com</v>
      </c>
      <c r="P452" t="str">
        <f t="shared" si="68"/>
        <v>company.com</v>
      </c>
      <c r="Q452">
        <f t="shared" si="69"/>
        <v>2015</v>
      </c>
      <c r="R452">
        <f t="shared" ca="1" si="70"/>
        <v>11</v>
      </c>
      <c r="S452" t="str">
        <f t="shared" si="71"/>
        <v>True</v>
      </c>
    </row>
    <row r="453" spans="1:19" x14ac:dyDescent="0.4">
      <c r="A453" s="2" t="s">
        <v>278</v>
      </c>
      <c r="B453" s="2" t="s">
        <v>279</v>
      </c>
      <c r="C453" s="2" t="s">
        <v>10</v>
      </c>
      <c r="D453" s="2" t="s">
        <v>44</v>
      </c>
      <c r="E453" s="3">
        <v>42202</v>
      </c>
      <c r="F453" s="2" t="s">
        <v>280</v>
      </c>
      <c r="G453" s="2" t="s">
        <v>281</v>
      </c>
      <c r="H453" s="2" t="s">
        <v>21</v>
      </c>
      <c r="I453" s="6" t="s">
        <v>2343</v>
      </c>
      <c r="J453" s="6" t="s">
        <v>2356</v>
      </c>
      <c r="K453" t="str">
        <f t="shared" si="63"/>
        <v>DIYA PATEL</v>
      </c>
      <c r="L453" t="str">
        <f t="shared" si="64"/>
        <v>It</v>
      </c>
      <c r="M453">
        <f t="shared" si="65"/>
        <v>10</v>
      </c>
      <c r="N453" t="str">
        <f t="shared" si="66"/>
        <v>Diya Patel-IT</v>
      </c>
      <c r="O453" t="str">
        <f t="shared" si="67"/>
        <v>company.com</v>
      </c>
      <c r="P453" t="str">
        <f t="shared" si="68"/>
        <v>company.com</v>
      </c>
      <c r="Q453">
        <f t="shared" si="69"/>
        <v>2015</v>
      </c>
      <c r="R453">
        <f t="shared" ca="1" si="70"/>
        <v>11</v>
      </c>
      <c r="S453" t="str">
        <f t="shared" si="71"/>
        <v>True</v>
      </c>
    </row>
    <row r="454" spans="1:19" x14ac:dyDescent="0.4">
      <c r="A454" s="2" t="s">
        <v>290</v>
      </c>
      <c r="B454" s="2" t="s">
        <v>235</v>
      </c>
      <c r="C454" s="2" t="s">
        <v>31</v>
      </c>
      <c r="D454" s="2" t="s">
        <v>25</v>
      </c>
      <c r="E454" s="3">
        <v>42218</v>
      </c>
      <c r="F454" s="2" t="s">
        <v>236</v>
      </c>
      <c r="G454" s="2" t="s">
        <v>291</v>
      </c>
      <c r="H454" s="2" t="s">
        <v>14</v>
      </c>
      <c r="I454" s="6" t="s">
        <v>2349</v>
      </c>
      <c r="J454" s="6" t="s">
        <v>2353</v>
      </c>
      <c r="K454" t="str">
        <f t="shared" si="63"/>
        <v>AARAV GUPTA</v>
      </c>
      <c r="L454" t="str">
        <f t="shared" si="64"/>
        <v>Finance</v>
      </c>
      <c r="M454">
        <f t="shared" si="65"/>
        <v>11</v>
      </c>
      <c r="N454" t="str">
        <f t="shared" si="66"/>
        <v>Aarav Gupta-Finance</v>
      </c>
      <c r="O454" t="str">
        <f t="shared" si="67"/>
        <v>company.com</v>
      </c>
      <c r="P454" t="str">
        <f t="shared" si="68"/>
        <v>company.com</v>
      </c>
      <c r="Q454">
        <f t="shared" si="69"/>
        <v>2015</v>
      </c>
      <c r="R454">
        <f t="shared" ca="1" si="70"/>
        <v>11</v>
      </c>
      <c r="S454" t="str">
        <f t="shared" si="71"/>
        <v>True</v>
      </c>
    </row>
    <row r="455" spans="1:19" x14ac:dyDescent="0.4">
      <c r="A455" s="2" t="s">
        <v>292</v>
      </c>
      <c r="B455" s="2" t="s">
        <v>70</v>
      </c>
      <c r="C455" s="2" t="s">
        <v>17</v>
      </c>
      <c r="D455" s="2" t="s">
        <v>44</v>
      </c>
      <c r="E455" s="3">
        <v>42309</v>
      </c>
      <c r="F455" s="2" t="s">
        <v>71</v>
      </c>
      <c r="G455" s="2" t="s">
        <v>293</v>
      </c>
      <c r="H455" s="2" t="s">
        <v>55</v>
      </c>
      <c r="I455" s="6" t="s">
        <v>2350</v>
      </c>
      <c r="J455" s="6" t="s">
        <v>2361</v>
      </c>
      <c r="K455" t="str">
        <f t="shared" si="63"/>
        <v>VIVAAN KHAN</v>
      </c>
      <c r="L455" t="str">
        <f t="shared" si="64"/>
        <v>Sales</v>
      </c>
      <c r="M455">
        <f t="shared" si="65"/>
        <v>11</v>
      </c>
      <c r="N455" t="str">
        <f t="shared" si="66"/>
        <v>Vivaan Khan-Sales</v>
      </c>
      <c r="O455" t="str">
        <f t="shared" si="67"/>
        <v>company.com</v>
      </c>
      <c r="P455" t="str">
        <f t="shared" si="68"/>
        <v>company.com</v>
      </c>
      <c r="Q455">
        <f t="shared" si="69"/>
        <v>2015</v>
      </c>
      <c r="R455">
        <f t="shared" ca="1" si="70"/>
        <v>10</v>
      </c>
      <c r="S455" t="str">
        <f t="shared" si="71"/>
        <v>True</v>
      </c>
    </row>
    <row r="456" spans="1:19" x14ac:dyDescent="0.4">
      <c r="A456" s="2" t="s">
        <v>324</v>
      </c>
      <c r="B456" s="2" t="s">
        <v>121</v>
      </c>
      <c r="C456" s="2" t="s">
        <v>87</v>
      </c>
      <c r="D456" s="2" t="s">
        <v>25</v>
      </c>
      <c r="E456" s="3">
        <v>42176</v>
      </c>
      <c r="F456" s="2" t="s">
        <v>122</v>
      </c>
      <c r="G456" s="2" t="s">
        <v>325</v>
      </c>
      <c r="H456" s="2" t="s">
        <v>55</v>
      </c>
      <c r="I456" s="6" t="s">
        <v>2348</v>
      </c>
      <c r="J456" s="6" t="s">
        <v>2360</v>
      </c>
      <c r="K456" t="str">
        <f t="shared" si="63"/>
        <v>ANANYA SHARMA</v>
      </c>
      <c r="L456" t="str">
        <f t="shared" si="64"/>
        <v>Operations</v>
      </c>
      <c r="M456">
        <f t="shared" si="65"/>
        <v>13</v>
      </c>
      <c r="N456" t="str">
        <f t="shared" si="66"/>
        <v>Ananya Sharma-Operations</v>
      </c>
      <c r="O456" t="str">
        <f t="shared" si="67"/>
        <v>company.com</v>
      </c>
      <c r="P456" t="str">
        <f t="shared" si="68"/>
        <v>company.com</v>
      </c>
      <c r="Q456">
        <f t="shared" si="69"/>
        <v>2015</v>
      </c>
      <c r="R456">
        <f t="shared" ca="1" si="70"/>
        <v>11</v>
      </c>
      <c r="S456" t="str">
        <f t="shared" si="71"/>
        <v>True</v>
      </c>
    </row>
    <row r="457" spans="1:19" x14ac:dyDescent="0.4">
      <c r="A457" s="2" t="s">
        <v>358</v>
      </c>
      <c r="B457" s="2" t="s">
        <v>359</v>
      </c>
      <c r="C457" s="2" t="s">
        <v>53</v>
      </c>
      <c r="D457" s="2" t="s">
        <v>44</v>
      </c>
      <c r="E457" s="3">
        <v>42301</v>
      </c>
      <c r="F457" s="2" t="s">
        <v>360</v>
      </c>
      <c r="G457" s="2" t="s">
        <v>361</v>
      </c>
      <c r="H457" s="2" t="s">
        <v>28</v>
      </c>
      <c r="I457" s="6" t="s">
        <v>2347</v>
      </c>
      <c r="J457" s="6" t="s">
        <v>2355</v>
      </c>
      <c r="K457" t="str">
        <f t="shared" si="63"/>
        <v>ARJUN NAIR</v>
      </c>
      <c r="L457" t="str">
        <f t="shared" si="64"/>
        <v>Hr</v>
      </c>
      <c r="M457">
        <f t="shared" si="65"/>
        <v>10</v>
      </c>
      <c r="N457" t="str">
        <f t="shared" si="66"/>
        <v>Arjun Nair-HR</v>
      </c>
      <c r="O457" t="str">
        <f t="shared" si="67"/>
        <v>company.com</v>
      </c>
      <c r="P457" t="str">
        <f t="shared" si="68"/>
        <v>company.com</v>
      </c>
      <c r="Q457">
        <f t="shared" si="69"/>
        <v>2015</v>
      </c>
      <c r="R457">
        <f t="shared" ca="1" si="70"/>
        <v>10</v>
      </c>
      <c r="S457" t="str">
        <f t="shared" si="71"/>
        <v>True</v>
      </c>
    </row>
    <row r="458" spans="1:19" x14ac:dyDescent="0.4">
      <c r="A458" s="2" t="s">
        <v>368</v>
      </c>
      <c r="B458" s="2" t="s">
        <v>23</v>
      </c>
      <c r="C458" s="2" t="s">
        <v>31</v>
      </c>
      <c r="D458" s="2" t="s">
        <v>18</v>
      </c>
      <c r="E458" s="3">
        <v>42020</v>
      </c>
      <c r="F458" s="2" t="s">
        <v>26</v>
      </c>
      <c r="G458" s="2" t="s">
        <v>369</v>
      </c>
      <c r="H458" s="2" t="s">
        <v>55</v>
      </c>
      <c r="I458" s="6" t="s">
        <v>2350</v>
      </c>
      <c r="J458" s="6" t="s">
        <v>2362</v>
      </c>
      <c r="K458" t="str">
        <f t="shared" si="63"/>
        <v>VIVAAN MEHTA</v>
      </c>
      <c r="L458" t="str">
        <f t="shared" si="64"/>
        <v>Finance</v>
      </c>
      <c r="M458">
        <f t="shared" si="65"/>
        <v>12</v>
      </c>
      <c r="N458" t="str">
        <f t="shared" si="66"/>
        <v>Vivaan Mehta-Finance</v>
      </c>
      <c r="O458" t="str">
        <f t="shared" si="67"/>
        <v>company.com</v>
      </c>
      <c r="P458" t="str">
        <f t="shared" si="68"/>
        <v>company.com</v>
      </c>
      <c r="Q458">
        <f t="shared" si="69"/>
        <v>2015</v>
      </c>
      <c r="R458">
        <f t="shared" ca="1" si="70"/>
        <v>11</v>
      </c>
      <c r="S458" t="str">
        <f t="shared" si="71"/>
        <v>True</v>
      </c>
    </row>
    <row r="459" spans="1:19" x14ac:dyDescent="0.4">
      <c r="A459" s="2" t="s">
        <v>372</v>
      </c>
      <c r="B459" s="2" t="s">
        <v>373</v>
      </c>
      <c r="C459" s="2" t="s">
        <v>24</v>
      </c>
      <c r="D459" s="2" t="s">
        <v>25</v>
      </c>
      <c r="E459" s="3">
        <v>42040</v>
      </c>
      <c r="F459" s="2" t="s">
        <v>374</v>
      </c>
      <c r="G459" s="2" t="s">
        <v>375</v>
      </c>
      <c r="H459" s="2" t="s">
        <v>28</v>
      </c>
      <c r="I459" s="6" t="s">
        <v>2350</v>
      </c>
      <c r="J459" s="6" t="s">
        <v>2355</v>
      </c>
      <c r="K459" t="str">
        <f t="shared" si="63"/>
        <v>VIVAAN NAIR</v>
      </c>
      <c r="L459" t="str">
        <f t="shared" si="64"/>
        <v>Marketing</v>
      </c>
      <c r="M459">
        <f t="shared" si="65"/>
        <v>11</v>
      </c>
      <c r="N459" t="str">
        <f t="shared" si="66"/>
        <v>Vivaan Nair-Marketing</v>
      </c>
      <c r="O459" t="str">
        <f t="shared" si="67"/>
        <v>company.com</v>
      </c>
      <c r="P459" t="str">
        <f t="shared" si="68"/>
        <v>company.com</v>
      </c>
      <c r="Q459">
        <f t="shared" si="69"/>
        <v>2015</v>
      </c>
      <c r="R459">
        <f t="shared" ca="1" si="70"/>
        <v>11</v>
      </c>
      <c r="S459" t="str">
        <f t="shared" si="71"/>
        <v>True</v>
      </c>
    </row>
    <row r="460" spans="1:19" x14ac:dyDescent="0.4">
      <c r="A460" s="2" t="s">
        <v>390</v>
      </c>
      <c r="B460" s="2" t="s">
        <v>391</v>
      </c>
      <c r="C460" s="2" t="s">
        <v>87</v>
      </c>
      <c r="D460" s="2" t="s">
        <v>11</v>
      </c>
      <c r="E460" s="3">
        <v>42028</v>
      </c>
      <c r="F460" s="2" t="s">
        <v>392</v>
      </c>
      <c r="G460" s="2" t="s">
        <v>393</v>
      </c>
      <c r="H460" s="2" t="s">
        <v>14</v>
      </c>
      <c r="I460" s="6" t="s">
        <v>2351</v>
      </c>
      <c r="J460" s="6" t="s">
        <v>2356</v>
      </c>
      <c r="K460" t="str">
        <f t="shared" si="63"/>
        <v>ADITYA PATEL</v>
      </c>
      <c r="L460" t="str">
        <f t="shared" si="64"/>
        <v>Operations</v>
      </c>
      <c r="M460">
        <f t="shared" si="65"/>
        <v>12</v>
      </c>
      <c r="N460" t="str">
        <f t="shared" si="66"/>
        <v>Aditya Patel-Operations</v>
      </c>
      <c r="O460" t="str">
        <f t="shared" si="67"/>
        <v>company.com</v>
      </c>
      <c r="P460" t="str">
        <f t="shared" si="68"/>
        <v>company.com</v>
      </c>
      <c r="Q460">
        <f t="shared" si="69"/>
        <v>2015</v>
      </c>
      <c r="R460">
        <f t="shared" ca="1" si="70"/>
        <v>11</v>
      </c>
      <c r="S460" t="str">
        <f t="shared" si="71"/>
        <v>True</v>
      </c>
    </row>
    <row r="461" spans="1:19" x14ac:dyDescent="0.4">
      <c r="A461" s="2" t="s">
        <v>414</v>
      </c>
      <c r="B461" s="2" t="s">
        <v>86</v>
      </c>
      <c r="C461" s="2" t="s">
        <v>24</v>
      </c>
      <c r="D461" s="2" t="s">
        <v>44</v>
      </c>
      <c r="E461" s="3">
        <v>42266</v>
      </c>
      <c r="F461" s="2" t="s">
        <v>88</v>
      </c>
      <c r="G461" s="2" t="s">
        <v>415</v>
      </c>
      <c r="H461" s="2" t="s">
        <v>28</v>
      </c>
      <c r="I461" s="6" t="s">
        <v>2344</v>
      </c>
      <c r="J461" s="6" t="s">
        <v>2354</v>
      </c>
      <c r="K461" t="str">
        <f t="shared" si="63"/>
        <v>KABIR SINGH</v>
      </c>
      <c r="L461" t="str">
        <f t="shared" si="64"/>
        <v>Marketing</v>
      </c>
      <c r="M461">
        <f t="shared" si="65"/>
        <v>11</v>
      </c>
      <c r="N461" t="str">
        <f t="shared" si="66"/>
        <v>Kabir Singh-Marketing</v>
      </c>
      <c r="O461" t="str">
        <f t="shared" si="67"/>
        <v>company.com</v>
      </c>
      <c r="P461" t="str">
        <f t="shared" si="68"/>
        <v>company.com</v>
      </c>
      <c r="Q461">
        <f t="shared" si="69"/>
        <v>2015</v>
      </c>
      <c r="R461">
        <f t="shared" ca="1" si="70"/>
        <v>11</v>
      </c>
      <c r="S461" t="str">
        <f t="shared" si="71"/>
        <v>True</v>
      </c>
    </row>
    <row r="462" spans="1:19" x14ac:dyDescent="0.4">
      <c r="A462" s="2" t="s">
        <v>434</v>
      </c>
      <c r="B462" s="2" t="s">
        <v>271</v>
      </c>
      <c r="C462" s="2" t="s">
        <v>17</v>
      </c>
      <c r="D462" s="2" t="s">
        <v>11</v>
      </c>
      <c r="E462" s="3">
        <v>42338</v>
      </c>
      <c r="F462" s="2" t="s">
        <v>272</v>
      </c>
      <c r="G462" s="2" t="s">
        <v>435</v>
      </c>
      <c r="H462" s="2" t="s">
        <v>55</v>
      </c>
      <c r="I462" s="6" t="s">
        <v>2347</v>
      </c>
      <c r="J462" s="6" t="s">
        <v>2357</v>
      </c>
      <c r="K462" t="str">
        <f t="shared" si="63"/>
        <v>ARJUN JOSHI</v>
      </c>
      <c r="L462" t="str">
        <f t="shared" si="64"/>
        <v>Sales</v>
      </c>
      <c r="M462">
        <f t="shared" si="65"/>
        <v>11</v>
      </c>
      <c r="N462" t="str">
        <f t="shared" si="66"/>
        <v>Arjun Joshi-Sales</v>
      </c>
      <c r="O462" t="str">
        <f t="shared" si="67"/>
        <v>company.com</v>
      </c>
      <c r="P462" t="str">
        <f t="shared" si="68"/>
        <v>company.com</v>
      </c>
      <c r="Q462">
        <f t="shared" si="69"/>
        <v>2015</v>
      </c>
      <c r="R462">
        <f t="shared" ca="1" si="70"/>
        <v>10</v>
      </c>
      <c r="S462" t="str">
        <f t="shared" si="71"/>
        <v>True</v>
      </c>
    </row>
    <row r="463" spans="1:19" x14ac:dyDescent="0.4">
      <c r="A463" s="2" t="s">
        <v>516</v>
      </c>
      <c r="B463" s="2" t="s">
        <v>43</v>
      </c>
      <c r="C463" s="2" t="s">
        <v>10</v>
      </c>
      <c r="D463" s="2" t="s">
        <v>18</v>
      </c>
      <c r="E463" s="3">
        <v>42021</v>
      </c>
      <c r="F463" s="2" t="s">
        <v>45</v>
      </c>
      <c r="G463" s="2" t="s">
        <v>517</v>
      </c>
      <c r="H463" s="2" t="s">
        <v>55</v>
      </c>
      <c r="I463" s="6" t="s">
        <v>2348</v>
      </c>
      <c r="J463" s="6" t="s">
        <v>2362</v>
      </c>
      <c r="K463" t="str">
        <f t="shared" si="63"/>
        <v>ANANYA MEHTA</v>
      </c>
      <c r="L463" t="str">
        <f t="shared" si="64"/>
        <v>It</v>
      </c>
      <c r="M463">
        <f t="shared" si="65"/>
        <v>12</v>
      </c>
      <c r="N463" t="str">
        <f t="shared" si="66"/>
        <v>Ananya Mehta-IT</v>
      </c>
      <c r="O463" t="str">
        <f t="shared" si="67"/>
        <v>company.com</v>
      </c>
      <c r="P463" t="str">
        <f t="shared" si="68"/>
        <v>company.com</v>
      </c>
      <c r="Q463">
        <f t="shared" si="69"/>
        <v>2015</v>
      </c>
      <c r="R463">
        <f t="shared" ca="1" si="70"/>
        <v>11</v>
      </c>
      <c r="S463" t="str">
        <f t="shared" si="71"/>
        <v>True</v>
      </c>
    </row>
    <row r="464" spans="1:19" x14ac:dyDescent="0.4">
      <c r="A464" s="2" t="s">
        <v>554</v>
      </c>
      <c r="B464" s="2" t="s">
        <v>555</v>
      </c>
      <c r="C464" s="2" t="s">
        <v>53</v>
      </c>
      <c r="D464" s="2" t="s">
        <v>11</v>
      </c>
      <c r="E464" s="3">
        <v>42322</v>
      </c>
      <c r="F464" s="2" t="s">
        <v>556</v>
      </c>
      <c r="G464" s="2" t="s">
        <v>557</v>
      </c>
      <c r="H464" s="2" t="s">
        <v>64</v>
      </c>
      <c r="I464" s="6" t="s">
        <v>2346</v>
      </c>
      <c r="J464" s="6" t="s">
        <v>2357</v>
      </c>
      <c r="K464" t="str">
        <f t="shared" si="63"/>
        <v>RIYA JOSHI</v>
      </c>
      <c r="L464" t="str">
        <f t="shared" si="64"/>
        <v>Hr</v>
      </c>
      <c r="M464">
        <f t="shared" si="65"/>
        <v>10</v>
      </c>
      <c r="N464" t="str">
        <f t="shared" si="66"/>
        <v>Riya Joshi-HR</v>
      </c>
      <c r="O464" t="str">
        <f t="shared" si="67"/>
        <v>company.com</v>
      </c>
      <c r="P464" t="str">
        <f t="shared" si="68"/>
        <v>company.com</v>
      </c>
      <c r="Q464">
        <f t="shared" si="69"/>
        <v>2015</v>
      </c>
      <c r="R464">
        <f t="shared" ca="1" si="70"/>
        <v>10</v>
      </c>
      <c r="S464" t="str">
        <f t="shared" si="71"/>
        <v>True</v>
      </c>
    </row>
    <row r="465" spans="1:19" x14ac:dyDescent="0.4">
      <c r="A465" s="2" t="s">
        <v>594</v>
      </c>
      <c r="B465" s="2" t="s">
        <v>125</v>
      </c>
      <c r="C465" s="2" t="s">
        <v>87</v>
      </c>
      <c r="D465" s="2" t="s">
        <v>25</v>
      </c>
      <c r="E465" s="3">
        <v>42221</v>
      </c>
      <c r="F465" s="2" t="s">
        <v>126</v>
      </c>
      <c r="G465" s="2" t="s">
        <v>595</v>
      </c>
      <c r="H465" s="2" t="s">
        <v>28</v>
      </c>
      <c r="I465" s="6" t="s">
        <v>2346</v>
      </c>
      <c r="J465" s="6" t="s">
        <v>2360</v>
      </c>
      <c r="K465" t="str">
        <f t="shared" si="63"/>
        <v>RIYA SHARMA</v>
      </c>
      <c r="L465" t="str">
        <f t="shared" si="64"/>
        <v>Operations</v>
      </c>
      <c r="M465">
        <f t="shared" si="65"/>
        <v>11</v>
      </c>
      <c r="N465" t="str">
        <f t="shared" si="66"/>
        <v>Riya Sharma-Operations</v>
      </c>
      <c r="O465" t="str">
        <f t="shared" si="67"/>
        <v>company.com</v>
      </c>
      <c r="P465" t="str">
        <f t="shared" si="68"/>
        <v>company.com</v>
      </c>
      <c r="Q465">
        <f t="shared" si="69"/>
        <v>2015</v>
      </c>
      <c r="R465">
        <f t="shared" ca="1" si="70"/>
        <v>11</v>
      </c>
      <c r="S465" t="str">
        <f t="shared" si="71"/>
        <v>True</v>
      </c>
    </row>
    <row r="466" spans="1:19" x14ac:dyDescent="0.4">
      <c r="A466" s="2" t="s">
        <v>596</v>
      </c>
      <c r="B466" s="2" t="s">
        <v>153</v>
      </c>
      <c r="C466" s="2" t="s">
        <v>87</v>
      </c>
      <c r="D466" s="2" t="s">
        <v>49</v>
      </c>
      <c r="E466" s="3">
        <v>42013</v>
      </c>
      <c r="F466" s="2" t="s">
        <v>154</v>
      </c>
      <c r="G466" s="2" t="s">
        <v>597</v>
      </c>
      <c r="H466" s="2" t="s">
        <v>64</v>
      </c>
      <c r="I466" s="6" t="s">
        <v>2344</v>
      </c>
      <c r="J466" s="6" t="s">
        <v>2356</v>
      </c>
      <c r="K466" t="str">
        <f t="shared" si="63"/>
        <v>KABIR PATEL</v>
      </c>
      <c r="L466" t="str">
        <f t="shared" si="64"/>
        <v>Operations</v>
      </c>
      <c r="M466">
        <f t="shared" si="65"/>
        <v>11</v>
      </c>
      <c r="N466" t="str">
        <f t="shared" si="66"/>
        <v>Kabir Patel-Operations</v>
      </c>
      <c r="O466" t="str">
        <f t="shared" si="67"/>
        <v>company.com</v>
      </c>
      <c r="P466" t="str">
        <f t="shared" si="68"/>
        <v>company.com</v>
      </c>
      <c r="Q466">
        <f t="shared" si="69"/>
        <v>2015</v>
      </c>
      <c r="R466">
        <f t="shared" ca="1" si="70"/>
        <v>11</v>
      </c>
      <c r="S466" t="str">
        <f t="shared" si="71"/>
        <v>True</v>
      </c>
    </row>
    <row r="467" spans="1:19" x14ac:dyDescent="0.4">
      <c r="A467" s="2" t="s">
        <v>608</v>
      </c>
      <c r="B467" s="2" t="s">
        <v>39</v>
      </c>
      <c r="C467" s="2" t="s">
        <v>17</v>
      </c>
      <c r="D467" s="2" t="s">
        <v>25</v>
      </c>
      <c r="E467" s="3">
        <v>42174</v>
      </c>
      <c r="F467" s="2" t="s">
        <v>40</v>
      </c>
      <c r="G467" s="2" t="s">
        <v>609</v>
      </c>
      <c r="H467" s="2" t="s">
        <v>14</v>
      </c>
      <c r="I467" s="6" t="s">
        <v>2349</v>
      </c>
      <c r="J467" s="6" t="s">
        <v>2358</v>
      </c>
      <c r="K467" t="str">
        <f t="shared" si="63"/>
        <v>AARAV DAS</v>
      </c>
      <c r="L467" t="str">
        <f t="shared" si="64"/>
        <v>Sales</v>
      </c>
      <c r="M467">
        <f t="shared" si="65"/>
        <v>9</v>
      </c>
      <c r="N467" t="str">
        <f t="shared" si="66"/>
        <v>Aarav Das-Sales</v>
      </c>
      <c r="O467" t="str">
        <f t="shared" si="67"/>
        <v>company.com</v>
      </c>
      <c r="P467" t="str">
        <f t="shared" si="68"/>
        <v>company.com</v>
      </c>
      <c r="Q467">
        <f t="shared" si="69"/>
        <v>2015</v>
      </c>
      <c r="R467">
        <f t="shared" ca="1" si="70"/>
        <v>11</v>
      </c>
      <c r="S467" t="str">
        <f t="shared" si="71"/>
        <v>True</v>
      </c>
    </row>
    <row r="468" spans="1:19" x14ac:dyDescent="0.4">
      <c r="A468" s="2" t="s">
        <v>632</v>
      </c>
      <c r="B468" s="2" t="s">
        <v>255</v>
      </c>
      <c r="C468" s="2" t="s">
        <v>31</v>
      </c>
      <c r="D468" s="2" t="s">
        <v>25</v>
      </c>
      <c r="E468" s="3">
        <v>42131</v>
      </c>
      <c r="F468" s="2" t="s">
        <v>256</v>
      </c>
      <c r="G468" s="2" t="s">
        <v>633</v>
      </c>
      <c r="H468" s="2" t="s">
        <v>21</v>
      </c>
      <c r="I468" s="6" t="s">
        <v>2346</v>
      </c>
      <c r="J468" s="6" t="s">
        <v>2354</v>
      </c>
      <c r="K468" t="str">
        <f t="shared" si="63"/>
        <v>RIYA SINGH</v>
      </c>
      <c r="L468" t="str">
        <f t="shared" si="64"/>
        <v>Finance</v>
      </c>
      <c r="M468">
        <f t="shared" si="65"/>
        <v>10</v>
      </c>
      <c r="N468" t="str">
        <f t="shared" si="66"/>
        <v>Riya Singh-Finance</v>
      </c>
      <c r="O468" t="str">
        <f t="shared" si="67"/>
        <v>company.com</v>
      </c>
      <c r="P468" t="str">
        <f t="shared" si="68"/>
        <v>company.com</v>
      </c>
      <c r="Q468">
        <f t="shared" si="69"/>
        <v>2015</v>
      </c>
      <c r="R468">
        <f t="shared" ca="1" si="70"/>
        <v>11</v>
      </c>
      <c r="S468" t="str">
        <f t="shared" si="71"/>
        <v>True</v>
      </c>
    </row>
    <row r="469" spans="1:19" x14ac:dyDescent="0.4">
      <c r="A469" s="2" t="s">
        <v>648</v>
      </c>
      <c r="B469" s="2" t="s">
        <v>411</v>
      </c>
      <c r="C469" s="2" t="s">
        <v>31</v>
      </c>
      <c r="D469" s="2" t="s">
        <v>18</v>
      </c>
      <c r="E469" s="3">
        <v>42335</v>
      </c>
      <c r="F469" s="2" t="s">
        <v>412</v>
      </c>
      <c r="G469" s="2" t="s">
        <v>649</v>
      </c>
      <c r="H469" s="2" t="s">
        <v>28</v>
      </c>
      <c r="I469" s="6" t="s">
        <v>2349</v>
      </c>
      <c r="J469" s="6" t="s">
        <v>2357</v>
      </c>
      <c r="K469" t="str">
        <f t="shared" si="63"/>
        <v>AARAV JOSHI</v>
      </c>
      <c r="L469" t="str">
        <f t="shared" si="64"/>
        <v>Finance</v>
      </c>
      <c r="M469">
        <f t="shared" si="65"/>
        <v>11</v>
      </c>
      <c r="N469" t="str">
        <f t="shared" si="66"/>
        <v>Aarav Joshi-Finance</v>
      </c>
      <c r="O469" t="str">
        <f t="shared" si="67"/>
        <v>company.com</v>
      </c>
      <c r="P469" t="str">
        <f t="shared" si="68"/>
        <v>company.com</v>
      </c>
      <c r="Q469">
        <f t="shared" si="69"/>
        <v>2015</v>
      </c>
      <c r="R469">
        <f t="shared" ca="1" si="70"/>
        <v>10</v>
      </c>
      <c r="S469" t="str">
        <f t="shared" si="71"/>
        <v>True</v>
      </c>
    </row>
    <row r="470" spans="1:19" x14ac:dyDescent="0.4">
      <c r="A470" s="2" t="s">
        <v>672</v>
      </c>
      <c r="B470" s="2" t="s">
        <v>177</v>
      </c>
      <c r="C470" s="2" t="s">
        <v>17</v>
      </c>
      <c r="D470" s="2" t="s">
        <v>25</v>
      </c>
      <c r="E470" s="3">
        <v>42325</v>
      </c>
      <c r="F470" s="2" t="s">
        <v>178</v>
      </c>
      <c r="G470" s="2" t="s">
        <v>673</v>
      </c>
      <c r="H470" s="2" t="s">
        <v>28</v>
      </c>
      <c r="I470" s="6" t="s">
        <v>2346</v>
      </c>
      <c r="J470" s="6" t="s">
        <v>2353</v>
      </c>
      <c r="K470" t="str">
        <f t="shared" si="63"/>
        <v>RIYA GUPTA</v>
      </c>
      <c r="L470" t="str">
        <f t="shared" si="64"/>
        <v>Sales</v>
      </c>
      <c r="M470">
        <f t="shared" si="65"/>
        <v>10</v>
      </c>
      <c r="N470" t="str">
        <f t="shared" si="66"/>
        <v>Riya Gupta-Sales</v>
      </c>
      <c r="O470" t="str">
        <f t="shared" si="67"/>
        <v>company.com</v>
      </c>
      <c r="P470" t="str">
        <f t="shared" si="68"/>
        <v>company.com</v>
      </c>
      <c r="Q470">
        <f t="shared" si="69"/>
        <v>2015</v>
      </c>
      <c r="R470">
        <f t="shared" ca="1" si="70"/>
        <v>10</v>
      </c>
      <c r="S470" t="str">
        <f t="shared" si="71"/>
        <v>True</v>
      </c>
    </row>
    <row r="471" spans="1:19" x14ac:dyDescent="0.4">
      <c r="A471" s="2" t="s">
        <v>690</v>
      </c>
      <c r="B471" s="2" t="s">
        <v>385</v>
      </c>
      <c r="C471" s="2" t="s">
        <v>53</v>
      </c>
      <c r="D471" s="2" t="s">
        <v>44</v>
      </c>
      <c r="E471" s="3">
        <v>42354</v>
      </c>
      <c r="F471" s="2" t="s">
        <v>386</v>
      </c>
      <c r="G471" s="2" t="s">
        <v>691</v>
      </c>
      <c r="H471" s="2" t="s">
        <v>28</v>
      </c>
      <c r="I471" s="6" t="s">
        <v>2343</v>
      </c>
      <c r="J471" s="6" t="s">
        <v>2355</v>
      </c>
      <c r="K471" t="str">
        <f t="shared" si="63"/>
        <v>DIYA NAIR</v>
      </c>
      <c r="L471" t="str">
        <f t="shared" si="64"/>
        <v>Hr</v>
      </c>
      <c r="M471">
        <f t="shared" si="65"/>
        <v>9</v>
      </c>
      <c r="N471" t="str">
        <f t="shared" si="66"/>
        <v>Diya Nair-HR</v>
      </c>
      <c r="O471" t="str">
        <f t="shared" si="67"/>
        <v>company.com</v>
      </c>
      <c r="P471" t="str">
        <f t="shared" si="68"/>
        <v>company.com</v>
      </c>
      <c r="Q471">
        <f t="shared" si="69"/>
        <v>2015</v>
      </c>
      <c r="R471">
        <f t="shared" ca="1" si="70"/>
        <v>10</v>
      </c>
      <c r="S471" t="str">
        <f t="shared" si="71"/>
        <v>True</v>
      </c>
    </row>
    <row r="472" spans="1:19" x14ac:dyDescent="0.4">
      <c r="A472" s="2" t="s">
        <v>700</v>
      </c>
      <c r="B472" s="2" t="s">
        <v>57</v>
      </c>
      <c r="C472" s="2" t="s">
        <v>87</v>
      </c>
      <c r="D472" s="2" t="s">
        <v>25</v>
      </c>
      <c r="E472" s="3">
        <v>42289</v>
      </c>
      <c r="F472" s="2" t="s">
        <v>58</v>
      </c>
      <c r="G472" s="2" t="s">
        <v>701</v>
      </c>
      <c r="H472" s="2" t="s">
        <v>64</v>
      </c>
      <c r="I472" s="6" t="s">
        <v>2343</v>
      </c>
      <c r="J472" s="6" t="s">
        <v>2353</v>
      </c>
      <c r="K472" t="str">
        <f t="shared" si="63"/>
        <v>DIYA GUPTA</v>
      </c>
      <c r="L472" t="str">
        <f t="shared" si="64"/>
        <v>Operations</v>
      </c>
      <c r="M472">
        <f t="shared" si="65"/>
        <v>10</v>
      </c>
      <c r="N472" t="str">
        <f t="shared" si="66"/>
        <v>Diya Gupta-Operations</v>
      </c>
      <c r="O472" t="str">
        <f t="shared" si="67"/>
        <v>company.com</v>
      </c>
      <c r="P472" t="str">
        <f t="shared" si="68"/>
        <v>company.com</v>
      </c>
      <c r="Q472">
        <f t="shared" si="69"/>
        <v>2015</v>
      </c>
      <c r="R472">
        <f t="shared" ca="1" si="70"/>
        <v>11</v>
      </c>
      <c r="S472" t="str">
        <f t="shared" si="71"/>
        <v>True</v>
      </c>
    </row>
    <row r="473" spans="1:19" x14ac:dyDescent="0.4">
      <c r="A473" s="2" t="s">
        <v>706</v>
      </c>
      <c r="B473" s="2" t="s">
        <v>61</v>
      </c>
      <c r="C473" s="2" t="s">
        <v>53</v>
      </c>
      <c r="D473" s="2" t="s">
        <v>18</v>
      </c>
      <c r="E473" s="3">
        <v>42086</v>
      </c>
      <c r="F473" s="2" t="s">
        <v>62</v>
      </c>
      <c r="G473" s="2" t="s">
        <v>707</v>
      </c>
      <c r="H473" s="2" t="s">
        <v>21</v>
      </c>
      <c r="I473" s="6" t="s">
        <v>2348</v>
      </c>
      <c r="J473" s="6" t="s">
        <v>2357</v>
      </c>
      <c r="K473" t="str">
        <f t="shared" si="63"/>
        <v>ANANYA JOSHI</v>
      </c>
      <c r="L473" t="str">
        <f t="shared" si="64"/>
        <v>Hr</v>
      </c>
      <c r="M473">
        <f t="shared" si="65"/>
        <v>12</v>
      </c>
      <c r="N473" t="str">
        <f t="shared" si="66"/>
        <v>Ananya Joshi-HR</v>
      </c>
      <c r="O473" t="str">
        <f t="shared" si="67"/>
        <v>company.com</v>
      </c>
      <c r="P473" t="str">
        <f t="shared" si="68"/>
        <v>company.com</v>
      </c>
      <c r="Q473">
        <f t="shared" si="69"/>
        <v>2015</v>
      </c>
      <c r="R473">
        <f t="shared" ca="1" si="70"/>
        <v>11</v>
      </c>
      <c r="S473" t="str">
        <f t="shared" si="71"/>
        <v>True</v>
      </c>
    </row>
    <row r="474" spans="1:19" x14ac:dyDescent="0.4">
      <c r="A474" s="2" t="s">
        <v>708</v>
      </c>
      <c r="B474" s="2" t="s">
        <v>489</v>
      </c>
      <c r="C474" s="2" t="s">
        <v>87</v>
      </c>
      <c r="D474" s="2" t="s">
        <v>18</v>
      </c>
      <c r="E474" s="3">
        <v>42025</v>
      </c>
      <c r="F474" s="2" t="s">
        <v>490</v>
      </c>
      <c r="G474" s="2" t="s">
        <v>709</v>
      </c>
      <c r="H474" s="2" t="s">
        <v>14</v>
      </c>
      <c r="I474" s="6" t="s">
        <v>2347</v>
      </c>
      <c r="J474" s="6" t="s">
        <v>2359</v>
      </c>
      <c r="K474" t="str">
        <f t="shared" si="63"/>
        <v>ARJUN REDDY</v>
      </c>
      <c r="L474" t="str">
        <f t="shared" si="64"/>
        <v>Operations</v>
      </c>
      <c r="M474">
        <f t="shared" si="65"/>
        <v>11</v>
      </c>
      <c r="N474" t="str">
        <f t="shared" si="66"/>
        <v>Arjun Reddy-Operations</v>
      </c>
      <c r="O474" t="str">
        <f t="shared" si="67"/>
        <v>company.com</v>
      </c>
      <c r="P474" t="str">
        <f t="shared" si="68"/>
        <v>company.com</v>
      </c>
      <c r="Q474">
        <f t="shared" si="69"/>
        <v>2015</v>
      </c>
      <c r="R474">
        <f t="shared" ca="1" si="70"/>
        <v>11</v>
      </c>
      <c r="S474" t="str">
        <f t="shared" si="71"/>
        <v>True</v>
      </c>
    </row>
    <row r="475" spans="1:19" x14ac:dyDescent="0.4">
      <c r="A475" s="2" t="s">
        <v>710</v>
      </c>
      <c r="B475" s="2" t="s">
        <v>373</v>
      </c>
      <c r="C475" s="2" t="s">
        <v>24</v>
      </c>
      <c r="D475" s="2" t="s">
        <v>25</v>
      </c>
      <c r="E475" s="3">
        <v>42022</v>
      </c>
      <c r="F475" s="2" t="s">
        <v>374</v>
      </c>
      <c r="G475" s="2" t="s">
        <v>711</v>
      </c>
      <c r="H475" s="2" t="s">
        <v>55</v>
      </c>
      <c r="I475" s="6" t="s">
        <v>2350</v>
      </c>
      <c r="J475" s="6" t="s">
        <v>2355</v>
      </c>
      <c r="K475" t="str">
        <f t="shared" si="63"/>
        <v>VIVAAN NAIR</v>
      </c>
      <c r="L475" t="str">
        <f t="shared" si="64"/>
        <v>Marketing</v>
      </c>
      <c r="M475">
        <f t="shared" si="65"/>
        <v>11</v>
      </c>
      <c r="N475" t="str">
        <f t="shared" si="66"/>
        <v>Vivaan Nair-Marketing</v>
      </c>
      <c r="O475" t="str">
        <f t="shared" si="67"/>
        <v>company.com</v>
      </c>
      <c r="P475" t="str">
        <f t="shared" si="68"/>
        <v>company.com</v>
      </c>
      <c r="Q475">
        <f t="shared" si="69"/>
        <v>2015</v>
      </c>
      <c r="R475">
        <f t="shared" ca="1" si="70"/>
        <v>11</v>
      </c>
      <c r="S475" t="str">
        <f t="shared" si="71"/>
        <v>True</v>
      </c>
    </row>
    <row r="476" spans="1:19" x14ac:dyDescent="0.4">
      <c r="A476" s="2" t="s">
        <v>758</v>
      </c>
      <c r="B476" s="2" t="s">
        <v>137</v>
      </c>
      <c r="C476" s="2" t="s">
        <v>10</v>
      </c>
      <c r="D476" s="2" t="s">
        <v>25</v>
      </c>
      <c r="E476" s="3">
        <v>42032</v>
      </c>
      <c r="F476" s="2" t="s">
        <v>138</v>
      </c>
      <c r="G476" s="2" t="s">
        <v>759</v>
      </c>
      <c r="H476" s="2" t="s">
        <v>28</v>
      </c>
      <c r="I476" s="6" t="s">
        <v>2351</v>
      </c>
      <c r="J476" s="6" t="s">
        <v>2354</v>
      </c>
      <c r="K476" t="str">
        <f t="shared" si="63"/>
        <v>ADITYA SINGH</v>
      </c>
      <c r="L476" t="str">
        <f t="shared" si="64"/>
        <v>It</v>
      </c>
      <c r="M476">
        <f t="shared" si="65"/>
        <v>12</v>
      </c>
      <c r="N476" t="str">
        <f t="shared" si="66"/>
        <v>Aditya Singh-IT</v>
      </c>
      <c r="O476" t="str">
        <f t="shared" si="67"/>
        <v>company.com</v>
      </c>
      <c r="P476" t="str">
        <f t="shared" si="68"/>
        <v>company.com</v>
      </c>
      <c r="Q476">
        <f t="shared" si="69"/>
        <v>2015</v>
      </c>
      <c r="R476">
        <f t="shared" ca="1" si="70"/>
        <v>11</v>
      </c>
      <c r="S476" t="str">
        <f t="shared" si="71"/>
        <v>True</v>
      </c>
    </row>
    <row r="477" spans="1:19" x14ac:dyDescent="0.4">
      <c r="A477" s="2" t="s">
        <v>778</v>
      </c>
      <c r="B477" s="2" t="s">
        <v>103</v>
      </c>
      <c r="C477" s="2" t="s">
        <v>10</v>
      </c>
      <c r="D477" s="2" t="s">
        <v>18</v>
      </c>
      <c r="E477" s="3">
        <v>42263</v>
      </c>
      <c r="F477" s="2" t="s">
        <v>104</v>
      </c>
      <c r="G477" s="2" t="s">
        <v>779</v>
      </c>
      <c r="H477" s="2" t="s">
        <v>55</v>
      </c>
      <c r="I477" s="6" t="s">
        <v>2343</v>
      </c>
      <c r="J477" s="6" t="s">
        <v>2358</v>
      </c>
      <c r="K477" t="str">
        <f t="shared" si="63"/>
        <v>DIYA DAS</v>
      </c>
      <c r="L477" t="str">
        <f t="shared" si="64"/>
        <v>It</v>
      </c>
      <c r="M477">
        <f t="shared" si="65"/>
        <v>8</v>
      </c>
      <c r="N477" t="str">
        <f t="shared" si="66"/>
        <v>Diya Das-IT</v>
      </c>
      <c r="O477" t="str">
        <f t="shared" si="67"/>
        <v>company.com</v>
      </c>
      <c r="P477" t="str">
        <f t="shared" si="68"/>
        <v>company.com</v>
      </c>
      <c r="Q477">
        <f t="shared" si="69"/>
        <v>2015</v>
      </c>
      <c r="R477">
        <f t="shared" ca="1" si="70"/>
        <v>11</v>
      </c>
      <c r="S477" t="str">
        <f t="shared" si="71"/>
        <v>True</v>
      </c>
    </row>
    <row r="478" spans="1:19" x14ac:dyDescent="0.4">
      <c r="A478" s="2" t="s">
        <v>786</v>
      </c>
      <c r="B478" s="2" t="s">
        <v>187</v>
      </c>
      <c r="C478" s="2" t="s">
        <v>87</v>
      </c>
      <c r="D478" s="2" t="s">
        <v>44</v>
      </c>
      <c r="E478" s="3">
        <v>42011</v>
      </c>
      <c r="F478" s="2" t="s">
        <v>188</v>
      </c>
      <c r="G478" s="2" t="s">
        <v>787</v>
      </c>
      <c r="H478" s="2" t="s">
        <v>28</v>
      </c>
      <c r="I478" s="6" t="s">
        <v>2349</v>
      </c>
      <c r="J478" s="6" t="s">
        <v>2359</v>
      </c>
      <c r="K478" t="str">
        <f t="shared" si="63"/>
        <v>AARAV REDDY</v>
      </c>
      <c r="L478" t="str">
        <f t="shared" si="64"/>
        <v>Operations</v>
      </c>
      <c r="M478">
        <f t="shared" si="65"/>
        <v>11</v>
      </c>
      <c r="N478" t="str">
        <f t="shared" si="66"/>
        <v>Aarav Reddy-Operations</v>
      </c>
      <c r="O478" t="str">
        <f t="shared" si="67"/>
        <v>company.com</v>
      </c>
      <c r="P478" t="str">
        <f t="shared" si="68"/>
        <v>company.com</v>
      </c>
      <c r="Q478">
        <f t="shared" si="69"/>
        <v>2015</v>
      </c>
      <c r="R478">
        <f t="shared" ca="1" si="70"/>
        <v>11</v>
      </c>
      <c r="S478" t="str">
        <f t="shared" si="71"/>
        <v>True</v>
      </c>
    </row>
    <row r="479" spans="1:19" x14ac:dyDescent="0.4">
      <c r="A479" s="2" t="s">
        <v>806</v>
      </c>
      <c r="B479" s="2" t="s">
        <v>30</v>
      </c>
      <c r="C479" s="2" t="s">
        <v>31</v>
      </c>
      <c r="D479" s="2" t="s">
        <v>25</v>
      </c>
      <c r="E479" s="3">
        <v>42095</v>
      </c>
      <c r="F479" s="2" t="s">
        <v>32</v>
      </c>
      <c r="G479" s="2" t="s">
        <v>807</v>
      </c>
      <c r="H479" s="2" t="s">
        <v>64</v>
      </c>
      <c r="I479" s="6" t="s">
        <v>2348</v>
      </c>
      <c r="J479" s="6" t="s">
        <v>2359</v>
      </c>
      <c r="K479" t="str">
        <f t="shared" si="63"/>
        <v>ANANYA REDDY</v>
      </c>
      <c r="L479" t="str">
        <f t="shared" si="64"/>
        <v>Finance</v>
      </c>
      <c r="M479">
        <f t="shared" si="65"/>
        <v>12</v>
      </c>
      <c r="N479" t="str">
        <f t="shared" si="66"/>
        <v>Ananya Reddy-Finance</v>
      </c>
      <c r="O479" t="str">
        <f t="shared" si="67"/>
        <v>company.com</v>
      </c>
      <c r="P479" t="str">
        <f t="shared" si="68"/>
        <v>company.com</v>
      </c>
      <c r="Q479">
        <f t="shared" si="69"/>
        <v>2015</v>
      </c>
      <c r="R479">
        <f t="shared" ca="1" si="70"/>
        <v>11</v>
      </c>
      <c r="S479" t="str">
        <f t="shared" si="71"/>
        <v>True</v>
      </c>
    </row>
    <row r="480" spans="1:19" x14ac:dyDescent="0.4">
      <c r="A480" s="2" t="s">
        <v>818</v>
      </c>
      <c r="B480" s="2" t="s">
        <v>561</v>
      </c>
      <c r="C480" s="2" t="s">
        <v>10</v>
      </c>
      <c r="D480" s="2" t="s">
        <v>25</v>
      </c>
      <c r="E480" s="3">
        <v>42220</v>
      </c>
      <c r="F480" s="2" t="s">
        <v>562</v>
      </c>
      <c r="G480" s="2" t="s">
        <v>819</v>
      </c>
      <c r="H480" s="2" t="s">
        <v>28</v>
      </c>
      <c r="I480" s="6" t="s">
        <v>2347</v>
      </c>
      <c r="J480" s="6" t="s">
        <v>2358</v>
      </c>
      <c r="K480" t="str">
        <f t="shared" si="63"/>
        <v>ARJUN DAS</v>
      </c>
      <c r="L480" t="str">
        <f t="shared" si="64"/>
        <v>It</v>
      </c>
      <c r="M480">
        <f t="shared" si="65"/>
        <v>9</v>
      </c>
      <c r="N480" t="str">
        <f t="shared" si="66"/>
        <v>Arjun Das-IT</v>
      </c>
      <c r="O480" t="str">
        <f t="shared" si="67"/>
        <v>company.com</v>
      </c>
      <c r="P480" t="str">
        <f t="shared" si="68"/>
        <v>company.com</v>
      </c>
      <c r="Q480">
        <f t="shared" si="69"/>
        <v>2015</v>
      </c>
      <c r="R480">
        <f t="shared" ca="1" si="70"/>
        <v>11</v>
      </c>
      <c r="S480" t="str">
        <f t="shared" si="71"/>
        <v>True</v>
      </c>
    </row>
    <row r="481" spans="1:19" x14ac:dyDescent="0.4">
      <c r="A481" s="2" t="s">
        <v>830</v>
      </c>
      <c r="B481" s="2" t="s">
        <v>831</v>
      </c>
      <c r="C481" s="2" t="s">
        <v>24</v>
      </c>
      <c r="D481" s="2" t="s">
        <v>25</v>
      </c>
      <c r="E481" s="3">
        <v>42151</v>
      </c>
      <c r="F481" s="2" t="s">
        <v>832</v>
      </c>
      <c r="G481" s="2" t="s">
        <v>833</v>
      </c>
      <c r="H481" s="2" t="s">
        <v>14</v>
      </c>
      <c r="I481" s="6" t="s">
        <v>2343</v>
      </c>
      <c r="J481" s="6" t="s">
        <v>2360</v>
      </c>
      <c r="K481" t="str">
        <f t="shared" si="63"/>
        <v>DIYA SHARMA</v>
      </c>
      <c r="L481" t="str">
        <f t="shared" si="64"/>
        <v>Marketing</v>
      </c>
      <c r="M481">
        <f t="shared" si="65"/>
        <v>11</v>
      </c>
      <c r="N481" t="str">
        <f t="shared" si="66"/>
        <v>Diya Sharma-Marketing</v>
      </c>
      <c r="O481" t="str">
        <f t="shared" si="67"/>
        <v>company.com</v>
      </c>
      <c r="P481" t="str">
        <f t="shared" si="68"/>
        <v>company.com</v>
      </c>
      <c r="Q481">
        <f t="shared" si="69"/>
        <v>2015</v>
      </c>
      <c r="R481">
        <f t="shared" ca="1" si="70"/>
        <v>11</v>
      </c>
      <c r="S481" t="str">
        <f t="shared" si="71"/>
        <v>True</v>
      </c>
    </row>
    <row r="482" spans="1:19" x14ac:dyDescent="0.4">
      <c r="A482" s="2" t="s">
        <v>834</v>
      </c>
      <c r="B482" s="2" t="s">
        <v>91</v>
      </c>
      <c r="C482" s="2" t="s">
        <v>17</v>
      </c>
      <c r="D482" s="2" t="s">
        <v>49</v>
      </c>
      <c r="E482" s="3">
        <v>42077</v>
      </c>
      <c r="F482" s="2" t="s">
        <v>92</v>
      </c>
      <c r="G482" s="2" t="s">
        <v>835</v>
      </c>
      <c r="H482" s="2" t="s">
        <v>28</v>
      </c>
      <c r="I482" s="6" t="s">
        <v>2345</v>
      </c>
      <c r="J482" s="6" t="s">
        <v>2362</v>
      </c>
      <c r="K482" t="str">
        <f t="shared" si="63"/>
        <v>ISHA MEHTA</v>
      </c>
      <c r="L482" t="str">
        <f t="shared" si="64"/>
        <v>Sales</v>
      </c>
      <c r="M482">
        <f t="shared" si="65"/>
        <v>10</v>
      </c>
      <c r="N482" t="str">
        <f t="shared" si="66"/>
        <v>Isha Mehta-Sales</v>
      </c>
      <c r="O482" t="str">
        <f t="shared" si="67"/>
        <v>company.com</v>
      </c>
      <c r="P482" t="str">
        <f t="shared" si="68"/>
        <v>company.com</v>
      </c>
      <c r="Q482">
        <f t="shared" si="69"/>
        <v>2015</v>
      </c>
      <c r="R482">
        <f t="shared" ca="1" si="70"/>
        <v>11</v>
      </c>
      <c r="S482" t="str">
        <f t="shared" si="71"/>
        <v>True</v>
      </c>
    </row>
    <row r="483" spans="1:19" x14ac:dyDescent="0.4">
      <c r="A483" s="2" t="s">
        <v>836</v>
      </c>
      <c r="B483" s="2" t="s">
        <v>125</v>
      </c>
      <c r="C483" s="2" t="s">
        <v>17</v>
      </c>
      <c r="D483" s="2" t="s">
        <v>11</v>
      </c>
      <c r="E483" s="3">
        <v>42157</v>
      </c>
      <c r="F483" s="2" t="s">
        <v>126</v>
      </c>
      <c r="G483" s="2" t="s">
        <v>837</v>
      </c>
      <c r="H483" s="2" t="s">
        <v>64</v>
      </c>
      <c r="I483" s="6" t="s">
        <v>2346</v>
      </c>
      <c r="J483" s="6" t="s">
        <v>2360</v>
      </c>
      <c r="K483" t="str">
        <f t="shared" si="63"/>
        <v>RIYA SHARMA</v>
      </c>
      <c r="L483" t="str">
        <f t="shared" si="64"/>
        <v>Sales</v>
      </c>
      <c r="M483">
        <f t="shared" si="65"/>
        <v>11</v>
      </c>
      <c r="N483" t="str">
        <f t="shared" si="66"/>
        <v>Riya Sharma-Sales</v>
      </c>
      <c r="O483" t="str">
        <f t="shared" si="67"/>
        <v>company.com</v>
      </c>
      <c r="P483" t="str">
        <f t="shared" si="68"/>
        <v>company.com</v>
      </c>
      <c r="Q483">
        <f t="shared" si="69"/>
        <v>2015</v>
      </c>
      <c r="R483">
        <f t="shared" ca="1" si="70"/>
        <v>11</v>
      </c>
      <c r="S483" t="str">
        <f t="shared" si="71"/>
        <v>True</v>
      </c>
    </row>
    <row r="484" spans="1:19" x14ac:dyDescent="0.4">
      <c r="A484" s="2" t="s">
        <v>856</v>
      </c>
      <c r="B484" s="2" t="s">
        <v>449</v>
      </c>
      <c r="C484" s="2" t="s">
        <v>53</v>
      </c>
      <c r="D484" s="2" t="s">
        <v>49</v>
      </c>
      <c r="E484" s="3">
        <v>42250</v>
      </c>
      <c r="F484" s="2" t="s">
        <v>450</v>
      </c>
      <c r="G484" s="2" t="s">
        <v>857</v>
      </c>
      <c r="H484" s="2" t="s">
        <v>64</v>
      </c>
      <c r="I484" s="6" t="s">
        <v>2347</v>
      </c>
      <c r="J484" s="6" t="s">
        <v>2354</v>
      </c>
      <c r="K484" t="str">
        <f t="shared" si="63"/>
        <v>ARJUN SINGH</v>
      </c>
      <c r="L484" t="str">
        <f t="shared" si="64"/>
        <v>Hr</v>
      </c>
      <c r="M484">
        <f t="shared" si="65"/>
        <v>11</v>
      </c>
      <c r="N484" t="str">
        <f t="shared" si="66"/>
        <v>Arjun Singh-HR</v>
      </c>
      <c r="O484" t="str">
        <f t="shared" si="67"/>
        <v>company.com</v>
      </c>
      <c r="P484" t="str">
        <f t="shared" si="68"/>
        <v>company.com</v>
      </c>
      <c r="Q484">
        <f t="shared" si="69"/>
        <v>2015</v>
      </c>
      <c r="R484">
        <f t="shared" ca="1" si="70"/>
        <v>11</v>
      </c>
      <c r="S484" t="str">
        <f t="shared" si="71"/>
        <v>True</v>
      </c>
    </row>
    <row r="485" spans="1:19" x14ac:dyDescent="0.4">
      <c r="A485" s="2" t="s">
        <v>868</v>
      </c>
      <c r="B485" s="2" t="s">
        <v>457</v>
      </c>
      <c r="C485" s="2" t="s">
        <v>10</v>
      </c>
      <c r="D485" s="2" t="s">
        <v>18</v>
      </c>
      <c r="E485" s="3">
        <v>42267</v>
      </c>
      <c r="F485" s="2" t="s">
        <v>458</v>
      </c>
      <c r="G485" s="2" t="s">
        <v>869</v>
      </c>
      <c r="H485" s="2" t="s">
        <v>21</v>
      </c>
      <c r="I485" s="6" t="s">
        <v>2344</v>
      </c>
      <c r="J485" s="6" t="s">
        <v>2362</v>
      </c>
      <c r="K485" t="str">
        <f t="shared" si="63"/>
        <v>KABIR MEHTA</v>
      </c>
      <c r="L485" t="str">
        <f t="shared" si="64"/>
        <v>It</v>
      </c>
      <c r="M485">
        <f t="shared" si="65"/>
        <v>11</v>
      </c>
      <c r="N485" t="str">
        <f t="shared" si="66"/>
        <v>Kabir Mehta-IT</v>
      </c>
      <c r="O485" t="str">
        <f t="shared" si="67"/>
        <v>company.com</v>
      </c>
      <c r="P485" t="str">
        <f t="shared" si="68"/>
        <v>company.com</v>
      </c>
      <c r="Q485">
        <f t="shared" si="69"/>
        <v>2015</v>
      </c>
      <c r="R485">
        <f t="shared" ca="1" si="70"/>
        <v>11</v>
      </c>
      <c r="S485" t="str">
        <f t="shared" si="71"/>
        <v>True</v>
      </c>
    </row>
    <row r="486" spans="1:19" x14ac:dyDescent="0.4">
      <c r="A486" s="2" t="s">
        <v>884</v>
      </c>
      <c r="B486" s="2" t="s">
        <v>885</v>
      </c>
      <c r="C486" s="2" t="s">
        <v>31</v>
      </c>
      <c r="D486" s="2" t="s">
        <v>18</v>
      </c>
      <c r="E486" s="3">
        <v>42285</v>
      </c>
      <c r="F486" s="2" t="s">
        <v>886</v>
      </c>
      <c r="G486" s="2" t="s">
        <v>887</v>
      </c>
      <c r="H486" s="2" t="s">
        <v>21</v>
      </c>
      <c r="I486" s="6" t="s">
        <v>2350</v>
      </c>
      <c r="J486" s="6" t="s">
        <v>2353</v>
      </c>
      <c r="K486" t="str">
        <f t="shared" si="63"/>
        <v>VIVAAN GUPTA</v>
      </c>
      <c r="L486" t="str">
        <f t="shared" si="64"/>
        <v>Finance</v>
      </c>
      <c r="M486">
        <f t="shared" si="65"/>
        <v>12</v>
      </c>
      <c r="N486" t="str">
        <f t="shared" si="66"/>
        <v>Vivaan Gupta-Finance</v>
      </c>
      <c r="O486" t="str">
        <f t="shared" si="67"/>
        <v>company.com</v>
      </c>
      <c r="P486" t="str">
        <f t="shared" si="68"/>
        <v>company.com</v>
      </c>
      <c r="Q486">
        <f t="shared" si="69"/>
        <v>2015</v>
      </c>
      <c r="R486">
        <f t="shared" ca="1" si="70"/>
        <v>11</v>
      </c>
      <c r="S486" t="str">
        <f t="shared" si="71"/>
        <v>True</v>
      </c>
    </row>
    <row r="487" spans="1:19" x14ac:dyDescent="0.4">
      <c r="A487" s="2" t="s">
        <v>944</v>
      </c>
      <c r="B487" s="2" t="s">
        <v>137</v>
      </c>
      <c r="C487" s="2" t="s">
        <v>24</v>
      </c>
      <c r="D487" s="2" t="s">
        <v>18</v>
      </c>
      <c r="E487" s="3">
        <v>42307</v>
      </c>
      <c r="F487" s="2" t="s">
        <v>138</v>
      </c>
      <c r="G487" s="2" t="s">
        <v>945</v>
      </c>
      <c r="H487" s="2" t="s">
        <v>28</v>
      </c>
      <c r="I487" s="6" t="s">
        <v>2351</v>
      </c>
      <c r="J487" s="6" t="s">
        <v>2354</v>
      </c>
      <c r="K487" t="str">
        <f t="shared" si="63"/>
        <v>ADITYA SINGH</v>
      </c>
      <c r="L487" t="str">
        <f t="shared" si="64"/>
        <v>Marketing</v>
      </c>
      <c r="M487">
        <f t="shared" si="65"/>
        <v>12</v>
      </c>
      <c r="N487" t="str">
        <f t="shared" si="66"/>
        <v>Aditya Singh-Marketing</v>
      </c>
      <c r="O487" t="str">
        <f t="shared" si="67"/>
        <v>company.com</v>
      </c>
      <c r="P487" t="str">
        <f t="shared" si="68"/>
        <v>company.com</v>
      </c>
      <c r="Q487">
        <f t="shared" si="69"/>
        <v>2015</v>
      </c>
      <c r="R487">
        <f t="shared" ca="1" si="70"/>
        <v>10</v>
      </c>
      <c r="S487" t="str">
        <f t="shared" si="71"/>
        <v>True</v>
      </c>
    </row>
    <row r="488" spans="1:19" x14ac:dyDescent="0.4">
      <c r="A488" s="2" t="s">
        <v>956</v>
      </c>
      <c r="B488" s="2" t="s">
        <v>263</v>
      </c>
      <c r="C488" s="2" t="s">
        <v>53</v>
      </c>
      <c r="D488" s="2" t="s">
        <v>44</v>
      </c>
      <c r="E488" s="3">
        <v>42274</v>
      </c>
      <c r="F488" s="2" t="s">
        <v>264</v>
      </c>
      <c r="G488" s="2" t="s">
        <v>957</v>
      </c>
      <c r="H488" s="2" t="s">
        <v>14</v>
      </c>
      <c r="I488" s="6" t="s">
        <v>2345</v>
      </c>
      <c r="J488" s="6" t="s">
        <v>2353</v>
      </c>
      <c r="K488" t="str">
        <f t="shared" si="63"/>
        <v>ISHA GUPTA</v>
      </c>
      <c r="L488" t="str">
        <f t="shared" si="64"/>
        <v>Hr</v>
      </c>
      <c r="M488">
        <f t="shared" si="65"/>
        <v>10</v>
      </c>
      <c r="N488" t="str">
        <f t="shared" si="66"/>
        <v>Isha Gupta-HR</v>
      </c>
      <c r="O488" t="str">
        <f t="shared" si="67"/>
        <v>company.com</v>
      </c>
      <c r="P488" t="str">
        <f t="shared" si="68"/>
        <v>company.com</v>
      </c>
      <c r="Q488">
        <f t="shared" si="69"/>
        <v>2015</v>
      </c>
      <c r="R488">
        <f t="shared" ca="1" si="70"/>
        <v>11</v>
      </c>
      <c r="S488" t="str">
        <f t="shared" si="71"/>
        <v>True</v>
      </c>
    </row>
    <row r="489" spans="1:19" x14ac:dyDescent="0.4">
      <c r="A489" s="2" t="s">
        <v>972</v>
      </c>
      <c r="B489" s="2" t="s">
        <v>443</v>
      </c>
      <c r="C489" s="2" t="s">
        <v>31</v>
      </c>
      <c r="D489" s="2" t="s">
        <v>49</v>
      </c>
      <c r="E489" s="3">
        <v>42074</v>
      </c>
      <c r="F489" s="2" t="s">
        <v>444</v>
      </c>
      <c r="G489" s="2" t="s">
        <v>973</v>
      </c>
      <c r="H489" s="2" t="s">
        <v>28</v>
      </c>
      <c r="I489" s="6" t="s">
        <v>2343</v>
      </c>
      <c r="J489" s="6" t="s">
        <v>2357</v>
      </c>
      <c r="K489" t="str">
        <f t="shared" si="63"/>
        <v>DIYA JOSHI</v>
      </c>
      <c r="L489" t="str">
        <f t="shared" si="64"/>
        <v>Finance</v>
      </c>
      <c r="M489">
        <f t="shared" si="65"/>
        <v>10</v>
      </c>
      <c r="N489" t="str">
        <f t="shared" si="66"/>
        <v>Diya Joshi-Finance</v>
      </c>
      <c r="O489" t="str">
        <f t="shared" si="67"/>
        <v>company.com</v>
      </c>
      <c r="P489" t="str">
        <f t="shared" si="68"/>
        <v>company.com</v>
      </c>
      <c r="Q489">
        <f t="shared" si="69"/>
        <v>2015</v>
      </c>
      <c r="R489">
        <f t="shared" ca="1" si="70"/>
        <v>11</v>
      </c>
      <c r="S489" t="str">
        <f t="shared" si="71"/>
        <v>True</v>
      </c>
    </row>
    <row r="490" spans="1:19" x14ac:dyDescent="0.4">
      <c r="A490" s="2" t="s">
        <v>976</v>
      </c>
      <c r="B490" s="2" t="s">
        <v>181</v>
      </c>
      <c r="C490" s="2" t="s">
        <v>17</v>
      </c>
      <c r="D490" s="2" t="s">
        <v>49</v>
      </c>
      <c r="E490" s="3">
        <v>42082</v>
      </c>
      <c r="F490" s="2" t="s">
        <v>182</v>
      </c>
      <c r="G490" s="2" t="s">
        <v>977</v>
      </c>
      <c r="H490" s="2" t="s">
        <v>64</v>
      </c>
      <c r="I490" s="6" t="s">
        <v>2352</v>
      </c>
      <c r="J490" s="6" t="s">
        <v>2356</v>
      </c>
      <c r="K490" t="str">
        <f t="shared" si="63"/>
        <v>MEERA PATEL</v>
      </c>
      <c r="L490" t="str">
        <f t="shared" si="64"/>
        <v>Sales</v>
      </c>
      <c r="M490">
        <f t="shared" si="65"/>
        <v>11</v>
      </c>
      <c r="N490" t="str">
        <f t="shared" si="66"/>
        <v>Meera Patel-Sales</v>
      </c>
      <c r="O490" t="str">
        <f t="shared" si="67"/>
        <v>company.com</v>
      </c>
      <c r="P490" t="str">
        <f t="shared" si="68"/>
        <v>company.com</v>
      </c>
      <c r="Q490">
        <f t="shared" si="69"/>
        <v>2015</v>
      </c>
      <c r="R490">
        <f t="shared" ca="1" si="70"/>
        <v>11</v>
      </c>
      <c r="S490" t="str">
        <f t="shared" si="71"/>
        <v>True</v>
      </c>
    </row>
    <row r="491" spans="1:19" x14ac:dyDescent="0.4">
      <c r="A491" s="2" t="s">
        <v>984</v>
      </c>
      <c r="B491" s="2" t="s">
        <v>267</v>
      </c>
      <c r="C491" s="2" t="s">
        <v>24</v>
      </c>
      <c r="D491" s="2" t="s">
        <v>49</v>
      </c>
      <c r="E491" s="3">
        <v>42322</v>
      </c>
      <c r="F491" s="2" t="s">
        <v>268</v>
      </c>
      <c r="G491" s="2" t="s">
        <v>985</v>
      </c>
      <c r="H491" s="2" t="s">
        <v>28</v>
      </c>
      <c r="I491" s="6" t="s">
        <v>2343</v>
      </c>
      <c r="J491" s="6" t="s">
        <v>2362</v>
      </c>
      <c r="K491" t="str">
        <f t="shared" si="63"/>
        <v>DIYA MEHTA</v>
      </c>
      <c r="L491" t="str">
        <f t="shared" si="64"/>
        <v>Marketing</v>
      </c>
      <c r="M491">
        <f t="shared" si="65"/>
        <v>10</v>
      </c>
      <c r="N491" t="str">
        <f t="shared" si="66"/>
        <v>Diya Mehta-Marketing</v>
      </c>
      <c r="O491" t="str">
        <f t="shared" si="67"/>
        <v>company.com</v>
      </c>
      <c r="P491" t="str">
        <f t="shared" si="68"/>
        <v>company.com</v>
      </c>
      <c r="Q491">
        <f t="shared" si="69"/>
        <v>2015</v>
      </c>
      <c r="R491">
        <f t="shared" ca="1" si="70"/>
        <v>10</v>
      </c>
      <c r="S491" t="str">
        <f t="shared" si="71"/>
        <v>True</v>
      </c>
    </row>
    <row r="492" spans="1:19" x14ac:dyDescent="0.4">
      <c r="A492" s="2" t="s">
        <v>994</v>
      </c>
      <c r="B492" s="2" t="s">
        <v>303</v>
      </c>
      <c r="C492" s="2" t="s">
        <v>24</v>
      </c>
      <c r="D492" s="2" t="s">
        <v>18</v>
      </c>
      <c r="E492" s="3">
        <v>42308</v>
      </c>
      <c r="F492" s="2" t="s">
        <v>304</v>
      </c>
      <c r="G492" s="2" t="s">
        <v>995</v>
      </c>
      <c r="H492" s="2" t="s">
        <v>21</v>
      </c>
      <c r="I492" s="6" t="s">
        <v>2345</v>
      </c>
      <c r="J492" s="6" t="s">
        <v>2356</v>
      </c>
      <c r="K492" t="str">
        <f t="shared" si="63"/>
        <v>ISHA PATEL</v>
      </c>
      <c r="L492" t="str">
        <f t="shared" si="64"/>
        <v>Marketing</v>
      </c>
      <c r="M492">
        <f t="shared" si="65"/>
        <v>10</v>
      </c>
      <c r="N492" t="str">
        <f t="shared" si="66"/>
        <v>Isha Patel-Marketing</v>
      </c>
      <c r="O492" t="str">
        <f t="shared" si="67"/>
        <v>company.com</v>
      </c>
      <c r="P492" t="str">
        <f t="shared" si="68"/>
        <v>company.com</v>
      </c>
      <c r="Q492">
        <f t="shared" si="69"/>
        <v>2015</v>
      </c>
      <c r="R492">
        <f t="shared" ca="1" si="70"/>
        <v>10</v>
      </c>
      <c r="S492" t="str">
        <f t="shared" si="71"/>
        <v>True</v>
      </c>
    </row>
    <row r="493" spans="1:19" x14ac:dyDescent="0.4">
      <c r="A493" s="2" t="s">
        <v>1008</v>
      </c>
      <c r="B493" s="2" t="s">
        <v>321</v>
      </c>
      <c r="C493" s="2" t="s">
        <v>87</v>
      </c>
      <c r="D493" s="2" t="s">
        <v>11</v>
      </c>
      <c r="E493" s="3">
        <v>42149</v>
      </c>
      <c r="F493" s="2" t="s">
        <v>322</v>
      </c>
      <c r="G493" s="2" t="s">
        <v>1009</v>
      </c>
      <c r="H493" s="2" t="s">
        <v>14</v>
      </c>
      <c r="I493" s="6" t="s">
        <v>2344</v>
      </c>
      <c r="J493" s="6" t="s">
        <v>2355</v>
      </c>
      <c r="K493" t="str">
        <f t="shared" si="63"/>
        <v>KABIR NAIR</v>
      </c>
      <c r="L493" t="str">
        <f t="shared" si="64"/>
        <v>Operations</v>
      </c>
      <c r="M493">
        <f t="shared" si="65"/>
        <v>10</v>
      </c>
      <c r="N493" t="str">
        <f t="shared" si="66"/>
        <v>Kabir Nair-Operations</v>
      </c>
      <c r="O493" t="str">
        <f t="shared" si="67"/>
        <v>company.com</v>
      </c>
      <c r="P493" t="str">
        <f t="shared" si="68"/>
        <v>company.com</v>
      </c>
      <c r="Q493">
        <f t="shared" si="69"/>
        <v>2015</v>
      </c>
      <c r="R493">
        <f t="shared" ca="1" si="70"/>
        <v>11</v>
      </c>
      <c r="S493" t="str">
        <f t="shared" si="71"/>
        <v>True</v>
      </c>
    </row>
    <row r="494" spans="1:19" x14ac:dyDescent="0.4">
      <c r="A494" s="2" t="s">
        <v>1034</v>
      </c>
      <c r="B494" s="2" t="s">
        <v>161</v>
      </c>
      <c r="C494" s="2" t="s">
        <v>53</v>
      </c>
      <c r="D494" s="2" t="s">
        <v>11</v>
      </c>
      <c r="E494" s="3">
        <v>42046</v>
      </c>
      <c r="F494" s="2" t="s">
        <v>162</v>
      </c>
      <c r="G494" s="2" t="s">
        <v>1035</v>
      </c>
      <c r="H494" s="2" t="s">
        <v>28</v>
      </c>
      <c r="I494" s="6" t="s">
        <v>2346</v>
      </c>
      <c r="J494" s="6" t="s">
        <v>2356</v>
      </c>
      <c r="K494" t="str">
        <f t="shared" si="63"/>
        <v>RIYA PATEL</v>
      </c>
      <c r="L494" t="str">
        <f t="shared" si="64"/>
        <v>Hr</v>
      </c>
      <c r="M494">
        <f t="shared" si="65"/>
        <v>10</v>
      </c>
      <c r="N494" t="str">
        <f t="shared" si="66"/>
        <v>Riya Patel-HR</v>
      </c>
      <c r="O494" t="str">
        <f t="shared" si="67"/>
        <v>company.com</v>
      </c>
      <c r="P494" t="str">
        <f t="shared" si="68"/>
        <v>company.com</v>
      </c>
      <c r="Q494">
        <f t="shared" si="69"/>
        <v>2015</v>
      </c>
      <c r="R494">
        <f t="shared" ca="1" si="70"/>
        <v>11</v>
      </c>
      <c r="S494" t="str">
        <f t="shared" si="71"/>
        <v>True</v>
      </c>
    </row>
    <row r="495" spans="1:19" x14ac:dyDescent="0.4">
      <c r="A495" s="2" t="s">
        <v>1044</v>
      </c>
      <c r="B495" s="2" t="s">
        <v>1045</v>
      </c>
      <c r="C495" s="2" t="s">
        <v>87</v>
      </c>
      <c r="D495" s="2" t="s">
        <v>11</v>
      </c>
      <c r="E495" s="3">
        <v>42299</v>
      </c>
      <c r="F495" s="2" t="s">
        <v>1046</v>
      </c>
      <c r="G495" s="2" t="s">
        <v>1047</v>
      </c>
      <c r="H495" s="2" t="s">
        <v>28</v>
      </c>
      <c r="I495" s="6" t="s">
        <v>2350</v>
      </c>
      <c r="J495" s="6" t="s">
        <v>2359</v>
      </c>
      <c r="K495" t="str">
        <f t="shared" si="63"/>
        <v>VIVAAN REDDY</v>
      </c>
      <c r="L495" t="str">
        <f t="shared" si="64"/>
        <v>Operations</v>
      </c>
      <c r="M495">
        <f t="shared" si="65"/>
        <v>12</v>
      </c>
      <c r="N495" t="str">
        <f t="shared" si="66"/>
        <v>Vivaan Reddy-Operations</v>
      </c>
      <c r="O495" t="str">
        <f t="shared" si="67"/>
        <v>company.com</v>
      </c>
      <c r="P495" t="str">
        <f t="shared" si="68"/>
        <v>company.com</v>
      </c>
      <c r="Q495">
        <f t="shared" si="69"/>
        <v>2015</v>
      </c>
      <c r="R495">
        <f t="shared" ca="1" si="70"/>
        <v>11</v>
      </c>
      <c r="S495" t="str">
        <f t="shared" si="71"/>
        <v>True</v>
      </c>
    </row>
    <row r="496" spans="1:19" x14ac:dyDescent="0.4">
      <c r="A496" s="2" t="s">
        <v>1058</v>
      </c>
      <c r="B496" s="2" t="s">
        <v>295</v>
      </c>
      <c r="C496" s="2" t="s">
        <v>31</v>
      </c>
      <c r="D496" s="2" t="s">
        <v>18</v>
      </c>
      <c r="E496" s="3">
        <v>42240</v>
      </c>
      <c r="F496" s="2" t="s">
        <v>296</v>
      </c>
      <c r="G496" s="2" t="s">
        <v>1059</v>
      </c>
      <c r="H496" s="2" t="s">
        <v>28</v>
      </c>
      <c r="I496" s="6" t="s">
        <v>2349</v>
      </c>
      <c r="J496" s="6" t="s">
        <v>2360</v>
      </c>
      <c r="K496" t="str">
        <f t="shared" si="63"/>
        <v>AARAV SHARMA</v>
      </c>
      <c r="L496" t="str">
        <f t="shared" si="64"/>
        <v>Finance</v>
      </c>
      <c r="M496">
        <f t="shared" si="65"/>
        <v>12</v>
      </c>
      <c r="N496" t="str">
        <f t="shared" si="66"/>
        <v>Aarav Sharma-Finance</v>
      </c>
      <c r="O496" t="str">
        <f t="shared" si="67"/>
        <v>company.com</v>
      </c>
      <c r="P496" t="str">
        <f t="shared" si="68"/>
        <v>company.com</v>
      </c>
      <c r="Q496">
        <f t="shared" si="69"/>
        <v>2015</v>
      </c>
      <c r="R496">
        <f t="shared" ca="1" si="70"/>
        <v>11</v>
      </c>
      <c r="S496" t="str">
        <f t="shared" si="71"/>
        <v>True</v>
      </c>
    </row>
    <row r="497" spans="1:19" x14ac:dyDescent="0.4">
      <c r="A497" s="2" t="s">
        <v>1102</v>
      </c>
      <c r="B497" s="2" t="s">
        <v>629</v>
      </c>
      <c r="C497" s="2" t="s">
        <v>31</v>
      </c>
      <c r="D497" s="2" t="s">
        <v>44</v>
      </c>
      <c r="E497" s="3">
        <v>42110</v>
      </c>
      <c r="F497" s="2" t="s">
        <v>630</v>
      </c>
      <c r="G497" s="2" t="s">
        <v>1103</v>
      </c>
      <c r="H497" s="2" t="s">
        <v>28</v>
      </c>
      <c r="I497" s="6" t="s">
        <v>2351</v>
      </c>
      <c r="J497" s="6" t="s">
        <v>2357</v>
      </c>
      <c r="K497" t="str">
        <f t="shared" si="63"/>
        <v>ADITYA JOSHI</v>
      </c>
      <c r="L497" t="str">
        <f t="shared" si="64"/>
        <v>Finance</v>
      </c>
      <c r="M497">
        <f t="shared" si="65"/>
        <v>12</v>
      </c>
      <c r="N497" t="str">
        <f t="shared" si="66"/>
        <v>Aditya Joshi-Finance</v>
      </c>
      <c r="O497" t="str">
        <f t="shared" si="67"/>
        <v>company.com</v>
      </c>
      <c r="P497" t="str">
        <f t="shared" si="68"/>
        <v>company.com</v>
      </c>
      <c r="Q497">
        <f t="shared" si="69"/>
        <v>2015</v>
      </c>
      <c r="R497">
        <f t="shared" ca="1" si="70"/>
        <v>11</v>
      </c>
      <c r="S497" t="str">
        <f t="shared" si="71"/>
        <v>True</v>
      </c>
    </row>
    <row r="498" spans="1:19" x14ac:dyDescent="0.4">
      <c r="A498" s="2" t="s">
        <v>1128</v>
      </c>
      <c r="B498" s="2" t="s">
        <v>603</v>
      </c>
      <c r="C498" s="2" t="s">
        <v>53</v>
      </c>
      <c r="D498" s="2" t="s">
        <v>25</v>
      </c>
      <c r="E498" s="3">
        <v>42217</v>
      </c>
      <c r="F498" s="2" t="s">
        <v>604</v>
      </c>
      <c r="G498" s="2" t="s">
        <v>1129</v>
      </c>
      <c r="H498" s="2" t="s">
        <v>21</v>
      </c>
      <c r="I498" s="6" t="s">
        <v>2346</v>
      </c>
      <c r="J498" s="6" t="s">
        <v>2361</v>
      </c>
      <c r="K498" t="str">
        <f t="shared" si="63"/>
        <v>RIYA KHAN</v>
      </c>
      <c r="L498" t="str">
        <f t="shared" si="64"/>
        <v>Hr</v>
      </c>
      <c r="M498">
        <f t="shared" si="65"/>
        <v>9</v>
      </c>
      <c r="N498" t="str">
        <f t="shared" si="66"/>
        <v>Riya Khan-HR</v>
      </c>
      <c r="O498" t="str">
        <f t="shared" si="67"/>
        <v>company.com</v>
      </c>
      <c r="P498" t="str">
        <f t="shared" si="68"/>
        <v>company.com</v>
      </c>
      <c r="Q498">
        <f t="shared" si="69"/>
        <v>2015</v>
      </c>
      <c r="R498">
        <f t="shared" ca="1" si="70"/>
        <v>11</v>
      </c>
      <c r="S498" t="str">
        <f t="shared" si="71"/>
        <v>True</v>
      </c>
    </row>
    <row r="499" spans="1:19" x14ac:dyDescent="0.4">
      <c r="A499" s="2" t="s">
        <v>1150</v>
      </c>
      <c r="B499" s="2" t="s">
        <v>263</v>
      </c>
      <c r="C499" s="2" t="s">
        <v>17</v>
      </c>
      <c r="D499" s="2" t="s">
        <v>18</v>
      </c>
      <c r="E499" s="3">
        <v>42351</v>
      </c>
      <c r="F499" s="2" t="s">
        <v>264</v>
      </c>
      <c r="G499" s="2" t="s">
        <v>1151</v>
      </c>
      <c r="H499" s="2" t="s">
        <v>55</v>
      </c>
      <c r="I499" s="6" t="s">
        <v>2345</v>
      </c>
      <c r="J499" s="6" t="s">
        <v>2353</v>
      </c>
      <c r="K499" t="str">
        <f t="shared" si="63"/>
        <v>ISHA GUPTA</v>
      </c>
      <c r="L499" t="str">
        <f t="shared" si="64"/>
        <v>Sales</v>
      </c>
      <c r="M499">
        <f t="shared" si="65"/>
        <v>10</v>
      </c>
      <c r="N499" t="str">
        <f t="shared" si="66"/>
        <v>Isha Gupta-Sales</v>
      </c>
      <c r="O499" t="str">
        <f t="shared" si="67"/>
        <v>company.com</v>
      </c>
      <c r="P499" t="str">
        <f t="shared" si="68"/>
        <v>company.com</v>
      </c>
      <c r="Q499">
        <f t="shared" si="69"/>
        <v>2015</v>
      </c>
      <c r="R499">
        <f t="shared" ca="1" si="70"/>
        <v>10</v>
      </c>
      <c r="S499" t="str">
        <f t="shared" si="71"/>
        <v>True</v>
      </c>
    </row>
    <row r="500" spans="1:19" x14ac:dyDescent="0.4">
      <c r="A500" s="2" t="s">
        <v>1160</v>
      </c>
      <c r="B500" s="2" t="s">
        <v>165</v>
      </c>
      <c r="C500" s="2" t="s">
        <v>31</v>
      </c>
      <c r="D500" s="2" t="s">
        <v>44</v>
      </c>
      <c r="E500" s="3">
        <v>42170</v>
      </c>
      <c r="F500" s="2" t="s">
        <v>166</v>
      </c>
      <c r="G500" s="2" t="s">
        <v>1161</v>
      </c>
      <c r="H500" s="2" t="s">
        <v>64</v>
      </c>
      <c r="I500" s="6" t="s">
        <v>2351</v>
      </c>
      <c r="J500" s="6" t="s">
        <v>2358</v>
      </c>
      <c r="K500" t="str">
        <f t="shared" si="63"/>
        <v>ADITYA DAS</v>
      </c>
      <c r="L500" t="str">
        <f t="shared" si="64"/>
        <v>Finance</v>
      </c>
      <c r="M500">
        <f t="shared" si="65"/>
        <v>10</v>
      </c>
      <c r="N500" t="str">
        <f t="shared" si="66"/>
        <v>Aditya Das-Finance</v>
      </c>
      <c r="O500" t="str">
        <f t="shared" si="67"/>
        <v>company.com</v>
      </c>
      <c r="P500" t="str">
        <f t="shared" si="68"/>
        <v>company.com</v>
      </c>
      <c r="Q500">
        <f t="shared" si="69"/>
        <v>2015</v>
      </c>
      <c r="R500">
        <f t="shared" ca="1" si="70"/>
        <v>11</v>
      </c>
      <c r="S500" t="str">
        <f t="shared" si="71"/>
        <v>True</v>
      </c>
    </row>
    <row r="501" spans="1:19" x14ac:dyDescent="0.4">
      <c r="A501" s="2" t="s">
        <v>1196</v>
      </c>
      <c r="B501" s="2" t="s">
        <v>579</v>
      </c>
      <c r="C501" s="2" t="s">
        <v>17</v>
      </c>
      <c r="D501" s="2" t="s">
        <v>18</v>
      </c>
      <c r="E501" s="3">
        <v>42276</v>
      </c>
      <c r="F501" s="2" t="s">
        <v>580</v>
      </c>
      <c r="G501" s="2" t="s">
        <v>1197</v>
      </c>
      <c r="H501" s="2" t="s">
        <v>14</v>
      </c>
      <c r="I501" s="6" t="s">
        <v>2343</v>
      </c>
      <c r="J501" s="6" t="s">
        <v>2361</v>
      </c>
      <c r="K501" t="str">
        <f t="shared" si="63"/>
        <v>DIYA KHAN</v>
      </c>
      <c r="L501" t="str">
        <f t="shared" si="64"/>
        <v>Sales</v>
      </c>
      <c r="M501">
        <f t="shared" si="65"/>
        <v>9</v>
      </c>
      <c r="N501" t="str">
        <f t="shared" si="66"/>
        <v>Diya Khan-Sales</v>
      </c>
      <c r="O501" t="str">
        <f t="shared" si="67"/>
        <v>company.com</v>
      </c>
      <c r="P501" t="str">
        <f t="shared" si="68"/>
        <v>company.com</v>
      </c>
      <c r="Q501">
        <f t="shared" si="69"/>
        <v>2015</v>
      </c>
      <c r="R501">
        <f t="shared" ca="1" si="70"/>
        <v>11</v>
      </c>
      <c r="S501" t="str">
        <f t="shared" si="71"/>
        <v>True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zoomScale="94" workbookViewId="0">
      <selection activeCell="H2" sqref="H2"/>
    </sheetView>
  </sheetViews>
  <sheetFormatPr defaultRowHeight="14.6" x14ac:dyDescent="0.4"/>
  <cols>
    <col min="1" max="1" width="7.53515625" bestFit="1" customWidth="1"/>
    <col min="2" max="2" width="18.07421875" bestFit="1" customWidth="1"/>
    <col min="3" max="3" width="8.07421875" bestFit="1" customWidth="1"/>
    <col min="4" max="4" width="9.23046875" bestFit="1" customWidth="1"/>
    <col min="5" max="5" width="11.4609375" bestFit="1" customWidth="1"/>
    <col min="10" max="10" width="11.23046875" style="10" bestFit="1" customWidth="1"/>
    <col min="12" max="12" width="12.53515625" bestFit="1" customWidth="1"/>
    <col min="13" max="13" width="18.07421875" bestFit="1" customWidth="1"/>
  </cols>
  <sheetData>
    <row r="1" spans="1:12" x14ac:dyDescent="0.4">
      <c r="A1" s="1" t="s">
        <v>0</v>
      </c>
      <c r="B1" s="1" t="s">
        <v>1224</v>
      </c>
      <c r="C1" s="1" t="s">
        <v>1225</v>
      </c>
      <c r="D1" s="1" t="s">
        <v>1226</v>
      </c>
      <c r="E1" s="1" t="s">
        <v>1227</v>
      </c>
      <c r="F1" s="1" t="s">
        <v>1228</v>
      </c>
      <c r="G1" s="8" t="s">
        <v>2371</v>
      </c>
      <c r="H1" s="8" t="s">
        <v>2372</v>
      </c>
      <c r="I1" s="8" t="s">
        <v>2373</v>
      </c>
      <c r="J1" s="12" t="s">
        <v>2374</v>
      </c>
      <c r="K1" s="8" t="s">
        <v>2375</v>
      </c>
      <c r="L1" s="13"/>
    </row>
    <row r="2" spans="1:12" x14ac:dyDescent="0.4">
      <c r="A2" s="2" t="s">
        <v>15</v>
      </c>
      <c r="B2" s="3">
        <v>45475</v>
      </c>
      <c r="C2" s="2" t="s">
        <v>1248</v>
      </c>
      <c r="D2" s="2" t="s">
        <v>1239</v>
      </c>
      <c r="E2" s="2">
        <v>6</v>
      </c>
      <c r="F2" s="2" t="s">
        <v>1231</v>
      </c>
      <c r="G2">
        <f>SUMIFS($E$2:$E$501,$A$2:$A$501,A2)</f>
        <v>21</v>
      </c>
      <c r="H2" t="str">
        <f>IF(COUNTIFS($A$2:$A$501,A2,$F$2:$F$501,"Yes")&gt;5,"Late","No")</f>
        <v>No</v>
      </c>
      <c r="I2" t="str">
        <f>TEXT(B2,"mmm")</f>
        <v>Jul</v>
      </c>
      <c r="J2" s="11">
        <f>ABS(TIMEVALUE(D2)-TIMEVALUE(C2))</f>
        <v>0.30208333333333337</v>
      </c>
      <c r="K2" t="str">
        <f>IF(OR(TEXT(B2,"ddd")="Sat",TEXT(B2,"ddd")="Sun"),"weekend","weekday")</f>
        <v>weekday</v>
      </c>
    </row>
    <row r="3" spans="1:12" x14ac:dyDescent="0.4">
      <c r="A3" s="2" t="s">
        <v>15</v>
      </c>
      <c r="B3" s="3">
        <v>45408</v>
      </c>
      <c r="C3" s="2" t="s">
        <v>1239</v>
      </c>
      <c r="D3" s="2" t="s">
        <v>1245</v>
      </c>
      <c r="E3" s="2">
        <v>9</v>
      </c>
      <c r="F3" s="2" t="s">
        <v>1231</v>
      </c>
      <c r="G3">
        <f t="shared" ref="G3:G66" si="0">SUMIFS($E$2:$E$501,$A$2:$A$501,A3)</f>
        <v>21</v>
      </c>
      <c r="H3" t="str">
        <f t="shared" ref="H3:H66" si="1">IF(COUNTIFS($A$2:$A$501,A3,$F$2:$F$501,"Yes")&gt;5,"Late","No")</f>
        <v>No</v>
      </c>
      <c r="I3" t="str">
        <f t="shared" ref="I3:I66" si="2">TEXT(B3,"mmm")</f>
        <v>Apr</v>
      </c>
      <c r="J3" s="11">
        <f t="shared" ref="J3:J66" si="3">ABS(TIMEVALUE(D3)-TIMEVALUE(C3))</f>
        <v>1.0416666666666685E-2</v>
      </c>
      <c r="K3" t="str">
        <f t="shared" ref="K3:K66" si="4">IF(OR(TEXT(B3,"ddd")="Sat",TEXT(B3,"ddd")="Sun"),"weekend","weekday")</f>
        <v>weekday</v>
      </c>
    </row>
    <row r="4" spans="1:12" x14ac:dyDescent="0.4">
      <c r="A4" s="2" t="s">
        <v>15</v>
      </c>
      <c r="B4" s="3">
        <v>45465</v>
      </c>
      <c r="C4" s="2" t="s">
        <v>1265</v>
      </c>
      <c r="D4" s="2" t="s">
        <v>1265</v>
      </c>
      <c r="E4" s="2">
        <v>6</v>
      </c>
      <c r="F4" s="2" t="s">
        <v>1234</v>
      </c>
      <c r="G4">
        <f t="shared" si="0"/>
        <v>21</v>
      </c>
      <c r="H4" t="str">
        <f t="shared" si="1"/>
        <v>No</v>
      </c>
      <c r="I4" t="str">
        <f t="shared" si="2"/>
        <v>Jun</v>
      </c>
      <c r="J4" s="11">
        <f t="shared" si="3"/>
        <v>0</v>
      </c>
      <c r="K4" t="str">
        <f t="shared" si="4"/>
        <v>weekend</v>
      </c>
    </row>
    <row r="5" spans="1:12" x14ac:dyDescent="0.4">
      <c r="A5" s="2" t="s">
        <v>22</v>
      </c>
      <c r="B5" s="3">
        <v>45593</v>
      </c>
      <c r="C5" s="2" t="s">
        <v>1236</v>
      </c>
      <c r="D5" s="2" t="s">
        <v>1236</v>
      </c>
      <c r="E5" s="2">
        <v>9</v>
      </c>
      <c r="F5" s="2" t="s">
        <v>1231</v>
      </c>
      <c r="G5">
        <f t="shared" si="0"/>
        <v>9</v>
      </c>
      <c r="H5" t="str">
        <f t="shared" si="1"/>
        <v>No</v>
      </c>
      <c r="I5" t="str">
        <f t="shared" si="2"/>
        <v>Oct</v>
      </c>
      <c r="J5" s="11">
        <f t="shared" si="3"/>
        <v>0</v>
      </c>
      <c r="K5" t="str">
        <f t="shared" si="4"/>
        <v>weekday</v>
      </c>
    </row>
    <row r="6" spans="1:12" x14ac:dyDescent="0.4">
      <c r="A6" s="2" t="s">
        <v>29</v>
      </c>
      <c r="B6" s="3">
        <v>45627</v>
      </c>
      <c r="C6" s="2" t="s">
        <v>1260</v>
      </c>
      <c r="D6" s="2" t="s">
        <v>1242</v>
      </c>
      <c r="E6" s="2">
        <v>8</v>
      </c>
      <c r="F6" s="2" t="s">
        <v>1234</v>
      </c>
      <c r="G6">
        <f t="shared" si="0"/>
        <v>16</v>
      </c>
      <c r="H6" t="str">
        <f t="shared" si="1"/>
        <v>No</v>
      </c>
      <c r="I6" t="str">
        <f t="shared" si="2"/>
        <v>Dec</v>
      </c>
      <c r="J6" s="11">
        <f t="shared" si="3"/>
        <v>0.34374999999999994</v>
      </c>
      <c r="K6" t="str">
        <f t="shared" si="4"/>
        <v>weekend</v>
      </c>
    </row>
    <row r="7" spans="1:12" x14ac:dyDescent="0.4">
      <c r="A7" s="2" t="s">
        <v>29</v>
      </c>
      <c r="B7" s="3">
        <v>45590</v>
      </c>
      <c r="C7" s="2" t="s">
        <v>1274</v>
      </c>
      <c r="D7" s="2" t="s">
        <v>1269</v>
      </c>
      <c r="E7" s="2">
        <v>8</v>
      </c>
      <c r="F7" s="2" t="s">
        <v>1231</v>
      </c>
      <c r="G7">
        <f t="shared" si="0"/>
        <v>16</v>
      </c>
      <c r="H7" t="str">
        <f t="shared" si="1"/>
        <v>No</v>
      </c>
      <c r="I7" t="str">
        <f t="shared" si="2"/>
        <v>Oct</v>
      </c>
      <c r="J7" s="11">
        <f t="shared" si="3"/>
        <v>0.13541666666666663</v>
      </c>
      <c r="K7" t="str">
        <f t="shared" si="4"/>
        <v>weekday</v>
      </c>
    </row>
    <row r="8" spans="1:12" x14ac:dyDescent="0.4">
      <c r="A8" s="2" t="s">
        <v>34</v>
      </c>
      <c r="B8" s="3">
        <v>45313</v>
      </c>
      <c r="C8" s="2" t="s">
        <v>1244</v>
      </c>
      <c r="D8" s="2" t="s">
        <v>1240</v>
      </c>
      <c r="E8" s="2">
        <v>10</v>
      </c>
      <c r="F8" s="2" t="s">
        <v>1234</v>
      </c>
      <c r="G8">
        <f t="shared" si="0"/>
        <v>10</v>
      </c>
      <c r="H8" t="str">
        <f t="shared" si="1"/>
        <v>No</v>
      </c>
      <c r="I8" t="str">
        <f t="shared" si="2"/>
        <v>Jan</v>
      </c>
      <c r="J8" s="11">
        <f t="shared" si="3"/>
        <v>3.125E-2</v>
      </c>
      <c r="K8" t="str">
        <f t="shared" si="4"/>
        <v>weekday</v>
      </c>
    </row>
    <row r="9" spans="1:12" x14ac:dyDescent="0.4">
      <c r="A9" s="2" t="s">
        <v>47</v>
      </c>
      <c r="B9" s="3">
        <v>45569</v>
      </c>
      <c r="C9" s="2" t="s">
        <v>1237</v>
      </c>
      <c r="D9" s="2" t="s">
        <v>1232</v>
      </c>
      <c r="E9" s="2">
        <v>8</v>
      </c>
      <c r="F9" s="2" t="s">
        <v>1234</v>
      </c>
      <c r="G9">
        <f t="shared" si="0"/>
        <v>24</v>
      </c>
      <c r="H9" t="str">
        <f t="shared" si="1"/>
        <v>No</v>
      </c>
      <c r="I9" t="str">
        <f t="shared" si="2"/>
        <v>Oct</v>
      </c>
      <c r="J9" s="11">
        <f t="shared" si="3"/>
        <v>0.1875</v>
      </c>
      <c r="K9" t="str">
        <f t="shared" si="4"/>
        <v>weekday</v>
      </c>
    </row>
    <row r="10" spans="1:12" x14ac:dyDescent="0.4">
      <c r="A10" s="2" t="s">
        <v>47</v>
      </c>
      <c r="B10" s="3">
        <v>45528</v>
      </c>
      <c r="C10" s="2" t="s">
        <v>1268</v>
      </c>
      <c r="D10" s="2" t="s">
        <v>1265</v>
      </c>
      <c r="E10" s="2">
        <v>6</v>
      </c>
      <c r="F10" s="2" t="s">
        <v>1234</v>
      </c>
      <c r="G10">
        <f t="shared" si="0"/>
        <v>24</v>
      </c>
      <c r="H10" t="str">
        <f t="shared" si="1"/>
        <v>No</v>
      </c>
      <c r="I10" t="str">
        <f t="shared" si="2"/>
        <v>Aug</v>
      </c>
      <c r="J10" s="11">
        <f t="shared" si="3"/>
        <v>0.33333333333333331</v>
      </c>
      <c r="K10" t="str">
        <f t="shared" si="4"/>
        <v>weekend</v>
      </c>
    </row>
    <row r="11" spans="1:12" x14ac:dyDescent="0.4">
      <c r="A11" s="2" t="s">
        <v>47</v>
      </c>
      <c r="B11" s="3">
        <v>45558</v>
      </c>
      <c r="C11" s="2" t="s">
        <v>1243</v>
      </c>
      <c r="D11" s="2" t="s">
        <v>1259</v>
      </c>
      <c r="E11" s="2">
        <v>10</v>
      </c>
      <c r="F11" s="2" t="s">
        <v>1234</v>
      </c>
      <c r="G11">
        <f t="shared" si="0"/>
        <v>24</v>
      </c>
      <c r="H11" t="str">
        <f t="shared" si="1"/>
        <v>No</v>
      </c>
      <c r="I11" t="str">
        <f t="shared" si="2"/>
        <v>Sep</v>
      </c>
      <c r="J11" s="11">
        <f t="shared" si="3"/>
        <v>0.33333333333333331</v>
      </c>
      <c r="K11" t="str">
        <f t="shared" si="4"/>
        <v>weekday</v>
      </c>
    </row>
    <row r="12" spans="1:12" x14ac:dyDescent="0.4">
      <c r="A12" s="2" t="s">
        <v>52</v>
      </c>
      <c r="B12" s="3">
        <v>45526</v>
      </c>
      <c r="C12" s="2" t="s">
        <v>1229</v>
      </c>
      <c r="D12" s="2" t="s">
        <v>1272</v>
      </c>
      <c r="E12" s="2">
        <v>8</v>
      </c>
      <c r="F12" s="2" t="s">
        <v>1234</v>
      </c>
      <c r="G12">
        <f t="shared" si="0"/>
        <v>8</v>
      </c>
      <c r="H12" t="str">
        <f t="shared" si="1"/>
        <v>No</v>
      </c>
      <c r="I12" t="str">
        <f t="shared" si="2"/>
        <v>Aug</v>
      </c>
      <c r="J12" s="11">
        <f t="shared" si="3"/>
        <v>0.21875</v>
      </c>
      <c r="K12" t="str">
        <f t="shared" si="4"/>
        <v>weekday</v>
      </c>
    </row>
    <row r="13" spans="1:12" x14ac:dyDescent="0.4">
      <c r="A13" s="2" t="s">
        <v>56</v>
      </c>
      <c r="B13" s="3">
        <v>45577</v>
      </c>
      <c r="C13" s="2" t="s">
        <v>1265</v>
      </c>
      <c r="D13" s="2" t="s">
        <v>1251</v>
      </c>
      <c r="E13" s="2">
        <v>9</v>
      </c>
      <c r="F13" s="2" t="s">
        <v>1231</v>
      </c>
      <c r="G13">
        <f t="shared" si="0"/>
        <v>23</v>
      </c>
      <c r="H13" t="str">
        <f t="shared" si="1"/>
        <v>No</v>
      </c>
      <c r="I13" t="str">
        <f t="shared" si="2"/>
        <v>Oct</v>
      </c>
      <c r="J13" s="11">
        <f t="shared" si="3"/>
        <v>6.25E-2</v>
      </c>
      <c r="K13" t="str">
        <f t="shared" si="4"/>
        <v>weekend</v>
      </c>
    </row>
    <row r="14" spans="1:12" x14ac:dyDescent="0.4">
      <c r="A14" s="2" t="s">
        <v>56</v>
      </c>
      <c r="B14" s="3">
        <v>45409</v>
      </c>
      <c r="C14" s="2" t="s">
        <v>1253</v>
      </c>
      <c r="D14" s="2" t="s">
        <v>1245</v>
      </c>
      <c r="E14" s="2">
        <v>6</v>
      </c>
      <c r="F14" s="2" t="s">
        <v>1234</v>
      </c>
      <c r="G14">
        <f t="shared" si="0"/>
        <v>23</v>
      </c>
      <c r="H14" t="str">
        <f t="shared" si="1"/>
        <v>No</v>
      </c>
      <c r="I14" t="str">
        <f t="shared" si="2"/>
        <v>Apr</v>
      </c>
      <c r="J14" s="11">
        <f t="shared" si="3"/>
        <v>0.10416666666666669</v>
      </c>
      <c r="K14" t="str">
        <f t="shared" si="4"/>
        <v>weekend</v>
      </c>
    </row>
    <row r="15" spans="1:12" x14ac:dyDescent="0.4">
      <c r="A15" s="2" t="s">
        <v>56</v>
      </c>
      <c r="B15" s="3">
        <v>45500</v>
      </c>
      <c r="C15" s="2" t="s">
        <v>1240</v>
      </c>
      <c r="D15" s="2" t="s">
        <v>1257</v>
      </c>
      <c r="E15" s="2">
        <v>8</v>
      </c>
      <c r="F15" s="2" t="s">
        <v>1231</v>
      </c>
      <c r="G15">
        <f t="shared" si="0"/>
        <v>23</v>
      </c>
      <c r="H15" t="str">
        <f t="shared" si="1"/>
        <v>No</v>
      </c>
      <c r="I15" t="str">
        <f t="shared" si="2"/>
        <v>Jul</v>
      </c>
      <c r="J15" s="11">
        <f t="shared" si="3"/>
        <v>6.25E-2</v>
      </c>
      <c r="K15" t="str">
        <f t="shared" si="4"/>
        <v>weekend</v>
      </c>
    </row>
    <row r="16" spans="1:12" x14ac:dyDescent="0.4">
      <c r="A16" s="2" t="s">
        <v>60</v>
      </c>
      <c r="B16" s="3">
        <v>45356</v>
      </c>
      <c r="C16" s="2" t="s">
        <v>1259</v>
      </c>
      <c r="D16" s="2" t="s">
        <v>1235</v>
      </c>
      <c r="E16" s="2">
        <v>6</v>
      </c>
      <c r="F16" s="2" t="s">
        <v>1234</v>
      </c>
      <c r="G16">
        <f t="shared" si="0"/>
        <v>6</v>
      </c>
      <c r="H16" t="str">
        <f t="shared" si="1"/>
        <v>No</v>
      </c>
      <c r="I16" t="str">
        <f t="shared" si="2"/>
        <v>Mar</v>
      </c>
      <c r="J16" s="11">
        <f t="shared" si="3"/>
        <v>0.41666666666666669</v>
      </c>
      <c r="K16" t="str">
        <f t="shared" si="4"/>
        <v>weekday</v>
      </c>
    </row>
    <row r="17" spans="1:11" x14ac:dyDescent="0.4">
      <c r="A17" s="2" t="s">
        <v>65</v>
      </c>
      <c r="B17" s="3">
        <v>45508</v>
      </c>
      <c r="C17" s="2" t="s">
        <v>1268</v>
      </c>
      <c r="D17" s="2" t="s">
        <v>1270</v>
      </c>
      <c r="E17" s="2">
        <v>6</v>
      </c>
      <c r="F17" s="2" t="s">
        <v>1234</v>
      </c>
      <c r="G17">
        <f t="shared" si="0"/>
        <v>6</v>
      </c>
      <c r="H17" t="str">
        <f t="shared" si="1"/>
        <v>No</v>
      </c>
      <c r="I17" t="str">
        <f t="shared" si="2"/>
        <v>Aug</v>
      </c>
      <c r="J17" s="11">
        <f t="shared" si="3"/>
        <v>0.24999999999999994</v>
      </c>
      <c r="K17" t="str">
        <f t="shared" si="4"/>
        <v>weekend</v>
      </c>
    </row>
    <row r="18" spans="1:11" x14ac:dyDescent="0.4">
      <c r="A18" s="2" t="s">
        <v>69</v>
      </c>
      <c r="B18" s="3">
        <v>45587</v>
      </c>
      <c r="C18" s="2" t="s">
        <v>1237</v>
      </c>
      <c r="D18" s="2" t="s">
        <v>1252</v>
      </c>
      <c r="E18" s="2">
        <v>6</v>
      </c>
      <c r="F18" s="2" t="s">
        <v>1231</v>
      </c>
      <c r="G18">
        <f t="shared" si="0"/>
        <v>6</v>
      </c>
      <c r="H18" t="str">
        <f t="shared" si="1"/>
        <v>No</v>
      </c>
      <c r="I18" t="str">
        <f t="shared" si="2"/>
        <v>Oct</v>
      </c>
      <c r="J18" s="11">
        <f t="shared" si="3"/>
        <v>0.27083333333333331</v>
      </c>
      <c r="K18" t="str">
        <f t="shared" si="4"/>
        <v>weekday</v>
      </c>
    </row>
    <row r="19" spans="1:11" x14ac:dyDescent="0.4">
      <c r="A19" s="2" t="s">
        <v>73</v>
      </c>
      <c r="B19" s="3">
        <v>45637</v>
      </c>
      <c r="C19" s="2" t="s">
        <v>1243</v>
      </c>
      <c r="D19" s="2" t="s">
        <v>1265</v>
      </c>
      <c r="E19" s="2">
        <v>8</v>
      </c>
      <c r="F19" s="2" t="s">
        <v>1231</v>
      </c>
      <c r="G19">
        <f t="shared" si="0"/>
        <v>17</v>
      </c>
      <c r="H19" t="str">
        <f t="shared" si="1"/>
        <v>No</v>
      </c>
      <c r="I19" t="str">
        <f t="shared" si="2"/>
        <v>Dec</v>
      </c>
      <c r="J19" s="11">
        <f t="shared" si="3"/>
        <v>5.208333333333337E-2</v>
      </c>
      <c r="K19" t="str">
        <f t="shared" si="4"/>
        <v>weekday</v>
      </c>
    </row>
    <row r="20" spans="1:11" x14ac:dyDescent="0.4">
      <c r="A20" s="2" t="s">
        <v>73</v>
      </c>
      <c r="B20" s="3">
        <v>45576</v>
      </c>
      <c r="C20" s="2" t="s">
        <v>1271</v>
      </c>
      <c r="D20" s="2" t="s">
        <v>1256</v>
      </c>
      <c r="E20" s="2">
        <v>9</v>
      </c>
      <c r="F20" s="2" t="s">
        <v>1234</v>
      </c>
      <c r="G20">
        <f t="shared" si="0"/>
        <v>17</v>
      </c>
      <c r="H20" t="str">
        <f t="shared" si="1"/>
        <v>No</v>
      </c>
      <c r="I20" t="str">
        <f t="shared" si="2"/>
        <v>Oct</v>
      </c>
      <c r="J20" s="11">
        <f t="shared" si="3"/>
        <v>0.25</v>
      </c>
      <c r="K20" t="str">
        <f t="shared" si="4"/>
        <v>weekday</v>
      </c>
    </row>
    <row r="21" spans="1:11" x14ac:dyDescent="0.4">
      <c r="A21" s="2" t="s">
        <v>77</v>
      </c>
      <c r="B21" s="3">
        <v>45584</v>
      </c>
      <c r="C21" s="2" t="s">
        <v>1237</v>
      </c>
      <c r="D21" s="2" t="s">
        <v>1230</v>
      </c>
      <c r="E21" s="2">
        <v>9</v>
      </c>
      <c r="F21" s="2" t="s">
        <v>1234</v>
      </c>
      <c r="G21">
        <f t="shared" si="0"/>
        <v>15</v>
      </c>
      <c r="H21" t="str">
        <f t="shared" si="1"/>
        <v>No</v>
      </c>
      <c r="I21" t="str">
        <f t="shared" si="2"/>
        <v>Oct</v>
      </c>
      <c r="J21" s="11">
        <f t="shared" si="3"/>
        <v>0.26041666666666663</v>
      </c>
      <c r="K21" t="str">
        <f t="shared" si="4"/>
        <v>weekend</v>
      </c>
    </row>
    <row r="22" spans="1:11" x14ac:dyDescent="0.4">
      <c r="A22" s="2" t="s">
        <v>77</v>
      </c>
      <c r="B22" s="3">
        <v>45603</v>
      </c>
      <c r="C22" s="2" t="s">
        <v>1254</v>
      </c>
      <c r="D22" s="2" t="s">
        <v>1229</v>
      </c>
      <c r="E22" s="2">
        <v>6</v>
      </c>
      <c r="F22" s="2" t="s">
        <v>1234</v>
      </c>
      <c r="G22">
        <f t="shared" si="0"/>
        <v>15</v>
      </c>
      <c r="H22" t="str">
        <f t="shared" si="1"/>
        <v>No</v>
      </c>
      <c r="I22" t="str">
        <f t="shared" si="2"/>
        <v>Nov</v>
      </c>
      <c r="J22" s="11">
        <f t="shared" si="3"/>
        <v>0.10416666666666669</v>
      </c>
      <c r="K22" t="str">
        <f t="shared" si="4"/>
        <v>weekday</v>
      </c>
    </row>
    <row r="23" spans="1:11" x14ac:dyDescent="0.4">
      <c r="A23" s="2" t="s">
        <v>81</v>
      </c>
      <c r="B23" s="3">
        <v>45376</v>
      </c>
      <c r="C23" s="2" t="s">
        <v>1237</v>
      </c>
      <c r="D23" s="2" t="s">
        <v>1269</v>
      </c>
      <c r="E23" s="2">
        <v>10</v>
      </c>
      <c r="F23" s="2" t="s">
        <v>1231</v>
      </c>
      <c r="G23">
        <f t="shared" si="0"/>
        <v>24</v>
      </c>
      <c r="H23" t="str">
        <f t="shared" si="1"/>
        <v>No</v>
      </c>
      <c r="I23" t="str">
        <f t="shared" si="2"/>
        <v>Mar</v>
      </c>
      <c r="J23" s="11">
        <f t="shared" si="3"/>
        <v>0.25</v>
      </c>
      <c r="K23" t="str">
        <f t="shared" si="4"/>
        <v>weekday</v>
      </c>
    </row>
    <row r="24" spans="1:11" x14ac:dyDescent="0.4">
      <c r="A24" s="2" t="s">
        <v>81</v>
      </c>
      <c r="B24" s="3">
        <v>45515</v>
      </c>
      <c r="C24" s="2" t="s">
        <v>1272</v>
      </c>
      <c r="D24" s="2" t="s">
        <v>1246</v>
      </c>
      <c r="E24" s="2">
        <v>7</v>
      </c>
      <c r="F24" s="2" t="s">
        <v>1231</v>
      </c>
      <c r="G24">
        <f t="shared" si="0"/>
        <v>24</v>
      </c>
      <c r="H24" t="str">
        <f t="shared" si="1"/>
        <v>No</v>
      </c>
      <c r="I24" t="str">
        <f t="shared" si="2"/>
        <v>Aug</v>
      </c>
      <c r="J24" s="11">
        <f t="shared" si="3"/>
        <v>0.14583333333333331</v>
      </c>
      <c r="K24" t="str">
        <f t="shared" si="4"/>
        <v>weekend</v>
      </c>
    </row>
    <row r="25" spans="1:11" x14ac:dyDescent="0.4">
      <c r="A25" s="2" t="s">
        <v>81</v>
      </c>
      <c r="B25" s="3">
        <v>45308</v>
      </c>
      <c r="C25" s="2" t="s">
        <v>1242</v>
      </c>
      <c r="D25" s="2" t="s">
        <v>1245</v>
      </c>
      <c r="E25" s="2">
        <v>7</v>
      </c>
      <c r="F25" s="2" t="s">
        <v>1234</v>
      </c>
      <c r="G25">
        <f t="shared" si="0"/>
        <v>24</v>
      </c>
      <c r="H25" t="str">
        <f t="shared" si="1"/>
        <v>No</v>
      </c>
      <c r="I25" t="str">
        <f t="shared" si="2"/>
        <v>Jan</v>
      </c>
      <c r="J25" s="11">
        <f t="shared" si="3"/>
        <v>0.125</v>
      </c>
      <c r="K25" t="str">
        <f t="shared" si="4"/>
        <v>weekday</v>
      </c>
    </row>
    <row r="26" spans="1:11" x14ac:dyDescent="0.4">
      <c r="A26" s="2" t="s">
        <v>98</v>
      </c>
      <c r="B26" s="3">
        <v>45495</v>
      </c>
      <c r="C26" s="2" t="s">
        <v>1262</v>
      </c>
      <c r="D26" s="2" t="s">
        <v>1266</v>
      </c>
      <c r="E26" s="2">
        <v>10</v>
      </c>
      <c r="F26" s="2" t="s">
        <v>1231</v>
      </c>
      <c r="G26">
        <f t="shared" si="0"/>
        <v>10</v>
      </c>
      <c r="H26" t="str">
        <f t="shared" si="1"/>
        <v>No</v>
      </c>
      <c r="I26" t="str">
        <f t="shared" si="2"/>
        <v>Jul</v>
      </c>
      <c r="J26" s="11">
        <f t="shared" si="3"/>
        <v>0.28125000000000006</v>
      </c>
      <c r="K26" t="str">
        <f t="shared" si="4"/>
        <v>weekday</v>
      </c>
    </row>
    <row r="27" spans="1:11" x14ac:dyDescent="0.4">
      <c r="A27" s="2" t="s">
        <v>106</v>
      </c>
      <c r="B27" s="3">
        <v>45402</v>
      </c>
      <c r="C27" s="2" t="s">
        <v>1249</v>
      </c>
      <c r="D27" s="2" t="s">
        <v>1258</v>
      </c>
      <c r="E27" s="2">
        <v>10</v>
      </c>
      <c r="F27" s="2" t="s">
        <v>1234</v>
      </c>
      <c r="G27">
        <f t="shared" si="0"/>
        <v>10</v>
      </c>
      <c r="H27" t="str">
        <f t="shared" si="1"/>
        <v>No</v>
      </c>
      <c r="I27" t="str">
        <f t="shared" si="2"/>
        <v>Apr</v>
      </c>
      <c r="J27" s="11">
        <f t="shared" si="3"/>
        <v>0.1875</v>
      </c>
      <c r="K27" t="str">
        <f t="shared" si="4"/>
        <v>weekend</v>
      </c>
    </row>
    <row r="28" spans="1:11" x14ac:dyDescent="0.4">
      <c r="A28" s="2" t="s">
        <v>110</v>
      </c>
      <c r="B28" s="3">
        <v>45648</v>
      </c>
      <c r="C28" s="2" t="s">
        <v>1257</v>
      </c>
      <c r="D28" s="2" t="s">
        <v>1237</v>
      </c>
      <c r="E28" s="2">
        <v>7</v>
      </c>
      <c r="F28" s="2" t="s">
        <v>1234</v>
      </c>
      <c r="G28">
        <f t="shared" si="0"/>
        <v>23</v>
      </c>
      <c r="H28" t="str">
        <f t="shared" si="1"/>
        <v>No</v>
      </c>
      <c r="I28" t="str">
        <f t="shared" si="2"/>
        <v>Dec</v>
      </c>
      <c r="J28" s="11">
        <f t="shared" si="3"/>
        <v>0.22916666666666663</v>
      </c>
      <c r="K28" t="str">
        <f t="shared" si="4"/>
        <v>weekend</v>
      </c>
    </row>
    <row r="29" spans="1:11" x14ac:dyDescent="0.4">
      <c r="A29" s="2" t="s">
        <v>110</v>
      </c>
      <c r="B29" s="3">
        <v>45584</v>
      </c>
      <c r="C29" s="2" t="s">
        <v>1235</v>
      </c>
      <c r="D29" s="2" t="s">
        <v>1257</v>
      </c>
      <c r="E29" s="2">
        <v>10</v>
      </c>
      <c r="F29" s="2" t="s">
        <v>1231</v>
      </c>
      <c r="G29">
        <f t="shared" si="0"/>
        <v>23</v>
      </c>
      <c r="H29" t="str">
        <f t="shared" si="1"/>
        <v>No</v>
      </c>
      <c r="I29" t="str">
        <f t="shared" si="2"/>
        <v>Oct</v>
      </c>
      <c r="J29" s="11">
        <f t="shared" si="3"/>
        <v>0.21875</v>
      </c>
      <c r="K29" t="str">
        <f t="shared" si="4"/>
        <v>weekend</v>
      </c>
    </row>
    <row r="30" spans="1:11" x14ac:dyDescent="0.4">
      <c r="A30" s="2" t="s">
        <v>110</v>
      </c>
      <c r="B30" s="3">
        <v>45409</v>
      </c>
      <c r="C30" s="2" t="s">
        <v>1233</v>
      </c>
      <c r="D30" s="2" t="s">
        <v>1229</v>
      </c>
      <c r="E30" s="2">
        <v>6</v>
      </c>
      <c r="F30" s="2" t="s">
        <v>1234</v>
      </c>
      <c r="G30">
        <f t="shared" si="0"/>
        <v>23</v>
      </c>
      <c r="H30" t="str">
        <f t="shared" si="1"/>
        <v>No</v>
      </c>
      <c r="I30" t="str">
        <f t="shared" si="2"/>
        <v>Apr</v>
      </c>
      <c r="J30" s="11">
        <f t="shared" si="3"/>
        <v>0.33333333333333337</v>
      </c>
      <c r="K30" t="str">
        <f t="shared" si="4"/>
        <v>weekend</v>
      </c>
    </row>
    <row r="31" spans="1:11" x14ac:dyDescent="0.4">
      <c r="A31" s="2" t="s">
        <v>116</v>
      </c>
      <c r="B31" s="3">
        <v>45599</v>
      </c>
      <c r="C31" s="2" t="s">
        <v>1237</v>
      </c>
      <c r="D31" s="2" t="s">
        <v>1237</v>
      </c>
      <c r="E31" s="2">
        <v>9</v>
      </c>
      <c r="F31" s="2" t="s">
        <v>1231</v>
      </c>
      <c r="G31">
        <f t="shared" si="0"/>
        <v>9</v>
      </c>
      <c r="H31" t="str">
        <f t="shared" si="1"/>
        <v>No</v>
      </c>
      <c r="I31" t="str">
        <f t="shared" si="2"/>
        <v>Nov</v>
      </c>
      <c r="J31" s="11">
        <f t="shared" si="3"/>
        <v>0</v>
      </c>
      <c r="K31" t="str">
        <f t="shared" si="4"/>
        <v>weekend</v>
      </c>
    </row>
    <row r="32" spans="1:11" x14ac:dyDescent="0.4">
      <c r="A32" s="2" t="s">
        <v>132</v>
      </c>
      <c r="B32" s="3">
        <v>45434</v>
      </c>
      <c r="C32" s="2" t="s">
        <v>1248</v>
      </c>
      <c r="D32" s="2" t="s">
        <v>1266</v>
      </c>
      <c r="E32" s="2">
        <v>9</v>
      </c>
      <c r="F32" s="2" t="s">
        <v>1231</v>
      </c>
      <c r="G32">
        <f t="shared" si="0"/>
        <v>9</v>
      </c>
      <c r="H32" t="str">
        <f t="shared" si="1"/>
        <v>No</v>
      </c>
      <c r="I32" t="str">
        <f t="shared" si="2"/>
        <v>May</v>
      </c>
      <c r="J32" s="11">
        <f t="shared" si="3"/>
        <v>0.31250000000000006</v>
      </c>
      <c r="K32" t="str">
        <f t="shared" si="4"/>
        <v>weekday</v>
      </c>
    </row>
    <row r="33" spans="1:11" x14ac:dyDescent="0.4">
      <c r="A33" s="2" t="s">
        <v>136</v>
      </c>
      <c r="B33" s="3">
        <v>45506</v>
      </c>
      <c r="C33" s="2" t="s">
        <v>1263</v>
      </c>
      <c r="D33" s="2" t="s">
        <v>1274</v>
      </c>
      <c r="E33" s="2">
        <v>8</v>
      </c>
      <c r="F33" s="2" t="s">
        <v>1234</v>
      </c>
      <c r="G33">
        <f t="shared" si="0"/>
        <v>30</v>
      </c>
      <c r="H33" t="str">
        <f t="shared" si="1"/>
        <v>No</v>
      </c>
      <c r="I33" t="str">
        <f t="shared" si="2"/>
        <v>Aug</v>
      </c>
      <c r="J33" s="11">
        <f t="shared" si="3"/>
        <v>0.23958333333333337</v>
      </c>
      <c r="K33" t="str">
        <f t="shared" si="4"/>
        <v>weekday</v>
      </c>
    </row>
    <row r="34" spans="1:11" x14ac:dyDescent="0.4">
      <c r="A34" s="2" t="s">
        <v>136</v>
      </c>
      <c r="B34" s="3">
        <v>45553</v>
      </c>
      <c r="C34" s="2" t="s">
        <v>1253</v>
      </c>
      <c r="D34" s="2" t="s">
        <v>1249</v>
      </c>
      <c r="E34" s="2">
        <v>7</v>
      </c>
      <c r="F34" s="2" t="s">
        <v>1231</v>
      </c>
      <c r="G34">
        <f t="shared" si="0"/>
        <v>30</v>
      </c>
      <c r="H34" t="str">
        <f t="shared" si="1"/>
        <v>No</v>
      </c>
      <c r="I34" t="str">
        <f t="shared" si="2"/>
        <v>Sep</v>
      </c>
      <c r="J34" s="11">
        <f t="shared" si="3"/>
        <v>6.25E-2</v>
      </c>
      <c r="K34" t="str">
        <f t="shared" si="4"/>
        <v>weekday</v>
      </c>
    </row>
    <row r="35" spans="1:11" x14ac:dyDescent="0.4">
      <c r="A35" s="2" t="s">
        <v>136</v>
      </c>
      <c r="B35" s="3">
        <v>45572</v>
      </c>
      <c r="C35" s="2" t="s">
        <v>1263</v>
      </c>
      <c r="D35" s="2" t="s">
        <v>1274</v>
      </c>
      <c r="E35" s="2">
        <v>8</v>
      </c>
      <c r="F35" s="2" t="s">
        <v>1234</v>
      </c>
      <c r="G35">
        <f t="shared" si="0"/>
        <v>30</v>
      </c>
      <c r="H35" t="str">
        <f t="shared" si="1"/>
        <v>No</v>
      </c>
      <c r="I35" t="str">
        <f t="shared" si="2"/>
        <v>Oct</v>
      </c>
      <c r="J35" s="11">
        <f t="shared" si="3"/>
        <v>0.23958333333333337</v>
      </c>
      <c r="K35" t="str">
        <f t="shared" si="4"/>
        <v>weekday</v>
      </c>
    </row>
    <row r="36" spans="1:11" x14ac:dyDescent="0.4">
      <c r="A36" s="2" t="s">
        <v>136</v>
      </c>
      <c r="B36" s="3">
        <v>45401</v>
      </c>
      <c r="C36" s="2" t="s">
        <v>1248</v>
      </c>
      <c r="D36" s="2" t="s">
        <v>1250</v>
      </c>
      <c r="E36" s="2">
        <v>7</v>
      </c>
      <c r="F36" s="2" t="s">
        <v>1234</v>
      </c>
      <c r="G36">
        <f t="shared" si="0"/>
        <v>30</v>
      </c>
      <c r="H36" t="str">
        <f t="shared" si="1"/>
        <v>No</v>
      </c>
      <c r="I36" t="str">
        <f t="shared" si="2"/>
        <v>Apr</v>
      </c>
      <c r="J36" s="11">
        <f t="shared" si="3"/>
        <v>0.40625000000000006</v>
      </c>
      <c r="K36" t="str">
        <f t="shared" si="4"/>
        <v>weekday</v>
      </c>
    </row>
    <row r="37" spans="1:11" x14ac:dyDescent="0.4">
      <c r="A37" s="2" t="s">
        <v>140</v>
      </c>
      <c r="B37" s="3">
        <v>45425</v>
      </c>
      <c r="C37" s="2" t="s">
        <v>1262</v>
      </c>
      <c r="D37" s="2" t="s">
        <v>1252</v>
      </c>
      <c r="E37" s="2">
        <v>10</v>
      </c>
      <c r="F37" s="2" t="s">
        <v>1234</v>
      </c>
      <c r="G37">
        <f t="shared" si="0"/>
        <v>18</v>
      </c>
      <c r="H37" t="str">
        <f t="shared" si="1"/>
        <v>No</v>
      </c>
      <c r="I37" t="str">
        <f t="shared" si="2"/>
        <v>May</v>
      </c>
      <c r="J37" s="11">
        <f t="shared" si="3"/>
        <v>0.25000000000000006</v>
      </c>
      <c r="K37" t="str">
        <f t="shared" si="4"/>
        <v>weekday</v>
      </c>
    </row>
    <row r="38" spans="1:11" x14ac:dyDescent="0.4">
      <c r="A38" s="2" t="s">
        <v>140</v>
      </c>
      <c r="B38" s="3">
        <v>45450</v>
      </c>
      <c r="C38" s="2" t="s">
        <v>1246</v>
      </c>
      <c r="D38" s="2" t="s">
        <v>1250</v>
      </c>
      <c r="E38" s="2">
        <v>8</v>
      </c>
      <c r="F38" s="2" t="s">
        <v>1234</v>
      </c>
      <c r="G38">
        <f t="shared" si="0"/>
        <v>18</v>
      </c>
      <c r="H38" t="str">
        <f t="shared" si="1"/>
        <v>No</v>
      </c>
      <c r="I38" t="str">
        <f t="shared" si="2"/>
        <v>Jun</v>
      </c>
      <c r="J38" s="11">
        <f t="shared" si="3"/>
        <v>5.208333333333337E-2</v>
      </c>
      <c r="K38" t="str">
        <f t="shared" si="4"/>
        <v>weekday</v>
      </c>
    </row>
    <row r="39" spans="1:11" x14ac:dyDescent="0.4">
      <c r="A39" s="2" t="s">
        <v>156</v>
      </c>
      <c r="B39" s="3">
        <v>45506</v>
      </c>
      <c r="C39" s="2" t="s">
        <v>1236</v>
      </c>
      <c r="D39" s="2" t="s">
        <v>1267</v>
      </c>
      <c r="E39" s="2">
        <v>10</v>
      </c>
      <c r="F39" s="2" t="s">
        <v>1231</v>
      </c>
      <c r="G39">
        <f t="shared" si="0"/>
        <v>10</v>
      </c>
      <c r="H39" t="str">
        <f t="shared" si="1"/>
        <v>No</v>
      </c>
      <c r="I39" t="str">
        <f t="shared" si="2"/>
        <v>Aug</v>
      </c>
      <c r="J39" s="11">
        <f t="shared" si="3"/>
        <v>0.14583333333333331</v>
      </c>
      <c r="K39" t="str">
        <f t="shared" si="4"/>
        <v>weekday</v>
      </c>
    </row>
    <row r="40" spans="1:11" x14ac:dyDescent="0.4">
      <c r="A40" s="2" t="s">
        <v>160</v>
      </c>
      <c r="B40" s="3">
        <v>45649</v>
      </c>
      <c r="C40" s="2" t="s">
        <v>1258</v>
      </c>
      <c r="D40" s="2" t="s">
        <v>1260</v>
      </c>
      <c r="E40" s="2">
        <v>6</v>
      </c>
      <c r="F40" s="2" t="s">
        <v>1231</v>
      </c>
      <c r="G40">
        <f t="shared" si="0"/>
        <v>23</v>
      </c>
      <c r="H40" t="str">
        <f t="shared" si="1"/>
        <v>No</v>
      </c>
      <c r="I40" t="str">
        <f t="shared" si="2"/>
        <v>Dec</v>
      </c>
      <c r="J40" s="11">
        <f t="shared" si="3"/>
        <v>1.0416666666666741E-2</v>
      </c>
      <c r="K40" t="str">
        <f t="shared" si="4"/>
        <v>weekday</v>
      </c>
    </row>
    <row r="41" spans="1:11" x14ac:dyDescent="0.4">
      <c r="A41" s="2" t="s">
        <v>160</v>
      </c>
      <c r="B41" s="3">
        <v>45357</v>
      </c>
      <c r="C41" s="2" t="s">
        <v>1240</v>
      </c>
      <c r="D41" s="2" t="s">
        <v>1269</v>
      </c>
      <c r="E41" s="2">
        <v>7</v>
      </c>
      <c r="F41" s="2" t="s">
        <v>1234</v>
      </c>
      <c r="G41">
        <f t="shared" si="0"/>
        <v>23</v>
      </c>
      <c r="H41" t="str">
        <f t="shared" si="1"/>
        <v>No</v>
      </c>
      <c r="I41" t="str">
        <f t="shared" si="2"/>
        <v>Mar</v>
      </c>
      <c r="J41" s="11">
        <f t="shared" si="3"/>
        <v>8.333333333333337E-2</v>
      </c>
      <c r="K41" t="str">
        <f t="shared" si="4"/>
        <v>weekday</v>
      </c>
    </row>
    <row r="42" spans="1:11" x14ac:dyDescent="0.4">
      <c r="A42" s="2" t="s">
        <v>160</v>
      </c>
      <c r="B42" s="3">
        <v>45606</v>
      </c>
      <c r="C42" s="2" t="s">
        <v>1241</v>
      </c>
      <c r="D42" s="2" t="s">
        <v>1260</v>
      </c>
      <c r="E42" s="2">
        <v>10</v>
      </c>
      <c r="F42" s="2" t="s">
        <v>1234</v>
      </c>
      <c r="G42">
        <f t="shared" si="0"/>
        <v>23</v>
      </c>
      <c r="H42" t="str">
        <f t="shared" si="1"/>
        <v>No</v>
      </c>
      <c r="I42" t="str">
        <f t="shared" si="2"/>
        <v>Nov</v>
      </c>
      <c r="J42" s="11">
        <f t="shared" si="3"/>
        <v>0.27083333333333331</v>
      </c>
      <c r="K42" t="str">
        <f t="shared" si="4"/>
        <v>weekend</v>
      </c>
    </row>
    <row r="43" spans="1:11" x14ac:dyDescent="0.4">
      <c r="A43" s="2" t="s">
        <v>164</v>
      </c>
      <c r="B43" s="3">
        <v>45477</v>
      </c>
      <c r="C43" s="2" t="s">
        <v>1271</v>
      </c>
      <c r="D43" s="2" t="s">
        <v>1255</v>
      </c>
      <c r="E43" s="2">
        <v>7</v>
      </c>
      <c r="F43" s="2" t="s">
        <v>1234</v>
      </c>
      <c r="G43">
        <f t="shared" si="0"/>
        <v>14</v>
      </c>
      <c r="H43" t="str">
        <f t="shared" si="1"/>
        <v>No</v>
      </c>
      <c r="I43" t="str">
        <f t="shared" si="2"/>
        <v>Jul</v>
      </c>
      <c r="J43" s="11">
        <f t="shared" si="3"/>
        <v>0.11458333333333337</v>
      </c>
      <c r="K43" t="str">
        <f t="shared" si="4"/>
        <v>weekday</v>
      </c>
    </row>
    <row r="44" spans="1:11" x14ac:dyDescent="0.4">
      <c r="A44" s="2" t="s">
        <v>164</v>
      </c>
      <c r="B44" s="3">
        <v>45634</v>
      </c>
      <c r="C44" s="2" t="s">
        <v>1243</v>
      </c>
      <c r="D44" s="2" t="s">
        <v>1238</v>
      </c>
      <c r="E44" s="2">
        <v>7</v>
      </c>
      <c r="F44" s="2" t="s">
        <v>1234</v>
      </c>
      <c r="G44">
        <f t="shared" si="0"/>
        <v>14</v>
      </c>
      <c r="H44" t="str">
        <f t="shared" si="1"/>
        <v>No</v>
      </c>
      <c r="I44" t="str">
        <f t="shared" si="2"/>
        <v>Dec</v>
      </c>
      <c r="J44" s="11">
        <f t="shared" si="3"/>
        <v>2.0833333333333259E-2</v>
      </c>
      <c r="K44" t="str">
        <f t="shared" si="4"/>
        <v>weekend</v>
      </c>
    </row>
    <row r="45" spans="1:11" x14ac:dyDescent="0.4">
      <c r="A45" s="2" t="s">
        <v>170</v>
      </c>
      <c r="B45" s="3">
        <v>45615</v>
      </c>
      <c r="C45" s="2" t="s">
        <v>1249</v>
      </c>
      <c r="D45" s="2" t="s">
        <v>1266</v>
      </c>
      <c r="E45" s="2">
        <v>10</v>
      </c>
      <c r="F45" s="2" t="s">
        <v>1231</v>
      </c>
      <c r="G45">
        <f t="shared" si="0"/>
        <v>10</v>
      </c>
      <c r="H45" t="str">
        <f t="shared" si="1"/>
        <v>No</v>
      </c>
      <c r="I45" t="str">
        <f t="shared" si="2"/>
        <v>Nov</v>
      </c>
      <c r="J45" s="11">
        <f t="shared" si="3"/>
        <v>6.2500000000000056E-2</v>
      </c>
      <c r="K45" t="str">
        <f t="shared" si="4"/>
        <v>weekday</v>
      </c>
    </row>
    <row r="46" spans="1:11" x14ac:dyDescent="0.4">
      <c r="A46" s="2" t="s">
        <v>172</v>
      </c>
      <c r="B46" s="3">
        <v>45601</v>
      </c>
      <c r="C46" s="2" t="s">
        <v>1253</v>
      </c>
      <c r="D46" s="2" t="s">
        <v>1248</v>
      </c>
      <c r="E46" s="2">
        <v>9</v>
      </c>
      <c r="F46" s="2" t="s">
        <v>1231</v>
      </c>
      <c r="G46">
        <f t="shared" si="0"/>
        <v>9</v>
      </c>
      <c r="H46" t="str">
        <f t="shared" si="1"/>
        <v>No</v>
      </c>
      <c r="I46" t="str">
        <f t="shared" si="2"/>
        <v>Nov</v>
      </c>
      <c r="J46" s="11">
        <f t="shared" si="3"/>
        <v>0.1875</v>
      </c>
      <c r="K46" t="str">
        <f t="shared" si="4"/>
        <v>weekday</v>
      </c>
    </row>
    <row r="47" spans="1:11" x14ac:dyDescent="0.4">
      <c r="A47" s="2" t="s">
        <v>174</v>
      </c>
      <c r="B47" s="3">
        <v>45422</v>
      </c>
      <c r="C47" s="2" t="s">
        <v>1246</v>
      </c>
      <c r="D47" s="2" t="s">
        <v>1233</v>
      </c>
      <c r="E47" s="2">
        <v>9</v>
      </c>
      <c r="F47" s="2" t="s">
        <v>1234</v>
      </c>
      <c r="G47">
        <f t="shared" si="0"/>
        <v>9</v>
      </c>
      <c r="H47" t="str">
        <f t="shared" si="1"/>
        <v>No</v>
      </c>
      <c r="I47" t="str">
        <f t="shared" si="2"/>
        <v>May</v>
      </c>
      <c r="J47" s="11">
        <f t="shared" si="3"/>
        <v>0.26041666666666669</v>
      </c>
      <c r="K47" t="str">
        <f t="shared" si="4"/>
        <v>weekday</v>
      </c>
    </row>
    <row r="48" spans="1:11" x14ac:dyDescent="0.4">
      <c r="A48" s="2" t="s">
        <v>176</v>
      </c>
      <c r="B48" s="3">
        <v>45420</v>
      </c>
      <c r="C48" s="2" t="s">
        <v>1261</v>
      </c>
      <c r="D48" s="2" t="s">
        <v>1271</v>
      </c>
      <c r="E48" s="2">
        <v>6</v>
      </c>
      <c r="F48" s="2" t="s">
        <v>1234</v>
      </c>
      <c r="G48">
        <f t="shared" si="0"/>
        <v>14</v>
      </c>
      <c r="H48" t="str">
        <f t="shared" si="1"/>
        <v>No</v>
      </c>
      <c r="I48" t="str">
        <f t="shared" si="2"/>
        <v>May</v>
      </c>
      <c r="J48" s="11">
        <f t="shared" si="3"/>
        <v>0.29166666666666663</v>
      </c>
      <c r="K48" t="str">
        <f t="shared" si="4"/>
        <v>weekday</v>
      </c>
    </row>
    <row r="49" spans="1:11" x14ac:dyDescent="0.4">
      <c r="A49" s="2" t="s">
        <v>176</v>
      </c>
      <c r="B49" s="3">
        <v>45358</v>
      </c>
      <c r="C49" s="2" t="s">
        <v>1269</v>
      </c>
      <c r="D49" s="2" t="s">
        <v>1264</v>
      </c>
      <c r="E49" s="2">
        <v>8</v>
      </c>
      <c r="F49" s="2" t="s">
        <v>1231</v>
      </c>
      <c r="G49">
        <f t="shared" si="0"/>
        <v>14</v>
      </c>
      <c r="H49" t="str">
        <f t="shared" si="1"/>
        <v>No</v>
      </c>
      <c r="I49" t="str">
        <f t="shared" si="2"/>
        <v>Mar</v>
      </c>
      <c r="J49" s="11">
        <f t="shared" si="3"/>
        <v>0.10416666666666663</v>
      </c>
      <c r="K49" t="str">
        <f t="shared" si="4"/>
        <v>weekday</v>
      </c>
    </row>
    <row r="50" spans="1:11" x14ac:dyDescent="0.4">
      <c r="A50" s="2" t="s">
        <v>180</v>
      </c>
      <c r="B50" s="3">
        <v>45299</v>
      </c>
      <c r="C50" s="2" t="s">
        <v>1233</v>
      </c>
      <c r="D50" s="2" t="s">
        <v>1259</v>
      </c>
      <c r="E50" s="2">
        <v>7</v>
      </c>
      <c r="F50" s="2" t="s">
        <v>1231</v>
      </c>
      <c r="G50">
        <f t="shared" si="0"/>
        <v>7</v>
      </c>
      <c r="H50" t="str">
        <f t="shared" si="1"/>
        <v>No</v>
      </c>
      <c r="I50" t="str">
        <f t="shared" si="2"/>
        <v>Jan</v>
      </c>
      <c r="J50" s="11">
        <f t="shared" si="3"/>
        <v>0.34375000000000006</v>
      </c>
      <c r="K50" t="str">
        <f t="shared" si="4"/>
        <v>weekday</v>
      </c>
    </row>
    <row r="51" spans="1:11" x14ac:dyDescent="0.4">
      <c r="A51" s="2" t="s">
        <v>184</v>
      </c>
      <c r="B51" s="3">
        <v>45466</v>
      </c>
      <c r="C51" s="2" t="s">
        <v>1235</v>
      </c>
      <c r="D51" s="2" t="s">
        <v>1236</v>
      </c>
      <c r="E51" s="2">
        <v>8</v>
      </c>
      <c r="F51" s="2" t="s">
        <v>1234</v>
      </c>
      <c r="G51">
        <f t="shared" si="0"/>
        <v>15</v>
      </c>
      <c r="H51" t="str">
        <f t="shared" si="1"/>
        <v>No</v>
      </c>
      <c r="I51" t="str">
        <f t="shared" si="2"/>
        <v>Jun</v>
      </c>
      <c r="J51" s="11">
        <f t="shared" si="3"/>
        <v>0.20833333333333337</v>
      </c>
      <c r="K51" t="str">
        <f t="shared" si="4"/>
        <v>weekend</v>
      </c>
    </row>
    <row r="52" spans="1:11" x14ac:dyDescent="0.4">
      <c r="A52" s="2" t="s">
        <v>184</v>
      </c>
      <c r="B52" s="3">
        <v>45472</v>
      </c>
      <c r="C52" s="2" t="s">
        <v>1235</v>
      </c>
      <c r="D52" s="2" t="s">
        <v>1240</v>
      </c>
      <c r="E52" s="2">
        <v>7</v>
      </c>
      <c r="F52" s="2" t="s">
        <v>1234</v>
      </c>
      <c r="G52">
        <f t="shared" si="0"/>
        <v>15</v>
      </c>
      <c r="H52" t="str">
        <f t="shared" si="1"/>
        <v>No</v>
      </c>
      <c r="I52" t="str">
        <f t="shared" si="2"/>
        <v>Jun</v>
      </c>
      <c r="J52" s="11">
        <f t="shared" si="3"/>
        <v>0.15625</v>
      </c>
      <c r="K52" t="str">
        <f t="shared" si="4"/>
        <v>weekend</v>
      </c>
    </row>
    <row r="53" spans="1:11" x14ac:dyDescent="0.4">
      <c r="A53" s="2" t="s">
        <v>190</v>
      </c>
      <c r="B53" s="3">
        <v>45567</v>
      </c>
      <c r="C53" s="2" t="s">
        <v>1230</v>
      </c>
      <c r="D53" s="2" t="s">
        <v>1262</v>
      </c>
      <c r="E53" s="2">
        <v>8</v>
      </c>
      <c r="F53" s="2" t="s">
        <v>1234</v>
      </c>
      <c r="G53">
        <f t="shared" si="0"/>
        <v>8</v>
      </c>
      <c r="H53" t="str">
        <f t="shared" si="1"/>
        <v>No</v>
      </c>
      <c r="I53" t="str">
        <f t="shared" si="2"/>
        <v>Oct</v>
      </c>
      <c r="J53" s="11">
        <f t="shared" si="3"/>
        <v>0.23958333333333337</v>
      </c>
      <c r="K53" t="str">
        <f t="shared" si="4"/>
        <v>weekday</v>
      </c>
    </row>
    <row r="54" spans="1:11" x14ac:dyDescent="0.4">
      <c r="A54" s="2" t="s">
        <v>198</v>
      </c>
      <c r="B54" s="3">
        <v>45366</v>
      </c>
      <c r="C54" s="2" t="s">
        <v>1264</v>
      </c>
      <c r="D54" s="2" t="s">
        <v>1269</v>
      </c>
      <c r="E54" s="2">
        <v>10</v>
      </c>
      <c r="F54" s="2" t="s">
        <v>1234</v>
      </c>
      <c r="G54">
        <f t="shared" si="0"/>
        <v>10</v>
      </c>
      <c r="H54" t="str">
        <f t="shared" si="1"/>
        <v>No</v>
      </c>
      <c r="I54" t="str">
        <f t="shared" si="2"/>
        <v>Mar</v>
      </c>
      <c r="J54" s="11">
        <f t="shared" si="3"/>
        <v>0.10416666666666663</v>
      </c>
      <c r="K54" t="str">
        <f t="shared" si="4"/>
        <v>weekday</v>
      </c>
    </row>
    <row r="55" spans="1:11" x14ac:dyDescent="0.4">
      <c r="A55" s="2" t="s">
        <v>212</v>
      </c>
      <c r="B55" s="3">
        <v>45556</v>
      </c>
      <c r="C55" s="2" t="s">
        <v>1243</v>
      </c>
      <c r="D55" s="2" t="s">
        <v>1241</v>
      </c>
      <c r="E55" s="2">
        <v>6</v>
      </c>
      <c r="F55" s="2" t="s">
        <v>1231</v>
      </c>
      <c r="G55">
        <f t="shared" si="0"/>
        <v>6</v>
      </c>
      <c r="H55" t="str">
        <f t="shared" si="1"/>
        <v>No</v>
      </c>
      <c r="I55" t="str">
        <f t="shared" si="2"/>
        <v>Sep</v>
      </c>
      <c r="J55" s="11">
        <f t="shared" si="3"/>
        <v>0.23958333333333331</v>
      </c>
      <c r="K55" t="str">
        <f t="shared" si="4"/>
        <v>weekend</v>
      </c>
    </row>
    <row r="56" spans="1:11" x14ac:dyDescent="0.4">
      <c r="A56" s="2" t="s">
        <v>220</v>
      </c>
      <c r="B56" s="3">
        <v>45316</v>
      </c>
      <c r="C56" s="2" t="s">
        <v>1254</v>
      </c>
      <c r="D56" s="2" t="s">
        <v>1256</v>
      </c>
      <c r="E56" s="2">
        <v>7</v>
      </c>
      <c r="F56" s="2" t="s">
        <v>1234</v>
      </c>
      <c r="G56">
        <f t="shared" si="0"/>
        <v>7</v>
      </c>
      <c r="H56" t="str">
        <f t="shared" si="1"/>
        <v>No</v>
      </c>
      <c r="I56" t="str">
        <f t="shared" si="2"/>
        <v>Jan</v>
      </c>
      <c r="J56" s="11">
        <f t="shared" si="3"/>
        <v>0.23958333333333331</v>
      </c>
      <c r="K56" t="str">
        <f t="shared" si="4"/>
        <v>weekday</v>
      </c>
    </row>
    <row r="57" spans="1:11" x14ac:dyDescent="0.4">
      <c r="A57" s="2" t="s">
        <v>228</v>
      </c>
      <c r="B57" s="3">
        <v>45381</v>
      </c>
      <c r="C57" s="2" t="s">
        <v>1258</v>
      </c>
      <c r="D57" s="2" t="s">
        <v>1232</v>
      </c>
      <c r="E57" s="2">
        <v>7</v>
      </c>
      <c r="F57" s="2" t="s">
        <v>1234</v>
      </c>
      <c r="G57">
        <f t="shared" si="0"/>
        <v>16</v>
      </c>
      <c r="H57" t="str">
        <f t="shared" si="1"/>
        <v>No</v>
      </c>
      <c r="I57" t="str">
        <f t="shared" si="2"/>
        <v>Mar</v>
      </c>
      <c r="J57" s="11">
        <f t="shared" si="3"/>
        <v>0.13541666666666674</v>
      </c>
      <c r="K57" t="str">
        <f t="shared" si="4"/>
        <v>weekend</v>
      </c>
    </row>
    <row r="58" spans="1:11" x14ac:dyDescent="0.4">
      <c r="A58" s="2" t="s">
        <v>228</v>
      </c>
      <c r="B58" s="3">
        <v>45440</v>
      </c>
      <c r="C58" s="2" t="s">
        <v>1249</v>
      </c>
      <c r="D58" s="2" t="s">
        <v>1236</v>
      </c>
      <c r="E58" s="2">
        <v>9</v>
      </c>
      <c r="F58" s="2" t="s">
        <v>1234</v>
      </c>
      <c r="G58">
        <f t="shared" si="0"/>
        <v>16</v>
      </c>
      <c r="H58" t="str">
        <f t="shared" si="1"/>
        <v>No</v>
      </c>
      <c r="I58" t="str">
        <f t="shared" si="2"/>
        <v>May</v>
      </c>
      <c r="J58" s="11">
        <f t="shared" si="3"/>
        <v>2.0833333333333259E-2</v>
      </c>
      <c r="K58" t="str">
        <f t="shared" si="4"/>
        <v>weekday</v>
      </c>
    </row>
    <row r="59" spans="1:11" x14ac:dyDescent="0.4">
      <c r="A59" s="2" t="s">
        <v>248</v>
      </c>
      <c r="B59" s="3">
        <v>45311</v>
      </c>
      <c r="C59" s="2" t="s">
        <v>1238</v>
      </c>
      <c r="D59" s="2" t="s">
        <v>1236</v>
      </c>
      <c r="E59" s="2">
        <v>8</v>
      </c>
      <c r="F59" s="2" t="s">
        <v>1234</v>
      </c>
      <c r="G59">
        <f t="shared" si="0"/>
        <v>8</v>
      </c>
      <c r="H59" t="str">
        <f t="shared" si="1"/>
        <v>No</v>
      </c>
      <c r="I59" t="str">
        <f t="shared" si="2"/>
        <v>Jan</v>
      </c>
      <c r="J59" s="11">
        <f t="shared" si="3"/>
        <v>0.10416666666666674</v>
      </c>
      <c r="K59" t="str">
        <f t="shared" si="4"/>
        <v>weekend</v>
      </c>
    </row>
    <row r="60" spans="1:11" x14ac:dyDescent="0.4">
      <c r="A60" s="2" t="s">
        <v>254</v>
      </c>
      <c r="B60" s="3">
        <v>45372</v>
      </c>
      <c r="C60" s="2" t="s">
        <v>1259</v>
      </c>
      <c r="D60" s="2" t="s">
        <v>1230</v>
      </c>
      <c r="E60" s="2">
        <v>7</v>
      </c>
      <c r="F60" s="2" t="s">
        <v>1231</v>
      </c>
      <c r="G60">
        <f t="shared" si="0"/>
        <v>14</v>
      </c>
      <c r="H60" t="str">
        <f t="shared" si="1"/>
        <v>No</v>
      </c>
      <c r="I60" t="str">
        <f t="shared" si="2"/>
        <v>Mar</v>
      </c>
      <c r="J60" s="11">
        <f t="shared" si="3"/>
        <v>0.16666666666666669</v>
      </c>
      <c r="K60" t="str">
        <f t="shared" si="4"/>
        <v>weekday</v>
      </c>
    </row>
    <row r="61" spans="1:11" x14ac:dyDescent="0.4">
      <c r="A61" s="2" t="s">
        <v>254</v>
      </c>
      <c r="B61" s="3">
        <v>45420</v>
      </c>
      <c r="C61" s="2" t="s">
        <v>1250</v>
      </c>
      <c r="D61" s="2" t="s">
        <v>1258</v>
      </c>
      <c r="E61" s="2">
        <v>7</v>
      </c>
      <c r="F61" s="2" t="s">
        <v>1231</v>
      </c>
      <c r="G61">
        <f t="shared" si="0"/>
        <v>14</v>
      </c>
      <c r="H61" t="str">
        <f t="shared" si="1"/>
        <v>No</v>
      </c>
      <c r="I61" t="str">
        <f t="shared" si="2"/>
        <v>May</v>
      </c>
      <c r="J61" s="11">
        <f t="shared" si="3"/>
        <v>0.34375000000000006</v>
      </c>
      <c r="K61" t="str">
        <f t="shared" si="4"/>
        <v>weekday</v>
      </c>
    </row>
    <row r="62" spans="1:11" x14ac:dyDescent="0.4">
      <c r="A62" s="2" t="s">
        <v>258</v>
      </c>
      <c r="B62" s="3">
        <v>45574</v>
      </c>
      <c r="C62" s="2" t="s">
        <v>1267</v>
      </c>
      <c r="D62" s="2" t="s">
        <v>1241</v>
      </c>
      <c r="E62" s="2">
        <v>9</v>
      </c>
      <c r="F62" s="2" t="s">
        <v>1231</v>
      </c>
      <c r="G62">
        <f t="shared" si="0"/>
        <v>35</v>
      </c>
      <c r="H62" t="str">
        <f t="shared" si="1"/>
        <v>No</v>
      </c>
      <c r="I62" t="str">
        <f t="shared" si="2"/>
        <v>Oct</v>
      </c>
      <c r="J62" s="11">
        <f t="shared" si="3"/>
        <v>3.125E-2</v>
      </c>
      <c r="K62" t="str">
        <f t="shared" si="4"/>
        <v>weekday</v>
      </c>
    </row>
    <row r="63" spans="1:11" x14ac:dyDescent="0.4">
      <c r="A63" s="2" t="s">
        <v>258</v>
      </c>
      <c r="B63" s="3">
        <v>45492</v>
      </c>
      <c r="C63" s="2" t="s">
        <v>1233</v>
      </c>
      <c r="D63" s="2" t="s">
        <v>1239</v>
      </c>
      <c r="E63" s="2">
        <v>9</v>
      </c>
      <c r="F63" s="2" t="s">
        <v>1234</v>
      </c>
      <c r="G63">
        <f t="shared" si="0"/>
        <v>35</v>
      </c>
      <c r="H63" t="str">
        <f t="shared" si="1"/>
        <v>No</v>
      </c>
      <c r="I63" t="str">
        <f t="shared" si="2"/>
        <v>Jul</v>
      </c>
      <c r="J63" s="11">
        <f t="shared" si="3"/>
        <v>0.20833333333333337</v>
      </c>
      <c r="K63" t="str">
        <f t="shared" si="4"/>
        <v>weekday</v>
      </c>
    </row>
    <row r="64" spans="1:11" x14ac:dyDescent="0.4">
      <c r="A64" s="2" t="s">
        <v>258</v>
      </c>
      <c r="B64" s="3">
        <v>45407</v>
      </c>
      <c r="C64" s="2" t="s">
        <v>1242</v>
      </c>
      <c r="D64" s="2" t="s">
        <v>1254</v>
      </c>
      <c r="E64" s="2">
        <v>10</v>
      </c>
      <c r="F64" s="2" t="s">
        <v>1231</v>
      </c>
      <c r="G64">
        <f t="shared" si="0"/>
        <v>35</v>
      </c>
      <c r="H64" t="str">
        <f t="shared" si="1"/>
        <v>No</v>
      </c>
      <c r="I64" t="str">
        <f t="shared" si="2"/>
        <v>Apr</v>
      </c>
      <c r="J64" s="11">
        <f t="shared" si="3"/>
        <v>9.375E-2</v>
      </c>
      <c r="K64" t="str">
        <f t="shared" si="4"/>
        <v>weekday</v>
      </c>
    </row>
    <row r="65" spans="1:11" x14ac:dyDescent="0.4">
      <c r="A65" s="2" t="s">
        <v>258</v>
      </c>
      <c r="B65" s="3">
        <v>45529</v>
      </c>
      <c r="C65" s="2" t="s">
        <v>1242</v>
      </c>
      <c r="D65" s="2" t="s">
        <v>1268</v>
      </c>
      <c r="E65" s="2">
        <v>7</v>
      </c>
      <c r="F65" s="2" t="s">
        <v>1231</v>
      </c>
      <c r="G65">
        <f t="shared" si="0"/>
        <v>35</v>
      </c>
      <c r="H65" t="str">
        <f t="shared" si="1"/>
        <v>No</v>
      </c>
      <c r="I65" t="str">
        <f t="shared" si="2"/>
        <v>Aug</v>
      </c>
      <c r="J65" s="11">
        <f t="shared" si="3"/>
        <v>3.125E-2</v>
      </c>
      <c r="K65" t="str">
        <f t="shared" si="4"/>
        <v>weekend</v>
      </c>
    </row>
    <row r="66" spans="1:11" x14ac:dyDescent="0.4">
      <c r="A66" s="2" t="s">
        <v>262</v>
      </c>
      <c r="B66" s="3">
        <v>45432</v>
      </c>
      <c r="C66" s="2" t="s">
        <v>1270</v>
      </c>
      <c r="D66" s="2" t="s">
        <v>1246</v>
      </c>
      <c r="E66" s="2">
        <v>9</v>
      </c>
      <c r="F66" s="2" t="s">
        <v>1231</v>
      </c>
      <c r="G66">
        <f t="shared" si="0"/>
        <v>9</v>
      </c>
      <c r="H66" t="str">
        <f t="shared" si="1"/>
        <v>No</v>
      </c>
      <c r="I66" t="str">
        <f t="shared" si="2"/>
        <v>May</v>
      </c>
      <c r="J66" s="11">
        <f t="shared" si="3"/>
        <v>0.21874999999999994</v>
      </c>
      <c r="K66" t="str">
        <f t="shared" si="4"/>
        <v>weekday</v>
      </c>
    </row>
    <row r="67" spans="1:11" x14ac:dyDescent="0.4">
      <c r="A67" s="2" t="s">
        <v>266</v>
      </c>
      <c r="B67" s="3">
        <v>45347</v>
      </c>
      <c r="C67" s="2" t="s">
        <v>1265</v>
      </c>
      <c r="D67" s="2" t="s">
        <v>1233</v>
      </c>
      <c r="E67" s="2">
        <v>8</v>
      </c>
      <c r="F67" s="2" t="s">
        <v>1234</v>
      </c>
      <c r="G67">
        <f t="shared" ref="G67:G130" si="5">SUMIFS($E$2:$E$501,$A$2:$A$501,A67)</f>
        <v>20</v>
      </c>
      <c r="H67" t="str">
        <f t="shared" ref="H67:H130" si="6">IF(COUNTIFS($A$2:$A$501,A67,$F$2:$F$501,"Yes")&gt;5,"Late","No")</f>
        <v>No</v>
      </c>
      <c r="I67" t="str">
        <f t="shared" ref="I67:I130" si="7">TEXT(B67,"mmm")</f>
        <v>Feb</v>
      </c>
      <c r="J67" s="11">
        <f t="shared" ref="J67:J130" si="8">ABS(TIMEVALUE(D67)-TIMEVALUE(C67))</f>
        <v>4.166666666666663E-2</v>
      </c>
      <c r="K67" t="str">
        <f t="shared" ref="K67:K130" si="9">IF(OR(TEXT(B67,"ddd")="Sat",TEXT(B67,"ddd")="Sun"),"weekend","weekday")</f>
        <v>weekend</v>
      </c>
    </row>
    <row r="68" spans="1:11" x14ac:dyDescent="0.4">
      <c r="A68" s="2" t="s">
        <v>266</v>
      </c>
      <c r="B68" s="3">
        <v>45431</v>
      </c>
      <c r="C68" s="2" t="s">
        <v>1242</v>
      </c>
      <c r="D68" s="2" t="s">
        <v>1263</v>
      </c>
      <c r="E68" s="2">
        <v>6</v>
      </c>
      <c r="F68" s="2" t="s">
        <v>1234</v>
      </c>
      <c r="G68">
        <f t="shared" si="5"/>
        <v>20</v>
      </c>
      <c r="H68" t="str">
        <f t="shared" si="6"/>
        <v>No</v>
      </c>
      <c r="I68" t="str">
        <f t="shared" si="7"/>
        <v>May</v>
      </c>
      <c r="J68" s="11">
        <f t="shared" si="8"/>
        <v>0.26041666666666669</v>
      </c>
      <c r="K68" t="str">
        <f t="shared" si="9"/>
        <v>weekend</v>
      </c>
    </row>
    <row r="69" spans="1:11" x14ac:dyDescent="0.4">
      <c r="A69" s="2" t="s">
        <v>266</v>
      </c>
      <c r="B69" s="3">
        <v>45583</v>
      </c>
      <c r="C69" s="2" t="s">
        <v>1235</v>
      </c>
      <c r="D69" s="2" t="s">
        <v>1263</v>
      </c>
      <c r="E69" s="2">
        <v>6</v>
      </c>
      <c r="F69" s="2" t="s">
        <v>1231</v>
      </c>
      <c r="G69">
        <f t="shared" si="5"/>
        <v>20</v>
      </c>
      <c r="H69" t="str">
        <f t="shared" si="6"/>
        <v>No</v>
      </c>
      <c r="I69" t="str">
        <f t="shared" si="7"/>
        <v>Oct</v>
      </c>
      <c r="J69" s="11">
        <f t="shared" si="8"/>
        <v>0.13541666666666663</v>
      </c>
      <c r="K69" t="str">
        <f t="shared" si="9"/>
        <v>weekday</v>
      </c>
    </row>
    <row r="70" spans="1:11" x14ac:dyDescent="0.4">
      <c r="A70" s="2" t="s">
        <v>278</v>
      </c>
      <c r="B70" s="3">
        <v>45611</v>
      </c>
      <c r="C70" s="2" t="s">
        <v>1271</v>
      </c>
      <c r="D70" s="2" t="s">
        <v>1244</v>
      </c>
      <c r="E70" s="2">
        <v>8</v>
      </c>
      <c r="F70" s="2" t="s">
        <v>1234</v>
      </c>
      <c r="G70">
        <f t="shared" si="5"/>
        <v>17</v>
      </c>
      <c r="H70" t="str">
        <f t="shared" si="6"/>
        <v>No</v>
      </c>
      <c r="I70" t="str">
        <f t="shared" si="7"/>
        <v>Nov</v>
      </c>
      <c r="J70" s="11">
        <f t="shared" si="8"/>
        <v>0.1875</v>
      </c>
      <c r="K70" t="str">
        <f t="shared" si="9"/>
        <v>weekday</v>
      </c>
    </row>
    <row r="71" spans="1:11" x14ac:dyDescent="0.4">
      <c r="A71" s="2" t="s">
        <v>278</v>
      </c>
      <c r="B71" s="3">
        <v>45471</v>
      </c>
      <c r="C71" s="2" t="s">
        <v>1272</v>
      </c>
      <c r="D71" s="2" t="s">
        <v>1267</v>
      </c>
      <c r="E71" s="2">
        <v>9</v>
      </c>
      <c r="F71" s="2" t="s">
        <v>1234</v>
      </c>
      <c r="G71">
        <f t="shared" si="5"/>
        <v>17</v>
      </c>
      <c r="H71" t="str">
        <f t="shared" si="6"/>
        <v>No</v>
      </c>
      <c r="I71" t="str">
        <f t="shared" si="7"/>
        <v>Jun</v>
      </c>
      <c r="J71" s="11">
        <f t="shared" si="8"/>
        <v>0.16666666666666669</v>
      </c>
      <c r="K71" t="str">
        <f t="shared" si="9"/>
        <v>weekday</v>
      </c>
    </row>
    <row r="72" spans="1:11" x14ac:dyDescent="0.4">
      <c r="A72" s="2" t="s">
        <v>286</v>
      </c>
      <c r="B72" s="3">
        <v>45582</v>
      </c>
      <c r="C72" s="2" t="s">
        <v>1260</v>
      </c>
      <c r="D72" s="2" t="s">
        <v>1235</v>
      </c>
      <c r="E72" s="2">
        <v>9</v>
      </c>
      <c r="F72" s="2" t="s">
        <v>1231</v>
      </c>
      <c r="G72">
        <f t="shared" si="5"/>
        <v>18</v>
      </c>
      <c r="H72" t="str">
        <f t="shared" si="6"/>
        <v>No</v>
      </c>
      <c r="I72" t="str">
        <f t="shared" si="7"/>
        <v>Oct</v>
      </c>
      <c r="J72" s="11">
        <f t="shared" si="8"/>
        <v>5.208333333333337E-2</v>
      </c>
      <c r="K72" t="str">
        <f t="shared" si="9"/>
        <v>weekday</v>
      </c>
    </row>
    <row r="73" spans="1:11" x14ac:dyDescent="0.4">
      <c r="A73" s="2" t="s">
        <v>286</v>
      </c>
      <c r="B73" s="3">
        <v>45318</v>
      </c>
      <c r="C73" s="2" t="s">
        <v>1240</v>
      </c>
      <c r="D73" s="2" t="s">
        <v>1270</v>
      </c>
      <c r="E73" s="2">
        <v>9</v>
      </c>
      <c r="F73" s="2" t="s">
        <v>1234</v>
      </c>
      <c r="G73">
        <f t="shared" si="5"/>
        <v>18</v>
      </c>
      <c r="H73" t="str">
        <f t="shared" si="6"/>
        <v>No</v>
      </c>
      <c r="I73" t="str">
        <f t="shared" si="7"/>
        <v>Jan</v>
      </c>
      <c r="J73" s="11">
        <f t="shared" si="8"/>
        <v>4.166666666666663E-2</v>
      </c>
      <c r="K73" t="str">
        <f t="shared" si="9"/>
        <v>weekend</v>
      </c>
    </row>
    <row r="74" spans="1:11" x14ac:dyDescent="0.4">
      <c r="A74" s="2" t="s">
        <v>292</v>
      </c>
      <c r="B74" s="3">
        <v>45591</v>
      </c>
      <c r="C74" s="2" t="s">
        <v>1246</v>
      </c>
      <c r="D74" s="2" t="s">
        <v>1252</v>
      </c>
      <c r="E74" s="2">
        <v>9</v>
      </c>
      <c r="F74" s="2" t="s">
        <v>1231</v>
      </c>
      <c r="G74">
        <f t="shared" si="5"/>
        <v>9</v>
      </c>
      <c r="H74" t="str">
        <f t="shared" si="6"/>
        <v>No</v>
      </c>
      <c r="I74" t="str">
        <f t="shared" si="7"/>
        <v>Oct</v>
      </c>
      <c r="J74" s="11">
        <f t="shared" si="8"/>
        <v>7.291666666666663E-2</v>
      </c>
      <c r="K74" t="str">
        <f t="shared" si="9"/>
        <v>weekend</v>
      </c>
    </row>
    <row r="75" spans="1:11" x14ac:dyDescent="0.4">
      <c r="A75" s="2" t="s">
        <v>298</v>
      </c>
      <c r="B75" s="3">
        <v>45363</v>
      </c>
      <c r="C75" s="2" t="s">
        <v>1238</v>
      </c>
      <c r="D75" s="2" t="s">
        <v>1239</v>
      </c>
      <c r="E75" s="2">
        <v>10</v>
      </c>
      <c r="F75" s="2" t="s">
        <v>1231</v>
      </c>
      <c r="G75">
        <f t="shared" si="5"/>
        <v>10</v>
      </c>
      <c r="H75" t="str">
        <f t="shared" si="6"/>
        <v>No</v>
      </c>
      <c r="I75" t="str">
        <f t="shared" si="7"/>
        <v>Mar</v>
      </c>
      <c r="J75" s="11">
        <f t="shared" si="8"/>
        <v>0.17708333333333337</v>
      </c>
      <c r="K75" t="str">
        <f t="shared" si="9"/>
        <v>weekday</v>
      </c>
    </row>
    <row r="76" spans="1:11" x14ac:dyDescent="0.4">
      <c r="A76" s="2" t="s">
        <v>302</v>
      </c>
      <c r="B76" s="3">
        <v>45497</v>
      </c>
      <c r="C76" s="2" t="s">
        <v>1270</v>
      </c>
      <c r="D76" s="2" t="s">
        <v>1242</v>
      </c>
      <c r="E76" s="2">
        <v>9</v>
      </c>
      <c r="F76" s="2" t="s">
        <v>1234</v>
      </c>
      <c r="G76">
        <f t="shared" si="5"/>
        <v>9</v>
      </c>
      <c r="H76" t="str">
        <f t="shared" si="6"/>
        <v>No</v>
      </c>
      <c r="I76" t="str">
        <f t="shared" si="7"/>
        <v>Jul</v>
      </c>
      <c r="J76" s="11">
        <f t="shared" si="8"/>
        <v>0.28124999999999994</v>
      </c>
      <c r="K76" t="str">
        <f t="shared" si="9"/>
        <v>weekday</v>
      </c>
    </row>
    <row r="77" spans="1:11" x14ac:dyDescent="0.4">
      <c r="A77" s="2" t="s">
        <v>306</v>
      </c>
      <c r="B77" s="3">
        <v>45403</v>
      </c>
      <c r="C77" s="2" t="s">
        <v>1260</v>
      </c>
      <c r="D77" s="2" t="s">
        <v>1249</v>
      </c>
      <c r="E77" s="2">
        <v>7</v>
      </c>
      <c r="F77" s="2" t="s">
        <v>1234</v>
      </c>
      <c r="G77">
        <f t="shared" si="5"/>
        <v>21</v>
      </c>
      <c r="H77" t="str">
        <f t="shared" si="6"/>
        <v>No</v>
      </c>
      <c r="I77" t="str">
        <f t="shared" si="7"/>
        <v>Apr</v>
      </c>
      <c r="J77" s="11">
        <f t="shared" si="8"/>
        <v>0.17708333333333326</v>
      </c>
      <c r="K77" t="str">
        <f t="shared" si="9"/>
        <v>weekend</v>
      </c>
    </row>
    <row r="78" spans="1:11" x14ac:dyDescent="0.4">
      <c r="A78" s="2" t="s">
        <v>306</v>
      </c>
      <c r="B78" s="3">
        <v>45456</v>
      </c>
      <c r="C78" s="2" t="s">
        <v>1256</v>
      </c>
      <c r="D78" s="2" t="s">
        <v>1260</v>
      </c>
      <c r="E78" s="2">
        <v>6</v>
      </c>
      <c r="F78" s="2" t="s">
        <v>1231</v>
      </c>
      <c r="G78">
        <f t="shared" si="5"/>
        <v>21</v>
      </c>
      <c r="H78" t="str">
        <f t="shared" si="6"/>
        <v>No</v>
      </c>
      <c r="I78" t="str">
        <f t="shared" si="7"/>
        <v>Jun</v>
      </c>
      <c r="J78" s="11">
        <f t="shared" si="8"/>
        <v>1.041666666666663E-2</v>
      </c>
      <c r="K78" t="str">
        <f t="shared" si="9"/>
        <v>weekday</v>
      </c>
    </row>
    <row r="79" spans="1:11" x14ac:dyDescent="0.4">
      <c r="A79" s="2" t="s">
        <v>306</v>
      </c>
      <c r="B79" s="3">
        <v>45506</v>
      </c>
      <c r="C79" s="2" t="s">
        <v>1249</v>
      </c>
      <c r="D79" s="2" t="s">
        <v>1250</v>
      </c>
      <c r="E79" s="2">
        <v>8</v>
      </c>
      <c r="F79" s="2" t="s">
        <v>1231</v>
      </c>
      <c r="G79">
        <f t="shared" si="5"/>
        <v>21</v>
      </c>
      <c r="H79" t="str">
        <f t="shared" si="6"/>
        <v>No</v>
      </c>
      <c r="I79" t="str">
        <f t="shared" si="7"/>
        <v>Aug</v>
      </c>
      <c r="J79" s="11">
        <f t="shared" si="8"/>
        <v>0.15625000000000006</v>
      </c>
      <c r="K79" t="str">
        <f t="shared" si="9"/>
        <v>weekday</v>
      </c>
    </row>
    <row r="80" spans="1:11" x14ac:dyDescent="0.4">
      <c r="A80" s="2" t="s">
        <v>308</v>
      </c>
      <c r="B80" s="3">
        <v>45639</v>
      </c>
      <c r="C80" s="2" t="s">
        <v>1239</v>
      </c>
      <c r="D80" s="2" t="s">
        <v>1230</v>
      </c>
      <c r="E80" s="2">
        <v>6</v>
      </c>
      <c r="F80" s="2" t="s">
        <v>1234</v>
      </c>
      <c r="G80">
        <f t="shared" si="5"/>
        <v>13</v>
      </c>
      <c r="H80" t="str">
        <f t="shared" si="6"/>
        <v>No</v>
      </c>
      <c r="I80" t="str">
        <f t="shared" si="7"/>
        <v>Dec</v>
      </c>
      <c r="J80" s="11">
        <f t="shared" si="8"/>
        <v>3.125E-2</v>
      </c>
      <c r="K80" t="str">
        <f t="shared" si="9"/>
        <v>weekday</v>
      </c>
    </row>
    <row r="81" spans="1:11" x14ac:dyDescent="0.4">
      <c r="A81" s="2" t="s">
        <v>308</v>
      </c>
      <c r="B81" s="3">
        <v>45327</v>
      </c>
      <c r="C81" s="2" t="s">
        <v>1242</v>
      </c>
      <c r="D81" s="2" t="s">
        <v>1269</v>
      </c>
      <c r="E81" s="2">
        <v>7</v>
      </c>
      <c r="F81" s="2" t="s">
        <v>1234</v>
      </c>
      <c r="G81">
        <f t="shared" si="5"/>
        <v>13</v>
      </c>
      <c r="H81" t="str">
        <f t="shared" si="6"/>
        <v>No</v>
      </c>
      <c r="I81" t="str">
        <f t="shared" si="7"/>
        <v>Feb</v>
      </c>
      <c r="J81" s="11">
        <f t="shared" si="8"/>
        <v>0.15624999999999994</v>
      </c>
      <c r="K81" t="str">
        <f t="shared" si="9"/>
        <v>weekday</v>
      </c>
    </row>
    <row r="82" spans="1:11" x14ac:dyDescent="0.4">
      <c r="A82" s="2" t="s">
        <v>312</v>
      </c>
      <c r="B82" s="3">
        <v>45496</v>
      </c>
      <c r="C82" s="2" t="s">
        <v>1267</v>
      </c>
      <c r="D82" s="2" t="s">
        <v>1260</v>
      </c>
      <c r="E82" s="2">
        <v>8</v>
      </c>
      <c r="F82" s="2" t="s">
        <v>1231</v>
      </c>
      <c r="G82">
        <f t="shared" si="5"/>
        <v>15</v>
      </c>
      <c r="H82" t="str">
        <f t="shared" si="6"/>
        <v>No</v>
      </c>
      <c r="I82" t="str">
        <f t="shared" si="7"/>
        <v>Jul</v>
      </c>
      <c r="J82" s="11">
        <f t="shared" si="8"/>
        <v>0.30208333333333331</v>
      </c>
      <c r="K82" t="str">
        <f t="shared" si="9"/>
        <v>weekday</v>
      </c>
    </row>
    <row r="83" spans="1:11" x14ac:dyDescent="0.4">
      <c r="A83" s="2" t="s">
        <v>312</v>
      </c>
      <c r="B83" s="3">
        <v>45444</v>
      </c>
      <c r="C83" s="2" t="s">
        <v>1260</v>
      </c>
      <c r="D83" s="2" t="s">
        <v>1243</v>
      </c>
      <c r="E83" s="2">
        <v>7</v>
      </c>
      <c r="F83" s="2" t="s">
        <v>1231</v>
      </c>
      <c r="G83">
        <f t="shared" si="5"/>
        <v>15</v>
      </c>
      <c r="H83" t="str">
        <f t="shared" si="6"/>
        <v>No</v>
      </c>
      <c r="I83" t="str">
        <f t="shared" si="7"/>
        <v>Jun</v>
      </c>
      <c r="J83" s="11">
        <f t="shared" si="8"/>
        <v>3.125E-2</v>
      </c>
      <c r="K83" t="str">
        <f t="shared" si="9"/>
        <v>weekend</v>
      </c>
    </row>
    <row r="84" spans="1:11" x14ac:dyDescent="0.4">
      <c r="A84" s="2" t="s">
        <v>314</v>
      </c>
      <c r="B84" s="3">
        <v>45587</v>
      </c>
      <c r="C84" s="2" t="s">
        <v>1247</v>
      </c>
      <c r="D84" s="2" t="s">
        <v>1268</v>
      </c>
      <c r="E84" s="2">
        <v>6</v>
      </c>
      <c r="F84" s="2" t="s">
        <v>1234</v>
      </c>
      <c r="G84">
        <f t="shared" si="5"/>
        <v>6</v>
      </c>
      <c r="H84" t="str">
        <f t="shared" si="6"/>
        <v>No</v>
      </c>
      <c r="I84" t="str">
        <f t="shared" si="7"/>
        <v>Oct</v>
      </c>
      <c r="J84" s="11">
        <f t="shared" si="8"/>
        <v>0.39583333333333331</v>
      </c>
      <c r="K84" t="str">
        <f t="shared" si="9"/>
        <v>weekday</v>
      </c>
    </row>
    <row r="85" spans="1:11" x14ac:dyDescent="0.4">
      <c r="A85" s="2" t="s">
        <v>316</v>
      </c>
      <c r="B85" s="3">
        <v>45610</v>
      </c>
      <c r="C85" s="2" t="s">
        <v>1250</v>
      </c>
      <c r="D85" s="2" t="s">
        <v>1274</v>
      </c>
      <c r="E85" s="2">
        <v>6</v>
      </c>
      <c r="F85" s="2" t="s">
        <v>1234</v>
      </c>
      <c r="G85">
        <f t="shared" si="5"/>
        <v>6</v>
      </c>
      <c r="H85" t="str">
        <f t="shared" si="6"/>
        <v>No</v>
      </c>
      <c r="I85" t="str">
        <f t="shared" si="7"/>
        <v>Nov</v>
      </c>
      <c r="J85" s="11">
        <f t="shared" si="8"/>
        <v>1.0416666666666685E-2</v>
      </c>
      <c r="K85" t="str">
        <f t="shared" si="9"/>
        <v>weekday</v>
      </c>
    </row>
    <row r="86" spans="1:11" x14ac:dyDescent="0.4">
      <c r="A86" s="2" t="s">
        <v>320</v>
      </c>
      <c r="B86" s="3">
        <v>45309</v>
      </c>
      <c r="C86" s="2" t="s">
        <v>1248</v>
      </c>
      <c r="D86" s="2" t="s">
        <v>1247</v>
      </c>
      <c r="E86" s="2">
        <v>7</v>
      </c>
      <c r="F86" s="2" t="s">
        <v>1231</v>
      </c>
      <c r="G86">
        <f t="shared" si="5"/>
        <v>13</v>
      </c>
      <c r="H86" t="str">
        <f t="shared" si="6"/>
        <v>No</v>
      </c>
      <c r="I86" t="str">
        <f t="shared" si="7"/>
        <v>Jan</v>
      </c>
      <c r="J86" s="11">
        <f t="shared" si="8"/>
        <v>1.041666666666663E-2</v>
      </c>
      <c r="K86" t="str">
        <f t="shared" si="9"/>
        <v>weekday</v>
      </c>
    </row>
    <row r="87" spans="1:11" x14ac:dyDescent="0.4">
      <c r="A87" s="2" t="s">
        <v>320</v>
      </c>
      <c r="B87" s="3">
        <v>45545</v>
      </c>
      <c r="C87" s="2" t="s">
        <v>1247</v>
      </c>
      <c r="D87" s="2" t="s">
        <v>1271</v>
      </c>
      <c r="E87" s="2">
        <v>6</v>
      </c>
      <c r="F87" s="2" t="s">
        <v>1231</v>
      </c>
      <c r="G87">
        <f t="shared" si="5"/>
        <v>13</v>
      </c>
      <c r="H87" t="str">
        <f t="shared" si="6"/>
        <v>No</v>
      </c>
      <c r="I87" t="str">
        <f t="shared" si="7"/>
        <v>Sep</v>
      </c>
      <c r="J87" s="11">
        <f t="shared" si="8"/>
        <v>0.34375</v>
      </c>
      <c r="K87" t="str">
        <f t="shared" si="9"/>
        <v>weekday</v>
      </c>
    </row>
    <row r="88" spans="1:11" x14ac:dyDescent="0.4">
      <c r="A88" s="2" t="s">
        <v>326</v>
      </c>
      <c r="B88" s="3">
        <v>45622</v>
      </c>
      <c r="C88" s="2" t="s">
        <v>1229</v>
      </c>
      <c r="D88" s="2" t="s">
        <v>1252</v>
      </c>
      <c r="E88" s="2">
        <v>8</v>
      </c>
      <c r="F88" s="2" t="s">
        <v>1231</v>
      </c>
      <c r="G88">
        <f t="shared" si="5"/>
        <v>8</v>
      </c>
      <c r="H88" t="str">
        <f t="shared" si="6"/>
        <v>No</v>
      </c>
      <c r="I88" t="str">
        <f t="shared" si="7"/>
        <v>Nov</v>
      </c>
      <c r="J88" s="11">
        <f t="shared" si="8"/>
        <v>0.14583333333333331</v>
      </c>
      <c r="K88" t="str">
        <f t="shared" si="9"/>
        <v>weekday</v>
      </c>
    </row>
    <row r="89" spans="1:11" x14ac:dyDescent="0.4">
      <c r="A89" s="2" t="s">
        <v>328</v>
      </c>
      <c r="B89" s="3">
        <v>45406</v>
      </c>
      <c r="C89" s="2" t="s">
        <v>1255</v>
      </c>
      <c r="D89" s="2" t="s">
        <v>1229</v>
      </c>
      <c r="E89" s="2">
        <v>8</v>
      </c>
      <c r="F89" s="2" t="s">
        <v>1234</v>
      </c>
      <c r="G89">
        <f t="shared" si="5"/>
        <v>8</v>
      </c>
      <c r="H89" t="str">
        <f t="shared" si="6"/>
        <v>No</v>
      </c>
      <c r="I89" t="str">
        <f t="shared" si="7"/>
        <v>Apr</v>
      </c>
      <c r="J89" s="11">
        <f t="shared" si="8"/>
        <v>0.20833333333333337</v>
      </c>
      <c r="K89" t="str">
        <f t="shared" si="9"/>
        <v>weekday</v>
      </c>
    </row>
    <row r="90" spans="1:11" x14ac:dyDescent="0.4">
      <c r="A90" s="2" t="s">
        <v>336</v>
      </c>
      <c r="B90" s="3">
        <v>45552</v>
      </c>
      <c r="C90" s="2" t="s">
        <v>1250</v>
      </c>
      <c r="D90" s="2" t="s">
        <v>1262</v>
      </c>
      <c r="E90" s="2">
        <v>9</v>
      </c>
      <c r="F90" s="2" t="s">
        <v>1231</v>
      </c>
      <c r="G90">
        <f t="shared" si="5"/>
        <v>25</v>
      </c>
      <c r="H90" t="str">
        <f t="shared" si="6"/>
        <v>No</v>
      </c>
      <c r="I90" t="str">
        <f t="shared" si="7"/>
        <v>Sep</v>
      </c>
      <c r="J90" s="11">
        <f t="shared" si="8"/>
        <v>0.37500000000000006</v>
      </c>
      <c r="K90" t="str">
        <f t="shared" si="9"/>
        <v>weekday</v>
      </c>
    </row>
    <row r="91" spans="1:11" x14ac:dyDescent="0.4">
      <c r="A91" s="2" t="s">
        <v>336</v>
      </c>
      <c r="B91" s="3">
        <v>45591</v>
      </c>
      <c r="C91" s="2" t="s">
        <v>1274</v>
      </c>
      <c r="D91" s="2" t="s">
        <v>1255</v>
      </c>
      <c r="E91" s="2">
        <v>10</v>
      </c>
      <c r="F91" s="2" t="s">
        <v>1234</v>
      </c>
      <c r="G91">
        <f t="shared" si="5"/>
        <v>25</v>
      </c>
      <c r="H91" t="str">
        <f t="shared" si="6"/>
        <v>No</v>
      </c>
      <c r="I91" t="str">
        <f t="shared" si="7"/>
        <v>Oct</v>
      </c>
      <c r="J91" s="11">
        <f t="shared" si="8"/>
        <v>0.17708333333333337</v>
      </c>
      <c r="K91" t="str">
        <f t="shared" si="9"/>
        <v>weekend</v>
      </c>
    </row>
    <row r="92" spans="1:11" x14ac:dyDescent="0.4">
      <c r="A92" s="2" t="s">
        <v>336</v>
      </c>
      <c r="B92" s="3">
        <v>45556</v>
      </c>
      <c r="C92" s="2" t="s">
        <v>1239</v>
      </c>
      <c r="D92" s="2" t="s">
        <v>1242</v>
      </c>
      <c r="E92" s="2">
        <v>6</v>
      </c>
      <c r="F92" s="2" t="s">
        <v>1231</v>
      </c>
      <c r="G92">
        <f t="shared" si="5"/>
        <v>25</v>
      </c>
      <c r="H92" t="str">
        <f t="shared" si="6"/>
        <v>No</v>
      </c>
      <c r="I92" t="str">
        <f t="shared" si="7"/>
        <v>Sep</v>
      </c>
      <c r="J92" s="11">
        <f t="shared" si="8"/>
        <v>0.11458333333333331</v>
      </c>
      <c r="K92" t="str">
        <f t="shared" si="9"/>
        <v>weekend</v>
      </c>
    </row>
    <row r="93" spans="1:11" x14ac:dyDescent="0.4">
      <c r="A93" s="2" t="s">
        <v>342</v>
      </c>
      <c r="B93" s="3">
        <v>45296</v>
      </c>
      <c r="C93" s="2" t="s">
        <v>1237</v>
      </c>
      <c r="D93" s="2" t="s">
        <v>1261</v>
      </c>
      <c r="E93" s="2">
        <v>8</v>
      </c>
      <c r="F93" s="2" t="s">
        <v>1234</v>
      </c>
      <c r="G93">
        <f t="shared" si="5"/>
        <v>26</v>
      </c>
      <c r="H93" t="str">
        <f t="shared" si="6"/>
        <v>No</v>
      </c>
      <c r="I93" t="str">
        <f t="shared" si="7"/>
        <v>Jan</v>
      </c>
      <c r="J93" s="11">
        <f t="shared" si="8"/>
        <v>3.125E-2</v>
      </c>
      <c r="K93" t="str">
        <f t="shared" si="9"/>
        <v>weekday</v>
      </c>
    </row>
    <row r="94" spans="1:11" x14ac:dyDescent="0.4">
      <c r="A94" s="2" t="s">
        <v>342</v>
      </c>
      <c r="B94" s="3">
        <v>45455</v>
      </c>
      <c r="C94" s="2" t="s">
        <v>1241</v>
      </c>
      <c r="D94" s="2" t="s">
        <v>1254</v>
      </c>
      <c r="E94" s="2">
        <v>10</v>
      </c>
      <c r="F94" s="2" t="s">
        <v>1231</v>
      </c>
      <c r="G94">
        <f t="shared" si="5"/>
        <v>26</v>
      </c>
      <c r="H94" t="str">
        <f t="shared" si="6"/>
        <v>No</v>
      </c>
      <c r="I94" t="str">
        <f t="shared" si="7"/>
        <v>Jun</v>
      </c>
      <c r="J94" s="11">
        <f t="shared" si="8"/>
        <v>2.083333333333337E-2</v>
      </c>
      <c r="K94" t="str">
        <f t="shared" si="9"/>
        <v>weekday</v>
      </c>
    </row>
    <row r="95" spans="1:11" x14ac:dyDescent="0.4">
      <c r="A95" s="2" t="s">
        <v>342</v>
      </c>
      <c r="B95" s="3">
        <v>45313</v>
      </c>
      <c r="C95" s="2" t="s">
        <v>1265</v>
      </c>
      <c r="D95" s="2" t="s">
        <v>1238</v>
      </c>
      <c r="E95" s="2">
        <v>8</v>
      </c>
      <c r="F95" s="2" t="s">
        <v>1234</v>
      </c>
      <c r="G95">
        <f t="shared" si="5"/>
        <v>26</v>
      </c>
      <c r="H95" t="str">
        <f t="shared" si="6"/>
        <v>No</v>
      </c>
      <c r="I95" t="str">
        <f t="shared" si="7"/>
        <v>Jan</v>
      </c>
      <c r="J95" s="11">
        <f t="shared" si="8"/>
        <v>7.291666666666663E-2</v>
      </c>
      <c r="K95" t="str">
        <f t="shared" si="9"/>
        <v>weekday</v>
      </c>
    </row>
    <row r="96" spans="1:11" x14ac:dyDescent="0.4">
      <c r="A96" s="2" t="s">
        <v>348</v>
      </c>
      <c r="B96" s="3">
        <v>45311</v>
      </c>
      <c r="C96" s="2" t="s">
        <v>1240</v>
      </c>
      <c r="D96" s="2" t="s">
        <v>1230</v>
      </c>
      <c r="E96" s="2">
        <v>8</v>
      </c>
      <c r="F96" s="2" t="s">
        <v>1231</v>
      </c>
      <c r="G96">
        <f t="shared" si="5"/>
        <v>15</v>
      </c>
      <c r="H96" t="str">
        <f t="shared" si="6"/>
        <v>No</v>
      </c>
      <c r="I96" t="str">
        <f t="shared" si="7"/>
        <v>Jan</v>
      </c>
      <c r="J96" s="11">
        <f t="shared" si="8"/>
        <v>9.375E-2</v>
      </c>
      <c r="K96" t="str">
        <f t="shared" si="9"/>
        <v>weekend</v>
      </c>
    </row>
    <row r="97" spans="1:11" x14ac:dyDescent="0.4">
      <c r="A97" s="2" t="s">
        <v>348</v>
      </c>
      <c r="B97" s="3">
        <v>45314</v>
      </c>
      <c r="C97" s="2" t="s">
        <v>1249</v>
      </c>
      <c r="D97" s="2" t="s">
        <v>1248</v>
      </c>
      <c r="E97" s="2">
        <v>7</v>
      </c>
      <c r="F97" s="2" t="s">
        <v>1234</v>
      </c>
      <c r="G97">
        <f t="shared" si="5"/>
        <v>15</v>
      </c>
      <c r="H97" t="str">
        <f t="shared" si="6"/>
        <v>No</v>
      </c>
      <c r="I97" t="str">
        <f t="shared" si="7"/>
        <v>Jan</v>
      </c>
      <c r="J97" s="11">
        <f t="shared" si="8"/>
        <v>0.25</v>
      </c>
      <c r="K97" t="str">
        <f t="shared" si="9"/>
        <v>weekday</v>
      </c>
    </row>
    <row r="98" spans="1:11" x14ac:dyDescent="0.4">
      <c r="A98" s="2" t="s">
        <v>350</v>
      </c>
      <c r="B98" s="3">
        <v>45425</v>
      </c>
      <c r="C98" s="2" t="s">
        <v>1249</v>
      </c>
      <c r="D98" s="2" t="s">
        <v>1236</v>
      </c>
      <c r="E98" s="2">
        <v>9</v>
      </c>
      <c r="F98" s="2" t="s">
        <v>1231</v>
      </c>
      <c r="G98">
        <f t="shared" si="5"/>
        <v>9</v>
      </c>
      <c r="H98" t="str">
        <f t="shared" si="6"/>
        <v>No</v>
      </c>
      <c r="I98" t="str">
        <f t="shared" si="7"/>
        <v>May</v>
      </c>
      <c r="J98" s="11">
        <f t="shared" si="8"/>
        <v>2.0833333333333259E-2</v>
      </c>
      <c r="K98" t="str">
        <f t="shared" si="9"/>
        <v>weekday</v>
      </c>
    </row>
    <row r="99" spans="1:11" x14ac:dyDescent="0.4">
      <c r="A99" s="2" t="s">
        <v>354</v>
      </c>
      <c r="B99" s="3">
        <v>45424</v>
      </c>
      <c r="C99" s="2" t="s">
        <v>1272</v>
      </c>
      <c r="D99" s="2" t="s">
        <v>1262</v>
      </c>
      <c r="E99" s="2">
        <v>6</v>
      </c>
      <c r="F99" s="2" t="s">
        <v>1231</v>
      </c>
      <c r="G99">
        <f t="shared" si="5"/>
        <v>12</v>
      </c>
      <c r="H99" t="str">
        <f t="shared" si="6"/>
        <v>No</v>
      </c>
      <c r="I99" t="str">
        <f t="shared" si="7"/>
        <v>May</v>
      </c>
      <c r="J99" s="11">
        <f t="shared" si="8"/>
        <v>0.17708333333333337</v>
      </c>
      <c r="K99" t="str">
        <f t="shared" si="9"/>
        <v>weekend</v>
      </c>
    </row>
    <row r="100" spans="1:11" x14ac:dyDescent="0.4">
      <c r="A100" s="2" t="s">
        <v>354</v>
      </c>
      <c r="B100" s="3">
        <v>45324</v>
      </c>
      <c r="C100" s="2" t="s">
        <v>1263</v>
      </c>
      <c r="D100" s="2" t="s">
        <v>1265</v>
      </c>
      <c r="E100" s="2">
        <v>6</v>
      </c>
      <c r="F100" s="2" t="s">
        <v>1234</v>
      </c>
      <c r="G100">
        <f t="shared" si="5"/>
        <v>12</v>
      </c>
      <c r="H100" t="str">
        <f t="shared" si="6"/>
        <v>No</v>
      </c>
      <c r="I100" t="str">
        <f t="shared" si="7"/>
        <v>Feb</v>
      </c>
      <c r="J100" s="11">
        <f t="shared" si="8"/>
        <v>0.10416666666666663</v>
      </c>
      <c r="K100" t="str">
        <f t="shared" si="9"/>
        <v>weekday</v>
      </c>
    </row>
    <row r="101" spans="1:11" x14ac:dyDescent="0.4">
      <c r="A101" s="2" t="s">
        <v>356</v>
      </c>
      <c r="B101" s="3">
        <v>45407</v>
      </c>
      <c r="C101" s="2" t="s">
        <v>1233</v>
      </c>
      <c r="D101" s="2" t="s">
        <v>1235</v>
      </c>
      <c r="E101" s="2">
        <v>8</v>
      </c>
      <c r="F101" s="2" t="s">
        <v>1234</v>
      </c>
      <c r="G101">
        <f t="shared" si="5"/>
        <v>8</v>
      </c>
      <c r="H101" t="str">
        <f t="shared" si="6"/>
        <v>No</v>
      </c>
      <c r="I101" t="str">
        <f t="shared" si="7"/>
        <v>Apr</v>
      </c>
      <c r="J101" s="11">
        <f t="shared" si="8"/>
        <v>7.291666666666663E-2</v>
      </c>
      <c r="K101" t="str">
        <f t="shared" si="9"/>
        <v>weekday</v>
      </c>
    </row>
    <row r="102" spans="1:11" x14ac:dyDescent="0.4">
      <c r="A102" s="2" t="s">
        <v>358</v>
      </c>
      <c r="B102" s="3">
        <v>45469</v>
      </c>
      <c r="C102" s="2" t="s">
        <v>1271</v>
      </c>
      <c r="D102" s="2" t="s">
        <v>1252</v>
      </c>
      <c r="E102" s="2">
        <v>7</v>
      </c>
      <c r="F102" s="2" t="s">
        <v>1231</v>
      </c>
      <c r="G102">
        <f t="shared" si="5"/>
        <v>7</v>
      </c>
      <c r="H102" t="str">
        <f t="shared" si="6"/>
        <v>No</v>
      </c>
      <c r="I102" t="str">
        <f t="shared" si="7"/>
        <v>Jun</v>
      </c>
      <c r="J102" s="11">
        <f t="shared" si="8"/>
        <v>5.2083333333333315E-2</v>
      </c>
      <c r="K102" t="str">
        <f t="shared" si="9"/>
        <v>weekday</v>
      </c>
    </row>
    <row r="103" spans="1:11" x14ac:dyDescent="0.4">
      <c r="A103" s="2" t="s">
        <v>362</v>
      </c>
      <c r="B103" s="3">
        <v>45404</v>
      </c>
      <c r="C103" s="2" t="s">
        <v>1242</v>
      </c>
      <c r="D103" s="2" t="s">
        <v>1250</v>
      </c>
      <c r="E103" s="2">
        <v>10</v>
      </c>
      <c r="F103" s="2" t="s">
        <v>1231</v>
      </c>
      <c r="G103">
        <f t="shared" si="5"/>
        <v>10</v>
      </c>
      <c r="H103" t="str">
        <f t="shared" si="6"/>
        <v>No</v>
      </c>
      <c r="I103" t="str">
        <f t="shared" si="7"/>
        <v>Apr</v>
      </c>
      <c r="J103" s="11">
        <f t="shared" si="8"/>
        <v>1.041666666666663E-2</v>
      </c>
      <c r="K103" t="str">
        <f t="shared" si="9"/>
        <v>weekday</v>
      </c>
    </row>
    <row r="104" spans="1:11" x14ac:dyDescent="0.4">
      <c r="A104" s="2" t="s">
        <v>366</v>
      </c>
      <c r="B104" s="3">
        <v>45632</v>
      </c>
      <c r="C104" s="2" t="s">
        <v>1270</v>
      </c>
      <c r="D104" s="2" t="s">
        <v>1229</v>
      </c>
      <c r="E104" s="2">
        <v>9</v>
      </c>
      <c r="F104" s="2" t="s">
        <v>1231</v>
      </c>
      <c r="G104">
        <f t="shared" si="5"/>
        <v>9</v>
      </c>
      <c r="H104" t="str">
        <f t="shared" si="6"/>
        <v>No</v>
      </c>
      <c r="I104" t="str">
        <f t="shared" si="7"/>
        <v>Dec</v>
      </c>
      <c r="J104" s="11">
        <f t="shared" si="8"/>
        <v>0.29166666666666663</v>
      </c>
      <c r="K104" t="str">
        <f t="shared" si="9"/>
        <v>weekday</v>
      </c>
    </row>
    <row r="105" spans="1:11" x14ac:dyDescent="0.4">
      <c r="A105" s="2" t="s">
        <v>368</v>
      </c>
      <c r="B105" s="3">
        <v>45449</v>
      </c>
      <c r="C105" s="2" t="s">
        <v>1263</v>
      </c>
      <c r="D105" s="2" t="s">
        <v>1232</v>
      </c>
      <c r="E105" s="2">
        <v>8</v>
      </c>
      <c r="F105" s="2" t="s">
        <v>1231</v>
      </c>
      <c r="G105">
        <f t="shared" si="5"/>
        <v>8</v>
      </c>
      <c r="H105" t="str">
        <f t="shared" si="6"/>
        <v>No</v>
      </c>
      <c r="I105" t="str">
        <f t="shared" si="7"/>
        <v>Jun</v>
      </c>
      <c r="J105" s="11">
        <f t="shared" si="8"/>
        <v>4.1666666666666741E-2</v>
      </c>
      <c r="K105" t="str">
        <f t="shared" si="9"/>
        <v>weekday</v>
      </c>
    </row>
    <row r="106" spans="1:11" x14ac:dyDescent="0.4">
      <c r="A106" s="2" t="s">
        <v>382</v>
      </c>
      <c r="B106" s="3">
        <v>45441</v>
      </c>
      <c r="C106" s="2" t="s">
        <v>1250</v>
      </c>
      <c r="D106" s="2" t="s">
        <v>1242</v>
      </c>
      <c r="E106" s="2">
        <v>6</v>
      </c>
      <c r="F106" s="2" t="s">
        <v>1234</v>
      </c>
      <c r="G106">
        <f t="shared" si="5"/>
        <v>6</v>
      </c>
      <c r="H106" t="str">
        <f t="shared" si="6"/>
        <v>No</v>
      </c>
      <c r="I106" t="str">
        <f t="shared" si="7"/>
        <v>May</v>
      </c>
      <c r="J106" s="11">
        <f t="shared" si="8"/>
        <v>1.041666666666663E-2</v>
      </c>
      <c r="K106" t="str">
        <f t="shared" si="9"/>
        <v>weekday</v>
      </c>
    </row>
    <row r="107" spans="1:11" x14ac:dyDescent="0.4">
      <c r="A107" s="2" t="s">
        <v>388</v>
      </c>
      <c r="B107" s="3">
        <v>45321</v>
      </c>
      <c r="C107" s="2" t="s">
        <v>1253</v>
      </c>
      <c r="D107" s="2" t="s">
        <v>1264</v>
      </c>
      <c r="E107" s="2">
        <v>8</v>
      </c>
      <c r="F107" s="2" t="s">
        <v>1231</v>
      </c>
      <c r="G107">
        <f t="shared" si="5"/>
        <v>8</v>
      </c>
      <c r="H107" t="str">
        <f t="shared" si="6"/>
        <v>No</v>
      </c>
      <c r="I107" t="str">
        <f t="shared" si="7"/>
        <v>Jan</v>
      </c>
      <c r="J107" s="11">
        <f t="shared" si="8"/>
        <v>0.17708333333333337</v>
      </c>
      <c r="K107" t="str">
        <f t="shared" si="9"/>
        <v>weekday</v>
      </c>
    </row>
    <row r="108" spans="1:11" x14ac:dyDescent="0.4">
      <c r="A108" s="2" t="s">
        <v>390</v>
      </c>
      <c r="B108" s="3">
        <v>45594</v>
      </c>
      <c r="C108" s="2" t="s">
        <v>1243</v>
      </c>
      <c r="D108" s="2" t="s">
        <v>1251</v>
      </c>
      <c r="E108" s="2">
        <v>9</v>
      </c>
      <c r="F108" s="2" t="s">
        <v>1231</v>
      </c>
      <c r="G108">
        <f t="shared" si="5"/>
        <v>9</v>
      </c>
      <c r="H108" t="str">
        <f t="shared" si="6"/>
        <v>No</v>
      </c>
      <c r="I108" t="str">
        <f t="shared" si="7"/>
        <v>Oct</v>
      </c>
      <c r="J108" s="11">
        <f t="shared" si="8"/>
        <v>1.041666666666663E-2</v>
      </c>
      <c r="K108" t="str">
        <f t="shared" si="9"/>
        <v>weekday</v>
      </c>
    </row>
    <row r="109" spans="1:11" x14ac:dyDescent="0.4">
      <c r="A109" s="2" t="s">
        <v>398</v>
      </c>
      <c r="B109" s="3">
        <v>45419</v>
      </c>
      <c r="C109" s="2" t="s">
        <v>1266</v>
      </c>
      <c r="D109" s="2" t="s">
        <v>1266</v>
      </c>
      <c r="E109" s="2">
        <v>8</v>
      </c>
      <c r="F109" s="2" t="s">
        <v>1234</v>
      </c>
      <c r="G109">
        <f t="shared" si="5"/>
        <v>15</v>
      </c>
      <c r="H109" t="str">
        <f t="shared" si="6"/>
        <v>No</v>
      </c>
      <c r="I109" t="str">
        <f t="shared" si="7"/>
        <v>May</v>
      </c>
      <c r="J109" s="11">
        <f t="shared" si="8"/>
        <v>0</v>
      </c>
      <c r="K109" t="str">
        <f t="shared" si="9"/>
        <v>weekday</v>
      </c>
    </row>
    <row r="110" spans="1:11" x14ac:dyDescent="0.4">
      <c r="A110" s="2" t="s">
        <v>398</v>
      </c>
      <c r="B110" s="3">
        <v>45424</v>
      </c>
      <c r="C110" s="2" t="s">
        <v>1258</v>
      </c>
      <c r="D110" s="2" t="s">
        <v>1254</v>
      </c>
      <c r="E110" s="2">
        <v>7</v>
      </c>
      <c r="F110" s="2" t="s">
        <v>1231</v>
      </c>
      <c r="G110">
        <f t="shared" si="5"/>
        <v>15</v>
      </c>
      <c r="H110" t="str">
        <f t="shared" si="6"/>
        <v>No</v>
      </c>
      <c r="I110" t="str">
        <f t="shared" si="7"/>
        <v>May</v>
      </c>
      <c r="J110" s="11">
        <f t="shared" si="8"/>
        <v>0.26041666666666669</v>
      </c>
      <c r="K110" t="str">
        <f t="shared" si="9"/>
        <v>weekend</v>
      </c>
    </row>
    <row r="111" spans="1:11" x14ac:dyDescent="0.4">
      <c r="A111" s="2" t="s">
        <v>404</v>
      </c>
      <c r="B111" s="3">
        <v>45618</v>
      </c>
      <c r="C111" s="2" t="s">
        <v>1258</v>
      </c>
      <c r="D111" s="2" t="s">
        <v>1242</v>
      </c>
      <c r="E111" s="2">
        <v>9</v>
      </c>
      <c r="F111" s="2" t="s">
        <v>1234</v>
      </c>
      <c r="G111">
        <f t="shared" si="5"/>
        <v>9</v>
      </c>
      <c r="H111" t="str">
        <f t="shared" si="6"/>
        <v>No</v>
      </c>
      <c r="I111" t="str">
        <f t="shared" si="7"/>
        <v>Nov</v>
      </c>
      <c r="J111" s="11">
        <f t="shared" si="8"/>
        <v>0.35416666666666669</v>
      </c>
      <c r="K111" t="str">
        <f t="shared" si="9"/>
        <v>weekday</v>
      </c>
    </row>
    <row r="112" spans="1:11" x14ac:dyDescent="0.4">
      <c r="A112" s="2" t="s">
        <v>410</v>
      </c>
      <c r="B112" s="3">
        <v>45507</v>
      </c>
      <c r="C112" s="2" t="s">
        <v>1232</v>
      </c>
      <c r="D112" s="2" t="s">
        <v>1259</v>
      </c>
      <c r="E112" s="2">
        <v>6</v>
      </c>
      <c r="F112" s="2" t="s">
        <v>1231</v>
      </c>
      <c r="G112">
        <f t="shared" si="5"/>
        <v>6</v>
      </c>
      <c r="H112" t="str">
        <f t="shared" si="6"/>
        <v>No</v>
      </c>
      <c r="I112" t="str">
        <f t="shared" si="7"/>
        <v>Aug</v>
      </c>
      <c r="J112" s="11">
        <f t="shared" si="8"/>
        <v>0.23958333333333331</v>
      </c>
      <c r="K112" t="str">
        <f t="shared" si="9"/>
        <v>weekend</v>
      </c>
    </row>
    <row r="113" spans="1:11" x14ac:dyDescent="0.4">
      <c r="A113" s="2" t="s">
        <v>414</v>
      </c>
      <c r="B113" s="3">
        <v>45305</v>
      </c>
      <c r="C113" s="2" t="s">
        <v>1265</v>
      </c>
      <c r="D113" s="2" t="s">
        <v>1259</v>
      </c>
      <c r="E113" s="2">
        <v>8</v>
      </c>
      <c r="F113" s="2" t="s">
        <v>1234</v>
      </c>
      <c r="G113">
        <f t="shared" si="5"/>
        <v>36</v>
      </c>
      <c r="H113" t="str">
        <f t="shared" si="6"/>
        <v>No</v>
      </c>
      <c r="I113" t="str">
        <f t="shared" si="7"/>
        <v>Jan</v>
      </c>
      <c r="J113" s="11">
        <f t="shared" si="8"/>
        <v>0.38541666666666669</v>
      </c>
      <c r="K113" t="str">
        <f t="shared" si="9"/>
        <v>weekend</v>
      </c>
    </row>
    <row r="114" spans="1:11" x14ac:dyDescent="0.4">
      <c r="A114" s="2" t="s">
        <v>414</v>
      </c>
      <c r="B114" s="3">
        <v>45438</v>
      </c>
      <c r="C114" s="2" t="s">
        <v>1265</v>
      </c>
      <c r="D114" s="2" t="s">
        <v>1253</v>
      </c>
      <c r="E114" s="2">
        <v>9</v>
      </c>
      <c r="F114" s="2" t="s">
        <v>1231</v>
      </c>
      <c r="G114">
        <f t="shared" si="5"/>
        <v>36</v>
      </c>
      <c r="H114" t="str">
        <f t="shared" si="6"/>
        <v>No</v>
      </c>
      <c r="I114" t="str">
        <f t="shared" si="7"/>
        <v>May</v>
      </c>
      <c r="J114" s="11">
        <f t="shared" si="8"/>
        <v>0.13541666666666663</v>
      </c>
      <c r="K114" t="str">
        <f t="shared" si="9"/>
        <v>weekend</v>
      </c>
    </row>
    <row r="115" spans="1:11" x14ac:dyDescent="0.4">
      <c r="A115" s="2" t="s">
        <v>414</v>
      </c>
      <c r="B115" s="3">
        <v>45582</v>
      </c>
      <c r="C115" s="2" t="s">
        <v>1262</v>
      </c>
      <c r="D115" s="2" t="s">
        <v>1233</v>
      </c>
      <c r="E115" s="2">
        <v>10</v>
      </c>
      <c r="F115" s="2" t="s">
        <v>1231</v>
      </c>
      <c r="G115">
        <f t="shared" si="5"/>
        <v>36</v>
      </c>
      <c r="H115" t="str">
        <f t="shared" si="6"/>
        <v>No</v>
      </c>
      <c r="I115" t="str">
        <f t="shared" si="7"/>
        <v>Oct</v>
      </c>
      <c r="J115" s="11">
        <f t="shared" si="8"/>
        <v>6.25E-2</v>
      </c>
      <c r="K115" t="str">
        <f t="shared" si="9"/>
        <v>weekday</v>
      </c>
    </row>
    <row r="116" spans="1:11" x14ac:dyDescent="0.4">
      <c r="A116" s="2" t="s">
        <v>414</v>
      </c>
      <c r="B116" s="3">
        <v>45598</v>
      </c>
      <c r="C116" s="2" t="s">
        <v>1260</v>
      </c>
      <c r="D116" s="2" t="s">
        <v>1247</v>
      </c>
      <c r="E116" s="2">
        <v>9</v>
      </c>
      <c r="F116" s="2" t="s">
        <v>1234</v>
      </c>
      <c r="G116">
        <f t="shared" si="5"/>
        <v>36</v>
      </c>
      <c r="H116" t="str">
        <f t="shared" si="6"/>
        <v>No</v>
      </c>
      <c r="I116" t="str">
        <f t="shared" si="7"/>
        <v>Nov</v>
      </c>
      <c r="J116" s="11">
        <f t="shared" si="8"/>
        <v>8.333333333333337E-2</v>
      </c>
      <c r="K116" t="str">
        <f t="shared" si="9"/>
        <v>weekend</v>
      </c>
    </row>
    <row r="117" spans="1:11" x14ac:dyDescent="0.4">
      <c r="A117" s="2" t="s">
        <v>416</v>
      </c>
      <c r="B117" s="3">
        <v>45354</v>
      </c>
      <c r="C117" s="2" t="s">
        <v>1258</v>
      </c>
      <c r="D117" s="2" t="s">
        <v>1248</v>
      </c>
      <c r="E117" s="2">
        <v>6</v>
      </c>
      <c r="F117" s="2" t="s">
        <v>1234</v>
      </c>
      <c r="G117">
        <f t="shared" si="5"/>
        <v>6</v>
      </c>
      <c r="H117" t="str">
        <f t="shared" si="6"/>
        <v>No</v>
      </c>
      <c r="I117" t="str">
        <f t="shared" si="7"/>
        <v>Mar</v>
      </c>
      <c r="J117" s="11">
        <f t="shared" si="8"/>
        <v>6.25E-2</v>
      </c>
      <c r="K117" t="str">
        <f t="shared" si="9"/>
        <v>weekend</v>
      </c>
    </row>
    <row r="118" spans="1:11" x14ac:dyDescent="0.4">
      <c r="A118" s="2" t="s">
        <v>424</v>
      </c>
      <c r="B118" s="3">
        <v>45540</v>
      </c>
      <c r="C118" s="2" t="s">
        <v>1252</v>
      </c>
      <c r="D118" s="2" t="s">
        <v>1250</v>
      </c>
      <c r="E118" s="2">
        <v>10</v>
      </c>
      <c r="F118" s="2" t="s">
        <v>1231</v>
      </c>
      <c r="G118">
        <f t="shared" si="5"/>
        <v>16</v>
      </c>
      <c r="H118" t="str">
        <f t="shared" si="6"/>
        <v>No</v>
      </c>
      <c r="I118" t="str">
        <f t="shared" si="7"/>
        <v>Sep</v>
      </c>
      <c r="J118" s="11">
        <f t="shared" si="8"/>
        <v>0.125</v>
      </c>
      <c r="K118" t="str">
        <f t="shared" si="9"/>
        <v>weekday</v>
      </c>
    </row>
    <row r="119" spans="1:11" x14ac:dyDescent="0.4">
      <c r="A119" s="2" t="s">
        <v>424</v>
      </c>
      <c r="B119" s="3">
        <v>45619</v>
      </c>
      <c r="C119" s="2" t="s">
        <v>1256</v>
      </c>
      <c r="D119" s="2" t="s">
        <v>1238</v>
      </c>
      <c r="E119" s="2">
        <v>6</v>
      </c>
      <c r="F119" s="2" t="s">
        <v>1231</v>
      </c>
      <c r="G119">
        <f t="shared" si="5"/>
        <v>16</v>
      </c>
      <c r="H119" t="str">
        <f t="shared" si="6"/>
        <v>No</v>
      </c>
      <c r="I119" t="str">
        <f t="shared" si="7"/>
        <v>Nov</v>
      </c>
      <c r="J119" s="11">
        <f t="shared" si="8"/>
        <v>4.166666666666663E-2</v>
      </c>
      <c r="K119" t="str">
        <f t="shared" si="9"/>
        <v>weekend</v>
      </c>
    </row>
    <row r="120" spans="1:11" x14ac:dyDescent="0.4">
      <c r="A120" s="2" t="s">
        <v>430</v>
      </c>
      <c r="B120" s="3">
        <v>45448</v>
      </c>
      <c r="C120" s="2" t="s">
        <v>1240</v>
      </c>
      <c r="D120" s="2" t="s">
        <v>1269</v>
      </c>
      <c r="E120" s="2">
        <v>8</v>
      </c>
      <c r="F120" s="2" t="s">
        <v>1231</v>
      </c>
      <c r="G120">
        <f t="shared" si="5"/>
        <v>35</v>
      </c>
      <c r="H120" t="str">
        <f t="shared" si="6"/>
        <v>No</v>
      </c>
      <c r="I120" t="str">
        <f t="shared" si="7"/>
        <v>Jun</v>
      </c>
      <c r="J120" s="11">
        <f t="shared" si="8"/>
        <v>8.333333333333337E-2</v>
      </c>
      <c r="K120" t="str">
        <f t="shared" si="9"/>
        <v>weekday</v>
      </c>
    </row>
    <row r="121" spans="1:11" x14ac:dyDescent="0.4">
      <c r="A121" s="2" t="s">
        <v>430</v>
      </c>
      <c r="B121" s="3">
        <v>45476</v>
      </c>
      <c r="C121" s="2" t="s">
        <v>1242</v>
      </c>
      <c r="D121" s="2" t="s">
        <v>1257</v>
      </c>
      <c r="E121" s="2">
        <v>9</v>
      </c>
      <c r="F121" s="2" t="s">
        <v>1234</v>
      </c>
      <c r="G121">
        <f t="shared" si="5"/>
        <v>35</v>
      </c>
      <c r="H121" t="str">
        <f t="shared" si="6"/>
        <v>No</v>
      </c>
      <c r="I121" t="str">
        <f t="shared" si="7"/>
        <v>Jul</v>
      </c>
      <c r="J121" s="11">
        <f t="shared" si="8"/>
        <v>0.17708333333333331</v>
      </c>
      <c r="K121" t="str">
        <f t="shared" si="9"/>
        <v>weekday</v>
      </c>
    </row>
    <row r="122" spans="1:11" x14ac:dyDescent="0.4">
      <c r="A122" s="2" t="s">
        <v>430</v>
      </c>
      <c r="B122" s="3">
        <v>45375</v>
      </c>
      <c r="C122" s="2" t="s">
        <v>1230</v>
      </c>
      <c r="D122" s="2" t="s">
        <v>1256</v>
      </c>
      <c r="E122" s="2">
        <v>8</v>
      </c>
      <c r="F122" s="2" t="s">
        <v>1231</v>
      </c>
      <c r="G122">
        <f t="shared" si="5"/>
        <v>35</v>
      </c>
      <c r="H122" t="str">
        <f t="shared" si="6"/>
        <v>No</v>
      </c>
      <c r="I122" t="str">
        <f t="shared" si="7"/>
        <v>Mar</v>
      </c>
      <c r="J122" s="11">
        <f t="shared" si="8"/>
        <v>0.1875</v>
      </c>
      <c r="K122" t="str">
        <f t="shared" si="9"/>
        <v>weekend</v>
      </c>
    </row>
    <row r="123" spans="1:11" x14ac:dyDescent="0.4">
      <c r="A123" s="2" t="s">
        <v>430</v>
      </c>
      <c r="B123" s="3">
        <v>45536</v>
      </c>
      <c r="C123" s="2" t="s">
        <v>1263</v>
      </c>
      <c r="D123" s="2" t="s">
        <v>1241</v>
      </c>
      <c r="E123" s="2">
        <v>10</v>
      </c>
      <c r="F123" s="2" t="s">
        <v>1231</v>
      </c>
      <c r="G123">
        <f t="shared" si="5"/>
        <v>35</v>
      </c>
      <c r="H123" t="str">
        <f t="shared" si="6"/>
        <v>No</v>
      </c>
      <c r="I123" t="str">
        <f t="shared" si="7"/>
        <v>Sep</v>
      </c>
      <c r="J123" s="11">
        <f t="shared" si="8"/>
        <v>0.18750000000000006</v>
      </c>
      <c r="K123" t="str">
        <f t="shared" si="9"/>
        <v>weekend</v>
      </c>
    </row>
    <row r="124" spans="1:11" x14ac:dyDescent="0.4">
      <c r="A124" s="2" t="s">
        <v>438</v>
      </c>
      <c r="B124" s="3">
        <v>45380</v>
      </c>
      <c r="C124" s="2" t="s">
        <v>1262</v>
      </c>
      <c r="D124" s="2" t="s">
        <v>1268</v>
      </c>
      <c r="E124" s="2">
        <v>6</v>
      </c>
      <c r="F124" s="2" t="s">
        <v>1234</v>
      </c>
      <c r="G124">
        <f t="shared" si="5"/>
        <v>6</v>
      </c>
      <c r="H124" t="str">
        <f t="shared" si="6"/>
        <v>No</v>
      </c>
      <c r="I124" t="str">
        <f t="shared" si="7"/>
        <v>Mar</v>
      </c>
      <c r="J124" s="11">
        <f t="shared" si="8"/>
        <v>0.35416666666666669</v>
      </c>
      <c r="K124" t="str">
        <f t="shared" si="9"/>
        <v>weekday</v>
      </c>
    </row>
    <row r="125" spans="1:11" x14ac:dyDescent="0.4">
      <c r="A125" s="2" t="s">
        <v>442</v>
      </c>
      <c r="B125" s="3">
        <v>45444</v>
      </c>
      <c r="C125" s="2" t="s">
        <v>1259</v>
      </c>
      <c r="D125" s="2" t="s">
        <v>1260</v>
      </c>
      <c r="E125" s="2">
        <v>8</v>
      </c>
      <c r="F125" s="2" t="s">
        <v>1231</v>
      </c>
      <c r="G125">
        <f t="shared" si="5"/>
        <v>14</v>
      </c>
      <c r="H125" t="str">
        <f t="shared" si="6"/>
        <v>No</v>
      </c>
      <c r="I125" t="str">
        <f t="shared" si="7"/>
        <v>Jun</v>
      </c>
      <c r="J125" s="11">
        <f t="shared" si="8"/>
        <v>0.36458333333333331</v>
      </c>
      <c r="K125" t="str">
        <f t="shared" si="9"/>
        <v>weekend</v>
      </c>
    </row>
    <row r="126" spans="1:11" x14ac:dyDescent="0.4">
      <c r="A126" s="2" t="s">
        <v>442</v>
      </c>
      <c r="B126" s="3">
        <v>45389</v>
      </c>
      <c r="C126" s="2" t="s">
        <v>1274</v>
      </c>
      <c r="D126" s="2" t="s">
        <v>1260</v>
      </c>
      <c r="E126" s="2">
        <v>6</v>
      </c>
      <c r="F126" s="2" t="s">
        <v>1234</v>
      </c>
      <c r="G126">
        <f t="shared" si="5"/>
        <v>14</v>
      </c>
      <c r="H126" t="str">
        <f t="shared" si="6"/>
        <v>No</v>
      </c>
      <c r="I126" t="str">
        <f t="shared" si="7"/>
        <v>Apr</v>
      </c>
      <c r="J126" s="11">
        <f t="shared" si="8"/>
        <v>0.32291666666666663</v>
      </c>
      <c r="K126" t="str">
        <f t="shared" si="9"/>
        <v>weekend</v>
      </c>
    </row>
    <row r="127" spans="1:11" x14ac:dyDescent="0.4">
      <c r="A127" s="2" t="s">
        <v>452</v>
      </c>
      <c r="B127" s="3">
        <v>45449</v>
      </c>
      <c r="C127" s="2" t="s">
        <v>1255</v>
      </c>
      <c r="D127" s="2" t="s">
        <v>1268</v>
      </c>
      <c r="E127" s="2">
        <v>10</v>
      </c>
      <c r="F127" s="2" t="s">
        <v>1231</v>
      </c>
      <c r="G127">
        <f t="shared" si="5"/>
        <v>10</v>
      </c>
      <c r="H127" t="str">
        <f t="shared" si="6"/>
        <v>No</v>
      </c>
      <c r="I127" t="str">
        <f t="shared" si="7"/>
        <v>Jun</v>
      </c>
      <c r="J127" s="11">
        <f t="shared" si="8"/>
        <v>0.16666666666666669</v>
      </c>
      <c r="K127" t="str">
        <f t="shared" si="9"/>
        <v>weekday</v>
      </c>
    </row>
    <row r="128" spans="1:11" x14ac:dyDescent="0.4">
      <c r="A128" s="2" t="s">
        <v>454</v>
      </c>
      <c r="B128" s="3">
        <v>45513</v>
      </c>
      <c r="C128" s="2" t="s">
        <v>1244</v>
      </c>
      <c r="D128" s="2" t="s">
        <v>1269</v>
      </c>
      <c r="E128" s="2">
        <v>10</v>
      </c>
      <c r="F128" s="2" t="s">
        <v>1234</v>
      </c>
      <c r="G128">
        <f t="shared" si="5"/>
        <v>17</v>
      </c>
      <c r="H128" t="str">
        <f t="shared" si="6"/>
        <v>No</v>
      </c>
      <c r="I128" t="str">
        <f t="shared" si="7"/>
        <v>Aug</v>
      </c>
      <c r="J128" s="11">
        <f t="shared" si="8"/>
        <v>0.11458333333333337</v>
      </c>
      <c r="K128" t="str">
        <f t="shared" si="9"/>
        <v>weekday</v>
      </c>
    </row>
    <row r="129" spans="1:11" x14ac:dyDescent="0.4">
      <c r="A129" s="2" t="s">
        <v>454</v>
      </c>
      <c r="B129" s="3">
        <v>45421</v>
      </c>
      <c r="C129" s="2" t="s">
        <v>1266</v>
      </c>
      <c r="D129" s="2" t="s">
        <v>1270</v>
      </c>
      <c r="E129" s="2">
        <v>7</v>
      </c>
      <c r="F129" s="2" t="s">
        <v>1231</v>
      </c>
      <c r="G129">
        <f t="shared" si="5"/>
        <v>17</v>
      </c>
      <c r="H129" t="str">
        <f t="shared" si="6"/>
        <v>No</v>
      </c>
      <c r="I129" t="str">
        <f t="shared" si="7"/>
        <v>May</v>
      </c>
      <c r="J129" s="11">
        <f t="shared" si="8"/>
        <v>0.17708333333333331</v>
      </c>
      <c r="K129" t="str">
        <f t="shared" si="9"/>
        <v>weekday</v>
      </c>
    </row>
    <row r="130" spans="1:11" x14ac:dyDescent="0.4">
      <c r="A130" s="2" t="s">
        <v>462</v>
      </c>
      <c r="B130" s="3">
        <v>45526</v>
      </c>
      <c r="C130" s="2" t="s">
        <v>1252</v>
      </c>
      <c r="D130" s="2" t="s">
        <v>1229</v>
      </c>
      <c r="E130" s="2">
        <v>7</v>
      </c>
      <c r="F130" s="2" t="s">
        <v>1234</v>
      </c>
      <c r="G130">
        <f t="shared" si="5"/>
        <v>7</v>
      </c>
      <c r="H130" t="str">
        <f t="shared" si="6"/>
        <v>No</v>
      </c>
      <c r="I130" t="str">
        <f t="shared" si="7"/>
        <v>Aug</v>
      </c>
      <c r="J130" s="11">
        <f t="shared" si="8"/>
        <v>0.14583333333333331</v>
      </c>
      <c r="K130" t="str">
        <f t="shared" si="9"/>
        <v>weekday</v>
      </c>
    </row>
    <row r="131" spans="1:11" x14ac:dyDescent="0.4">
      <c r="A131" s="2" t="s">
        <v>464</v>
      </c>
      <c r="B131" s="3">
        <v>45410</v>
      </c>
      <c r="C131" s="2" t="s">
        <v>1270</v>
      </c>
      <c r="D131" s="2" t="s">
        <v>1252</v>
      </c>
      <c r="E131" s="2">
        <v>6</v>
      </c>
      <c r="F131" s="2" t="s">
        <v>1234</v>
      </c>
      <c r="G131">
        <f t="shared" ref="G131:G194" si="10">SUMIFS($E$2:$E$501,$A$2:$A$501,A131)</f>
        <v>6</v>
      </c>
      <c r="H131" t="str">
        <f t="shared" ref="H131:H194" si="11">IF(COUNTIFS($A$2:$A$501,A131,$F$2:$F$501,"Yes")&gt;5,"Late","No")</f>
        <v>No</v>
      </c>
      <c r="I131" t="str">
        <f t="shared" ref="I131:I194" si="12">TEXT(B131,"mmm")</f>
        <v>Apr</v>
      </c>
      <c r="J131" s="11">
        <f t="shared" ref="J131:J194" si="13">ABS(TIMEVALUE(D131)-TIMEVALUE(C131))</f>
        <v>0.14583333333333331</v>
      </c>
      <c r="K131" t="str">
        <f t="shared" ref="K131:K194" si="14">IF(OR(TEXT(B131,"ddd")="Sat",TEXT(B131,"ddd")="Sun"),"weekend","weekday")</f>
        <v>weekend</v>
      </c>
    </row>
    <row r="132" spans="1:11" x14ac:dyDescent="0.4">
      <c r="A132" s="2" t="s">
        <v>466</v>
      </c>
      <c r="B132" s="3">
        <v>45522</v>
      </c>
      <c r="C132" s="2" t="s">
        <v>1252</v>
      </c>
      <c r="D132" s="2" t="s">
        <v>1244</v>
      </c>
      <c r="E132" s="2">
        <v>6</v>
      </c>
      <c r="F132" s="2" t="s">
        <v>1231</v>
      </c>
      <c r="G132">
        <f t="shared" si="10"/>
        <v>6</v>
      </c>
      <c r="H132" t="str">
        <f t="shared" si="11"/>
        <v>No</v>
      </c>
      <c r="I132" t="str">
        <f t="shared" si="12"/>
        <v>Aug</v>
      </c>
      <c r="J132" s="11">
        <f t="shared" si="13"/>
        <v>0.13541666666666669</v>
      </c>
      <c r="K132" t="str">
        <f t="shared" si="14"/>
        <v>weekend</v>
      </c>
    </row>
    <row r="133" spans="1:11" x14ac:dyDescent="0.4">
      <c r="A133" s="2" t="s">
        <v>468</v>
      </c>
      <c r="B133" s="3">
        <v>45533</v>
      </c>
      <c r="C133" s="2" t="s">
        <v>1230</v>
      </c>
      <c r="D133" s="2" t="s">
        <v>1266</v>
      </c>
      <c r="E133" s="2">
        <v>8</v>
      </c>
      <c r="F133" s="2" t="s">
        <v>1231</v>
      </c>
      <c r="G133">
        <f t="shared" si="10"/>
        <v>16</v>
      </c>
      <c r="H133" t="str">
        <f t="shared" si="11"/>
        <v>No</v>
      </c>
      <c r="I133" t="str">
        <f t="shared" si="12"/>
        <v>Aug</v>
      </c>
      <c r="J133" s="11">
        <f t="shared" si="13"/>
        <v>4.1666666666666685E-2</v>
      </c>
      <c r="K133" t="str">
        <f t="shared" si="14"/>
        <v>weekday</v>
      </c>
    </row>
    <row r="134" spans="1:11" x14ac:dyDescent="0.4">
      <c r="A134" s="2" t="s">
        <v>468</v>
      </c>
      <c r="B134" s="3">
        <v>45453</v>
      </c>
      <c r="C134" s="2" t="s">
        <v>1255</v>
      </c>
      <c r="D134" s="2" t="s">
        <v>1263</v>
      </c>
      <c r="E134" s="2">
        <v>8</v>
      </c>
      <c r="F134" s="2" t="s">
        <v>1234</v>
      </c>
      <c r="G134">
        <f t="shared" si="10"/>
        <v>16</v>
      </c>
      <c r="H134" t="str">
        <f t="shared" si="11"/>
        <v>No</v>
      </c>
      <c r="I134" t="str">
        <f t="shared" si="12"/>
        <v>Jun</v>
      </c>
      <c r="J134" s="11">
        <f t="shared" si="13"/>
        <v>6.25E-2</v>
      </c>
      <c r="K134" t="str">
        <f t="shared" si="14"/>
        <v>weekday</v>
      </c>
    </row>
    <row r="135" spans="1:11" x14ac:dyDescent="0.4">
      <c r="A135" s="2" t="s">
        <v>472</v>
      </c>
      <c r="B135" s="3">
        <v>45641</v>
      </c>
      <c r="C135" s="2" t="s">
        <v>1238</v>
      </c>
      <c r="D135" s="2" t="s">
        <v>1271</v>
      </c>
      <c r="E135" s="2">
        <v>10</v>
      </c>
      <c r="F135" s="2" t="s">
        <v>1234</v>
      </c>
      <c r="G135">
        <f t="shared" si="10"/>
        <v>10</v>
      </c>
      <c r="H135" t="str">
        <f t="shared" si="11"/>
        <v>No</v>
      </c>
      <c r="I135" t="str">
        <f t="shared" si="12"/>
        <v>Dec</v>
      </c>
      <c r="J135" s="11">
        <f t="shared" si="13"/>
        <v>0.20833333333333337</v>
      </c>
      <c r="K135" t="str">
        <f t="shared" si="14"/>
        <v>weekend</v>
      </c>
    </row>
    <row r="136" spans="1:11" x14ac:dyDescent="0.4">
      <c r="A136" s="2" t="s">
        <v>476</v>
      </c>
      <c r="B136" s="3">
        <v>45349</v>
      </c>
      <c r="C136" s="2" t="s">
        <v>1239</v>
      </c>
      <c r="D136" s="2" t="s">
        <v>1229</v>
      </c>
      <c r="E136" s="2">
        <v>7</v>
      </c>
      <c r="F136" s="2" t="s">
        <v>1231</v>
      </c>
      <c r="G136">
        <f t="shared" si="10"/>
        <v>14</v>
      </c>
      <c r="H136" t="str">
        <f t="shared" si="11"/>
        <v>No</v>
      </c>
      <c r="I136" t="str">
        <f t="shared" si="12"/>
        <v>Feb</v>
      </c>
      <c r="J136" s="11">
        <f t="shared" si="13"/>
        <v>0.125</v>
      </c>
      <c r="K136" t="str">
        <f t="shared" si="14"/>
        <v>weekday</v>
      </c>
    </row>
    <row r="137" spans="1:11" x14ac:dyDescent="0.4">
      <c r="A137" s="2" t="s">
        <v>476</v>
      </c>
      <c r="B137" s="3">
        <v>45505</v>
      </c>
      <c r="C137" s="2" t="s">
        <v>1274</v>
      </c>
      <c r="D137" s="2" t="s">
        <v>1267</v>
      </c>
      <c r="E137" s="2">
        <v>7</v>
      </c>
      <c r="F137" s="2" t="s">
        <v>1231</v>
      </c>
      <c r="G137">
        <f t="shared" si="10"/>
        <v>14</v>
      </c>
      <c r="H137" t="str">
        <f t="shared" si="11"/>
        <v>No</v>
      </c>
      <c r="I137" t="str">
        <f t="shared" si="12"/>
        <v>Aug</v>
      </c>
      <c r="J137" s="11">
        <f t="shared" si="13"/>
        <v>2.0833333333333315E-2</v>
      </c>
      <c r="K137" t="str">
        <f t="shared" si="14"/>
        <v>weekday</v>
      </c>
    </row>
    <row r="138" spans="1:11" x14ac:dyDescent="0.4">
      <c r="A138" s="2" t="s">
        <v>478</v>
      </c>
      <c r="B138" s="3">
        <v>45383</v>
      </c>
      <c r="C138" s="2" t="s">
        <v>1241</v>
      </c>
      <c r="D138" s="2" t="s">
        <v>1249</v>
      </c>
      <c r="E138" s="2">
        <v>7</v>
      </c>
      <c r="F138" s="2" t="s">
        <v>1231</v>
      </c>
      <c r="G138">
        <f t="shared" si="10"/>
        <v>7</v>
      </c>
      <c r="H138" t="str">
        <f t="shared" si="11"/>
        <v>No</v>
      </c>
      <c r="I138" t="str">
        <f t="shared" si="12"/>
        <v>Apr</v>
      </c>
      <c r="J138" s="11">
        <f t="shared" si="13"/>
        <v>9.3750000000000056E-2</v>
      </c>
      <c r="K138" t="str">
        <f t="shared" si="14"/>
        <v>weekday</v>
      </c>
    </row>
    <row r="139" spans="1:11" x14ac:dyDescent="0.4">
      <c r="A139" s="2" t="s">
        <v>482</v>
      </c>
      <c r="B139" s="3">
        <v>45635</v>
      </c>
      <c r="C139" s="2" t="s">
        <v>1235</v>
      </c>
      <c r="D139" s="2" t="s">
        <v>1253</v>
      </c>
      <c r="E139" s="2">
        <v>6</v>
      </c>
      <c r="F139" s="2" t="s">
        <v>1234</v>
      </c>
      <c r="G139">
        <f t="shared" si="10"/>
        <v>6</v>
      </c>
      <c r="H139" t="str">
        <f t="shared" si="11"/>
        <v>No</v>
      </c>
      <c r="I139" t="str">
        <f t="shared" si="12"/>
        <v>Dec</v>
      </c>
      <c r="J139" s="11">
        <f t="shared" si="13"/>
        <v>0.16666666666666663</v>
      </c>
      <c r="K139" t="str">
        <f t="shared" si="14"/>
        <v>weekday</v>
      </c>
    </row>
    <row r="140" spans="1:11" x14ac:dyDescent="0.4">
      <c r="A140" s="2" t="s">
        <v>484</v>
      </c>
      <c r="B140" s="3">
        <v>45539</v>
      </c>
      <c r="C140" s="2" t="s">
        <v>1252</v>
      </c>
      <c r="D140" s="2" t="s">
        <v>1244</v>
      </c>
      <c r="E140" s="2">
        <v>7</v>
      </c>
      <c r="F140" s="2" t="s">
        <v>1231</v>
      </c>
      <c r="G140">
        <f t="shared" si="10"/>
        <v>7</v>
      </c>
      <c r="H140" t="str">
        <f t="shared" si="11"/>
        <v>No</v>
      </c>
      <c r="I140" t="str">
        <f t="shared" si="12"/>
        <v>Sep</v>
      </c>
      <c r="J140" s="11">
        <f t="shared" si="13"/>
        <v>0.13541666666666669</v>
      </c>
      <c r="K140" t="str">
        <f t="shared" si="14"/>
        <v>weekday</v>
      </c>
    </row>
    <row r="141" spans="1:11" x14ac:dyDescent="0.4">
      <c r="A141" s="2" t="s">
        <v>488</v>
      </c>
      <c r="B141" s="3">
        <v>45602</v>
      </c>
      <c r="C141" s="2" t="s">
        <v>1254</v>
      </c>
      <c r="D141" s="2" t="s">
        <v>1273</v>
      </c>
      <c r="E141" s="2">
        <v>7</v>
      </c>
      <c r="F141" s="2" t="s">
        <v>1231</v>
      </c>
      <c r="G141">
        <f t="shared" si="10"/>
        <v>13</v>
      </c>
      <c r="H141" t="str">
        <f t="shared" si="11"/>
        <v>No</v>
      </c>
      <c r="I141" t="str">
        <f t="shared" si="12"/>
        <v>Nov</v>
      </c>
      <c r="J141" s="11">
        <f t="shared" si="13"/>
        <v>0.15624999999999994</v>
      </c>
      <c r="K141" t="str">
        <f t="shared" si="14"/>
        <v>weekday</v>
      </c>
    </row>
    <row r="142" spans="1:11" x14ac:dyDescent="0.4">
      <c r="A142" s="2" t="s">
        <v>488</v>
      </c>
      <c r="B142" s="3">
        <v>45445</v>
      </c>
      <c r="C142" s="2" t="s">
        <v>1258</v>
      </c>
      <c r="D142" s="2" t="s">
        <v>1254</v>
      </c>
      <c r="E142" s="2">
        <v>6</v>
      </c>
      <c r="F142" s="2" t="s">
        <v>1231</v>
      </c>
      <c r="G142">
        <f t="shared" si="10"/>
        <v>13</v>
      </c>
      <c r="H142" t="str">
        <f t="shared" si="11"/>
        <v>No</v>
      </c>
      <c r="I142" t="str">
        <f t="shared" si="12"/>
        <v>Jun</v>
      </c>
      <c r="J142" s="11">
        <f t="shared" si="13"/>
        <v>0.26041666666666669</v>
      </c>
      <c r="K142" t="str">
        <f t="shared" si="14"/>
        <v>weekend</v>
      </c>
    </row>
    <row r="143" spans="1:11" x14ac:dyDescent="0.4">
      <c r="A143" s="2" t="s">
        <v>492</v>
      </c>
      <c r="B143" s="3">
        <v>45314</v>
      </c>
      <c r="C143" s="2" t="s">
        <v>1254</v>
      </c>
      <c r="D143" s="2" t="s">
        <v>1235</v>
      </c>
      <c r="E143" s="2">
        <v>10</v>
      </c>
      <c r="F143" s="2" t="s">
        <v>1231</v>
      </c>
      <c r="G143">
        <f t="shared" si="10"/>
        <v>10</v>
      </c>
      <c r="H143" t="str">
        <f t="shared" si="11"/>
        <v>No</v>
      </c>
      <c r="I143" t="str">
        <f t="shared" si="12"/>
        <v>Jan</v>
      </c>
      <c r="J143" s="11">
        <f t="shared" si="13"/>
        <v>0.30208333333333331</v>
      </c>
      <c r="K143" t="str">
        <f t="shared" si="14"/>
        <v>weekday</v>
      </c>
    </row>
    <row r="144" spans="1:11" x14ac:dyDescent="0.4">
      <c r="A144" s="2" t="s">
        <v>496</v>
      </c>
      <c r="B144" s="3">
        <v>45384</v>
      </c>
      <c r="C144" s="2" t="s">
        <v>1243</v>
      </c>
      <c r="D144" s="2" t="s">
        <v>1252</v>
      </c>
      <c r="E144" s="2">
        <v>10</v>
      </c>
      <c r="F144" s="2" t="s">
        <v>1234</v>
      </c>
      <c r="G144">
        <f t="shared" si="10"/>
        <v>16</v>
      </c>
      <c r="H144" t="str">
        <f t="shared" si="11"/>
        <v>No</v>
      </c>
      <c r="I144" t="str">
        <f t="shared" si="12"/>
        <v>Apr</v>
      </c>
      <c r="J144" s="11">
        <f t="shared" si="13"/>
        <v>0.17708333333333331</v>
      </c>
      <c r="K144" t="str">
        <f t="shared" si="14"/>
        <v>weekday</v>
      </c>
    </row>
    <row r="145" spans="1:11" x14ac:dyDescent="0.4">
      <c r="A145" s="2" t="s">
        <v>496</v>
      </c>
      <c r="B145" s="3">
        <v>45652</v>
      </c>
      <c r="C145" s="2" t="s">
        <v>1229</v>
      </c>
      <c r="D145" s="2" t="s">
        <v>1230</v>
      </c>
      <c r="E145" s="2">
        <v>6</v>
      </c>
      <c r="F145" s="2" t="s">
        <v>1234</v>
      </c>
      <c r="G145">
        <f t="shared" si="10"/>
        <v>16</v>
      </c>
      <c r="H145" t="str">
        <f t="shared" si="11"/>
        <v>No</v>
      </c>
      <c r="I145" t="str">
        <f t="shared" si="12"/>
        <v>Dec</v>
      </c>
      <c r="J145" s="11">
        <f t="shared" si="13"/>
        <v>0.15625</v>
      </c>
      <c r="K145" t="str">
        <f t="shared" si="14"/>
        <v>weekday</v>
      </c>
    </row>
    <row r="146" spans="1:11" x14ac:dyDescent="0.4">
      <c r="A146" s="2" t="s">
        <v>498</v>
      </c>
      <c r="B146" s="3">
        <v>45588</v>
      </c>
      <c r="C146" s="2" t="s">
        <v>1236</v>
      </c>
      <c r="D146" s="2" t="s">
        <v>1236</v>
      </c>
      <c r="E146" s="2">
        <v>6</v>
      </c>
      <c r="F146" s="2" t="s">
        <v>1234</v>
      </c>
      <c r="G146">
        <f t="shared" si="10"/>
        <v>6</v>
      </c>
      <c r="H146" t="str">
        <f t="shared" si="11"/>
        <v>No</v>
      </c>
      <c r="I146" t="str">
        <f t="shared" si="12"/>
        <v>Oct</v>
      </c>
      <c r="J146" s="11">
        <f t="shared" si="13"/>
        <v>0</v>
      </c>
      <c r="K146" t="str">
        <f t="shared" si="14"/>
        <v>weekday</v>
      </c>
    </row>
    <row r="147" spans="1:11" x14ac:dyDescent="0.4">
      <c r="A147" s="2" t="s">
        <v>500</v>
      </c>
      <c r="B147" s="3">
        <v>45460</v>
      </c>
      <c r="C147" s="2" t="s">
        <v>1274</v>
      </c>
      <c r="D147" s="2" t="s">
        <v>1239</v>
      </c>
      <c r="E147" s="2">
        <v>6</v>
      </c>
      <c r="F147" s="2" t="s">
        <v>1231</v>
      </c>
      <c r="G147">
        <f t="shared" si="10"/>
        <v>6</v>
      </c>
      <c r="H147" t="str">
        <f t="shared" si="11"/>
        <v>No</v>
      </c>
      <c r="I147" t="str">
        <f t="shared" si="12"/>
        <v>Jun</v>
      </c>
      <c r="J147" s="11">
        <f t="shared" si="13"/>
        <v>9.375E-2</v>
      </c>
      <c r="K147" t="str">
        <f t="shared" si="14"/>
        <v>weekday</v>
      </c>
    </row>
    <row r="148" spans="1:11" x14ac:dyDescent="0.4">
      <c r="A148" s="2" t="s">
        <v>502</v>
      </c>
      <c r="B148" s="3">
        <v>45305</v>
      </c>
      <c r="C148" s="2" t="s">
        <v>1237</v>
      </c>
      <c r="D148" s="2" t="s">
        <v>1238</v>
      </c>
      <c r="E148" s="2">
        <v>10</v>
      </c>
      <c r="F148" s="2" t="s">
        <v>1234</v>
      </c>
      <c r="G148">
        <f t="shared" si="10"/>
        <v>17</v>
      </c>
      <c r="H148" t="str">
        <f t="shared" si="11"/>
        <v>No</v>
      </c>
      <c r="I148" t="str">
        <f t="shared" si="12"/>
        <v>Jan</v>
      </c>
      <c r="J148" s="11">
        <f t="shared" si="13"/>
        <v>0.11458333333333326</v>
      </c>
      <c r="K148" t="str">
        <f t="shared" si="14"/>
        <v>weekend</v>
      </c>
    </row>
    <row r="149" spans="1:11" x14ac:dyDescent="0.4">
      <c r="A149" s="2" t="s">
        <v>502</v>
      </c>
      <c r="B149" s="3">
        <v>45641</v>
      </c>
      <c r="C149" s="2" t="s">
        <v>1249</v>
      </c>
      <c r="D149" s="2" t="s">
        <v>1236</v>
      </c>
      <c r="E149" s="2">
        <v>7</v>
      </c>
      <c r="F149" s="2" t="s">
        <v>1234</v>
      </c>
      <c r="G149">
        <f t="shared" si="10"/>
        <v>17</v>
      </c>
      <c r="H149" t="str">
        <f t="shared" si="11"/>
        <v>No</v>
      </c>
      <c r="I149" t="str">
        <f t="shared" si="12"/>
        <v>Dec</v>
      </c>
      <c r="J149" s="11">
        <f t="shared" si="13"/>
        <v>2.0833333333333259E-2</v>
      </c>
      <c r="K149" t="str">
        <f t="shared" si="14"/>
        <v>weekend</v>
      </c>
    </row>
    <row r="150" spans="1:11" x14ac:dyDescent="0.4">
      <c r="A150" s="2" t="s">
        <v>504</v>
      </c>
      <c r="B150" s="3">
        <v>45327</v>
      </c>
      <c r="C150" s="2" t="s">
        <v>1245</v>
      </c>
      <c r="D150" s="2" t="s">
        <v>1265</v>
      </c>
      <c r="E150" s="2">
        <v>7</v>
      </c>
      <c r="F150" s="2" t="s">
        <v>1231</v>
      </c>
      <c r="G150">
        <f t="shared" si="10"/>
        <v>7</v>
      </c>
      <c r="H150" t="str">
        <f t="shared" si="11"/>
        <v>No</v>
      </c>
      <c r="I150" t="str">
        <f t="shared" si="12"/>
        <v>Feb</v>
      </c>
      <c r="J150" s="11">
        <f t="shared" si="13"/>
        <v>0.23958333333333331</v>
      </c>
      <c r="K150" t="str">
        <f t="shared" si="14"/>
        <v>weekday</v>
      </c>
    </row>
    <row r="151" spans="1:11" x14ac:dyDescent="0.4">
      <c r="A151" s="2" t="s">
        <v>506</v>
      </c>
      <c r="B151" s="3">
        <v>45399</v>
      </c>
      <c r="C151" s="2" t="s">
        <v>1243</v>
      </c>
      <c r="D151" s="2" t="s">
        <v>1260</v>
      </c>
      <c r="E151" s="2">
        <v>7</v>
      </c>
      <c r="F151" s="2" t="s">
        <v>1231</v>
      </c>
      <c r="G151">
        <f t="shared" si="10"/>
        <v>14</v>
      </c>
      <c r="H151" t="str">
        <f t="shared" si="11"/>
        <v>No</v>
      </c>
      <c r="I151" t="str">
        <f t="shared" si="12"/>
        <v>Apr</v>
      </c>
      <c r="J151" s="11">
        <f t="shared" si="13"/>
        <v>3.125E-2</v>
      </c>
      <c r="K151" t="str">
        <f t="shared" si="14"/>
        <v>weekday</v>
      </c>
    </row>
    <row r="152" spans="1:11" x14ac:dyDescent="0.4">
      <c r="A152" s="2" t="s">
        <v>506</v>
      </c>
      <c r="B152" s="3">
        <v>45507</v>
      </c>
      <c r="C152" s="2" t="s">
        <v>1236</v>
      </c>
      <c r="D152" s="2" t="s">
        <v>1248</v>
      </c>
      <c r="E152" s="2">
        <v>7</v>
      </c>
      <c r="F152" s="2" t="s">
        <v>1234</v>
      </c>
      <c r="G152">
        <f t="shared" si="10"/>
        <v>14</v>
      </c>
      <c r="H152" t="str">
        <f t="shared" si="11"/>
        <v>No</v>
      </c>
      <c r="I152" t="str">
        <f t="shared" si="12"/>
        <v>Aug</v>
      </c>
      <c r="J152" s="11">
        <f t="shared" si="13"/>
        <v>0.22916666666666674</v>
      </c>
      <c r="K152" t="str">
        <f t="shared" si="14"/>
        <v>weekend</v>
      </c>
    </row>
    <row r="153" spans="1:11" x14ac:dyDescent="0.4">
      <c r="A153" s="2" t="s">
        <v>510</v>
      </c>
      <c r="B153" s="3">
        <v>45364</v>
      </c>
      <c r="C153" s="2" t="s">
        <v>1238</v>
      </c>
      <c r="D153" s="2" t="s">
        <v>1268</v>
      </c>
      <c r="E153" s="2">
        <v>8</v>
      </c>
      <c r="F153" s="2" t="s">
        <v>1231</v>
      </c>
      <c r="G153">
        <f t="shared" si="10"/>
        <v>8</v>
      </c>
      <c r="H153" t="str">
        <f t="shared" si="11"/>
        <v>No</v>
      </c>
      <c r="I153" t="str">
        <f t="shared" si="12"/>
        <v>Mar</v>
      </c>
      <c r="J153" s="11">
        <f t="shared" si="13"/>
        <v>0.26041666666666669</v>
      </c>
      <c r="K153" t="str">
        <f t="shared" si="14"/>
        <v>weekday</v>
      </c>
    </row>
    <row r="154" spans="1:11" x14ac:dyDescent="0.4">
      <c r="A154" s="2" t="s">
        <v>516</v>
      </c>
      <c r="B154" s="3">
        <v>45590</v>
      </c>
      <c r="C154" s="2" t="s">
        <v>1260</v>
      </c>
      <c r="D154" s="2" t="s">
        <v>1237</v>
      </c>
      <c r="E154" s="2">
        <v>9</v>
      </c>
      <c r="F154" s="2" t="s">
        <v>1234</v>
      </c>
      <c r="G154">
        <f t="shared" si="10"/>
        <v>24</v>
      </c>
      <c r="H154" t="str">
        <f t="shared" si="11"/>
        <v>No</v>
      </c>
      <c r="I154" t="str">
        <f t="shared" si="12"/>
        <v>Oct</v>
      </c>
      <c r="J154" s="11">
        <f t="shared" si="13"/>
        <v>6.25E-2</v>
      </c>
      <c r="K154" t="str">
        <f t="shared" si="14"/>
        <v>weekday</v>
      </c>
    </row>
    <row r="155" spans="1:11" x14ac:dyDescent="0.4">
      <c r="A155" s="2" t="s">
        <v>516</v>
      </c>
      <c r="B155" s="3">
        <v>45534</v>
      </c>
      <c r="C155" s="2" t="s">
        <v>1253</v>
      </c>
      <c r="D155" s="2" t="s">
        <v>1232</v>
      </c>
      <c r="E155" s="2">
        <v>8</v>
      </c>
      <c r="F155" s="2" t="s">
        <v>1231</v>
      </c>
      <c r="G155">
        <f t="shared" si="10"/>
        <v>24</v>
      </c>
      <c r="H155" t="str">
        <f t="shared" si="11"/>
        <v>No</v>
      </c>
      <c r="I155" t="str">
        <f t="shared" si="12"/>
        <v>Aug</v>
      </c>
      <c r="J155" s="11">
        <f t="shared" si="13"/>
        <v>1.0416666666666741E-2</v>
      </c>
      <c r="K155" t="str">
        <f t="shared" si="14"/>
        <v>weekday</v>
      </c>
    </row>
    <row r="156" spans="1:11" x14ac:dyDescent="0.4">
      <c r="A156" s="2" t="s">
        <v>516</v>
      </c>
      <c r="B156" s="3">
        <v>45612</v>
      </c>
      <c r="C156" s="2" t="s">
        <v>1266</v>
      </c>
      <c r="D156" s="2" t="s">
        <v>1250</v>
      </c>
      <c r="E156" s="2">
        <v>7</v>
      </c>
      <c r="F156" s="2" t="s">
        <v>1231</v>
      </c>
      <c r="G156">
        <f t="shared" si="10"/>
        <v>24</v>
      </c>
      <c r="H156" t="str">
        <f t="shared" si="11"/>
        <v>No</v>
      </c>
      <c r="I156" t="str">
        <f t="shared" si="12"/>
        <v>Nov</v>
      </c>
      <c r="J156" s="11">
        <f t="shared" si="13"/>
        <v>9.375E-2</v>
      </c>
      <c r="K156" t="str">
        <f t="shared" si="14"/>
        <v>weekend</v>
      </c>
    </row>
    <row r="157" spans="1:11" x14ac:dyDescent="0.4">
      <c r="A157" s="2" t="s">
        <v>518</v>
      </c>
      <c r="B157" s="3">
        <v>45641</v>
      </c>
      <c r="C157" s="2" t="s">
        <v>1235</v>
      </c>
      <c r="D157" s="2" t="s">
        <v>1243</v>
      </c>
      <c r="E157" s="2">
        <v>10</v>
      </c>
      <c r="F157" s="2" t="s">
        <v>1231</v>
      </c>
      <c r="G157">
        <f t="shared" si="10"/>
        <v>10</v>
      </c>
      <c r="H157" t="str">
        <f t="shared" si="11"/>
        <v>No</v>
      </c>
      <c r="I157" t="str">
        <f t="shared" si="12"/>
        <v>Dec</v>
      </c>
      <c r="J157" s="11">
        <f t="shared" si="13"/>
        <v>8.333333333333337E-2</v>
      </c>
      <c r="K157" t="str">
        <f t="shared" si="14"/>
        <v>weekend</v>
      </c>
    </row>
    <row r="158" spans="1:11" x14ac:dyDescent="0.4">
      <c r="A158" s="2" t="s">
        <v>522</v>
      </c>
      <c r="B158" s="3">
        <v>45474</v>
      </c>
      <c r="C158" s="2" t="s">
        <v>1254</v>
      </c>
      <c r="D158" s="2" t="s">
        <v>1269</v>
      </c>
      <c r="E158" s="2">
        <v>8</v>
      </c>
      <c r="F158" s="2" t="s">
        <v>1231</v>
      </c>
      <c r="G158">
        <f t="shared" si="10"/>
        <v>8</v>
      </c>
      <c r="H158" t="str">
        <f t="shared" si="11"/>
        <v>No</v>
      </c>
      <c r="I158" t="str">
        <f t="shared" si="12"/>
        <v>Jul</v>
      </c>
      <c r="J158" s="11">
        <f t="shared" si="13"/>
        <v>6.2499999999999944E-2</v>
      </c>
      <c r="K158" t="str">
        <f t="shared" si="14"/>
        <v>weekday</v>
      </c>
    </row>
    <row r="159" spans="1:11" x14ac:dyDescent="0.4">
      <c r="A159" s="2" t="s">
        <v>530</v>
      </c>
      <c r="B159" s="3">
        <v>45387</v>
      </c>
      <c r="C159" s="2" t="s">
        <v>1229</v>
      </c>
      <c r="D159" s="2" t="s">
        <v>1242</v>
      </c>
      <c r="E159" s="2">
        <v>8</v>
      </c>
      <c r="F159" s="2" t="s">
        <v>1231</v>
      </c>
      <c r="G159">
        <f t="shared" si="10"/>
        <v>22</v>
      </c>
      <c r="H159" t="str">
        <f t="shared" si="11"/>
        <v>No</v>
      </c>
      <c r="I159" t="str">
        <f t="shared" si="12"/>
        <v>Apr</v>
      </c>
      <c r="J159" s="11">
        <f t="shared" si="13"/>
        <v>1.0416666666666685E-2</v>
      </c>
      <c r="K159" t="str">
        <f t="shared" si="14"/>
        <v>weekday</v>
      </c>
    </row>
    <row r="160" spans="1:11" x14ac:dyDescent="0.4">
      <c r="A160" s="2" t="s">
        <v>530</v>
      </c>
      <c r="B160" s="3">
        <v>45613</v>
      </c>
      <c r="C160" s="2" t="s">
        <v>1235</v>
      </c>
      <c r="D160" s="2" t="s">
        <v>1268</v>
      </c>
      <c r="E160" s="2">
        <v>8</v>
      </c>
      <c r="F160" s="2" t="s">
        <v>1234</v>
      </c>
      <c r="G160">
        <f t="shared" si="10"/>
        <v>22</v>
      </c>
      <c r="H160" t="str">
        <f t="shared" si="11"/>
        <v>No</v>
      </c>
      <c r="I160" t="str">
        <f t="shared" si="12"/>
        <v>Nov</v>
      </c>
      <c r="J160" s="11">
        <f t="shared" si="13"/>
        <v>0.36458333333333331</v>
      </c>
      <c r="K160" t="str">
        <f t="shared" si="14"/>
        <v>weekend</v>
      </c>
    </row>
    <row r="161" spans="1:11" x14ac:dyDescent="0.4">
      <c r="A161" s="2" t="s">
        <v>530</v>
      </c>
      <c r="B161" s="3">
        <v>45557</v>
      </c>
      <c r="C161" s="2" t="s">
        <v>1235</v>
      </c>
      <c r="D161" s="2" t="s">
        <v>1248</v>
      </c>
      <c r="E161" s="2">
        <v>6</v>
      </c>
      <c r="F161" s="2" t="s">
        <v>1231</v>
      </c>
      <c r="G161">
        <f t="shared" si="10"/>
        <v>22</v>
      </c>
      <c r="H161" t="str">
        <f t="shared" si="11"/>
        <v>No</v>
      </c>
      <c r="I161" t="str">
        <f t="shared" si="12"/>
        <v>Sep</v>
      </c>
      <c r="J161" s="11">
        <f t="shared" si="13"/>
        <v>2.083333333333337E-2</v>
      </c>
      <c r="K161" t="str">
        <f t="shared" si="14"/>
        <v>weekend</v>
      </c>
    </row>
    <row r="162" spans="1:11" x14ac:dyDescent="0.4">
      <c r="A162" s="2" t="s">
        <v>538</v>
      </c>
      <c r="B162" s="3">
        <v>45620</v>
      </c>
      <c r="C162" s="2" t="s">
        <v>1237</v>
      </c>
      <c r="D162" s="2" t="s">
        <v>1259</v>
      </c>
      <c r="E162" s="2">
        <v>8</v>
      </c>
      <c r="F162" s="2" t="s">
        <v>1231</v>
      </c>
      <c r="G162">
        <f t="shared" si="10"/>
        <v>8</v>
      </c>
      <c r="H162" t="str">
        <f t="shared" si="11"/>
        <v>No</v>
      </c>
      <c r="I162" t="str">
        <f t="shared" si="12"/>
        <v>Nov</v>
      </c>
      <c r="J162" s="11">
        <f t="shared" si="13"/>
        <v>0.42708333333333331</v>
      </c>
      <c r="K162" t="str">
        <f t="shared" si="14"/>
        <v>weekend</v>
      </c>
    </row>
    <row r="163" spans="1:11" x14ac:dyDescent="0.4">
      <c r="A163" s="2" t="s">
        <v>546</v>
      </c>
      <c r="B163" s="3">
        <v>45325</v>
      </c>
      <c r="C163" s="2" t="s">
        <v>1240</v>
      </c>
      <c r="D163" s="2" t="s">
        <v>1233</v>
      </c>
      <c r="E163" s="2">
        <v>9</v>
      </c>
      <c r="F163" s="2" t="s">
        <v>1231</v>
      </c>
      <c r="G163">
        <f t="shared" si="10"/>
        <v>17</v>
      </c>
      <c r="H163" t="str">
        <f t="shared" si="11"/>
        <v>No</v>
      </c>
      <c r="I163" t="str">
        <f t="shared" si="12"/>
        <v>Feb</v>
      </c>
      <c r="J163" s="11">
        <f t="shared" si="13"/>
        <v>8.333333333333337E-2</v>
      </c>
      <c r="K163" t="str">
        <f t="shared" si="14"/>
        <v>weekend</v>
      </c>
    </row>
    <row r="164" spans="1:11" x14ac:dyDescent="0.4">
      <c r="A164" s="2" t="s">
        <v>546</v>
      </c>
      <c r="B164" s="3">
        <v>45453</v>
      </c>
      <c r="C164" s="2" t="s">
        <v>1246</v>
      </c>
      <c r="D164" s="2" t="s">
        <v>1266</v>
      </c>
      <c r="E164" s="2">
        <v>8</v>
      </c>
      <c r="F164" s="2" t="s">
        <v>1234</v>
      </c>
      <c r="G164">
        <f t="shared" si="10"/>
        <v>17</v>
      </c>
      <c r="H164" t="str">
        <f t="shared" si="11"/>
        <v>No</v>
      </c>
      <c r="I164" t="str">
        <f t="shared" si="12"/>
        <v>Jun</v>
      </c>
      <c r="J164" s="11">
        <f t="shared" si="13"/>
        <v>4.166666666666663E-2</v>
      </c>
      <c r="K164" t="str">
        <f t="shared" si="14"/>
        <v>weekday</v>
      </c>
    </row>
    <row r="165" spans="1:11" x14ac:dyDescent="0.4">
      <c r="A165" s="2" t="s">
        <v>548</v>
      </c>
      <c r="B165" s="3">
        <v>45593</v>
      </c>
      <c r="C165" s="2" t="s">
        <v>1232</v>
      </c>
      <c r="D165" s="2" t="s">
        <v>1235</v>
      </c>
      <c r="E165" s="2">
        <v>8</v>
      </c>
      <c r="F165" s="2" t="s">
        <v>1231</v>
      </c>
      <c r="G165">
        <f t="shared" si="10"/>
        <v>8</v>
      </c>
      <c r="H165" t="str">
        <f t="shared" si="11"/>
        <v>No</v>
      </c>
      <c r="I165" t="str">
        <f t="shared" si="12"/>
        <v>Oct</v>
      </c>
      <c r="J165" s="11">
        <f t="shared" si="13"/>
        <v>0.17708333333333337</v>
      </c>
      <c r="K165" t="str">
        <f t="shared" si="14"/>
        <v>weekday</v>
      </c>
    </row>
    <row r="166" spans="1:11" x14ac:dyDescent="0.4">
      <c r="A166" s="2" t="s">
        <v>550</v>
      </c>
      <c r="B166" s="3">
        <v>45421</v>
      </c>
      <c r="C166" s="2" t="s">
        <v>1254</v>
      </c>
      <c r="D166" s="2" t="s">
        <v>1232</v>
      </c>
      <c r="E166" s="2">
        <v>6</v>
      </c>
      <c r="F166" s="2" t="s">
        <v>1234</v>
      </c>
      <c r="G166">
        <f t="shared" si="10"/>
        <v>21</v>
      </c>
      <c r="H166" t="str">
        <f t="shared" si="11"/>
        <v>No</v>
      </c>
      <c r="I166" t="str">
        <f t="shared" si="12"/>
        <v>May</v>
      </c>
      <c r="J166" s="11">
        <f t="shared" si="13"/>
        <v>0.12499999999999994</v>
      </c>
      <c r="K166" t="str">
        <f t="shared" si="14"/>
        <v>weekday</v>
      </c>
    </row>
    <row r="167" spans="1:11" x14ac:dyDescent="0.4">
      <c r="A167" s="2" t="s">
        <v>550</v>
      </c>
      <c r="B167" s="3">
        <v>45599</v>
      </c>
      <c r="C167" s="2" t="s">
        <v>1249</v>
      </c>
      <c r="D167" s="2" t="s">
        <v>1248</v>
      </c>
      <c r="E167" s="2">
        <v>9</v>
      </c>
      <c r="F167" s="2" t="s">
        <v>1231</v>
      </c>
      <c r="G167">
        <f t="shared" si="10"/>
        <v>21</v>
      </c>
      <c r="H167" t="str">
        <f t="shared" si="11"/>
        <v>No</v>
      </c>
      <c r="I167" t="str">
        <f t="shared" si="12"/>
        <v>Nov</v>
      </c>
      <c r="J167" s="11">
        <f t="shared" si="13"/>
        <v>0.25</v>
      </c>
      <c r="K167" t="str">
        <f t="shared" si="14"/>
        <v>weekend</v>
      </c>
    </row>
    <row r="168" spans="1:11" x14ac:dyDescent="0.4">
      <c r="A168" s="2" t="s">
        <v>550</v>
      </c>
      <c r="B168" s="3">
        <v>45415</v>
      </c>
      <c r="C168" s="2" t="s">
        <v>1239</v>
      </c>
      <c r="D168" s="2" t="s">
        <v>1260</v>
      </c>
      <c r="E168" s="2">
        <v>6</v>
      </c>
      <c r="F168" s="2" t="s">
        <v>1234</v>
      </c>
      <c r="G168">
        <f t="shared" si="10"/>
        <v>21</v>
      </c>
      <c r="H168" t="str">
        <f t="shared" si="11"/>
        <v>No</v>
      </c>
      <c r="I168" t="str">
        <f t="shared" si="12"/>
        <v>May</v>
      </c>
      <c r="J168" s="11">
        <f t="shared" si="13"/>
        <v>0.22916666666666663</v>
      </c>
      <c r="K168" t="str">
        <f t="shared" si="14"/>
        <v>weekday</v>
      </c>
    </row>
    <row r="169" spans="1:11" x14ac:dyDescent="0.4">
      <c r="A169" s="2" t="s">
        <v>552</v>
      </c>
      <c r="B169" s="3">
        <v>45442</v>
      </c>
      <c r="C169" s="2" t="s">
        <v>1235</v>
      </c>
      <c r="D169" s="2" t="s">
        <v>1253</v>
      </c>
      <c r="E169" s="2">
        <v>6</v>
      </c>
      <c r="F169" s="2" t="s">
        <v>1234</v>
      </c>
      <c r="G169">
        <f t="shared" si="10"/>
        <v>6</v>
      </c>
      <c r="H169" t="str">
        <f t="shared" si="11"/>
        <v>No</v>
      </c>
      <c r="I169" t="str">
        <f t="shared" si="12"/>
        <v>May</v>
      </c>
      <c r="J169" s="11">
        <f t="shared" si="13"/>
        <v>0.16666666666666663</v>
      </c>
      <c r="K169" t="str">
        <f t="shared" si="14"/>
        <v>weekday</v>
      </c>
    </row>
    <row r="170" spans="1:11" x14ac:dyDescent="0.4">
      <c r="A170" s="2" t="s">
        <v>554</v>
      </c>
      <c r="B170" s="3">
        <v>45433</v>
      </c>
      <c r="C170" s="2" t="s">
        <v>1271</v>
      </c>
      <c r="D170" s="2" t="s">
        <v>1239</v>
      </c>
      <c r="E170" s="2">
        <v>7</v>
      </c>
      <c r="F170" s="2" t="s">
        <v>1231</v>
      </c>
      <c r="G170">
        <f t="shared" si="10"/>
        <v>7</v>
      </c>
      <c r="H170" t="str">
        <f t="shared" si="11"/>
        <v>No</v>
      </c>
      <c r="I170" t="str">
        <f t="shared" si="12"/>
        <v>May</v>
      </c>
      <c r="J170" s="11">
        <f t="shared" si="13"/>
        <v>3.125E-2</v>
      </c>
      <c r="K170" t="str">
        <f t="shared" si="14"/>
        <v>weekday</v>
      </c>
    </row>
    <row r="171" spans="1:11" x14ac:dyDescent="0.4">
      <c r="A171" s="2" t="s">
        <v>558</v>
      </c>
      <c r="B171" s="3">
        <v>45573</v>
      </c>
      <c r="C171" s="2" t="s">
        <v>1260</v>
      </c>
      <c r="D171" s="2" t="s">
        <v>1264</v>
      </c>
      <c r="E171" s="2">
        <v>6</v>
      </c>
      <c r="F171" s="2" t="s">
        <v>1234</v>
      </c>
      <c r="G171">
        <f t="shared" si="10"/>
        <v>6</v>
      </c>
      <c r="H171" t="str">
        <f t="shared" si="11"/>
        <v>No</v>
      </c>
      <c r="I171" t="str">
        <f t="shared" si="12"/>
        <v>Oct</v>
      </c>
      <c r="J171" s="11">
        <f t="shared" si="13"/>
        <v>0.29166666666666663</v>
      </c>
      <c r="K171" t="str">
        <f t="shared" si="14"/>
        <v>weekday</v>
      </c>
    </row>
    <row r="172" spans="1:11" x14ac:dyDescent="0.4">
      <c r="A172" s="2" t="s">
        <v>560</v>
      </c>
      <c r="B172" s="3">
        <v>45454</v>
      </c>
      <c r="C172" s="2" t="s">
        <v>1251</v>
      </c>
      <c r="D172" s="2" t="s">
        <v>1243</v>
      </c>
      <c r="E172" s="2">
        <v>9</v>
      </c>
      <c r="F172" s="2" t="s">
        <v>1231</v>
      </c>
      <c r="G172">
        <f t="shared" si="10"/>
        <v>9</v>
      </c>
      <c r="H172" t="str">
        <f t="shared" si="11"/>
        <v>No</v>
      </c>
      <c r="I172" t="str">
        <f t="shared" si="12"/>
        <v>Jun</v>
      </c>
      <c r="J172" s="11">
        <f t="shared" si="13"/>
        <v>1.041666666666663E-2</v>
      </c>
      <c r="K172" t="str">
        <f t="shared" si="14"/>
        <v>weekday</v>
      </c>
    </row>
    <row r="173" spans="1:11" x14ac:dyDescent="0.4">
      <c r="A173" s="2" t="s">
        <v>570</v>
      </c>
      <c r="B173" s="3">
        <v>45479</v>
      </c>
      <c r="C173" s="2" t="s">
        <v>1274</v>
      </c>
      <c r="D173" s="2" t="s">
        <v>1265</v>
      </c>
      <c r="E173" s="2">
        <v>8</v>
      </c>
      <c r="F173" s="2" t="s">
        <v>1234</v>
      </c>
      <c r="G173">
        <f t="shared" si="10"/>
        <v>14</v>
      </c>
      <c r="H173" t="str">
        <f t="shared" si="11"/>
        <v>No</v>
      </c>
      <c r="I173" t="str">
        <f t="shared" si="12"/>
        <v>Jul</v>
      </c>
      <c r="J173" s="11">
        <f t="shared" si="13"/>
        <v>0.34375</v>
      </c>
      <c r="K173" t="str">
        <f t="shared" si="14"/>
        <v>weekend</v>
      </c>
    </row>
    <row r="174" spans="1:11" x14ac:dyDescent="0.4">
      <c r="A174" s="2" t="s">
        <v>570</v>
      </c>
      <c r="B174" s="3">
        <v>45595</v>
      </c>
      <c r="C174" s="2" t="s">
        <v>1263</v>
      </c>
      <c r="D174" s="2" t="s">
        <v>1239</v>
      </c>
      <c r="E174" s="2">
        <v>6</v>
      </c>
      <c r="F174" s="2" t="s">
        <v>1234</v>
      </c>
      <c r="G174">
        <f t="shared" si="10"/>
        <v>14</v>
      </c>
      <c r="H174" t="str">
        <f t="shared" si="11"/>
        <v>No</v>
      </c>
      <c r="I174" t="str">
        <f t="shared" si="12"/>
        <v>Oct</v>
      </c>
      <c r="J174" s="11">
        <f t="shared" si="13"/>
        <v>0.14583333333333337</v>
      </c>
      <c r="K174" t="str">
        <f t="shared" si="14"/>
        <v>weekday</v>
      </c>
    </row>
    <row r="175" spans="1:11" x14ac:dyDescent="0.4">
      <c r="A175" s="2" t="s">
        <v>572</v>
      </c>
      <c r="B175" s="3">
        <v>45373</v>
      </c>
      <c r="C175" s="2" t="s">
        <v>1250</v>
      </c>
      <c r="D175" s="2" t="s">
        <v>1237</v>
      </c>
      <c r="E175" s="2">
        <v>10</v>
      </c>
      <c r="F175" s="2" t="s">
        <v>1234</v>
      </c>
      <c r="G175">
        <f t="shared" si="10"/>
        <v>19</v>
      </c>
      <c r="H175" t="str">
        <f t="shared" si="11"/>
        <v>No</v>
      </c>
      <c r="I175" t="str">
        <f t="shared" si="12"/>
        <v>Mar</v>
      </c>
      <c r="J175" s="11">
        <f t="shared" si="13"/>
        <v>0.39583333333333331</v>
      </c>
      <c r="K175" t="str">
        <f t="shared" si="14"/>
        <v>weekday</v>
      </c>
    </row>
    <row r="176" spans="1:11" x14ac:dyDescent="0.4">
      <c r="A176" s="2" t="s">
        <v>572</v>
      </c>
      <c r="B176" s="3">
        <v>45324</v>
      </c>
      <c r="C176" s="2" t="s">
        <v>1268</v>
      </c>
      <c r="D176" s="2" t="s">
        <v>1258</v>
      </c>
      <c r="E176" s="2">
        <v>9</v>
      </c>
      <c r="F176" s="2" t="s">
        <v>1231</v>
      </c>
      <c r="G176">
        <f t="shared" si="10"/>
        <v>19</v>
      </c>
      <c r="H176" t="str">
        <f t="shared" si="11"/>
        <v>No</v>
      </c>
      <c r="I176" t="str">
        <f t="shared" si="12"/>
        <v>Feb</v>
      </c>
      <c r="J176" s="11">
        <f t="shared" si="13"/>
        <v>0.32291666666666669</v>
      </c>
      <c r="K176" t="str">
        <f t="shared" si="14"/>
        <v>weekday</v>
      </c>
    </row>
    <row r="177" spans="1:11" x14ac:dyDescent="0.4">
      <c r="A177" s="2" t="s">
        <v>574</v>
      </c>
      <c r="B177" s="3">
        <v>45599</v>
      </c>
      <c r="C177" s="2" t="s">
        <v>1268</v>
      </c>
      <c r="D177" s="2" t="s">
        <v>1248</v>
      </c>
      <c r="E177" s="2">
        <v>8</v>
      </c>
      <c r="F177" s="2" t="s">
        <v>1231</v>
      </c>
      <c r="G177">
        <f t="shared" si="10"/>
        <v>8</v>
      </c>
      <c r="H177" t="str">
        <f t="shared" si="11"/>
        <v>No</v>
      </c>
      <c r="I177" t="str">
        <f t="shared" si="12"/>
        <v>Nov</v>
      </c>
      <c r="J177" s="11">
        <f t="shared" si="13"/>
        <v>0.38541666666666669</v>
      </c>
      <c r="K177" t="str">
        <f t="shared" si="14"/>
        <v>weekend</v>
      </c>
    </row>
    <row r="178" spans="1:11" x14ac:dyDescent="0.4">
      <c r="A178" s="2" t="s">
        <v>582</v>
      </c>
      <c r="B178" s="3">
        <v>45552</v>
      </c>
      <c r="C178" s="2" t="s">
        <v>1253</v>
      </c>
      <c r="D178" s="2" t="s">
        <v>1248</v>
      </c>
      <c r="E178" s="2">
        <v>9</v>
      </c>
      <c r="F178" s="2" t="s">
        <v>1231</v>
      </c>
      <c r="G178">
        <f t="shared" si="10"/>
        <v>25</v>
      </c>
      <c r="H178" t="str">
        <f t="shared" si="11"/>
        <v>No</v>
      </c>
      <c r="I178" t="str">
        <f t="shared" si="12"/>
        <v>Sep</v>
      </c>
      <c r="J178" s="11">
        <f t="shared" si="13"/>
        <v>0.1875</v>
      </c>
      <c r="K178" t="str">
        <f t="shared" si="14"/>
        <v>weekday</v>
      </c>
    </row>
    <row r="179" spans="1:11" x14ac:dyDescent="0.4">
      <c r="A179" s="2" t="s">
        <v>582</v>
      </c>
      <c r="B179" s="3">
        <v>45506</v>
      </c>
      <c r="C179" s="2" t="s">
        <v>1248</v>
      </c>
      <c r="D179" s="2" t="s">
        <v>1258</v>
      </c>
      <c r="E179" s="2">
        <v>7</v>
      </c>
      <c r="F179" s="2" t="s">
        <v>1234</v>
      </c>
      <c r="G179">
        <f t="shared" si="10"/>
        <v>25</v>
      </c>
      <c r="H179" t="str">
        <f t="shared" si="11"/>
        <v>No</v>
      </c>
      <c r="I179" t="str">
        <f t="shared" si="12"/>
        <v>Aug</v>
      </c>
      <c r="J179" s="11">
        <f t="shared" si="13"/>
        <v>6.25E-2</v>
      </c>
      <c r="K179" t="str">
        <f t="shared" si="14"/>
        <v>weekday</v>
      </c>
    </row>
    <row r="180" spans="1:11" x14ac:dyDescent="0.4">
      <c r="A180" s="2" t="s">
        <v>582</v>
      </c>
      <c r="B180" s="3">
        <v>45612</v>
      </c>
      <c r="C180" s="2" t="s">
        <v>1246</v>
      </c>
      <c r="D180" s="2" t="s">
        <v>1266</v>
      </c>
      <c r="E180" s="2">
        <v>9</v>
      </c>
      <c r="F180" s="2" t="s">
        <v>1231</v>
      </c>
      <c r="G180">
        <f t="shared" si="10"/>
        <v>25</v>
      </c>
      <c r="H180" t="str">
        <f t="shared" si="11"/>
        <v>No</v>
      </c>
      <c r="I180" t="str">
        <f t="shared" si="12"/>
        <v>Nov</v>
      </c>
      <c r="J180" s="11">
        <f t="shared" si="13"/>
        <v>4.166666666666663E-2</v>
      </c>
      <c r="K180" t="str">
        <f t="shared" si="14"/>
        <v>weekend</v>
      </c>
    </row>
    <row r="181" spans="1:11" x14ac:dyDescent="0.4">
      <c r="A181" s="2" t="s">
        <v>586</v>
      </c>
      <c r="B181" s="3">
        <v>45373</v>
      </c>
      <c r="C181" s="2" t="s">
        <v>1258</v>
      </c>
      <c r="D181" s="2" t="s">
        <v>1233</v>
      </c>
      <c r="E181" s="2">
        <v>7</v>
      </c>
      <c r="F181" s="2" t="s">
        <v>1231</v>
      </c>
      <c r="G181">
        <f t="shared" si="10"/>
        <v>13</v>
      </c>
      <c r="H181" t="str">
        <f t="shared" si="11"/>
        <v>No</v>
      </c>
      <c r="I181" t="str">
        <f t="shared" si="12"/>
        <v>Mar</v>
      </c>
      <c r="J181" s="11">
        <f t="shared" si="13"/>
        <v>3.125E-2</v>
      </c>
      <c r="K181" t="str">
        <f t="shared" si="14"/>
        <v>weekday</v>
      </c>
    </row>
    <row r="182" spans="1:11" x14ac:dyDescent="0.4">
      <c r="A182" s="2" t="s">
        <v>586</v>
      </c>
      <c r="B182" s="3">
        <v>45447</v>
      </c>
      <c r="C182" s="2" t="s">
        <v>1254</v>
      </c>
      <c r="D182" s="2" t="s">
        <v>1248</v>
      </c>
      <c r="E182" s="2">
        <v>6</v>
      </c>
      <c r="F182" s="2" t="s">
        <v>1234</v>
      </c>
      <c r="G182">
        <f t="shared" si="10"/>
        <v>13</v>
      </c>
      <c r="H182" t="str">
        <f t="shared" si="11"/>
        <v>No</v>
      </c>
      <c r="I182" t="str">
        <f t="shared" si="12"/>
        <v>Jun</v>
      </c>
      <c r="J182" s="11">
        <f t="shared" si="13"/>
        <v>0.32291666666666669</v>
      </c>
      <c r="K182" t="str">
        <f t="shared" si="14"/>
        <v>weekday</v>
      </c>
    </row>
    <row r="183" spans="1:11" x14ac:dyDescent="0.4">
      <c r="A183" s="2" t="s">
        <v>588</v>
      </c>
      <c r="B183" s="3">
        <v>45416</v>
      </c>
      <c r="C183" s="2" t="s">
        <v>1233</v>
      </c>
      <c r="D183" s="2" t="s">
        <v>1259</v>
      </c>
      <c r="E183" s="2">
        <v>10</v>
      </c>
      <c r="F183" s="2" t="s">
        <v>1234</v>
      </c>
      <c r="G183">
        <f t="shared" si="10"/>
        <v>10</v>
      </c>
      <c r="H183" t="str">
        <f t="shared" si="11"/>
        <v>No</v>
      </c>
      <c r="I183" t="str">
        <f t="shared" si="12"/>
        <v>May</v>
      </c>
      <c r="J183" s="11">
        <f t="shared" si="13"/>
        <v>0.34375000000000006</v>
      </c>
      <c r="K183" t="str">
        <f t="shared" si="14"/>
        <v>weekend</v>
      </c>
    </row>
    <row r="184" spans="1:11" x14ac:dyDescent="0.4">
      <c r="A184" s="2" t="s">
        <v>590</v>
      </c>
      <c r="B184" s="3">
        <v>45356</v>
      </c>
      <c r="C184" s="2" t="s">
        <v>1270</v>
      </c>
      <c r="D184" s="2" t="s">
        <v>1270</v>
      </c>
      <c r="E184" s="2">
        <v>6</v>
      </c>
      <c r="F184" s="2" t="s">
        <v>1231</v>
      </c>
      <c r="G184">
        <f t="shared" si="10"/>
        <v>6</v>
      </c>
      <c r="H184" t="str">
        <f t="shared" si="11"/>
        <v>No</v>
      </c>
      <c r="I184" t="str">
        <f t="shared" si="12"/>
        <v>Mar</v>
      </c>
      <c r="J184" s="11">
        <f t="shared" si="13"/>
        <v>0</v>
      </c>
      <c r="K184" t="str">
        <f t="shared" si="14"/>
        <v>weekday</v>
      </c>
    </row>
    <row r="185" spans="1:11" x14ac:dyDescent="0.4">
      <c r="A185" s="2" t="s">
        <v>592</v>
      </c>
      <c r="B185" s="3">
        <v>45592</v>
      </c>
      <c r="C185" s="2" t="s">
        <v>1236</v>
      </c>
      <c r="D185" s="2" t="s">
        <v>1236</v>
      </c>
      <c r="E185" s="2">
        <v>8</v>
      </c>
      <c r="F185" s="2" t="s">
        <v>1231</v>
      </c>
      <c r="G185">
        <f t="shared" si="10"/>
        <v>8</v>
      </c>
      <c r="H185" t="str">
        <f t="shared" si="11"/>
        <v>No</v>
      </c>
      <c r="I185" t="str">
        <f t="shared" si="12"/>
        <v>Oct</v>
      </c>
      <c r="J185" s="11">
        <f t="shared" si="13"/>
        <v>0</v>
      </c>
      <c r="K185" t="str">
        <f t="shared" si="14"/>
        <v>weekend</v>
      </c>
    </row>
    <row r="186" spans="1:11" x14ac:dyDescent="0.4">
      <c r="A186" s="2" t="s">
        <v>596</v>
      </c>
      <c r="B186" s="3">
        <v>45530</v>
      </c>
      <c r="C186" s="2" t="s">
        <v>1261</v>
      </c>
      <c r="D186" s="2" t="s">
        <v>1259</v>
      </c>
      <c r="E186" s="2">
        <v>6</v>
      </c>
      <c r="F186" s="2" t="s">
        <v>1234</v>
      </c>
      <c r="G186">
        <f t="shared" si="10"/>
        <v>6</v>
      </c>
      <c r="H186" t="str">
        <f t="shared" si="11"/>
        <v>No</v>
      </c>
      <c r="I186" t="str">
        <f t="shared" si="12"/>
        <v>Aug</v>
      </c>
      <c r="J186" s="11">
        <f t="shared" si="13"/>
        <v>0.39583333333333331</v>
      </c>
      <c r="K186" t="str">
        <f t="shared" si="14"/>
        <v>weekday</v>
      </c>
    </row>
    <row r="187" spans="1:11" x14ac:dyDescent="0.4">
      <c r="A187" s="2" t="s">
        <v>598</v>
      </c>
      <c r="B187" s="3">
        <v>45614</v>
      </c>
      <c r="C187" s="2" t="s">
        <v>1250</v>
      </c>
      <c r="D187" s="2" t="s">
        <v>1253</v>
      </c>
      <c r="E187" s="2">
        <v>7</v>
      </c>
      <c r="F187" s="2" t="s">
        <v>1231</v>
      </c>
      <c r="G187">
        <f t="shared" si="10"/>
        <v>7</v>
      </c>
      <c r="H187" t="str">
        <f t="shared" si="11"/>
        <v>No</v>
      </c>
      <c r="I187" t="str">
        <f t="shared" si="12"/>
        <v>Nov</v>
      </c>
      <c r="J187" s="11">
        <f t="shared" si="13"/>
        <v>0.21875000000000006</v>
      </c>
      <c r="K187" t="str">
        <f t="shared" si="14"/>
        <v>weekday</v>
      </c>
    </row>
    <row r="188" spans="1:11" x14ac:dyDescent="0.4">
      <c r="A188" s="2" t="s">
        <v>600</v>
      </c>
      <c r="B188" s="3">
        <v>45438</v>
      </c>
      <c r="C188" s="2" t="s">
        <v>1230</v>
      </c>
      <c r="D188" s="2" t="s">
        <v>1240</v>
      </c>
      <c r="E188" s="2">
        <v>6</v>
      </c>
      <c r="F188" s="2" t="s">
        <v>1231</v>
      </c>
      <c r="G188">
        <f t="shared" si="10"/>
        <v>6</v>
      </c>
      <c r="H188" t="str">
        <f t="shared" si="11"/>
        <v>No</v>
      </c>
      <c r="I188" t="str">
        <f t="shared" si="12"/>
        <v>May</v>
      </c>
      <c r="J188" s="11">
        <f t="shared" si="13"/>
        <v>9.375E-2</v>
      </c>
      <c r="K188" t="str">
        <f t="shared" si="14"/>
        <v>weekend</v>
      </c>
    </row>
    <row r="189" spans="1:11" x14ac:dyDescent="0.4">
      <c r="A189" s="2" t="s">
        <v>602</v>
      </c>
      <c r="B189" s="3">
        <v>45423</v>
      </c>
      <c r="C189" s="2" t="s">
        <v>1255</v>
      </c>
      <c r="D189" s="2" t="s">
        <v>1240</v>
      </c>
      <c r="E189" s="2">
        <v>10</v>
      </c>
      <c r="F189" s="2" t="s">
        <v>1234</v>
      </c>
      <c r="G189">
        <f t="shared" si="10"/>
        <v>25</v>
      </c>
      <c r="H189" t="str">
        <f t="shared" si="11"/>
        <v>No</v>
      </c>
      <c r="I189" t="str">
        <f t="shared" si="12"/>
        <v>May</v>
      </c>
      <c r="J189" s="11">
        <f t="shared" si="13"/>
        <v>4.166666666666663E-2</v>
      </c>
      <c r="K189" t="str">
        <f t="shared" si="14"/>
        <v>weekend</v>
      </c>
    </row>
    <row r="190" spans="1:11" x14ac:dyDescent="0.4">
      <c r="A190" s="2" t="s">
        <v>602</v>
      </c>
      <c r="B190" s="3">
        <v>45325</v>
      </c>
      <c r="C190" s="2" t="s">
        <v>1261</v>
      </c>
      <c r="D190" s="2" t="s">
        <v>1254</v>
      </c>
      <c r="E190" s="2">
        <v>9</v>
      </c>
      <c r="F190" s="2" t="s">
        <v>1234</v>
      </c>
      <c r="G190">
        <f t="shared" si="10"/>
        <v>25</v>
      </c>
      <c r="H190" t="str">
        <f t="shared" si="11"/>
        <v>No</v>
      </c>
      <c r="I190" t="str">
        <f t="shared" si="12"/>
        <v>Feb</v>
      </c>
      <c r="J190" s="11">
        <f t="shared" si="13"/>
        <v>0.28124999999999994</v>
      </c>
      <c r="K190" t="str">
        <f t="shared" si="14"/>
        <v>weekend</v>
      </c>
    </row>
    <row r="191" spans="1:11" x14ac:dyDescent="0.4">
      <c r="A191" s="2" t="s">
        <v>602</v>
      </c>
      <c r="B191" s="3">
        <v>45344</v>
      </c>
      <c r="C191" s="2" t="s">
        <v>1240</v>
      </c>
      <c r="D191" s="2" t="s">
        <v>1246</v>
      </c>
      <c r="E191" s="2">
        <v>6</v>
      </c>
      <c r="F191" s="2" t="s">
        <v>1234</v>
      </c>
      <c r="G191">
        <f t="shared" si="10"/>
        <v>25</v>
      </c>
      <c r="H191" t="str">
        <f t="shared" si="11"/>
        <v>No</v>
      </c>
      <c r="I191" t="str">
        <f t="shared" si="12"/>
        <v>Feb</v>
      </c>
      <c r="J191" s="11">
        <f t="shared" si="13"/>
        <v>0.17708333333333331</v>
      </c>
      <c r="K191" t="str">
        <f t="shared" si="14"/>
        <v>weekday</v>
      </c>
    </row>
    <row r="192" spans="1:11" x14ac:dyDescent="0.4">
      <c r="A192" s="2" t="s">
        <v>606</v>
      </c>
      <c r="B192" s="3">
        <v>45298</v>
      </c>
      <c r="C192" s="2" t="s">
        <v>1249</v>
      </c>
      <c r="D192" s="2" t="s">
        <v>1256</v>
      </c>
      <c r="E192" s="2">
        <v>8</v>
      </c>
      <c r="F192" s="2" t="s">
        <v>1231</v>
      </c>
      <c r="G192">
        <f t="shared" si="10"/>
        <v>8</v>
      </c>
      <c r="H192" t="str">
        <f t="shared" si="11"/>
        <v>No</v>
      </c>
      <c r="I192" t="str">
        <f t="shared" si="12"/>
        <v>Jan</v>
      </c>
      <c r="J192" s="11">
        <f t="shared" si="13"/>
        <v>0.16666666666666663</v>
      </c>
      <c r="K192" t="str">
        <f t="shared" si="14"/>
        <v>weekend</v>
      </c>
    </row>
    <row r="193" spans="1:11" x14ac:dyDescent="0.4">
      <c r="A193" s="2" t="s">
        <v>610</v>
      </c>
      <c r="B193" s="3">
        <v>45510</v>
      </c>
      <c r="C193" s="2" t="s">
        <v>1261</v>
      </c>
      <c r="D193" s="2" t="s">
        <v>1267</v>
      </c>
      <c r="E193" s="2">
        <v>7</v>
      </c>
      <c r="F193" s="2" t="s">
        <v>1231</v>
      </c>
      <c r="G193">
        <f t="shared" si="10"/>
        <v>7</v>
      </c>
      <c r="H193" t="str">
        <f t="shared" si="11"/>
        <v>No</v>
      </c>
      <c r="I193" t="str">
        <f t="shared" si="12"/>
        <v>Aug</v>
      </c>
      <c r="J193" s="11">
        <f t="shared" si="13"/>
        <v>0.33333333333333331</v>
      </c>
      <c r="K193" t="str">
        <f t="shared" si="14"/>
        <v>weekday</v>
      </c>
    </row>
    <row r="194" spans="1:11" x14ac:dyDescent="0.4">
      <c r="A194" s="2" t="s">
        <v>614</v>
      </c>
      <c r="B194" s="3">
        <v>45302</v>
      </c>
      <c r="C194" s="2" t="s">
        <v>1263</v>
      </c>
      <c r="D194" s="2" t="s">
        <v>1239</v>
      </c>
      <c r="E194" s="2">
        <v>7</v>
      </c>
      <c r="F194" s="2" t="s">
        <v>1231</v>
      </c>
      <c r="G194">
        <f t="shared" si="10"/>
        <v>7</v>
      </c>
      <c r="H194" t="str">
        <f t="shared" si="11"/>
        <v>No</v>
      </c>
      <c r="I194" t="str">
        <f t="shared" si="12"/>
        <v>Jan</v>
      </c>
      <c r="J194" s="11">
        <f t="shared" si="13"/>
        <v>0.14583333333333337</v>
      </c>
      <c r="K194" t="str">
        <f t="shared" si="14"/>
        <v>weekday</v>
      </c>
    </row>
    <row r="195" spans="1:11" x14ac:dyDescent="0.4">
      <c r="A195" s="2" t="s">
        <v>616</v>
      </c>
      <c r="B195" s="3">
        <v>45331</v>
      </c>
      <c r="C195" s="2" t="s">
        <v>1273</v>
      </c>
      <c r="D195" s="2" t="s">
        <v>1259</v>
      </c>
      <c r="E195" s="2">
        <v>6</v>
      </c>
      <c r="F195" s="2" t="s">
        <v>1234</v>
      </c>
      <c r="G195">
        <f t="shared" ref="G195:G258" si="15">SUMIFS($E$2:$E$501,$A$2:$A$501,A195)</f>
        <v>12</v>
      </c>
      <c r="H195" t="str">
        <f t="shared" ref="H195:H258" si="16">IF(COUNTIFS($A$2:$A$501,A195,$F$2:$F$501,"Yes")&gt;5,"Late","No")</f>
        <v>No</v>
      </c>
      <c r="I195" t="str">
        <f t="shared" ref="I195:I258" si="17">TEXT(B195,"mmm")</f>
        <v>Feb</v>
      </c>
      <c r="J195" s="11">
        <f t="shared" ref="J195:J258" si="18">ABS(TIMEVALUE(D195)-TIMEVALUE(C195))</f>
        <v>0.27083333333333331</v>
      </c>
      <c r="K195" t="str">
        <f t="shared" ref="K195:K258" si="19">IF(OR(TEXT(B195,"ddd")="Sat",TEXT(B195,"ddd")="Sun"),"weekend","weekday")</f>
        <v>weekday</v>
      </c>
    </row>
    <row r="196" spans="1:11" x14ac:dyDescent="0.4">
      <c r="A196" s="2" t="s">
        <v>616</v>
      </c>
      <c r="B196" s="3">
        <v>45483</v>
      </c>
      <c r="C196" s="2" t="s">
        <v>1256</v>
      </c>
      <c r="D196" s="2" t="s">
        <v>1261</v>
      </c>
      <c r="E196" s="2">
        <v>6</v>
      </c>
      <c r="F196" s="2" t="s">
        <v>1231</v>
      </c>
      <c r="G196">
        <f t="shared" si="15"/>
        <v>12</v>
      </c>
      <c r="H196" t="str">
        <f t="shared" si="16"/>
        <v>No</v>
      </c>
      <c r="I196" t="str">
        <f t="shared" si="17"/>
        <v>Jul</v>
      </c>
      <c r="J196" s="11">
        <f t="shared" si="18"/>
        <v>4.166666666666663E-2</v>
      </c>
      <c r="K196" t="str">
        <f t="shared" si="19"/>
        <v>weekday</v>
      </c>
    </row>
    <row r="197" spans="1:11" x14ac:dyDescent="0.4">
      <c r="A197" s="2" t="s">
        <v>618</v>
      </c>
      <c r="B197" s="3">
        <v>45465</v>
      </c>
      <c r="C197" s="2" t="s">
        <v>1248</v>
      </c>
      <c r="D197" s="2" t="s">
        <v>1257</v>
      </c>
      <c r="E197" s="2">
        <v>9</v>
      </c>
      <c r="F197" s="2" t="s">
        <v>1234</v>
      </c>
      <c r="G197">
        <f t="shared" si="15"/>
        <v>9</v>
      </c>
      <c r="H197" t="str">
        <f t="shared" si="16"/>
        <v>No</v>
      </c>
      <c r="I197" t="str">
        <f t="shared" si="17"/>
        <v>Jun</v>
      </c>
      <c r="J197" s="11">
        <f t="shared" si="18"/>
        <v>0.23958333333333337</v>
      </c>
      <c r="K197" t="str">
        <f t="shared" si="19"/>
        <v>weekend</v>
      </c>
    </row>
    <row r="198" spans="1:11" x14ac:dyDescent="0.4">
      <c r="A198" s="2" t="s">
        <v>620</v>
      </c>
      <c r="B198" s="3">
        <v>45423</v>
      </c>
      <c r="C198" s="2" t="s">
        <v>1259</v>
      </c>
      <c r="D198" s="2" t="s">
        <v>1266</v>
      </c>
      <c r="E198" s="2">
        <v>10</v>
      </c>
      <c r="F198" s="2" t="s">
        <v>1234</v>
      </c>
      <c r="G198">
        <f t="shared" si="15"/>
        <v>10</v>
      </c>
      <c r="H198" t="str">
        <f t="shared" si="16"/>
        <v>No</v>
      </c>
      <c r="I198" t="str">
        <f t="shared" si="17"/>
        <v>May</v>
      </c>
      <c r="J198" s="11">
        <f t="shared" si="18"/>
        <v>0.125</v>
      </c>
      <c r="K198" t="str">
        <f t="shared" si="19"/>
        <v>weekend</v>
      </c>
    </row>
    <row r="199" spans="1:11" x14ac:dyDescent="0.4">
      <c r="A199" s="2" t="s">
        <v>624</v>
      </c>
      <c r="B199" s="3">
        <v>45409</v>
      </c>
      <c r="C199" s="2" t="s">
        <v>1260</v>
      </c>
      <c r="D199" s="2" t="s">
        <v>1255</v>
      </c>
      <c r="E199" s="2">
        <v>7</v>
      </c>
      <c r="F199" s="2" t="s">
        <v>1234</v>
      </c>
      <c r="G199">
        <f t="shared" si="15"/>
        <v>15</v>
      </c>
      <c r="H199" t="str">
        <f t="shared" si="16"/>
        <v>No</v>
      </c>
      <c r="I199" t="str">
        <f t="shared" si="17"/>
        <v>Apr</v>
      </c>
      <c r="J199" s="11">
        <f t="shared" si="18"/>
        <v>0.14583333333333326</v>
      </c>
      <c r="K199" t="str">
        <f t="shared" si="19"/>
        <v>weekend</v>
      </c>
    </row>
    <row r="200" spans="1:11" x14ac:dyDescent="0.4">
      <c r="A200" s="2" t="s">
        <v>624</v>
      </c>
      <c r="B200" s="3">
        <v>45355</v>
      </c>
      <c r="C200" s="2" t="s">
        <v>1260</v>
      </c>
      <c r="D200" s="2" t="s">
        <v>1233</v>
      </c>
      <c r="E200" s="2">
        <v>8</v>
      </c>
      <c r="F200" s="2" t="s">
        <v>1231</v>
      </c>
      <c r="G200">
        <f t="shared" si="15"/>
        <v>15</v>
      </c>
      <c r="H200" t="str">
        <f t="shared" si="16"/>
        <v>No</v>
      </c>
      <c r="I200" t="str">
        <f t="shared" si="17"/>
        <v>Mar</v>
      </c>
      <c r="J200" s="11">
        <f t="shared" si="18"/>
        <v>2.0833333333333259E-2</v>
      </c>
      <c r="K200" t="str">
        <f t="shared" si="19"/>
        <v>weekday</v>
      </c>
    </row>
    <row r="201" spans="1:11" x14ac:dyDescent="0.4">
      <c r="A201" s="2" t="s">
        <v>626</v>
      </c>
      <c r="B201" s="3">
        <v>45533</v>
      </c>
      <c r="C201" s="2" t="s">
        <v>1249</v>
      </c>
      <c r="D201" s="2" t="s">
        <v>1248</v>
      </c>
      <c r="E201" s="2">
        <v>7</v>
      </c>
      <c r="F201" s="2" t="s">
        <v>1234</v>
      </c>
      <c r="G201">
        <f t="shared" si="15"/>
        <v>7</v>
      </c>
      <c r="H201" t="str">
        <f t="shared" si="16"/>
        <v>No</v>
      </c>
      <c r="I201" t="str">
        <f t="shared" si="17"/>
        <v>Aug</v>
      </c>
      <c r="J201" s="11">
        <f t="shared" si="18"/>
        <v>0.25</v>
      </c>
      <c r="K201" t="str">
        <f t="shared" si="19"/>
        <v>weekday</v>
      </c>
    </row>
    <row r="202" spans="1:11" x14ac:dyDescent="0.4">
      <c r="A202" s="2" t="s">
        <v>628</v>
      </c>
      <c r="B202" s="3">
        <v>45402</v>
      </c>
      <c r="C202" s="2" t="s">
        <v>1256</v>
      </c>
      <c r="D202" s="2" t="s">
        <v>1247</v>
      </c>
      <c r="E202" s="2">
        <v>8</v>
      </c>
      <c r="F202" s="2" t="s">
        <v>1231</v>
      </c>
      <c r="G202">
        <f t="shared" si="15"/>
        <v>26</v>
      </c>
      <c r="H202" t="str">
        <f t="shared" si="16"/>
        <v>No</v>
      </c>
      <c r="I202" t="str">
        <f t="shared" si="17"/>
        <v>Apr</v>
      </c>
      <c r="J202" s="11">
        <f t="shared" si="18"/>
        <v>9.375E-2</v>
      </c>
      <c r="K202" t="str">
        <f t="shared" si="19"/>
        <v>weekend</v>
      </c>
    </row>
    <row r="203" spans="1:11" x14ac:dyDescent="0.4">
      <c r="A203" s="2" t="s">
        <v>628</v>
      </c>
      <c r="B203" s="3">
        <v>45461</v>
      </c>
      <c r="C203" s="2" t="s">
        <v>1273</v>
      </c>
      <c r="D203" s="2" t="s">
        <v>1242</v>
      </c>
      <c r="E203" s="2">
        <v>9</v>
      </c>
      <c r="F203" s="2" t="s">
        <v>1234</v>
      </c>
      <c r="G203">
        <f t="shared" si="15"/>
        <v>26</v>
      </c>
      <c r="H203" t="str">
        <f t="shared" si="16"/>
        <v>No</v>
      </c>
      <c r="I203" t="str">
        <f t="shared" si="17"/>
        <v>Jun</v>
      </c>
      <c r="J203" s="11">
        <f t="shared" si="18"/>
        <v>0.24999999999999994</v>
      </c>
      <c r="K203" t="str">
        <f t="shared" si="19"/>
        <v>weekday</v>
      </c>
    </row>
    <row r="204" spans="1:11" x14ac:dyDescent="0.4">
      <c r="A204" s="2" t="s">
        <v>628</v>
      </c>
      <c r="B204" s="3">
        <v>45581</v>
      </c>
      <c r="C204" s="2" t="s">
        <v>1244</v>
      </c>
      <c r="D204" s="2" t="s">
        <v>1269</v>
      </c>
      <c r="E204" s="2">
        <v>9</v>
      </c>
      <c r="F204" s="2" t="s">
        <v>1231</v>
      </c>
      <c r="G204">
        <f t="shared" si="15"/>
        <v>26</v>
      </c>
      <c r="H204" t="str">
        <f t="shared" si="16"/>
        <v>No</v>
      </c>
      <c r="I204" t="str">
        <f t="shared" si="17"/>
        <v>Oct</v>
      </c>
      <c r="J204" s="11">
        <f t="shared" si="18"/>
        <v>0.11458333333333337</v>
      </c>
      <c r="K204" t="str">
        <f t="shared" si="19"/>
        <v>weekday</v>
      </c>
    </row>
    <row r="205" spans="1:11" x14ac:dyDescent="0.4">
      <c r="A205" s="2" t="s">
        <v>634</v>
      </c>
      <c r="B205" s="3">
        <v>45654</v>
      </c>
      <c r="C205" s="2" t="s">
        <v>1262</v>
      </c>
      <c r="D205" s="2" t="s">
        <v>1270</v>
      </c>
      <c r="E205" s="2">
        <v>9</v>
      </c>
      <c r="F205" s="2" t="s">
        <v>1231</v>
      </c>
      <c r="G205">
        <f t="shared" si="15"/>
        <v>9</v>
      </c>
      <c r="H205" t="str">
        <f t="shared" si="16"/>
        <v>No</v>
      </c>
      <c r="I205" t="str">
        <f t="shared" si="17"/>
        <v>Dec</v>
      </c>
      <c r="J205" s="11">
        <f t="shared" si="18"/>
        <v>0.10416666666666674</v>
      </c>
      <c r="K205" t="str">
        <f t="shared" si="19"/>
        <v>weekend</v>
      </c>
    </row>
    <row r="206" spans="1:11" x14ac:dyDescent="0.4">
      <c r="A206" s="2" t="s">
        <v>636</v>
      </c>
      <c r="B206" s="3">
        <v>45377</v>
      </c>
      <c r="C206" s="2" t="s">
        <v>1253</v>
      </c>
      <c r="D206" s="2" t="s">
        <v>1240</v>
      </c>
      <c r="E206" s="2">
        <v>6</v>
      </c>
      <c r="F206" s="2" t="s">
        <v>1231</v>
      </c>
      <c r="G206">
        <f t="shared" si="15"/>
        <v>6</v>
      </c>
      <c r="H206" t="str">
        <f t="shared" si="16"/>
        <v>No</v>
      </c>
      <c r="I206" t="str">
        <f t="shared" si="17"/>
        <v>Mar</v>
      </c>
      <c r="J206" s="11">
        <f t="shared" si="18"/>
        <v>1.041666666666663E-2</v>
      </c>
      <c r="K206" t="str">
        <f t="shared" si="19"/>
        <v>weekday</v>
      </c>
    </row>
    <row r="207" spans="1:11" x14ac:dyDescent="0.4">
      <c r="A207" s="2" t="s">
        <v>646</v>
      </c>
      <c r="B207" s="3">
        <v>45553</v>
      </c>
      <c r="C207" s="2" t="s">
        <v>1230</v>
      </c>
      <c r="D207" s="2" t="s">
        <v>1238</v>
      </c>
      <c r="E207" s="2">
        <v>8</v>
      </c>
      <c r="F207" s="2" t="s">
        <v>1234</v>
      </c>
      <c r="G207">
        <f t="shared" si="15"/>
        <v>16</v>
      </c>
      <c r="H207" t="str">
        <f t="shared" si="16"/>
        <v>No</v>
      </c>
      <c r="I207" t="str">
        <f t="shared" si="17"/>
        <v>Sep</v>
      </c>
      <c r="J207" s="11">
        <f t="shared" si="18"/>
        <v>0.14583333333333337</v>
      </c>
      <c r="K207" t="str">
        <f t="shared" si="19"/>
        <v>weekday</v>
      </c>
    </row>
    <row r="208" spans="1:11" x14ac:dyDescent="0.4">
      <c r="A208" s="2" t="s">
        <v>646</v>
      </c>
      <c r="B208" s="3">
        <v>45390</v>
      </c>
      <c r="C208" s="2" t="s">
        <v>1269</v>
      </c>
      <c r="D208" s="2" t="s">
        <v>1229</v>
      </c>
      <c r="E208" s="2">
        <v>8</v>
      </c>
      <c r="F208" s="2" t="s">
        <v>1231</v>
      </c>
      <c r="G208">
        <f t="shared" si="15"/>
        <v>16</v>
      </c>
      <c r="H208" t="str">
        <f t="shared" si="16"/>
        <v>No</v>
      </c>
      <c r="I208" t="str">
        <f t="shared" si="17"/>
        <v>Apr</v>
      </c>
      <c r="J208" s="11">
        <f t="shared" si="18"/>
        <v>0.16666666666666663</v>
      </c>
      <c r="K208" t="str">
        <f t="shared" si="19"/>
        <v>weekday</v>
      </c>
    </row>
    <row r="209" spans="1:11" x14ac:dyDescent="0.4">
      <c r="A209" s="2" t="s">
        <v>648</v>
      </c>
      <c r="B209" s="3">
        <v>45327</v>
      </c>
      <c r="C209" s="2" t="s">
        <v>1273</v>
      </c>
      <c r="D209" s="2" t="s">
        <v>1272</v>
      </c>
      <c r="E209" s="2">
        <v>10</v>
      </c>
      <c r="F209" s="2" t="s">
        <v>1234</v>
      </c>
      <c r="G209">
        <f t="shared" si="15"/>
        <v>10</v>
      </c>
      <c r="H209" t="str">
        <f t="shared" si="16"/>
        <v>No</v>
      </c>
      <c r="I209" t="str">
        <f t="shared" si="17"/>
        <v>Feb</v>
      </c>
      <c r="J209" s="11">
        <f t="shared" si="18"/>
        <v>4.166666666666663E-2</v>
      </c>
      <c r="K209" t="str">
        <f t="shared" si="19"/>
        <v>weekday</v>
      </c>
    </row>
    <row r="210" spans="1:11" x14ac:dyDescent="0.4">
      <c r="A210" s="2" t="s">
        <v>650</v>
      </c>
      <c r="B210" s="3">
        <v>45425</v>
      </c>
      <c r="C210" s="2" t="s">
        <v>1259</v>
      </c>
      <c r="D210" s="2" t="s">
        <v>1253</v>
      </c>
      <c r="E210" s="2">
        <v>10</v>
      </c>
      <c r="F210" s="2" t="s">
        <v>1231</v>
      </c>
      <c r="G210">
        <f t="shared" si="15"/>
        <v>16</v>
      </c>
      <c r="H210" t="str">
        <f t="shared" si="16"/>
        <v>No</v>
      </c>
      <c r="I210" t="str">
        <f t="shared" si="17"/>
        <v>May</v>
      </c>
      <c r="J210" s="11">
        <f t="shared" si="18"/>
        <v>0.25000000000000006</v>
      </c>
      <c r="K210" t="str">
        <f t="shared" si="19"/>
        <v>weekday</v>
      </c>
    </row>
    <row r="211" spans="1:11" x14ac:dyDescent="0.4">
      <c r="A211" s="2" t="s">
        <v>650</v>
      </c>
      <c r="B211" s="3">
        <v>45621</v>
      </c>
      <c r="C211" s="2" t="s">
        <v>1270</v>
      </c>
      <c r="D211" s="2" t="s">
        <v>1241</v>
      </c>
      <c r="E211" s="2">
        <v>6</v>
      </c>
      <c r="F211" s="2" t="s">
        <v>1231</v>
      </c>
      <c r="G211">
        <f t="shared" si="15"/>
        <v>16</v>
      </c>
      <c r="H211" t="str">
        <f t="shared" si="16"/>
        <v>No</v>
      </c>
      <c r="I211" t="str">
        <f t="shared" si="17"/>
        <v>Nov</v>
      </c>
      <c r="J211" s="11">
        <f t="shared" si="18"/>
        <v>0.20833333333333331</v>
      </c>
      <c r="K211" t="str">
        <f t="shared" si="19"/>
        <v>weekday</v>
      </c>
    </row>
    <row r="212" spans="1:11" x14ac:dyDescent="0.4">
      <c r="A212" s="2" t="s">
        <v>654</v>
      </c>
      <c r="B212" s="3">
        <v>45623</v>
      </c>
      <c r="C212" s="2" t="s">
        <v>1262</v>
      </c>
      <c r="D212" s="2" t="s">
        <v>1233</v>
      </c>
      <c r="E212" s="2">
        <v>7</v>
      </c>
      <c r="F212" s="2" t="s">
        <v>1234</v>
      </c>
      <c r="G212">
        <f t="shared" si="15"/>
        <v>7</v>
      </c>
      <c r="H212" t="str">
        <f t="shared" si="16"/>
        <v>No</v>
      </c>
      <c r="I212" t="str">
        <f t="shared" si="17"/>
        <v>Nov</v>
      </c>
      <c r="J212" s="11">
        <f t="shared" si="18"/>
        <v>6.25E-2</v>
      </c>
      <c r="K212" t="str">
        <f t="shared" si="19"/>
        <v>weekday</v>
      </c>
    </row>
    <row r="213" spans="1:11" x14ac:dyDescent="0.4">
      <c r="A213" s="2" t="s">
        <v>656</v>
      </c>
      <c r="B213" s="3">
        <v>45601</v>
      </c>
      <c r="C213" s="2" t="s">
        <v>1259</v>
      </c>
      <c r="D213" s="2" t="s">
        <v>1268</v>
      </c>
      <c r="E213" s="2">
        <v>6</v>
      </c>
      <c r="F213" s="2" t="s">
        <v>1231</v>
      </c>
      <c r="G213">
        <f t="shared" si="15"/>
        <v>23</v>
      </c>
      <c r="H213" t="str">
        <f t="shared" si="16"/>
        <v>No</v>
      </c>
      <c r="I213" t="str">
        <f t="shared" si="17"/>
        <v>Nov</v>
      </c>
      <c r="J213" s="11">
        <f t="shared" si="18"/>
        <v>5.208333333333337E-2</v>
      </c>
      <c r="K213" t="str">
        <f t="shared" si="19"/>
        <v>weekday</v>
      </c>
    </row>
    <row r="214" spans="1:11" x14ac:dyDescent="0.4">
      <c r="A214" s="2" t="s">
        <v>656</v>
      </c>
      <c r="B214" s="3">
        <v>45468</v>
      </c>
      <c r="C214" s="2" t="s">
        <v>1248</v>
      </c>
      <c r="D214" s="2" t="s">
        <v>1270</v>
      </c>
      <c r="E214" s="2">
        <v>7</v>
      </c>
      <c r="F214" s="2" t="s">
        <v>1231</v>
      </c>
      <c r="G214">
        <f t="shared" si="15"/>
        <v>23</v>
      </c>
      <c r="H214" t="str">
        <f t="shared" si="16"/>
        <v>No</v>
      </c>
      <c r="I214" t="str">
        <f t="shared" si="17"/>
        <v>Jun</v>
      </c>
      <c r="J214" s="11">
        <f t="shared" si="18"/>
        <v>0.13541666666666674</v>
      </c>
      <c r="K214" t="str">
        <f t="shared" si="19"/>
        <v>weekday</v>
      </c>
    </row>
    <row r="215" spans="1:11" x14ac:dyDescent="0.4">
      <c r="A215" s="2" t="s">
        <v>656</v>
      </c>
      <c r="B215" s="3">
        <v>45343</v>
      </c>
      <c r="C215" s="2" t="s">
        <v>1264</v>
      </c>
      <c r="D215" s="2" t="s">
        <v>1273</v>
      </c>
      <c r="E215" s="2">
        <v>10</v>
      </c>
      <c r="F215" s="2" t="s">
        <v>1231</v>
      </c>
      <c r="G215">
        <f t="shared" si="15"/>
        <v>23</v>
      </c>
      <c r="H215" t="str">
        <f t="shared" si="16"/>
        <v>No</v>
      </c>
      <c r="I215" t="str">
        <f t="shared" si="17"/>
        <v>Feb</v>
      </c>
      <c r="J215" s="11">
        <f t="shared" si="18"/>
        <v>0.19791666666666663</v>
      </c>
      <c r="K215" t="str">
        <f t="shared" si="19"/>
        <v>weekday</v>
      </c>
    </row>
    <row r="216" spans="1:11" x14ac:dyDescent="0.4">
      <c r="A216" s="2" t="s">
        <v>660</v>
      </c>
      <c r="B216" s="3">
        <v>45451</v>
      </c>
      <c r="C216" s="2" t="s">
        <v>1250</v>
      </c>
      <c r="D216" s="2" t="s">
        <v>1230</v>
      </c>
      <c r="E216" s="2">
        <v>9</v>
      </c>
      <c r="F216" s="2" t="s">
        <v>1231</v>
      </c>
      <c r="G216">
        <f t="shared" si="15"/>
        <v>9</v>
      </c>
      <c r="H216" t="str">
        <f t="shared" si="16"/>
        <v>No</v>
      </c>
      <c r="I216" t="str">
        <f t="shared" si="17"/>
        <v>Jun</v>
      </c>
      <c r="J216" s="11">
        <f t="shared" si="18"/>
        <v>0.13541666666666669</v>
      </c>
      <c r="K216" t="str">
        <f t="shared" si="19"/>
        <v>weekend</v>
      </c>
    </row>
    <row r="217" spans="1:11" x14ac:dyDescent="0.4">
      <c r="A217" s="2" t="s">
        <v>664</v>
      </c>
      <c r="B217" s="3">
        <v>45345</v>
      </c>
      <c r="C217" s="2" t="s">
        <v>1265</v>
      </c>
      <c r="D217" s="2" t="s">
        <v>1260</v>
      </c>
      <c r="E217" s="2">
        <v>8</v>
      </c>
      <c r="F217" s="2" t="s">
        <v>1231</v>
      </c>
      <c r="G217">
        <f t="shared" si="15"/>
        <v>14</v>
      </c>
      <c r="H217" t="str">
        <f t="shared" si="16"/>
        <v>No</v>
      </c>
      <c r="I217" t="str">
        <f t="shared" si="17"/>
        <v>Feb</v>
      </c>
      <c r="J217" s="11">
        <f t="shared" si="18"/>
        <v>2.083333333333337E-2</v>
      </c>
      <c r="K217" t="str">
        <f t="shared" si="19"/>
        <v>weekday</v>
      </c>
    </row>
    <row r="218" spans="1:11" x14ac:dyDescent="0.4">
      <c r="A218" s="2" t="s">
        <v>664</v>
      </c>
      <c r="B218" s="3">
        <v>45513</v>
      </c>
      <c r="C218" s="2" t="s">
        <v>1257</v>
      </c>
      <c r="D218" s="2" t="s">
        <v>1237</v>
      </c>
      <c r="E218" s="2">
        <v>6</v>
      </c>
      <c r="F218" s="2" t="s">
        <v>1231</v>
      </c>
      <c r="G218">
        <f t="shared" si="15"/>
        <v>14</v>
      </c>
      <c r="H218" t="str">
        <f t="shared" si="16"/>
        <v>No</v>
      </c>
      <c r="I218" t="str">
        <f t="shared" si="17"/>
        <v>Aug</v>
      </c>
      <c r="J218" s="11">
        <f t="shared" si="18"/>
        <v>0.22916666666666663</v>
      </c>
      <c r="K218" t="str">
        <f t="shared" si="19"/>
        <v>weekday</v>
      </c>
    </row>
    <row r="219" spans="1:11" x14ac:dyDescent="0.4">
      <c r="A219" s="2" t="s">
        <v>668</v>
      </c>
      <c r="B219" s="3">
        <v>45398</v>
      </c>
      <c r="C219" s="2" t="s">
        <v>1260</v>
      </c>
      <c r="D219" s="2" t="s">
        <v>1262</v>
      </c>
      <c r="E219" s="2">
        <v>7</v>
      </c>
      <c r="F219" s="2" t="s">
        <v>1231</v>
      </c>
      <c r="G219">
        <f t="shared" si="15"/>
        <v>15</v>
      </c>
      <c r="H219" t="str">
        <f t="shared" si="16"/>
        <v>No</v>
      </c>
      <c r="I219" t="str">
        <f t="shared" si="17"/>
        <v>Apr</v>
      </c>
      <c r="J219" s="11">
        <f t="shared" si="18"/>
        <v>4.1666666666666741E-2</v>
      </c>
      <c r="K219" t="str">
        <f t="shared" si="19"/>
        <v>weekday</v>
      </c>
    </row>
    <row r="220" spans="1:11" x14ac:dyDescent="0.4">
      <c r="A220" s="2" t="s">
        <v>668</v>
      </c>
      <c r="B220" s="3">
        <v>45457</v>
      </c>
      <c r="C220" s="2" t="s">
        <v>1250</v>
      </c>
      <c r="D220" s="2" t="s">
        <v>1271</v>
      </c>
      <c r="E220" s="2">
        <v>8</v>
      </c>
      <c r="F220" s="2" t="s">
        <v>1234</v>
      </c>
      <c r="G220">
        <f t="shared" si="15"/>
        <v>15</v>
      </c>
      <c r="H220" t="str">
        <f t="shared" si="16"/>
        <v>No</v>
      </c>
      <c r="I220" t="str">
        <f t="shared" si="17"/>
        <v>Jun</v>
      </c>
      <c r="J220" s="11">
        <f t="shared" si="18"/>
        <v>7.2916666666666685E-2</v>
      </c>
      <c r="K220" t="str">
        <f t="shared" si="19"/>
        <v>weekday</v>
      </c>
    </row>
    <row r="221" spans="1:11" x14ac:dyDescent="0.4">
      <c r="A221" s="2" t="s">
        <v>676</v>
      </c>
      <c r="B221" s="3">
        <v>45527</v>
      </c>
      <c r="C221" s="2" t="s">
        <v>1233</v>
      </c>
      <c r="D221" s="2" t="s">
        <v>1240</v>
      </c>
      <c r="E221" s="2">
        <v>9</v>
      </c>
      <c r="F221" s="2" t="s">
        <v>1231</v>
      </c>
      <c r="G221">
        <f t="shared" si="15"/>
        <v>19</v>
      </c>
      <c r="H221" t="str">
        <f t="shared" si="16"/>
        <v>No</v>
      </c>
      <c r="I221" t="str">
        <f t="shared" si="17"/>
        <v>Aug</v>
      </c>
      <c r="J221" s="11">
        <f t="shared" si="18"/>
        <v>8.333333333333337E-2</v>
      </c>
      <c r="K221" t="str">
        <f t="shared" si="19"/>
        <v>weekday</v>
      </c>
    </row>
    <row r="222" spans="1:11" x14ac:dyDescent="0.4">
      <c r="A222" s="2" t="s">
        <v>676</v>
      </c>
      <c r="B222" s="3">
        <v>45607</v>
      </c>
      <c r="C222" s="2" t="s">
        <v>1233</v>
      </c>
      <c r="D222" s="2" t="s">
        <v>1268</v>
      </c>
      <c r="E222" s="2">
        <v>10</v>
      </c>
      <c r="F222" s="2" t="s">
        <v>1234</v>
      </c>
      <c r="G222">
        <f t="shared" si="15"/>
        <v>19</v>
      </c>
      <c r="H222" t="str">
        <f t="shared" si="16"/>
        <v>No</v>
      </c>
      <c r="I222" t="str">
        <f t="shared" si="17"/>
        <v>Nov</v>
      </c>
      <c r="J222" s="11">
        <f t="shared" si="18"/>
        <v>0.29166666666666669</v>
      </c>
      <c r="K222" t="str">
        <f t="shared" si="19"/>
        <v>weekday</v>
      </c>
    </row>
    <row r="223" spans="1:11" x14ac:dyDescent="0.4">
      <c r="A223" s="2" t="s">
        <v>680</v>
      </c>
      <c r="B223" s="3">
        <v>45385</v>
      </c>
      <c r="C223" s="2" t="s">
        <v>1265</v>
      </c>
      <c r="D223" s="2" t="s">
        <v>1267</v>
      </c>
      <c r="E223" s="2">
        <v>7</v>
      </c>
      <c r="F223" s="2" t="s">
        <v>1231</v>
      </c>
      <c r="G223">
        <f t="shared" si="15"/>
        <v>7</v>
      </c>
      <c r="H223" t="str">
        <f t="shared" si="16"/>
        <v>No</v>
      </c>
      <c r="I223" t="str">
        <f t="shared" si="17"/>
        <v>Apr</v>
      </c>
      <c r="J223" s="11">
        <f t="shared" si="18"/>
        <v>0.32291666666666669</v>
      </c>
      <c r="K223" t="str">
        <f t="shared" si="19"/>
        <v>weekday</v>
      </c>
    </row>
    <row r="224" spans="1:11" x14ac:dyDescent="0.4">
      <c r="A224" s="2" t="s">
        <v>682</v>
      </c>
      <c r="B224" s="3">
        <v>45550</v>
      </c>
      <c r="C224" s="2" t="s">
        <v>1252</v>
      </c>
      <c r="D224" s="2" t="s">
        <v>1233</v>
      </c>
      <c r="E224" s="2">
        <v>6</v>
      </c>
      <c r="F224" s="2" t="s">
        <v>1231</v>
      </c>
      <c r="G224">
        <f t="shared" si="15"/>
        <v>12</v>
      </c>
      <c r="H224" t="str">
        <f t="shared" si="16"/>
        <v>No</v>
      </c>
      <c r="I224" t="str">
        <f t="shared" si="17"/>
        <v>Sep</v>
      </c>
      <c r="J224" s="11">
        <f t="shared" si="18"/>
        <v>0.18750000000000006</v>
      </c>
      <c r="K224" t="str">
        <f t="shared" si="19"/>
        <v>weekend</v>
      </c>
    </row>
    <row r="225" spans="1:11" x14ac:dyDescent="0.4">
      <c r="A225" s="2" t="s">
        <v>682</v>
      </c>
      <c r="B225" s="3">
        <v>45367</v>
      </c>
      <c r="C225" s="2" t="s">
        <v>1242</v>
      </c>
      <c r="D225" s="2" t="s">
        <v>1264</v>
      </c>
      <c r="E225" s="2">
        <v>6</v>
      </c>
      <c r="F225" s="2" t="s">
        <v>1231</v>
      </c>
      <c r="G225">
        <f t="shared" si="15"/>
        <v>12</v>
      </c>
      <c r="H225" t="str">
        <f t="shared" si="16"/>
        <v>No</v>
      </c>
      <c r="I225" t="str">
        <f t="shared" si="17"/>
        <v>Mar</v>
      </c>
      <c r="J225" s="11">
        <f t="shared" si="18"/>
        <v>5.2083333333333315E-2</v>
      </c>
      <c r="K225" t="str">
        <f t="shared" si="19"/>
        <v>weekend</v>
      </c>
    </row>
    <row r="226" spans="1:11" x14ac:dyDescent="0.4">
      <c r="A226" s="2" t="s">
        <v>686</v>
      </c>
      <c r="B226" s="3">
        <v>45611</v>
      </c>
      <c r="C226" s="2" t="s">
        <v>1243</v>
      </c>
      <c r="D226" s="2" t="s">
        <v>1271</v>
      </c>
      <c r="E226" s="2">
        <v>10</v>
      </c>
      <c r="F226" s="2" t="s">
        <v>1231</v>
      </c>
      <c r="G226">
        <f t="shared" si="15"/>
        <v>19</v>
      </c>
      <c r="H226" t="str">
        <f t="shared" si="16"/>
        <v>No</v>
      </c>
      <c r="I226" t="str">
        <f t="shared" si="17"/>
        <v>Nov</v>
      </c>
      <c r="J226" s="11">
        <f t="shared" si="18"/>
        <v>0.22916666666666663</v>
      </c>
      <c r="K226" t="str">
        <f t="shared" si="19"/>
        <v>weekday</v>
      </c>
    </row>
    <row r="227" spans="1:11" x14ac:dyDescent="0.4">
      <c r="A227" s="2" t="s">
        <v>686</v>
      </c>
      <c r="B227" s="3">
        <v>45375</v>
      </c>
      <c r="C227" s="2" t="s">
        <v>1274</v>
      </c>
      <c r="D227" s="2" t="s">
        <v>1270</v>
      </c>
      <c r="E227" s="2">
        <v>9</v>
      </c>
      <c r="F227" s="2" t="s">
        <v>1234</v>
      </c>
      <c r="G227">
        <f t="shared" si="15"/>
        <v>19</v>
      </c>
      <c r="H227" t="str">
        <f t="shared" si="16"/>
        <v>No</v>
      </c>
      <c r="I227" t="str">
        <f t="shared" si="17"/>
        <v>Mar</v>
      </c>
      <c r="J227" s="11">
        <f t="shared" si="18"/>
        <v>0.26041666666666663</v>
      </c>
      <c r="K227" t="str">
        <f t="shared" si="19"/>
        <v>weekend</v>
      </c>
    </row>
    <row r="228" spans="1:11" x14ac:dyDescent="0.4">
      <c r="A228" s="2" t="s">
        <v>688</v>
      </c>
      <c r="B228" s="3">
        <v>45465</v>
      </c>
      <c r="C228" s="2" t="s">
        <v>1260</v>
      </c>
      <c r="D228" s="2" t="s">
        <v>1269</v>
      </c>
      <c r="E228" s="2">
        <v>10</v>
      </c>
      <c r="F228" s="2" t="s">
        <v>1234</v>
      </c>
      <c r="G228">
        <f t="shared" si="15"/>
        <v>10</v>
      </c>
      <c r="H228" t="str">
        <f t="shared" si="16"/>
        <v>No</v>
      </c>
      <c r="I228" t="str">
        <f t="shared" si="17"/>
        <v>Jun</v>
      </c>
      <c r="J228" s="11">
        <f t="shared" si="18"/>
        <v>0.1875</v>
      </c>
      <c r="K228" t="str">
        <f t="shared" si="19"/>
        <v>weekend</v>
      </c>
    </row>
    <row r="229" spans="1:11" x14ac:dyDescent="0.4">
      <c r="A229" s="2" t="s">
        <v>690</v>
      </c>
      <c r="B229" s="3">
        <v>45428</v>
      </c>
      <c r="C229" s="2" t="s">
        <v>1237</v>
      </c>
      <c r="D229" s="2" t="s">
        <v>1235</v>
      </c>
      <c r="E229" s="2">
        <v>10</v>
      </c>
      <c r="F229" s="2" t="s">
        <v>1231</v>
      </c>
      <c r="G229">
        <f t="shared" si="15"/>
        <v>17</v>
      </c>
      <c r="H229" t="str">
        <f t="shared" si="16"/>
        <v>No</v>
      </c>
      <c r="I229" t="str">
        <f t="shared" si="17"/>
        <v>May</v>
      </c>
      <c r="J229" s="11">
        <f t="shared" si="18"/>
        <v>1.041666666666663E-2</v>
      </c>
      <c r="K229" t="str">
        <f t="shared" si="19"/>
        <v>weekday</v>
      </c>
    </row>
    <row r="230" spans="1:11" x14ac:dyDescent="0.4">
      <c r="A230" s="2" t="s">
        <v>690</v>
      </c>
      <c r="B230" s="3">
        <v>45421</v>
      </c>
      <c r="C230" s="2" t="s">
        <v>1264</v>
      </c>
      <c r="D230" s="2" t="s">
        <v>1257</v>
      </c>
      <c r="E230" s="2">
        <v>7</v>
      </c>
      <c r="F230" s="2" t="s">
        <v>1231</v>
      </c>
      <c r="G230">
        <f t="shared" si="15"/>
        <v>17</v>
      </c>
      <c r="H230" t="str">
        <f t="shared" si="16"/>
        <v>No</v>
      </c>
      <c r="I230" t="str">
        <f t="shared" si="17"/>
        <v>May</v>
      </c>
      <c r="J230" s="11">
        <f t="shared" si="18"/>
        <v>0.125</v>
      </c>
      <c r="K230" t="str">
        <f t="shared" si="19"/>
        <v>weekday</v>
      </c>
    </row>
    <row r="231" spans="1:11" x14ac:dyDescent="0.4">
      <c r="A231" s="2" t="s">
        <v>694</v>
      </c>
      <c r="B231" s="3">
        <v>45501</v>
      </c>
      <c r="C231" s="2" t="s">
        <v>1265</v>
      </c>
      <c r="D231" s="2" t="s">
        <v>1256</v>
      </c>
      <c r="E231" s="2">
        <v>6</v>
      </c>
      <c r="F231" s="2" t="s">
        <v>1234</v>
      </c>
      <c r="G231">
        <f t="shared" si="15"/>
        <v>15</v>
      </c>
      <c r="H231" t="str">
        <f t="shared" si="16"/>
        <v>No</v>
      </c>
      <c r="I231" t="str">
        <f t="shared" si="17"/>
        <v>Jul</v>
      </c>
      <c r="J231" s="11">
        <f t="shared" si="18"/>
        <v>3.125E-2</v>
      </c>
      <c r="K231" t="str">
        <f t="shared" si="19"/>
        <v>weekend</v>
      </c>
    </row>
    <row r="232" spans="1:11" x14ac:dyDescent="0.4">
      <c r="A232" s="2" t="s">
        <v>694</v>
      </c>
      <c r="B232" s="3">
        <v>45369</v>
      </c>
      <c r="C232" s="2" t="s">
        <v>1254</v>
      </c>
      <c r="D232" s="2" t="s">
        <v>1248</v>
      </c>
      <c r="E232" s="2">
        <v>9</v>
      </c>
      <c r="F232" s="2" t="s">
        <v>1234</v>
      </c>
      <c r="G232">
        <f t="shared" si="15"/>
        <v>15</v>
      </c>
      <c r="H232" t="str">
        <f t="shared" si="16"/>
        <v>No</v>
      </c>
      <c r="I232" t="str">
        <f t="shared" si="17"/>
        <v>Mar</v>
      </c>
      <c r="J232" s="11">
        <f t="shared" si="18"/>
        <v>0.32291666666666669</v>
      </c>
      <c r="K232" t="str">
        <f t="shared" si="19"/>
        <v>weekday</v>
      </c>
    </row>
    <row r="233" spans="1:11" x14ac:dyDescent="0.4">
      <c r="A233" s="2" t="s">
        <v>696</v>
      </c>
      <c r="B233" s="3">
        <v>45551</v>
      </c>
      <c r="C233" s="2" t="s">
        <v>1243</v>
      </c>
      <c r="D233" s="2" t="s">
        <v>1244</v>
      </c>
      <c r="E233" s="2">
        <v>10</v>
      </c>
      <c r="F233" s="2" t="s">
        <v>1231</v>
      </c>
      <c r="G233">
        <f t="shared" si="15"/>
        <v>28</v>
      </c>
      <c r="H233" t="str">
        <f t="shared" si="16"/>
        <v>No</v>
      </c>
      <c r="I233" t="str">
        <f t="shared" si="17"/>
        <v>Sep</v>
      </c>
      <c r="J233" s="11">
        <f t="shared" si="18"/>
        <v>4.166666666666663E-2</v>
      </c>
      <c r="K233" t="str">
        <f t="shared" si="19"/>
        <v>weekday</v>
      </c>
    </row>
    <row r="234" spans="1:11" x14ac:dyDescent="0.4">
      <c r="A234" s="2" t="s">
        <v>696</v>
      </c>
      <c r="B234" s="3">
        <v>45517</v>
      </c>
      <c r="C234" s="2" t="s">
        <v>1255</v>
      </c>
      <c r="D234" s="2" t="s">
        <v>1249</v>
      </c>
      <c r="E234" s="2">
        <v>9</v>
      </c>
      <c r="F234" s="2" t="s">
        <v>1234</v>
      </c>
      <c r="G234">
        <f t="shared" si="15"/>
        <v>28</v>
      </c>
      <c r="H234" t="str">
        <f t="shared" si="16"/>
        <v>No</v>
      </c>
      <c r="I234" t="str">
        <f t="shared" si="17"/>
        <v>Aug</v>
      </c>
      <c r="J234" s="11">
        <f t="shared" si="18"/>
        <v>3.125E-2</v>
      </c>
      <c r="K234" t="str">
        <f t="shared" si="19"/>
        <v>weekday</v>
      </c>
    </row>
    <row r="235" spans="1:11" x14ac:dyDescent="0.4">
      <c r="A235" s="2" t="s">
        <v>696</v>
      </c>
      <c r="B235" s="3">
        <v>45596</v>
      </c>
      <c r="C235" s="2" t="s">
        <v>1229</v>
      </c>
      <c r="D235" s="2" t="s">
        <v>1268</v>
      </c>
      <c r="E235" s="2">
        <v>9</v>
      </c>
      <c r="F235" s="2" t="s">
        <v>1231</v>
      </c>
      <c r="G235">
        <f t="shared" si="15"/>
        <v>28</v>
      </c>
      <c r="H235" t="str">
        <f t="shared" si="16"/>
        <v>No</v>
      </c>
      <c r="I235" t="str">
        <f t="shared" si="17"/>
        <v>Oct</v>
      </c>
      <c r="J235" s="11">
        <f t="shared" si="18"/>
        <v>4.1666666666666685E-2</v>
      </c>
      <c r="K235" t="str">
        <f t="shared" si="19"/>
        <v>weekday</v>
      </c>
    </row>
    <row r="236" spans="1:11" x14ac:dyDescent="0.4">
      <c r="A236" s="2" t="s">
        <v>698</v>
      </c>
      <c r="B236" s="3">
        <v>45430</v>
      </c>
      <c r="C236" s="2" t="s">
        <v>1272</v>
      </c>
      <c r="D236" s="2" t="s">
        <v>1240</v>
      </c>
      <c r="E236" s="2">
        <v>8</v>
      </c>
      <c r="F236" s="2" t="s">
        <v>1234</v>
      </c>
      <c r="G236">
        <f t="shared" si="15"/>
        <v>8</v>
      </c>
      <c r="H236" t="str">
        <f t="shared" si="16"/>
        <v>No</v>
      </c>
      <c r="I236" t="str">
        <f t="shared" si="17"/>
        <v>May</v>
      </c>
      <c r="J236" s="11">
        <f t="shared" si="18"/>
        <v>3.125E-2</v>
      </c>
      <c r="K236" t="str">
        <f t="shared" si="19"/>
        <v>weekend</v>
      </c>
    </row>
    <row r="237" spans="1:11" x14ac:dyDescent="0.4">
      <c r="A237" s="2" t="s">
        <v>702</v>
      </c>
      <c r="B237" s="3">
        <v>45478</v>
      </c>
      <c r="C237" s="2" t="s">
        <v>1261</v>
      </c>
      <c r="D237" s="2" t="s">
        <v>1236</v>
      </c>
      <c r="E237" s="2">
        <v>10</v>
      </c>
      <c r="F237" s="2" t="s">
        <v>1234</v>
      </c>
      <c r="G237">
        <f t="shared" si="15"/>
        <v>25</v>
      </c>
      <c r="H237" t="str">
        <f t="shared" si="16"/>
        <v>No</v>
      </c>
      <c r="I237" t="str">
        <f t="shared" si="17"/>
        <v>Jul</v>
      </c>
      <c r="J237" s="11">
        <f t="shared" si="18"/>
        <v>0.1875</v>
      </c>
      <c r="K237" t="str">
        <f t="shared" si="19"/>
        <v>weekday</v>
      </c>
    </row>
    <row r="238" spans="1:11" x14ac:dyDescent="0.4">
      <c r="A238" s="2" t="s">
        <v>702</v>
      </c>
      <c r="B238" s="3">
        <v>45356</v>
      </c>
      <c r="C238" s="2" t="s">
        <v>1236</v>
      </c>
      <c r="D238" s="2" t="s">
        <v>1270</v>
      </c>
      <c r="E238" s="2">
        <v>7</v>
      </c>
      <c r="F238" s="2" t="s">
        <v>1234</v>
      </c>
      <c r="G238">
        <f t="shared" si="15"/>
        <v>25</v>
      </c>
      <c r="H238" t="str">
        <f t="shared" si="16"/>
        <v>No</v>
      </c>
      <c r="I238" t="str">
        <f t="shared" si="17"/>
        <v>Mar</v>
      </c>
      <c r="J238" s="11">
        <f t="shared" si="18"/>
        <v>9.375E-2</v>
      </c>
      <c r="K238" t="str">
        <f t="shared" si="19"/>
        <v>weekday</v>
      </c>
    </row>
    <row r="239" spans="1:11" x14ac:dyDescent="0.4">
      <c r="A239" s="2" t="s">
        <v>702</v>
      </c>
      <c r="B239" s="3">
        <v>45593</v>
      </c>
      <c r="C239" s="2" t="s">
        <v>1239</v>
      </c>
      <c r="D239" s="2" t="s">
        <v>1272</v>
      </c>
      <c r="E239" s="2">
        <v>8</v>
      </c>
      <c r="F239" s="2" t="s">
        <v>1231</v>
      </c>
      <c r="G239">
        <f t="shared" si="15"/>
        <v>25</v>
      </c>
      <c r="H239" t="str">
        <f t="shared" si="16"/>
        <v>No</v>
      </c>
      <c r="I239" t="str">
        <f t="shared" si="17"/>
        <v>Oct</v>
      </c>
      <c r="J239" s="11">
        <f t="shared" si="18"/>
        <v>9.375E-2</v>
      </c>
      <c r="K239" t="str">
        <f t="shared" si="19"/>
        <v>weekday</v>
      </c>
    </row>
    <row r="240" spans="1:11" x14ac:dyDescent="0.4">
      <c r="A240" s="2" t="s">
        <v>704</v>
      </c>
      <c r="B240" s="3">
        <v>45601</v>
      </c>
      <c r="C240" s="2" t="s">
        <v>1274</v>
      </c>
      <c r="D240" s="2" t="s">
        <v>1235</v>
      </c>
      <c r="E240" s="2">
        <v>7</v>
      </c>
      <c r="F240" s="2" t="s">
        <v>1231</v>
      </c>
      <c r="G240">
        <f t="shared" si="15"/>
        <v>7</v>
      </c>
      <c r="H240" t="str">
        <f t="shared" si="16"/>
        <v>No</v>
      </c>
      <c r="I240" t="str">
        <f t="shared" si="17"/>
        <v>Nov</v>
      </c>
      <c r="J240" s="11">
        <f t="shared" si="18"/>
        <v>0.375</v>
      </c>
      <c r="K240" t="str">
        <f t="shared" si="19"/>
        <v>weekday</v>
      </c>
    </row>
    <row r="241" spans="1:11" x14ac:dyDescent="0.4">
      <c r="A241" s="2" t="s">
        <v>708</v>
      </c>
      <c r="B241" s="3">
        <v>45633</v>
      </c>
      <c r="C241" s="2" t="s">
        <v>1249</v>
      </c>
      <c r="D241" s="2" t="s">
        <v>1243</v>
      </c>
      <c r="E241" s="2">
        <v>7</v>
      </c>
      <c r="F241" s="2" t="s">
        <v>1231</v>
      </c>
      <c r="G241">
        <f t="shared" si="15"/>
        <v>7</v>
      </c>
      <c r="H241" t="str">
        <f t="shared" si="16"/>
        <v>No</v>
      </c>
      <c r="I241" t="str">
        <f t="shared" si="17"/>
        <v>Dec</v>
      </c>
      <c r="J241" s="11">
        <f t="shared" si="18"/>
        <v>0.14583333333333326</v>
      </c>
      <c r="K241" t="str">
        <f t="shared" si="19"/>
        <v>weekend</v>
      </c>
    </row>
    <row r="242" spans="1:11" x14ac:dyDescent="0.4">
      <c r="A242" s="2" t="s">
        <v>714</v>
      </c>
      <c r="B242" s="3">
        <v>45344</v>
      </c>
      <c r="C242" s="2" t="s">
        <v>1240</v>
      </c>
      <c r="D242" s="2" t="s">
        <v>1233</v>
      </c>
      <c r="E242" s="2">
        <v>8</v>
      </c>
      <c r="F242" s="2" t="s">
        <v>1231</v>
      </c>
      <c r="G242">
        <f t="shared" si="15"/>
        <v>8</v>
      </c>
      <c r="H242" t="str">
        <f t="shared" si="16"/>
        <v>No</v>
      </c>
      <c r="I242" t="str">
        <f t="shared" si="17"/>
        <v>Feb</v>
      </c>
      <c r="J242" s="11">
        <f t="shared" si="18"/>
        <v>8.333333333333337E-2</v>
      </c>
      <c r="K242" t="str">
        <f t="shared" si="19"/>
        <v>weekday</v>
      </c>
    </row>
    <row r="243" spans="1:11" x14ac:dyDescent="0.4">
      <c r="A243" s="2" t="s">
        <v>716</v>
      </c>
      <c r="B243" s="3">
        <v>45535</v>
      </c>
      <c r="C243" s="2" t="s">
        <v>1241</v>
      </c>
      <c r="D243" s="2" t="s">
        <v>1257</v>
      </c>
      <c r="E243" s="2">
        <v>7</v>
      </c>
      <c r="F243" s="2" t="s">
        <v>1231</v>
      </c>
      <c r="G243">
        <f t="shared" si="15"/>
        <v>15</v>
      </c>
      <c r="H243" t="str">
        <f t="shared" si="16"/>
        <v>No</v>
      </c>
      <c r="I243" t="str">
        <f t="shared" si="17"/>
        <v>Aug</v>
      </c>
      <c r="J243" s="11">
        <f t="shared" si="18"/>
        <v>0.10416666666666669</v>
      </c>
      <c r="K243" t="str">
        <f t="shared" si="19"/>
        <v>weekend</v>
      </c>
    </row>
    <row r="244" spans="1:11" x14ac:dyDescent="0.4">
      <c r="A244" s="2" t="s">
        <v>716</v>
      </c>
      <c r="B244" s="3">
        <v>45620</v>
      </c>
      <c r="C244" s="2" t="s">
        <v>1243</v>
      </c>
      <c r="D244" s="2" t="s">
        <v>1258</v>
      </c>
      <c r="E244" s="2">
        <v>8</v>
      </c>
      <c r="F244" s="2" t="s">
        <v>1231</v>
      </c>
      <c r="G244">
        <f t="shared" si="15"/>
        <v>15</v>
      </c>
      <c r="H244" t="str">
        <f t="shared" si="16"/>
        <v>No</v>
      </c>
      <c r="I244" t="str">
        <f t="shared" si="17"/>
        <v>Nov</v>
      </c>
      <c r="J244" s="11">
        <f t="shared" si="18"/>
        <v>4.1666666666666741E-2</v>
      </c>
      <c r="K244" t="str">
        <f t="shared" si="19"/>
        <v>weekend</v>
      </c>
    </row>
    <row r="245" spans="1:11" x14ac:dyDescent="0.4">
      <c r="A245" s="2" t="s">
        <v>718</v>
      </c>
      <c r="B245" s="3">
        <v>45600</v>
      </c>
      <c r="C245" s="2" t="s">
        <v>1251</v>
      </c>
      <c r="D245" s="2" t="s">
        <v>1253</v>
      </c>
      <c r="E245" s="2">
        <v>7</v>
      </c>
      <c r="F245" s="2" t="s">
        <v>1234</v>
      </c>
      <c r="G245">
        <f t="shared" si="15"/>
        <v>7</v>
      </c>
      <c r="H245" t="str">
        <f t="shared" si="16"/>
        <v>No</v>
      </c>
      <c r="I245" t="str">
        <f t="shared" si="17"/>
        <v>Nov</v>
      </c>
      <c r="J245" s="11">
        <f t="shared" si="18"/>
        <v>7.291666666666663E-2</v>
      </c>
      <c r="K245" t="str">
        <f t="shared" si="19"/>
        <v>weekday</v>
      </c>
    </row>
    <row r="246" spans="1:11" x14ac:dyDescent="0.4">
      <c r="A246" s="2" t="s">
        <v>720</v>
      </c>
      <c r="B246" s="3">
        <v>45346</v>
      </c>
      <c r="C246" s="2" t="s">
        <v>1237</v>
      </c>
      <c r="D246" s="2" t="s">
        <v>1232</v>
      </c>
      <c r="E246" s="2">
        <v>8</v>
      </c>
      <c r="F246" s="2" t="s">
        <v>1231</v>
      </c>
      <c r="G246">
        <f t="shared" si="15"/>
        <v>15</v>
      </c>
      <c r="H246" t="str">
        <f t="shared" si="16"/>
        <v>No</v>
      </c>
      <c r="I246" t="str">
        <f t="shared" si="17"/>
        <v>Feb</v>
      </c>
      <c r="J246" s="11">
        <f t="shared" si="18"/>
        <v>0.1875</v>
      </c>
      <c r="K246" t="str">
        <f t="shared" si="19"/>
        <v>weekend</v>
      </c>
    </row>
    <row r="247" spans="1:11" x14ac:dyDescent="0.4">
      <c r="A247" s="2" t="s">
        <v>720</v>
      </c>
      <c r="B247" s="3">
        <v>45563</v>
      </c>
      <c r="C247" s="2" t="s">
        <v>1239</v>
      </c>
      <c r="D247" s="2" t="s">
        <v>1238</v>
      </c>
      <c r="E247" s="2">
        <v>7</v>
      </c>
      <c r="F247" s="2" t="s">
        <v>1234</v>
      </c>
      <c r="G247">
        <f t="shared" si="15"/>
        <v>15</v>
      </c>
      <c r="H247" t="str">
        <f t="shared" si="16"/>
        <v>No</v>
      </c>
      <c r="I247" t="str">
        <f t="shared" si="17"/>
        <v>Sep</v>
      </c>
      <c r="J247" s="11">
        <f t="shared" si="18"/>
        <v>0.17708333333333337</v>
      </c>
      <c r="K247" t="str">
        <f t="shared" si="19"/>
        <v>weekend</v>
      </c>
    </row>
    <row r="248" spans="1:11" x14ac:dyDescent="0.4">
      <c r="A248" s="2" t="s">
        <v>724</v>
      </c>
      <c r="B248" s="3">
        <v>45501</v>
      </c>
      <c r="C248" s="2" t="s">
        <v>1262</v>
      </c>
      <c r="D248" s="2" t="s">
        <v>1236</v>
      </c>
      <c r="E248" s="2">
        <v>8</v>
      </c>
      <c r="F248" s="2" t="s">
        <v>1234</v>
      </c>
      <c r="G248">
        <f t="shared" si="15"/>
        <v>8</v>
      </c>
      <c r="H248" t="str">
        <f t="shared" si="16"/>
        <v>No</v>
      </c>
      <c r="I248" t="str">
        <f t="shared" si="17"/>
        <v>Jul</v>
      </c>
      <c r="J248" s="11">
        <f t="shared" si="18"/>
        <v>0.19791666666666674</v>
      </c>
      <c r="K248" t="str">
        <f t="shared" si="19"/>
        <v>weekend</v>
      </c>
    </row>
    <row r="249" spans="1:11" x14ac:dyDescent="0.4">
      <c r="A249" s="2" t="s">
        <v>726</v>
      </c>
      <c r="B249" s="3">
        <v>45441</v>
      </c>
      <c r="C249" s="2" t="s">
        <v>1230</v>
      </c>
      <c r="D249" s="2" t="s">
        <v>1235</v>
      </c>
      <c r="E249" s="2">
        <v>6</v>
      </c>
      <c r="F249" s="2" t="s">
        <v>1231</v>
      </c>
      <c r="G249">
        <f t="shared" si="15"/>
        <v>20</v>
      </c>
      <c r="H249" t="str">
        <f t="shared" si="16"/>
        <v>No</v>
      </c>
      <c r="I249" t="str">
        <f t="shared" si="17"/>
        <v>May</v>
      </c>
      <c r="J249" s="11">
        <f t="shared" si="18"/>
        <v>0.25</v>
      </c>
      <c r="K249" t="str">
        <f t="shared" si="19"/>
        <v>weekday</v>
      </c>
    </row>
    <row r="250" spans="1:11" x14ac:dyDescent="0.4">
      <c r="A250" s="2" t="s">
        <v>726</v>
      </c>
      <c r="B250" s="3">
        <v>45590</v>
      </c>
      <c r="C250" s="2" t="s">
        <v>1244</v>
      </c>
      <c r="D250" s="2" t="s">
        <v>1268</v>
      </c>
      <c r="E250" s="2">
        <v>8</v>
      </c>
      <c r="F250" s="2" t="s">
        <v>1234</v>
      </c>
      <c r="G250">
        <f t="shared" si="15"/>
        <v>20</v>
      </c>
      <c r="H250" t="str">
        <f t="shared" si="16"/>
        <v>No</v>
      </c>
      <c r="I250" t="str">
        <f t="shared" si="17"/>
        <v>Oct</v>
      </c>
      <c r="J250" s="11">
        <f t="shared" si="18"/>
        <v>0.23958333333333331</v>
      </c>
      <c r="K250" t="str">
        <f t="shared" si="19"/>
        <v>weekday</v>
      </c>
    </row>
    <row r="251" spans="1:11" x14ac:dyDescent="0.4">
      <c r="A251" s="2" t="s">
        <v>726</v>
      </c>
      <c r="B251" s="3">
        <v>45657</v>
      </c>
      <c r="C251" s="2" t="s">
        <v>1253</v>
      </c>
      <c r="D251" s="2" t="s">
        <v>1271</v>
      </c>
      <c r="E251" s="2">
        <v>6</v>
      </c>
      <c r="F251" s="2" t="s">
        <v>1234</v>
      </c>
      <c r="G251">
        <f t="shared" si="15"/>
        <v>20</v>
      </c>
      <c r="H251" t="str">
        <f t="shared" si="16"/>
        <v>No</v>
      </c>
      <c r="I251" t="str">
        <f t="shared" si="17"/>
        <v>Dec</v>
      </c>
      <c r="J251" s="11">
        <f t="shared" si="18"/>
        <v>0.14583333333333337</v>
      </c>
      <c r="K251" t="str">
        <f t="shared" si="19"/>
        <v>weekday</v>
      </c>
    </row>
    <row r="252" spans="1:11" x14ac:dyDescent="0.4">
      <c r="A252" s="2" t="s">
        <v>728</v>
      </c>
      <c r="B252" s="3">
        <v>45563</v>
      </c>
      <c r="C252" s="2" t="s">
        <v>1232</v>
      </c>
      <c r="D252" s="2" t="s">
        <v>1233</v>
      </c>
      <c r="E252" s="2">
        <v>10</v>
      </c>
      <c r="F252" s="2" t="s">
        <v>1234</v>
      </c>
      <c r="G252">
        <f t="shared" si="15"/>
        <v>10</v>
      </c>
      <c r="H252" t="str">
        <f t="shared" si="16"/>
        <v>No</v>
      </c>
      <c r="I252" t="str">
        <f t="shared" si="17"/>
        <v>Sep</v>
      </c>
      <c r="J252" s="11">
        <f t="shared" si="18"/>
        <v>0.10416666666666674</v>
      </c>
      <c r="K252" t="str">
        <f t="shared" si="19"/>
        <v>weekend</v>
      </c>
    </row>
    <row r="253" spans="1:11" x14ac:dyDescent="0.4">
      <c r="A253" s="2" t="s">
        <v>730</v>
      </c>
      <c r="B253" s="3">
        <v>45369</v>
      </c>
      <c r="C253" s="2" t="s">
        <v>1267</v>
      </c>
      <c r="D253" s="2" t="s">
        <v>1250</v>
      </c>
      <c r="E253" s="2">
        <v>6</v>
      </c>
      <c r="F253" s="2" t="s">
        <v>1231</v>
      </c>
      <c r="G253">
        <f t="shared" si="15"/>
        <v>14</v>
      </c>
      <c r="H253" t="str">
        <f t="shared" si="16"/>
        <v>No</v>
      </c>
      <c r="I253" t="str">
        <f t="shared" si="17"/>
        <v>Mar</v>
      </c>
      <c r="J253" s="11">
        <f t="shared" si="18"/>
        <v>3.125E-2</v>
      </c>
      <c r="K253" t="str">
        <f t="shared" si="19"/>
        <v>weekday</v>
      </c>
    </row>
    <row r="254" spans="1:11" x14ac:dyDescent="0.4">
      <c r="A254" s="2" t="s">
        <v>730</v>
      </c>
      <c r="B254" s="3">
        <v>45504</v>
      </c>
      <c r="C254" s="2" t="s">
        <v>1244</v>
      </c>
      <c r="D254" s="2" t="s">
        <v>1259</v>
      </c>
      <c r="E254" s="2">
        <v>8</v>
      </c>
      <c r="F254" s="2" t="s">
        <v>1231</v>
      </c>
      <c r="G254">
        <f t="shared" si="15"/>
        <v>14</v>
      </c>
      <c r="H254" t="str">
        <f t="shared" si="16"/>
        <v>No</v>
      </c>
      <c r="I254" t="str">
        <f t="shared" si="17"/>
        <v>Jul</v>
      </c>
      <c r="J254" s="11">
        <f t="shared" si="18"/>
        <v>0.29166666666666669</v>
      </c>
      <c r="K254" t="str">
        <f t="shared" si="19"/>
        <v>weekday</v>
      </c>
    </row>
    <row r="255" spans="1:11" x14ac:dyDescent="0.4">
      <c r="A255" s="2" t="s">
        <v>734</v>
      </c>
      <c r="B255" s="3">
        <v>45499</v>
      </c>
      <c r="C255" s="2" t="s">
        <v>1252</v>
      </c>
      <c r="D255" s="2" t="s">
        <v>1260</v>
      </c>
      <c r="E255" s="2">
        <v>8</v>
      </c>
      <c r="F255" s="2" t="s">
        <v>1234</v>
      </c>
      <c r="G255">
        <f t="shared" si="15"/>
        <v>14</v>
      </c>
      <c r="H255" t="str">
        <f t="shared" si="16"/>
        <v>No</v>
      </c>
      <c r="I255" t="str">
        <f t="shared" si="17"/>
        <v>Jul</v>
      </c>
      <c r="J255" s="11">
        <f t="shared" si="18"/>
        <v>0.20833333333333331</v>
      </c>
      <c r="K255" t="str">
        <f t="shared" si="19"/>
        <v>weekday</v>
      </c>
    </row>
    <row r="256" spans="1:11" x14ac:dyDescent="0.4">
      <c r="A256" s="2" t="s">
        <v>734</v>
      </c>
      <c r="B256" s="3">
        <v>45564</v>
      </c>
      <c r="C256" s="2" t="s">
        <v>1270</v>
      </c>
      <c r="D256" s="2" t="s">
        <v>1268</v>
      </c>
      <c r="E256" s="2">
        <v>6</v>
      </c>
      <c r="F256" s="2" t="s">
        <v>1234</v>
      </c>
      <c r="G256">
        <f t="shared" si="15"/>
        <v>14</v>
      </c>
      <c r="H256" t="str">
        <f t="shared" si="16"/>
        <v>No</v>
      </c>
      <c r="I256" t="str">
        <f t="shared" si="17"/>
        <v>Sep</v>
      </c>
      <c r="J256" s="11">
        <f t="shared" si="18"/>
        <v>0.24999999999999994</v>
      </c>
      <c r="K256" t="str">
        <f t="shared" si="19"/>
        <v>weekend</v>
      </c>
    </row>
    <row r="257" spans="1:11" x14ac:dyDescent="0.4">
      <c r="A257" s="2" t="s">
        <v>736</v>
      </c>
      <c r="B257" s="3">
        <v>45295</v>
      </c>
      <c r="C257" s="2" t="s">
        <v>1233</v>
      </c>
      <c r="D257" s="2" t="s">
        <v>1262</v>
      </c>
      <c r="E257" s="2">
        <v>8</v>
      </c>
      <c r="F257" s="2" t="s">
        <v>1231</v>
      </c>
      <c r="G257">
        <f t="shared" si="15"/>
        <v>16</v>
      </c>
      <c r="H257" t="str">
        <f t="shared" si="16"/>
        <v>No</v>
      </c>
      <c r="I257" t="str">
        <f t="shared" si="17"/>
        <v>Jan</v>
      </c>
      <c r="J257" s="11">
        <f t="shared" si="18"/>
        <v>6.25E-2</v>
      </c>
      <c r="K257" t="str">
        <f t="shared" si="19"/>
        <v>weekday</v>
      </c>
    </row>
    <row r="258" spans="1:11" x14ac:dyDescent="0.4">
      <c r="A258" s="2" t="s">
        <v>736</v>
      </c>
      <c r="B258" s="3">
        <v>45364</v>
      </c>
      <c r="C258" s="2" t="s">
        <v>1259</v>
      </c>
      <c r="D258" s="2" t="s">
        <v>1242</v>
      </c>
      <c r="E258" s="2">
        <v>8</v>
      </c>
      <c r="F258" s="2" t="s">
        <v>1234</v>
      </c>
      <c r="G258">
        <f t="shared" si="15"/>
        <v>16</v>
      </c>
      <c r="H258" t="str">
        <f t="shared" si="16"/>
        <v>No</v>
      </c>
      <c r="I258" t="str">
        <f t="shared" si="17"/>
        <v>Mar</v>
      </c>
      <c r="J258" s="11">
        <f t="shared" si="18"/>
        <v>2.083333333333337E-2</v>
      </c>
      <c r="K258" t="str">
        <f t="shared" si="19"/>
        <v>weekday</v>
      </c>
    </row>
    <row r="259" spans="1:11" x14ac:dyDescent="0.4">
      <c r="A259" s="2" t="s">
        <v>744</v>
      </c>
      <c r="B259" s="3">
        <v>45474</v>
      </c>
      <c r="C259" s="2" t="s">
        <v>1240</v>
      </c>
      <c r="D259" s="2" t="s">
        <v>1252</v>
      </c>
      <c r="E259" s="2">
        <v>7</v>
      </c>
      <c r="F259" s="2" t="s">
        <v>1231</v>
      </c>
      <c r="G259">
        <f t="shared" ref="G259:G322" si="20">SUMIFS($E$2:$E$501,$A$2:$A$501,A259)</f>
        <v>15</v>
      </c>
      <c r="H259" t="str">
        <f t="shared" ref="H259:H322" si="21">IF(COUNTIFS($A$2:$A$501,A259,$F$2:$F$501,"Yes")&gt;5,"Late","No")</f>
        <v>No</v>
      </c>
      <c r="I259" t="str">
        <f t="shared" ref="I259:I322" si="22">TEXT(B259,"mmm")</f>
        <v>Jul</v>
      </c>
      <c r="J259" s="11">
        <f t="shared" ref="J259:J322" si="23">ABS(TIMEVALUE(D259)-TIMEVALUE(C259))</f>
        <v>0.10416666666666669</v>
      </c>
      <c r="K259" t="str">
        <f t="shared" ref="K259:K322" si="24">IF(OR(TEXT(B259,"ddd")="Sat",TEXT(B259,"ddd")="Sun"),"weekend","weekday")</f>
        <v>weekday</v>
      </c>
    </row>
    <row r="260" spans="1:11" x14ac:dyDescent="0.4">
      <c r="A260" s="2" t="s">
        <v>744</v>
      </c>
      <c r="B260" s="3">
        <v>45381</v>
      </c>
      <c r="C260" s="2" t="s">
        <v>1257</v>
      </c>
      <c r="D260" s="2" t="s">
        <v>1263</v>
      </c>
      <c r="E260" s="2">
        <v>8</v>
      </c>
      <c r="F260" s="2" t="s">
        <v>1231</v>
      </c>
      <c r="G260">
        <f t="shared" si="20"/>
        <v>15</v>
      </c>
      <c r="H260" t="str">
        <f t="shared" si="21"/>
        <v>No</v>
      </c>
      <c r="I260" t="str">
        <f t="shared" si="22"/>
        <v>Mar</v>
      </c>
      <c r="J260" s="11">
        <f t="shared" si="23"/>
        <v>8.333333333333337E-2</v>
      </c>
      <c r="K260" t="str">
        <f t="shared" si="24"/>
        <v>weekend</v>
      </c>
    </row>
    <row r="261" spans="1:11" x14ac:dyDescent="0.4">
      <c r="A261" s="2" t="s">
        <v>746</v>
      </c>
      <c r="B261" s="3">
        <v>45373</v>
      </c>
      <c r="C261" s="2" t="s">
        <v>1273</v>
      </c>
      <c r="D261" s="2" t="s">
        <v>1272</v>
      </c>
      <c r="E261" s="2">
        <v>9</v>
      </c>
      <c r="F261" s="2" t="s">
        <v>1231</v>
      </c>
      <c r="G261">
        <f t="shared" si="20"/>
        <v>9</v>
      </c>
      <c r="H261" t="str">
        <f t="shared" si="21"/>
        <v>No</v>
      </c>
      <c r="I261" t="str">
        <f t="shared" si="22"/>
        <v>Mar</v>
      </c>
      <c r="J261" s="11">
        <f t="shared" si="23"/>
        <v>4.166666666666663E-2</v>
      </c>
      <c r="K261" t="str">
        <f t="shared" si="24"/>
        <v>weekday</v>
      </c>
    </row>
    <row r="262" spans="1:11" x14ac:dyDescent="0.4">
      <c r="A262" s="2" t="s">
        <v>750</v>
      </c>
      <c r="B262" s="3">
        <v>45473</v>
      </c>
      <c r="C262" s="2" t="s">
        <v>1256</v>
      </c>
      <c r="D262" s="2" t="s">
        <v>1248</v>
      </c>
      <c r="E262" s="2">
        <v>9</v>
      </c>
      <c r="F262" s="2" t="s">
        <v>1231</v>
      </c>
      <c r="G262">
        <f t="shared" si="20"/>
        <v>17</v>
      </c>
      <c r="H262" t="str">
        <f t="shared" si="21"/>
        <v>No</v>
      </c>
      <c r="I262" t="str">
        <f t="shared" si="22"/>
        <v>Jun</v>
      </c>
      <c r="J262" s="11">
        <f t="shared" si="23"/>
        <v>8.333333333333337E-2</v>
      </c>
      <c r="K262" t="str">
        <f t="shared" si="24"/>
        <v>weekend</v>
      </c>
    </row>
    <row r="263" spans="1:11" x14ac:dyDescent="0.4">
      <c r="A263" s="2" t="s">
        <v>750</v>
      </c>
      <c r="B263" s="3">
        <v>45593</v>
      </c>
      <c r="C263" s="2" t="s">
        <v>1258</v>
      </c>
      <c r="D263" s="2" t="s">
        <v>1243</v>
      </c>
      <c r="E263" s="2">
        <v>8</v>
      </c>
      <c r="F263" s="2" t="s">
        <v>1234</v>
      </c>
      <c r="G263">
        <f t="shared" si="20"/>
        <v>17</v>
      </c>
      <c r="H263" t="str">
        <f t="shared" si="21"/>
        <v>No</v>
      </c>
      <c r="I263" t="str">
        <f t="shared" si="22"/>
        <v>Oct</v>
      </c>
      <c r="J263" s="11">
        <f t="shared" si="23"/>
        <v>4.1666666666666741E-2</v>
      </c>
      <c r="K263" t="str">
        <f t="shared" si="24"/>
        <v>weekday</v>
      </c>
    </row>
    <row r="264" spans="1:11" x14ac:dyDescent="0.4">
      <c r="A264" s="2" t="s">
        <v>754</v>
      </c>
      <c r="B264" s="3">
        <v>45622</v>
      </c>
      <c r="C264" s="2" t="s">
        <v>1258</v>
      </c>
      <c r="D264" s="2" t="s">
        <v>1259</v>
      </c>
      <c r="E264" s="2">
        <v>8</v>
      </c>
      <c r="F264" s="2" t="s">
        <v>1231</v>
      </c>
      <c r="G264">
        <f t="shared" si="20"/>
        <v>8</v>
      </c>
      <c r="H264" t="str">
        <f t="shared" si="21"/>
        <v>No</v>
      </c>
      <c r="I264" t="str">
        <f t="shared" si="22"/>
        <v>Nov</v>
      </c>
      <c r="J264" s="11">
        <f t="shared" si="23"/>
        <v>0.37500000000000006</v>
      </c>
      <c r="K264" t="str">
        <f t="shared" si="24"/>
        <v>weekday</v>
      </c>
    </row>
    <row r="265" spans="1:11" x14ac:dyDescent="0.4">
      <c r="A265" s="2" t="s">
        <v>762</v>
      </c>
      <c r="B265" s="3">
        <v>45587</v>
      </c>
      <c r="C265" s="2" t="s">
        <v>1259</v>
      </c>
      <c r="D265" s="2" t="s">
        <v>1266</v>
      </c>
      <c r="E265" s="2">
        <v>7</v>
      </c>
      <c r="F265" s="2" t="s">
        <v>1234</v>
      </c>
      <c r="G265">
        <f t="shared" si="20"/>
        <v>7</v>
      </c>
      <c r="H265" t="str">
        <f t="shared" si="21"/>
        <v>No</v>
      </c>
      <c r="I265" t="str">
        <f t="shared" si="22"/>
        <v>Oct</v>
      </c>
      <c r="J265" s="11">
        <f t="shared" si="23"/>
        <v>0.125</v>
      </c>
      <c r="K265" t="str">
        <f t="shared" si="24"/>
        <v>weekday</v>
      </c>
    </row>
    <row r="266" spans="1:11" x14ac:dyDescent="0.4">
      <c r="A266" s="2" t="s">
        <v>764</v>
      </c>
      <c r="B266" s="3">
        <v>45307</v>
      </c>
      <c r="C266" s="2" t="s">
        <v>1233</v>
      </c>
      <c r="D266" s="2" t="s">
        <v>1274</v>
      </c>
      <c r="E266" s="2">
        <v>6</v>
      </c>
      <c r="F266" s="2" t="s">
        <v>1234</v>
      </c>
      <c r="G266">
        <f t="shared" si="20"/>
        <v>6</v>
      </c>
      <c r="H266" t="str">
        <f t="shared" si="21"/>
        <v>No</v>
      </c>
      <c r="I266" t="str">
        <f t="shared" si="22"/>
        <v>Jan</v>
      </c>
      <c r="J266" s="11">
        <f t="shared" si="23"/>
        <v>0.30208333333333337</v>
      </c>
      <c r="K266" t="str">
        <f t="shared" si="24"/>
        <v>weekday</v>
      </c>
    </row>
    <row r="267" spans="1:11" x14ac:dyDescent="0.4">
      <c r="A267" s="2" t="s">
        <v>766</v>
      </c>
      <c r="B267" s="3">
        <v>45602</v>
      </c>
      <c r="C267" s="2" t="s">
        <v>1241</v>
      </c>
      <c r="D267" s="2" t="s">
        <v>1271</v>
      </c>
      <c r="E267" s="2">
        <v>9</v>
      </c>
      <c r="F267" s="2" t="s">
        <v>1231</v>
      </c>
      <c r="G267">
        <f t="shared" si="20"/>
        <v>17</v>
      </c>
      <c r="H267" t="str">
        <f t="shared" si="21"/>
        <v>No</v>
      </c>
      <c r="I267" t="str">
        <f t="shared" si="22"/>
        <v>Nov</v>
      </c>
      <c r="J267" s="11">
        <f t="shared" si="23"/>
        <v>1.0416666666666685E-2</v>
      </c>
      <c r="K267" t="str">
        <f t="shared" si="24"/>
        <v>weekday</v>
      </c>
    </row>
    <row r="268" spans="1:11" x14ac:dyDescent="0.4">
      <c r="A268" s="2" t="s">
        <v>766</v>
      </c>
      <c r="B268" s="3">
        <v>45449</v>
      </c>
      <c r="C268" s="2" t="s">
        <v>1270</v>
      </c>
      <c r="D268" s="2" t="s">
        <v>1269</v>
      </c>
      <c r="E268" s="2">
        <v>8</v>
      </c>
      <c r="F268" s="2" t="s">
        <v>1234</v>
      </c>
      <c r="G268">
        <f t="shared" si="20"/>
        <v>17</v>
      </c>
      <c r="H268" t="str">
        <f t="shared" si="21"/>
        <v>No</v>
      </c>
      <c r="I268" t="str">
        <f t="shared" si="22"/>
        <v>Jun</v>
      </c>
      <c r="J268" s="11">
        <f t="shared" si="23"/>
        <v>0.125</v>
      </c>
      <c r="K268" t="str">
        <f t="shared" si="24"/>
        <v>weekday</v>
      </c>
    </row>
    <row r="269" spans="1:11" x14ac:dyDescent="0.4">
      <c r="A269" s="2" t="s">
        <v>768</v>
      </c>
      <c r="B269" s="3">
        <v>45365</v>
      </c>
      <c r="C269" s="2" t="s">
        <v>1272</v>
      </c>
      <c r="D269" s="2" t="s">
        <v>1270</v>
      </c>
      <c r="E269" s="2">
        <v>7</v>
      </c>
      <c r="F269" s="2" t="s">
        <v>1231</v>
      </c>
      <c r="G269">
        <f t="shared" si="20"/>
        <v>7</v>
      </c>
      <c r="H269" t="str">
        <f t="shared" si="21"/>
        <v>No</v>
      </c>
      <c r="I269" t="str">
        <f t="shared" si="22"/>
        <v>Mar</v>
      </c>
      <c r="J269" s="11">
        <f t="shared" si="23"/>
        <v>7.291666666666663E-2</v>
      </c>
      <c r="K269" t="str">
        <f t="shared" si="24"/>
        <v>weekday</v>
      </c>
    </row>
    <row r="270" spans="1:11" x14ac:dyDescent="0.4">
      <c r="A270" s="2" t="s">
        <v>772</v>
      </c>
      <c r="B270" s="3">
        <v>45363</v>
      </c>
      <c r="C270" s="2" t="s">
        <v>1253</v>
      </c>
      <c r="D270" s="2" t="s">
        <v>1264</v>
      </c>
      <c r="E270" s="2">
        <v>8</v>
      </c>
      <c r="F270" s="2" t="s">
        <v>1231</v>
      </c>
      <c r="G270">
        <f t="shared" si="20"/>
        <v>16</v>
      </c>
      <c r="H270" t="str">
        <f t="shared" si="21"/>
        <v>No</v>
      </c>
      <c r="I270" t="str">
        <f t="shared" si="22"/>
        <v>Mar</v>
      </c>
      <c r="J270" s="11">
        <f t="shared" si="23"/>
        <v>0.17708333333333337</v>
      </c>
      <c r="K270" t="str">
        <f t="shared" si="24"/>
        <v>weekday</v>
      </c>
    </row>
    <row r="271" spans="1:11" x14ac:dyDescent="0.4">
      <c r="A271" s="2" t="s">
        <v>772</v>
      </c>
      <c r="B271" s="3">
        <v>45598</v>
      </c>
      <c r="C271" s="2" t="s">
        <v>1268</v>
      </c>
      <c r="D271" s="2" t="s">
        <v>1259</v>
      </c>
      <c r="E271" s="2">
        <v>8</v>
      </c>
      <c r="F271" s="2" t="s">
        <v>1234</v>
      </c>
      <c r="G271">
        <f t="shared" si="20"/>
        <v>16</v>
      </c>
      <c r="H271" t="str">
        <f t="shared" si="21"/>
        <v>No</v>
      </c>
      <c r="I271" t="str">
        <f t="shared" si="22"/>
        <v>Nov</v>
      </c>
      <c r="J271" s="11">
        <f t="shared" si="23"/>
        <v>5.208333333333337E-2</v>
      </c>
      <c r="K271" t="str">
        <f t="shared" si="24"/>
        <v>weekend</v>
      </c>
    </row>
    <row r="272" spans="1:11" x14ac:dyDescent="0.4">
      <c r="A272" s="2" t="s">
        <v>774</v>
      </c>
      <c r="B272" s="3">
        <v>45505</v>
      </c>
      <c r="C272" s="2" t="s">
        <v>1259</v>
      </c>
      <c r="D272" s="2" t="s">
        <v>1238</v>
      </c>
      <c r="E272" s="2">
        <v>7</v>
      </c>
      <c r="F272" s="2" t="s">
        <v>1234</v>
      </c>
      <c r="G272">
        <f t="shared" si="20"/>
        <v>13</v>
      </c>
      <c r="H272" t="str">
        <f t="shared" si="21"/>
        <v>No</v>
      </c>
      <c r="I272" t="str">
        <f t="shared" si="22"/>
        <v>Aug</v>
      </c>
      <c r="J272" s="11">
        <f t="shared" si="23"/>
        <v>0.31250000000000006</v>
      </c>
      <c r="K272" t="str">
        <f t="shared" si="24"/>
        <v>weekday</v>
      </c>
    </row>
    <row r="273" spans="1:11" x14ac:dyDescent="0.4">
      <c r="A273" s="2" t="s">
        <v>774</v>
      </c>
      <c r="B273" s="3">
        <v>45542</v>
      </c>
      <c r="C273" s="2" t="s">
        <v>1266</v>
      </c>
      <c r="D273" s="2" t="s">
        <v>1264</v>
      </c>
      <c r="E273" s="2">
        <v>6</v>
      </c>
      <c r="F273" s="2" t="s">
        <v>1231</v>
      </c>
      <c r="G273">
        <f t="shared" si="20"/>
        <v>13</v>
      </c>
      <c r="H273" t="str">
        <f t="shared" si="21"/>
        <v>No</v>
      </c>
      <c r="I273" t="str">
        <f t="shared" si="22"/>
        <v>Sep</v>
      </c>
      <c r="J273" s="11">
        <f t="shared" si="23"/>
        <v>5.2083333333333315E-2</v>
      </c>
      <c r="K273" t="str">
        <f t="shared" si="24"/>
        <v>weekend</v>
      </c>
    </row>
    <row r="274" spans="1:11" x14ac:dyDescent="0.4">
      <c r="A274" s="2" t="s">
        <v>776</v>
      </c>
      <c r="B274" s="3">
        <v>45582</v>
      </c>
      <c r="C274" s="2" t="s">
        <v>1230</v>
      </c>
      <c r="D274" s="2" t="s">
        <v>1229</v>
      </c>
      <c r="E274" s="2">
        <v>10</v>
      </c>
      <c r="F274" s="2" t="s">
        <v>1231</v>
      </c>
      <c r="G274">
        <f t="shared" si="20"/>
        <v>10</v>
      </c>
      <c r="H274" t="str">
        <f t="shared" si="21"/>
        <v>No</v>
      </c>
      <c r="I274" t="str">
        <f t="shared" si="22"/>
        <v>Oct</v>
      </c>
      <c r="J274" s="11">
        <f t="shared" si="23"/>
        <v>0.15625</v>
      </c>
      <c r="K274" t="str">
        <f t="shared" si="24"/>
        <v>weekday</v>
      </c>
    </row>
    <row r="275" spans="1:11" x14ac:dyDescent="0.4">
      <c r="A275" s="2" t="s">
        <v>778</v>
      </c>
      <c r="B275" s="3">
        <v>45520</v>
      </c>
      <c r="C275" s="2" t="s">
        <v>1258</v>
      </c>
      <c r="D275" s="2" t="s">
        <v>1271</v>
      </c>
      <c r="E275" s="2">
        <v>7</v>
      </c>
      <c r="F275" s="2" t="s">
        <v>1231</v>
      </c>
      <c r="G275">
        <f t="shared" si="20"/>
        <v>17</v>
      </c>
      <c r="H275" t="str">
        <f t="shared" si="21"/>
        <v>No</v>
      </c>
      <c r="I275" t="str">
        <f t="shared" si="22"/>
        <v>Aug</v>
      </c>
      <c r="J275" s="11">
        <f t="shared" si="23"/>
        <v>0.27083333333333337</v>
      </c>
      <c r="K275" t="str">
        <f t="shared" si="24"/>
        <v>weekday</v>
      </c>
    </row>
    <row r="276" spans="1:11" x14ac:dyDescent="0.4">
      <c r="A276" s="2" t="s">
        <v>778</v>
      </c>
      <c r="B276" s="3">
        <v>45317</v>
      </c>
      <c r="C276" s="2" t="s">
        <v>1232</v>
      </c>
      <c r="D276" s="2" t="s">
        <v>1235</v>
      </c>
      <c r="E276" s="2">
        <v>10</v>
      </c>
      <c r="F276" s="2" t="s">
        <v>1234</v>
      </c>
      <c r="G276">
        <f t="shared" si="20"/>
        <v>17</v>
      </c>
      <c r="H276" t="str">
        <f t="shared" si="21"/>
        <v>No</v>
      </c>
      <c r="I276" t="str">
        <f t="shared" si="22"/>
        <v>Jan</v>
      </c>
      <c r="J276" s="11">
        <f t="shared" si="23"/>
        <v>0.17708333333333337</v>
      </c>
      <c r="K276" t="str">
        <f t="shared" si="24"/>
        <v>weekday</v>
      </c>
    </row>
    <row r="277" spans="1:11" x14ac:dyDescent="0.4">
      <c r="A277" s="2" t="s">
        <v>782</v>
      </c>
      <c r="B277" s="3">
        <v>45313</v>
      </c>
      <c r="C277" s="2" t="s">
        <v>1260</v>
      </c>
      <c r="D277" s="2" t="s">
        <v>1246</v>
      </c>
      <c r="E277" s="2">
        <v>9</v>
      </c>
      <c r="F277" s="2" t="s">
        <v>1231</v>
      </c>
      <c r="G277">
        <f t="shared" si="20"/>
        <v>9</v>
      </c>
      <c r="H277" t="str">
        <f t="shared" si="21"/>
        <v>No</v>
      </c>
      <c r="I277" t="str">
        <f t="shared" si="22"/>
        <v>Jan</v>
      </c>
      <c r="J277" s="11">
        <f t="shared" si="23"/>
        <v>0.28124999999999994</v>
      </c>
      <c r="K277" t="str">
        <f t="shared" si="24"/>
        <v>weekday</v>
      </c>
    </row>
    <row r="278" spans="1:11" x14ac:dyDescent="0.4">
      <c r="A278" s="2" t="s">
        <v>784</v>
      </c>
      <c r="B278" s="3">
        <v>45652</v>
      </c>
      <c r="C278" s="2" t="s">
        <v>1247</v>
      </c>
      <c r="D278" s="2" t="s">
        <v>1270</v>
      </c>
      <c r="E278" s="2">
        <v>9</v>
      </c>
      <c r="F278" s="2" t="s">
        <v>1231</v>
      </c>
      <c r="G278">
        <f t="shared" si="20"/>
        <v>9</v>
      </c>
      <c r="H278" t="str">
        <f t="shared" si="21"/>
        <v>No</v>
      </c>
      <c r="I278" t="str">
        <f t="shared" si="22"/>
        <v>Dec</v>
      </c>
      <c r="J278" s="11">
        <f t="shared" si="23"/>
        <v>0.14583333333333337</v>
      </c>
      <c r="K278" t="str">
        <f t="shared" si="24"/>
        <v>weekday</v>
      </c>
    </row>
    <row r="279" spans="1:11" x14ac:dyDescent="0.4">
      <c r="A279" s="2" t="s">
        <v>786</v>
      </c>
      <c r="B279" s="3">
        <v>45461</v>
      </c>
      <c r="C279" s="2" t="s">
        <v>1263</v>
      </c>
      <c r="D279" s="2" t="s">
        <v>1267</v>
      </c>
      <c r="E279" s="2">
        <v>7</v>
      </c>
      <c r="F279" s="2" t="s">
        <v>1234</v>
      </c>
      <c r="G279">
        <f t="shared" si="20"/>
        <v>7</v>
      </c>
      <c r="H279" t="str">
        <f t="shared" si="21"/>
        <v>No</v>
      </c>
      <c r="I279" t="str">
        <f t="shared" si="22"/>
        <v>Jun</v>
      </c>
      <c r="J279" s="11">
        <f t="shared" si="23"/>
        <v>0.21875000000000006</v>
      </c>
      <c r="K279" t="str">
        <f t="shared" si="24"/>
        <v>weekday</v>
      </c>
    </row>
    <row r="280" spans="1:11" x14ac:dyDescent="0.4">
      <c r="A280" s="2" t="s">
        <v>794</v>
      </c>
      <c r="B280" s="3">
        <v>45431</v>
      </c>
      <c r="C280" s="2" t="s">
        <v>1262</v>
      </c>
      <c r="D280" s="2" t="s">
        <v>1242</v>
      </c>
      <c r="E280" s="2">
        <v>9</v>
      </c>
      <c r="F280" s="2" t="s">
        <v>1234</v>
      </c>
      <c r="G280">
        <f t="shared" si="20"/>
        <v>9</v>
      </c>
      <c r="H280" t="str">
        <f t="shared" si="21"/>
        <v>No</v>
      </c>
      <c r="I280" t="str">
        <f t="shared" si="22"/>
        <v>May</v>
      </c>
      <c r="J280" s="11">
        <f t="shared" si="23"/>
        <v>0.38541666666666669</v>
      </c>
      <c r="K280" t="str">
        <f t="shared" si="24"/>
        <v>weekend</v>
      </c>
    </row>
    <row r="281" spans="1:11" x14ac:dyDescent="0.4">
      <c r="A281" s="2" t="s">
        <v>796</v>
      </c>
      <c r="B281" s="3">
        <v>45540</v>
      </c>
      <c r="C281" s="2" t="s">
        <v>1240</v>
      </c>
      <c r="D281" s="2" t="s">
        <v>1257</v>
      </c>
      <c r="E281" s="2">
        <v>8</v>
      </c>
      <c r="F281" s="2" t="s">
        <v>1234</v>
      </c>
      <c r="G281">
        <f t="shared" si="20"/>
        <v>8</v>
      </c>
      <c r="H281" t="str">
        <f t="shared" si="21"/>
        <v>No</v>
      </c>
      <c r="I281" t="str">
        <f t="shared" si="22"/>
        <v>Sep</v>
      </c>
      <c r="J281" s="11">
        <f t="shared" si="23"/>
        <v>6.25E-2</v>
      </c>
      <c r="K281" t="str">
        <f t="shared" si="24"/>
        <v>weekday</v>
      </c>
    </row>
    <row r="282" spans="1:11" x14ac:dyDescent="0.4">
      <c r="A282" s="2" t="s">
        <v>798</v>
      </c>
      <c r="B282" s="3">
        <v>45526</v>
      </c>
      <c r="C282" s="2" t="s">
        <v>1246</v>
      </c>
      <c r="D282" s="2" t="s">
        <v>1255</v>
      </c>
      <c r="E282" s="2">
        <v>10</v>
      </c>
      <c r="F282" s="2" t="s">
        <v>1234</v>
      </c>
      <c r="G282">
        <f t="shared" si="20"/>
        <v>28</v>
      </c>
      <c r="H282" t="str">
        <f t="shared" si="21"/>
        <v>No</v>
      </c>
      <c r="I282" t="str">
        <f t="shared" si="22"/>
        <v>Aug</v>
      </c>
      <c r="J282" s="11">
        <f t="shared" si="23"/>
        <v>0.13541666666666669</v>
      </c>
      <c r="K282" t="str">
        <f t="shared" si="24"/>
        <v>weekday</v>
      </c>
    </row>
    <row r="283" spans="1:11" x14ac:dyDescent="0.4">
      <c r="A283" s="2" t="s">
        <v>798</v>
      </c>
      <c r="B283" s="3">
        <v>45365</v>
      </c>
      <c r="C283" s="2" t="s">
        <v>1268</v>
      </c>
      <c r="D283" s="2" t="s">
        <v>1229</v>
      </c>
      <c r="E283" s="2">
        <v>8</v>
      </c>
      <c r="F283" s="2" t="s">
        <v>1231</v>
      </c>
      <c r="G283">
        <f t="shared" si="20"/>
        <v>28</v>
      </c>
      <c r="H283" t="str">
        <f t="shared" si="21"/>
        <v>No</v>
      </c>
      <c r="I283" t="str">
        <f t="shared" si="22"/>
        <v>Mar</v>
      </c>
      <c r="J283" s="11">
        <f t="shared" si="23"/>
        <v>4.1666666666666685E-2</v>
      </c>
      <c r="K283" t="str">
        <f t="shared" si="24"/>
        <v>weekday</v>
      </c>
    </row>
    <row r="284" spans="1:11" x14ac:dyDescent="0.4">
      <c r="A284" s="2" t="s">
        <v>798</v>
      </c>
      <c r="B284" s="3">
        <v>45477</v>
      </c>
      <c r="C284" s="2" t="s">
        <v>1270</v>
      </c>
      <c r="D284" s="2" t="s">
        <v>1264</v>
      </c>
      <c r="E284" s="2">
        <v>10</v>
      </c>
      <c r="F284" s="2" t="s">
        <v>1234</v>
      </c>
      <c r="G284">
        <f t="shared" si="20"/>
        <v>28</v>
      </c>
      <c r="H284" t="str">
        <f t="shared" si="21"/>
        <v>No</v>
      </c>
      <c r="I284" t="str">
        <f t="shared" si="22"/>
        <v>Jul</v>
      </c>
      <c r="J284" s="11">
        <f t="shared" si="23"/>
        <v>0.22916666666666663</v>
      </c>
      <c r="K284" t="str">
        <f t="shared" si="24"/>
        <v>weekday</v>
      </c>
    </row>
    <row r="285" spans="1:11" x14ac:dyDescent="0.4">
      <c r="A285" s="2" t="s">
        <v>800</v>
      </c>
      <c r="B285" s="3">
        <v>45516</v>
      </c>
      <c r="C285" s="2" t="s">
        <v>1250</v>
      </c>
      <c r="D285" s="2" t="s">
        <v>1263</v>
      </c>
      <c r="E285" s="2">
        <v>6</v>
      </c>
      <c r="F285" s="2" t="s">
        <v>1231</v>
      </c>
      <c r="G285">
        <f t="shared" si="20"/>
        <v>6</v>
      </c>
      <c r="H285" t="str">
        <f t="shared" si="21"/>
        <v>No</v>
      </c>
      <c r="I285" t="str">
        <f t="shared" si="22"/>
        <v>Aug</v>
      </c>
      <c r="J285" s="11">
        <f t="shared" si="23"/>
        <v>0.25000000000000006</v>
      </c>
      <c r="K285" t="str">
        <f t="shared" si="24"/>
        <v>weekday</v>
      </c>
    </row>
    <row r="286" spans="1:11" x14ac:dyDescent="0.4">
      <c r="A286" s="2" t="s">
        <v>802</v>
      </c>
      <c r="B286" s="3">
        <v>45558</v>
      </c>
      <c r="C286" s="2" t="s">
        <v>1233</v>
      </c>
      <c r="D286" s="2" t="s">
        <v>1229</v>
      </c>
      <c r="E286" s="2">
        <v>7</v>
      </c>
      <c r="F286" s="2" t="s">
        <v>1234</v>
      </c>
      <c r="G286">
        <f t="shared" si="20"/>
        <v>7</v>
      </c>
      <c r="H286" t="str">
        <f t="shared" si="21"/>
        <v>No</v>
      </c>
      <c r="I286" t="str">
        <f t="shared" si="22"/>
        <v>Sep</v>
      </c>
      <c r="J286" s="11">
        <f t="shared" si="23"/>
        <v>0.33333333333333337</v>
      </c>
      <c r="K286" t="str">
        <f t="shared" si="24"/>
        <v>weekday</v>
      </c>
    </row>
    <row r="287" spans="1:11" x14ac:dyDescent="0.4">
      <c r="A287" s="2" t="s">
        <v>804</v>
      </c>
      <c r="B287" s="3">
        <v>45453</v>
      </c>
      <c r="C287" s="2" t="s">
        <v>1273</v>
      </c>
      <c r="D287" s="2" t="s">
        <v>1269</v>
      </c>
      <c r="E287" s="2">
        <v>7</v>
      </c>
      <c r="F287" s="2" t="s">
        <v>1231</v>
      </c>
      <c r="G287">
        <f t="shared" si="20"/>
        <v>7</v>
      </c>
      <c r="H287" t="str">
        <f t="shared" si="21"/>
        <v>No</v>
      </c>
      <c r="I287" t="str">
        <f t="shared" si="22"/>
        <v>Jun</v>
      </c>
      <c r="J287" s="11">
        <f t="shared" si="23"/>
        <v>9.375E-2</v>
      </c>
      <c r="K287" t="str">
        <f t="shared" si="24"/>
        <v>weekday</v>
      </c>
    </row>
    <row r="288" spans="1:11" x14ac:dyDescent="0.4">
      <c r="A288" s="2" t="s">
        <v>808</v>
      </c>
      <c r="B288" s="3">
        <v>45400</v>
      </c>
      <c r="C288" s="2" t="s">
        <v>1245</v>
      </c>
      <c r="D288" s="2" t="s">
        <v>1257</v>
      </c>
      <c r="E288" s="2">
        <v>6</v>
      </c>
      <c r="F288" s="2" t="s">
        <v>1231</v>
      </c>
      <c r="G288">
        <f t="shared" si="20"/>
        <v>6</v>
      </c>
      <c r="H288" t="str">
        <f t="shared" si="21"/>
        <v>No</v>
      </c>
      <c r="I288" t="str">
        <f t="shared" si="22"/>
        <v>Apr</v>
      </c>
      <c r="J288" s="11">
        <f t="shared" si="23"/>
        <v>5.2083333333333315E-2</v>
      </c>
      <c r="K288" t="str">
        <f t="shared" si="24"/>
        <v>weekday</v>
      </c>
    </row>
    <row r="289" spans="1:11" x14ac:dyDescent="0.4">
      <c r="A289" s="2" t="s">
        <v>810</v>
      </c>
      <c r="B289" s="3">
        <v>45510</v>
      </c>
      <c r="C289" s="2" t="s">
        <v>1245</v>
      </c>
      <c r="D289" s="2" t="s">
        <v>1265</v>
      </c>
      <c r="E289" s="2">
        <v>6</v>
      </c>
      <c r="F289" s="2" t="s">
        <v>1234</v>
      </c>
      <c r="G289">
        <f t="shared" si="20"/>
        <v>15</v>
      </c>
      <c r="H289" t="str">
        <f t="shared" si="21"/>
        <v>No</v>
      </c>
      <c r="I289" t="str">
        <f t="shared" si="22"/>
        <v>Aug</v>
      </c>
      <c r="J289" s="11">
        <f t="shared" si="23"/>
        <v>0.23958333333333331</v>
      </c>
      <c r="K289" t="str">
        <f t="shared" si="24"/>
        <v>weekday</v>
      </c>
    </row>
    <row r="290" spans="1:11" x14ac:dyDescent="0.4">
      <c r="A290" s="2" t="s">
        <v>810</v>
      </c>
      <c r="B290" s="3">
        <v>45614</v>
      </c>
      <c r="C290" s="2" t="s">
        <v>1244</v>
      </c>
      <c r="D290" s="2" t="s">
        <v>1229</v>
      </c>
      <c r="E290" s="2">
        <v>9</v>
      </c>
      <c r="F290" s="2" t="s">
        <v>1234</v>
      </c>
      <c r="G290">
        <f t="shared" si="20"/>
        <v>15</v>
      </c>
      <c r="H290" t="str">
        <f t="shared" si="21"/>
        <v>No</v>
      </c>
      <c r="I290" t="str">
        <f t="shared" si="22"/>
        <v>Nov</v>
      </c>
      <c r="J290" s="11">
        <f t="shared" si="23"/>
        <v>0.28125</v>
      </c>
      <c r="K290" t="str">
        <f t="shared" si="24"/>
        <v>weekday</v>
      </c>
    </row>
    <row r="291" spans="1:11" x14ac:dyDescent="0.4">
      <c r="A291" s="2" t="s">
        <v>820</v>
      </c>
      <c r="B291" s="3">
        <v>45626</v>
      </c>
      <c r="C291" s="2" t="s">
        <v>1268</v>
      </c>
      <c r="D291" s="2" t="s">
        <v>1261</v>
      </c>
      <c r="E291" s="2">
        <v>9</v>
      </c>
      <c r="F291" s="2" t="s">
        <v>1231</v>
      </c>
      <c r="G291">
        <f t="shared" si="20"/>
        <v>34</v>
      </c>
      <c r="H291" t="str">
        <f t="shared" si="21"/>
        <v>No</v>
      </c>
      <c r="I291" t="str">
        <f t="shared" si="22"/>
        <v>Nov</v>
      </c>
      <c r="J291" s="11">
        <f t="shared" si="23"/>
        <v>0.34374999999999994</v>
      </c>
      <c r="K291" t="str">
        <f t="shared" si="24"/>
        <v>weekend</v>
      </c>
    </row>
    <row r="292" spans="1:11" x14ac:dyDescent="0.4">
      <c r="A292" s="2" t="s">
        <v>820</v>
      </c>
      <c r="B292" s="3">
        <v>45475</v>
      </c>
      <c r="C292" s="2" t="s">
        <v>1263</v>
      </c>
      <c r="D292" s="2" t="s">
        <v>1232</v>
      </c>
      <c r="E292" s="2">
        <v>9</v>
      </c>
      <c r="F292" s="2" t="s">
        <v>1234</v>
      </c>
      <c r="G292">
        <f t="shared" si="20"/>
        <v>34</v>
      </c>
      <c r="H292" t="str">
        <f t="shared" si="21"/>
        <v>No</v>
      </c>
      <c r="I292" t="str">
        <f t="shared" si="22"/>
        <v>Jul</v>
      </c>
      <c r="J292" s="11">
        <f t="shared" si="23"/>
        <v>4.1666666666666741E-2</v>
      </c>
      <c r="K292" t="str">
        <f t="shared" si="24"/>
        <v>weekday</v>
      </c>
    </row>
    <row r="293" spans="1:11" x14ac:dyDescent="0.4">
      <c r="A293" s="2" t="s">
        <v>820</v>
      </c>
      <c r="B293" s="3">
        <v>45645</v>
      </c>
      <c r="C293" s="2" t="s">
        <v>1273</v>
      </c>
      <c r="D293" s="2" t="s">
        <v>1240</v>
      </c>
      <c r="E293" s="2">
        <v>6</v>
      </c>
      <c r="F293" s="2" t="s">
        <v>1231</v>
      </c>
      <c r="G293">
        <f t="shared" si="20"/>
        <v>34</v>
      </c>
      <c r="H293" t="str">
        <f t="shared" si="21"/>
        <v>No</v>
      </c>
      <c r="I293" t="str">
        <f t="shared" si="22"/>
        <v>Dec</v>
      </c>
      <c r="J293" s="11">
        <f t="shared" si="23"/>
        <v>1.041666666666663E-2</v>
      </c>
      <c r="K293" t="str">
        <f t="shared" si="24"/>
        <v>weekday</v>
      </c>
    </row>
    <row r="294" spans="1:11" x14ac:dyDescent="0.4">
      <c r="A294" s="2" t="s">
        <v>820</v>
      </c>
      <c r="B294" s="3">
        <v>45647</v>
      </c>
      <c r="C294" s="2" t="s">
        <v>1255</v>
      </c>
      <c r="D294" s="2" t="s">
        <v>1245</v>
      </c>
      <c r="E294" s="2">
        <v>10</v>
      </c>
      <c r="F294" s="2" t="s">
        <v>1234</v>
      </c>
      <c r="G294">
        <f t="shared" si="20"/>
        <v>34</v>
      </c>
      <c r="H294" t="str">
        <f t="shared" si="21"/>
        <v>No</v>
      </c>
      <c r="I294" t="str">
        <f t="shared" si="22"/>
        <v>Dec</v>
      </c>
      <c r="J294" s="11">
        <f t="shared" si="23"/>
        <v>7.2916666666666685E-2</v>
      </c>
      <c r="K294" t="str">
        <f t="shared" si="24"/>
        <v>weekend</v>
      </c>
    </row>
    <row r="295" spans="1:11" x14ac:dyDescent="0.4">
      <c r="A295" s="2" t="s">
        <v>822</v>
      </c>
      <c r="B295" s="3">
        <v>45432</v>
      </c>
      <c r="C295" s="2" t="s">
        <v>1267</v>
      </c>
      <c r="D295" s="2" t="s">
        <v>1266</v>
      </c>
      <c r="E295" s="2">
        <v>6</v>
      </c>
      <c r="F295" s="2" t="s">
        <v>1234</v>
      </c>
      <c r="G295">
        <f t="shared" si="20"/>
        <v>6</v>
      </c>
      <c r="H295" t="str">
        <f t="shared" si="21"/>
        <v>No</v>
      </c>
      <c r="I295" t="str">
        <f t="shared" si="22"/>
        <v>May</v>
      </c>
      <c r="J295" s="11">
        <f t="shared" si="23"/>
        <v>6.25E-2</v>
      </c>
      <c r="K295" t="str">
        <f t="shared" si="24"/>
        <v>weekday</v>
      </c>
    </row>
    <row r="296" spans="1:11" x14ac:dyDescent="0.4">
      <c r="A296" s="2" t="s">
        <v>824</v>
      </c>
      <c r="B296" s="3">
        <v>45374</v>
      </c>
      <c r="C296" s="2" t="s">
        <v>1252</v>
      </c>
      <c r="D296" s="2" t="s">
        <v>1258</v>
      </c>
      <c r="E296" s="2">
        <v>9</v>
      </c>
      <c r="F296" s="2" t="s">
        <v>1234</v>
      </c>
      <c r="G296">
        <f t="shared" si="20"/>
        <v>9</v>
      </c>
      <c r="H296" t="str">
        <f t="shared" si="21"/>
        <v>No</v>
      </c>
      <c r="I296" t="str">
        <f t="shared" si="22"/>
        <v>Mar</v>
      </c>
      <c r="J296" s="11">
        <f t="shared" si="23"/>
        <v>0.21875000000000006</v>
      </c>
      <c r="K296" t="str">
        <f t="shared" si="24"/>
        <v>weekend</v>
      </c>
    </row>
    <row r="297" spans="1:11" x14ac:dyDescent="0.4">
      <c r="A297" s="2" t="s">
        <v>826</v>
      </c>
      <c r="B297" s="3">
        <v>45576</v>
      </c>
      <c r="C297" s="2" t="s">
        <v>1243</v>
      </c>
      <c r="D297" s="2" t="s">
        <v>1239</v>
      </c>
      <c r="E297" s="2">
        <v>8</v>
      </c>
      <c r="F297" s="2" t="s">
        <v>1231</v>
      </c>
      <c r="G297">
        <f t="shared" si="20"/>
        <v>8</v>
      </c>
      <c r="H297" t="str">
        <f t="shared" si="21"/>
        <v>No</v>
      </c>
      <c r="I297" t="str">
        <f t="shared" si="22"/>
        <v>Oct</v>
      </c>
      <c r="J297" s="11">
        <f t="shared" si="23"/>
        <v>0.19791666666666663</v>
      </c>
      <c r="K297" t="str">
        <f t="shared" si="24"/>
        <v>weekday</v>
      </c>
    </row>
    <row r="298" spans="1:11" x14ac:dyDescent="0.4">
      <c r="A298" s="2" t="s">
        <v>828</v>
      </c>
      <c r="B298" s="3">
        <v>45406</v>
      </c>
      <c r="C298" s="2" t="s">
        <v>1264</v>
      </c>
      <c r="D298" s="2" t="s">
        <v>1261</v>
      </c>
      <c r="E298" s="2">
        <v>10</v>
      </c>
      <c r="F298" s="2" t="s">
        <v>1231</v>
      </c>
      <c r="G298">
        <f t="shared" si="20"/>
        <v>20</v>
      </c>
      <c r="H298" t="str">
        <f t="shared" si="21"/>
        <v>No</v>
      </c>
      <c r="I298" t="str">
        <f t="shared" si="22"/>
        <v>Apr</v>
      </c>
      <c r="J298" s="11">
        <f t="shared" si="23"/>
        <v>0.32291666666666663</v>
      </c>
      <c r="K298" t="str">
        <f t="shared" si="24"/>
        <v>weekday</v>
      </c>
    </row>
    <row r="299" spans="1:11" x14ac:dyDescent="0.4">
      <c r="A299" s="2" t="s">
        <v>828</v>
      </c>
      <c r="B299" s="3">
        <v>45647</v>
      </c>
      <c r="C299" s="2" t="s">
        <v>1242</v>
      </c>
      <c r="D299" s="2" t="s">
        <v>1261</v>
      </c>
      <c r="E299" s="2">
        <v>10</v>
      </c>
      <c r="F299" s="2" t="s">
        <v>1234</v>
      </c>
      <c r="G299">
        <f t="shared" si="20"/>
        <v>20</v>
      </c>
      <c r="H299" t="str">
        <f t="shared" si="21"/>
        <v>No</v>
      </c>
      <c r="I299" t="str">
        <f t="shared" si="22"/>
        <v>Dec</v>
      </c>
      <c r="J299" s="11">
        <f t="shared" si="23"/>
        <v>0.37499999999999994</v>
      </c>
      <c r="K299" t="str">
        <f t="shared" si="24"/>
        <v>weekend</v>
      </c>
    </row>
    <row r="300" spans="1:11" x14ac:dyDescent="0.4">
      <c r="A300" s="2" t="s">
        <v>830</v>
      </c>
      <c r="B300" s="3">
        <v>45486</v>
      </c>
      <c r="C300" s="2" t="s">
        <v>1239</v>
      </c>
      <c r="D300" s="2" t="s">
        <v>1246</v>
      </c>
      <c r="E300" s="2">
        <v>10</v>
      </c>
      <c r="F300" s="2" t="s">
        <v>1231</v>
      </c>
      <c r="G300">
        <f t="shared" si="20"/>
        <v>45</v>
      </c>
      <c r="H300" t="str">
        <f t="shared" si="21"/>
        <v>No</v>
      </c>
      <c r="I300" t="str">
        <f t="shared" si="22"/>
        <v>Jul</v>
      </c>
      <c r="J300" s="11">
        <f t="shared" si="23"/>
        <v>5.2083333333333315E-2</v>
      </c>
      <c r="K300" t="str">
        <f t="shared" si="24"/>
        <v>weekend</v>
      </c>
    </row>
    <row r="301" spans="1:11" x14ac:dyDescent="0.4">
      <c r="A301" s="2" t="s">
        <v>830</v>
      </c>
      <c r="B301" s="3">
        <v>45355</v>
      </c>
      <c r="C301" s="2" t="s">
        <v>1261</v>
      </c>
      <c r="D301" s="2" t="s">
        <v>1267</v>
      </c>
      <c r="E301" s="2">
        <v>9</v>
      </c>
      <c r="F301" s="2" t="s">
        <v>1231</v>
      </c>
      <c r="G301">
        <f t="shared" si="20"/>
        <v>45</v>
      </c>
      <c r="H301" t="str">
        <f t="shared" si="21"/>
        <v>No</v>
      </c>
      <c r="I301" t="str">
        <f t="shared" si="22"/>
        <v>Mar</v>
      </c>
      <c r="J301" s="11">
        <f t="shared" si="23"/>
        <v>0.33333333333333331</v>
      </c>
      <c r="K301" t="str">
        <f t="shared" si="24"/>
        <v>weekday</v>
      </c>
    </row>
    <row r="302" spans="1:11" x14ac:dyDescent="0.4">
      <c r="A302" s="2" t="s">
        <v>830</v>
      </c>
      <c r="B302" s="3">
        <v>45317</v>
      </c>
      <c r="C302" s="2" t="s">
        <v>1244</v>
      </c>
      <c r="D302" s="2" t="s">
        <v>1245</v>
      </c>
      <c r="E302" s="2">
        <v>10</v>
      </c>
      <c r="F302" s="2" t="s">
        <v>1231</v>
      </c>
      <c r="G302">
        <f t="shared" si="20"/>
        <v>45</v>
      </c>
      <c r="H302" t="str">
        <f t="shared" si="21"/>
        <v>No</v>
      </c>
      <c r="I302" t="str">
        <f t="shared" si="22"/>
        <v>Jan</v>
      </c>
      <c r="J302" s="11">
        <f t="shared" si="23"/>
        <v>0.14583333333333331</v>
      </c>
      <c r="K302" t="str">
        <f t="shared" si="24"/>
        <v>weekday</v>
      </c>
    </row>
    <row r="303" spans="1:11" x14ac:dyDescent="0.4">
      <c r="A303" s="2" t="s">
        <v>830</v>
      </c>
      <c r="B303" s="3">
        <v>45468</v>
      </c>
      <c r="C303" s="2" t="s">
        <v>1242</v>
      </c>
      <c r="D303" s="2" t="s">
        <v>1255</v>
      </c>
      <c r="E303" s="2">
        <v>8</v>
      </c>
      <c r="F303" s="2" t="s">
        <v>1231</v>
      </c>
      <c r="G303">
        <f t="shared" si="20"/>
        <v>45</v>
      </c>
      <c r="H303" t="str">
        <f t="shared" si="21"/>
        <v>No</v>
      </c>
      <c r="I303" t="str">
        <f t="shared" si="22"/>
        <v>Jun</v>
      </c>
      <c r="J303" s="11">
        <f t="shared" si="23"/>
        <v>0.19791666666666669</v>
      </c>
      <c r="K303" t="str">
        <f t="shared" si="24"/>
        <v>weekday</v>
      </c>
    </row>
    <row r="304" spans="1:11" x14ac:dyDescent="0.4">
      <c r="A304" s="2" t="s">
        <v>830</v>
      </c>
      <c r="B304" s="3">
        <v>45566</v>
      </c>
      <c r="C304" s="2" t="s">
        <v>1262</v>
      </c>
      <c r="D304" s="2" t="s">
        <v>1252</v>
      </c>
      <c r="E304" s="2">
        <v>8</v>
      </c>
      <c r="F304" s="2" t="s">
        <v>1231</v>
      </c>
      <c r="G304">
        <f t="shared" si="20"/>
        <v>45</v>
      </c>
      <c r="H304" t="str">
        <f t="shared" si="21"/>
        <v>No</v>
      </c>
      <c r="I304" t="str">
        <f t="shared" si="22"/>
        <v>Oct</v>
      </c>
      <c r="J304" s="11">
        <f t="shared" si="23"/>
        <v>0.25000000000000006</v>
      </c>
      <c r="K304" t="str">
        <f t="shared" si="24"/>
        <v>weekday</v>
      </c>
    </row>
    <row r="305" spans="1:11" x14ac:dyDescent="0.4">
      <c r="A305" s="2" t="s">
        <v>836</v>
      </c>
      <c r="B305" s="3">
        <v>45353</v>
      </c>
      <c r="C305" s="2" t="s">
        <v>1266</v>
      </c>
      <c r="D305" s="2" t="s">
        <v>1258</v>
      </c>
      <c r="E305" s="2">
        <v>9</v>
      </c>
      <c r="F305" s="2" t="s">
        <v>1234</v>
      </c>
      <c r="G305">
        <f t="shared" si="20"/>
        <v>15</v>
      </c>
      <c r="H305" t="str">
        <f t="shared" si="21"/>
        <v>No</v>
      </c>
      <c r="I305" t="str">
        <f t="shared" si="22"/>
        <v>Mar</v>
      </c>
      <c r="J305" s="11">
        <f t="shared" si="23"/>
        <v>0.25000000000000006</v>
      </c>
      <c r="K305" t="str">
        <f t="shared" si="24"/>
        <v>weekend</v>
      </c>
    </row>
    <row r="306" spans="1:11" x14ac:dyDescent="0.4">
      <c r="A306" s="2" t="s">
        <v>836</v>
      </c>
      <c r="B306" s="3">
        <v>45589</v>
      </c>
      <c r="C306" s="2" t="s">
        <v>1241</v>
      </c>
      <c r="D306" s="2" t="s">
        <v>1274</v>
      </c>
      <c r="E306" s="2">
        <v>6</v>
      </c>
      <c r="F306" s="2" t="s">
        <v>1234</v>
      </c>
      <c r="G306">
        <f t="shared" si="20"/>
        <v>15</v>
      </c>
      <c r="H306" t="str">
        <f t="shared" si="21"/>
        <v>No</v>
      </c>
      <c r="I306" t="str">
        <f t="shared" si="22"/>
        <v>Oct</v>
      </c>
      <c r="J306" s="11">
        <f t="shared" si="23"/>
        <v>5.2083333333333315E-2</v>
      </c>
      <c r="K306" t="str">
        <f t="shared" si="24"/>
        <v>weekday</v>
      </c>
    </row>
    <row r="307" spans="1:11" x14ac:dyDescent="0.4">
      <c r="A307" s="2" t="s">
        <v>838</v>
      </c>
      <c r="B307" s="3">
        <v>45328</v>
      </c>
      <c r="C307" s="2" t="s">
        <v>1272</v>
      </c>
      <c r="D307" s="2" t="s">
        <v>1232</v>
      </c>
      <c r="E307" s="2">
        <v>9</v>
      </c>
      <c r="F307" s="2" t="s">
        <v>1234</v>
      </c>
      <c r="G307">
        <f t="shared" si="20"/>
        <v>9</v>
      </c>
      <c r="H307" t="str">
        <f t="shared" si="21"/>
        <v>No</v>
      </c>
      <c r="I307" t="str">
        <f t="shared" si="22"/>
        <v>Feb</v>
      </c>
      <c r="J307" s="11">
        <f t="shared" si="23"/>
        <v>1.041666666666663E-2</v>
      </c>
      <c r="K307" t="str">
        <f t="shared" si="24"/>
        <v>weekday</v>
      </c>
    </row>
    <row r="308" spans="1:11" x14ac:dyDescent="0.4">
      <c r="A308" s="2" t="s">
        <v>842</v>
      </c>
      <c r="B308" s="3">
        <v>45488</v>
      </c>
      <c r="C308" s="2" t="s">
        <v>1246</v>
      </c>
      <c r="D308" s="2" t="s">
        <v>1245</v>
      </c>
      <c r="E308" s="2">
        <v>7</v>
      </c>
      <c r="F308" s="2" t="s">
        <v>1234</v>
      </c>
      <c r="G308">
        <f t="shared" si="20"/>
        <v>20</v>
      </c>
      <c r="H308" t="str">
        <f t="shared" si="21"/>
        <v>No</v>
      </c>
      <c r="I308" t="str">
        <f t="shared" si="22"/>
        <v>Jul</v>
      </c>
      <c r="J308" s="11">
        <f t="shared" si="23"/>
        <v>6.25E-2</v>
      </c>
      <c r="K308" t="str">
        <f t="shared" si="24"/>
        <v>weekday</v>
      </c>
    </row>
    <row r="309" spans="1:11" x14ac:dyDescent="0.4">
      <c r="A309" s="2" t="s">
        <v>842</v>
      </c>
      <c r="B309" s="3">
        <v>45412</v>
      </c>
      <c r="C309" s="2" t="s">
        <v>1233</v>
      </c>
      <c r="D309" s="2" t="s">
        <v>1262</v>
      </c>
      <c r="E309" s="2">
        <v>7</v>
      </c>
      <c r="F309" s="2" t="s">
        <v>1234</v>
      </c>
      <c r="G309">
        <f t="shared" si="20"/>
        <v>20</v>
      </c>
      <c r="H309" t="str">
        <f t="shared" si="21"/>
        <v>No</v>
      </c>
      <c r="I309" t="str">
        <f t="shared" si="22"/>
        <v>Apr</v>
      </c>
      <c r="J309" s="11">
        <f t="shared" si="23"/>
        <v>6.25E-2</v>
      </c>
      <c r="K309" t="str">
        <f t="shared" si="24"/>
        <v>weekday</v>
      </c>
    </row>
    <row r="310" spans="1:11" x14ac:dyDescent="0.4">
      <c r="A310" s="2" t="s">
        <v>842</v>
      </c>
      <c r="B310" s="3">
        <v>45524</v>
      </c>
      <c r="C310" s="2" t="s">
        <v>1242</v>
      </c>
      <c r="D310" s="2" t="s">
        <v>1265</v>
      </c>
      <c r="E310" s="2">
        <v>6</v>
      </c>
      <c r="F310" s="2" t="s">
        <v>1234</v>
      </c>
      <c r="G310">
        <f t="shared" si="20"/>
        <v>20</v>
      </c>
      <c r="H310" t="str">
        <f t="shared" si="21"/>
        <v>No</v>
      </c>
      <c r="I310" t="str">
        <f t="shared" si="22"/>
        <v>Aug</v>
      </c>
      <c r="J310" s="11">
        <f t="shared" si="23"/>
        <v>0.36458333333333331</v>
      </c>
      <c r="K310" t="str">
        <f t="shared" si="24"/>
        <v>weekday</v>
      </c>
    </row>
    <row r="311" spans="1:11" x14ac:dyDescent="0.4">
      <c r="A311" s="2" t="s">
        <v>844</v>
      </c>
      <c r="B311" s="3">
        <v>45569</v>
      </c>
      <c r="C311" s="2" t="s">
        <v>1260</v>
      </c>
      <c r="D311" s="2" t="s">
        <v>1232</v>
      </c>
      <c r="E311" s="2">
        <v>10</v>
      </c>
      <c r="F311" s="2" t="s">
        <v>1234</v>
      </c>
      <c r="G311">
        <f t="shared" si="20"/>
        <v>10</v>
      </c>
      <c r="H311" t="str">
        <f t="shared" si="21"/>
        <v>No</v>
      </c>
      <c r="I311" t="str">
        <f t="shared" si="22"/>
        <v>Oct</v>
      </c>
      <c r="J311" s="11">
        <f t="shared" si="23"/>
        <v>0.125</v>
      </c>
      <c r="K311" t="str">
        <f t="shared" si="24"/>
        <v>weekday</v>
      </c>
    </row>
    <row r="312" spans="1:11" x14ac:dyDescent="0.4">
      <c r="A312" s="2" t="s">
        <v>846</v>
      </c>
      <c r="B312" s="3">
        <v>45317</v>
      </c>
      <c r="C312" s="2" t="s">
        <v>1257</v>
      </c>
      <c r="D312" s="2" t="s">
        <v>1271</v>
      </c>
      <c r="E312" s="2">
        <v>6</v>
      </c>
      <c r="F312" s="2" t="s">
        <v>1234</v>
      </c>
      <c r="G312">
        <f t="shared" si="20"/>
        <v>6</v>
      </c>
      <c r="H312" t="str">
        <f t="shared" si="21"/>
        <v>No</v>
      </c>
      <c r="I312" t="str">
        <f t="shared" si="22"/>
        <v>Jan</v>
      </c>
      <c r="J312" s="11">
        <f t="shared" si="23"/>
        <v>9.375E-2</v>
      </c>
      <c r="K312" t="str">
        <f t="shared" si="24"/>
        <v>weekday</v>
      </c>
    </row>
    <row r="313" spans="1:11" x14ac:dyDescent="0.4">
      <c r="A313" s="2" t="s">
        <v>848</v>
      </c>
      <c r="B313" s="3">
        <v>45429</v>
      </c>
      <c r="C313" s="2" t="s">
        <v>1273</v>
      </c>
      <c r="D313" s="2" t="s">
        <v>1232</v>
      </c>
      <c r="E313" s="2">
        <v>6</v>
      </c>
      <c r="F313" s="2" t="s">
        <v>1231</v>
      </c>
      <c r="G313">
        <f t="shared" si="20"/>
        <v>6</v>
      </c>
      <c r="H313" t="str">
        <f t="shared" si="21"/>
        <v>No</v>
      </c>
      <c r="I313" t="str">
        <f t="shared" si="22"/>
        <v>May</v>
      </c>
      <c r="J313" s="11">
        <f t="shared" si="23"/>
        <v>3.125E-2</v>
      </c>
      <c r="K313" t="str">
        <f t="shared" si="24"/>
        <v>weekday</v>
      </c>
    </row>
    <row r="314" spans="1:11" x14ac:dyDescent="0.4">
      <c r="A314" s="2" t="s">
        <v>852</v>
      </c>
      <c r="B314" s="3">
        <v>45546</v>
      </c>
      <c r="C314" s="2" t="s">
        <v>1244</v>
      </c>
      <c r="D314" s="2" t="s">
        <v>1236</v>
      </c>
      <c r="E314" s="2">
        <v>9</v>
      </c>
      <c r="F314" s="2" t="s">
        <v>1234</v>
      </c>
      <c r="G314">
        <f t="shared" si="20"/>
        <v>34</v>
      </c>
      <c r="H314" t="str">
        <f t="shared" si="21"/>
        <v>No</v>
      </c>
      <c r="I314" t="str">
        <f t="shared" si="22"/>
        <v>Sep</v>
      </c>
      <c r="J314" s="11">
        <f t="shared" si="23"/>
        <v>8.333333333333337E-2</v>
      </c>
      <c r="K314" t="str">
        <f t="shared" si="24"/>
        <v>weekday</v>
      </c>
    </row>
    <row r="315" spans="1:11" x14ac:dyDescent="0.4">
      <c r="A315" s="2" t="s">
        <v>852</v>
      </c>
      <c r="B315" s="3">
        <v>45613</v>
      </c>
      <c r="C315" s="2" t="s">
        <v>1262</v>
      </c>
      <c r="D315" s="2" t="s">
        <v>1261</v>
      </c>
      <c r="E315" s="2">
        <v>6</v>
      </c>
      <c r="F315" s="2" t="s">
        <v>1234</v>
      </c>
      <c r="G315">
        <f t="shared" si="20"/>
        <v>34</v>
      </c>
      <c r="H315" t="str">
        <f t="shared" si="21"/>
        <v>No</v>
      </c>
      <c r="I315" t="str">
        <f t="shared" si="22"/>
        <v>Nov</v>
      </c>
      <c r="J315" s="11">
        <f t="shared" si="23"/>
        <v>1.0416666666666741E-2</v>
      </c>
      <c r="K315" t="str">
        <f t="shared" si="24"/>
        <v>weekend</v>
      </c>
    </row>
    <row r="316" spans="1:11" x14ac:dyDescent="0.4">
      <c r="A316" s="2" t="s">
        <v>852</v>
      </c>
      <c r="B316" s="3">
        <v>45413</v>
      </c>
      <c r="C316" s="2" t="s">
        <v>1259</v>
      </c>
      <c r="D316" s="2" t="s">
        <v>1237</v>
      </c>
      <c r="E316" s="2">
        <v>10</v>
      </c>
      <c r="F316" s="2" t="s">
        <v>1231</v>
      </c>
      <c r="G316">
        <f t="shared" si="20"/>
        <v>34</v>
      </c>
      <c r="H316" t="str">
        <f t="shared" si="21"/>
        <v>No</v>
      </c>
      <c r="I316" t="str">
        <f t="shared" si="22"/>
        <v>May</v>
      </c>
      <c r="J316" s="11">
        <f t="shared" si="23"/>
        <v>0.42708333333333331</v>
      </c>
      <c r="K316" t="str">
        <f t="shared" si="24"/>
        <v>weekday</v>
      </c>
    </row>
    <row r="317" spans="1:11" x14ac:dyDescent="0.4">
      <c r="A317" s="2" t="s">
        <v>852</v>
      </c>
      <c r="B317" s="3">
        <v>45380</v>
      </c>
      <c r="C317" s="2" t="s">
        <v>1269</v>
      </c>
      <c r="D317" s="2" t="s">
        <v>1237</v>
      </c>
      <c r="E317" s="2">
        <v>9</v>
      </c>
      <c r="F317" s="2" t="s">
        <v>1234</v>
      </c>
      <c r="G317">
        <f t="shared" si="20"/>
        <v>34</v>
      </c>
      <c r="H317" t="str">
        <f t="shared" si="21"/>
        <v>No</v>
      </c>
      <c r="I317" t="str">
        <f t="shared" si="22"/>
        <v>Mar</v>
      </c>
      <c r="J317" s="11">
        <f t="shared" si="23"/>
        <v>0.25</v>
      </c>
      <c r="K317" t="str">
        <f t="shared" si="24"/>
        <v>weekday</v>
      </c>
    </row>
    <row r="318" spans="1:11" x14ac:dyDescent="0.4">
      <c r="A318" s="2" t="s">
        <v>854</v>
      </c>
      <c r="B318" s="3">
        <v>45392</v>
      </c>
      <c r="C318" s="2" t="s">
        <v>1273</v>
      </c>
      <c r="D318" s="2" t="s">
        <v>1244</v>
      </c>
      <c r="E318" s="2">
        <v>7</v>
      </c>
      <c r="F318" s="2" t="s">
        <v>1234</v>
      </c>
      <c r="G318">
        <f t="shared" si="20"/>
        <v>7</v>
      </c>
      <c r="H318" t="str">
        <f t="shared" si="21"/>
        <v>No</v>
      </c>
      <c r="I318" t="str">
        <f t="shared" si="22"/>
        <v>Apr</v>
      </c>
      <c r="J318" s="11">
        <f t="shared" si="23"/>
        <v>2.083333333333337E-2</v>
      </c>
      <c r="K318" t="str">
        <f t="shared" si="24"/>
        <v>weekday</v>
      </c>
    </row>
    <row r="319" spans="1:11" x14ac:dyDescent="0.4">
      <c r="A319" s="2" t="s">
        <v>858</v>
      </c>
      <c r="B319" s="3">
        <v>45501</v>
      </c>
      <c r="C319" s="2" t="s">
        <v>1271</v>
      </c>
      <c r="D319" s="2" t="s">
        <v>1238</v>
      </c>
      <c r="E319" s="2">
        <v>7</v>
      </c>
      <c r="F319" s="2" t="s">
        <v>1231</v>
      </c>
      <c r="G319">
        <f t="shared" si="20"/>
        <v>23</v>
      </c>
      <c r="H319" t="str">
        <f t="shared" si="21"/>
        <v>No</v>
      </c>
      <c r="I319" t="str">
        <f t="shared" si="22"/>
        <v>Jul</v>
      </c>
      <c r="J319" s="11">
        <f t="shared" si="23"/>
        <v>0.20833333333333337</v>
      </c>
      <c r="K319" t="str">
        <f t="shared" si="24"/>
        <v>weekend</v>
      </c>
    </row>
    <row r="320" spans="1:11" x14ac:dyDescent="0.4">
      <c r="A320" s="2" t="s">
        <v>858</v>
      </c>
      <c r="B320" s="3">
        <v>45566</v>
      </c>
      <c r="C320" s="2" t="s">
        <v>1261</v>
      </c>
      <c r="D320" s="2" t="s">
        <v>1255</v>
      </c>
      <c r="E320" s="2">
        <v>7</v>
      </c>
      <c r="F320" s="2" t="s">
        <v>1231</v>
      </c>
      <c r="G320">
        <f t="shared" si="20"/>
        <v>23</v>
      </c>
      <c r="H320" t="str">
        <f t="shared" si="21"/>
        <v>No</v>
      </c>
      <c r="I320" t="str">
        <f t="shared" si="22"/>
        <v>Oct</v>
      </c>
      <c r="J320" s="11">
        <f t="shared" si="23"/>
        <v>0.17708333333333326</v>
      </c>
      <c r="K320" t="str">
        <f t="shared" si="24"/>
        <v>weekday</v>
      </c>
    </row>
    <row r="321" spans="1:11" x14ac:dyDescent="0.4">
      <c r="A321" s="2" t="s">
        <v>858</v>
      </c>
      <c r="B321" s="3">
        <v>45440</v>
      </c>
      <c r="C321" s="2" t="s">
        <v>1242</v>
      </c>
      <c r="D321" s="2" t="s">
        <v>1240</v>
      </c>
      <c r="E321" s="2">
        <v>9</v>
      </c>
      <c r="F321" s="2" t="s">
        <v>1231</v>
      </c>
      <c r="G321">
        <f t="shared" si="20"/>
        <v>23</v>
      </c>
      <c r="H321" t="str">
        <f t="shared" si="21"/>
        <v>No</v>
      </c>
      <c r="I321" t="str">
        <f t="shared" si="22"/>
        <v>May</v>
      </c>
      <c r="J321" s="11">
        <f t="shared" si="23"/>
        <v>0.23958333333333331</v>
      </c>
      <c r="K321" t="str">
        <f t="shared" si="24"/>
        <v>weekday</v>
      </c>
    </row>
    <row r="322" spans="1:11" x14ac:dyDescent="0.4">
      <c r="A322" s="2" t="s">
        <v>860</v>
      </c>
      <c r="B322" s="3">
        <v>45340</v>
      </c>
      <c r="C322" s="2" t="s">
        <v>1250</v>
      </c>
      <c r="D322" s="2" t="s">
        <v>1265</v>
      </c>
      <c r="E322" s="2">
        <v>7</v>
      </c>
      <c r="F322" s="2" t="s">
        <v>1234</v>
      </c>
      <c r="G322">
        <f t="shared" si="20"/>
        <v>7</v>
      </c>
      <c r="H322" t="str">
        <f t="shared" si="21"/>
        <v>No</v>
      </c>
      <c r="I322" t="str">
        <f t="shared" si="22"/>
        <v>Feb</v>
      </c>
      <c r="J322" s="11">
        <f t="shared" si="23"/>
        <v>0.35416666666666669</v>
      </c>
      <c r="K322" t="str">
        <f t="shared" si="24"/>
        <v>weekend</v>
      </c>
    </row>
    <row r="323" spans="1:11" x14ac:dyDescent="0.4">
      <c r="A323" s="2" t="s">
        <v>862</v>
      </c>
      <c r="B323" s="3">
        <v>45468</v>
      </c>
      <c r="C323" s="2" t="s">
        <v>1242</v>
      </c>
      <c r="D323" s="2" t="s">
        <v>1244</v>
      </c>
      <c r="E323" s="2">
        <v>7</v>
      </c>
      <c r="F323" s="2" t="s">
        <v>1234</v>
      </c>
      <c r="G323">
        <f t="shared" ref="G323:G386" si="25">SUMIFS($E$2:$E$501,$A$2:$A$501,A323)</f>
        <v>33</v>
      </c>
      <c r="H323" t="str">
        <f t="shared" ref="H323:H386" si="26">IF(COUNTIFS($A$2:$A$501,A323,$F$2:$F$501,"Yes")&gt;5,"Late","No")</f>
        <v>No</v>
      </c>
      <c r="I323" t="str">
        <f t="shared" ref="I323:I386" si="27">TEXT(B323,"mmm")</f>
        <v>Jun</v>
      </c>
      <c r="J323" s="11">
        <f t="shared" ref="J323:J386" si="28">ABS(TIMEVALUE(D323)-TIMEVALUE(C323))</f>
        <v>0.27083333333333331</v>
      </c>
      <c r="K323" t="str">
        <f t="shared" ref="K323:K386" si="29">IF(OR(TEXT(B323,"ddd")="Sat",TEXT(B323,"ddd")="Sun"),"weekend","weekday")</f>
        <v>weekday</v>
      </c>
    </row>
    <row r="324" spans="1:11" x14ac:dyDescent="0.4">
      <c r="A324" s="2" t="s">
        <v>862</v>
      </c>
      <c r="B324" s="3">
        <v>45303</v>
      </c>
      <c r="C324" s="2" t="s">
        <v>1240</v>
      </c>
      <c r="D324" s="2" t="s">
        <v>1268</v>
      </c>
      <c r="E324" s="2">
        <v>7</v>
      </c>
      <c r="F324" s="2" t="s">
        <v>1234</v>
      </c>
      <c r="G324">
        <f t="shared" si="25"/>
        <v>33</v>
      </c>
      <c r="H324" t="str">
        <f t="shared" si="26"/>
        <v>No</v>
      </c>
      <c r="I324" t="str">
        <f t="shared" si="27"/>
        <v>Jan</v>
      </c>
      <c r="J324" s="11">
        <f t="shared" si="28"/>
        <v>0.20833333333333331</v>
      </c>
      <c r="K324" t="str">
        <f t="shared" si="29"/>
        <v>weekday</v>
      </c>
    </row>
    <row r="325" spans="1:11" x14ac:dyDescent="0.4">
      <c r="A325" s="2" t="s">
        <v>862</v>
      </c>
      <c r="B325" s="3">
        <v>45313</v>
      </c>
      <c r="C325" s="2" t="s">
        <v>1236</v>
      </c>
      <c r="D325" s="2" t="s">
        <v>1230</v>
      </c>
      <c r="E325" s="2">
        <v>10</v>
      </c>
      <c r="F325" s="2" t="s">
        <v>1231</v>
      </c>
      <c r="G325">
        <f t="shared" si="25"/>
        <v>33</v>
      </c>
      <c r="H325" t="str">
        <f t="shared" si="26"/>
        <v>No</v>
      </c>
      <c r="I325" t="str">
        <f t="shared" si="27"/>
        <v>Jan</v>
      </c>
      <c r="J325" s="11">
        <f t="shared" si="28"/>
        <v>4.166666666666663E-2</v>
      </c>
      <c r="K325" t="str">
        <f t="shared" si="29"/>
        <v>weekday</v>
      </c>
    </row>
    <row r="326" spans="1:11" x14ac:dyDescent="0.4">
      <c r="A326" s="2" t="s">
        <v>862</v>
      </c>
      <c r="B326" s="3">
        <v>45476</v>
      </c>
      <c r="C326" s="2" t="s">
        <v>1249</v>
      </c>
      <c r="D326" s="2" t="s">
        <v>1243</v>
      </c>
      <c r="E326" s="2">
        <v>9</v>
      </c>
      <c r="F326" s="2" t="s">
        <v>1231</v>
      </c>
      <c r="G326">
        <f t="shared" si="25"/>
        <v>33</v>
      </c>
      <c r="H326" t="str">
        <f t="shared" si="26"/>
        <v>No</v>
      </c>
      <c r="I326" t="str">
        <f t="shared" si="27"/>
        <v>Jul</v>
      </c>
      <c r="J326" s="11">
        <f t="shared" si="28"/>
        <v>0.14583333333333326</v>
      </c>
      <c r="K326" t="str">
        <f t="shared" si="29"/>
        <v>weekday</v>
      </c>
    </row>
    <row r="327" spans="1:11" x14ac:dyDescent="0.4">
      <c r="A327" s="2" t="s">
        <v>866</v>
      </c>
      <c r="B327" s="3">
        <v>45583</v>
      </c>
      <c r="C327" s="2" t="s">
        <v>1243</v>
      </c>
      <c r="D327" s="2" t="s">
        <v>1251</v>
      </c>
      <c r="E327" s="2">
        <v>8</v>
      </c>
      <c r="F327" s="2" t="s">
        <v>1234</v>
      </c>
      <c r="G327">
        <f t="shared" si="25"/>
        <v>8</v>
      </c>
      <c r="H327" t="str">
        <f t="shared" si="26"/>
        <v>No</v>
      </c>
      <c r="I327" t="str">
        <f t="shared" si="27"/>
        <v>Oct</v>
      </c>
      <c r="J327" s="11">
        <f t="shared" si="28"/>
        <v>1.041666666666663E-2</v>
      </c>
      <c r="K327" t="str">
        <f t="shared" si="29"/>
        <v>weekday</v>
      </c>
    </row>
    <row r="328" spans="1:11" x14ac:dyDescent="0.4">
      <c r="A328" s="2" t="s">
        <v>868</v>
      </c>
      <c r="B328" s="3">
        <v>45506</v>
      </c>
      <c r="C328" s="2" t="s">
        <v>1251</v>
      </c>
      <c r="D328" s="2" t="s">
        <v>1233</v>
      </c>
      <c r="E328" s="2">
        <v>6</v>
      </c>
      <c r="F328" s="2" t="s">
        <v>1231</v>
      </c>
      <c r="G328">
        <f t="shared" si="25"/>
        <v>6</v>
      </c>
      <c r="H328" t="str">
        <f t="shared" si="26"/>
        <v>No</v>
      </c>
      <c r="I328" t="str">
        <f t="shared" si="27"/>
        <v>Aug</v>
      </c>
      <c r="J328" s="11">
        <f t="shared" si="28"/>
        <v>2.083333333333337E-2</v>
      </c>
      <c r="K328" t="str">
        <f t="shared" si="29"/>
        <v>weekday</v>
      </c>
    </row>
    <row r="329" spans="1:11" x14ac:dyDescent="0.4">
      <c r="A329" s="2" t="s">
        <v>870</v>
      </c>
      <c r="B329" s="3">
        <v>45654</v>
      </c>
      <c r="C329" s="2" t="s">
        <v>1237</v>
      </c>
      <c r="D329" s="2" t="s">
        <v>1268</v>
      </c>
      <c r="E329" s="2">
        <v>6</v>
      </c>
      <c r="F329" s="2" t="s">
        <v>1234</v>
      </c>
      <c r="G329">
        <f t="shared" si="25"/>
        <v>22</v>
      </c>
      <c r="H329" t="str">
        <f t="shared" si="26"/>
        <v>No</v>
      </c>
      <c r="I329" t="str">
        <f t="shared" si="27"/>
        <v>Dec</v>
      </c>
      <c r="J329" s="11">
        <f t="shared" si="28"/>
        <v>0.37499999999999994</v>
      </c>
      <c r="K329" t="str">
        <f t="shared" si="29"/>
        <v>weekend</v>
      </c>
    </row>
    <row r="330" spans="1:11" x14ac:dyDescent="0.4">
      <c r="A330" s="2" t="s">
        <v>870</v>
      </c>
      <c r="B330" s="3">
        <v>45327</v>
      </c>
      <c r="C330" s="2" t="s">
        <v>1229</v>
      </c>
      <c r="D330" s="2" t="s">
        <v>1259</v>
      </c>
      <c r="E330" s="2">
        <v>9</v>
      </c>
      <c r="F330" s="2" t="s">
        <v>1231</v>
      </c>
      <c r="G330">
        <f t="shared" si="25"/>
        <v>22</v>
      </c>
      <c r="H330" t="str">
        <f t="shared" si="26"/>
        <v>No</v>
      </c>
      <c r="I330" t="str">
        <f t="shared" si="27"/>
        <v>Feb</v>
      </c>
      <c r="J330" s="11">
        <f t="shared" si="28"/>
        <v>1.0416666666666685E-2</v>
      </c>
      <c r="K330" t="str">
        <f t="shared" si="29"/>
        <v>weekday</v>
      </c>
    </row>
    <row r="331" spans="1:11" x14ac:dyDescent="0.4">
      <c r="A331" s="2" t="s">
        <v>870</v>
      </c>
      <c r="B331" s="3">
        <v>45657</v>
      </c>
      <c r="C331" s="2" t="s">
        <v>1243</v>
      </c>
      <c r="D331" s="2" t="s">
        <v>1261</v>
      </c>
      <c r="E331" s="2">
        <v>7</v>
      </c>
      <c r="F331" s="2" t="s">
        <v>1234</v>
      </c>
      <c r="G331">
        <f t="shared" si="25"/>
        <v>22</v>
      </c>
      <c r="H331" t="str">
        <f t="shared" si="26"/>
        <v>No</v>
      </c>
      <c r="I331" t="str">
        <f t="shared" si="27"/>
        <v>Dec</v>
      </c>
      <c r="J331" s="11">
        <f t="shared" si="28"/>
        <v>6.25E-2</v>
      </c>
      <c r="K331" t="str">
        <f t="shared" si="29"/>
        <v>weekday</v>
      </c>
    </row>
    <row r="332" spans="1:11" x14ac:dyDescent="0.4">
      <c r="A332" s="2" t="s">
        <v>874</v>
      </c>
      <c r="B332" s="3">
        <v>45396</v>
      </c>
      <c r="C332" s="2" t="s">
        <v>1250</v>
      </c>
      <c r="D332" s="2" t="s">
        <v>1230</v>
      </c>
      <c r="E332" s="2">
        <v>9</v>
      </c>
      <c r="F332" s="2" t="s">
        <v>1234</v>
      </c>
      <c r="G332">
        <f t="shared" si="25"/>
        <v>16</v>
      </c>
      <c r="H332" t="str">
        <f t="shared" si="26"/>
        <v>No</v>
      </c>
      <c r="I332" t="str">
        <f t="shared" si="27"/>
        <v>Apr</v>
      </c>
      <c r="J332" s="11">
        <f t="shared" si="28"/>
        <v>0.13541666666666669</v>
      </c>
      <c r="K332" t="str">
        <f t="shared" si="29"/>
        <v>weekend</v>
      </c>
    </row>
    <row r="333" spans="1:11" x14ac:dyDescent="0.4">
      <c r="A333" s="2" t="s">
        <v>874</v>
      </c>
      <c r="B333" s="3">
        <v>45465</v>
      </c>
      <c r="C333" s="2" t="s">
        <v>1255</v>
      </c>
      <c r="D333" s="2" t="s">
        <v>1239</v>
      </c>
      <c r="E333" s="2">
        <v>7</v>
      </c>
      <c r="F333" s="2" t="s">
        <v>1234</v>
      </c>
      <c r="G333">
        <f t="shared" si="25"/>
        <v>16</v>
      </c>
      <c r="H333" t="str">
        <f t="shared" si="26"/>
        <v>No</v>
      </c>
      <c r="I333" t="str">
        <f t="shared" si="27"/>
        <v>Jun</v>
      </c>
      <c r="J333" s="11">
        <f t="shared" si="28"/>
        <v>8.333333333333337E-2</v>
      </c>
      <c r="K333" t="str">
        <f t="shared" si="29"/>
        <v>weekend</v>
      </c>
    </row>
    <row r="334" spans="1:11" x14ac:dyDescent="0.4">
      <c r="A334" s="2" t="s">
        <v>876</v>
      </c>
      <c r="B334" s="3">
        <v>45411</v>
      </c>
      <c r="C334" s="2" t="s">
        <v>1244</v>
      </c>
      <c r="D334" s="2" t="s">
        <v>1266</v>
      </c>
      <c r="E334" s="2">
        <v>10</v>
      </c>
      <c r="F334" s="2" t="s">
        <v>1231</v>
      </c>
      <c r="G334">
        <f t="shared" si="25"/>
        <v>10</v>
      </c>
      <c r="H334" t="str">
        <f t="shared" si="26"/>
        <v>No</v>
      </c>
      <c r="I334" t="str">
        <f t="shared" si="27"/>
        <v>Apr</v>
      </c>
      <c r="J334" s="11">
        <f t="shared" si="28"/>
        <v>0.16666666666666669</v>
      </c>
      <c r="K334" t="str">
        <f t="shared" si="29"/>
        <v>weekday</v>
      </c>
    </row>
    <row r="335" spans="1:11" x14ac:dyDescent="0.4">
      <c r="A335" s="2" t="s">
        <v>878</v>
      </c>
      <c r="B335" s="3">
        <v>45331</v>
      </c>
      <c r="C335" s="2" t="s">
        <v>1248</v>
      </c>
      <c r="D335" s="2" t="s">
        <v>1229</v>
      </c>
      <c r="E335" s="2">
        <v>9</v>
      </c>
      <c r="F335" s="2" t="s">
        <v>1234</v>
      </c>
      <c r="G335">
        <f t="shared" si="25"/>
        <v>9</v>
      </c>
      <c r="H335" t="str">
        <f t="shared" si="26"/>
        <v>No</v>
      </c>
      <c r="I335" t="str">
        <f t="shared" si="27"/>
        <v>Feb</v>
      </c>
      <c r="J335" s="11">
        <f t="shared" si="28"/>
        <v>0.42708333333333337</v>
      </c>
      <c r="K335" t="str">
        <f t="shared" si="29"/>
        <v>weekday</v>
      </c>
    </row>
    <row r="336" spans="1:11" x14ac:dyDescent="0.4">
      <c r="A336" s="2" t="s">
        <v>880</v>
      </c>
      <c r="B336" s="3">
        <v>45445</v>
      </c>
      <c r="C336" s="2" t="s">
        <v>1233</v>
      </c>
      <c r="D336" s="2" t="s">
        <v>1273</v>
      </c>
      <c r="E336" s="2">
        <v>8</v>
      </c>
      <c r="F336" s="2" t="s">
        <v>1231</v>
      </c>
      <c r="G336">
        <f t="shared" si="25"/>
        <v>15</v>
      </c>
      <c r="H336" t="str">
        <f t="shared" si="26"/>
        <v>No</v>
      </c>
      <c r="I336" t="str">
        <f t="shared" si="27"/>
        <v>Jun</v>
      </c>
      <c r="J336" s="11">
        <f t="shared" si="28"/>
        <v>7.2916666666666741E-2</v>
      </c>
      <c r="K336" t="str">
        <f t="shared" si="29"/>
        <v>weekend</v>
      </c>
    </row>
    <row r="337" spans="1:11" x14ac:dyDescent="0.4">
      <c r="A337" s="2" t="s">
        <v>880</v>
      </c>
      <c r="B337" s="3">
        <v>45625</v>
      </c>
      <c r="C337" s="2" t="s">
        <v>1258</v>
      </c>
      <c r="D337" s="2" t="s">
        <v>1250</v>
      </c>
      <c r="E337" s="2">
        <v>7</v>
      </c>
      <c r="F337" s="2" t="s">
        <v>1231</v>
      </c>
      <c r="G337">
        <f t="shared" si="25"/>
        <v>15</v>
      </c>
      <c r="H337" t="str">
        <f t="shared" si="26"/>
        <v>No</v>
      </c>
      <c r="I337" t="str">
        <f t="shared" si="27"/>
        <v>Nov</v>
      </c>
      <c r="J337" s="11">
        <f t="shared" si="28"/>
        <v>0.34375000000000006</v>
      </c>
      <c r="K337" t="str">
        <f t="shared" si="29"/>
        <v>weekday</v>
      </c>
    </row>
    <row r="338" spans="1:11" x14ac:dyDescent="0.4">
      <c r="A338" s="2" t="s">
        <v>884</v>
      </c>
      <c r="B338" s="3">
        <v>45578</v>
      </c>
      <c r="C338" s="2" t="s">
        <v>1240</v>
      </c>
      <c r="D338" s="2" t="s">
        <v>1245</v>
      </c>
      <c r="E338" s="2">
        <v>6</v>
      </c>
      <c r="F338" s="2" t="s">
        <v>1231</v>
      </c>
      <c r="G338">
        <f t="shared" si="25"/>
        <v>30</v>
      </c>
      <c r="H338" t="str">
        <f t="shared" si="26"/>
        <v>No</v>
      </c>
      <c r="I338" t="str">
        <f t="shared" si="27"/>
        <v>Oct</v>
      </c>
      <c r="J338" s="11">
        <f t="shared" si="28"/>
        <v>0.11458333333333331</v>
      </c>
      <c r="K338" t="str">
        <f t="shared" si="29"/>
        <v>weekend</v>
      </c>
    </row>
    <row r="339" spans="1:11" x14ac:dyDescent="0.4">
      <c r="A339" s="2" t="s">
        <v>884</v>
      </c>
      <c r="B339" s="3">
        <v>45334</v>
      </c>
      <c r="C339" s="2" t="s">
        <v>1251</v>
      </c>
      <c r="D339" s="2" t="s">
        <v>1263</v>
      </c>
      <c r="E339" s="2">
        <v>9</v>
      </c>
      <c r="F339" s="2" t="s">
        <v>1231</v>
      </c>
      <c r="G339">
        <f t="shared" si="25"/>
        <v>30</v>
      </c>
      <c r="H339" t="str">
        <f t="shared" si="26"/>
        <v>No</v>
      </c>
      <c r="I339" t="str">
        <f t="shared" si="27"/>
        <v>Feb</v>
      </c>
      <c r="J339" s="11">
        <f t="shared" si="28"/>
        <v>4.166666666666663E-2</v>
      </c>
      <c r="K339" t="str">
        <f t="shared" si="29"/>
        <v>weekday</v>
      </c>
    </row>
    <row r="340" spans="1:11" x14ac:dyDescent="0.4">
      <c r="A340" s="2" t="s">
        <v>884</v>
      </c>
      <c r="B340" s="3">
        <v>45549</v>
      </c>
      <c r="C340" s="2" t="s">
        <v>1238</v>
      </c>
      <c r="D340" s="2" t="s">
        <v>1246</v>
      </c>
      <c r="E340" s="2">
        <v>6</v>
      </c>
      <c r="F340" s="2" t="s">
        <v>1231</v>
      </c>
      <c r="G340">
        <f t="shared" si="25"/>
        <v>30</v>
      </c>
      <c r="H340" t="str">
        <f t="shared" si="26"/>
        <v>No</v>
      </c>
      <c r="I340" t="str">
        <f t="shared" si="27"/>
        <v>Sep</v>
      </c>
      <c r="J340" s="11">
        <f t="shared" si="28"/>
        <v>0.22916666666666669</v>
      </c>
      <c r="K340" t="str">
        <f t="shared" si="29"/>
        <v>weekend</v>
      </c>
    </row>
    <row r="341" spans="1:11" x14ac:dyDescent="0.4">
      <c r="A341" s="2" t="s">
        <v>884</v>
      </c>
      <c r="B341" s="3">
        <v>45650</v>
      </c>
      <c r="C341" s="2" t="s">
        <v>1268</v>
      </c>
      <c r="D341" s="2" t="s">
        <v>1268</v>
      </c>
      <c r="E341" s="2">
        <v>9</v>
      </c>
      <c r="F341" s="2" t="s">
        <v>1234</v>
      </c>
      <c r="G341">
        <f t="shared" si="25"/>
        <v>30</v>
      </c>
      <c r="H341" t="str">
        <f t="shared" si="26"/>
        <v>No</v>
      </c>
      <c r="I341" t="str">
        <f t="shared" si="27"/>
        <v>Dec</v>
      </c>
      <c r="J341" s="11">
        <f t="shared" si="28"/>
        <v>0</v>
      </c>
      <c r="K341" t="str">
        <f t="shared" si="29"/>
        <v>weekday</v>
      </c>
    </row>
    <row r="342" spans="1:11" x14ac:dyDescent="0.4">
      <c r="A342" s="2" t="s">
        <v>892</v>
      </c>
      <c r="B342" s="3">
        <v>45602</v>
      </c>
      <c r="C342" s="2" t="s">
        <v>1252</v>
      </c>
      <c r="D342" s="2" t="s">
        <v>1240</v>
      </c>
      <c r="E342" s="2">
        <v>9</v>
      </c>
      <c r="F342" s="2" t="s">
        <v>1234</v>
      </c>
      <c r="G342">
        <f t="shared" si="25"/>
        <v>9</v>
      </c>
      <c r="H342" t="str">
        <f t="shared" si="26"/>
        <v>No</v>
      </c>
      <c r="I342" t="str">
        <f t="shared" si="27"/>
        <v>Nov</v>
      </c>
      <c r="J342" s="11">
        <f t="shared" si="28"/>
        <v>0.10416666666666669</v>
      </c>
      <c r="K342" t="str">
        <f t="shared" si="29"/>
        <v>weekday</v>
      </c>
    </row>
    <row r="343" spans="1:11" x14ac:dyDescent="0.4">
      <c r="A343" s="2" t="s">
        <v>894</v>
      </c>
      <c r="B343" s="3">
        <v>45334</v>
      </c>
      <c r="C343" s="2" t="s">
        <v>1241</v>
      </c>
      <c r="D343" s="2" t="s">
        <v>1269</v>
      </c>
      <c r="E343" s="2">
        <v>8</v>
      </c>
      <c r="F343" s="2" t="s">
        <v>1234</v>
      </c>
      <c r="G343">
        <f t="shared" si="25"/>
        <v>15</v>
      </c>
      <c r="H343" t="str">
        <f t="shared" si="26"/>
        <v>No</v>
      </c>
      <c r="I343" t="str">
        <f t="shared" si="27"/>
        <v>Feb</v>
      </c>
      <c r="J343" s="11">
        <f t="shared" si="28"/>
        <v>8.3333333333333315E-2</v>
      </c>
      <c r="K343" t="str">
        <f t="shared" si="29"/>
        <v>weekday</v>
      </c>
    </row>
    <row r="344" spans="1:11" x14ac:dyDescent="0.4">
      <c r="A344" s="2" t="s">
        <v>894</v>
      </c>
      <c r="B344" s="3">
        <v>45469</v>
      </c>
      <c r="C344" s="2" t="s">
        <v>1247</v>
      </c>
      <c r="D344" s="2" t="s">
        <v>1270</v>
      </c>
      <c r="E344" s="2">
        <v>7</v>
      </c>
      <c r="F344" s="2" t="s">
        <v>1234</v>
      </c>
      <c r="G344">
        <f t="shared" si="25"/>
        <v>15</v>
      </c>
      <c r="H344" t="str">
        <f t="shared" si="26"/>
        <v>No</v>
      </c>
      <c r="I344" t="str">
        <f t="shared" si="27"/>
        <v>Jun</v>
      </c>
      <c r="J344" s="11">
        <f t="shared" si="28"/>
        <v>0.14583333333333337</v>
      </c>
      <c r="K344" t="str">
        <f t="shared" si="29"/>
        <v>weekday</v>
      </c>
    </row>
    <row r="345" spans="1:11" x14ac:dyDescent="0.4">
      <c r="A345" s="2" t="s">
        <v>896</v>
      </c>
      <c r="B345" s="3">
        <v>45304</v>
      </c>
      <c r="C345" s="2" t="s">
        <v>1248</v>
      </c>
      <c r="D345" s="2" t="s">
        <v>1262</v>
      </c>
      <c r="E345" s="2">
        <v>7</v>
      </c>
      <c r="F345" s="2" t="s">
        <v>1234</v>
      </c>
      <c r="G345">
        <f t="shared" si="25"/>
        <v>16</v>
      </c>
      <c r="H345" t="str">
        <f t="shared" si="26"/>
        <v>No</v>
      </c>
      <c r="I345" t="str">
        <f t="shared" si="27"/>
        <v>Jan</v>
      </c>
      <c r="J345" s="11">
        <f t="shared" si="28"/>
        <v>3.125E-2</v>
      </c>
      <c r="K345" t="str">
        <f t="shared" si="29"/>
        <v>weekend</v>
      </c>
    </row>
    <row r="346" spans="1:11" x14ac:dyDescent="0.4">
      <c r="A346" s="2" t="s">
        <v>896</v>
      </c>
      <c r="B346" s="3">
        <v>45387</v>
      </c>
      <c r="C346" s="2" t="s">
        <v>1238</v>
      </c>
      <c r="D346" s="2" t="s">
        <v>1271</v>
      </c>
      <c r="E346" s="2">
        <v>9</v>
      </c>
      <c r="F346" s="2" t="s">
        <v>1234</v>
      </c>
      <c r="G346">
        <f t="shared" si="25"/>
        <v>16</v>
      </c>
      <c r="H346" t="str">
        <f t="shared" si="26"/>
        <v>No</v>
      </c>
      <c r="I346" t="str">
        <f t="shared" si="27"/>
        <v>Apr</v>
      </c>
      <c r="J346" s="11">
        <f t="shared" si="28"/>
        <v>0.20833333333333337</v>
      </c>
      <c r="K346" t="str">
        <f t="shared" si="29"/>
        <v>weekday</v>
      </c>
    </row>
    <row r="347" spans="1:11" x14ac:dyDescent="0.4">
      <c r="A347" s="2" t="s">
        <v>898</v>
      </c>
      <c r="B347" s="3">
        <v>45325</v>
      </c>
      <c r="C347" s="2" t="s">
        <v>1262</v>
      </c>
      <c r="D347" s="2" t="s">
        <v>1254</v>
      </c>
      <c r="E347" s="2">
        <v>10</v>
      </c>
      <c r="F347" s="2" t="s">
        <v>1231</v>
      </c>
      <c r="G347">
        <f t="shared" si="25"/>
        <v>10</v>
      </c>
      <c r="H347" t="str">
        <f t="shared" si="26"/>
        <v>No</v>
      </c>
      <c r="I347" t="str">
        <f t="shared" si="27"/>
        <v>Feb</v>
      </c>
      <c r="J347" s="11">
        <f t="shared" si="28"/>
        <v>0.29166666666666669</v>
      </c>
      <c r="K347" t="str">
        <f t="shared" si="29"/>
        <v>weekend</v>
      </c>
    </row>
    <row r="348" spans="1:11" x14ac:dyDescent="0.4">
      <c r="A348" s="2" t="s">
        <v>906</v>
      </c>
      <c r="B348" s="3">
        <v>45626</v>
      </c>
      <c r="C348" s="2" t="s">
        <v>1268</v>
      </c>
      <c r="D348" s="2" t="s">
        <v>1251</v>
      </c>
      <c r="E348" s="2">
        <v>6</v>
      </c>
      <c r="F348" s="2" t="s">
        <v>1234</v>
      </c>
      <c r="G348">
        <f t="shared" si="25"/>
        <v>16</v>
      </c>
      <c r="H348" t="str">
        <f t="shared" si="26"/>
        <v>No</v>
      </c>
      <c r="I348" t="str">
        <f t="shared" si="27"/>
        <v>Nov</v>
      </c>
      <c r="J348" s="11">
        <f t="shared" si="28"/>
        <v>0.27083333333333331</v>
      </c>
      <c r="K348" t="str">
        <f t="shared" si="29"/>
        <v>weekend</v>
      </c>
    </row>
    <row r="349" spans="1:11" x14ac:dyDescent="0.4">
      <c r="A349" s="2" t="s">
        <v>906</v>
      </c>
      <c r="B349" s="3">
        <v>45421</v>
      </c>
      <c r="C349" s="2" t="s">
        <v>1260</v>
      </c>
      <c r="D349" s="2" t="s">
        <v>1271</v>
      </c>
      <c r="E349" s="2">
        <v>10</v>
      </c>
      <c r="F349" s="2" t="s">
        <v>1231</v>
      </c>
      <c r="G349">
        <f t="shared" si="25"/>
        <v>16</v>
      </c>
      <c r="H349" t="str">
        <f t="shared" si="26"/>
        <v>No</v>
      </c>
      <c r="I349" t="str">
        <f t="shared" si="27"/>
        <v>May</v>
      </c>
      <c r="J349" s="11">
        <f t="shared" si="28"/>
        <v>0.26041666666666663</v>
      </c>
      <c r="K349" t="str">
        <f t="shared" si="29"/>
        <v>weekday</v>
      </c>
    </row>
    <row r="350" spans="1:11" x14ac:dyDescent="0.4">
      <c r="A350" s="2" t="s">
        <v>908</v>
      </c>
      <c r="B350" s="3">
        <v>45473</v>
      </c>
      <c r="C350" s="2" t="s">
        <v>1243</v>
      </c>
      <c r="D350" s="2" t="s">
        <v>1270</v>
      </c>
      <c r="E350" s="2">
        <v>8</v>
      </c>
      <c r="F350" s="2" t="s">
        <v>1234</v>
      </c>
      <c r="G350">
        <f t="shared" si="25"/>
        <v>8</v>
      </c>
      <c r="H350" t="str">
        <f t="shared" si="26"/>
        <v>No</v>
      </c>
      <c r="I350" t="str">
        <f t="shared" si="27"/>
        <v>Jun</v>
      </c>
      <c r="J350" s="11">
        <f t="shared" si="28"/>
        <v>3.125E-2</v>
      </c>
      <c r="K350" t="str">
        <f t="shared" si="29"/>
        <v>weekend</v>
      </c>
    </row>
    <row r="351" spans="1:11" x14ac:dyDescent="0.4">
      <c r="A351" s="2" t="s">
        <v>910</v>
      </c>
      <c r="B351" s="3">
        <v>45503</v>
      </c>
      <c r="C351" s="2" t="s">
        <v>1251</v>
      </c>
      <c r="D351" s="2" t="s">
        <v>1232</v>
      </c>
      <c r="E351" s="2">
        <v>9</v>
      </c>
      <c r="F351" s="2" t="s">
        <v>1231</v>
      </c>
      <c r="G351">
        <f t="shared" si="25"/>
        <v>23</v>
      </c>
      <c r="H351" t="str">
        <f t="shared" si="26"/>
        <v>No</v>
      </c>
      <c r="I351" t="str">
        <f t="shared" si="27"/>
        <v>Jul</v>
      </c>
      <c r="J351" s="11">
        <f t="shared" si="28"/>
        <v>8.333333333333337E-2</v>
      </c>
      <c r="K351" t="str">
        <f t="shared" si="29"/>
        <v>weekday</v>
      </c>
    </row>
    <row r="352" spans="1:11" x14ac:dyDescent="0.4">
      <c r="A352" s="2" t="s">
        <v>910</v>
      </c>
      <c r="B352" s="3">
        <v>45624</v>
      </c>
      <c r="C352" s="2" t="s">
        <v>1265</v>
      </c>
      <c r="D352" s="2" t="s">
        <v>1233</v>
      </c>
      <c r="E352" s="2">
        <v>8</v>
      </c>
      <c r="F352" s="2" t="s">
        <v>1231</v>
      </c>
      <c r="G352">
        <f t="shared" si="25"/>
        <v>23</v>
      </c>
      <c r="H352" t="str">
        <f t="shared" si="26"/>
        <v>No</v>
      </c>
      <c r="I352" t="str">
        <f t="shared" si="27"/>
        <v>Nov</v>
      </c>
      <c r="J352" s="11">
        <f t="shared" si="28"/>
        <v>4.166666666666663E-2</v>
      </c>
      <c r="K352" t="str">
        <f t="shared" si="29"/>
        <v>weekday</v>
      </c>
    </row>
    <row r="353" spans="1:11" x14ac:dyDescent="0.4">
      <c r="A353" s="2" t="s">
        <v>910</v>
      </c>
      <c r="B353" s="3">
        <v>45577</v>
      </c>
      <c r="C353" s="2" t="s">
        <v>1245</v>
      </c>
      <c r="D353" s="2" t="s">
        <v>1268</v>
      </c>
      <c r="E353" s="2">
        <v>6</v>
      </c>
      <c r="F353" s="2" t="s">
        <v>1234</v>
      </c>
      <c r="G353">
        <f t="shared" si="25"/>
        <v>23</v>
      </c>
      <c r="H353" t="str">
        <f t="shared" si="26"/>
        <v>No</v>
      </c>
      <c r="I353" t="str">
        <f t="shared" si="27"/>
        <v>Oct</v>
      </c>
      <c r="J353" s="11">
        <f t="shared" si="28"/>
        <v>9.375E-2</v>
      </c>
      <c r="K353" t="str">
        <f t="shared" si="29"/>
        <v>weekend</v>
      </c>
    </row>
    <row r="354" spans="1:11" x14ac:dyDescent="0.4">
      <c r="A354" s="2" t="s">
        <v>918</v>
      </c>
      <c r="B354" s="3">
        <v>45512</v>
      </c>
      <c r="C354" s="2" t="s">
        <v>1233</v>
      </c>
      <c r="D354" s="2" t="s">
        <v>1254</v>
      </c>
      <c r="E354" s="2">
        <v>8</v>
      </c>
      <c r="F354" s="2" t="s">
        <v>1231</v>
      </c>
      <c r="G354">
        <f t="shared" si="25"/>
        <v>8</v>
      </c>
      <c r="H354" t="str">
        <f t="shared" si="26"/>
        <v>No</v>
      </c>
      <c r="I354" t="str">
        <f t="shared" si="27"/>
        <v>Aug</v>
      </c>
      <c r="J354" s="11">
        <f t="shared" si="28"/>
        <v>0.22916666666666669</v>
      </c>
      <c r="K354" t="str">
        <f t="shared" si="29"/>
        <v>weekday</v>
      </c>
    </row>
    <row r="355" spans="1:11" x14ac:dyDescent="0.4">
      <c r="A355" s="2" t="s">
        <v>922</v>
      </c>
      <c r="B355" s="3">
        <v>45363</v>
      </c>
      <c r="C355" s="2" t="s">
        <v>1257</v>
      </c>
      <c r="D355" s="2" t="s">
        <v>1250</v>
      </c>
      <c r="E355" s="2">
        <v>8</v>
      </c>
      <c r="F355" s="2" t="s">
        <v>1231</v>
      </c>
      <c r="G355">
        <f t="shared" si="25"/>
        <v>8</v>
      </c>
      <c r="H355" t="str">
        <f t="shared" si="26"/>
        <v>No</v>
      </c>
      <c r="I355" t="str">
        <f t="shared" si="27"/>
        <v>Mar</v>
      </c>
      <c r="J355" s="11">
        <f t="shared" si="28"/>
        <v>0.16666666666666669</v>
      </c>
      <c r="K355" t="str">
        <f t="shared" si="29"/>
        <v>weekday</v>
      </c>
    </row>
    <row r="356" spans="1:11" x14ac:dyDescent="0.4">
      <c r="A356" s="2" t="s">
        <v>926</v>
      </c>
      <c r="B356" s="3">
        <v>45589</v>
      </c>
      <c r="C356" s="2" t="s">
        <v>1272</v>
      </c>
      <c r="D356" s="2" t="s">
        <v>1246</v>
      </c>
      <c r="E356" s="2">
        <v>8</v>
      </c>
      <c r="F356" s="2" t="s">
        <v>1234</v>
      </c>
      <c r="G356">
        <f t="shared" si="25"/>
        <v>8</v>
      </c>
      <c r="H356" t="str">
        <f t="shared" si="26"/>
        <v>No</v>
      </c>
      <c r="I356" t="str">
        <f t="shared" si="27"/>
        <v>Oct</v>
      </c>
      <c r="J356" s="11">
        <f t="shared" si="28"/>
        <v>0.14583333333333331</v>
      </c>
      <c r="K356" t="str">
        <f t="shared" si="29"/>
        <v>weekday</v>
      </c>
    </row>
    <row r="357" spans="1:11" x14ac:dyDescent="0.4">
      <c r="A357" s="2" t="s">
        <v>928</v>
      </c>
      <c r="B357" s="3">
        <v>45415</v>
      </c>
      <c r="C357" s="2" t="s">
        <v>1255</v>
      </c>
      <c r="D357" s="2" t="s">
        <v>1273</v>
      </c>
      <c r="E357" s="2">
        <v>8</v>
      </c>
      <c r="F357" s="2" t="s">
        <v>1231</v>
      </c>
      <c r="G357">
        <f t="shared" si="25"/>
        <v>8</v>
      </c>
      <c r="H357" t="str">
        <f t="shared" si="26"/>
        <v>No</v>
      </c>
      <c r="I357" t="str">
        <f t="shared" si="27"/>
        <v>May</v>
      </c>
      <c r="J357" s="11">
        <f t="shared" si="28"/>
        <v>5.2083333333333259E-2</v>
      </c>
      <c r="K357" t="str">
        <f t="shared" si="29"/>
        <v>weekday</v>
      </c>
    </row>
    <row r="358" spans="1:11" x14ac:dyDescent="0.4">
      <c r="A358" s="2" t="s">
        <v>930</v>
      </c>
      <c r="B358" s="3">
        <v>45429</v>
      </c>
      <c r="C358" s="2" t="s">
        <v>1266</v>
      </c>
      <c r="D358" s="2" t="s">
        <v>1253</v>
      </c>
      <c r="E358" s="2">
        <v>6</v>
      </c>
      <c r="F358" s="2" t="s">
        <v>1231</v>
      </c>
      <c r="G358">
        <f t="shared" si="25"/>
        <v>13</v>
      </c>
      <c r="H358" t="str">
        <f t="shared" si="26"/>
        <v>No</v>
      </c>
      <c r="I358" t="str">
        <f t="shared" si="27"/>
        <v>May</v>
      </c>
      <c r="J358" s="11">
        <f t="shared" si="28"/>
        <v>0.12500000000000006</v>
      </c>
      <c r="K358" t="str">
        <f t="shared" si="29"/>
        <v>weekday</v>
      </c>
    </row>
    <row r="359" spans="1:11" x14ac:dyDescent="0.4">
      <c r="A359" s="2" t="s">
        <v>930</v>
      </c>
      <c r="B359" s="3">
        <v>45484</v>
      </c>
      <c r="C359" s="2" t="s">
        <v>1238</v>
      </c>
      <c r="D359" s="2" t="s">
        <v>1271</v>
      </c>
      <c r="E359" s="2">
        <v>7</v>
      </c>
      <c r="F359" s="2" t="s">
        <v>1234</v>
      </c>
      <c r="G359">
        <f t="shared" si="25"/>
        <v>13</v>
      </c>
      <c r="H359" t="str">
        <f t="shared" si="26"/>
        <v>No</v>
      </c>
      <c r="I359" t="str">
        <f t="shared" si="27"/>
        <v>Jul</v>
      </c>
      <c r="J359" s="11">
        <f t="shared" si="28"/>
        <v>0.20833333333333337</v>
      </c>
      <c r="K359" t="str">
        <f t="shared" si="29"/>
        <v>weekday</v>
      </c>
    </row>
    <row r="360" spans="1:11" x14ac:dyDescent="0.4">
      <c r="A360" s="2" t="s">
        <v>932</v>
      </c>
      <c r="B360" s="3">
        <v>45445</v>
      </c>
      <c r="C360" s="2" t="s">
        <v>1255</v>
      </c>
      <c r="D360" s="2" t="s">
        <v>1272</v>
      </c>
      <c r="E360" s="2">
        <v>8</v>
      </c>
      <c r="F360" s="2" t="s">
        <v>1231</v>
      </c>
      <c r="G360">
        <f t="shared" si="25"/>
        <v>28</v>
      </c>
      <c r="H360" t="str">
        <f t="shared" si="26"/>
        <v>No</v>
      </c>
      <c r="I360" t="str">
        <f t="shared" si="27"/>
        <v>Jun</v>
      </c>
      <c r="J360" s="11">
        <f t="shared" si="28"/>
        <v>1.041666666666663E-2</v>
      </c>
      <c r="K360" t="str">
        <f t="shared" si="29"/>
        <v>weekend</v>
      </c>
    </row>
    <row r="361" spans="1:11" x14ac:dyDescent="0.4">
      <c r="A361" s="2" t="s">
        <v>932</v>
      </c>
      <c r="B361" s="3">
        <v>45321</v>
      </c>
      <c r="C361" s="2" t="s">
        <v>1252</v>
      </c>
      <c r="D361" s="2" t="s">
        <v>1240</v>
      </c>
      <c r="E361" s="2">
        <v>6</v>
      </c>
      <c r="F361" s="2" t="s">
        <v>1231</v>
      </c>
      <c r="G361">
        <f t="shared" si="25"/>
        <v>28</v>
      </c>
      <c r="H361" t="str">
        <f t="shared" si="26"/>
        <v>No</v>
      </c>
      <c r="I361" t="str">
        <f t="shared" si="27"/>
        <v>Jan</v>
      </c>
      <c r="J361" s="11">
        <f t="shared" si="28"/>
        <v>0.10416666666666669</v>
      </c>
      <c r="K361" t="str">
        <f t="shared" si="29"/>
        <v>weekday</v>
      </c>
    </row>
    <row r="362" spans="1:11" x14ac:dyDescent="0.4">
      <c r="A362" s="2" t="s">
        <v>932</v>
      </c>
      <c r="B362" s="3">
        <v>45582</v>
      </c>
      <c r="C362" s="2" t="s">
        <v>1243</v>
      </c>
      <c r="D362" s="2" t="s">
        <v>1253</v>
      </c>
      <c r="E362" s="2">
        <v>8</v>
      </c>
      <c r="F362" s="2" t="s">
        <v>1234</v>
      </c>
      <c r="G362">
        <f t="shared" si="25"/>
        <v>28</v>
      </c>
      <c r="H362" t="str">
        <f t="shared" si="26"/>
        <v>No</v>
      </c>
      <c r="I362" t="str">
        <f t="shared" si="27"/>
        <v>Oct</v>
      </c>
      <c r="J362" s="11">
        <f t="shared" si="28"/>
        <v>8.3333333333333259E-2</v>
      </c>
      <c r="K362" t="str">
        <f t="shared" si="29"/>
        <v>weekday</v>
      </c>
    </row>
    <row r="363" spans="1:11" x14ac:dyDescent="0.4">
      <c r="A363" s="2" t="s">
        <v>932</v>
      </c>
      <c r="B363" s="3">
        <v>45364</v>
      </c>
      <c r="C363" s="2" t="s">
        <v>1264</v>
      </c>
      <c r="D363" s="2" t="s">
        <v>1274</v>
      </c>
      <c r="E363" s="2">
        <v>6</v>
      </c>
      <c r="F363" s="2" t="s">
        <v>1231</v>
      </c>
      <c r="G363">
        <f t="shared" si="25"/>
        <v>28</v>
      </c>
      <c r="H363" t="str">
        <f t="shared" si="26"/>
        <v>No</v>
      </c>
      <c r="I363" t="str">
        <f t="shared" si="27"/>
        <v>Mar</v>
      </c>
      <c r="J363" s="11">
        <f t="shared" si="28"/>
        <v>3.125E-2</v>
      </c>
      <c r="K363" t="str">
        <f t="shared" si="29"/>
        <v>weekday</v>
      </c>
    </row>
    <row r="364" spans="1:11" x14ac:dyDescent="0.4">
      <c r="A364" s="2" t="s">
        <v>934</v>
      </c>
      <c r="B364" s="3">
        <v>45319</v>
      </c>
      <c r="C364" s="2" t="s">
        <v>1257</v>
      </c>
      <c r="D364" s="2" t="s">
        <v>1263</v>
      </c>
      <c r="E364" s="2">
        <v>6</v>
      </c>
      <c r="F364" s="2" t="s">
        <v>1234</v>
      </c>
      <c r="G364">
        <f t="shared" si="25"/>
        <v>6</v>
      </c>
      <c r="H364" t="str">
        <f t="shared" si="26"/>
        <v>No</v>
      </c>
      <c r="I364" t="str">
        <f t="shared" si="27"/>
        <v>Jan</v>
      </c>
      <c r="J364" s="11">
        <f t="shared" si="28"/>
        <v>8.333333333333337E-2</v>
      </c>
      <c r="K364" t="str">
        <f t="shared" si="29"/>
        <v>weekend</v>
      </c>
    </row>
    <row r="365" spans="1:11" x14ac:dyDescent="0.4">
      <c r="A365" s="2" t="s">
        <v>936</v>
      </c>
      <c r="B365" s="3">
        <v>45322</v>
      </c>
      <c r="C365" s="2" t="s">
        <v>1250</v>
      </c>
      <c r="D365" s="2" t="s">
        <v>1248</v>
      </c>
      <c r="E365" s="2">
        <v>6</v>
      </c>
      <c r="F365" s="2" t="s">
        <v>1234</v>
      </c>
      <c r="G365">
        <f t="shared" si="25"/>
        <v>6</v>
      </c>
      <c r="H365" t="str">
        <f t="shared" si="26"/>
        <v>No</v>
      </c>
      <c r="I365" t="str">
        <f t="shared" si="27"/>
        <v>Jan</v>
      </c>
      <c r="J365" s="11">
        <f t="shared" si="28"/>
        <v>0.40625000000000006</v>
      </c>
      <c r="K365" t="str">
        <f t="shared" si="29"/>
        <v>weekday</v>
      </c>
    </row>
    <row r="366" spans="1:11" x14ac:dyDescent="0.4">
      <c r="A366" s="2" t="s">
        <v>942</v>
      </c>
      <c r="B366" s="3">
        <v>45566</v>
      </c>
      <c r="C366" s="2" t="s">
        <v>1263</v>
      </c>
      <c r="D366" s="2" t="s">
        <v>1269</v>
      </c>
      <c r="E366" s="2">
        <v>7</v>
      </c>
      <c r="F366" s="2" t="s">
        <v>1234</v>
      </c>
      <c r="G366">
        <f t="shared" si="25"/>
        <v>17</v>
      </c>
      <c r="H366" t="str">
        <f t="shared" si="26"/>
        <v>No</v>
      </c>
      <c r="I366" t="str">
        <f t="shared" si="27"/>
        <v>Oct</v>
      </c>
      <c r="J366" s="11">
        <f t="shared" si="28"/>
        <v>0.10416666666666674</v>
      </c>
      <c r="K366" t="str">
        <f t="shared" si="29"/>
        <v>weekday</v>
      </c>
    </row>
    <row r="367" spans="1:11" x14ac:dyDescent="0.4">
      <c r="A367" s="2" t="s">
        <v>942</v>
      </c>
      <c r="B367" s="3">
        <v>45527</v>
      </c>
      <c r="C367" s="2" t="s">
        <v>1262</v>
      </c>
      <c r="D367" s="2" t="s">
        <v>1264</v>
      </c>
      <c r="E367" s="2">
        <v>10</v>
      </c>
      <c r="F367" s="2" t="s">
        <v>1234</v>
      </c>
      <c r="G367">
        <f t="shared" si="25"/>
        <v>17</v>
      </c>
      <c r="H367" t="str">
        <f t="shared" si="26"/>
        <v>No</v>
      </c>
      <c r="I367" t="str">
        <f t="shared" si="27"/>
        <v>Aug</v>
      </c>
      <c r="J367" s="11">
        <f t="shared" si="28"/>
        <v>0.33333333333333337</v>
      </c>
      <c r="K367" t="str">
        <f t="shared" si="29"/>
        <v>weekday</v>
      </c>
    </row>
    <row r="368" spans="1:11" x14ac:dyDescent="0.4">
      <c r="A368" s="2" t="s">
        <v>946</v>
      </c>
      <c r="B368" s="3">
        <v>45492</v>
      </c>
      <c r="C368" s="2" t="s">
        <v>1236</v>
      </c>
      <c r="D368" s="2" t="s">
        <v>1274</v>
      </c>
      <c r="E368" s="2">
        <v>8</v>
      </c>
      <c r="F368" s="2" t="s">
        <v>1231</v>
      </c>
      <c r="G368">
        <f t="shared" si="25"/>
        <v>18</v>
      </c>
      <c r="H368" t="str">
        <f t="shared" si="26"/>
        <v>No</v>
      </c>
      <c r="I368" t="str">
        <f t="shared" si="27"/>
        <v>Jul</v>
      </c>
      <c r="J368" s="11">
        <f t="shared" si="28"/>
        <v>0.16666666666666663</v>
      </c>
      <c r="K368" t="str">
        <f t="shared" si="29"/>
        <v>weekday</v>
      </c>
    </row>
    <row r="369" spans="1:11" x14ac:dyDescent="0.4">
      <c r="A369" s="2" t="s">
        <v>946</v>
      </c>
      <c r="B369" s="3">
        <v>45633</v>
      </c>
      <c r="C369" s="2" t="s">
        <v>1243</v>
      </c>
      <c r="D369" s="2" t="s">
        <v>1252</v>
      </c>
      <c r="E369" s="2">
        <v>10</v>
      </c>
      <c r="F369" s="2" t="s">
        <v>1231</v>
      </c>
      <c r="G369">
        <f t="shared" si="25"/>
        <v>18</v>
      </c>
      <c r="H369" t="str">
        <f t="shared" si="26"/>
        <v>No</v>
      </c>
      <c r="I369" t="str">
        <f t="shared" si="27"/>
        <v>Dec</v>
      </c>
      <c r="J369" s="11">
        <f t="shared" si="28"/>
        <v>0.17708333333333331</v>
      </c>
      <c r="K369" t="str">
        <f t="shared" si="29"/>
        <v>weekend</v>
      </c>
    </row>
    <row r="370" spans="1:11" x14ac:dyDescent="0.4">
      <c r="A370" s="2" t="s">
        <v>948</v>
      </c>
      <c r="B370" s="3">
        <v>45435</v>
      </c>
      <c r="C370" s="2" t="s">
        <v>1235</v>
      </c>
      <c r="D370" s="2" t="s">
        <v>1246</v>
      </c>
      <c r="E370" s="2">
        <v>10</v>
      </c>
      <c r="F370" s="2" t="s">
        <v>1231</v>
      </c>
      <c r="G370">
        <f t="shared" si="25"/>
        <v>18</v>
      </c>
      <c r="H370" t="str">
        <f t="shared" si="26"/>
        <v>No</v>
      </c>
      <c r="I370" t="str">
        <f t="shared" si="27"/>
        <v>May</v>
      </c>
      <c r="J370" s="11">
        <f t="shared" si="28"/>
        <v>0.33333333333333331</v>
      </c>
      <c r="K370" t="str">
        <f t="shared" si="29"/>
        <v>weekday</v>
      </c>
    </row>
    <row r="371" spans="1:11" x14ac:dyDescent="0.4">
      <c r="A371" s="2" t="s">
        <v>948</v>
      </c>
      <c r="B371" s="3">
        <v>45458</v>
      </c>
      <c r="C371" s="2" t="s">
        <v>1263</v>
      </c>
      <c r="D371" s="2" t="s">
        <v>1246</v>
      </c>
      <c r="E371" s="2">
        <v>8</v>
      </c>
      <c r="F371" s="2" t="s">
        <v>1231</v>
      </c>
      <c r="G371">
        <f t="shared" si="25"/>
        <v>18</v>
      </c>
      <c r="H371" t="str">
        <f t="shared" si="26"/>
        <v>No</v>
      </c>
      <c r="I371" t="str">
        <f t="shared" si="27"/>
        <v>Jun</v>
      </c>
      <c r="J371" s="11">
        <f t="shared" si="28"/>
        <v>0.19791666666666669</v>
      </c>
      <c r="K371" t="str">
        <f t="shared" si="29"/>
        <v>weekend</v>
      </c>
    </row>
    <row r="372" spans="1:11" x14ac:dyDescent="0.4">
      <c r="A372" s="2" t="s">
        <v>950</v>
      </c>
      <c r="B372" s="3">
        <v>45598</v>
      </c>
      <c r="C372" s="2" t="s">
        <v>1261</v>
      </c>
      <c r="D372" s="2" t="s">
        <v>1262</v>
      </c>
      <c r="E372" s="2">
        <v>9</v>
      </c>
      <c r="F372" s="2" t="s">
        <v>1234</v>
      </c>
      <c r="G372">
        <f t="shared" si="25"/>
        <v>16</v>
      </c>
      <c r="H372" t="str">
        <f t="shared" si="26"/>
        <v>No</v>
      </c>
      <c r="I372" t="str">
        <f t="shared" si="27"/>
        <v>Nov</v>
      </c>
      <c r="J372" s="11">
        <f t="shared" si="28"/>
        <v>1.0416666666666741E-2</v>
      </c>
      <c r="K372" t="str">
        <f t="shared" si="29"/>
        <v>weekend</v>
      </c>
    </row>
    <row r="373" spans="1:11" x14ac:dyDescent="0.4">
      <c r="A373" s="2" t="s">
        <v>950</v>
      </c>
      <c r="B373" s="3">
        <v>45614</v>
      </c>
      <c r="C373" s="2" t="s">
        <v>1263</v>
      </c>
      <c r="D373" s="2" t="s">
        <v>1245</v>
      </c>
      <c r="E373" s="2">
        <v>7</v>
      </c>
      <c r="F373" s="2" t="s">
        <v>1231</v>
      </c>
      <c r="G373">
        <f t="shared" si="25"/>
        <v>16</v>
      </c>
      <c r="H373" t="str">
        <f t="shared" si="26"/>
        <v>No</v>
      </c>
      <c r="I373" t="str">
        <f t="shared" si="27"/>
        <v>Nov</v>
      </c>
      <c r="J373" s="11">
        <f t="shared" si="28"/>
        <v>0.13541666666666669</v>
      </c>
      <c r="K373" t="str">
        <f t="shared" si="29"/>
        <v>weekday</v>
      </c>
    </row>
    <row r="374" spans="1:11" x14ac:dyDescent="0.4">
      <c r="A374" s="2" t="s">
        <v>952</v>
      </c>
      <c r="B374" s="3">
        <v>45371</v>
      </c>
      <c r="C374" s="2" t="s">
        <v>1255</v>
      </c>
      <c r="D374" s="2" t="s">
        <v>1261</v>
      </c>
      <c r="E374" s="2">
        <v>6</v>
      </c>
      <c r="F374" s="2" t="s">
        <v>1231</v>
      </c>
      <c r="G374">
        <f t="shared" si="25"/>
        <v>16</v>
      </c>
      <c r="H374" t="str">
        <f t="shared" si="26"/>
        <v>No</v>
      </c>
      <c r="I374" t="str">
        <f t="shared" si="27"/>
        <v>Mar</v>
      </c>
      <c r="J374" s="11">
        <f t="shared" si="28"/>
        <v>0.17708333333333326</v>
      </c>
      <c r="K374" t="str">
        <f t="shared" si="29"/>
        <v>weekday</v>
      </c>
    </row>
    <row r="375" spans="1:11" x14ac:dyDescent="0.4">
      <c r="A375" s="2" t="s">
        <v>952</v>
      </c>
      <c r="B375" s="3">
        <v>45363</v>
      </c>
      <c r="C375" s="2" t="s">
        <v>1239</v>
      </c>
      <c r="D375" s="2" t="s">
        <v>1236</v>
      </c>
      <c r="E375" s="2">
        <v>10</v>
      </c>
      <c r="F375" s="2" t="s">
        <v>1234</v>
      </c>
      <c r="G375">
        <f t="shared" si="25"/>
        <v>16</v>
      </c>
      <c r="H375" t="str">
        <f t="shared" si="26"/>
        <v>No</v>
      </c>
      <c r="I375" t="str">
        <f t="shared" si="27"/>
        <v>Mar</v>
      </c>
      <c r="J375" s="11">
        <f t="shared" si="28"/>
        <v>7.291666666666663E-2</v>
      </c>
      <c r="K375" t="str">
        <f t="shared" si="29"/>
        <v>weekday</v>
      </c>
    </row>
    <row r="376" spans="1:11" x14ac:dyDescent="0.4">
      <c r="A376" s="2" t="s">
        <v>954</v>
      </c>
      <c r="B376" s="3">
        <v>45391</v>
      </c>
      <c r="C376" s="2" t="s">
        <v>1245</v>
      </c>
      <c r="D376" s="2" t="s">
        <v>1238</v>
      </c>
      <c r="E376" s="2">
        <v>6</v>
      </c>
      <c r="F376" s="2" t="s">
        <v>1234</v>
      </c>
      <c r="G376">
        <f t="shared" si="25"/>
        <v>22</v>
      </c>
      <c r="H376" t="str">
        <f t="shared" si="26"/>
        <v>No</v>
      </c>
      <c r="I376" t="str">
        <f t="shared" si="27"/>
        <v>Apr</v>
      </c>
      <c r="J376" s="11">
        <f t="shared" si="28"/>
        <v>0.16666666666666669</v>
      </c>
      <c r="K376" t="str">
        <f t="shared" si="29"/>
        <v>weekday</v>
      </c>
    </row>
    <row r="377" spans="1:11" x14ac:dyDescent="0.4">
      <c r="A377" s="2" t="s">
        <v>954</v>
      </c>
      <c r="B377" s="3">
        <v>45436</v>
      </c>
      <c r="C377" s="2" t="s">
        <v>1239</v>
      </c>
      <c r="D377" s="2" t="s">
        <v>1250</v>
      </c>
      <c r="E377" s="2">
        <v>9</v>
      </c>
      <c r="F377" s="2" t="s">
        <v>1234</v>
      </c>
      <c r="G377">
        <f t="shared" si="25"/>
        <v>22</v>
      </c>
      <c r="H377" t="str">
        <f t="shared" si="26"/>
        <v>No</v>
      </c>
      <c r="I377" t="str">
        <f t="shared" si="27"/>
        <v>May</v>
      </c>
      <c r="J377" s="11">
        <f t="shared" si="28"/>
        <v>0.10416666666666669</v>
      </c>
      <c r="K377" t="str">
        <f t="shared" si="29"/>
        <v>weekday</v>
      </c>
    </row>
    <row r="378" spans="1:11" x14ac:dyDescent="0.4">
      <c r="A378" s="2" t="s">
        <v>954</v>
      </c>
      <c r="B378" s="3">
        <v>45476</v>
      </c>
      <c r="C378" s="2" t="s">
        <v>1251</v>
      </c>
      <c r="D378" s="2" t="s">
        <v>1229</v>
      </c>
      <c r="E378" s="2">
        <v>7</v>
      </c>
      <c r="F378" s="2" t="s">
        <v>1231</v>
      </c>
      <c r="G378">
        <f t="shared" si="25"/>
        <v>22</v>
      </c>
      <c r="H378" t="str">
        <f t="shared" si="26"/>
        <v>No</v>
      </c>
      <c r="I378" t="str">
        <f t="shared" si="27"/>
        <v>Jul</v>
      </c>
      <c r="J378" s="11">
        <f t="shared" si="28"/>
        <v>0.3125</v>
      </c>
      <c r="K378" t="str">
        <f t="shared" si="29"/>
        <v>weekday</v>
      </c>
    </row>
    <row r="379" spans="1:11" x14ac:dyDescent="0.4">
      <c r="A379" s="2" t="s">
        <v>962</v>
      </c>
      <c r="B379" s="3">
        <v>45358</v>
      </c>
      <c r="C379" s="2" t="s">
        <v>1235</v>
      </c>
      <c r="D379" s="2" t="s">
        <v>1266</v>
      </c>
      <c r="E379" s="2">
        <v>7</v>
      </c>
      <c r="F379" s="2" t="s">
        <v>1234</v>
      </c>
      <c r="G379">
        <f t="shared" si="25"/>
        <v>7</v>
      </c>
      <c r="H379" t="str">
        <f t="shared" si="26"/>
        <v>No</v>
      </c>
      <c r="I379" t="str">
        <f t="shared" si="27"/>
        <v>Mar</v>
      </c>
      <c r="J379" s="11">
        <f t="shared" si="28"/>
        <v>0.29166666666666669</v>
      </c>
      <c r="K379" t="str">
        <f t="shared" si="29"/>
        <v>weekday</v>
      </c>
    </row>
    <row r="380" spans="1:11" x14ac:dyDescent="0.4">
      <c r="A380" s="2" t="s">
        <v>964</v>
      </c>
      <c r="B380" s="3">
        <v>45643</v>
      </c>
      <c r="C380" s="2" t="s">
        <v>1266</v>
      </c>
      <c r="D380" s="2" t="s">
        <v>1269</v>
      </c>
      <c r="E380" s="2">
        <v>8</v>
      </c>
      <c r="F380" s="2" t="s">
        <v>1231</v>
      </c>
      <c r="G380">
        <f t="shared" si="25"/>
        <v>16</v>
      </c>
      <c r="H380" t="str">
        <f t="shared" si="26"/>
        <v>No</v>
      </c>
      <c r="I380" t="str">
        <f t="shared" si="27"/>
        <v>Dec</v>
      </c>
      <c r="J380" s="11">
        <f t="shared" si="28"/>
        <v>5.2083333333333315E-2</v>
      </c>
      <c r="K380" t="str">
        <f t="shared" si="29"/>
        <v>weekday</v>
      </c>
    </row>
    <row r="381" spans="1:11" x14ac:dyDescent="0.4">
      <c r="A381" s="2" t="s">
        <v>964</v>
      </c>
      <c r="B381" s="3">
        <v>45653</v>
      </c>
      <c r="C381" s="2" t="s">
        <v>1245</v>
      </c>
      <c r="D381" s="2" t="s">
        <v>1268</v>
      </c>
      <c r="E381" s="2">
        <v>8</v>
      </c>
      <c r="F381" s="2" t="s">
        <v>1231</v>
      </c>
      <c r="G381">
        <f t="shared" si="25"/>
        <v>16</v>
      </c>
      <c r="H381" t="str">
        <f t="shared" si="26"/>
        <v>No</v>
      </c>
      <c r="I381" t="str">
        <f t="shared" si="27"/>
        <v>Dec</v>
      </c>
      <c r="J381" s="11">
        <f t="shared" si="28"/>
        <v>9.375E-2</v>
      </c>
      <c r="K381" t="str">
        <f t="shared" si="29"/>
        <v>weekday</v>
      </c>
    </row>
    <row r="382" spans="1:11" x14ac:dyDescent="0.4">
      <c r="A382" s="2" t="s">
        <v>966</v>
      </c>
      <c r="B382" s="3">
        <v>45532</v>
      </c>
      <c r="C382" s="2" t="s">
        <v>1229</v>
      </c>
      <c r="D382" s="2" t="s">
        <v>1270</v>
      </c>
      <c r="E382" s="2">
        <v>6</v>
      </c>
      <c r="F382" s="2" t="s">
        <v>1231</v>
      </c>
      <c r="G382">
        <f t="shared" si="25"/>
        <v>6</v>
      </c>
      <c r="H382" t="str">
        <f t="shared" si="26"/>
        <v>No</v>
      </c>
      <c r="I382" t="str">
        <f t="shared" si="27"/>
        <v>Aug</v>
      </c>
      <c r="J382" s="11">
        <f t="shared" si="28"/>
        <v>0.29166666666666663</v>
      </c>
      <c r="K382" t="str">
        <f t="shared" si="29"/>
        <v>weekday</v>
      </c>
    </row>
    <row r="383" spans="1:11" x14ac:dyDescent="0.4">
      <c r="A383" s="2" t="s">
        <v>968</v>
      </c>
      <c r="B383" s="3">
        <v>45544</v>
      </c>
      <c r="C383" s="2" t="s">
        <v>1263</v>
      </c>
      <c r="D383" s="2" t="s">
        <v>1237</v>
      </c>
      <c r="E383" s="2">
        <v>10</v>
      </c>
      <c r="F383" s="2" t="s">
        <v>1231</v>
      </c>
      <c r="G383">
        <f t="shared" si="25"/>
        <v>27</v>
      </c>
      <c r="H383" t="str">
        <f t="shared" si="26"/>
        <v>No</v>
      </c>
      <c r="I383" t="str">
        <f t="shared" si="27"/>
        <v>Sep</v>
      </c>
      <c r="J383" s="11">
        <f t="shared" si="28"/>
        <v>0.14583333333333326</v>
      </c>
      <c r="K383" t="str">
        <f t="shared" si="29"/>
        <v>weekday</v>
      </c>
    </row>
    <row r="384" spans="1:11" x14ac:dyDescent="0.4">
      <c r="A384" s="2" t="s">
        <v>968</v>
      </c>
      <c r="B384" s="3">
        <v>45454</v>
      </c>
      <c r="C384" s="2" t="s">
        <v>1260</v>
      </c>
      <c r="D384" s="2" t="s">
        <v>1243</v>
      </c>
      <c r="E384" s="2">
        <v>7</v>
      </c>
      <c r="F384" s="2" t="s">
        <v>1231</v>
      </c>
      <c r="G384">
        <f t="shared" si="25"/>
        <v>27</v>
      </c>
      <c r="H384" t="str">
        <f t="shared" si="26"/>
        <v>No</v>
      </c>
      <c r="I384" t="str">
        <f t="shared" si="27"/>
        <v>Jun</v>
      </c>
      <c r="J384" s="11">
        <f t="shared" si="28"/>
        <v>3.125E-2</v>
      </c>
      <c r="K384" t="str">
        <f t="shared" si="29"/>
        <v>weekday</v>
      </c>
    </row>
    <row r="385" spans="1:11" x14ac:dyDescent="0.4">
      <c r="A385" s="2" t="s">
        <v>968</v>
      </c>
      <c r="B385" s="3">
        <v>45381</v>
      </c>
      <c r="C385" s="2" t="s">
        <v>1242</v>
      </c>
      <c r="D385" s="2" t="s">
        <v>1238</v>
      </c>
      <c r="E385" s="2">
        <v>10</v>
      </c>
      <c r="F385" s="2" t="s">
        <v>1231</v>
      </c>
      <c r="G385">
        <f t="shared" si="25"/>
        <v>27</v>
      </c>
      <c r="H385" t="str">
        <f t="shared" si="26"/>
        <v>No</v>
      </c>
      <c r="I385" t="str">
        <f t="shared" si="27"/>
        <v>Mar</v>
      </c>
      <c r="J385" s="11">
        <f t="shared" si="28"/>
        <v>0.29166666666666669</v>
      </c>
      <c r="K385" t="str">
        <f t="shared" si="29"/>
        <v>weekend</v>
      </c>
    </row>
    <row r="386" spans="1:11" x14ac:dyDescent="0.4">
      <c r="A386" s="2" t="s">
        <v>972</v>
      </c>
      <c r="B386" s="3">
        <v>45522</v>
      </c>
      <c r="C386" s="2" t="s">
        <v>1229</v>
      </c>
      <c r="D386" s="2" t="s">
        <v>1252</v>
      </c>
      <c r="E386" s="2">
        <v>9</v>
      </c>
      <c r="F386" s="2" t="s">
        <v>1231</v>
      </c>
      <c r="G386">
        <f t="shared" si="25"/>
        <v>9</v>
      </c>
      <c r="H386" t="str">
        <f t="shared" si="26"/>
        <v>No</v>
      </c>
      <c r="I386" t="str">
        <f t="shared" si="27"/>
        <v>Aug</v>
      </c>
      <c r="J386" s="11">
        <f t="shared" si="28"/>
        <v>0.14583333333333331</v>
      </c>
      <c r="K386" t="str">
        <f t="shared" si="29"/>
        <v>weekend</v>
      </c>
    </row>
    <row r="387" spans="1:11" x14ac:dyDescent="0.4">
      <c r="A387" s="2" t="s">
        <v>976</v>
      </c>
      <c r="B387" s="3">
        <v>45577</v>
      </c>
      <c r="C387" s="2" t="s">
        <v>1263</v>
      </c>
      <c r="D387" s="2" t="s">
        <v>1256</v>
      </c>
      <c r="E387" s="2">
        <v>9</v>
      </c>
      <c r="F387" s="2" t="s">
        <v>1231</v>
      </c>
      <c r="G387">
        <f t="shared" ref="G387:G450" si="30">SUMIFS($E$2:$E$501,$A$2:$A$501,A387)</f>
        <v>22</v>
      </c>
      <c r="H387" t="str">
        <f t="shared" ref="H387:H450" si="31">IF(COUNTIFS($A$2:$A$501,A387,$F$2:$F$501,"Yes")&gt;5,"Late","No")</f>
        <v>No</v>
      </c>
      <c r="I387" t="str">
        <f t="shared" ref="I387:I450" si="32">TEXT(B387,"mmm")</f>
        <v>Oct</v>
      </c>
      <c r="J387" s="11">
        <f t="shared" ref="J387:J450" si="33">ABS(TIMEVALUE(D387)-TIMEVALUE(C387))</f>
        <v>7.291666666666663E-2</v>
      </c>
      <c r="K387" t="str">
        <f t="shared" ref="K387:K450" si="34">IF(OR(TEXT(B387,"ddd")="Sat",TEXT(B387,"ddd")="Sun"),"weekend","weekday")</f>
        <v>weekend</v>
      </c>
    </row>
    <row r="388" spans="1:11" x14ac:dyDescent="0.4">
      <c r="A388" s="2" t="s">
        <v>976</v>
      </c>
      <c r="B388" s="3">
        <v>45443</v>
      </c>
      <c r="C388" s="2" t="s">
        <v>1235</v>
      </c>
      <c r="D388" s="2" t="s">
        <v>1245</v>
      </c>
      <c r="E388" s="2">
        <v>7</v>
      </c>
      <c r="F388" s="2" t="s">
        <v>1231</v>
      </c>
      <c r="G388">
        <f t="shared" si="30"/>
        <v>22</v>
      </c>
      <c r="H388" t="str">
        <f t="shared" si="31"/>
        <v>No</v>
      </c>
      <c r="I388" t="str">
        <f t="shared" si="32"/>
        <v>May</v>
      </c>
      <c r="J388" s="11">
        <f t="shared" si="33"/>
        <v>0.27083333333333331</v>
      </c>
      <c r="K388" t="str">
        <f t="shared" si="34"/>
        <v>weekday</v>
      </c>
    </row>
    <row r="389" spans="1:11" x14ac:dyDescent="0.4">
      <c r="A389" s="2" t="s">
        <v>976</v>
      </c>
      <c r="B389" s="3">
        <v>45345</v>
      </c>
      <c r="C389" s="2" t="s">
        <v>1229</v>
      </c>
      <c r="D389" s="2" t="s">
        <v>1271</v>
      </c>
      <c r="E389" s="2">
        <v>6</v>
      </c>
      <c r="F389" s="2" t="s">
        <v>1231</v>
      </c>
      <c r="G389">
        <f t="shared" si="30"/>
        <v>22</v>
      </c>
      <c r="H389" t="str">
        <f t="shared" si="31"/>
        <v>No</v>
      </c>
      <c r="I389" t="str">
        <f t="shared" si="32"/>
        <v>Feb</v>
      </c>
      <c r="J389" s="11">
        <f t="shared" si="33"/>
        <v>9.375E-2</v>
      </c>
      <c r="K389" t="str">
        <f t="shared" si="34"/>
        <v>weekday</v>
      </c>
    </row>
    <row r="390" spans="1:11" x14ac:dyDescent="0.4">
      <c r="A390" s="2" t="s">
        <v>978</v>
      </c>
      <c r="B390" s="3">
        <v>45514</v>
      </c>
      <c r="C390" s="2" t="s">
        <v>1256</v>
      </c>
      <c r="D390" s="2" t="s">
        <v>1236</v>
      </c>
      <c r="E390" s="2">
        <v>10</v>
      </c>
      <c r="F390" s="2" t="s">
        <v>1234</v>
      </c>
      <c r="G390">
        <f t="shared" si="30"/>
        <v>10</v>
      </c>
      <c r="H390" t="str">
        <f t="shared" si="31"/>
        <v>No</v>
      </c>
      <c r="I390" t="str">
        <f t="shared" si="32"/>
        <v>Aug</v>
      </c>
      <c r="J390" s="11">
        <f t="shared" si="33"/>
        <v>0.14583333333333337</v>
      </c>
      <c r="K390" t="str">
        <f t="shared" si="34"/>
        <v>weekend</v>
      </c>
    </row>
    <row r="391" spans="1:11" x14ac:dyDescent="0.4">
      <c r="A391" s="2" t="s">
        <v>980</v>
      </c>
      <c r="B391" s="3">
        <v>45607</v>
      </c>
      <c r="C391" s="2" t="s">
        <v>1233</v>
      </c>
      <c r="D391" s="2" t="s">
        <v>1246</v>
      </c>
      <c r="E391" s="2">
        <v>10</v>
      </c>
      <c r="F391" s="2" t="s">
        <v>1234</v>
      </c>
      <c r="G391">
        <f t="shared" si="30"/>
        <v>10</v>
      </c>
      <c r="H391" t="str">
        <f t="shared" si="31"/>
        <v>No</v>
      </c>
      <c r="I391" t="str">
        <f t="shared" si="32"/>
        <v>Nov</v>
      </c>
      <c r="J391" s="11">
        <f t="shared" si="33"/>
        <v>0.26041666666666669</v>
      </c>
      <c r="K391" t="str">
        <f t="shared" si="34"/>
        <v>weekday</v>
      </c>
    </row>
    <row r="392" spans="1:11" x14ac:dyDescent="0.4">
      <c r="A392" s="2" t="s">
        <v>982</v>
      </c>
      <c r="B392" s="3">
        <v>45588</v>
      </c>
      <c r="C392" s="2" t="s">
        <v>1254</v>
      </c>
      <c r="D392" s="2" t="s">
        <v>1261</v>
      </c>
      <c r="E392" s="2">
        <v>10</v>
      </c>
      <c r="F392" s="2" t="s">
        <v>1231</v>
      </c>
      <c r="G392">
        <f t="shared" si="30"/>
        <v>10</v>
      </c>
      <c r="H392" t="str">
        <f t="shared" si="31"/>
        <v>No</v>
      </c>
      <c r="I392" t="str">
        <f t="shared" si="32"/>
        <v>Oct</v>
      </c>
      <c r="J392" s="11">
        <f t="shared" si="33"/>
        <v>0.28124999999999994</v>
      </c>
      <c r="K392" t="str">
        <f t="shared" si="34"/>
        <v>weekday</v>
      </c>
    </row>
    <row r="393" spans="1:11" x14ac:dyDescent="0.4">
      <c r="A393" s="2" t="s">
        <v>986</v>
      </c>
      <c r="B393" s="3">
        <v>45442</v>
      </c>
      <c r="C393" s="2" t="s">
        <v>1257</v>
      </c>
      <c r="D393" s="2" t="s">
        <v>1232</v>
      </c>
      <c r="E393" s="2">
        <v>10</v>
      </c>
      <c r="F393" s="2" t="s">
        <v>1231</v>
      </c>
      <c r="G393">
        <f t="shared" si="30"/>
        <v>25</v>
      </c>
      <c r="H393" t="str">
        <f t="shared" si="31"/>
        <v>No</v>
      </c>
      <c r="I393" t="str">
        <f t="shared" si="32"/>
        <v>May</v>
      </c>
      <c r="J393" s="11">
        <f t="shared" si="33"/>
        <v>4.166666666666663E-2</v>
      </c>
      <c r="K393" t="str">
        <f t="shared" si="34"/>
        <v>weekday</v>
      </c>
    </row>
    <row r="394" spans="1:11" x14ac:dyDescent="0.4">
      <c r="A394" s="2" t="s">
        <v>986</v>
      </c>
      <c r="B394" s="3">
        <v>45521</v>
      </c>
      <c r="C394" s="2" t="s">
        <v>1238</v>
      </c>
      <c r="D394" s="2" t="s">
        <v>1260</v>
      </c>
      <c r="E394" s="2">
        <v>6</v>
      </c>
      <c r="F394" s="2" t="s">
        <v>1234</v>
      </c>
      <c r="G394">
        <f t="shared" si="30"/>
        <v>25</v>
      </c>
      <c r="H394" t="str">
        <f t="shared" si="31"/>
        <v>No</v>
      </c>
      <c r="I394" t="str">
        <f t="shared" si="32"/>
        <v>Aug</v>
      </c>
      <c r="J394" s="11">
        <f t="shared" si="33"/>
        <v>5.2083333333333259E-2</v>
      </c>
      <c r="K394" t="str">
        <f t="shared" si="34"/>
        <v>weekend</v>
      </c>
    </row>
    <row r="395" spans="1:11" x14ac:dyDescent="0.4">
      <c r="A395" s="2" t="s">
        <v>986</v>
      </c>
      <c r="B395" s="3">
        <v>45298</v>
      </c>
      <c r="C395" s="2" t="s">
        <v>1235</v>
      </c>
      <c r="D395" s="2" t="s">
        <v>1240</v>
      </c>
      <c r="E395" s="2">
        <v>9</v>
      </c>
      <c r="F395" s="2" t="s">
        <v>1234</v>
      </c>
      <c r="G395">
        <f t="shared" si="30"/>
        <v>25</v>
      </c>
      <c r="H395" t="str">
        <f t="shared" si="31"/>
        <v>No</v>
      </c>
      <c r="I395" t="str">
        <f t="shared" si="32"/>
        <v>Jan</v>
      </c>
      <c r="J395" s="11">
        <f t="shared" si="33"/>
        <v>0.15625</v>
      </c>
      <c r="K395" t="str">
        <f t="shared" si="34"/>
        <v>weekend</v>
      </c>
    </row>
    <row r="396" spans="1:11" x14ac:dyDescent="0.4">
      <c r="A396" s="2" t="s">
        <v>990</v>
      </c>
      <c r="B396" s="3">
        <v>45502</v>
      </c>
      <c r="C396" s="2" t="s">
        <v>1241</v>
      </c>
      <c r="D396" s="2" t="s">
        <v>1242</v>
      </c>
      <c r="E396" s="2">
        <v>9</v>
      </c>
      <c r="F396" s="2" t="s">
        <v>1231</v>
      </c>
      <c r="G396">
        <f t="shared" si="30"/>
        <v>15</v>
      </c>
      <c r="H396" t="str">
        <f t="shared" si="31"/>
        <v>No</v>
      </c>
      <c r="I396" t="str">
        <f t="shared" si="32"/>
        <v>Jul</v>
      </c>
      <c r="J396" s="11">
        <f t="shared" si="33"/>
        <v>7.291666666666663E-2</v>
      </c>
      <c r="K396" t="str">
        <f t="shared" si="34"/>
        <v>weekday</v>
      </c>
    </row>
    <row r="397" spans="1:11" x14ac:dyDescent="0.4">
      <c r="A397" s="2" t="s">
        <v>990</v>
      </c>
      <c r="B397" s="3">
        <v>45392</v>
      </c>
      <c r="C397" s="2" t="s">
        <v>1252</v>
      </c>
      <c r="D397" s="2" t="s">
        <v>1230</v>
      </c>
      <c r="E397" s="2">
        <v>6</v>
      </c>
      <c r="F397" s="2" t="s">
        <v>1234</v>
      </c>
      <c r="G397">
        <f t="shared" si="30"/>
        <v>15</v>
      </c>
      <c r="H397" t="str">
        <f t="shared" si="31"/>
        <v>No</v>
      </c>
      <c r="I397" t="str">
        <f t="shared" si="32"/>
        <v>Apr</v>
      </c>
      <c r="J397" s="11">
        <f t="shared" si="33"/>
        <v>1.0416666666666685E-2</v>
      </c>
      <c r="K397" t="str">
        <f t="shared" si="34"/>
        <v>weekday</v>
      </c>
    </row>
    <row r="398" spans="1:11" x14ac:dyDescent="0.4">
      <c r="A398" s="2" t="s">
        <v>994</v>
      </c>
      <c r="B398" s="3">
        <v>45398</v>
      </c>
      <c r="C398" s="2" t="s">
        <v>1248</v>
      </c>
      <c r="D398" s="2" t="s">
        <v>1240</v>
      </c>
      <c r="E398" s="2">
        <v>7</v>
      </c>
      <c r="F398" s="2" t="s">
        <v>1234</v>
      </c>
      <c r="G398">
        <f t="shared" si="30"/>
        <v>7</v>
      </c>
      <c r="H398" t="str">
        <f t="shared" si="31"/>
        <v>No</v>
      </c>
      <c r="I398" t="str">
        <f t="shared" si="32"/>
        <v>Apr</v>
      </c>
      <c r="J398" s="11">
        <f t="shared" si="33"/>
        <v>0.17708333333333337</v>
      </c>
      <c r="K398" t="str">
        <f t="shared" si="34"/>
        <v>weekday</v>
      </c>
    </row>
    <row r="399" spans="1:11" x14ac:dyDescent="0.4">
      <c r="A399" s="2" t="s">
        <v>998</v>
      </c>
      <c r="B399" s="3">
        <v>45521</v>
      </c>
      <c r="C399" s="2" t="s">
        <v>1261</v>
      </c>
      <c r="D399" s="2" t="s">
        <v>1244</v>
      </c>
      <c r="E399" s="2">
        <v>8</v>
      </c>
      <c r="F399" s="2" t="s">
        <v>1231</v>
      </c>
      <c r="G399">
        <f t="shared" si="30"/>
        <v>17</v>
      </c>
      <c r="H399" t="str">
        <f t="shared" si="31"/>
        <v>No</v>
      </c>
      <c r="I399" t="str">
        <f t="shared" si="32"/>
        <v>Aug</v>
      </c>
      <c r="J399" s="11">
        <f t="shared" si="33"/>
        <v>0.10416666666666663</v>
      </c>
      <c r="K399" t="str">
        <f t="shared" si="34"/>
        <v>weekend</v>
      </c>
    </row>
    <row r="400" spans="1:11" x14ac:dyDescent="0.4">
      <c r="A400" s="2" t="s">
        <v>998</v>
      </c>
      <c r="B400" s="3">
        <v>45617</v>
      </c>
      <c r="C400" s="2" t="s">
        <v>1238</v>
      </c>
      <c r="D400" s="2" t="s">
        <v>1264</v>
      </c>
      <c r="E400" s="2">
        <v>9</v>
      </c>
      <c r="F400" s="2" t="s">
        <v>1234</v>
      </c>
      <c r="G400">
        <f t="shared" si="30"/>
        <v>17</v>
      </c>
      <c r="H400" t="str">
        <f t="shared" si="31"/>
        <v>No</v>
      </c>
      <c r="I400" t="str">
        <f t="shared" si="32"/>
        <v>Nov</v>
      </c>
      <c r="J400" s="11">
        <f t="shared" si="33"/>
        <v>0.23958333333333337</v>
      </c>
      <c r="K400" t="str">
        <f t="shared" si="34"/>
        <v>weekday</v>
      </c>
    </row>
    <row r="401" spans="1:11" x14ac:dyDescent="0.4">
      <c r="A401" s="2" t="s">
        <v>1000</v>
      </c>
      <c r="B401" s="3">
        <v>45322</v>
      </c>
      <c r="C401" s="2" t="s">
        <v>1232</v>
      </c>
      <c r="D401" s="2" t="s">
        <v>1250</v>
      </c>
      <c r="E401" s="2">
        <v>7</v>
      </c>
      <c r="F401" s="2" t="s">
        <v>1234</v>
      </c>
      <c r="G401">
        <f t="shared" si="30"/>
        <v>7</v>
      </c>
      <c r="H401" t="str">
        <f t="shared" si="31"/>
        <v>No</v>
      </c>
      <c r="I401" t="str">
        <f t="shared" si="32"/>
        <v>Jan</v>
      </c>
      <c r="J401" s="11">
        <f t="shared" si="33"/>
        <v>0.20833333333333331</v>
      </c>
      <c r="K401" t="str">
        <f t="shared" si="34"/>
        <v>weekday</v>
      </c>
    </row>
    <row r="402" spans="1:11" x14ac:dyDescent="0.4">
      <c r="A402" s="2" t="s">
        <v>1002</v>
      </c>
      <c r="B402" s="3">
        <v>45341</v>
      </c>
      <c r="C402" s="2" t="s">
        <v>1248</v>
      </c>
      <c r="D402" s="2" t="s">
        <v>1239</v>
      </c>
      <c r="E402" s="2">
        <v>9</v>
      </c>
      <c r="F402" s="2" t="s">
        <v>1231</v>
      </c>
      <c r="G402">
        <f t="shared" si="30"/>
        <v>29</v>
      </c>
      <c r="H402" t="str">
        <f t="shared" si="31"/>
        <v>No</v>
      </c>
      <c r="I402" t="str">
        <f t="shared" si="32"/>
        <v>Feb</v>
      </c>
      <c r="J402" s="11">
        <f t="shared" si="33"/>
        <v>0.30208333333333337</v>
      </c>
      <c r="K402" t="str">
        <f t="shared" si="34"/>
        <v>weekday</v>
      </c>
    </row>
    <row r="403" spans="1:11" x14ac:dyDescent="0.4">
      <c r="A403" s="2" t="s">
        <v>1002</v>
      </c>
      <c r="B403" s="3">
        <v>45532</v>
      </c>
      <c r="C403" s="2" t="s">
        <v>1264</v>
      </c>
      <c r="D403" s="2" t="s">
        <v>1243</v>
      </c>
      <c r="E403" s="2">
        <v>10</v>
      </c>
      <c r="F403" s="2" t="s">
        <v>1234</v>
      </c>
      <c r="G403">
        <f t="shared" si="30"/>
        <v>29</v>
      </c>
      <c r="H403" t="str">
        <f t="shared" si="31"/>
        <v>No</v>
      </c>
      <c r="I403" t="str">
        <f t="shared" si="32"/>
        <v>Aug</v>
      </c>
      <c r="J403" s="11">
        <f t="shared" si="33"/>
        <v>0.26041666666666663</v>
      </c>
      <c r="K403" t="str">
        <f t="shared" si="34"/>
        <v>weekday</v>
      </c>
    </row>
    <row r="404" spans="1:11" x14ac:dyDescent="0.4">
      <c r="A404" s="2" t="s">
        <v>1002</v>
      </c>
      <c r="B404" s="3">
        <v>45552</v>
      </c>
      <c r="C404" s="2" t="s">
        <v>1262</v>
      </c>
      <c r="D404" s="2" t="s">
        <v>1252</v>
      </c>
      <c r="E404" s="2">
        <v>10</v>
      </c>
      <c r="F404" s="2" t="s">
        <v>1234</v>
      </c>
      <c r="G404">
        <f t="shared" si="30"/>
        <v>29</v>
      </c>
      <c r="H404" t="str">
        <f t="shared" si="31"/>
        <v>No</v>
      </c>
      <c r="I404" t="str">
        <f t="shared" si="32"/>
        <v>Sep</v>
      </c>
      <c r="J404" s="11">
        <f t="shared" si="33"/>
        <v>0.25000000000000006</v>
      </c>
      <c r="K404" t="str">
        <f t="shared" si="34"/>
        <v>weekday</v>
      </c>
    </row>
    <row r="405" spans="1:11" x14ac:dyDescent="0.4">
      <c r="A405" s="2" t="s">
        <v>1004</v>
      </c>
      <c r="B405" s="3">
        <v>45470</v>
      </c>
      <c r="C405" s="2" t="s">
        <v>1240</v>
      </c>
      <c r="D405" s="2" t="s">
        <v>1247</v>
      </c>
      <c r="E405" s="2">
        <v>10</v>
      </c>
      <c r="F405" s="2" t="s">
        <v>1231</v>
      </c>
      <c r="G405">
        <f t="shared" si="30"/>
        <v>10</v>
      </c>
      <c r="H405" t="str">
        <f t="shared" si="31"/>
        <v>No</v>
      </c>
      <c r="I405" t="str">
        <f t="shared" si="32"/>
        <v>Jun</v>
      </c>
      <c r="J405" s="11">
        <f t="shared" si="33"/>
        <v>0.1875</v>
      </c>
      <c r="K405" t="str">
        <f t="shared" si="34"/>
        <v>weekday</v>
      </c>
    </row>
    <row r="406" spans="1:11" x14ac:dyDescent="0.4">
      <c r="A406" s="2" t="s">
        <v>1008</v>
      </c>
      <c r="B406" s="3">
        <v>45541</v>
      </c>
      <c r="C406" s="2" t="s">
        <v>1270</v>
      </c>
      <c r="D406" s="2" t="s">
        <v>1239</v>
      </c>
      <c r="E406" s="2">
        <v>9</v>
      </c>
      <c r="F406" s="2" t="s">
        <v>1234</v>
      </c>
      <c r="G406">
        <f t="shared" si="30"/>
        <v>9</v>
      </c>
      <c r="H406" t="str">
        <f t="shared" si="31"/>
        <v>No</v>
      </c>
      <c r="I406" t="str">
        <f t="shared" si="32"/>
        <v>Sep</v>
      </c>
      <c r="J406" s="11">
        <f t="shared" si="33"/>
        <v>0.16666666666666663</v>
      </c>
      <c r="K406" t="str">
        <f t="shared" si="34"/>
        <v>weekday</v>
      </c>
    </row>
    <row r="407" spans="1:11" x14ac:dyDescent="0.4">
      <c r="A407" s="2" t="s">
        <v>1010</v>
      </c>
      <c r="B407" s="3">
        <v>45350</v>
      </c>
      <c r="C407" s="2" t="s">
        <v>1247</v>
      </c>
      <c r="D407" s="2" t="s">
        <v>1247</v>
      </c>
      <c r="E407" s="2">
        <v>10</v>
      </c>
      <c r="F407" s="2" t="s">
        <v>1234</v>
      </c>
      <c r="G407">
        <f t="shared" si="30"/>
        <v>10</v>
      </c>
      <c r="H407" t="str">
        <f t="shared" si="31"/>
        <v>No</v>
      </c>
      <c r="I407" t="str">
        <f t="shared" si="32"/>
        <v>Feb</v>
      </c>
      <c r="J407" s="11">
        <f t="shared" si="33"/>
        <v>0</v>
      </c>
      <c r="K407" t="str">
        <f t="shared" si="34"/>
        <v>weekday</v>
      </c>
    </row>
    <row r="408" spans="1:11" x14ac:dyDescent="0.4">
      <c r="A408" s="2" t="s">
        <v>1018</v>
      </c>
      <c r="B408" s="3">
        <v>45412</v>
      </c>
      <c r="C408" s="2" t="s">
        <v>1262</v>
      </c>
      <c r="D408" s="2" t="s">
        <v>1268</v>
      </c>
      <c r="E408" s="2">
        <v>10</v>
      </c>
      <c r="F408" s="2" t="s">
        <v>1234</v>
      </c>
      <c r="G408">
        <f t="shared" si="30"/>
        <v>10</v>
      </c>
      <c r="H408" t="str">
        <f t="shared" si="31"/>
        <v>No</v>
      </c>
      <c r="I408" t="str">
        <f t="shared" si="32"/>
        <v>Apr</v>
      </c>
      <c r="J408" s="11">
        <f t="shared" si="33"/>
        <v>0.35416666666666669</v>
      </c>
      <c r="K408" t="str">
        <f t="shared" si="34"/>
        <v>weekday</v>
      </c>
    </row>
    <row r="409" spans="1:11" x14ac:dyDescent="0.4">
      <c r="A409" s="2" t="s">
        <v>1020</v>
      </c>
      <c r="B409" s="3">
        <v>45293</v>
      </c>
      <c r="C409" s="2" t="s">
        <v>1274</v>
      </c>
      <c r="D409" s="2" t="s">
        <v>1252</v>
      </c>
      <c r="E409" s="2">
        <v>10</v>
      </c>
      <c r="F409" s="2" t="s">
        <v>1231</v>
      </c>
      <c r="G409">
        <f t="shared" si="30"/>
        <v>10</v>
      </c>
      <c r="H409" t="str">
        <f t="shared" si="31"/>
        <v>No</v>
      </c>
      <c r="I409" t="str">
        <f t="shared" si="32"/>
        <v>Jan</v>
      </c>
      <c r="J409" s="11">
        <f t="shared" si="33"/>
        <v>0.11458333333333331</v>
      </c>
      <c r="K409" t="str">
        <f t="shared" si="34"/>
        <v>weekday</v>
      </c>
    </row>
    <row r="410" spans="1:11" x14ac:dyDescent="0.4">
      <c r="A410" s="2" t="s">
        <v>1032</v>
      </c>
      <c r="B410" s="3">
        <v>45578</v>
      </c>
      <c r="C410" s="2" t="s">
        <v>1240</v>
      </c>
      <c r="D410" s="2" t="s">
        <v>1248</v>
      </c>
      <c r="E410" s="2">
        <v>6</v>
      </c>
      <c r="F410" s="2" t="s">
        <v>1231</v>
      </c>
      <c r="G410">
        <f t="shared" si="30"/>
        <v>13</v>
      </c>
      <c r="H410" t="str">
        <f t="shared" si="31"/>
        <v>No</v>
      </c>
      <c r="I410" t="str">
        <f t="shared" si="32"/>
        <v>Oct</v>
      </c>
      <c r="J410" s="11">
        <f t="shared" si="33"/>
        <v>0.17708333333333337</v>
      </c>
      <c r="K410" t="str">
        <f t="shared" si="34"/>
        <v>weekend</v>
      </c>
    </row>
    <row r="411" spans="1:11" x14ac:dyDescent="0.4">
      <c r="A411" s="2" t="s">
        <v>1032</v>
      </c>
      <c r="B411" s="3">
        <v>45360</v>
      </c>
      <c r="C411" s="2" t="s">
        <v>1267</v>
      </c>
      <c r="D411" s="2" t="s">
        <v>1245</v>
      </c>
      <c r="E411" s="2">
        <v>7</v>
      </c>
      <c r="F411" s="2" t="s">
        <v>1234</v>
      </c>
      <c r="G411">
        <f t="shared" si="30"/>
        <v>13</v>
      </c>
      <c r="H411" t="str">
        <f t="shared" si="31"/>
        <v>No</v>
      </c>
      <c r="I411" t="str">
        <f t="shared" si="32"/>
        <v>Mar</v>
      </c>
      <c r="J411" s="11">
        <f t="shared" si="33"/>
        <v>8.333333333333337E-2</v>
      </c>
      <c r="K411" t="str">
        <f t="shared" si="34"/>
        <v>weekend</v>
      </c>
    </row>
    <row r="412" spans="1:11" x14ac:dyDescent="0.4">
      <c r="A412" s="2" t="s">
        <v>1034</v>
      </c>
      <c r="B412" s="3">
        <v>45528</v>
      </c>
      <c r="C412" s="2" t="s">
        <v>1264</v>
      </c>
      <c r="D412" s="2" t="s">
        <v>1255</v>
      </c>
      <c r="E412" s="2">
        <v>6</v>
      </c>
      <c r="F412" s="2" t="s">
        <v>1231</v>
      </c>
      <c r="G412">
        <f t="shared" si="30"/>
        <v>16</v>
      </c>
      <c r="H412" t="str">
        <f t="shared" si="31"/>
        <v>No</v>
      </c>
      <c r="I412" t="str">
        <f t="shared" si="32"/>
        <v>Aug</v>
      </c>
      <c r="J412" s="11">
        <f t="shared" si="33"/>
        <v>0.14583333333333337</v>
      </c>
      <c r="K412" t="str">
        <f t="shared" si="34"/>
        <v>weekend</v>
      </c>
    </row>
    <row r="413" spans="1:11" x14ac:dyDescent="0.4">
      <c r="A413" s="2" t="s">
        <v>1034</v>
      </c>
      <c r="B413" s="3">
        <v>45318</v>
      </c>
      <c r="C413" s="2" t="s">
        <v>1238</v>
      </c>
      <c r="D413" s="2" t="s">
        <v>1240</v>
      </c>
      <c r="E413" s="2">
        <v>10</v>
      </c>
      <c r="F413" s="2" t="s">
        <v>1231</v>
      </c>
      <c r="G413">
        <f t="shared" si="30"/>
        <v>16</v>
      </c>
      <c r="H413" t="str">
        <f t="shared" si="31"/>
        <v>No</v>
      </c>
      <c r="I413" t="str">
        <f t="shared" si="32"/>
        <v>Jan</v>
      </c>
      <c r="J413" s="11">
        <f t="shared" si="33"/>
        <v>5.208333333333337E-2</v>
      </c>
      <c r="K413" t="str">
        <f t="shared" si="34"/>
        <v>weekend</v>
      </c>
    </row>
    <row r="414" spans="1:11" x14ac:dyDescent="0.4">
      <c r="A414" s="2" t="s">
        <v>1036</v>
      </c>
      <c r="B414" s="3">
        <v>45535</v>
      </c>
      <c r="C414" s="2" t="s">
        <v>1239</v>
      </c>
      <c r="D414" s="2" t="s">
        <v>1229</v>
      </c>
      <c r="E414" s="2">
        <v>8</v>
      </c>
      <c r="F414" s="2" t="s">
        <v>1234</v>
      </c>
      <c r="G414">
        <f t="shared" si="30"/>
        <v>39</v>
      </c>
      <c r="H414" t="str">
        <f t="shared" si="31"/>
        <v>No</v>
      </c>
      <c r="I414" t="str">
        <f t="shared" si="32"/>
        <v>Aug</v>
      </c>
      <c r="J414" s="11">
        <f t="shared" si="33"/>
        <v>0.125</v>
      </c>
      <c r="K414" t="str">
        <f t="shared" si="34"/>
        <v>weekend</v>
      </c>
    </row>
    <row r="415" spans="1:11" x14ac:dyDescent="0.4">
      <c r="A415" s="2" t="s">
        <v>1036</v>
      </c>
      <c r="B415" s="3">
        <v>45557</v>
      </c>
      <c r="C415" s="2" t="s">
        <v>1230</v>
      </c>
      <c r="D415" s="2" t="s">
        <v>1241</v>
      </c>
      <c r="E415" s="2">
        <v>7</v>
      </c>
      <c r="F415" s="2" t="s">
        <v>1234</v>
      </c>
      <c r="G415">
        <f t="shared" si="30"/>
        <v>39</v>
      </c>
      <c r="H415" t="str">
        <f t="shared" si="31"/>
        <v>No</v>
      </c>
      <c r="I415" t="str">
        <f t="shared" si="32"/>
        <v>Sep</v>
      </c>
      <c r="J415" s="11">
        <f t="shared" si="33"/>
        <v>7.2916666666666685E-2</v>
      </c>
      <c r="K415" t="str">
        <f t="shared" si="34"/>
        <v>weekend</v>
      </c>
    </row>
    <row r="416" spans="1:11" x14ac:dyDescent="0.4">
      <c r="A416" s="2" t="s">
        <v>1036</v>
      </c>
      <c r="B416" s="3">
        <v>45311</v>
      </c>
      <c r="C416" s="2" t="s">
        <v>1250</v>
      </c>
      <c r="D416" s="2" t="s">
        <v>1262</v>
      </c>
      <c r="E416" s="2">
        <v>8</v>
      </c>
      <c r="F416" s="2" t="s">
        <v>1231</v>
      </c>
      <c r="G416">
        <f t="shared" si="30"/>
        <v>39</v>
      </c>
      <c r="H416" t="str">
        <f t="shared" si="31"/>
        <v>No</v>
      </c>
      <c r="I416" t="str">
        <f t="shared" si="32"/>
        <v>Jan</v>
      </c>
      <c r="J416" s="11">
        <f t="shared" si="33"/>
        <v>0.37500000000000006</v>
      </c>
      <c r="K416" t="str">
        <f t="shared" si="34"/>
        <v>weekend</v>
      </c>
    </row>
    <row r="417" spans="1:11" x14ac:dyDescent="0.4">
      <c r="A417" s="2" t="s">
        <v>1036</v>
      </c>
      <c r="B417" s="3">
        <v>45469</v>
      </c>
      <c r="C417" s="2" t="s">
        <v>1272</v>
      </c>
      <c r="D417" s="2" t="s">
        <v>1244</v>
      </c>
      <c r="E417" s="2">
        <v>8</v>
      </c>
      <c r="F417" s="2" t="s">
        <v>1234</v>
      </c>
      <c r="G417">
        <f t="shared" si="30"/>
        <v>39</v>
      </c>
      <c r="H417" t="str">
        <f t="shared" si="31"/>
        <v>No</v>
      </c>
      <c r="I417" t="str">
        <f t="shared" si="32"/>
        <v>Jun</v>
      </c>
      <c r="J417" s="11">
        <f t="shared" si="33"/>
        <v>6.25E-2</v>
      </c>
      <c r="K417" t="str">
        <f t="shared" si="34"/>
        <v>weekday</v>
      </c>
    </row>
    <row r="418" spans="1:11" x14ac:dyDescent="0.4">
      <c r="A418" s="2" t="s">
        <v>1036</v>
      </c>
      <c r="B418" s="3">
        <v>45389</v>
      </c>
      <c r="C418" s="2" t="s">
        <v>1235</v>
      </c>
      <c r="D418" s="2" t="s">
        <v>1230</v>
      </c>
      <c r="E418" s="2">
        <v>8</v>
      </c>
      <c r="F418" s="2" t="s">
        <v>1234</v>
      </c>
      <c r="G418">
        <f t="shared" si="30"/>
        <v>39</v>
      </c>
      <c r="H418" t="str">
        <f t="shared" si="31"/>
        <v>No</v>
      </c>
      <c r="I418" t="str">
        <f t="shared" si="32"/>
        <v>Apr</v>
      </c>
      <c r="J418" s="11">
        <f t="shared" si="33"/>
        <v>0.25</v>
      </c>
      <c r="K418" t="str">
        <f t="shared" si="34"/>
        <v>weekend</v>
      </c>
    </row>
    <row r="419" spans="1:11" x14ac:dyDescent="0.4">
      <c r="A419" s="2" t="s">
        <v>1040</v>
      </c>
      <c r="B419" s="3">
        <v>45504</v>
      </c>
      <c r="C419" s="2" t="s">
        <v>1263</v>
      </c>
      <c r="D419" s="2" t="s">
        <v>1254</v>
      </c>
      <c r="E419" s="2">
        <v>6</v>
      </c>
      <c r="F419" s="2" t="s">
        <v>1234</v>
      </c>
      <c r="G419">
        <f t="shared" si="30"/>
        <v>15</v>
      </c>
      <c r="H419" t="str">
        <f t="shared" si="31"/>
        <v>No</v>
      </c>
      <c r="I419" t="str">
        <f t="shared" si="32"/>
        <v>Jul</v>
      </c>
      <c r="J419" s="11">
        <f t="shared" si="33"/>
        <v>0.16666666666666669</v>
      </c>
      <c r="K419" t="str">
        <f t="shared" si="34"/>
        <v>weekday</v>
      </c>
    </row>
    <row r="420" spans="1:11" x14ac:dyDescent="0.4">
      <c r="A420" s="2" t="s">
        <v>1040</v>
      </c>
      <c r="B420" s="3">
        <v>45426</v>
      </c>
      <c r="C420" s="2" t="s">
        <v>1247</v>
      </c>
      <c r="D420" s="2" t="s">
        <v>1267</v>
      </c>
      <c r="E420" s="2">
        <v>9</v>
      </c>
      <c r="F420" s="2" t="s">
        <v>1234</v>
      </c>
      <c r="G420">
        <f t="shared" si="30"/>
        <v>15</v>
      </c>
      <c r="H420" t="str">
        <f t="shared" si="31"/>
        <v>No</v>
      </c>
      <c r="I420" t="str">
        <f t="shared" si="32"/>
        <v>May</v>
      </c>
      <c r="J420" s="11">
        <f t="shared" si="33"/>
        <v>0.38541666666666669</v>
      </c>
      <c r="K420" t="str">
        <f t="shared" si="34"/>
        <v>weekday</v>
      </c>
    </row>
    <row r="421" spans="1:11" x14ac:dyDescent="0.4">
      <c r="A421" s="2" t="s">
        <v>1042</v>
      </c>
      <c r="B421" s="3">
        <v>45542</v>
      </c>
      <c r="C421" s="2" t="s">
        <v>1261</v>
      </c>
      <c r="D421" s="2" t="s">
        <v>1238</v>
      </c>
      <c r="E421" s="2">
        <v>7</v>
      </c>
      <c r="F421" s="2" t="s">
        <v>1231</v>
      </c>
      <c r="G421">
        <f t="shared" si="30"/>
        <v>7</v>
      </c>
      <c r="H421" t="str">
        <f t="shared" si="31"/>
        <v>No</v>
      </c>
      <c r="I421" t="str">
        <f t="shared" si="32"/>
        <v>Sep</v>
      </c>
      <c r="J421" s="11">
        <f t="shared" si="33"/>
        <v>8.3333333333333259E-2</v>
      </c>
      <c r="K421" t="str">
        <f t="shared" si="34"/>
        <v>weekend</v>
      </c>
    </row>
    <row r="422" spans="1:11" x14ac:dyDescent="0.4">
      <c r="A422" s="2" t="s">
        <v>1044</v>
      </c>
      <c r="B422" s="3">
        <v>45615</v>
      </c>
      <c r="C422" s="2" t="s">
        <v>1261</v>
      </c>
      <c r="D422" s="2" t="s">
        <v>1249</v>
      </c>
      <c r="E422" s="2">
        <v>7</v>
      </c>
      <c r="F422" s="2" t="s">
        <v>1234</v>
      </c>
      <c r="G422">
        <f t="shared" si="30"/>
        <v>16</v>
      </c>
      <c r="H422" t="str">
        <f t="shared" si="31"/>
        <v>No</v>
      </c>
      <c r="I422" t="str">
        <f t="shared" si="32"/>
        <v>Nov</v>
      </c>
      <c r="J422" s="11">
        <f t="shared" si="33"/>
        <v>0.20833333333333326</v>
      </c>
      <c r="K422" t="str">
        <f t="shared" si="34"/>
        <v>weekday</v>
      </c>
    </row>
    <row r="423" spans="1:11" x14ac:dyDescent="0.4">
      <c r="A423" s="2" t="s">
        <v>1044</v>
      </c>
      <c r="B423" s="3">
        <v>45356</v>
      </c>
      <c r="C423" s="2" t="s">
        <v>1255</v>
      </c>
      <c r="D423" s="2" t="s">
        <v>1271</v>
      </c>
      <c r="E423" s="2">
        <v>9</v>
      </c>
      <c r="F423" s="2" t="s">
        <v>1231</v>
      </c>
      <c r="G423">
        <f t="shared" si="30"/>
        <v>16</v>
      </c>
      <c r="H423" t="str">
        <f t="shared" si="31"/>
        <v>No</v>
      </c>
      <c r="I423" t="str">
        <f t="shared" si="32"/>
        <v>Mar</v>
      </c>
      <c r="J423" s="11">
        <f t="shared" si="33"/>
        <v>0.11458333333333337</v>
      </c>
      <c r="K423" t="str">
        <f t="shared" si="34"/>
        <v>weekday</v>
      </c>
    </row>
    <row r="424" spans="1:11" x14ac:dyDescent="0.4">
      <c r="A424" s="2" t="s">
        <v>1056</v>
      </c>
      <c r="B424" s="3">
        <v>45324</v>
      </c>
      <c r="C424" s="2" t="s">
        <v>1239</v>
      </c>
      <c r="D424" s="2" t="s">
        <v>1257</v>
      </c>
      <c r="E424" s="2">
        <v>9</v>
      </c>
      <c r="F424" s="2" t="s">
        <v>1231</v>
      </c>
      <c r="G424">
        <f t="shared" si="30"/>
        <v>22</v>
      </c>
      <c r="H424" t="str">
        <f t="shared" si="31"/>
        <v>No</v>
      </c>
      <c r="I424" t="str">
        <f t="shared" si="32"/>
        <v>Feb</v>
      </c>
      <c r="J424" s="11">
        <f t="shared" si="33"/>
        <v>6.25E-2</v>
      </c>
      <c r="K424" t="str">
        <f t="shared" si="34"/>
        <v>weekday</v>
      </c>
    </row>
    <row r="425" spans="1:11" x14ac:dyDescent="0.4">
      <c r="A425" s="2" t="s">
        <v>1056</v>
      </c>
      <c r="B425" s="3">
        <v>45316</v>
      </c>
      <c r="C425" s="2" t="s">
        <v>1239</v>
      </c>
      <c r="D425" s="2" t="s">
        <v>1253</v>
      </c>
      <c r="E425" s="2">
        <v>6</v>
      </c>
      <c r="F425" s="2" t="s">
        <v>1231</v>
      </c>
      <c r="G425">
        <f t="shared" si="30"/>
        <v>22</v>
      </c>
      <c r="H425" t="str">
        <f t="shared" si="31"/>
        <v>No</v>
      </c>
      <c r="I425" t="str">
        <f t="shared" si="32"/>
        <v>Jan</v>
      </c>
      <c r="J425" s="11">
        <f t="shared" si="33"/>
        <v>0.11458333333333337</v>
      </c>
      <c r="K425" t="str">
        <f t="shared" si="34"/>
        <v>weekday</v>
      </c>
    </row>
    <row r="426" spans="1:11" x14ac:dyDescent="0.4">
      <c r="A426" s="2" t="s">
        <v>1056</v>
      </c>
      <c r="B426" s="3">
        <v>45624</v>
      </c>
      <c r="C426" s="2" t="s">
        <v>1271</v>
      </c>
      <c r="D426" s="2" t="s">
        <v>1246</v>
      </c>
      <c r="E426" s="2">
        <v>7</v>
      </c>
      <c r="F426" s="2" t="s">
        <v>1231</v>
      </c>
      <c r="G426">
        <f t="shared" si="30"/>
        <v>22</v>
      </c>
      <c r="H426" t="str">
        <f t="shared" si="31"/>
        <v>No</v>
      </c>
      <c r="I426" t="str">
        <f t="shared" si="32"/>
        <v>Nov</v>
      </c>
      <c r="J426" s="11">
        <f t="shared" si="33"/>
        <v>2.0833333333333315E-2</v>
      </c>
      <c r="K426" t="str">
        <f t="shared" si="34"/>
        <v>weekday</v>
      </c>
    </row>
    <row r="427" spans="1:11" x14ac:dyDescent="0.4">
      <c r="A427" s="2" t="s">
        <v>1060</v>
      </c>
      <c r="B427" s="3">
        <v>45344</v>
      </c>
      <c r="C427" s="2" t="s">
        <v>1251</v>
      </c>
      <c r="D427" s="2" t="s">
        <v>1233</v>
      </c>
      <c r="E427" s="2">
        <v>10</v>
      </c>
      <c r="F427" s="2" t="s">
        <v>1234</v>
      </c>
      <c r="G427">
        <f t="shared" si="30"/>
        <v>10</v>
      </c>
      <c r="H427" t="str">
        <f t="shared" si="31"/>
        <v>No</v>
      </c>
      <c r="I427" t="str">
        <f t="shared" si="32"/>
        <v>Feb</v>
      </c>
      <c r="J427" s="11">
        <f t="shared" si="33"/>
        <v>2.083333333333337E-2</v>
      </c>
      <c r="K427" t="str">
        <f t="shared" si="34"/>
        <v>weekday</v>
      </c>
    </row>
    <row r="428" spans="1:11" x14ac:dyDescent="0.4">
      <c r="A428" s="2" t="s">
        <v>1062</v>
      </c>
      <c r="B428" s="3">
        <v>45484</v>
      </c>
      <c r="C428" s="2" t="s">
        <v>1253</v>
      </c>
      <c r="D428" s="2" t="s">
        <v>1274</v>
      </c>
      <c r="E428" s="2">
        <v>10</v>
      </c>
      <c r="F428" s="2" t="s">
        <v>1234</v>
      </c>
      <c r="G428">
        <f t="shared" si="30"/>
        <v>10</v>
      </c>
      <c r="H428" t="str">
        <f t="shared" si="31"/>
        <v>No</v>
      </c>
      <c r="I428" t="str">
        <f t="shared" si="32"/>
        <v>Jul</v>
      </c>
      <c r="J428" s="11">
        <f t="shared" si="33"/>
        <v>0.20833333333333337</v>
      </c>
      <c r="K428" t="str">
        <f t="shared" si="34"/>
        <v>weekday</v>
      </c>
    </row>
    <row r="429" spans="1:11" x14ac:dyDescent="0.4">
      <c r="A429" s="2" t="s">
        <v>1066</v>
      </c>
      <c r="B429" s="3">
        <v>45589</v>
      </c>
      <c r="C429" s="2" t="s">
        <v>1259</v>
      </c>
      <c r="D429" s="2" t="s">
        <v>1233</v>
      </c>
      <c r="E429" s="2">
        <v>10</v>
      </c>
      <c r="F429" s="2" t="s">
        <v>1231</v>
      </c>
      <c r="G429">
        <f t="shared" si="30"/>
        <v>10</v>
      </c>
      <c r="H429" t="str">
        <f t="shared" si="31"/>
        <v>No</v>
      </c>
      <c r="I429" t="str">
        <f t="shared" si="32"/>
        <v>Oct</v>
      </c>
      <c r="J429" s="11">
        <f t="shared" si="33"/>
        <v>0.34375000000000006</v>
      </c>
      <c r="K429" t="str">
        <f t="shared" si="34"/>
        <v>weekday</v>
      </c>
    </row>
    <row r="430" spans="1:11" x14ac:dyDescent="0.4">
      <c r="A430" s="2" t="s">
        <v>1068</v>
      </c>
      <c r="B430" s="3">
        <v>45602</v>
      </c>
      <c r="C430" s="2" t="s">
        <v>1260</v>
      </c>
      <c r="D430" s="2" t="s">
        <v>1244</v>
      </c>
      <c r="E430" s="2">
        <v>6</v>
      </c>
      <c r="F430" s="2" t="s">
        <v>1234</v>
      </c>
      <c r="G430">
        <f t="shared" si="30"/>
        <v>6</v>
      </c>
      <c r="H430" t="str">
        <f t="shared" si="31"/>
        <v>No</v>
      </c>
      <c r="I430" t="str">
        <f t="shared" si="32"/>
        <v>Nov</v>
      </c>
      <c r="J430" s="11">
        <f t="shared" si="33"/>
        <v>7.291666666666663E-2</v>
      </c>
      <c r="K430" t="str">
        <f t="shared" si="34"/>
        <v>weekday</v>
      </c>
    </row>
    <row r="431" spans="1:11" x14ac:dyDescent="0.4">
      <c r="A431" s="2" t="s">
        <v>1070</v>
      </c>
      <c r="B431" s="3">
        <v>45417</v>
      </c>
      <c r="C431" s="2" t="s">
        <v>1229</v>
      </c>
      <c r="D431" s="2" t="s">
        <v>1239</v>
      </c>
      <c r="E431" s="2">
        <v>9</v>
      </c>
      <c r="F431" s="2" t="s">
        <v>1231</v>
      </c>
      <c r="G431">
        <f t="shared" si="30"/>
        <v>9</v>
      </c>
      <c r="H431" t="str">
        <f t="shared" si="31"/>
        <v>No</v>
      </c>
      <c r="I431" t="str">
        <f t="shared" si="32"/>
        <v>May</v>
      </c>
      <c r="J431" s="11">
        <f t="shared" si="33"/>
        <v>0.125</v>
      </c>
      <c r="K431" t="str">
        <f t="shared" si="34"/>
        <v>weekend</v>
      </c>
    </row>
    <row r="432" spans="1:11" x14ac:dyDescent="0.4">
      <c r="A432" s="2" t="s">
        <v>1072</v>
      </c>
      <c r="B432" s="3">
        <v>45558</v>
      </c>
      <c r="C432" s="2" t="s">
        <v>1240</v>
      </c>
      <c r="D432" s="2" t="s">
        <v>1247</v>
      </c>
      <c r="E432" s="2">
        <v>8</v>
      </c>
      <c r="F432" s="2" t="s">
        <v>1231</v>
      </c>
      <c r="G432">
        <f t="shared" si="30"/>
        <v>22</v>
      </c>
      <c r="H432" t="str">
        <f t="shared" si="31"/>
        <v>No</v>
      </c>
      <c r="I432" t="str">
        <f t="shared" si="32"/>
        <v>Sep</v>
      </c>
      <c r="J432" s="11">
        <f t="shared" si="33"/>
        <v>0.1875</v>
      </c>
      <c r="K432" t="str">
        <f t="shared" si="34"/>
        <v>weekday</v>
      </c>
    </row>
    <row r="433" spans="1:11" x14ac:dyDescent="0.4">
      <c r="A433" s="2" t="s">
        <v>1072</v>
      </c>
      <c r="B433" s="3">
        <v>45327</v>
      </c>
      <c r="C433" s="2" t="s">
        <v>1230</v>
      </c>
      <c r="D433" s="2" t="s">
        <v>1264</v>
      </c>
      <c r="E433" s="2">
        <v>6</v>
      </c>
      <c r="F433" s="2" t="s">
        <v>1231</v>
      </c>
      <c r="G433">
        <f t="shared" si="30"/>
        <v>22</v>
      </c>
      <c r="H433" t="str">
        <f t="shared" si="31"/>
        <v>No</v>
      </c>
      <c r="I433" t="str">
        <f t="shared" si="32"/>
        <v>Feb</v>
      </c>
      <c r="J433" s="11">
        <f t="shared" si="33"/>
        <v>9.375E-2</v>
      </c>
      <c r="K433" t="str">
        <f t="shared" si="34"/>
        <v>weekday</v>
      </c>
    </row>
    <row r="434" spans="1:11" x14ac:dyDescent="0.4">
      <c r="A434" s="2" t="s">
        <v>1072</v>
      </c>
      <c r="B434" s="3">
        <v>45500</v>
      </c>
      <c r="C434" s="2" t="s">
        <v>1244</v>
      </c>
      <c r="D434" s="2" t="s">
        <v>1245</v>
      </c>
      <c r="E434" s="2">
        <v>8</v>
      </c>
      <c r="F434" s="2" t="s">
        <v>1231</v>
      </c>
      <c r="G434">
        <f t="shared" si="30"/>
        <v>22</v>
      </c>
      <c r="H434" t="str">
        <f t="shared" si="31"/>
        <v>No</v>
      </c>
      <c r="I434" t="str">
        <f t="shared" si="32"/>
        <v>Jul</v>
      </c>
      <c r="J434" s="11">
        <f t="shared" si="33"/>
        <v>0.14583333333333331</v>
      </c>
      <c r="K434" t="str">
        <f t="shared" si="34"/>
        <v>weekend</v>
      </c>
    </row>
    <row r="435" spans="1:11" x14ac:dyDescent="0.4">
      <c r="A435" s="2" t="s">
        <v>1076</v>
      </c>
      <c r="B435" s="3">
        <v>45420</v>
      </c>
      <c r="C435" s="2" t="s">
        <v>1249</v>
      </c>
      <c r="D435" s="2" t="s">
        <v>1252</v>
      </c>
      <c r="E435" s="2">
        <v>8</v>
      </c>
      <c r="F435" s="2" t="s">
        <v>1234</v>
      </c>
      <c r="G435">
        <f t="shared" si="30"/>
        <v>16</v>
      </c>
      <c r="H435" t="str">
        <f t="shared" si="31"/>
        <v>No</v>
      </c>
      <c r="I435" t="str">
        <f t="shared" si="32"/>
        <v>May</v>
      </c>
      <c r="J435" s="11">
        <f t="shared" si="33"/>
        <v>3.1250000000000056E-2</v>
      </c>
      <c r="K435" t="str">
        <f t="shared" si="34"/>
        <v>weekday</v>
      </c>
    </row>
    <row r="436" spans="1:11" x14ac:dyDescent="0.4">
      <c r="A436" s="2" t="s">
        <v>1076</v>
      </c>
      <c r="B436" s="3">
        <v>45629</v>
      </c>
      <c r="C436" s="2" t="s">
        <v>1269</v>
      </c>
      <c r="D436" s="2" t="s">
        <v>1242</v>
      </c>
      <c r="E436" s="2">
        <v>8</v>
      </c>
      <c r="F436" s="2" t="s">
        <v>1234</v>
      </c>
      <c r="G436">
        <f t="shared" si="30"/>
        <v>16</v>
      </c>
      <c r="H436" t="str">
        <f t="shared" si="31"/>
        <v>No</v>
      </c>
      <c r="I436" t="str">
        <f t="shared" si="32"/>
        <v>Dec</v>
      </c>
      <c r="J436" s="11">
        <f t="shared" si="33"/>
        <v>0.15624999999999994</v>
      </c>
      <c r="K436" t="str">
        <f t="shared" si="34"/>
        <v>weekday</v>
      </c>
    </row>
    <row r="437" spans="1:11" x14ac:dyDescent="0.4">
      <c r="A437" s="2" t="s">
        <v>1078</v>
      </c>
      <c r="B437" s="3">
        <v>45563</v>
      </c>
      <c r="C437" s="2" t="s">
        <v>1270</v>
      </c>
      <c r="D437" s="2" t="s">
        <v>1263</v>
      </c>
      <c r="E437" s="2">
        <v>8</v>
      </c>
      <c r="F437" s="2" t="s">
        <v>1231</v>
      </c>
      <c r="G437">
        <f t="shared" si="30"/>
        <v>8</v>
      </c>
      <c r="H437" t="str">
        <f t="shared" si="31"/>
        <v>No</v>
      </c>
      <c r="I437" t="str">
        <f t="shared" si="32"/>
        <v>Sep</v>
      </c>
      <c r="J437" s="11">
        <f t="shared" si="33"/>
        <v>2.0833333333333259E-2</v>
      </c>
      <c r="K437" t="str">
        <f t="shared" si="34"/>
        <v>weekend</v>
      </c>
    </row>
    <row r="438" spans="1:11" x14ac:dyDescent="0.4">
      <c r="A438" s="2" t="s">
        <v>1080</v>
      </c>
      <c r="B438" s="3">
        <v>45543</v>
      </c>
      <c r="C438" s="2" t="s">
        <v>1273</v>
      </c>
      <c r="D438" s="2" t="s">
        <v>1259</v>
      </c>
      <c r="E438" s="2">
        <v>8</v>
      </c>
      <c r="F438" s="2" t="s">
        <v>1234</v>
      </c>
      <c r="G438">
        <f t="shared" si="30"/>
        <v>8</v>
      </c>
      <c r="H438" t="str">
        <f t="shared" si="31"/>
        <v>No</v>
      </c>
      <c r="I438" t="str">
        <f t="shared" si="32"/>
        <v>Sep</v>
      </c>
      <c r="J438" s="11">
        <f t="shared" si="33"/>
        <v>0.27083333333333331</v>
      </c>
      <c r="K438" t="str">
        <f t="shared" si="34"/>
        <v>weekend</v>
      </c>
    </row>
    <row r="439" spans="1:11" x14ac:dyDescent="0.4">
      <c r="A439" s="2" t="s">
        <v>1082</v>
      </c>
      <c r="B439" s="3">
        <v>45579</v>
      </c>
      <c r="C439" s="2" t="s">
        <v>1272</v>
      </c>
      <c r="D439" s="2" t="s">
        <v>1246</v>
      </c>
      <c r="E439" s="2">
        <v>9</v>
      </c>
      <c r="F439" s="2" t="s">
        <v>1234</v>
      </c>
      <c r="G439">
        <f t="shared" si="30"/>
        <v>9</v>
      </c>
      <c r="H439" t="str">
        <f t="shared" si="31"/>
        <v>No</v>
      </c>
      <c r="I439" t="str">
        <f t="shared" si="32"/>
        <v>Oct</v>
      </c>
      <c r="J439" s="11">
        <f t="shared" si="33"/>
        <v>0.14583333333333331</v>
      </c>
      <c r="K439" t="str">
        <f t="shared" si="34"/>
        <v>weekday</v>
      </c>
    </row>
    <row r="440" spans="1:11" x14ac:dyDescent="0.4">
      <c r="A440" s="2" t="s">
        <v>1084</v>
      </c>
      <c r="B440" s="3">
        <v>45651</v>
      </c>
      <c r="C440" s="2" t="s">
        <v>1273</v>
      </c>
      <c r="D440" s="2" t="s">
        <v>1264</v>
      </c>
      <c r="E440" s="2">
        <v>9</v>
      </c>
      <c r="F440" s="2" t="s">
        <v>1231</v>
      </c>
      <c r="G440">
        <f t="shared" si="30"/>
        <v>9</v>
      </c>
      <c r="H440" t="str">
        <f t="shared" si="31"/>
        <v>No</v>
      </c>
      <c r="I440" t="str">
        <f t="shared" si="32"/>
        <v>Dec</v>
      </c>
      <c r="J440" s="11">
        <f t="shared" si="33"/>
        <v>0.19791666666666663</v>
      </c>
      <c r="K440" t="str">
        <f t="shared" si="34"/>
        <v>weekday</v>
      </c>
    </row>
    <row r="441" spans="1:11" x14ac:dyDescent="0.4">
      <c r="A441" s="2" t="s">
        <v>1086</v>
      </c>
      <c r="B441" s="3">
        <v>45534</v>
      </c>
      <c r="C441" s="2" t="s">
        <v>1271</v>
      </c>
      <c r="D441" s="2" t="s">
        <v>1240</v>
      </c>
      <c r="E441" s="2">
        <v>9</v>
      </c>
      <c r="F441" s="2" t="s">
        <v>1234</v>
      </c>
      <c r="G441">
        <f t="shared" si="30"/>
        <v>22</v>
      </c>
      <c r="H441" t="str">
        <f t="shared" si="31"/>
        <v>No</v>
      </c>
      <c r="I441" t="str">
        <f t="shared" si="32"/>
        <v>Aug</v>
      </c>
      <c r="J441" s="11">
        <f t="shared" si="33"/>
        <v>0.15625</v>
      </c>
      <c r="K441" t="str">
        <f t="shared" si="34"/>
        <v>weekday</v>
      </c>
    </row>
    <row r="442" spans="1:11" x14ac:dyDescent="0.4">
      <c r="A442" s="2" t="s">
        <v>1086</v>
      </c>
      <c r="B442" s="3">
        <v>45646</v>
      </c>
      <c r="C442" s="2" t="s">
        <v>1247</v>
      </c>
      <c r="D442" s="2" t="s">
        <v>1265</v>
      </c>
      <c r="E442" s="2">
        <v>7</v>
      </c>
      <c r="F442" s="2" t="s">
        <v>1234</v>
      </c>
      <c r="G442">
        <f t="shared" si="30"/>
        <v>22</v>
      </c>
      <c r="H442" t="str">
        <f t="shared" si="31"/>
        <v>No</v>
      </c>
      <c r="I442" t="str">
        <f t="shared" si="32"/>
        <v>Dec</v>
      </c>
      <c r="J442" s="11">
        <f t="shared" si="33"/>
        <v>6.25E-2</v>
      </c>
      <c r="K442" t="str">
        <f t="shared" si="34"/>
        <v>weekday</v>
      </c>
    </row>
    <row r="443" spans="1:11" x14ac:dyDescent="0.4">
      <c r="A443" s="2" t="s">
        <v>1086</v>
      </c>
      <c r="B443" s="3">
        <v>45640</v>
      </c>
      <c r="C443" s="2" t="s">
        <v>1269</v>
      </c>
      <c r="D443" s="2" t="s">
        <v>1256</v>
      </c>
      <c r="E443" s="2">
        <v>6</v>
      </c>
      <c r="F443" s="2" t="s">
        <v>1231</v>
      </c>
      <c r="G443">
        <f t="shared" si="30"/>
        <v>22</v>
      </c>
      <c r="H443" t="str">
        <f t="shared" si="31"/>
        <v>No</v>
      </c>
      <c r="I443" t="str">
        <f t="shared" si="32"/>
        <v>Dec</v>
      </c>
      <c r="J443" s="11">
        <f t="shared" si="33"/>
        <v>0.17708333333333337</v>
      </c>
      <c r="K443" t="str">
        <f t="shared" si="34"/>
        <v>weekend</v>
      </c>
    </row>
    <row r="444" spans="1:11" x14ac:dyDescent="0.4">
      <c r="A444" s="2" t="s">
        <v>1090</v>
      </c>
      <c r="B444" s="3">
        <v>45389</v>
      </c>
      <c r="C444" s="2" t="s">
        <v>1229</v>
      </c>
      <c r="D444" s="2" t="s">
        <v>1243</v>
      </c>
      <c r="E444" s="2">
        <v>9</v>
      </c>
      <c r="F444" s="2" t="s">
        <v>1231</v>
      </c>
      <c r="G444">
        <f t="shared" si="30"/>
        <v>17</v>
      </c>
      <c r="H444" t="str">
        <f t="shared" si="31"/>
        <v>No</v>
      </c>
      <c r="I444" t="str">
        <f t="shared" si="32"/>
        <v>Apr</v>
      </c>
      <c r="J444" s="11">
        <f t="shared" si="33"/>
        <v>0.32291666666666663</v>
      </c>
      <c r="K444" t="str">
        <f t="shared" si="34"/>
        <v>weekend</v>
      </c>
    </row>
    <row r="445" spans="1:11" x14ac:dyDescent="0.4">
      <c r="A445" s="2" t="s">
        <v>1090</v>
      </c>
      <c r="B445" s="3">
        <v>45488</v>
      </c>
      <c r="C445" s="2" t="s">
        <v>1268</v>
      </c>
      <c r="D445" s="2" t="s">
        <v>1274</v>
      </c>
      <c r="E445" s="2">
        <v>8</v>
      </c>
      <c r="F445" s="2" t="s">
        <v>1231</v>
      </c>
      <c r="G445">
        <f t="shared" si="30"/>
        <v>17</v>
      </c>
      <c r="H445" t="str">
        <f t="shared" si="31"/>
        <v>No</v>
      </c>
      <c r="I445" t="str">
        <f t="shared" si="32"/>
        <v>Jul</v>
      </c>
      <c r="J445" s="11">
        <f t="shared" si="33"/>
        <v>1.0416666666666685E-2</v>
      </c>
      <c r="K445" t="str">
        <f t="shared" si="34"/>
        <v>weekday</v>
      </c>
    </row>
    <row r="446" spans="1:11" x14ac:dyDescent="0.4">
      <c r="A446" s="2" t="s">
        <v>1092</v>
      </c>
      <c r="B446" s="3">
        <v>45329</v>
      </c>
      <c r="C446" s="2" t="s">
        <v>1267</v>
      </c>
      <c r="D446" s="2" t="s">
        <v>1258</v>
      </c>
      <c r="E446" s="2">
        <v>7</v>
      </c>
      <c r="F446" s="2" t="s">
        <v>1231</v>
      </c>
      <c r="G446">
        <f t="shared" si="30"/>
        <v>15</v>
      </c>
      <c r="H446" t="str">
        <f t="shared" si="31"/>
        <v>No</v>
      </c>
      <c r="I446" t="str">
        <f t="shared" si="32"/>
        <v>Feb</v>
      </c>
      <c r="J446" s="11">
        <f t="shared" si="33"/>
        <v>0.31250000000000006</v>
      </c>
      <c r="K446" t="str">
        <f t="shared" si="34"/>
        <v>weekday</v>
      </c>
    </row>
    <row r="447" spans="1:11" x14ac:dyDescent="0.4">
      <c r="A447" s="2" t="s">
        <v>1092</v>
      </c>
      <c r="B447" s="3">
        <v>45487</v>
      </c>
      <c r="C447" s="2" t="s">
        <v>1251</v>
      </c>
      <c r="D447" s="2" t="s">
        <v>1256</v>
      </c>
      <c r="E447" s="2">
        <v>8</v>
      </c>
      <c r="F447" s="2" t="s">
        <v>1231</v>
      </c>
      <c r="G447">
        <f t="shared" si="30"/>
        <v>15</v>
      </c>
      <c r="H447" t="str">
        <f t="shared" si="31"/>
        <v>No</v>
      </c>
      <c r="I447" t="str">
        <f t="shared" si="32"/>
        <v>Jul</v>
      </c>
      <c r="J447" s="11">
        <f t="shared" si="33"/>
        <v>3.125E-2</v>
      </c>
      <c r="K447" t="str">
        <f t="shared" si="34"/>
        <v>weekend</v>
      </c>
    </row>
    <row r="448" spans="1:11" x14ac:dyDescent="0.4">
      <c r="A448" s="2" t="s">
        <v>1094</v>
      </c>
      <c r="B448" s="3">
        <v>45487</v>
      </c>
      <c r="C448" s="2" t="s">
        <v>1230</v>
      </c>
      <c r="D448" s="2" t="s">
        <v>1272</v>
      </c>
      <c r="E448" s="2">
        <v>8</v>
      </c>
      <c r="F448" s="2" t="s">
        <v>1231</v>
      </c>
      <c r="G448">
        <f t="shared" si="30"/>
        <v>8</v>
      </c>
      <c r="H448" t="str">
        <f t="shared" si="31"/>
        <v>No</v>
      </c>
      <c r="I448" t="str">
        <f t="shared" si="32"/>
        <v>Jul</v>
      </c>
      <c r="J448" s="11">
        <f t="shared" si="33"/>
        <v>6.25E-2</v>
      </c>
      <c r="K448" t="str">
        <f t="shared" si="34"/>
        <v>weekend</v>
      </c>
    </row>
    <row r="449" spans="1:11" x14ac:dyDescent="0.4">
      <c r="A449" s="2" t="s">
        <v>1098</v>
      </c>
      <c r="B449" s="3">
        <v>45593</v>
      </c>
      <c r="C449" s="2" t="s">
        <v>1236</v>
      </c>
      <c r="D449" s="2" t="s">
        <v>1242</v>
      </c>
      <c r="E449" s="2">
        <v>9</v>
      </c>
      <c r="F449" s="2" t="s">
        <v>1234</v>
      </c>
      <c r="G449">
        <f t="shared" si="30"/>
        <v>9</v>
      </c>
      <c r="H449" t="str">
        <f t="shared" si="31"/>
        <v>No</v>
      </c>
      <c r="I449" t="str">
        <f t="shared" si="32"/>
        <v>Oct</v>
      </c>
      <c r="J449" s="11">
        <f t="shared" si="33"/>
        <v>0.18749999999999994</v>
      </c>
      <c r="K449" t="str">
        <f t="shared" si="34"/>
        <v>weekday</v>
      </c>
    </row>
    <row r="450" spans="1:11" x14ac:dyDescent="0.4">
      <c r="A450" s="2" t="s">
        <v>1100</v>
      </c>
      <c r="B450" s="3">
        <v>45322</v>
      </c>
      <c r="C450" s="2" t="s">
        <v>1229</v>
      </c>
      <c r="D450" s="2" t="s">
        <v>1251</v>
      </c>
      <c r="E450" s="2">
        <v>6</v>
      </c>
      <c r="F450" s="2" t="s">
        <v>1234</v>
      </c>
      <c r="G450">
        <f t="shared" si="30"/>
        <v>6</v>
      </c>
      <c r="H450" t="str">
        <f t="shared" si="31"/>
        <v>No</v>
      </c>
      <c r="I450" t="str">
        <f t="shared" si="32"/>
        <v>Jan</v>
      </c>
      <c r="J450" s="11">
        <f t="shared" si="33"/>
        <v>0.3125</v>
      </c>
      <c r="K450" t="str">
        <f t="shared" si="34"/>
        <v>weekday</v>
      </c>
    </row>
    <row r="451" spans="1:11" x14ac:dyDescent="0.4">
      <c r="A451" s="2" t="s">
        <v>1104</v>
      </c>
      <c r="B451" s="3">
        <v>45629</v>
      </c>
      <c r="C451" s="2" t="s">
        <v>1259</v>
      </c>
      <c r="D451" s="2" t="s">
        <v>1265</v>
      </c>
      <c r="E451" s="2">
        <v>10</v>
      </c>
      <c r="F451" s="2" t="s">
        <v>1231</v>
      </c>
      <c r="G451">
        <f t="shared" ref="G451:G501" si="35">SUMIFS($E$2:$E$501,$A$2:$A$501,A451)</f>
        <v>10</v>
      </c>
      <c r="H451" t="str">
        <f t="shared" ref="H451:H501" si="36">IF(COUNTIFS($A$2:$A$501,A451,$F$2:$F$501,"Yes")&gt;5,"Late","No")</f>
        <v>No</v>
      </c>
      <c r="I451" t="str">
        <f t="shared" ref="I451:I501" si="37">TEXT(B451,"mmm")</f>
        <v>Dec</v>
      </c>
      <c r="J451" s="11">
        <f t="shared" ref="J451:J501" si="38">ABS(TIMEVALUE(D451)-TIMEVALUE(C451))</f>
        <v>0.38541666666666669</v>
      </c>
      <c r="K451" t="str">
        <f t="shared" ref="K451:K501" si="39">IF(OR(TEXT(B451,"ddd")="Sat",TEXT(B451,"ddd")="Sun"),"weekend","weekday")</f>
        <v>weekday</v>
      </c>
    </row>
    <row r="452" spans="1:11" x14ac:dyDescent="0.4">
      <c r="A452" s="2" t="s">
        <v>1106</v>
      </c>
      <c r="B452" s="3">
        <v>45510</v>
      </c>
      <c r="C452" s="2" t="s">
        <v>1253</v>
      </c>
      <c r="D452" s="2" t="s">
        <v>1271</v>
      </c>
      <c r="E452" s="2">
        <v>10</v>
      </c>
      <c r="F452" s="2" t="s">
        <v>1231</v>
      </c>
      <c r="G452">
        <f t="shared" si="35"/>
        <v>10</v>
      </c>
      <c r="H452" t="str">
        <f t="shared" si="36"/>
        <v>No</v>
      </c>
      <c r="I452" t="str">
        <f t="shared" si="37"/>
        <v>Aug</v>
      </c>
      <c r="J452" s="11">
        <f t="shared" si="38"/>
        <v>0.14583333333333337</v>
      </c>
      <c r="K452" t="str">
        <f t="shared" si="39"/>
        <v>weekday</v>
      </c>
    </row>
    <row r="453" spans="1:11" x14ac:dyDescent="0.4">
      <c r="A453" s="2" t="s">
        <v>1108</v>
      </c>
      <c r="B453" s="3">
        <v>45572</v>
      </c>
      <c r="C453" s="2" t="s">
        <v>1248</v>
      </c>
      <c r="D453" s="2" t="s">
        <v>1274</v>
      </c>
      <c r="E453" s="2">
        <v>8</v>
      </c>
      <c r="F453" s="2" t="s">
        <v>1231</v>
      </c>
      <c r="G453">
        <f t="shared" si="35"/>
        <v>8</v>
      </c>
      <c r="H453" t="str">
        <f t="shared" si="36"/>
        <v>No</v>
      </c>
      <c r="I453" t="str">
        <f t="shared" si="37"/>
        <v>Oct</v>
      </c>
      <c r="J453" s="11">
        <f t="shared" si="38"/>
        <v>0.39583333333333337</v>
      </c>
      <c r="K453" t="str">
        <f t="shared" si="39"/>
        <v>weekday</v>
      </c>
    </row>
    <row r="454" spans="1:11" x14ac:dyDescent="0.4">
      <c r="A454" s="2" t="s">
        <v>1110</v>
      </c>
      <c r="B454" s="3">
        <v>45552</v>
      </c>
      <c r="C454" s="2" t="s">
        <v>1241</v>
      </c>
      <c r="D454" s="2" t="s">
        <v>1266</v>
      </c>
      <c r="E454" s="2">
        <v>8</v>
      </c>
      <c r="F454" s="2" t="s">
        <v>1234</v>
      </c>
      <c r="G454">
        <f t="shared" si="35"/>
        <v>14</v>
      </c>
      <c r="H454" t="str">
        <f t="shared" si="36"/>
        <v>No</v>
      </c>
      <c r="I454" t="str">
        <f t="shared" si="37"/>
        <v>Sep</v>
      </c>
      <c r="J454" s="11">
        <f t="shared" si="38"/>
        <v>3.125E-2</v>
      </c>
      <c r="K454" t="str">
        <f t="shared" si="39"/>
        <v>weekday</v>
      </c>
    </row>
    <row r="455" spans="1:11" x14ac:dyDescent="0.4">
      <c r="A455" s="2" t="s">
        <v>1110</v>
      </c>
      <c r="B455" s="3">
        <v>45359</v>
      </c>
      <c r="C455" s="2" t="s">
        <v>1246</v>
      </c>
      <c r="D455" s="2" t="s">
        <v>1264</v>
      </c>
      <c r="E455" s="2">
        <v>6</v>
      </c>
      <c r="F455" s="2" t="s">
        <v>1231</v>
      </c>
      <c r="G455">
        <f t="shared" si="35"/>
        <v>14</v>
      </c>
      <c r="H455" t="str">
        <f t="shared" si="36"/>
        <v>No</v>
      </c>
      <c r="I455" t="str">
        <f t="shared" si="37"/>
        <v>Mar</v>
      </c>
      <c r="J455" s="11">
        <f t="shared" si="38"/>
        <v>1.0416666666666685E-2</v>
      </c>
      <c r="K455" t="str">
        <f t="shared" si="39"/>
        <v>weekday</v>
      </c>
    </row>
    <row r="456" spans="1:11" x14ac:dyDescent="0.4">
      <c r="A456" s="2" t="s">
        <v>1112</v>
      </c>
      <c r="B456" s="3">
        <v>45595</v>
      </c>
      <c r="C456" s="2" t="s">
        <v>1230</v>
      </c>
      <c r="D456" s="2" t="s">
        <v>1239</v>
      </c>
      <c r="E456" s="2">
        <v>6</v>
      </c>
      <c r="F456" s="2" t="s">
        <v>1234</v>
      </c>
      <c r="G456">
        <f t="shared" si="35"/>
        <v>6</v>
      </c>
      <c r="H456" t="str">
        <f t="shared" si="36"/>
        <v>No</v>
      </c>
      <c r="I456" t="str">
        <f t="shared" si="37"/>
        <v>Oct</v>
      </c>
      <c r="J456" s="11">
        <f t="shared" si="38"/>
        <v>3.125E-2</v>
      </c>
      <c r="K456" t="str">
        <f t="shared" si="39"/>
        <v>weekday</v>
      </c>
    </row>
    <row r="457" spans="1:11" x14ac:dyDescent="0.4">
      <c r="A457" s="2" t="s">
        <v>1114</v>
      </c>
      <c r="B457" s="3">
        <v>45472</v>
      </c>
      <c r="C457" s="2" t="s">
        <v>1258</v>
      </c>
      <c r="D457" s="2" t="s">
        <v>1250</v>
      </c>
      <c r="E457" s="2">
        <v>9</v>
      </c>
      <c r="F457" s="2" t="s">
        <v>1231</v>
      </c>
      <c r="G457">
        <f t="shared" si="35"/>
        <v>9</v>
      </c>
      <c r="H457" t="str">
        <f t="shared" si="36"/>
        <v>No</v>
      </c>
      <c r="I457" t="str">
        <f t="shared" si="37"/>
        <v>Jun</v>
      </c>
      <c r="J457" s="11">
        <f t="shared" si="38"/>
        <v>0.34375000000000006</v>
      </c>
      <c r="K457" t="str">
        <f t="shared" si="39"/>
        <v>weekend</v>
      </c>
    </row>
    <row r="458" spans="1:11" x14ac:dyDescent="0.4">
      <c r="A458" s="2" t="s">
        <v>1118</v>
      </c>
      <c r="B458" s="3">
        <v>45419</v>
      </c>
      <c r="C458" s="2" t="s">
        <v>1237</v>
      </c>
      <c r="D458" s="2" t="s">
        <v>1272</v>
      </c>
      <c r="E458" s="2">
        <v>6</v>
      </c>
      <c r="F458" s="2" t="s">
        <v>1231</v>
      </c>
      <c r="G458">
        <f t="shared" si="35"/>
        <v>6</v>
      </c>
      <c r="H458" t="str">
        <f t="shared" si="36"/>
        <v>No</v>
      </c>
      <c r="I458" t="str">
        <f t="shared" si="37"/>
        <v>May</v>
      </c>
      <c r="J458" s="11">
        <f t="shared" si="38"/>
        <v>0.19791666666666663</v>
      </c>
      <c r="K458" t="str">
        <f t="shared" si="39"/>
        <v>weekday</v>
      </c>
    </row>
    <row r="459" spans="1:11" x14ac:dyDescent="0.4">
      <c r="A459" s="2" t="s">
        <v>1122</v>
      </c>
      <c r="B459" s="3">
        <v>45463</v>
      </c>
      <c r="C459" s="2" t="s">
        <v>1236</v>
      </c>
      <c r="D459" s="2" t="s">
        <v>1260</v>
      </c>
      <c r="E459" s="2">
        <v>6</v>
      </c>
      <c r="F459" s="2" t="s">
        <v>1234</v>
      </c>
      <c r="G459">
        <f t="shared" si="35"/>
        <v>6</v>
      </c>
      <c r="H459" t="str">
        <f t="shared" si="36"/>
        <v>No</v>
      </c>
      <c r="I459" t="str">
        <f t="shared" si="37"/>
        <v>Jun</v>
      </c>
      <c r="J459" s="11">
        <f t="shared" si="38"/>
        <v>0.15625</v>
      </c>
      <c r="K459" t="str">
        <f t="shared" si="39"/>
        <v>weekday</v>
      </c>
    </row>
    <row r="460" spans="1:11" x14ac:dyDescent="0.4">
      <c r="A460" s="2" t="s">
        <v>1124</v>
      </c>
      <c r="B460" s="3">
        <v>45363</v>
      </c>
      <c r="C460" s="2" t="s">
        <v>1229</v>
      </c>
      <c r="D460" s="2" t="s">
        <v>1256</v>
      </c>
      <c r="E460" s="2">
        <v>9</v>
      </c>
      <c r="F460" s="2" t="s">
        <v>1234</v>
      </c>
      <c r="G460">
        <f t="shared" si="35"/>
        <v>17</v>
      </c>
      <c r="H460" t="str">
        <f t="shared" si="36"/>
        <v>No</v>
      </c>
      <c r="I460" t="str">
        <f t="shared" si="37"/>
        <v>Mar</v>
      </c>
      <c r="J460" s="11">
        <f t="shared" si="38"/>
        <v>0.34375</v>
      </c>
      <c r="K460" t="str">
        <f t="shared" si="39"/>
        <v>weekday</v>
      </c>
    </row>
    <row r="461" spans="1:11" x14ac:dyDescent="0.4">
      <c r="A461" s="2" t="s">
        <v>1124</v>
      </c>
      <c r="B461" s="3">
        <v>45451</v>
      </c>
      <c r="C461" s="2" t="s">
        <v>1256</v>
      </c>
      <c r="D461" s="2" t="s">
        <v>1247</v>
      </c>
      <c r="E461" s="2">
        <v>8</v>
      </c>
      <c r="F461" s="2" t="s">
        <v>1231</v>
      </c>
      <c r="G461">
        <f t="shared" si="35"/>
        <v>17</v>
      </c>
      <c r="H461" t="str">
        <f t="shared" si="36"/>
        <v>No</v>
      </c>
      <c r="I461" t="str">
        <f t="shared" si="37"/>
        <v>Jun</v>
      </c>
      <c r="J461" s="11">
        <f t="shared" si="38"/>
        <v>9.375E-2</v>
      </c>
      <c r="K461" t="str">
        <f t="shared" si="39"/>
        <v>weekend</v>
      </c>
    </row>
    <row r="462" spans="1:11" x14ac:dyDescent="0.4">
      <c r="A462" s="2" t="s">
        <v>1126</v>
      </c>
      <c r="B462" s="3">
        <v>45613</v>
      </c>
      <c r="C462" s="2" t="s">
        <v>1246</v>
      </c>
      <c r="D462" s="2" t="s">
        <v>1239</v>
      </c>
      <c r="E462" s="2">
        <v>10</v>
      </c>
      <c r="F462" s="2" t="s">
        <v>1234</v>
      </c>
      <c r="G462">
        <f t="shared" si="35"/>
        <v>10</v>
      </c>
      <c r="H462" t="str">
        <f t="shared" si="36"/>
        <v>No</v>
      </c>
      <c r="I462" t="str">
        <f t="shared" si="37"/>
        <v>Nov</v>
      </c>
      <c r="J462" s="11">
        <f t="shared" si="38"/>
        <v>5.2083333333333315E-2</v>
      </c>
      <c r="K462" t="str">
        <f t="shared" si="39"/>
        <v>weekend</v>
      </c>
    </row>
    <row r="463" spans="1:11" x14ac:dyDescent="0.4">
      <c r="A463" s="2" t="s">
        <v>1128</v>
      </c>
      <c r="B463" s="3">
        <v>45466</v>
      </c>
      <c r="C463" s="2" t="s">
        <v>1259</v>
      </c>
      <c r="D463" s="2" t="s">
        <v>1245</v>
      </c>
      <c r="E463" s="2">
        <v>9</v>
      </c>
      <c r="F463" s="2" t="s">
        <v>1234</v>
      </c>
      <c r="G463">
        <f t="shared" si="35"/>
        <v>9</v>
      </c>
      <c r="H463" t="str">
        <f t="shared" si="36"/>
        <v>No</v>
      </c>
      <c r="I463" t="str">
        <f t="shared" si="37"/>
        <v>Jun</v>
      </c>
      <c r="J463" s="11">
        <f t="shared" si="38"/>
        <v>0.14583333333333337</v>
      </c>
      <c r="K463" t="str">
        <f t="shared" si="39"/>
        <v>weekend</v>
      </c>
    </row>
    <row r="464" spans="1:11" x14ac:dyDescent="0.4">
      <c r="A464" s="2" t="s">
        <v>1134</v>
      </c>
      <c r="B464" s="3">
        <v>45429</v>
      </c>
      <c r="C464" s="2" t="s">
        <v>1235</v>
      </c>
      <c r="D464" s="2" t="s">
        <v>1235</v>
      </c>
      <c r="E464" s="2">
        <v>7</v>
      </c>
      <c r="F464" s="2" t="s">
        <v>1231</v>
      </c>
      <c r="G464">
        <f t="shared" si="35"/>
        <v>7</v>
      </c>
      <c r="H464" t="str">
        <f t="shared" si="36"/>
        <v>No</v>
      </c>
      <c r="I464" t="str">
        <f t="shared" si="37"/>
        <v>May</v>
      </c>
      <c r="J464" s="11">
        <f t="shared" si="38"/>
        <v>0</v>
      </c>
      <c r="K464" t="str">
        <f t="shared" si="39"/>
        <v>weekday</v>
      </c>
    </row>
    <row r="465" spans="1:11" x14ac:dyDescent="0.4">
      <c r="A465" s="2" t="s">
        <v>1140</v>
      </c>
      <c r="B465" s="3">
        <v>45332</v>
      </c>
      <c r="C465" s="2" t="s">
        <v>1243</v>
      </c>
      <c r="D465" s="2" t="s">
        <v>1262</v>
      </c>
      <c r="E465" s="2">
        <v>9</v>
      </c>
      <c r="F465" s="2" t="s">
        <v>1231</v>
      </c>
      <c r="G465">
        <f t="shared" si="35"/>
        <v>9</v>
      </c>
      <c r="H465" t="str">
        <f t="shared" si="36"/>
        <v>No</v>
      </c>
      <c r="I465" t="str">
        <f t="shared" si="37"/>
        <v>Feb</v>
      </c>
      <c r="J465" s="11">
        <f t="shared" si="38"/>
        <v>7.2916666666666741E-2</v>
      </c>
      <c r="K465" t="str">
        <f t="shared" si="39"/>
        <v>weekend</v>
      </c>
    </row>
    <row r="466" spans="1:11" x14ac:dyDescent="0.4">
      <c r="A466" s="2" t="s">
        <v>1142</v>
      </c>
      <c r="B466" s="3">
        <v>45506</v>
      </c>
      <c r="C466" s="2" t="s">
        <v>1267</v>
      </c>
      <c r="D466" s="2" t="s">
        <v>1252</v>
      </c>
      <c r="E466" s="2">
        <v>6</v>
      </c>
      <c r="F466" s="2" t="s">
        <v>1231</v>
      </c>
      <c r="G466">
        <f t="shared" si="35"/>
        <v>6</v>
      </c>
      <c r="H466" t="str">
        <f t="shared" si="36"/>
        <v>No</v>
      </c>
      <c r="I466" t="str">
        <f t="shared" si="37"/>
        <v>Aug</v>
      </c>
      <c r="J466" s="11">
        <f t="shared" si="38"/>
        <v>9.375E-2</v>
      </c>
      <c r="K466" t="str">
        <f t="shared" si="39"/>
        <v>weekday</v>
      </c>
    </row>
    <row r="467" spans="1:11" x14ac:dyDescent="0.4">
      <c r="A467" s="2" t="s">
        <v>1144</v>
      </c>
      <c r="B467" s="3">
        <v>45333</v>
      </c>
      <c r="C467" s="2" t="s">
        <v>1235</v>
      </c>
      <c r="D467" s="2" t="s">
        <v>1269</v>
      </c>
      <c r="E467" s="2">
        <v>6</v>
      </c>
      <c r="F467" s="2" t="s">
        <v>1231</v>
      </c>
      <c r="G467">
        <f t="shared" si="35"/>
        <v>6</v>
      </c>
      <c r="H467" t="str">
        <f t="shared" si="36"/>
        <v>No</v>
      </c>
      <c r="I467" t="str">
        <f t="shared" si="37"/>
        <v>Feb</v>
      </c>
      <c r="J467" s="11">
        <f t="shared" si="38"/>
        <v>0.23958333333333337</v>
      </c>
      <c r="K467" t="str">
        <f t="shared" si="39"/>
        <v>weekend</v>
      </c>
    </row>
    <row r="468" spans="1:11" x14ac:dyDescent="0.4">
      <c r="A468" s="2" t="s">
        <v>1148</v>
      </c>
      <c r="B468" s="3">
        <v>45599</v>
      </c>
      <c r="C468" s="2" t="s">
        <v>1252</v>
      </c>
      <c r="D468" s="2" t="s">
        <v>1267</v>
      </c>
      <c r="E468" s="2">
        <v>6</v>
      </c>
      <c r="F468" s="2" t="s">
        <v>1234</v>
      </c>
      <c r="G468">
        <f t="shared" si="35"/>
        <v>6</v>
      </c>
      <c r="H468" t="str">
        <f t="shared" si="36"/>
        <v>No</v>
      </c>
      <c r="I468" t="str">
        <f t="shared" si="37"/>
        <v>Nov</v>
      </c>
      <c r="J468" s="11">
        <f t="shared" si="38"/>
        <v>9.375E-2</v>
      </c>
      <c r="K468" t="str">
        <f t="shared" si="39"/>
        <v>weekend</v>
      </c>
    </row>
    <row r="469" spans="1:11" x14ac:dyDescent="0.4">
      <c r="A469" s="2" t="s">
        <v>1156</v>
      </c>
      <c r="B469" s="3">
        <v>45324</v>
      </c>
      <c r="C469" s="2" t="s">
        <v>1261</v>
      </c>
      <c r="D469" s="2" t="s">
        <v>1270</v>
      </c>
      <c r="E469" s="2">
        <v>10</v>
      </c>
      <c r="F469" s="2" t="s">
        <v>1234</v>
      </c>
      <c r="G469">
        <f t="shared" si="35"/>
        <v>19</v>
      </c>
      <c r="H469" t="str">
        <f t="shared" si="36"/>
        <v>No</v>
      </c>
      <c r="I469" t="str">
        <f t="shared" si="37"/>
        <v>Feb</v>
      </c>
      <c r="J469" s="11">
        <f t="shared" si="38"/>
        <v>9.375E-2</v>
      </c>
      <c r="K469" t="str">
        <f t="shared" si="39"/>
        <v>weekday</v>
      </c>
    </row>
    <row r="470" spans="1:11" x14ac:dyDescent="0.4">
      <c r="A470" s="2" t="s">
        <v>1156</v>
      </c>
      <c r="B470" s="3">
        <v>45383</v>
      </c>
      <c r="C470" s="2" t="s">
        <v>1261</v>
      </c>
      <c r="D470" s="2" t="s">
        <v>1260</v>
      </c>
      <c r="E470" s="2">
        <v>9</v>
      </c>
      <c r="F470" s="2" t="s">
        <v>1231</v>
      </c>
      <c r="G470">
        <f t="shared" si="35"/>
        <v>19</v>
      </c>
      <c r="H470" t="str">
        <f t="shared" si="36"/>
        <v>No</v>
      </c>
      <c r="I470" t="str">
        <f t="shared" si="37"/>
        <v>Apr</v>
      </c>
      <c r="J470" s="11">
        <f t="shared" si="38"/>
        <v>3.125E-2</v>
      </c>
      <c r="K470" t="str">
        <f t="shared" si="39"/>
        <v>weekday</v>
      </c>
    </row>
    <row r="471" spans="1:11" x14ac:dyDescent="0.4">
      <c r="A471" s="2" t="s">
        <v>1158</v>
      </c>
      <c r="B471" s="3">
        <v>45651</v>
      </c>
      <c r="C471" s="2" t="s">
        <v>1257</v>
      </c>
      <c r="D471" s="2" t="s">
        <v>1255</v>
      </c>
      <c r="E471" s="2">
        <v>7</v>
      </c>
      <c r="F471" s="2" t="s">
        <v>1234</v>
      </c>
      <c r="G471">
        <f t="shared" si="35"/>
        <v>15</v>
      </c>
      <c r="H471" t="str">
        <f t="shared" si="36"/>
        <v>No</v>
      </c>
      <c r="I471" t="str">
        <f t="shared" si="37"/>
        <v>Dec</v>
      </c>
      <c r="J471" s="11">
        <f t="shared" si="38"/>
        <v>2.083333333333337E-2</v>
      </c>
      <c r="K471" t="str">
        <f t="shared" si="39"/>
        <v>weekday</v>
      </c>
    </row>
    <row r="472" spans="1:11" x14ac:dyDescent="0.4">
      <c r="A472" s="2" t="s">
        <v>1158</v>
      </c>
      <c r="B472" s="3">
        <v>45631</v>
      </c>
      <c r="C472" s="2" t="s">
        <v>1250</v>
      </c>
      <c r="D472" s="2" t="s">
        <v>1260</v>
      </c>
      <c r="E472" s="2">
        <v>8</v>
      </c>
      <c r="F472" s="2" t="s">
        <v>1231</v>
      </c>
      <c r="G472">
        <f t="shared" si="35"/>
        <v>15</v>
      </c>
      <c r="H472" t="str">
        <f t="shared" si="36"/>
        <v>No</v>
      </c>
      <c r="I472" t="str">
        <f t="shared" si="37"/>
        <v>Dec</v>
      </c>
      <c r="J472" s="11">
        <f t="shared" si="38"/>
        <v>0.33333333333333331</v>
      </c>
      <c r="K472" t="str">
        <f t="shared" si="39"/>
        <v>weekday</v>
      </c>
    </row>
    <row r="473" spans="1:11" x14ac:dyDescent="0.4">
      <c r="A473" s="2" t="s">
        <v>1160</v>
      </c>
      <c r="B473" s="3">
        <v>45395</v>
      </c>
      <c r="C473" s="2" t="s">
        <v>1265</v>
      </c>
      <c r="D473" s="2" t="s">
        <v>1264</v>
      </c>
      <c r="E473" s="2">
        <v>7</v>
      </c>
      <c r="F473" s="2" t="s">
        <v>1231</v>
      </c>
      <c r="G473">
        <f t="shared" si="35"/>
        <v>7</v>
      </c>
      <c r="H473" t="str">
        <f t="shared" si="36"/>
        <v>No</v>
      </c>
      <c r="I473" t="str">
        <f t="shared" si="37"/>
        <v>Apr</v>
      </c>
      <c r="J473" s="11">
        <f t="shared" si="38"/>
        <v>0.3125</v>
      </c>
      <c r="K473" t="str">
        <f t="shared" si="39"/>
        <v>weekend</v>
      </c>
    </row>
    <row r="474" spans="1:11" x14ac:dyDescent="0.4">
      <c r="A474" s="2" t="s">
        <v>1164</v>
      </c>
      <c r="B474" s="3">
        <v>45352</v>
      </c>
      <c r="C474" s="2" t="s">
        <v>1270</v>
      </c>
      <c r="D474" s="2" t="s">
        <v>1267</v>
      </c>
      <c r="E474" s="2">
        <v>6</v>
      </c>
      <c r="F474" s="2" t="s">
        <v>1231</v>
      </c>
      <c r="G474">
        <f t="shared" si="35"/>
        <v>6</v>
      </c>
      <c r="H474" t="str">
        <f t="shared" si="36"/>
        <v>No</v>
      </c>
      <c r="I474" t="str">
        <f t="shared" si="37"/>
        <v>Mar</v>
      </c>
      <c r="J474" s="11">
        <f t="shared" si="38"/>
        <v>0.23958333333333331</v>
      </c>
      <c r="K474" t="str">
        <f t="shared" si="39"/>
        <v>weekday</v>
      </c>
    </row>
    <row r="475" spans="1:11" x14ac:dyDescent="0.4">
      <c r="A475" s="2" t="s">
        <v>1168</v>
      </c>
      <c r="B475" s="3">
        <v>45575</v>
      </c>
      <c r="C475" s="2" t="s">
        <v>1243</v>
      </c>
      <c r="D475" s="2" t="s">
        <v>1246</v>
      </c>
      <c r="E475" s="2">
        <v>10</v>
      </c>
      <c r="F475" s="2" t="s">
        <v>1231</v>
      </c>
      <c r="G475">
        <f t="shared" si="35"/>
        <v>10</v>
      </c>
      <c r="H475" t="str">
        <f t="shared" si="36"/>
        <v>No</v>
      </c>
      <c r="I475" t="str">
        <f t="shared" si="37"/>
        <v>Oct</v>
      </c>
      <c r="J475" s="11">
        <f t="shared" si="38"/>
        <v>0.24999999999999994</v>
      </c>
      <c r="K475" t="str">
        <f t="shared" si="39"/>
        <v>weekday</v>
      </c>
    </row>
    <row r="476" spans="1:11" x14ac:dyDescent="0.4">
      <c r="A476" s="2" t="s">
        <v>1170</v>
      </c>
      <c r="B476" s="3">
        <v>45305</v>
      </c>
      <c r="C476" s="2" t="s">
        <v>1255</v>
      </c>
      <c r="D476" s="2" t="s">
        <v>1273</v>
      </c>
      <c r="E476" s="2">
        <v>10</v>
      </c>
      <c r="F476" s="2" t="s">
        <v>1231</v>
      </c>
      <c r="G476">
        <f t="shared" si="35"/>
        <v>10</v>
      </c>
      <c r="H476" t="str">
        <f t="shared" si="36"/>
        <v>No</v>
      </c>
      <c r="I476" t="str">
        <f t="shared" si="37"/>
        <v>Jan</v>
      </c>
      <c r="J476" s="11">
        <f t="shared" si="38"/>
        <v>5.2083333333333259E-2</v>
      </c>
      <c r="K476" t="str">
        <f t="shared" si="39"/>
        <v>weekend</v>
      </c>
    </row>
    <row r="477" spans="1:11" x14ac:dyDescent="0.4">
      <c r="A477" s="2" t="s">
        <v>1172</v>
      </c>
      <c r="B477" s="3">
        <v>45542</v>
      </c>
      <c r="C477" s="2" t="s">
        <v>1247</v>
      </c>
      <c r="D477" s="2" t="s">
        <v>1240</v>
      </c>
      <c r="E477" s="2">
        <v>8</v>
      </c>
      <c r="F477" s="2" t="s">
        <v>1234</v>
      </c>
      <c r="G477">
        <f t="shared" si="35"/>
        <v>8</v>
      </c>
      <c r="H477" t="str">
        <f t="shared" si="36"/>
        <v>No</v>
      </c>
      <c r="I477" t="str">
        <f t="shared" si="37"/>
        <v>Sep</v>
      </c>
      <c r="J477" s="11">
        <f t="shared" si="38"/>
        <v>0.1875</v>
      </c>
      <c r="K477" t="str">
        <f t="shared" si="39"/>
        <v>weekend</v>
      </c>
    </row>
    <row r="478" spans="1:11" x14ac:dyDescent="0.4">
      <c r="A478" s="2" t="s">
        <v>1176</v>
      </c>
      <c r="B478" s="3">
        <v>45588</v>
      </c>
      <c r="C478" s="2" t="s">
        <v>1264</v>
      </c>
      <c r="D478" s="2" t="s">
        <v>1241</v>
      </c>
      <c r="E478" s="2">
        <v>7</v>
      </c>
      <c r="F478" s="2" t="s">
        <v>1234</v>
      </c>
      <c r="G478">
        <f t="shared" si="35"/>
        <v>7</v>
      </c>
      <c r="H478" t="str">
        <f t="shared" si="36"/>
        <v>No</v>
      </c>
      <c r="I478" t="str">
        <f t="shared" si="37"/>
        <v>Oct</v>
      </c>
      <c r="J478" s="11">
        <f t="shared" si="38"/>
        <v>2.0833333333333315E-2</v>
      </c>
      <c r="K478" t="str">
        <f t="shared" si="39"/>
        <v>weekday</v>
      </c>
    </row>
    <row r="479" spans="1:11" x14ac:dyDescent="0.4">
      <c r="A479" s="2" t="s">
        <v>1180</v>
      </c>
      <c r="B479" s="3">
        <v>45300</v>
      </c>
      <c r="C479" s="2" t="s">
        <v>1238</v>
      </c>
      <c r="D479" s="2" t="s">
        <v>1256</v>
      </c>
      <c r="E479" s="2">
        <v>6</v>
      </c>
      <c r="F479" s="2" t="s">
        <v>1231</v>
      </c>
      <c r="G479">
        <f t="shared" si="35"/>
        <v>6</v>
      </c>
      <c r="H479" t="str">
        <f t="shared" si="36"/>
        <v>No</v>
      </c>
      <c r="I479" t="str">
        <f t="shared" si="37"/>
        <v>Jan</v>
      </c>
      <c r="J479" s="11">
        <f t="shared" si="38"/>
        <v>4.166666666666663E-2</v>
      </c>
      <c r="K479" t="str">
        <f t="shared" si="39"/>
        <v>weekday</v>
      </c>
    </row>
    <row r="480" spans="1:11" x14ac:dyDescent="0.4">
      <c r="A480" s="2" t="s">
        <v>1182</v>
      </c>
      <c r="B480" s="3">
        <v>45519</v>
      </c>
      <c r="C480" s="2" t="s">
        <v>1268</v>
      </c>
      <c r="D480" s="2" t="s">
        <v>1229</v>
      </c>
      <c r="E480" s="2">
        <v>8</v>
      </c>
      <c r="F480" s="2" t="s">
        <v>1234</v>
      </c>
      <c r="G480">
        <f t="shared" si="35"/>
        <v>37</v>
      </c>
      <c r="H480" t="str">
        <f t="shared" si="36"/>
        <v>No</v>
      </c>
      <c r="I480" t="str">
        <f t="shared" si="37"/>
        <v>Aug</v>
      </c>
      <c r="J480" s="11">
        <f t="shared" si="38"/>
        <v>4.1666666666666685E-2</v>
      </c>
      <c r="K480" t="str">
        <f t="shared" si="39"/>
        <v>weekday</v>
      </c>
    </row>
    <row r="481" spans="1:11" x14ac:dyDescent="0.4">
      <c r="A481" s="2" t="s">
        <v>1182</v>
      </c>
      <c r="B481" s="3">
        <v>45451</v>
      </c>
      <c r="C481" s="2" t="s">
        <v>1237</v>
      </c>
      <c r="D481" s="2" t="s">
        <v>1232</v>
      </c>
      <c r="E481" s="2">
        <v>10</v>
      </c>
      <c r="F481" s="2" t="s">
        <v>1234</v>
      </c>
      <c r="G481">
        <f t="shared" si="35"/>
        <v>37</v>
      </c>
      <c r="H481" t="str">
        <f t="shared" si="36"/>
        <v>No</v>
      </c>
      <c r="I481" t="str">
        <f t="shared" si="37"/>
        <v>Jun</v>
      </c>
      <c r="J481" s="11">
        <f t="shared" si="38"/>
        <v>0.1875</v>
      </c>
      <c r="K481" t="str">
        <f t="shared" si="39"/>
        <v>weekend</v>
      </c>
    </row>
    <row r="482" spans="1:11" x14ac:dyDescent="0.4">
      <c r="A482" s="2" t="s">
        <v>1182</v>
      </c>
      <c r="B482" s="3">
        <v>45601</v>
      </c>
      <c r="C482" s="2" t="s">
        <v>1245</v>
      </c>
      <c r="D482" s="2" t="s">
        <v>1269</v>
      </c>
      <c r="E482" s="2">
        <v>9</v>
      </c>
      <c r="F482" s="2" t="s">
        <v>1231</v>
      </c>
      <c r="G482">
        <f t="shared" si="35"/>
        <v>37</v>
      </c>
      <c r="H482" t="str">
        <f t="shared" si="36"/>
        <v>No</v>
      </c>
      <c r="I482" t="str">
        <f t="shared" si="37"/>
        <v>Nov</v>
      </c>
      <c r="J482" s="11">
        <f t="shared" si="38"/>
        <v>3.1249999999999944E-2</v>
      </c>
      <c r="K482" t="str">
        <f t="shared" si="39"/>
        <v>weekday</v>
      </c>
    </row>
    <row r="483" spans="1:11" x14ac:dyDescent="0.4">
      <c r="A483" s="2" t="s">
        <v>1182</v>
      </c>
      <c r="B483" s="3">
        <v>45542</v>
      </c>
      <c r="C483" s="2" t="s">
        <v>1232</v>
      </c>
      <c r="D483" s="2" t="s">
        <v>1235</v>
      </c>
      <c r="E483" s="2">
        <v>10</v>
      </c>
      <c r="F483" s="2" t="s">
        <v>1234</v>
      </c>
      <c r="G483">
        <f t="shared" si="35"/>
        <v>37</v>
      </c>
      <c r="H483" t="str">
        <f t="shared" si="36"/>
        <v>No</v>
      </c>
      <c r="I483" t="str">
        <f t="shared" si="37"/>
        <v>Sep</v>
      </c>
      <c r="J483" s="11">
        <f t="shared" si="38"/>
        <v>0.17708333333333337</v>
      </c>
      <c r="K483" t="str">
        <f t="shared" si="39"/>
        <v>weekend</v>
      </c>
    </row>
    <row r="484" spans="1:11" x14ac:dyDescent="0.4">
      <c r="A484" s="2" t="s">
        <v>1184</v>
      </c>
      <c r="B484" s="3">
        <v>45630</v>
      </c>
      <c r="C484" s="2" t="s">
        <v>1251</v>
      </c>
      <c r="D484" s="2" t="s">
        <v>1242</v>
      </c>
      <c r="E484" s="2">
        <v>10</v>
      </c>
      <c r="F484" s="2" t="s">
        <v>1234</v>
      </c>
      <c r="G484">
        <f t="shared" si="35"/>
        <v>10</v>
      </c>
      <c r="H484" t="str">
        <f t="shared" si="36"/>
        <v>No</v>
      </c>
      <c r="I484" t="str">
        <f t="shared" si="37"/>
        <v>Dec</v>
      </c>
      <c r="J484" s="11">
        <f t="shared" si="38"/>
        <v>0.30208333333333331</v>
      </c>
      <c r="K484" t="str">
        <f t="shared" si="39"/>
        <v>weekday</v>
      </c>
    </row>
    <row r="485" spans="1:11" x14ac:dyDescent="0.4">
      <c r="A485" s="2" t="s">
        <v>1188</v>
      </c>
      <c r="B485" s="3">
        <v>45467</v>
      </c>
      <c r="C485" s="2" t="s">
        <v>1258</v>
      </c>
      <c r="D485" s="2" t="s">
        <v>1230</v>
      </c>
      <c r="E485" s="2">
        <v>8</v>
      </c>
      <c r="F485" s="2" t="s">
        <v>1231</v>
      </c>
      <c r="G485">
        <f t="shared" si="35"/>
        <v>8</v>
      </c>
      <c r="H485" t="str">
        <f t="shared" si="36"/>
        <v>No</v>
      </c>
      <c r="I485" t="str">
        <f t="shared" si="37"/>
        <v>Jun</v>
      </c>
      <c r="J485" s="11">
        <f t="shared" si="38"/>
        <v>0.20833333333333337</v>
      </c>
      <c r="K485" t="str">
        <f t="shared" si="39"/>
        <v>weekday</v>
      </c>
    </row>
    <row r="486" spans="1:11" x14ac:dyDescent="0.4">
      <c r="A486" s="2" t="s">
        <v>1192</v>
      </c>
      <c r="B486" s="3">
        <v>45580</v>
      </c>
      <c r="C486" s="2" t="s">
        <v>1239</v>
      </c>
      <c r="D486" s="2" t="s">
        <v>1263</v>
      </c>
      <c r="E486" s="2">
        <v>10</v>
      </c>
      <c r="F486" s="2" t="s">
        <v>1231</v>
      </c>
      <c r="G486">
        <f t="shared" si="35"/>
        <v>10</v>
      </c>
      <c r="H486" t="str">
        <f t="shared" si="36"/>
        <v>No</v>
      </c>
      <c r="I486" t="str">
        <f t="shared" si="37"/>
        <v>Oct</v>
      </c>
      <c r="J486" s="11">
        <f t="shared" si="38"/>
        <v>0.14583333333333337</v>
      </c>
      <c r="K486" t="str">
        <f t="shared" si="39"/>
        <v>weekday</v>
      </c>
    </row>
    <row r="487" spans="1:11" x14ac:dyDescent="0.4">
      <c r="A487" s="2" t="s">
        <v>1196</v>
      </c>
      <c r="B487" s="3">
        <v>45584</v>
      </c>
      <c r="C487" s="2" t="s">
        <v>1262</v>
      </c>
      <c r="D487" s="2" t="s">
        <v>1242</v>
      </c>
      <c r="E487" s="2">
        <v>10</v>
      </c>
      <c r="F487" s="2" t="s">
        <v>1231</v>
      </c>
      <c r="G487">
        <f t="shared" si="35"/>
        <v>17</v>
      </c>
      <c r="H487" t="str">
        <f t="shared" si="36"/>
        <v>No</v>
      </c>
      <c r="I487" t="str">
        <f t="shared" si="37"/>
        <v>Oct</v>
      </c>
      <c r="J487" s="11">
        <f t="shared" si="38"/>
        <v>0.38541666666666669</v>
      </c>
      <c r="K487" t="str">
        <f t="shared" si="39"/>
        <v>weekend</v>
      </c>
    </row>
    <row r="488" spans="1:11" x14ac:dyDescent="0.4">
      <c r="A488" s="2" t="s">
        <v>1196</v>
      </c>
      <c r="B488" s="3">
        <v>45412</v>
      </c>
      <c r="C488" s="2" t="s">
        <v>1255</v>
      </c>
      <c r="D488" s="2" t="s">
        <v>1249</v>
      </c>
      <c r="E488" s="2">
        <v>7</v>
      </c>
      <c r="F488" s="2" t="s">
        <v>1234</v>
      </c>
      <c r="G488">
        <f t="shared" si="35"/>
        <v>17</v>
      </c>
      <c r="H488" t="str">
        <f t="shared" si="36"/>
        <v>No</v>
      </c>
      <c r="I488" t="str">
        <f t="shared" si="37"/>
        <v>Apr</v>
      </c>
      <c r="J488" s="11">
        <f t="shared" si="38"/>
        <v>3.125E-2</v>
      </c>
      <c r="K488" t="str">
        <f t="shared" si="39"/>
        <v>weekday</v>
      </c>
    </row>
    <row r="489" spans="1:11" x14ac:dyDescent="0.4">
      <c r="A489" s="2" t="s">
        <v>1198</v>
      </c>
      <c r="B489" s="3">
        <v>45621</v>
      </c>
      <c r="C489" s="2" t="s">
        <v>1229</v>
      </c>
      <c r="D489" s="2" t="s">
        <v>1230</v>
      </c>
      <c r="E489" s="2">
        <v>10</v>
      </c>
      <c r="F489" s="2" t="s">
        <v>1231</v>
      </c>
      <c r="G489">
        <f t="shared" si="35"/>
        <v>10</v>
      </c>
      <c r="H489" t="str">
        <f t="shared" si="36"/>
        <v>No</v>
      </c>
      <c r="I489" t="str">
        <f t="shared" si="37"/>
        <v>Nov</v>
      </c>
      <c r="J489" s="11">
        <f t="shared" si="38"/>
        <v>0.15625</v>
      </c>
      <c r="K489" t="str">
        <f t="shared" si="39"/>
        <v>weekday</v>
      </c>
    </row>
    <row r="490" spans="1:11" x14ac:dyDescent="0.4">
      <c r="A490" s="2" t="s">
        <v>1200</v>
      </c>
      <c r="B490" s="3">
        <v>45566</v>
      </c>
      <c r="C490" s="2" t="s">
        <v>1258</v>
      </c>
      <c r="D490" s="2" t="s">
        <v>1229</v>
      </c>
      <c r="E490" s="2">
        <v>9</v>
      </c>
      <c r="F490" s="2" t="s">
        <v>1234</v>
      </c>
      <c r="G490">
        <f t="shared" si="35"/>
        <v>9</v>
      </c>
      <c r="H490" t="str">
        <f t="shared" si="36"/>
        <v>No</v>
      </c>
      <c r="I490" t="str">
        <f t="shared" si="37"/>
        <v>Oct</v>
      </c>
      <c r="J490" s="11">
        <f t="shared" si="38"/>
        <v>0.36458333333333337</v>
      </c>
      <c r="K490" t="str">
        <f t="shared" si="39"/>
        <v>weekday</v>
      </c>
    </row>
    <row r="491" spans="1:11" x14ac:dyDescent="0.4">
      <c r="A491" s="2" t="s">
        <v>1202</v>
      </c>
      <c r="B491" s="3">
        <v>45571</v>
      </c>
      <c r="C491" s="2" t="s">
        <v>1235</v>
      </c>
      <c r="D491" s="2" t="s">
        <v>1257</v>
      </c>
      <c r="E491" s="2">
        <v>10</v>
      </c>
      <c r="F491" s="2" t="s">
        <v>1234</v>
      </c>
      <c r="G491">
        <f t="shared" si="35"/>
        <v>10</v>
      </c>
      <c r="H491" t="str">
        <f t="shared" si="36"/>
        <v>No</v>
      </c>
      <c r="I491" t="str">
        <f t="shared" si="37"/>
        <v>Oct</v>
      </c>
      <c r="J491" s="11">
        <f t="shared" si="38"/>
        <v>0.21875</v>
      </c>
      <c r="K491" t="str">
        <f t="shared" si="39"/>
        <v>weekend</v>
      </c>
    </row>
    <row r="492" spans="1:11" x14ac:dyDescent="0.4">
      <c r="A492" s="2" t="s">
        <v>1204</v>
      </c>
      <c r="B492" s="3">
        <v>45604</v>
      </c>
      <c r="C492" s="2" t="s">
        <v>1270</v>
      </c>
      <c r="D492" s="2" t="s">
        <v>1273</v>
      </c>
      <c r="E492" s="2">
        <v>9</v>
      </c>
      <c r="F492" s="2" t="s">
        <v>1231</v>
      </c>
      <c r="G492">
        <f t="shared" si="35"/>
        <v>9</v>
      </c>
      <c r="H492" t="str">
        <f t="shared" si="36"/>
        <v>No</v>
      </c>
      <c r="I492" t="str">
        <f t="shared" si="37"/>
        <v>Nov</v>
      </c>
      <c r="J492" s="11">
        <f t="shared" si="38"/>
        <v>3.125E-2</v>
      </c>
      <c r="K492" t="str">
        <f t="shared" si="39"/>
        <v>weekday</v>
      </c>
    </row>
    <row r="493" spans="1:11" x14ac:dyDescent="0.4">
      <c r="A493" s="2" t="s">
        <v>1206</v>
      </c>
      <c r="B493" s="3">
        <v>45526</v>
      </c>
      <c r="C493" s="2" t="s">
        <v>1237</v>
      </c>
      <c r="D493" s="2" t="s">
        <v>1252</v>
      </c>
      <c r="E493" s="2">
        <v>10</v>
      </c>
      <c r="F493" s="2" t="s">
        <v>1231</v>
      </c>
      <c r="G493">
        <f t="shared" si="35"/>
        <v>19</v>
      </c>
      <c r="H493" t="str">
        <f t="shared" si="36"/>
        <v>No</v>
      </c>
      <c r="I493" t="str">
        <f t="shared" si="37"/>
        <v>Aug</v>
      </c>
      <c r="J493" s="11">
        <f t="shared" si="38"/>
        <v>0.27083333333333331</v>
      </c>
      <c r="K493" t="str">
        <f t="shared" si="39"/>
        <v>weekday</v>
      </c>
    </row>
    <row r="494" spans="1:11" x14ac:dyDescent="0.4">
      <c r="A494" s="2" t="s">
        <v>1206</v>
      </c>
      <c r="B494" s="3">
        <v>45490</v>
      </c>
      <c r="C494" s="2" t="s">
        <v>1257</v>
      </c>
      <c r="D494" s="2" t="s">
        <v>1264</v>
      </c>
      <c r="E494" s="2">
        <v>9</v>
      </c>
      <c r="F494" s="2" t="s">
        <v>1231</v>
      </c>
      <c r="G494">
        <f t="shared" si="35"/>
        <v>19</v>
      </c>
      <c r="H494" t="str">
        <f t="shared" si="36"/>
        <v>No</v>
      </c>
      <c r="I494" t="str">
        <f t="shared" si="37"/>
        <v>Jul</v>
      </c>
      <c r="J494" s="11">
        <f t="shared" si="38"/>
        <v>0.125</v>
      </c>
      <c r="K494" t="str">
        <f t="shared" si="39"/>
        <v>weekday</v>
      </c>
    </row>
    <row r="495" spans="1:11" x14ac:dyDescent="0.4">
      <c r="A495" s="2" t="s">
        <v>1210</v>
      </c>
      <c r="B495" s="3">
        <v>45425</v>
      </c>
      <c r="C495" s="2" t="s">
        <v>1240</v>
      </c>
      <c r="D495" s="2" t="s">
        <v>1230</v>
      </c>
      <c r="E495" s="2">
        <v>6</v>
      </c>
      <c r="F495" s="2" t="s">
        <v>1234</v>
      </c>
      <c r="G495">
        <f t="shared" si="35"/>
        <v>23</v>
      </c>
      <c r="H495" t="str">
        <f t="shared" si="36"/>
        <v>No</v>
      </c>
      <c r="I495" t="str">
        <f t="shared" si="37"/>
        <v>May</v>
      </c>
      <c r="J495" s="11">
        <f t="shared" si="38"/>
        <v>9.375E-2</v>
      </c>
      <c r="K495" t="str">
        <f t="shared" si="39"/>
        <v>weekday</v>
      </c>
    </row>
    <row r="496" spans="1:11" x14ac:dyDescent="0.4">
      <c r="A496" s="2" t="s">
        <v>1210</v>
      </c>
      <c r="B496" s="3">
        <v>45380</v>
      </c>
      <c r="C496" s="2" t="s">
        <v>1265</v>
      </c>
      <c r="D496" s="2" t="s">
        <v>1244</v>
      </c>
      <c r="E496" s="2">
        <v>8</v>
      </c>
      <c r="F496" s="2" t="s">
        <v>1231</v>
      </c>
      <c r="G496">
        <f t="shared" si="35"/>
        <v>23</v>
      </c>
      <c r="H496" t="str">
        <f t="shared" si="36"/>
        <v>No</v>
      </c>
      <c r="I496" t="str">
        <f t="shared" si="37"/>
        <v>Mar</v>
      </c>
      <c r="J496" s="11">
        <f t="shared" si="38"/>
        <v>9.375E-2</v>
      </c>
      <c r="K496" t="str">
        <f t="shared" si="39"/>
        <v>weekday</v>
      </c>
    </row>
    <row r="497" spans="1:11" x14ac:dyDescent="0.4">
      <c r="A497" s="2" t="s">
        <v>1210</v>
      </c>
      <c r="B497" s="3">
        <v>45442</v>
      </c>
      <c r="C497" s="2" t="s">
        <v>1243</v>
      </c>
      <c r="D497" s="2" t="s">
        <v>1262</v>
      </c>
      <c r="E497" s="2">
        <v>9</v>
      </c>
      <c r="F497" s="2" t="s">
        <v>1231</v>
      </c>
      <c r="G497">
        <f t="shared" si="35"/>
        <v>23</v>
      </c>
      <c r="H497" t="str">
        <f t="shared" si="36"/>
        <v>No</v>
      </c>
      <c r="I497" t="str">
        <f t="shared" si="37"/>
        <v>May</v>
      </c>
      <c r="J497" s="11">
        <f t="shared" si="38"/>
        <v>7.2916666666666741E-2</v>
      </c>
      <c r="K497" t="str">
        <f t="shared" si="39"/>
        <v>weekday</v>
      </c>
    </row>
    <row r="498" spans="1:11" x14ac:dyDescent="0.4">
      <c r="A498" s="2" t="s">
        <v>1212</v>
      </c>
      <c r="B498" s="3">
        <v>45320</v>
      </c>
      <c r="C498" s="2" t="s">
        <v>1262</v>
      </c>
      <c r="D498" s="2" t="s">
        <v>1249</v>
      </c>
      <c r="E498" s="2">
        <v>8</v>
      </c>
      <c r="F498" s="2" t="s">
        <v>1234</v>
      </c>
      <c r="G498">
        <f t="shared" si="35"/>
        <v>8</v>
      </c>
      <c r="H498" t="str">
        <f t="shared" si="36"/>
        <v>No</v>
      </c>
      <c r="I498" t="str">
        <f t="shared" si="37"/>
        <v>Jan</v>
      </c>
      <c r="J498" s="11">
        <f t="shared" si="38"/>
        <v>0.21875</v>
      </c>
      <c r="K498" t="str">
        <f t="shared" si="39"/>
        <v>weekday</v>
      </c>
    </row>
    <row r="499" spans="1:11" x14ac:dyDescent="0.4">
      <c r="A499" s="2" t="s">
        <v>1214</v>
      </c>
      <c r="B499" s="3">
        <v>45587</v>
      </c>
      <c r="C499" s="2" t="s">
        <v>1241</v>
      </c>
      <c r="D499" s="2" t="s">
        <v>1241</v>
      </c>
      <c r="E499" s="2">
        <v>7</v>
      </c>
      <c r="F499" s="2" t="s">
        <v>1231</v>
      </c>
      <c r="G499">
        <f t="shared" si="35"/>
        <v>7</v>
      </c>
      <c r="H499" t="str">
        <f t="shared" si="36"/>
        <v>No</v>
      </c>
      <c r="I499" t="str">
        <f t="shared" si="37"/>
        <v>Oct</v>
      </c>
      <c r="J499" s="11">
        <f t="shared" si="38"/>
        <v>0</v>
      </c>
      <c r="K499" t="str">
        <f t="shared" si="39"/>
        <v>weekday</v>
      </c>
    </row>
    <row r="500" spans="1:11" x14ac:dyDescent="0.4">
      <c r="A500" s="2" t="s">
        <v>1216</v>
      </c>
      <c r="B500" s="3">
        <v>45539</v>
      </c>
      <c r="C500" s="2" t="s">
        <v>1248</v>
      </c>
      <c r="D500" s="2" t="s">
        <v>1264</v>
      </c>
      <c r="E500" s="2">
        <v>9</v>
      </c>
      <c r="F500" s="2" t="s">
        <v>1234</v>
      </c>
      <c r="G500">
        <f t="shared" si="35"/>
        <v>9</v>
      </c>
      <c r="H500" t="str">
        <f t="shared" si="36"/>
        <v>No</v>
      </c>
      <c r="I500" t="str">
        <f t="shared" si="37"/>
        <v>Sep</v>
      </c>
      <c r="J500" s="11">
        <f t="shared" si="38"/>
        <v>0.36458333333333337</v>
      </c>
      <c r="K500" t="str">
        <f t="shared" si="39"/>
        <v>weekday</v>
      </c>
    </row>
    <row r="501" spans="1:11" x14ac:dyDescent="0.4">
      <c r="A501" s="2" t="s">
        <v>1220</v>
      </c>
      <c r="B501" s="3">
        <v>45491</v>
      </c>
      <c r="C501" s="2" t="s">
        <v>1249</v>
      </c>
      <c r="D501" s="2" t="s">
        <v>1271</v>
      </c>
      <c r="E501" s="2">
        <v>8</v>
      </c>
      <c r="F501" s="2" t="s">
        <v>1231</v>
      </c>
      <c r="G501">
        <f t="shared" si="35"/>
        <v>8</v>
      </c>
      <c r="H501" t="str">
        <f t="shared" si="36"/>
        <v>No</v>
      </c>
      <c r="I501" t="str">
        <f t="shared" si="37"/>
        <v>Jul</v>
      </c>
      <c r="J501" s="11">
        <f t="shared" si="38"/>
        <v>8.333333333333337E-2</v>
      </c>
      <c r="K501" t="str">
        <f t="shared" si="39"/>
        <v>weekday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8"/>
  <sheetViews>
    <sheetView topLeftCell="D1" workbookViewId="0">
      <selection activeCell="H4" sqref="H4"/>
    </sheetView>
  </sheetViews>
  <sheetFormatPr defaultRowHeight="14.6" x14ac:dyDescent="0.4"/>
  <cols>
    <col min="1" max="1" width="8.3046875" bestFit="1" customWidth="1"/>
    <col min="2" max="2" width="15.23046875" bestFit="1" customWidth="1"/>
    <col min="3" max="3" width="41.3046875" bestFit="1" customWidth="1"/>
    <col min="4" max="4" width="18.07421875" bestFit="1" customWidth="1"/>
    <col min="5" max="5" width="16.3046875" bestFit="1" customWidth="1"/>
    <col min="8" max="9" width="41.765625" bestFit="1" customWidth="1"/>
    <col min="11" max="11" width="10.15234375" bestFit="1" customWidth="1"/>
    <col min="15" max="15" width="11.61328125" bestFit="1" customWidth="1"/>
    <col min="16" max="16" width="24.23046875" bestFit="1" customWidth="1"/>
  </cols>
  <sheetData>
    <row r="1" spans="1:16" x14ac:dyDescent="0.4">
      <c r="A1" s="1" t="s">
        <v>1787</v>
      </c>
      <c r="B1" s="1" t="s">
        <v>1788</v>
      </c>
      <c r="C1" s="1" t="s">
        <v>1789</v>
      </c>
      <c r="D1" s="1" t="s">
        <v>1790</v>
      </c>
      <c r="E1" s="1" t="s">
        <v>1791</v>
      </c>
      <c r="F1" s="13" t="s">
        <v>2380</v>
      </c>
      <c r="G1" s="13" t="s">
        <v>2381</v>
      </c>
      <c r="H1" s="13" t="s">
        <v>2382</v>
      </c>
      <c r="I1" s="13" t="s">
        <v>2383</v>
      </c>
      <c r="J1" s="13" t="s">
        <v>2384</v>
      </c>
      <c r="K1" s="13" t="s">
        <v>2385</v>
      </c>
      <c r="L1" s="13" t="s">
        <v>2386</v>
      </c>
      <c r="M1" s="13" t="s">
        <v>2387</v>
      </c>
      <c r="N1" s="13" t="s">
        <v>2388</v>
      </c>
      <c r="O1" s="13" t="s">
        <v>2389</v>
      </c>
      <c r="P1" s="13" t="s">
        <v>2390</v>
      </c>
    </row>
    <row r="2" spans="1:16" x14ac:dyDescent="0.4">
      <c r="A2" s="2" t="s">
        <v>1792</v>
      </c>
      <c r="B2" s="2" t="s">
        <v>359</v>
      </c>
      <c r="C2" s="2" t="s">
        <v>1793</v>
      </c>
      <c r="D2" s="3">
        <v>45419</v>
      </c>
      <c r="E2" s="2" t="s">
        <v>1794</v>
      </c>
      <c r="F2" t="str">
        <f>IF(YEAR(D2)=2024,"yes","No")</f>
        <v>yes</v>
      </c>
      <c r="G2">
        <f>COUNTIF($C$2:$C$501,"*good*")</f>
        <v>70</v>
      </c>
      <c r="H2" t="str">
        <f>SUBSTITUTE(C2,"delayed","late")</f>
        <v>Received damaged item, requested replacement.</v>
      </c>
      <c r="I2" t="str">
        <f>TRIM(C2)</f>
        <v>Received damaged item, requested replacement.</v>
      </c>
      <c r="J2">
        <f>LEN(C2)</f>
        <v>45</v>
      </c>
      <c r="K2" t="str">
        <f>LEFT(C2,10)</f>
        <v>Received d</v>
      </c>
      <c r="L2">
        <f>MONTH(D2)</f>
        <v>5</v>
      </c>
      <c r="M2">
        <f ca="1">DATEDIF(D2,TODAY(),"D")</f>
        <v>899</v>
      </c>
      <c r="N2" t="str">
        <f>IF(WEEKDAY(D2,2)&gt;5,"WEEKEND","WEEKDAY")</f>
        <v>WEEKDAY</v>
      </c>
      <c r="O2" t="str">
        <f>TEXT(D2,"DD-MMM-YYYY")</f>
        <v>07-May-2024</v>
      </c>
      <c r="P2" t="str">
        <f>_xlfn.CONCAT(B2,"-",E2)</f>
        <v>Arjun Nair-Smartwatch</v>
      </c>
    </row>
    <row r="3" spans="1:16" x14ac:dyDescent="0.4">
      <c r="A3" s="2" t="s">
        <v>1795</v>
      </c>
      <c r="B3" s="2" t="s">
        <v>165</v>
      </c>
      <c r="C3" s="2" t="s">
        <v>1796</v>
      </c>
      <c r="D3" s="3">
        <v>45468</v>
      </c>
      <c r="E3" s="2" t="s">
        <v>1797</v>
      </c>
      <c r="F3" t="str">
        <f t="shared" ref="F3:F66" si="0">IF(YEAR(D3)=2024,"yes","No")</f>
        <v>yes</v>
      </c>
      <c r="G3">
        <f t="shared" ref="G3:G66" si="1">COUNTIF($C$2:$C$501,"*good*")</f>
        <v>70</v>
      </c>
      <c r="H3" t="str">
        <f t="shared" ref="H3:H66" si="2">SUBSTITUTE(C3,"delayed","late")</f>
        <v>Delivery was late but product is good.</v>
      </c>
      <c r="I3" t="str">
        <f t="shared" ref="I3:I66" si="3">TRIM(C3)</f>
        <v>Delivery was delayed but product is good.</v>
      </c>
      <c r="J3">
        <f t="shared" ref="J3:J66" si="4">LEN(C3)</f>
        <v>41</v>
      </c>
      <c r="K3" t="str">
        <f t="shared" ref="K3:K66" si="5">LEFT(C3,10)</f>
        <v>Delivery w</v>
      </c>
      <c r="L3">
        <f t="shared" ref="L3:L66" si="6">MONTH(D3)</f>
        <v>6</v>
      </c>
      <c r="M3">
        <f t="shared" ref="M3:M66" ca="1" si="7">DATEDIF(D3,TODAY(),"D")</f>
        <v>850</v>
      </c>
      <c r="N3" t="str">
        <f t="shared" ref="N3:N66" si="8">IF(WEEKDAY(D3,2)&gt;5,"WEEKEND","WEEKDAY")</f>
        <v>WEEKDAY</v>
      </c>
      <c r="O3" t="str">
        <f t="shared" ref="O3:O66" si="9">TEXT(D3,"DD-MMM-YYYY")</f>
        <v>25-Jun-2024</v>
      </c>
      <c r="P3" t="str">
        <f t="shared" ref="P3:P66" si="10">_xlfn.CONCAT(B3,"-",E3)</f>
        <v>Aditya Das-Mobile</v>
      </c>
    </row>
    <row r="4" spans="1:16" x14ac:dyDescent="0.4">
      <c r="A4" s="2" t="s">
        <v>1798</v>
      </c>
      <c r="B4" s="2" t="s">
        <v>345</v>
      </c>
      <c r="C4" s="2" t="s">
        <v>1799</v>
      </c>
      <c r="D4" s="3">
        <v>45455</v>
      </c>
      <c r="E4" s="2" t="s">
        <v>1800</v>
      </c>
      <c r="F4" t="str">
        <f t="shared" si="0"/>
        <v>yes</v>
      </c>
      <c r="G4">
        <f t="shared" si="1"/>
        <v>70</v>
      </c>
      <c r="H4" t="str">
        <f t="shared" si="2"/>
        <v>Not satisfied with the quality.</v>
      </c>
      <c r="I4" t="str">
        <f t="shared" si="3"/>
        <v>Not satisfied with the quality.</v>
      </c>
      <c r="J4">
        <f t="shared" si="4"/>
        <v>31</v>
      </c>
      <c r="K4" t="str">
        <f t="shared" si="5"/>
        <v>Not satisf</v>
      </c>
      <c r="L4">
        <f t="shared" si="6"/>
        <v>6</v>
      </c>
      <c r="M4">
        <f t="shared" ca="1" si="7"/>
        <v>863</v>
      </c>
      <c r="N4" t="str">
        <f t="shared" si="8"/>
        <v>WEEKDAY</v>
      </c>
      <c r="O4" t="str">
        <f t="shared" si="9"/>
        <v>12-Jun-2024</v>
      </c>
      <c r="P4" t="str">
        <f t="shared" si="10"/>
        <v>Isha Sharma-Camera</v>
      </c>
    </row>
    <row r="5" spans="1:16" x14ac:dyDescent="0.4">
      <c r="A5" s="2" t="s">
        <v>1801</v>
      </c>
      <c r="B5" s="2" t="s">
        <v>411</v>
      </c>
      <c r="C5" s="2" t="s">
        <v>1802</v>
      </c>
      <c r="D5" s="3">
        <v>45483</v>
      </c>
      <c r="E5" s="2" t="s">
        <v>1803</v>
      </c>
      <c r="F5" t="str">
        <f t="shared" si="0"/>
        <v>yes</v>
      </c>
      <c r="G5">
        <f t="shared" si="1"/>
        <v>70</v>
      </c>
      <c r="H5" t="str">
        <f t="shared" si="2"/>
        <v>Product was excellent and delivery was fast.</v>
      </c>
      <c r="I5" t="str">
        <f t="shared" si="3"/>
        <v>Product was excellent and delivery was fast.</v>
      </c>
      <c r="J5">
        <f t="shared" si="4"/>
        <v>44</v>
      </c>
      <c r="K5" t="str">
        <f t="shared" si="5"/>
        <v>Product wa</v>
      </c>
      <c r="L5">
        <f t="shared" si="6"/>
        <v>7</v>
      </c>
      <c r="M5">
        <f t="shared" ca="1" si="7"/>
        <v>835</v>
      </c>
      <c r="N5" t="str">
        <f t="shared" si="8"/>
        <v>WEEKDAY</v>
      </c>
      <c r="O5" t="str">
        <f t="shared" si="9"/>
        <v>10-Jul-2024</v>
      </c>
      <c r="P5" t="str">
        <f t="shared" si="10"/>
        <v>Aarav Joshi-Laptop</v>
      </c>
    </row>
    <row r="6" spans="1:16" x14ac:dyDescent="0.4">
      <c r="A6" s="2" t="s">
        <v>1804</v>
      </c>
      <c r="B6" s="2" t="s">
        <v>575</v>
      </c>
      <c r="C6" s="2" t="s">
        <v>1793</v>
      </c>
      <c r="D6" s="3">
        <v>45310</v>
      </c>
      <c r="E6" s="2" t="s">
        <v>1803</v>
      </c>
      <c r="F6" t="str">
        <f t="shared" si="0"/>
        <v>yes</v>
      </c>
      <c r="G6">
        <f t="shared" si="1"/>
        <v>70</v>
      </c>
      <c r="H6" t="str">
        <f t="shared" si="2"/>
        <v>Received damaged item, requested replacement.</v>
      </c>
      <c r="I6" t="str">
        <f t="shared" si="3"/>
        <v>Received damaged item, requested replacement.</v>
      </c>
      <c r="J6">
        <f t="shared" si="4"/>
        <v>45</v>
      </c>
      <c r="K6" t="str">
        <f t="shared" si="5"/>
        <v>Received d</v>
      </c>
      <c r="L6">
        <f t="shared" si="6"/>
        <v>1</v>
      </c>
      <c r="M6">
        <f t="shared" ca="1" si="7"/>
        <v>1008</v>
      </c>
      <c r="N6" t="str">
        <f t="shared" si="8"/>
        <v>WEEKDAY</v>
      </c>
      <c r="O6" t="str">
        <f t="shared" si="9"/>
        <v>19-Jan-2024</v>
      </c>
      <c r="P6" t="str">
        <f t="shared" si="10"/>
        <v>Vivaan Das-Laptop</v>
      </c>
    </row>
    <row r="7" spans="1:16" x14ac:dyDescent="0.4">
      <c r="A7" s="2" t="s">
        <v>1805</v>
      </c>
      <c r="B7" s="2" t="s">
        <v>489</v>
      </c>
      <c r="C7" s="2" t="s">
        <v>1796</v>
      </c>
      <c r="D7" s="3">
        <v>45412</v>
      </c>
      <c r="E7" s="2" t="s">
        <v>1803</v>
      </c>
      <c r="F7" t="str">
        <f t="shared" si="0"/>
        <v>yes</v>
      </c>
      <c r="G7">
        <f t="shared" si="1"/>
        <v>70</v>
      </c>
      <c r="H7" t="str">
        <f t="shared" si="2"/>
        <v>Delivery was late but product is good.</v>
      </c>
      <c r="I7" t="str">
        <f t="shared" si="3"/>
        <v>Delivery was delayed but product is good.</v>
      </c>
      <c r="J7">
        <f t="shared" si="4"/>
        <v>41</v>
      </c>
      <c r="K7" t="str">
        <f t="shared" si="5"/>
        <v>Delivery w</v>
      </c>
      <c r="L7">
        <f t="shared" si="6"/>
        <v>4</v>
      </c>
      <c r="M7">
        <f t="shared" ca="1" si="7"/>
        <v>906</v>
      </c>
      <c r="N7" t="str">
        <f t="shared" si="8"/>
        <v>WEEKDAY</v>
      </c>
      <c r="O7" t="str">
        <f t="shared" si="9"/>
        <v>30-Apr-2024</v>
      </c>
      <c r="P7" t="str">
        <f t="shared" si="10"/>
        <v>Arjun Reddy-Laptop</v>
      </c>
    </row>
    <row r="8" spans="1:16" x14ac:dyDescent="0.4">
      <c r="A8" s="2" t="s">
        <v>1806</v>
      </c>
      <c r="B8" s="2" t="s">
        <v>74</v>
      </c>
      <c r="C8" s="2" t="s">
        <v>1799</v>
      </c>
      <c r="D8" s="3">
        <v>45586</v>
      </c>
      <c r="E8" s="2" t="s">
        <v>1794</v>
      </c>
      <c r="F8" t="str">
        <f t="shared" si="0"/>
        <v>yes</v>
      </c>
      <c r="G8">
        <f t="shared" si="1"/>
        <v>70</v>
      </c>
      <c r="H8" t="str">
        <f t="shared" si="2"/>
        <v>Not satisfied with the quality.</v>
      </c>
      <c r="I8" t="str">
        <f t="shared" si="3"/>
        <v>Not satisfied with the quality.</v>
      </c>
      <c r="J8">
        <f t="shared" si="4"/>
        <v>31</v>
      </c>
      <c r="K8" t="str">
        <f t="shared" si="5"/>
        <v>Not satisf</v>
      </c>
      <c r="L8">
        <f t="shared" si="6"/>
        <v>10</v>
      </c>
      <c r="M8">
        <f t="shared" ca="1" si="7"/>
        <v>732</v>
      </c>
      <c r="N8" t="str">
        <f t="shared" si="8"/>
        <v>WEEKDAY</v>
      </c>
      <c r="O8" t="str">
        <f t="shared" si="9"/>
        <v>21-Oct-2024</v>
      </c>
      <c r="P8" t="str">
        <f t="shared" si="10"/>
        <v>Riya Das-Smartwatch</v>
      </c>
    </row>
    <row r="9" spans="1:16" x14ac:dyDescent="0.4">
      <c r="A9" s="2" t="s">
        <v>1807</v>
      </c>
      <c r="B9" s="2" t="s">
        <v>203</v>
      </c>
      <c r="C9" s="2" t="s">
        <v>1799</v>
      </c>
      <c r="D9" s="3">
        <v>45631</v>
      </c>
      <c r="E9" s="2" t="s">
        <v>1797</v>
      </c>
      <c r="F9" t="str">
        <f t="shared" si="0"/>
        <v>yes</v>
      </c>
      <c r="G9">
        <f t="shared" si="1"/>
        <v>70</v>
      </c>
      <c r="H9" t="str">
        <f t="shared" si="2"/>
        <v>Not satisfied with the quality.</v>
      </c>
      <c r="I9" t="str">
        <f t="shared" si="3"/>
        <v>Not satisfied with the quality.</v>
      </c>
      <c r="J9">
        <f t="shared" si="4"/>
        <v>31</v>
      </c>
      <c r="K9" t="str">
        <f t="shared" si="5"/>
        <v>Not satisf</v>
      </c>
      <c r="L9">
        <f t="shared" si="6"/>
        <v>12</v>
      </c>
      <c r="M9">
        <f t="shared" ca="1" si="7"/>
        <v>687</v>
      </c>
      <c r="N9" t="str">
        <f t="shared" si="8"/>
        <v>WEEKDAY</v>
      </c>
      <c r="O9" t="str">
        <f t="shared" si="9"/>
        <v>05-Dec-2024</v>
      </c>
      <c r="P9" t="str">
        <f t="shared" si="10"/>
        <v>Ananya Gupta-Mobile</v>
      </c>
    </row>
    <row r="10" spans="1:16" x14ac:dyDescent="0.4">
      <c r="A10" s="2" t="s">
        <v>1808</v>
      </c>
      <c r="B10" s="2" t="s">
        <v>457</v>
      </c>
      <c r="C10" s="2" t="s">
        <v>1809</v>
      </c>
      <c r="D10" s="3">
        <v>45417</v>
      </c>
      <c r="E10" s="2" t="s">
        <v>1810</v>
      </c>
      <c r="F10" t="str">
        <f t="shared" si="0"/>
        <v>yes</v>
      </c>
      <c r="G10">
        <f t="shared" si="1"/>
        <v>70</v>
      </c>
      <c r="H10" t="str">
        <f t="shared" si="2"/>
        <v>Customer support was helpful.</v>
      </c>
      <c r="I10" t="str">
        <f t="shared" si="3"/>
        <v>Customer support was helpful.</v>
      </c>
      <c r="J10">
        <f t="shared" si="4"/>
        <v>29</v>
      </c>
      <c r="K10" t="str">
        <f t="shared" si="5"/>
        <v>Customer s</v>
      </c>
      <c r="L10">
        <f t="shared" si="6"/>
        <v>5</v>
      </c>
      <c r="M10">
        <f t="shared" ca="1" si="7"/>
        <v>901</v>
      </c>
      <c r="N10" t="str">
        <f t="shared" si="8"/>
        <v>WEEKEND</v>
      </c>
      <c r="O10" t="str">
        <f t="shared" si="9"/>
        <v>05-May-2024</v>
      </c>
      <c r="P10" t="str">
        <f t="shared" si="10"/>
        <v>Kabir Mehta-Tablet</v>
      </c>
    </row>
    <row r="11" spans="1:16" x14ac:dyDescent="0.4">
      <c r="A11" s="2" t="s">
        <v>1811</v>
      </c>
      <c r="B11" s="2" t="s">
        <v>213</v>
      </c>
      <c r="C11" s="2" t="s">
        <v>1793</v>
      </c>
      <c r="D11" s="3">
        <v>45311</v>
      </c>
      <c r="E11" s="2" t="s">
        <v>1794</v>
      </c>
      <c r="F11" t="str">
        <f t="shared" si="0"/>
        <v>yes</v>
      </c>
      <c r="G11">
        <f t="shared" si="1"/>
        <v>70</v>
      </c>
      <c r="H11" t="str">
        <f t="shared" si="2"/>
        <v>Received damaged item, requested replacement.</v>
      </c>
      <c r="I11" t="str">
        <f t="shared" si="3"/>
        <v>Received damaged item, requested replacement.</v>
      </c>
      <c r="J11">
        <f t="shared" si="4"/>
        <v>45</v>
      </c>
      <c r="K11" t="str">
        <f t="shared" si="5"/>
        <v>Received d</v>
      </c>
      <c r="L11">
        <f t="shared" si="6"/>
        <v>1</v>
      </c>
      <c r="M11">
        <f t="shared" ca="1" si="7"/>
        <v>1007</v>
      </c>
      <c r="N11" t="str">
        <f t="shared" si="8"/>
        <v>WEEKEND</v>
      </c>
      <c r="O11" t="str">
        <f t="shared" si="9"/>
        <v>20-Jan-2024</v>
      </c>
      <c r="P11" t="str">
        <f t="shared" si="10"/>
        <v>Vivaan Patel-Smartwatch</v>
      </c>
    </row>
    <row r="12" spans="1:16" x14ac:dyDescent="0.4">
      <c r="A12" s="2" t="s">
        <v>1812</v>
      </c>
      <c r="B12" s="2" t="s">
        <v>469</v>
      </c>
      <c r="C12" s="2" t="s">
        <v>1802</v>
      </c>
      <c r="D12" s="3">
        <v>45551</v>
      </c>
      <c r="E12" s="2" t="s">
        <v>1810</v>
      </c>
      <c r="F12" t="str">
        <f t="shared" si="0"/>
        <v>yes</v>
      </c>
      <c r="G12">
        <f t="shared" si="1"/>
        <v>70</v>
      </c>
      <c r="H12" t="str">
        <f t="shared" si="2"/>
        <v>Product was excellent and delivery was fast.</v>
      </c>
      <c r="I12" t="str">
        <f t="shared" si="3"/>
        <v>Product was excellent and delivery was fast.</v>
      </c>
      <c r="J12">
        <f t="shared" si="4"/>
        <v>44</v>
      </c>
      <c r="K12" t="str">
        <f t="shared" si="5"/>
        <v>Product wa</v>
      </c>
      <c r="L12">
        <f t="shared" si="6"/>
        <v>9</v>
      </c>
      <c r="M12">
        <f t="shared" ca="1" si="7"/>
        <v>767</v>
      </c>
      <c r="N12" t="str">
        <f t="shared" si="8"/>
        <v>WEEKDAY</v>
      </c>
      <c r="O12" t="str">
        <f t="shared" si="9"/>
        <v>16-Sep-2024</v>
      </c>
      <c r="P12" t="str">
        <f t="shared" si="10"/>
        <v>Ananya Nair-Tablet</v>
      </c>
    </row>
    <row r="13" spans="1:16" x14ac:dyDescent="0.4">
      <c r="A13" s="2" t="s">
        <v>1813</v>
      </c>
      <c r="B13" s="2" t="s">
        <v>61</v>
      </c>
      <c r="C13" s="2" t="s">
        <v>1793</v>
      </c>
      <c r="D13" s="3">
        <v>45426</v>
      </c>
      <c r="E13" s="2" t="s">
        <v>1800</v>
      </c>
      <c r="F13" t="str">
        <f t="shared" si="0"/>
        <v>yes</v>
      </c>
      <c r="G13">
        <f t="shared" si="1"/>
        <v>70</v>
      </c>
      <c r="H13" t="str">
        <f t="shared" si="2"/>
        <v>Received damaged item, requested replacement.</v>
      </c>
      <c r="I13" t="str">
        <f t="shared" si="3"/>
        <v>Received damaged item, requested replacement.</v>
      </c>
      <c r="J13">
        <f t="shared" si="4"/>
        <v>45</v>
      </c>
      <c r="K13" t="str">
        <f t="shared" si="5"/>
        <v>Received d</v>
      </c>
      <c r="L13">
        <f t="shared" si="6"/>
        <v>5</v>
      </c>
      <c r="M13">
        <f t="shared" ca="1" si="7"/>
        <v>892</v>
      </c>
      <c r="N13" t="str">
        <f t="shared" si="8"/>
        <v>WEEKDAY</v>
      </c>
      <c r="O13" t="str">
        <f t="shared" si="9"/>
        <v>14-May-2024</v>
      </c>
      <c r="P13" t="str">
        <f t="shared" si="10"/>
        <v>Ananya Joshi-Camera</v>
      </c>
    </row>
    <row r="14" spans="1:16" x14ac:dyDescent="0.4">
      <c r="A14" s="2" t="s">
        <v>1814</v>
      </c>
      <c r="B14" s="2" t="s">
        <v>533</v>
      </c>
      <c r="C14" s="2" t="s">
        <v>1815</v>
      </c>
      <c r="D14" s="3">
        <v>45488</v>
      </c>
      <c r="E14" s="2" t="s">
        <v>1800</v>
      </c>
      <c r="F14" t="str">
        <f t="shared" si="0"/>
        <v>yes</v>
      </c>
      <c r="G14">
        <f t="shared" si="1"/>
        <v>70</v>
      </c>
      <c r="H14" t="str">
        <f t="shared" si="2"/>
        <v>Great value for money!</v>
      </c>
      <c r="I14" t="str">
        <f t="shared" si="3"/>
        <v>Great value for money!</v>
      </c>
      <c r="J14">
        <f t="shared" si="4"/>
        <v>22</v>
      </c>
      <c r="K14" t="str">
        <f t="shared" si="5"/>
        <v>Great valu</v>
      </c>
      <c r="L14">
        <f t="shared" si="6"/>
        <v>7</v>
      </c>
      <c r="M14">
        <f t="shared" ca="1" si="7"/>
        <v>830</v>
      </c>
      <c r="N14" t="str">
        <f t="shared" si="8"/>
        <v>WEEKDAY</v>
      </c>
      <c r="O14" t="str">
        <f t="shared" si="9"/>
        <v>15-Jul-2024</v>
      </c>
      <c r="P14" t="str">
        <f t="shared" si="10"/>
        <v>Aditya Sharma-Camera</v>
      </c>
    </row>
    <row r="15" spans="1:16" x14ac:dyDescent="0.4">
      <c r="A15" s="2" t="s">
        <v>1816</v>
      </c>
      <c r="B15" s="2" t="s">
        <v>141</v>
      </c>
      <c r="C15" s="2" t="s">
        <v>1799</v>
      </c>
      <c r="D15" s="3">
        <v>45571</v>
      </c>
      <c r="E15" s="2" t="s">
        <v>1810</v>
      </c>
      <c r="F15" t="str">
        <f t="shared" si="0"/>
        <v>yes</v>
      </c>
      <c r="G15">
        <f t="shared" si="1"/>
        <v>70</v>
      </c>
      <c r="H15" t="str">
        <f t="shared" si="2"/>
        <v>Not satisfied with the quality.</v>
      </c>
      <c r="I15" t="str">
        <f t="shared" si="3"/>
        <v>Not satisfied with the quality.</v>
      </c>
      <c r="J15">
        <f t="shared" si="4"/>
        <v>31</v>
      </c>
      <c r="K15" t="str">
        <f t="shared" si="5"/>
        <v>Not satisf</v>
      </c>
      <c r="L15">
        <f t="shared" si="6"/>
        <v>10</v>
      </c>
      <c r="M15">
        <f t="shared" ca="1" si="7"/>
        <v>747</v>
      </c>
      <c r="N15" t="str">
        <f t="shared" si="8"/>
        <v>WEEKEND</v>
      </c>
      <c r="O15" t="str">
        <f t="shared" si="9"/>
        <v>06-Oct-2024</v>
      </c>
      <c r="P15" t="str">
        <f t="shared" si="10"/>
        <v>Meera Das-Tablet</v>
      </c>
    </row>
    <row r="16" spans="1:16" x14ac:dyDescent="0.4">
      <c r="A16" s="2" t="s">
        <v>1817</v>
      </c>
      <c r="B16" s="2" t="s">
        <v>641</v>
      </c>
      <c r="C16" s="2" t="s">
        <v>1796</v>
      </c>
      <c r="D16" s="3">
        <v>45609</v>
      </c>
      <c r="E16" s="2" t="s">
        <v>1803</v>
      </c>
      <c r="F16" t="str">
        <f t="shared" si="0"/>
        <v>yes</v>
      </c>
      <c r="G16">
        <f t="shared" si="1"/>
        <v>70</v>
      </c>
      <c r="H16" t="str">
        <f t="shared" si="2"/>
        <v>Delivery was late but product is good.</v>
      </c>
      <c r="I16" t="str">
        <f t="shared" si="3"/>
        <v>Delivery was delayed but product is good.</v>
      </c>
      <c r="J16">
        <f t="shared" si="4"/>
        <v>41</v>
      </c>
      <c r="K16" t="str">
        <f t="shared" si="5"/>
        <v>Delivery w</v>
      </c>
      <c r="L16">
        <f t="shared" si="6"/>
        <v>11</v>
      </c>
      <c r="M16">
        <f t="shared" ca="1" si="7"/>
        <v>709</v>
      </c>
      <c r="N16" t="str">
        <f t="shared" si="8"/>
        <v>WEEKDAY</v>
      </c>
      <c r="O16" t="str">
        <f t="shared" si="9"/>
        <v>13-Nov-2024</v>
      </c>
      <c r="P16" t="str">
        <f t="shared" si="10"/>
        <v>Aarav Mehta-Laptop</v>
      </c>
    </row>
    <row r="17" spans="1:16" x14ac:dyDescent="0.4">
      <c r="A17" s="2" t="s">
        <v>1818</v>
      </c>
      <c r="B17" s="2" t="s">
        <v>443</v>
      </c>
      <c r="C17" s="2" t="s">
        <v>1802</v>
      </c>
      <c r="D17" s="3">
        <v>45433</v>
      </c>
      <c r="E17" s="2" t="s">
        <v>1797</v>
      </c>
      <c r="F17" t="str">
        <f t="shared" si="0"/>
        <v>yes</v>
      </c>
      <c r="G17">
        <f t="shared" si="1"/>
        <v>70</v>
      </c>
      <c r="H17" t="str">
        <f t="shared" si="2"/>
        <v>Product was excellent and delivery was fast.</v>
      </c>
      <c r="I17" t="str">
        <f t="shared" si="3"/>
        <v>Product was excellent and delivery was fast.</v>
      </c>
      <c r="J17">
        <f t="shared" si="4"/>
        <v>44</v>
      </c>
      <c r="K17" t="str">
        <f t="shared" si="5"/>
        <v>Product wa</v>
      </c>
      <c r="L17">
        <f t="shared" si="6"/>
        <v>5</v>
      </c>
      <c r="M17">
        <f t="shared" ca="1" si="7"/>
        <v>885</v>
      </c>
      <c r="N17" t="str">
        <f t="shared" si="8"/>
        <v>WEEKDAY</v>
      </c>
      <c r="O17" t="str">
        <f t="shared" si="9"/>
        <v>21-May-2024</v>
      </c>
      <c r="P17" t="str">
        <f t="shared" si="10"/>
        <v>Diya Joshi-Mobile</v>
      </c>
    </row>
    <row r="18" spans="1:16" x14ac:dyDescent="0.4">
      <c r="A18" s="2" t="s">
        <v>1819</v>
      </c>
      <c r="B18" s="2" t="s">
        <v>543</v>
      </c>
      <c r="C18" s="2" t="s">
        <v>1799</v>
      </c>
      <c r="D18" s="3">
        <v>45522</v>
      </c>
      <c r="E18" s="2" t="s">
        <v>1820</v>
      </c>
      <c r="F18" t="str">
        <f t="shared" si="0"/>
        <v>yes</v>
      </c>
      <c r="G18">
        <f t="shared" si="1"/>
        <v>70</v>
      </c>
      <c r="H18" t="str">
        <f t="shared" si="2"/>
        <v>Not satisfied with the quality.</v>
      </c>
      <c r="I18" t="str">
        <f t="shared" si="3"/>
        <v>Not satisfied with the quality.</v>
      </c>
      <c r="J18">
        <f t="shared" si="4"/>
        <v>31</v>
      </c>
      <c r="K18" t="str">
        <f t="shared" si="5"/>
        <v>Not satisf</v>
      </c>
      <c r="L18">
        <f t="shared" si="6"/>
        <v>8</v>
      </c>
      <c r="M18">
        <f t="shared" ca="1" si="7"/>
        <v>796</v>
      </c>
      <c r="N18" t="str">
        <f t="shared" si="8"/>
        <v>WEEKEND</v>
      </c>
      <c r="O18" t="str">
        <f t="shared" si="9"/>
        <v>18-Aug-2024</v>
      </c>
      <c r="P18" t="str">
        <f t="shared" si="10"/>
        <v>Vivaan Joshi-Printer</v>
      </c>
    </row>
    <row r="19" spans="1:16" x14ac:dyDescent="0.4">
      <c r="A19" s="2" t="s">
        <v>1821</v>
      </c>
      <c r="B19" s="2" t="s">
        <v>405</v>
      </c>
      <c r="C19" s="2" t="s">
        <v>1793</v>
      </c>
      <c r="D19" s="3">
        <v>45319</v>
      </c>
      <c r="E19" s="2" t="s">
        <v>1794</v>
      </c>
      <c r="F19" t="str">
        <f t="shared" si="0"/>
        <v>yes</v>
      </c>
      <c r="G19">
        <f t="shared" si="1"/>
        <v>70</v>
      </c>
      <c r="H19" t="str">
        <f t="shared" si="2"/>
        <v>Received damaged item, requested replacement.</v>
      </c>
      <c r="I19" t="str">
        <f t="shared" si="3"/>
        <v>Received damaged item, requested replacement.</v>
      </c>
      <c r="J19">
        <f t="shared" si="4"/>
        <v>45</v>
      </c>
      <c r="K19" t="str">
        <f t="shared" si="5"/>
        <v>Received d</v>
      </c>
      <c r="L19">
        <f t="shared" si="6"/>
        <v>1</v>
      </c>
      <c r="M19">
        <f t="shared" ca="1" si="7"/>
        <v>999</v>
      </c>
      <c r="N19" t="str">
        <f t="shared" si="8"/>
        <v>WEEKEND</v>
      </c>
      <c r="O19" t="str">
        <f t="shared" si="9"/>
        <v>28-Jan-2024</v>
      </c>
      <c r="P19" t="str">
        <f t="shared" si="10"/>
        <v>Ananya Singh-Smartwatch</v>
      </c>
    </row>
    <row r="20" spans="1:16" x14ac:dyDescent="0.4">
      <c r="A20" s="2" t="s">
        <v>1822</v>
      </c>
      <c r="B20" s="2" t="s">
        <v>39</v>
      </c>
      <c r="C20" s="2" t="s">
        <v>1799</v>
      </c>
      <c r="D20" s="3">
        <v>45565</v>
      </c>
      <c r="E20" s="2" t="s">
        <v>1800</v>
      </c>
      <c r="F20" t="str">
        <f t="shared" si="0"/>
        <v>yes</v>
      </c>
      <c r="G20">
        <f t="shared" si="1"/>
        <v>70</v>
      </c>
      <c r="H20" t="str">
        <f t="shared" si="2"/>
        <v>Not satisfied with the quality.</v>
      </c>
      <c r="I20" t="str">
        <f t="shared" si="3"/>
        <v>Not satisfied with the quality.</v>
      </c>
      <c r="J20">
        <f t="shared" si="4"/>
        <v>31</v>
      </c>
      <c r="K20" t="str">
        <f t="shared" si="5"/>
        <v>Not satisf</v>
      </c>
      <c r="L20">
        <f t="shared" si="6"/>
        <v>9</v>
      </c>
      <c r="M20">
        <f t="shared" ca="1" si="7"/>
        <v>753</v>
      </c>
      <c r="N20" t="str">
        <f t="shared" si="8"/>
        <v>WEEKDAY</v>
      </c>
      <c r="O20" t="str">
        <f t="shared" si="9"/>
        <v>30-Sep-2024</v>
      </c>
      <c r="P20" t="str">
        <f t="shared" si="10"/>
        <v>Aarav Das-Camera</v>
      </c>
    </row>
    <row r="21" spans="1:16" x14ac:dyDescent="0.4">
      <c r="A21" s="2" t="s">
        <v>1823</v>
      </c>
      <c r="B21" s="2" t="s">
        <v>30</v>
      </c>
      <c r="C21" s="2" t="s">
        <v>1793</v>
      </c>
      <c r="D21" s="3">
        <v>45590</v>
      </c>
      <c r="E21" s="2" t="s">
        <v>1803</v>
      </c>
      <c r="F21" t="str">
        <f t="shared" si="0"/>
        <v>yes</v>
      </c>
      <c r="G21">
        <f t="shared" si="1"/>
        <v>70</v>
      </c>
      <c r="H21" t="str">
        <f t="shared" si="2"/>
        <v>Received damaged item, requested replacement.</v>
      </c>
      <c r="I21" t="str">
        <f t="shared" si="3"/>
        <v>Received damaged item, requested replacement.</v>
      </c>
      <c r="J21">
        <f t="shared" si="4"/>
        <v>45</v>
      </c>
      <c r="K21" t="str">
        <f t="shared" si="5"/>
        <v>Received d</v>
      </c>
      <c r="L21">
        <f t="shared" si="6"/>
        <v>10</v>
      </c>
      <c r="M21">
        <f t="shared" ca="1" si="7"/>
        <v>728</v>
      </c>
      <c r="N21" t="str">
        <f t="shared" si="8"/>
        <v>WEEKDAY</v>
      </c>
      <c r="O21" t="str">
        <f t="shared" si="9"/>
        <v>25-Oct-2024</v>
      </c>
      <c r="P21" t="str">
        <f t="shared" si="10"/>
        <v>Ananya Reddy-Laptop</v>
      </c>
    </row>
    <row r="22" spans="1:16" x14ac:dyDescent="0.4">
      <c r="A22" s="2" t="s">
        <v>1824</v>
      </c>
      <c r="B22" s="2" t="s">
        <v>677</v>
      </c>
      <c r="C22" s="2" t="s">
        <v>1793</v>
      </c>
      <c r="D22" s="3">
        <v>45561</v>
      </c>
      <c r="E22" s="2" t="s">
        <v>1797</v>
      </c>
      <c r="F22" t="str">
        <f t="shared" si="0"/>
        <v>yes</v>
      </c>
      <c r="G22">
        <f t="shared" si="1"/>
        <v>70</v>
      </c>
      <c r="H22" t="str">
        <f t="shared" si="2"/>
        <v>Received damaged item, requested replacement.</v>
      </c>
      <c r="I22" t="str">
        <f t="shared" si="3"/>
        <v>Received damaged item, requested replacement.</v>
      </c>
      <c r="J22">
        <f t="shared" si="4"/>
        <v>45</v>
      </c>
      <c r="K22" t="str">
        <f t="shared" si="5"/>
        <v>Received d</v>
      </c>
      <c r="L22">
        <f t="shared" si="6"/>
        <v>9</v>
      </c>
      <c r="M22">
        <f t="shared" ca="1" si="7"/>
        <v>757</v>
      </c>
      <c r="N22" t="str">
        <f t="shared" si="8"/>
        <v>WEEKDAY</v>
      </c>
      <c r="O22" t="str">
        <f t="shared" si="9"/>
        <v>26-Sep-2024</v>
      </c>
      <c r="P22" t="str">
        <f t="shared" si="10"/>
        <v>Arjun Khan-Mobile</v>
      </c>
    </row>
    <row r="23" spans="1:16" x14ac:dyDescent="0.4">
      <c r="A23" s="2" t="s">
        <v>1825</v>
      </c>
      <c r="B23" s="2" t="s">
        <v>133</v>
      </c>
      <c r="C23" s="2" t="s">
        <v>1802</v>
      </c>
      <c r="D23" s="3">
        <v>45610</v>
      </c>
      <c r="E23" s="2" t="s">
        <v>1810</v>
      </c>
      <c r="F23" t="str">
        <f t="shared" si="0"/>
        <v>yes</v>
      </c>
      <c r="G23">
        <f t="shared" si="1"/>
        <v>70</v>
      </c>
      <c r="H23" t="str">
        <f t="shared" si="2"/>
        <v>Product was excellent and delivery was fast.</v>
      </c>
      <c r="I23" t="str">
        <f t="shared" si="3"/>
        <v>Product was excellent and delivery was fast.</v>
      </c>
      <c r="J23">
        <f t="shared" si="4"/>
        <v>44</v>
      </c>
      <c r="K23" t="str">
        <f t="shared" si="5"/>
        <v>Product wa</v>
      </c>
      <c r="L23">
        <f t="shared" si="6"/>
        <v>11</v>
      </c>
      <c r="M23">
        <f t="shared" ca="1" si="7"/>
        <v>708</v>
      </c>
      <c r="N23" t="str">
        <f t="shared" si="8"/>
        <v>WEEKDAY</v>
      </c>
      <c r="O23" t="str">
        <f t="shared" si="9"/>
        <v>14-Nov-2024</v>
      </c>
      <c r="P23" t="str">
        <f t="shared" si="10"/>
        <v>Arjun Sharma-Tablet</v>
      </c>
    </row>
    <row r="24" spans="1:16" x14ac:dyDescent="0.4">
      <c r="A24" s="2" t="s">
        <v>1826</v>
      </c>
      <c r="B24" s="2" t="s">
        <v>1087</v>
      </c>
      <c r="C24" s="2" t="s">
        <v>1815</v>
      </c>
      <c r="D24" s="3">
        <v>45410</v>
      </c>
      <c r="E24" s="2" t="s">
        <v>1803</v>
      </c>
      <c r="F24" t="str">
        <f t="shared" si="0"/>
        <v>yes</v>
      </c>
      <c r="G24">
        <f t="shared" si="1"/>
        <v>70</v>
      </c>
      <c r="H24" t="str">
        <f t="shared" si="2"/>
        <v>Great value for money!</v>
      </c>
      <c r="I24" t="str">
        <f t="shared" si="3"/>
        <v>Great value for money!</v>
      </c>
      <c r="J24">
        <f t="shared" si="4"/>
        <v>22</v>
      </c>
      <c r="K24" t="str">
        <f t="shared" si="5"/>
        <v>Great valu</v>
      </c>
      <c r="L24">
        <f t="shared" si="6"/>
        <v>4</v>
      </c>
      <c r="M24">
        <f t="shared" ca="1" si="7"/>
        <v>908</v>
      </c>
      <c r="N24" t="str">
        <f t="shared" si="8"/>
        <v>WEEKEND</v>
      </c>
      <c r="O24" t="str">
        <f t="shared" si="9"/>
        <v>28-Apr-2024</v>
      </c>
      <c r="P24" t="str">
        <f t="shared" si="10"/>
        <v>Vivaan Sharma-Laptop</v>
      </c>
    </row>
    <row r="25" spans="1:16" x14ac:dyDescent="0.4">
      <c r="A25" s="2" t="s">
        <v>1827</v>
      </c>
      <c r="B25" s="2" t="s">
        <v>271</v>
      </c>
      <c r="C25" s="2" t="s">
        <v>1799</v>
      </c>
      <c r="D25" s="3">
        <v>45607</v>
      </c>
      <c r="E25" s="2" t="s">
        <v>1803</v>
      </c>
      <c r="F25" t="str">
        <f t="shared" si="0"/>
        <v>yes</v>
      </c>
      <c r="G25">
        <f t="shared" si="1"/>
        <v>70</v>
      </c>
      <c r="H25" t="str">
        <f t="shared" si="2"/>
        <v>Not satisfied with the quality.</v>
      </c>
      <c r="I25" t="str">
        <f t="shared" si="3"/>
        <v>Not satisfied with the quality.</v>
      </c>
      <c r="J25">
        <f t="shared" si="4"/>
        <v>31</v>
      </c>
      <c r="K25" t="str">
        <f t="shared" si="5"/>
        <v>Not satisf</v>
      </c>
      <c r="L25">
        <f t="shared" si="6"/>
        <v>11</v>
      </c>
      <c r="M25">
        <f t="shared" ca="1" si="7"/>
        <v>711</v>
      </c>
      <c r="N25" t="str">
        <f t="shared" si="8"/>
        <v>WEEKDAY</v>
      </c>
      <c r="O25" t="str">
        <f t="shared" si="9"/>
        <v>11-Nov-2024</v>
      </c>
      <c r="P25" t="str">
        <f t="shared" si="10"/>
        <v>Arjun Joshi-Laptop</v>
      </c>
    </row>
    <row r="26" spans="1:16" x14ac:dyDescent="0.4">
      <c r="A26" s="2" t="s">
        <v>1828</v>
      </c>
      <c r="B26" s="2" t="s">
        <v>165</v>
      </c>
      <c r="C26" s="2" t="s">
        <v>1802</v>
      </c>
      <c r="D26" s="3">
        <v>45559</v>
      </c>
      <c r="E26" s="2" t="s">
        <v>1800</v>
      </c>
      <c r="F26" t="str">
        <f t="shared" si="0"/>
        <v>yes</v>
      </c>
      <c r="G26">
        <f t="shared" si="1"/>
        <v>70</v>
      </c>
      <c r="H26" t="str">
        <f t="shared" si="2"/>
        <v>Product was excellent and delivery was fast.</v>
      </c>
      <c r="I26" t="str">
        <f t="shared" si="3"/>
        <v>Product was excellent and delivery was fast.</v>
      </c>
      <c r="J26">
        <f t="shared" si="4"/>
        <v>44</v>
      </c>
      <c r="K26" t="str">
        <f t="shared" si="5"/>
        <v>Product wa</v>
      </c>
      <c r="L26">
        <f t="shared" si="6"/>
        <v>9</v>
      </c>
      <c r="M26">
        <f t="shared" ca="1" si="7"/>
        <v>759</v>
      </c>
      <c r="N26" t="str">
        <f t="shared" si="8"/>
        <v>WEEKDAY</v>
      </c>
      <c r="O26" t="str">
        <f t="shared" si="9"/>
        <v>24-Sep-2024</v>
      </c>
      <c r="P26" t="str">
        <f t="shared" si="10"/>
        <v>Aditya Das-Camera</v>
      </c>
    </row>
    <row r="27" spans="1:16" x14ac:dyDescent="0.4">
      <c r="A27" s="2" t="s">
        <v>1829</v>
      </c>
      <c r="B27" s="2" t="s">
        <v>267</v>
      </c>
      <c r="C27" s="2" t="s">
        <v>1809</v>
      </c>
      <c r="D27" s="3">
        <v>45391</v>
      </c>
      <c r="E27" s="2" t="s">
        <v>1794</v>
      </c>
      <c r="F27" t="str">
        <f t="shared" si="0"/>
        <v>yes</v>
      </c>
      <c r="G27">
        <f t="shared" si="1"/>
        <v>70</v>
      </c>
      <c r="H27" t="str">
        <f t="shared" si="2"/>
        <v>Customer support was helpful.</v>
      </c>
      <c r="I27" t="str">
        <f t="shared" si="3"/>
        <v>Customer support was helpful.</v>
      </c>
      <c r="J27">
        <f t="shared" si="4"/>
        <v>29</v>
      </c>
      <c r="K27" t="str">
        <f t="shared" si="5"/>
        <v>Customer s</v>
      </c>
      <c r="L27">
        <f t="shared" si="6"/>
        <v>4</v>
      </c>
      <c r="M27">
        <f t="shared" ca="1" si="7"/>
        <v>927</v>
      </c>
      <c r="N27" t="str">
        <f t="shared" si="8"/>
        <v>WEEKDAY</v>
      </c>
      <c r="O27" t="str">
        <f t="shared" si="9"/>
        <v>09-Apr-2024</v>
      </c>
      <c r="P27" t="str">
        <f t="shared" si="10"/>
        <v>Diya Mehta-Smartwatch</v>
      </c>
    </row>
    <row r="28" spans="1:16" x14ac:dyDescent="0.4">
      <c r="A28" s="2" t="s">
        <v>1830</v>
      </c>
      <c r="B28" s="2" t="s">
        <v>263</v>
      </c>
      <c r="C28" s="2" t="s">
        <v>1799</v>
      </c>
      <c r="D28" s="3">
        <v>45395</v>
      </c>
      <c r="E28" s="2" t="s">
        <v>1800</v>
      </c>
      <c r="F28" t="str">
        <f t="shared" si="0"/>
        <v>yes</v>
      </c>
      <c r="G28">
        <f t="shared" si="1"/>
        <v>70</v>
      </c>
      <c r="H28" t="str">
        <f t="shared" si="2"/>
        <v>Not satisfied with the quality.</v>
      </c>
      <c r="I28" t="str">
        <f t="shared" si="3"/>
        <v>Not satisfied with the quality.</v>
      </c>
      <c r="J28">
        <f t="shared" si="4"/>
        <v>31</v>
      </c>
      <c r="K28" t="str">
        <f t="shared" si="5"/>
        <v>Not satisf</v>
      </c>
      <c r="L28">
        <f t="shared" si="6"/>
        <v>4</v>
      </c>
      <c r="M28">
        <f t="shared" ca="1" si="7"/>
        <v>923</v>
      </c>
      <c r="N28" t="str">
        <f t="shared" si="8"/>
        <v>WEEKEND</v>
      </c>
      <c r="O28" t="str">
        <f t="shared" si="9"/>
        <v>13-Apr-2024</v>
      </c>
      <c r="P28" t="str">
        <f t="shared" si="10"/>
        <v>Isha Gupta-Camera</v>
      </c>
    </row>
    <row r="29" spans="1:16" x14ac:dyDescent="0.4">
      <c r="A29" s="2" t="s">
        <v>1831</v>
      </c>
      <c r="B29" s="2" t="s">
        <v>561</v>
      </c>
      <c r="C29" s="2" t="s">
        <v>1815</v>
      </c>
      <c r="D29" s="3">
        <v>45324</v>
      </c>
      <c r="E29" s="2" t="s">
        <v>1794</v>
      </c>
      <c r="F29" t="str">
        <f t="shared" si="0"/>
        <v>yes</v>
      </c>
      <c r="G29">
        <f t="shared" si="1"/>
        <v>70</v>
      </c>
      <c r="H29" t="str">
        <f t="shared" si="2"/>
        <v>Great value for money!</v>
      </c>
      <c r="I29" t="str">
        <f t="shared" si="3"/>
        <v>Great value for money!</v>
      </c>
      <c r="J29">
        <f t="shared" si="4"/>
        <v>22</v>
      </c>
      <c r="K29" t="str">
        <f t="shared" si="5"/>
        <v>Great valu</v>
      </c>
      <c r="L29">
        <f t="shared" si="6"/>
        <v>2</v>
      </c>
      <c r="M29">
        <f t="shared" ca="1" si="7"/>
        <v>994</v>
      </c>
      <c r="N29" t="str">
        <f t="shared" si="8"/>
        <v>WEEKDAY</v>
      </c>
      <c r="O29" t="str">
        <f t="shared" si="9"/>
        <v>02-Feb-2024</v>
      </c>
      <c r="P29" t="str">
        <f t="shared" si="10"/>
        <v>Arjun Das-Smartwatch</v>
      </c>
    </row>
    <row r="30" spans="1:16" x14ac:dyDescent="0.4">
      <c r="A30" s="2" t="s">
        <v>1832</v>
      </c>
      <c r="B30" s="2" t="s">
        <v>405</v>
      </c>
      <c r="C30" s="2" t="s">
        <v>1796</v>
      </c>
      <c r="D30" s="3">
        <v>45617</v>
      </c>
      <c r="E30" s="2" t="s">
        <v>1794</v>
      </c>
      <c r="F30" t="str">
        <f t="shared" si="0"/>
        <v>yes</v>
      </c>
      <c r="G30">
        <f t="shared" si="1"/>
        <v>70</v>
      </c>
      <c r="H30" t="str">
        <f t="shared" si="2"/>
        <v>Delivery was late but product is good.</v>
      </c>
      <c r="I30" t="str">
        <f t="shared" si="3"/>
        <v>Delivery was delayed but product is good.</v>
      </c>
      <c r="J30">
        <f t="shared" si="4"/>
        <v>41</v>
      </c>
      <c r="K30" t="str">
        <f t="shared" si="5"/>
        <v>Delivery w</v>
      </c>
      <c r="L30">
        <f t="shared" si="6"/>
        <v>11</v>
      </c>
      <c r="M30">
        <f t="shared" ca="1" si="7"/>
        <v>701</v>
      </c>
      <c r="N30" t="str">
        <f t="shared" si="8"/>
        <v>WEEKDAY</v>
      </c>
      <c r="O30" t="str">
        <f t="shared" si="9"/>
        <v>21-Nov-2024</v>
      </c>
      <c r="P30" t="str">
        <f t="shared" si="10"/>
        <v>Ananya Singh-Smartwatch</v>
      </c>
    </row>
    <row r="31" spans="1:16" x14ac:dyDescent="0.4">
      <c r="A31" s="2" t="s">
        <v>1833</v>
      </c>
      <c r="B31" s="2" t="s">
        <v>99</v>
      </c>
      <c r="C31" s="2" t="s">
        <v>1799</v>
      </c>
      <c r="D31" s="3">
        <v>45596</v>
      </c>
      <c r="E31" s="2" t="s">
        <v>1797</v>
      </c>
      <c r="F31" t="str">
        <f t="shared" si="0"/>
        <v>yes</v>
      </c>
      <c r="G31">
        <f t="shared" si="1"/>
        <v>70</v>
      </c>
      <c r="H31" t="str">
        <f t="shared" si="2"/>
        <v>Not satisfied with the quality.</v>
      </c>
      <c r="I31" t="str">
        <f t="shared" si="3"/>
        <v>Not satisfied with the quality.</v>
      </c>
      <c r="J31">
        <f t="shared" si="4"/>
        <v>31</v>
      </c>
      <c r="K31" t="str">
        <f t="shared" si="5"/>
        <v>Not satisf</v>
      </c>
      <c r="L31">
        <f t="shared" si="6"/>
        <v>10</v>
      </c>
      <c r="M31">
        <f t="shared" ca="1" si="7"/>
        <v>722</v>
      </c>
      <c r="N31" t="str">
        <f t="shared" si="8"/>
        <v>WEEKDAY</v>
      </c>
      <c r="O31" t="str">
        <f t="shared" si="9"/>
        <v>31-Oct-2024</v>
      </c>
      <c r="P31" t="str">
        <f t="shared" si="10"/>
        <v>Diya Singh-Mobile</v>
      </c>
    </row>
    <row r="32" spans="1:16" x14ac:dyDescent="0.4">
      <c r="A32" s="2" t="s">
        <v>1834</v>
      </c>
      <c r="B32" s="2" t="s">
        <v>629</v>
      </c>
      <c r="C32" s="2" t="s">
        <v>1796</v>
      </c>
      <c r="D32" s="3">
        <v>45420</v>
      </c>
      <c r="E32" s="2" t="s">
        <v>1797</v>
      </c>
      <c r="F32" t="str">
        <f t="shared" si="0"/>
        <v>yes</v>
      </c>
      <c r="G32">
        <f t="shared" si="1"/>
        <v>70</v>
      </c>
      <c r="H32" t="str">
        <f t="shared" si="2"/>
        <v>Delivery was late but product is good.</v>
      </c>
      <c r="I32" t="str">
        <f t="shared" si="3"/>
        <v>Delivery was delayed but product is good.</v>
      </c>
      <c r="J32">
        <f t="shared" si="4"/>
        <v>41</v>
      </c>
      <c r="K32" t="str">
        <f t="shared" si="5"/>
        <v>Delivery w</v>
      </c>
      <c r="L32">
        <f t="shared" si="6"/>
        <v>5</v>
      </c>
      <c r="M32">
        <f t="shared" ca="1" si="7"/>
        <v>898</v>
      </c>
      <c r="N32" t="str">
        <f t="shared" si="8"/>
        <v>WEEKDAY</v>
      </c>
      <c r="O32" t="str">
        <f t="shared" si="9"/>
        <v>08-May-2024</v>
      </c>
      <c r="P32" t="str">
        <f t="shared" si="10"/>
        <v>Aditya Joshi-Mobile</v>
      </c>
    </row>
    <row r="33" spans="1:16" x14ac:dyDescent="0.4">
      <c r="A33" s="2" t="s">
        <v>1835</v>
      </c>
      <c r="B33" s="2" t="s">
        <v>579</v>
      </c>
      <c r="C33" s="2" t="s">
        <v>1796</v>
      </c>
      <c r="D33" s="3">
        <v>45639</v>
      </c>
      <c r="E33" s="2" t="s">
        <v>1810</v>
      </c>
      <c r="F33" t="str">
        <f t="shared" si="0"/>
        <v>yes</v>
      </c>
      <c r="G33">
        <f t="shared" si="1"/>
        <v>70</v>
      </c>
      <c r="H33" t="str">
        <f t="shared" si="2"/>
        <v>Delivery was late but product is good.</v>
      </c>
      <c r="I33" t="str">
        <f t="shared" si="3"/>
        <v>Delivery was delayed but product is good.</v>
      </c>
      <c r="J33">
        <f t="shared" si="4"/>
        <v>41</v>
      </c>
      <c r="K33" t="str">
        <f t="shared" si="5"/>
        <v>Delivery w</v>
      </c>
      <c r="L33">
        <f t="shared" si="6"/>
        <v>12</v>
      </c>
      <c r="M33">
        <f t="shared" ca="1" si="7"/>
        <v>679</v>
      </c>
      <c r="N33" t="str">
        <f t="shared" si="8"/>
        <v>WEEKDAY</v>
      </c>
      <c r="O33" t="str">
        <f t="shared" si="9"/>
        <v>13-Dec-2024</v>
      </c>
      <c r="P33" t="str">
        <f t="shared" si="10"/>
        <v>Diya Khan-Tablet</v>
      </c>
    </row>
    <row r="34" spans="1:16" x14ac:dyDescent="0.4">
      <c r="A34" s="2" t="s">
        <v>1836</v>
      </c>
      <c r="B34" s="2" t="s">
        <v>195</v>
      </c>
      <c r="C34" s="2" t="s">
        <v>1793</v>
      </c>
      <c r="D34" s="3">
        <v>45623</v>
      </c>
      <c r="E34" s="2" t="s">
        <v>1803</v>
      </c>
      <c r="F34" t="str">
        <f t="shared" si="0"/>
        <v>yes</v>
      </c>
      <c r="G34">
        <f t="shared" si="1"/>
        <v>70</v>
      </c>
      <c r="H34" t="str">
        <f t="shared" si="2"/>
        <v>Received damaged item, requested replacement.</v>
      </c>
      <c r="I34" t="str">
        <f t="shared" si="3"/>
        <v>Received damaged item, requested replacement.</v>
      </c>
      <c r="J34">
        <f t="shared" si="4"/>
        <v>45</v>
      </c>
      <c r="K34" t="str">
        <f t="shared" si="5"/>
        <v>Received d</v>
      </c>
      <c r="L34">
        <f t="shared" si="6"/>
        <v>11</v>
      </c>
      <c r="M34">
        <f t="shared" ca="1" si="7"/>
        <v>695</v>
      </c>
      <c r="N34" t="str">
        <f t="shared" si="8"/>
        <v>WEEKDAY</v>
      </c>
      <c r="O34" t="str">
        <f t="shared" si="9"/>
        <v>27-Nov-2024</v>
      </c>
      <c r="P34" t="str">
        <f t="shared" si="10"/>
        <v>Ananya Das-Laptop</v>
      </c>
    </row>
    <row r="35" spans="1:16" x14ac:dyDescent="0.4">
      <c r="A35" s="2" t="s">
        <v>1837</v>
      </c>
      <c r="B35" s="2" t="s">
        <v>395</v>
      </c>
      <c r="C35" s="2" t="s">
        <v>1793</v>
      </c>
      <c r="D35" s="3">
        <v>45635</v>
      </c>
      <c r="E35" s="2" t="s">
        <v>1797</v>
      </c>
      <c r="F35" t="str">
        <f t="shared" si="0"/>
        <v>yes</v>
      </c>
      <c r="G35">
        <f t="shared" si="1"/>
        <v>70</v>
      </c>
      <c r="H35" t="str">
        <f t="shared" si="2"/>
        <v>Received damaged item, requested replacement.</v>
      </c>
      <c r="I35" t="str">
        <f t="shared" si="3"/>
        <v>Received damaged item, requested replacement.</v>
      </c>
      <c r="J35">
        <f t="shared" si="4"/>
        <v>45</v>
      </c>
      <c r="K35" t="str">
        <f t="shared" si="5"/>
        <v>Received d</v>
      </c>
      <c r="L35">
        <f t="shared" si="6"/>
        <v>12</v>
      </c>
      <c r="M35">
        <f t="shared" ca="1" si="7"/>
        <v>683</v>
      </c>
      <c r="N35" t="str">
        <f t="shared" si="8"/>
        <v>WEEKDAY</v>
      </c>
      <c r="O35" t="str">
        <f t="shared" si="9"/>
        <v>09-Dec-2024</v>
      </c>
      <c r="P35" t="str">
        <f t="shared" si="10"/>
        <v>Riya Nair-Mobile</v>
      </c>
    </row>
    <row r="36" spans="1:16" x14ac:dyDescent="0.4">
      <c r="A36" s="2" t="s">
        <v>1838</v>
      </c>
      <c r="B36" s="2" t="s">
        <v>141</v>
      </c>
      <c r="C36" s="2" t="s">
        <v>1796</v>
      </c>
      <c r="D36" s="3">
        <v>45449</v>
      </c>
      <c r="E36" s="2" t="s">
        <v>1797</v>
      </c>
      <c r="F36" t="str">
        <f t="shared" si="0"/>
        <v>yes</v>
      </c>
      <c r="G36">
        <f t="shared" si="1"/>
        <v>70</v>
      </c>
      <c r="H36" t="str">
        <f t="shared" si="2"/>
        <v>Delivery was late but product is good.</v>
      </c>
      <c r="I36" t="str">
        <f t="shared" si="3"/>
        <v>Delivery was delayed but product is good.</v>
      </c>
      <c r="J36">
        <f t="shared" si="4"/>
        <v>41</v>
      </c>
      <c r="K36" t="str">
        <f t="shared" si="5"/>
        <v>Delivery w</v>
      </c>
      <c r="L36">
        <f t="shared" si="6"/>
        <v>6</v>
      </c>
      <c r="M36">
        <f t="shared" ca="1" si="7"/>
        <v>869</v>
      </c>
      <c r="N36" t="str">
        <f t="shared" si="8"/>
        <v>WEEKDAY</v>
      </c>
      <c r="O36" t="str">
        <f t="shared" si="9"/>
        <v>06-Jun-2024</v>
      </c>
      <c r="P36" t="str">
        <f t="shared" si="10"/>
        <v>Meera Das-Mobile</v>
      </c>
    </row>
    <row r="37" spans="1:16" x14ac:dyDescent="0.4">
      <c r="A37" s="2" t="s">
        <v>1839</v>
      </c>
      <c r="B37" s="2" t="s">
        <v>561</v>
      </c>
      <c r="C37" s="2" t="s">
        <v>1799</v>
      </c>
      <c r="D37" s="3">
        <v>45344</v>
      </c>
      <c r="E37" s="2" t="s">
        <v>1800</v>
      </c>
      <c r="F37" t="str">
        <f t="shared" si="0"/>
        <v>yes</v>
      </c>
      <c r="G37">
        <f t="shared" si="1"/>
        <v>70</v>
      </c>
      <c r="H37" t="str">
        <f t="shared" si="2"/>
        <v>Not satisfied with the quality.</v>
      </c>
      <c r="I37" t="str">
        <f t="shared" si="3"/>
        <v>Not satisfied with the quality.</v>
      </c>
      <c r="J37">
        <f t="shared" si="4"/>
        <v>31</v>
      </c>
      <c r="K37" t="str">
        <f t="shared" si="5"/>
        <v>Not satisf</v>
      </c>
      <c r="L37">
        <f t="shared" si="6"/>
        <v>2</v>
      </c>
      <c r="M37">
        <f t="shared" ca="1" si="7"/>
        <v>974</v>
      </c>
      <c r="N37" t="str">
        <f t="shared" si="8"/>
        <v>WEEKDAY</v>
      </c>
      <c r="O37" t="str">
        <f t="shared" si="9"/>
        <v>22-Feb-2024</v>
      </c>
      <c r="P37" t="str">
        <f t="shared" si="10"/>
        <v>Arjun Das-Camera</v>
      </c>
    </row>
    <row r="38" spans="1:16" x14ac:dyDescent="0.4">
      <c r="A38" s="2" t="s">
        <v>1840</v>
      </c>
      <c r="B38" s="2" t="s">
        <v>665</v>
      </c>
      <c r="C38" s="2" t="s">
        <v>1802</v>
      </c>
      <c r="D38" s="3">
        <v>45622</v>
      </c>
      <c r="E38" s="2" t="s">
        <v>1800</v>
      </c>
      <c r="F38" t="str">
        <f t="shared" si="0"/>
        <v>yes</v>
      </c>
      <c r="G38">
        <f t="shared" si="1"/>
        <v>70</v>
      </c>
      <c r="H38" t="str">
        <f t="shared" si="2"/>
        <v>Product was excellent and delivery was fast.</v>
      </c>
      <c r="I38" t="str">
        <f t="shared" si="3"/>
        <v>Product was excellent and delivery was fast.</v>
      </c>
      <c r="J38">
        <f t="shared" si="4"/>
        <v>44</v>
      </c>
      <c r="K38" t="str">
        <f t="shared" si="5"/>
        <v>Product wa</v>
      </c>
      <c r="L38">
        <f t="shared" si="6"/>
        <v>11</v>
      </c>
      <c r="M38">
        <f t="shared" ca="1" si="7"/>
        <v>696</v>
      </c>
      <c r="N38" t="str">
        <f t="shared" si="8"/>
        <v>WEEKDAY</v>
      </c>
      <c r="O38" t="str">
        <f t="shared" si="9"/>
        <v>26-Nov-2024</v>
      </c>
      <c r="P38" t="str">
        <f t="shared" si="10"/>
        <v>Isha Singh-Camera</v>
      </c>
    </row>
    <row r="39" spans="1:16" x14ac:dyDescent="0.4">
      <c r="A39" s="2" t="s">
        <v>1841</v>
      </c>
      <c r="B39" s="2" t="s">
        <v>555</v>
      </c>
      <c r="C39" s="2" t="s">
        <v>1809</v>
      </c>
      <c r="D39" s="3">
        <v>45380</v>
      </c>
      <c r="E39" s="2" t="s">
        <v>1797</v>
      </c>
      <c r="F39" t="str">
        <f t="shared" si="0"/>
        <v>yes</v>
      </c>
      <c r="G39">
        <f t="shared" si="1"/>
        <v>70</v>
      </c>
      <c r="H39" t="str">
        <f t="shared" si="2"/>
        <v>Customer support was helpful.</v>
      </c>
      <c r="I39" t="str">
        <f t="shared" si="3"/>
        <v>Customer support was helpful.</v>
      </c>
      <c r="J39">
        <f t="shared" si="4"/>
        <v>29</v>
      </c>
      <c r="K39" t="str">
        <f t="shared" si="5"/>
        <v>Customer s</v>
      </c>
      <c r="L39">
        <f t="shared" si="6"/>
        <v>3</v>
      </c>
      <c r="M39">
        <f t="shared" ca="1" si="7"/>
        <v>938</v>
      </c>
      <c r="N39" t="str">
        <f t="shared" si="8"/>
        <v>WEEKDAY</v>
      </c>
      <c r="O39" t="str">
        <f t="shared" si="9"/>
        <v>29-Mar-2024</v>
      </c>
      <c r="P39" t="str">
        <f t="shared" si="10"/>
        <v>Riya Joshi-Mobile</v>
      </c>
    </row>
    <row r="40" spans="1:16" x14ac:dyDescent="0.4">
      <c r="A40" s="2" t="s">
        <v>1842</v>
      </c>
      <c r="B40" s="2" t="s">
        <v>161</v>
      </c>
      <c r="C40" s="2" t="s">
        <v>1793</v>
      </c>
      <c r="D40" s="3">
        <v>45406</v>
      </c>
      <c r="E40" s="2" t="s">
        <v>1810</v>
      </c>
      <c r="F40" t="str">
        <f t="shared" si="0"/>
        <v>yes</v>
      </c>
      <c r="G40">
        <f t="shared" si="1"/>
        <v>70</v>
      </c>
      <c r="H40" t="str">
        <f t="shared" si="2"/>
        <v>Received damaged item, requested replacement.</v>
      </c>
      <c r="I40" t="str">
        <f t="shared" si="3"/>
        <v>Received damaged item, requested replacement.</v>
      </c>
      <c r="J40">
        <f t="shared" si="4"/>
        <v>45</v>
      </c>
      <c r="K40" t="str">
        <f t="shared" si="5"/>
        <v>Received d</v>
      </c>
      <c r="L40">
        <f t="shared" si="6"/>
        <v>4</v>
      </c>
      <c r="M40">
        <f t="shared" ca="1" si="7"/>
        <v>912</v>
      </c>
      <c r="N40" t="str">
        <f t="shared" si="8"/>
        <v>WEEKDAY</v>
      </c>
      <c r="O40" t="str">
        <f t="shared" si="9"/>
        <v>24-Apr-2024</v>
      </c>
      <c r="P40" t="str">
        <f t="shared" si="10"/>
        <v>Riya Patel-Tablet</v>
      </c>
    </row>
    <row r="41" spans="1:16" x14ac:dyDescent="0.4">
      <c r="A41" s="2" t="s">
        <v>1843</v>
      </c>
      <c r="B41" s="2" t="s">
        <v>629</v>
      </c>
      <c r="C41" s="2" t="s">
        <v>1796</v>
      </c>
      <c r="D41" s="3">
        <v>45516</v>
      </c>
      <c r="E41" s="2" t="s">
        <v>1803</v>
      </c>
      <c r="F41" t="str">
        <f t="shared" si="0"/>
        <v>yes</v>
      </c>
      <c r="G41">
        <f t="shared" si="1"/>
        <v>70</v>
      </c>
      <c r="H41" t="str">
        <f t="shared" si="2"/>
        <v>Delivery was late but product is good.</v>
      </c>
      <c r="I41" t="str">
        <f t="shared" si="3"/>
        <v>Delivery was delayed but product is good.</v>
      </c>
      <c r="J41">
        <f t="shared" si="4"/>
        <v>41</v>
      </c>
      <c r="K41" t="str">
        <f t="shared" si="5"/>
        <v>Delivery w</v>
      </c>
      <c r="L41">
        <f t="shared" si="6"/>
        <v>8</v>
      </c>
      <c r="M41">
        <f t="shared" ca="1" si="7"/>
        <v>802</v>
      </c>
      <c r="N41" t="str">
        <f t="shared" si="8"/>
        <v>WEEKDAY</v>
      </c>
      <c r="O41" t="str">
        <f t="shared" si="9"/>
        <v>12-Aug-2024</v>
      </c>
      <c r="P41" t="str">
        <f t="shared" si="10"/>
        <v>Aditya Joshi-Laptop</v>
      </c>
    </row>
    <row r="42" spans="1:16" x14ac:dyDescent="0.4">
      <c r="A42" s="2" t="s">
        <v>1844</v>
      </c>
      <c r="B42" s="2" t="s">
        <v>149</v>
      </c>
      <c r="C42" s="2" t="s">
        <v>1809</v>
      </c>
      <c r="D42" s="3">
        <v>45357</v>
      </c>
      <c r="E42" s="2" t="s">
        <v>1794</v>
      </c>
      <c r="F42" t="str">
        <f t="shared" si="0"/>
        <v>yes</v>
      </c>
      <c r="G42">
        <f t="shared" si="1"/>
        <v>70</v>
      </c>
      <c r="H42" t="str">
        <f t="shared" si="2"/>
        <v>Customer support was helpful.</v>
      </c>
      <c r="I42" t="str">
        <f t="shared" si="3"/>
        <v>Customer support was helpful.</v>
      </c>
      <c r="J42">
        <f t="shared" si="4"/>
        <v>29</v>
      </c>
      <c r="K42" t="str">
        <f t="shared" si="5"/>
        <v>Customer s</v>
      </c>
      <c r="L42">
        <f t="shared" si="6"/>
        <v>3</v>
      </c>
      <c r="M42">
        <f t="shared" ca="1" si="7"/>
        <v>961</v>
      </c>
      <c r="N42" t="str">
        <f t="shared" si="8"/>
        <v>WEEKDAY</v>
      </c>
      <c r="O42" t="str">
        <f t="shared" si="9"/>
        <v>06-Mar-2024</v>
      </c>
      <c r="P42" t="str">
        <f t="shared" si="10"/>
        <v>Kabir Joshi-Smartwatch</v>
      </c>
    </row>
    <row r="43" spans="1:16" x14ac:dyDescent="0.4">
      <c r="A43" s="2" t="s">
        <v>1845</v>
      </c>
      <c r="B43" s="2" t="s">
        <v>35</v>
      </c>
      <c r="C43" s="2" t="s">
        <v>1815</v>
      </c>
      <c r="D43" s="3">
        <v>45417</v>
      </c>
      <c r="E43" s="2" t="s">
        <v>1794</v>
      </c>
      <c r="F43" t="str">
        <f t="shared" si="0"/>
        <v>yes</v>
      </c>
      <c r="G43">
        <f t="shared" si="1"/>
        <v>70</v>
      </c>
      <c r="H43" t="str">
        <f t="shared" si="2"/>
        <v>Great value for money!</v>
      </c>
      <c r="I43" t="str">
        <f t="shared" si="3"/>
        <v>Great value for money!</v>
      </c>
      <c r="J43">
        <f t="shared" si="4"/>
        <v>22</v>
      </c>
      <c r="K43" t="str">
        <f t="shared" si="5"/>
        <v>Great valu</v>
      </c>
      <c r="L43">
        <f t="shared" si="6"/>
        <v>5</v>
      </c>
      <c r="M43">
        <f t="shared" ca="1" si="7"/>
        <v>901</v>
      </c>
      <c r="N43" t="str">
        <f t="shared" si="8"/>
        <v>WEEKEND</v>
      </c>
      <c r="O43" t="str">
        <f t="shared" si="9"/>
        <v>05-May-2024</v>
      </c>
      <c r="P43" t="str">
        <f t="shared" si="10"/>
        <v>Isha Das-Smartwatch</v>
      </c>
    </row>
    <row r="44" spans="1:16" x14ac:dyDescent="0.4">
      <c r="A44" s="2" t="s">
        <v>1846</v>
      </c>
      <c r="B44" s="2" t="s">
        <v>1177</v>
      </c>
      <c r="C44" s="2" t="s">
        <v>1815</v>
      </c>
      <c r="D44" s="3">
        <v>45600</v>
      </c>
      <c r="E44" s="2" t="s">
        <v>1794</v>
      </c>
      <c r="F44" t="str">
        <f t="shared" si="0"/>
        <v>yes</v>
      </c>
      <c r="G44">
        <f t="shared" si="1"/>
        <v>70</v>
      </c>
      <c r="H44" t="str">
        <f t="shared" si="2"/>
        <v>Great value for money!</v>
      </c>
      <c r="I44" t="str">
        <f t="shared" si="3"/>
        <v>Great value for money!</v>
      </c>
      <c r="J44">
        <f t="shared" si="4"/>
        <v>22</v>
      </c>
      <c r="K44" t="str">
        <f t="shared" si="5"/>
        <v>Great valu</v>
      </c>
      <c r="L44">
        <f t="shared" si="6"/>
        <v>11</v>
      </c>
      <c r="M44">
        <f t="shared" ca="1" si="7"/>
        <v>718</v>
      </c>
      <c r="N44" t="str">
        <f t="shared" si="8"/>
        <v>WEEKDAY</v>
      </c>
      <c r="O44" t="str">
        <f t="shared" si="9"/>
        <v>04-Nov-2024</v>
      </c>
      <c r="P44" t="str">
        <f t="shared" si="10"/>
        <v>Riya Reddy-Smartwatch</v>
      </c>
    </row>
    <row r="45" spans="1:16" x14ac:dyDescent="0.4">
      <c r="A45" s="2" t="s">
        <v>1847</v>
      </c>
      <c r="B45" s="2" t="s">
        <v>149</v>
      </c>
      <c r="C45" s="2" t="s">
        <v>1815</v>
      </c>
      <c r="D45" s="3">
        <v>45307</v>
      </c>
      <c r="E45" s="2" t="s">
        <v>1797</v>
      </c>
      <c r="F45" t="str">
        <f t="shared" si="0"/>
        <v>yes</v>
      </c>
      <c r="G45">
        <f t="shared" si="1"/>
        <v>70</v>
      </c>
      <c r="H45" t="str">
        <f t="shared" si="2"/>
        <v>Great value for money!</v>
      </c>
      <c r="I45" t="str">
        <f t="shared" si="3"/>
        <v>Great value for money!</v>
      </c>
      <c r="J45">
        <f t="shared" si="4"/>
        <v>22</v>
      </c>
      <c r="K45" t="str">
        <f t="shared" si="5"/>
        <v>Great valu</v>
      </c>
      <c r="L45">
        <f t="shared" si="6"/>
        <v>1</v>
      </c>
      <c r="M45">
        <f t="shared" ca="1" si="7"/>
        <v>1011</v>
      </c>
      <c r="N45" t="str">
        <f t="shared" si="8"/>
        <v>WEEKDAY</v>
      </c>
      <c r="O45" t="str">
        <f t="shared" si="9"/>
        <v>16-Jan-2024</v>
      </c>
      <c r="P45" t="str">
        <f t="shared" si="10"/>
        <v>Kabir Joshi-Mobile</v>
      </c>
    </row>
    <row r="46" spans="1:16" x14ac:dyDescent="0.4">
      <c r="A46" s="2" t="s">
        <v>1848</v>
      </c>
      <c r="B46" s="2" t="s">
        <v>137</v>
      </c>
      <c r="C46" s="2" t="s">
        <v>1799</v>
      </c>
      <c r="D46" s="3">
        <v>45528</v>
      </c>
      <c r="E46" s="2" t="s">
        <v>1797</v>
      </c>
      <c r="F46" t="str">
        <f t="shared" si="0"/>
        <v>yes</v>
      </c>
      <c r="G46">
        <f t="shared" si="1"/>
        <v>70</v>
      </c>
      <c r="H46" t="str">
        <f t="shared" si="2"/>
        <v>Not satisfied with the quality.</v>
      </c>
      <c r="I46" t="str">
        <f t="shared" si="3"/>
        <v>Not satisfied with the quality.</v>
      </c>
      <c r="J46">
        <f t="shared" si="4"/>
        <v>31</v>
      </c>
      <c r="K46" t="str">
        <f t="shared" si="5"/>
        <v>Not satisf</v>
      </c>
      <c r="L46">
        <f t="shared" si="6"/>
        <v>8</v>
      </c>
      <c r="M46">
        <f t="shared" ca="1" si="7"/>
        <v>790</v>
      </c>
      <c r="N46" t="str">
        <f t="shared" si="8"/>
        <v>WEEKEND</v>
      </c>
      <c r="O46" t="str">
        <f t="shared" si="9"/>
        <v>24-Aug-2024</v>
      </c>
      <c r="P46" t="str">
        <f t="shared" si="10"/>
        <v>Aditya Singh-Mobile</v>
      </c>
    </row>
    <row r="47" spans="1:16" x14ac:dyDescent="0.4">
      <c r="A47" s="2" t="s">
        <v>1849</v>
      </c>
      <c r="B47" s="2" t="s">
        <v>121</v>
      </c>
      <c r="C47" s="2" t="s">
        <v>1793</v>
      </c>
      <c r="D47" s="3">
        <v>45345</v>
      </c>
      <c r="E47" s="2" t="s">
        <v>1800</v>
      </c>
      <c r="F47" t="str">
        <f t="shared" si="0"/>
        <v>yes</v>
      </c>
      <c r="G47">
        <f t="shared" si="1"/>
        <v>70</v>
      </c>
      <c r="H47" t="str">
        <f t="shared" si="2"/>
        <v>Received damaged item, requested replacement.</v>
      </c>
      <c r="I47" t="str">
        <f t="shared" si="3"/>
        <v>Received damaged item, requested replacement.</v>
      </c>
      <c r="J47">
        <f t="shared" si="4"/>
        <v>45</v>
      </c>
      <c r="K47" t="str">
        <f t="shared" si="5"/>
        <v>Received d</v>
      </c>
      <c r="L47">
        <f t="shared" si="6"/>
        <v>2</v>
      </c>
      <c r="M47">
        <f t="shared" ca="1" si="7"/>
        <v>973</v>
      </c>
      <c r="N47" t="str">
        <f t="shared" si="8"/>
        <v>WEEKDAY</v>
      </c>
      <c r="O47" t="str">
        <f t="shared" si="9"/>
        <v>23-Feb-2024</v>
      </c>
      <c r="P47" t="str">
        <f t="shared" si="10"/>
        <v>Ananya Sharma-Camera</v>
      </c>
    </row>
    <row r="48" spans="1:16" x14ac:dyDescent="0.4">
      <c r="A48" s="2" t="s">
        <v>1850</v>
      </c>
      <c r="B48" s="2" t="s">
        <v>401</v>
      </c>
      <c r="C48" s="2" t="s">
        <v>1815</v>
      </c>
      <c r="D48" s="3">
        <v>45337</v>
      </c>
      <c r="E48" s="2" t="s">
        <v>1810</v>
      </c>
      <c r="F48" t="str">
        <f t="shared" si="0"/>
        <v>yes</v>
      </c>
      <c r="G48">
        <f t="shared" si="1"/>
        <v>70</v>
      </c>
      <c r="H48" t="str">
        <f t="shared" si="2"/>
        <v>Great value for money!</v>
      </c>
      <c r="I48" t="str">
        <f t="shared" si="3"/>
        <v>Great value for money!</v>
      </c>
      <c r="J48">
        <f t="shared" si="4"/>
        <v>22</v>
      </c>
      <c r="K48" t="str">
        <f t="shared" si="5"/>
        <v>Great valu</v>
      </c>
      <c r="L48">
        <f t="shared" si="6"/>
        <v>2</v>
      </c>
      <c r="M48">
        <f t="shared" ca="1" si="7"/>
        <v>981</v>
      </c>
      <c r="N48" t="str">
        <f t="shared" si="8"/>
        <v>WEEKDAY</v>
      </c>
      <c r="O48" t="str">
        <f t="shared" si="9"/>
        <v>15-Feb-2024</v>
      </c>
      <c r="P48" t="str">
        <f t="shared" si="10"/>
        <v>Meera Nair-Tablet</v>
      </c>
    </row>
    <row r="49" spans="1:16" x14ac:dyDescent="0.4">
      <c r="A49" s="2" t="s">
        <v>1851</v>
      </c>
      <c r="B49" s="2" t="s">
        <v>279</v>
      </c>
      <c r="C49" s="2" t="s">
        <v>1799</v>
      </c>
      <c r="D49" s="3">
        <v>45501</v>
      </c>
      <c r="E49" s="2" t="s">
        <v>1810</v>
      </c>
      <c r="F49" t="str">
        <f t="shared" si="0"/>
        <v>yes</v>
      </c>
      <c r="G49">
        <f t="shared" si="1"/>
        <v>70</v>
      </c>
      <c r="H49" t="str">
        <f t="shared" si="2"/>
        <v>Not satisfied with the quality.</v>
      </c>
      <c r="I49" t="str">
        <f t="shared" si="3"/>
        <v>Not satisfied with the quality.</v>
      </c>
      <c r="J49">
        <f t="shared" si="4"/>
        <v>31</v>
      </c>
      <c r="K49" t="str">
        <f t="shared" si="5"/>
        <v>Not satisf</v>
      </c>
      <c r="L49">
        <f t="shared" si="6"/>
        <v>7</v>
      </c>
      <c r="M49">
        <f t="shared" ca="1" si="7"/>
        <v>817</v>
      </c>
      <c r="N49" t="str">
        <f t="shared" si="8"/>
        <v>WEEKEND</v>
      </c>
      <c r="O49" t="str">
        <f t="shared" si="9"/>
        <v>28-Jul-2024</v>
      </c>
      <c r="P49" t="str">
        <f t="shared" si="10"/>
        <v>Diya Patel-Tablet</v>
      </c>
    </row>
    <row r="50" spans="1:16" x14ac:dyDescent="0.4">
      <c r="A50" s="2" t="s">
        <v>1852</v>
      </c>
      <c r="B50" s="2" t="s">
        <v>125</v>
      </c>
      <c r="C50" s="2" t="s">
        <v>1809</v>
      </c>
      <c r="D50" s="3">
        <v>45365</v>
      </c>
      <c r="E50" s="2" t="s">
        <v>1820</v>
      </c>
      <c r="F50" t="str">
        <f t="shared" si="0"/>
        <v>yes</v>
      </c>
      <c r="G50">
        <f t="shared" si="1"/>
        <v>70</v>
      </c>
      <c r="H50" t="str">
        <f t="shared" si="2"/>
        <v>Customer support was helpful.</v>
      </c>
      <c r="I50" t="str">
        <f t="shared" si="3"/>
        <v>Customer support was helpful.</v>
      </c>
      <c r="J50">
        <f t="shared" si="4"/>
        <v>29</v>
      </c>
      <c r="K50" t="str">
        <f t="shared" si="5"/>
        <v>Customer s</v>
      </c>
      <c r="L50">
        <f t="shared" si="6"/>
        <v>3</v>
      </c>
      <c r="M50">
        <f t="shared" ca="1" si="7"/>
        <v>953</v>
      </c>
      <c r="N50" t="str">
        <f t="shared" si="8"/>
        <v>WEEKDAY</v>
      </c>
      <c r="O50" t="str">
        <f t="shared" si="9"/>
        <v>14-Mar-2024</v>
      </c>
      <c r="P50" t="str">
        <f t="shared" si="10"/>
        <v>Riya Sharma-Printer</v>
      </c>
    </row>
    <row r="51" spans="1:16" x14ac:dyDescent="0.4">
      <c r="A51" s="2" t="s">
        <v>1853</v>
      </c>
      <c r="B51" s="2" t="s">
        <v>165</v>
      </c>
      <c r="C51" s="2" t="s">
        <v>1793</v>
      </c>
      <c r="D51" s="3">
        <v>45361</v>
      </c>
      <c r="E51" s="2" t="s">
        <v>1810</v>
      </c>
      <c r="F51" t="str">
        <f t="shared" si="0"/>
        <v>yes</v>
      </c>
      <c r="G51">
        <f t="shared" si="1"/>
        <v>70</v>
      </c>
      <c r="H51" t="str">
        <f t="shared" si="2"/>
        <v>Received damaged item, requested replacement.</v>
      </c>
      <c r="I51" t="str">
        <f t="shared" si="3"/>
        <v>Received damaged item, requested replacement.</v>
      </c>
      <c r="J51">
        <f t="shared" si="4"/>
        <v>45</v>
      </c>
      <c r="K51" t="str">
        <f t="shared" si="5"/>
        <v>Received d</v>
      </c>
      <c r="L51">
        <f t="shared" si="6"/>
        <v>3</v>
      </c>
      <c r="M51">
        <f t="shared" ca="1" si="7"/>
        <v>957</v>
      </c>
      <c r="N51" t="str">
        <f t="shared" si="8"/>
        <v>WEEKEND</v>
      </c>
      <c r="O51" t="str">
        <f t="shared" si="9"/>
        <v>10-Mar-2024</v>
      </c>
      <c r="P51" t="str">
        <f t="shared" si="10"/>
        <v>Aditya Das-Tablet</v>
      </c>
    </row>
    <row r="52" spans="1:16" x14ac:dyDescent="0.4">
      <c r="A52" s="2" t="s">
        <v>1854</v>
      </c>
      <c r="B52" s="2" t="s">
        <v>113</v>
      </c>
      <c r="C52" s="2" t="s">
        <v>1793</v>
      </c>
      <c r="D52" s="3">
        <v>45476</v>
      </c>
      <c r="E52" s="2" t="s">
        <v>1820</v>
      </c>
      <c r="F52" t="str">
        <f t="shared" si="0"/>
        <v>yes</v>
      </c>
      <c r="G52">
        <f t="shared" si="1"/>
        <v>70</v>
      </c>
      <c r="H52" t="str">
        <f t="shared" si="2"/>
        <v>Received damaged item, requested replacement.</v>
      </c>
      <c r="I52" t="str">
        <f t="shared" si="3"/>
        <v>Received damaged item, requested replacement.</v>
      </c>
      <c r="J52">
        <f t="shared" si="4"/>
        <v>45</v>
      </c>
      <c r="K52" t="str">
        <f t="shared" si="5"/>
        <v>Received d</v>
      </c>
      <c r="L52">
        <f t="shared" si="6"/>
        <v>7</v>
      </c>
      <c r="M52">
        <f t="shared" ca="1" si="7"/>
        <v>842</v>
      </c>
      <c r="N52" t="str">
        <f t="shared" si="8"/>
        <v>WEEKDAY</v>
      </c>
      <c r="O52" t="str">
        <f t="shared" si="9"/>
        <v>03-Jul-2024</v>
      </c>
      <c r="P52" t="str">
        <f t="shared" si="10"/>
        <v>Diya Reddy-Printer</v>
      </c>
    </row>
    <row r="53" spans="1:16" x14ac:dyDescent="0.4">
      <c r="A53" s="2" t="s">
        <v>1855</v>
      </c>
      <c r="B53" s="2" t="s">
        <v>621</v>
      </c>
      <c r="C53" s="2" t="s">
        <v>1799</v>
      </c>
      <c r="D53" s="3">
        <v>45443</v>
      </c>
      <c r="E53" s="2" t="s">
        <v>1794</v>
      </c>
      <c r="F53" t="str">
        <f t="shared" si="0"/>
        <v>yes</v>
      </c>
      <c r="G53">
        <f t="shared" si="1"/>
        <v>70</v>
      </c>
      <c r="H53" t="str">
        <f t="shared" si="2"/>
        <v>Not satisfied with the quality.</v>
      </c>
      <c r="I53" t="str">
        <f t="shared" si="3"/>
        <v>Not satisfied with the quality.</v>
      </c>
      <c r="J53">
        <f t="shared" si="4"/>
        <v>31</v>
      </c>
      <c r="K53" t="str">
        <f t="shared" si="5"/>
        <v>Not satisf</v>
      </c>
      <c r="L53">
        <f t="shared" si="6"/>
        <v>5</v>
      </c>
      <c r="M53">
        <f t="shared" ca="1" si="7"/>
        <v>875</v>
      </c>
      <c r="N53" t="str">
        <f t="shared" si="8"/>
        <v>WEEKDAY</v>
      </c>
      <c r="O53" t="str">
        <f t="shared" si="9"/>
        <v>31-May-2024</v>
      </c>
      <c r="P53" t="str">
        <f t="shared" si="10"/>
        <v>Isha Khan-Smartwatch</v>
      </c>
    </row>
    <row r="54" spans="1:16" x14ac:dyDescent="0.4">
      <c r="A54" s="2" t="s">
        <v>1856</v>
      </c>
      <c r="B54" s="2" t="s">
        <v>831</v>
      </c>
      <c r="C54" s="2" t="s">
        <v>1815</v>
      </c>
      <c r="D54" s="3">
        <v>45524</v>
      </c>
      <c r="E54" s="2" t="s">
        <v>1794</v>
      </c>
      <c r="F54" t="str">
        <f t="shared" si="0"/>
        <v>yes</v>
      </c>
      <c r="G54">
        <f t="shared" si="1"/>
        <v>70</v>
      </c>
      <c r="H54" t="str">
        <f t="shared" si="2"/>
        <v>Great value for money!</v>
      </c>
      <c r="I54" t="str">
        <f t="shared" si="3"/>
        <v>Great value for money!</v>
      </c>
      <c r="J54">
        <f t="shared" si="4"/>
        <v>22</v>
      </c>
      <c r="K54" t="str">
        <f t="shared" si="5"/>
        <v>Great valu</v>
      </c>
      <c r="L54">
        <f t="shared" si="6"/>
        <v>8</v>
      </c>
      <c r="M54">
        <f t="shared" ca="1" si="7"/>
        <v>794</v>
      </c>
      <c r="N54" t="str">
        <f t="shared" si="8"/>
        <v>WEEKDAY</v>
      </c>
      <c r="O54" t="str">
        <f t="shared" si="9"/>
        <v>20-Aug-2024</v>
      </c>
      <c r="P54" t="str">
        <f t="shared" si="10"/>
        <v>Diya Sharma-Smartwatch</v>
      </c>
    </row>
    <row r="55" spans="1:16" x14ac:dyDescent="0.4">
      <c r="A55" s="2" t="s">
        <v>1857</v>
      </c>
      <c r="B55" s="2" t="s">
        <v>271</v>
      </c>
      <c r="C55" s="2" t="s">
        <v>1793</v>
      </c>
      <c r="D55" s="3">
        <v>45640</v>
      </c>
      <c r="E55" s="2" t="s">
        <v>1794</v>
      </c>
      <c r="F55" t="str">
        <f t="shared" si="0"/>
        <v>yes</v>
      </c>
      <c r="G55">
        <f t="shared" si="1"/>
        <v>70</v>
      </c>
      <c r="H55" t="str">
        <f t="shared" si="2"/>
        <v>Received damaged item, requested replacement.</v>
      </c>
      <c r="I55" t="str">
        <f t="shared" si="3"/>
        <v>Received damaged item, requested replacement.</v>
      </c>
      <c r="J55">
        <f t="shared" si="4"/>
        <v>45</v>
      </c>
      <c r="K55" t="str">
        <f t="shared" si="5"/>
        <v>Received d</v>
      </c>
      <c r="L55">
        <f t="shared" si="6"/>
        <v>12</v>
      </c>
      <c r="M55">
        <f t="shared" ca="1" si="7"/>
        <v>678</v>
      </c>
      <c r="N55" t="str">
        <f t="shared" si="8"/>
        <v>WEEKEND</v>
      </c>
      <c r="O55" t="str">
        <f t="shared" si="9"/>
        <v>14-Dec-2024</v>
      </c>
      <c r="P55" t="str">
        <f t="shared" si="10"/>
        <v>Arjun Joshi-Smartwatch</v>
      </c>
    </row>
    <row r="56" spans="1:16" x14ac:dyDescent="0.4">
      <c r="A56" s="2" t="s">
        <v>1858</v>
      </c>
      <c r="B56" s="2" t="s">
        <v>195</v>
      </c>
      <c r="C56" s="2" t="s">
        <v>1793</v>
      </c>
      <c r="D56" s="3">
        <v>45629</v>
      </c>
      <c r="E56" s="2" t="s">
        <v>1800</v>
      </c>
      <c r="F56" t="str">
        <f t="shared" si="0"/>
        <v>yes</v>
      </c>
      <c r="G56">
        <f t="shared" si="1"/>
        <v>70</v>
      </c>
      <c r="H56" t="str">
        <f t="shared" si="2"/>
        <v>Received damaged item, requested replacement.</v>
      </c>
      <c r="I56" t="str">
        <f t="shared" si="3"/>
        <v>Received damaged item, requested replacement.</v>
      </c>
      <c r="J56">
        <f t="shared" si="4"/>
        <v>45</v>
      </c>
      <c r="K56" t="str">
        <f t="shared" si="5"/>
        <v>Received d</v>
      </c>
      <c r="L56">
        <f t="shared" si="6"/>
        <v>12</v>
      </c>
      <c r="M56">
        <f t="shared" ca="1" si="7"/>
        <v>689</v>
      </c>
      <c r="N56" t="str">
        <f t="shared" si="8"/>
        <v>WEEKDAY</v>
      </c>
      <c r="O56" t="str">
        <f t="shared" si="9"/>
        <v>03-Dec-2024</v>
      </c>
      <c r="P56" t="str">
        <f t="shared" si="10"/>
        <v>Ananya Das-Camera</v>
      </c>
    </row>
    <row r="57" spans="1:16" x14ac:dyDescent="0.4">
      <c r="A57" s="2" t="s">
        <v>1859</v>
      </c>
      <c r="B57" s="2" t="s">
        <v>333</v>
      </c>
      <c r="C57" s="2" t="s">
        <v>1815</v>
      </c>
      <c r="D57" s="3">
        <v>45599</v>
      </c>
      <c r="E57" s="2" t="s">
        <v>1810</v>
      </c>
      <c r="F57" t="str">
        <f t="shared" si="0"/>
        <v>yes</v>
      </c>
      <c r="G57">
        <f t="shared" si="1"/>
        <v>70</v>
      </c>
      <c r="H57" t="str">
        <f t="shared" si="2"/>
        <v>Great value for money!</v>
      </c>
      <c r="I57" t="str">
        <f t="shared" si="3"/>
        <v>Great value for money!</v>
      </c>
      <c r="J57">
        <f t="shared" si="4"/>
        <v>22</v>
      </c>
      <c r="K57" t="str">
        <f t="shared" si="5"/>
        <v>Great valu</v>
      </c>
      <c r="L57">
        <f t="shared" si="6"/>
        <v>11</v>
      </c>
      <c r="M57">
        <f t="shared" ca="1" si="7"/>
        <v>719</v>
      </c>
      <c r="N57" t="str">
        <f t="shared" si="8"/>
        <v>WEEKEND</v>
      </c>
      <c r="O57" t="str">
        <f t="shared" si="9"/>
        <v>03-Nov-2024</v>
      </c>
      <c r="P57" t="str">
        <f t="shared" si="10"/>
        <v>Aarav Singh-Tablet</v>
      </c>
    </row>
    <row r="58" spans="1:16" x14ac:dyDescent="0.4">
      <c r="A58" s="2" t="s">
        <v>1860</v>
      </c>
      <c r="B58" s="2" t="s">
        <v>1045</v>
      </c>
      <c r="C58" s="2" t="s">
        <v>1815</v>
      </c>
      <c r="D58" s="3">
        <v>45332</v>
      </c>
      <c r="E58" s="2" t="s">
        <v>1797</v>
      </c>
      <c r="F58" t="str">
        <f t="shared" si="0"/>
        <v>yes</v>
      </c>
      <c r="G58">
        <f t="shared" si="1"/>
        <v>70</v>
      </c>
      <c r="H58" t="str">
        <f t="shared" si="2"/>
        <v>Great value for money!</v>
      </c>
      <c r="I58" t="str">
        <f t="shared" si="3"/>
        <v>Great value for money!</v>
      </c>
      <c r="J58">
        <f t="shared" si="4"/>
        <v>22</v>
      </c>
      <c r="K58" t="str">
        <f t="shared" si="5"/>
        <v>Great valu</v>
      </c>
      <c r="L58">
        <f t="shared" si="6"/>
        <v>2</v>
      </c>
      <c r="M58">
        <f t="shared" ca="1" si="7"/>
        <v>986</v>
      </c>
      <c r="N58" t="str">
        <f t="shared" si="8"/>
        <v>WEEKEND</v>
      </c>
      <c r="O58" t="str">
        <f t="shared" si="9"/>
        <v>10-Feb-2024</v>
      </c>
      <c r="P58" t="str">
        <f t="shared" si="10"/>
        <v>Vivaan Reddy-Mobile</v>
      </c>
    </row>
    <row r="59" spans="1:16" x14ac:dyDescent="0.4">
      <c r="A59" s="2" t="s">
        <v>1861</v>
      </c>
      <c r="B59" s="2" t="s">
        <v>661</v>
      </c>
      <c r="C59" s="2" t="s">
        <v>1799</v>
      </c>
      <c r="D59" s="3">
        <v>45520</v>
      </c>
      <c r="E59" s="2" t="s">
        <v>1810</v>
      </c>
      <c r="F59" t="str">
        <f t="shared" si="0"/>
        <v>yes</v>
      </c>
      <c r="G59">
        <f t="shared" si="1"/>
        <v>70</v>
      </c>
      <c r="H59" t="str">
        <f t="shared" si="2"/>
        <v>Not satisfied with the quality.</v>
      </c>
      <c r="I59" t="str">
        <f t="shared" si="3"/>
        <v>Not satisfied with the quality.</v>
      </c>
      <c r="J59">
        <f t="shared" si="4"/>
        <v>31</v>
      </c>
      <c r="K59" t="str">
        <f t="shared" si="5"/>
        <v>Not satisf</v>
      </c>
      <c r="L59">
        <f t="shared" si="6"/>
        <v>8</v>
      </c>
      <c r="M59">
        <f t="shared" ca="1" si="7"/>
        <v>798</v>
      </c>
      <c r="N59" t="str">
        <f t="shared" si="8"/>
        <v>WEEKDAY</v>
      </c>
      <c r="O59" t="str">
        <f t="shared" si="9"/>
        <v>16-Aug-2024</v>
      </c>
      <c r="P59" t="str">
        <f t="shared" si="10"/>
        <v>Kabir Khan-Tablet</v>
      </c>
    </row>
    <row r="60" spans="1:16" x14ac:dyDescent="0.4">
      <c r="A60" s="2" t="s">
        <v>1862</v>
      </c>
      <c r="B60" s="2" t="s">
        <v>82</v>
      </c>
      <c r="C60" s="2" t="s">
        <v>1809</v>
      </c>
      <c r="D60" s="3">
        <v>45354</v>
      </c>
      <c r="E60" s="2" t="s">
        <v>1797</v>
      </c>
      <c r="F60" t="str">
        <f t="shared" si="0"/>
        <v>yes</v>
      </c>
      <c r="G60">
        <f t="shared" si="1"/>
        <v>70</v>
      </c>
      <c r="H60" t="str">
        <f t="shared" si="2"/>
        <v>Customer support was helpful.</v>
      </c>
      <c r="I60" t="str">
        <f t="shared" si="3"/>
        <v>Customer support was helpful.</v>
      </c>
      <c r="J60">
        <f t="shared" si="4"/>
        <v>29</v>
      </c>
      <c r="K60" t="str">
        <f t="shared" si="5"/>
        <v>Customer s</v>
      </c>
      <c r="L60">
        <f t="shared" si="6"/>
        <v>3</v>
      </c>
      <c r="M60">
        <f t="shared" ca="1" si="7"/>
        <v>964</v>
      </c>
      <c r="N60" t="str">
        <f t="shared" si="8"/>
        <v>WEEKEND</v>
      </c>
      <c r="O60" t="str">
        <f t="shared" si="9"/>
        <v>03-Mar-2024</v>
      </c>
      <c r="P60" t="str">
        <f t="shared" si="10"/>
        <v>Meera Joshi-Mobile</v>
      </c>
    </row>
    <row r="61" spans="1:16" x14ac:dyDescent="0.4">
      <c r="A61" s="2" t="s">
        <v>1863</v>
      </c>
      <c r="B61" s="2" t="s">
        <v>295</v>
      </c>
      <c r="C61" s="2" t="s">
        <v>1802</v>
      </c>
      <c r="D61" s="3">
        <v>45612</v>
      </c>
      <c r="E61" s="2" t="s">
        <v>1797</v>
      </c>
      <c r="F61" t="str">
        <f t="shared" si="0"/>
        <v>yes</v>
      </c>
      <c r="G61">
        <f t="shared" si="1"/>
        <v>70</v>
      </c>
      <c r="H61" t="str">
        <f t="shared" si="2"/>
        <v>Product was excellent and delivery was fast.</v>
      </c>
      <c r="I61" t="str">
        <f t="shared" si="3"/>
        <v>Product was excellent and delivery was fast.</v>
      </c>
      <c r="J61">
        <f t="shared" si="4"/>
        <v>44</v>
      </c>
      <c r="K61" t="str">
        <f t="shared" si="5"/>
        <v>Product wa</v>
      </c>
      <c r="L61">
        <f t="shared" si="6"/>
        <v>11</v>
      </c>
      <c r="M61">
        <f t="shared" ca="1" si="7"/>
        <v>706</v>
      </c>
      <c r="N61" t="str">
        <f t="shared" si="8"/>
        <v>WEEKEND</v>
      </c>
      <c r="O61" t="str">
        <f t="shared" si="9"/>
        <v>16-Nov-2024</v>
      </c>
      <c r="P61" t="str">
        <f t="shared" si="10"/>
        <v>Aarav Sharma-Mobile</v>
      </c>
    </row>
    <row r="62" spans="1:16" x14ac:dyDescent="0.4">
      <c r="A62" s="2" t="s">
        <v>1864</v>
      </c>
      <c r="B62" s="2" t="s">
        <v>575</v>
      </c>
      <c r="C62" s="2" t="s">
        <v>1815</v>
      </c>
      <c r="D62" s="3">
        <v>45313</v>
      </c>
      <c r="E62" s="2" t="s">
        <v>1797</v>
      </c>
      <c r="F62" t="str">
        <f t="shared" si="0"/>
        <v>yes</v>
      </c>
      <c r="G62">
        <f t="shared" si="1"/>
        <v>70</v>
      </c>
      <c r="H62" t="str">
        <f t="shared" si="2"/>
        <v>Great value for money!</v>
      </c>
      <c r="I62" t="str">
        <f t="shared" si="3"/>
        <v>Great value for money!</v>
      </c>
      <c r="J62">
        <f t="shared" si="4"/>
        <v>22</v>
      </c>
      <c r="K62" t="str">
        <f t="shared" si="5"/>
        <v>Great valu</v>
      </c>
      <c r="L62">
        <f t="shared" si="6"/>
        <v>1</v>
      </c>
      <c r="M62">
        <f t="shared" ca="1" si="7"/>
        <v>1005</v>
      </c>
      <c r="N62" t="str">
        <f t="shared" si="8"/>
        <v>WEEKDAY</v>
      </c>
      <c r="O62" t="str">
        <f t="shared" si="9"/>
        <v>22-Jan-2024</v>
      </c>
      <c r="P62" t="str">
        <f t="shared" si="10"/>
        <v>Vivaan Das-Mobile</v>
      </c>
    </row>
    <row r="63" spans="1:16" x14ac:dyDescent="0.4">
      <c r="A63" s="2" t="s">
        <v>1865</v>
      </c>
      <c r="B63" s="2" t="s">
        <v>401</v>
      </c>
      <c r="C63" s="2" t="s">
        <v>1809</v>
      </c>
      <c r="D63" s="3">
        <v>45370</v>
      </c>
      <c r="E63" s="2" t="s">
        <v>1810</v>
      </c>
      <c r="F63" t="str">
        <f t="shared" si="0"/>
        <v>yes</v>
      </c>
      <c r="G63">
        <f t="shared" si="1"/>
        <v>70</v>
      </c>
      <c r="H63" t="str">
        <f t="shared" si="2"/>
        <v>Customer support was helpful.</v>
      </c>
      <c r="I63" t="str">
        <f t="shared" si="3"/>
        <v>Customer support was helpful.</v>
      </c>
      <c r="J63">
        <f t="shared" si="4"/>
        <v>29</v>
      </c>
      <c r="K63" t="str">
        <f t="shared" si="5"/>
        <v>Customer s</v>
      </c>
      <c r="L63">
        <f t="shared" si="6"/>
        <v>3</v>
      </c>
      <c r="M63">
        <f t="shared" ca="1" si="7"/>
        <v>948</v>
      </c>
      <c r="N63" t="str">
        <f t="shared" si="8"/>
        <v>WEEKDAY</v>
      </c>
      <c r="O63" t="str">
        <f t="shared" si="9"/>
        <v>19-Mar-2024</v>
      </c>
      <c r="P63" t="str">
        <f t="shared" si="10"/>
        <v>Meera Nair-Tablet</v>
      </c>
    </row>
    <row r="64" spans="1:16" x14ac:dyDescent="0.4">
      <c r="A64" s="2" t="s">
        <v>1866</v>
      </c>
      <c r="B64" s="2" t="s">
        <v>449</v>
      </c>
      <c r="C64" s="2" t="s">
        <v>1809</v>
      </c>
      <c r="D64" s="3">
        <v>45651</v>
      </c>
      <c r="E64" s="2" t="s">
        <v>1803</v>
      </c>
      <c r="F64" t="str">
        <f t="shared" si="0"/>
        <v>yes</v>
      </c>
      <c r="G64">
        <f t="shared" si="1"/>
        <v>70</v>
      </c>
      <c r="H64" t="str">
        <f t="shared" si="2"/>
        <v>Customer support was helpful.</v>
      </c>
      <c r="I64" t="str">
        <f t="shared" si="3"/>
        <v>Customer support was helpful.</v>
      </c>
      <c r="J64">
        <f t="shared" si="4"/>
        <v>29</v>
      </c>
      <c r="K64" t="str">
        <f t="shared" si="5"/>
        <v>Customer s</v>
      </c>
      <c r="L64">
        <f t="shared" si="6"/>
        <v>12</v>
      </c>
      <c r="M64">
        <f t="shared" ca="1" si="7"/>
        <v>667</v>
      </c>
      <c r="N64" t="str">
        <f t="shared" si="8"/>
        <v>WEEKDAY</v>
      </c>
      <c r="O64" t="str">
        <f t="shared" si="9"/>
        <v>25-Dec-2024</v>
      </c>
      <c r="P64" t="str">
        <f t="shared" si="10"/>
        <v>Arjun Singh-Laptop</v>
      </c>
    </row>
    <row r="65" spans="1:16" x14ac:dyDescent="0.4">
      <c r="A65" s="2" t="s">
        <v>1867</v>
      </c>
      <c r="B65" s="2" t="s">
        <v>95</v>
      </c>
      <c r="C65" s="2" t="s">
        <v>1793</v>
      </c>
      <c r="D65" s="3">
        <v>45618</v>
      </c>
      <c r="E65" s="2" t="s">
        <v>1794</v>
      </c>
      <c r="F65" t="str">
        <f t="shared" si="0"/>
        <v>yes</v>
      </c>
      <c r="G65">
        <f t="shared" si="1"/>
        <v>70</v>
      </c>
      <c r="H65" t="str">
        <f t="shared" si="2"/>
        <v>Received damaged item, requested replacement.</v>
      </c>
      <c r="I65" t="str">
        <f t="shared" si="3"/>
        <v>Received damaged item, requested replacement.</v>
      </c>
      <c r="J65">
        <f t="shared" si="4"/>
        <v>45</v>
      </c>
      <c r="K65" t="str">
        <f t="shared" si="5"/>
        <v>Received d</v>
      </c>
      <c r="L65">
        <f t="shared" si="6"/>
        <v>11</v>
      </c>
      <c r="M65">
        <f t="shared" ca="1" si="7"/>
        <v>700</v>
      </c>
      <c r="N65" t="str">
        <f t="shared" si="8"/>
        <v>WEEKDAY</v>
      </c>
      <c r="O65" t="str">
        <f t="shared" si="9"/>
        <v>22-Nov-2024</v>
      </c>
      <c r="P65" t="str">
        <f t="shared" si="10"/>
        <v>Meera Sharma-Smartwatch</v>
      </c>
    </row>
    <row r="66" spans="1:16" x14ac:dyDescent="0.4">
      <c r="A66" s="2" t="s">
        <v>1868</v>
      </c>
      <c r="B66" s="2" t="s">
        <v>641</v>
      </c>
      <c r="C66" s="2" t="s">
        <v>1809</v>
      </c>
      <c r="D66" s="3">
        <v>45432</v>
      </c>
      <c r="E66" s="2" t="s">
        <v>1794</v>
      </c>
      <c r="F66" t="str">
        <f t="shared" si="0"/>
        <v>yes</v>
      </c>
      <c r="G66">
        <f t="shared" si="1"/>
        <v>70</v>
      </c>
      <c r="H66" t="str">
        <f t="shared" si="2"/>
        <v>Customer support was helpful.</v>
      </c>
      <c r="I66" t="str">
        <f t="shared" si="3"/>
        <v>Customer support was helpful.</v>
      </c>
      <c r="J66">
        <f t="shared" si="4"/>
        <v>29</v>
      </c>
      <c r="K66" t="str">
        <f t="shared" si="5"/>
        <v>Customer s</v>
      </c>
      <c r="L66">
        <f t="shared" si="6"/>
        <v>5</v>
      </c>
      <c r="M66">
        <f t="shared" ca="1" si="7"/>
        <v>886</v>
      </c>
      <c r="N66" t="str">
        <f t="shared" si="8"/>
        <v>WEEKDAY</v>
      </c>
      <c r="O66" t="str">
        <f t="shared" si="9"/>
        <v>20-May-2024</v>
      </c>
      <c r="P66" t="str">
        <f t="shared" si="10"/>
        <v>Aarav Mehta-Smartwatch</v>
      </c>
    </row>
    <row r="67" spans="1:16" x14ac:dyDescent="0.4">
      <c r="A67" s="2" t="s">
        <v>1869</v>
      </c>
      <c r="B67" s="2" t="s">
        <v>161</v>
      </c>
      <c r="C67" s="2" t="s">
        <v>1799</v>
      </c>
      <c r="D67" s="3">
        <v>45362</v>
      </c>
      <c r="E67" s="2" t="s">
        <v>1797</v>
      </c>
      <c r="F67" t="str">
        <f t="shared" ref="F67:F130" si="11">IF(YEAR(D67)=2024,"yes","No")</f>
        <v>yes</v>
      </c>
      <c r="G67">
        <f t="shared" ref="G67:G130" si="12">COUNTIF($C$2:$C$501,"*good*")</f>
        <v>70</v>
      </c>
      <c r="H67" t="str">
        <f t="shared" ref="H67:H130" si="13">SUBSTITUTE(C67,"delayed","late")</f>
        <v>Not satisfied with the quality.</v>
      </c>
      <c r="I67" t="str">
        <f t="shared" ref="I67:I130" si="14">TRIM(C67)</f>
        <v>Not satisfied with the quality.</v>
      </c>
      <c r="J67">
        <f t="shared" ref="J67:J130" si="15">LEN(C67)</f>
        <v>31</v>
      </c>
      <c r="K67" t="str">
        <f t="shared" ref="K67:K130" si="16">LEFT(C67,10)</f>
        <v>Not satisf</v>
      </c>
      <c r="L67">
        <f t="shared" ref="L67:L130" si="17">MONTH(D67)</f>
        <v>3</v>
      </c>
      <c r="M67">
        <f t="shared" ref="M67:M130" ca="1" si="18">DATEDIF(D67,TODAY(),"D")</f>
        <v>956</v>
      </c>
      <c r="N67" t="str">
        <f t="shared" ref="N67:N130" si="19">IF(WEEKDAY(D67,2)&gt;5,"WEEKEND","WEEKDAY")</f>
        <v>WEEKDAY</v>
      </c>
      <c r="O67" t="str">
        <f t="shared" ref="O67:O130" si="20">TEXT(D67,"DD-MMM-YYYY")</f>
        <v>11-Mar-2024</v>
      </c>
      <c r="P67" t="str">
        <f t="shared" ref="P67:P130" si="21">_xlfn.CONCAT(B67,"-",E67)</f>
        <v>Riya Patel-Mobile</v>
      </c>
    </row>
    <row r="68" spans="1:16" x14ac:dyDescent="0.4">
      <c r="A68" s="2" t="s">
        <v>1870</v>
      </c>
      <c r="B68" s="2" t="s">
        <v>267</v>
      </c>
      <c r="C68" s="2" t="s">
        <v>1815</v>
      </c>
      <c r="D68" s="3">
        <v>45512</v>
      </c>
      <c r="E68" s="2" t="s">
        <v>1820</v>
      </c>
      <c r="F68" t="str">
        <f t="shared" si="11"/>
        <v>yes</v>
      </c>
      <c r="G68">
        <f t="shared" si="12"/>
        <v>70</v>
      </c>
      <c r="H68" t="str">
        <f t="shared" si="13"/>
        <v>Great value for money!</v>
      </c>
      <c r="I68" t="str">
        <f t="shared" si="14"/>
        <v>Great value for money!</v>
      </c>
      <c r="J68">
        <f t="shared" si="15"/>
        <v>22</v>
      </c>
      <c r="K68" t="str">
        <f t="shared" si="16"/>
        <v>Great valu</v>
      </c>
      <c r="L68">
        <f t="shared" si="17"/>
        <v>8</v>
      </c>
      <c r="M68">
        <f t="shared" ca="1" si="18"/>
        <v>806</v>
      </c>
      <c r="N68" t="str">
        <f t="shared" si="19"/>
        <v>WEEKDAY</v>
      </c>
      <c r="O68" t="str">
        <f t="shared" si="20"/>
        <v>08-Aug-2024</v>
      </c>
      <c r="P68" t="str">
        <f t="shared" si="21"/>
        <v>Diya Mehta-Printer</v>
      </c>
    </row>
    <row r="69" spans="1:16" x14ac:dyDescent="0.4">
      <c r="A69" s="2" t="s">
        <v>1871</v>
      </c>
      <c r="B69" s="2" t="s">
        <v>239</v>
      </c>
      <c r="C69" s="2" t="s">
        <v>1793</v>
      </c>
      <c r="D69" s="3">
        <v>45486</v>
      </c>
      <c r="E69" s="2" t="s">
        <v>1797</v>
      </c>
      <c r="F69" t="str">
        <f t="shared" si="11"/>
        <v>yes</v>
      </c>
      <c r="G69">
        <f t="shared" si="12"/>
        <v>70</v>
      </c>
      <c r="H69" t="str">
        <f t="shared" si="13"/>
        <v>Received damaged item, requested replacement.</v>
      </c>
      <c r="I69" t="str">
        <f t="shared" si="14"/>
        <v>Received damaged item, requested replacement.</v>
      </c>
      <c r="J69">
        <f t="shared" si="15"/>
        <v>45</v>
      </c>
      <c r="K69" t="str">
        <f t="shared" si="16"/>
        <v>Received d</v>
      </c>
      <c r="L69">
        <f t="shared" si="17"/>
        <v>7</v>
      </c>
      <c r="M69">
        <f t="shared" ca="1" si="18"/>
        <v>832</v>
      </c>
      <c r="N69" t="str">
        <f t="shared" si="19"/>
        <v>WEEKEND</v>
      </c>
      <c r="O69" t="str">
        <f t="shared" si="20"/>
        <v>13-Jul-2024</v>
      </c>
      <c r="P69" t="str">
        <f t="shared" si="21"/>
        <v>Vivaan Singh-Mobile</v>
      </c>
    </row>
    <row r="70" spans="1:16" x14ac:dyDescent="0.4">
      <c r="A70" s="2" t="s">
        <v>1872</v>
      </c>
      <c r="B70" s="2" t="s">
        <v>665</v>
      </c>
      <c r="C70" s="2" t="s">
        <v>1799</v>
      </c>
      <c r="D70" s="3">
        <v>45464</v>
      </c>
      <c r="E70" s="2" t="s">
        <v>1820</v>
      </c>
      <c r="F70" t="str">
        <f t="shared" si="11"/>
        <v>yes</v>
      </c>
      <c r="G70">
        <f t="shared" si="12"/>
        <v>70</v>
      </c>
      <c r="H70" t="str">
        <f t="shared" si="13"/>
        <v>Not satisfied with the quality.</v>
      </c>
      <c r="I70" t="str">
        <f t="shared" si="14"/>
        <v>Not satisfied with the quality.</v>
      </c>
      <c r="J70">
        <f t="shared" si="15"/>
        <v>31</v>
      </c>
      <c r="K70" t="str">
        <f t="shared" si="16"/>
        <v>Not satisf</v>
      </c>
      <c r="L70">
        <f t="shared" si="17"/>
        <v>6</v>
      </c>
      <c r="M70">
        <f t="shared" ca="1" si="18"/>
        <v>854</v>
      </c>
      <c r="N70" t="str">
        <f t="shared" si="19"/>
        <v>WEEKDAY</v>
      </c>
      <c r="O70" t="str">
        <f t="shared" si="20"/>
        <v>21-Jun-2024</v>
      </c>
      <c r="P70" t="str">
        <f t="shared" si="21"/>
        <v>Isha Singh-Printer</v>
      </c>
    </row>
    <row r="71" spans="1:16" x14ac:dyDescent="0.4">
      <c r="A71" s="2" t="s">
        <v>1873</v>
      </c>
      <c r="B71" s="2" t="s">
        <v>78</v>
      </c>
      <c r="C71" s="2" t="s">
        <v>1815</v>
      </c>
      <c r="D71" s="3">
        <v>45634</v>
      </c>
      <c r="E71" s="2" t="s">
        <v>1797</v>
      </c>
      <c r="F71" t="str">
        <f t="shared" si="11"/>
        <v>yes</v>
      </c>
      <c r="G71">
        <f t="shared" si="12"/>
        <v>70</v>
      </c>
      <c r="H71" t="str">
        <f t="shared" si="13"/>
        <v>Great value for money!</v>
      </c>
      <c r="I71" t="str">
        <f t="shared" si="14"/>
        <v>Great value for money!</v>
      </c>
      <c r="J71">
        <f t="shared" si="15"/>
        <v>22</v>
      </c>
      <c r="K71" t="str">
        <f t="shared" si="16"/>
        <v>Great valu</v>
      </c>
      <c r="L71">
        <f t="shared" si="17"/>
        <v>12</v>
      </c>
      <c r="M71">
        <f t="shared" ca="1" si="18"/>
        <v>684</v>
      </c>
      <c r="N71" t="str">
        <f t="shared" si="19"/>
        <v>WEEKEND</v>
      </c>
      <c r="O71" t="str">
        <f t="shared" si="20"/>
        <v>08-Dec-2024</v>
      </c>
      <c r="P71" t="str">
        <f t="shared" si="21"/>
        <v>Ananya Patel-Mobile</v>
      </c>
    </row>
    <row r="72" spans="1:16" x14ac:dyDescent="0.4">
      <c r="A72" s="2" t="s">
        <v>1874</v>
      </c>
      <c r="B72" s="2" t="s">
        <v>23</v>
      </c>
      <c r="C72" s="2" t="s">
        <v>1809</v>
      </c>
      <c r="D72" s="3">
        <v>45419</v>
      </c>
      <c r="E72" s="2" t="s">
        <v>1820</v>
      </c>
      <c r="F72" t="str">
        <f t="shared" si="11"/>
        <v>yes</v>
      </c>
      <c r="G72">
        <f t="shared" si="12"/>
        <v>70</v>
      </c>
      <c r="H72" t="str">
        <f t="shared" si="13"/>
        <v>Customer support was helpful.</v>
      </c>
      <c r="I72" t="str">
        <f t="shared" si="14"/>
        <v>Customer support was helpful.</v>
      </c>
      <c r="J72">
        <f t="shared" si="15"/>
        <v>29</v>
      </c>
      <c r="K72" t="str">
        <f t="shared" si="16"/>
        <v>Customer s</v>
      </c>
      <c r="L72">
        <f t="shared" si="17"/>
        <v>5</v>
      </c>
      <c r="M72">
        <f t="shared" ca="1" si="18"/>
        <v>899</v>
      </c>
      <c r="N72" t="str">
        <f t="shared" si="19"/>
        <v>WEEKDAY</v>
      </c>
      <c r="O72" t="str">
        <f t="shared" si="20"/>
        <v>07-May-2024</v>
      </c>
      <c r="P72" t="str">
        <f t="shared" si="21"/>
        <v>Vivaan Mehta-Printer</v>
      </c>
    </row>
    <row r="73" spans="1:16" x14ac:dyDescent="0.4">
      <c r="A73" s="2" t="s">
        <v>1875</v>
      </c>
      <c r="B73" s="2" t="s">
        <v>141</v>
      </c>
      <c r="C73" s="2" t="s">
        <v>1799</v>
      </c>
      <c r="D73" s="3">
        <v>45315</v>
      </c>
      <c r="E73" s="2" t="s">
        <v>1820</v>
      </c>
      <c r="F73" t="str">
        <f t="shared" si="11"/>
        <v>yes</v>
      </c>
      <c r="G73">
        <f t="shared" si="12"/>
        <v>70</v>
      </c>
      <c r="H73" t="str">
        <f t="shared" si="13"/>
        <v>Not satisfied with the quality.</v>
      </c>
      <c r="I73" t="str">
        <f t="shared" si="14"/>
        <v>Not satisfied with the quality.</v>
      </c>
      <c r="J73">
        <f t="shared" si="15"/>
        <v>31</v>
      </c>
      <c r="K73" t="str">
        <f t="shared" si="16"/>
        <v>Not satisf</v>
      </c>
      <c r="L73">
        <f t="shared" si="17"/>
        <v>1</v>
      </c>
      <c r="M73">
        <f t="shared" ca="1" si="18"/>
        <v>1003</v>
      </c>
      <c r="N73" t="str">
        <f t="shared" si="19"/>
        <v>WEEKDAY</v>
      </c>
      <c r="O73" t="str">
        <f t="shared" si="20"/>
        <v>24-Jan-2024</v>
      </c>
      <c r="P73" t="str">
        <f t="shared" si="21"/>
        <v>Meera Das-Printer</v>
      </c>
    </row>
    <row r="74" spans="1:16" x14ac:dyDescent="0.4">
      <c r="A74" s="2" t="s">
        <v>1876</v>
      </c>
      <c r="B74" s="2" t="s">
        <v>1045</v>
      </c>
      <c r="C74" s="2" t="s">
        <v>1815</v>
      </c>
      <c r="D74" s="3">
        <v>45351</v>
      </c>
      <c r="E74" s="2" t="s">
        <v>1820</v>
      </c>
      <c r="F74" t="str">
        <f t="shared" si="11"/>
        <v>yes</v>
      </c>
      <c r="G74">
        <f t="shared" si="12"/>
        <v>70</v>
      </c>
      <c r="H74" t="str">
        <f t="shared" si="13"/>
        <v>Great value for money!</v>
      </c>
      <c r="I74" t="str">
        <f t="shared" si="14"/>
        <v>Great value for money!</v>
      </c>
      <c r="J74">
        <f t="shared" si="15"/>
        <v>22</v>
      </c>
      <c r="K74" t="str">
        <f t="shared" si="16"/>
        <v>Great valu</v>
      </c>
      <c r="L74">
        <f t="shared" si="17"/>
        <v>2</v>
      </c>
      <c r="M74">
        <f t="shared" ca="1" si="18"/>
        <v>967</v>
      </c>
      <c r="N74" t="str">
        <f t="shared" si="19"/>
        <v>WEEKDAY</v>
      </c>
      <c r="O74" t="str">
        <f t="shared" si="20"/>
        <v>29-Feb-2024</v>
      </c>
      <c r="P74" t="str">
        <f t="shared" si="21"/>
        <v>Vivaan Reddy-Printer</v>
      </c>
    </row>
    <row r="75" spans="1:16" x14ac:dyDescent="0.4">
      <c r="A75" s="2" t="s">
        <v>1877</v>
      </c>
      <c r="B75" s="2" t="s">
        <v>30</v>
      </c>
      <c r="C75" s="2" t="s">
        <v>1802</v>
      </c>
      <c r="D75" s="3">
        <v>45384</v>
      </c>
      <c r="E75" s="2" t="s">
        <v>1794</v>
      </c>
      <c r="F75" t="str">
        <f t="shared" si="11"/>
        <v>yes</v>
      </c>
      <c r="G75">
        <f t="shared" si="12"/>
        <v>70</v>
      </c>
      <c r="H75" t="str">
        <f t="shared" si="13"/>
        <v>Product was excellent and delivery was fast.</v>
      </c>
      <c r="I75" t="str">
        <f t="shared" si="14"/>
        <v>Product was excellent and delivery was fast.</v>
      </c>
      <c r="J75">
        <f t="shared" si="15"/>
        <v>44</v>
      </c>
      <c r="K75" t="str">
        <f t="shared" si="16"/>
        <v>Product wa</v>
      </c>
      <c r="L75">
        <f t="shared" si="17"/>
        <v>4</v>
      </c>
      <c r="M75">
        <f t="shared" ca="1" si="18"/>
        <v>934</v>
      </c>
      <c r="N75" t="str">
        <f t="shared" si="19"/>
        <v>WEEKDAY</v>
      </c>
      <c r="O75" t="str">
        <f t="shared" si="20"/>
        <v>02-Apr-2024</v>
      </c>
      <c r="P75" t="str">
        <f t="shared" si="21"/>
        <v>Ananya Reddy-Smartwatch</v>
      </c>
    </row>
    <row r="76" spans="1:16" x14ac:dyDescent="0.4">
      <c r="A76" s="2" t="s">
        <v>1878</v>
      </c>
      <c r="B76" s="2" t="s">
        <v>209</v>
      </c>
      <c r="C76" s="2" t="s">
        <v>1809</v>
      </c>
      <c r="D76" s="3">
        <v>45529</v>
      </c>
      <c r="E76" s="2" t="s">
        <v>1797</v>
      </c>
      <c r="F76" t="str">
        <f t="shared" si="11"/>
        <v>yes</v>
      </c>
      <c r="G76">
        <f t="shared" si="12"/>
        <v>70</v>
      </c>
      <c r="H76" t="str">
        <f t="shared" si="13"/>
        <v>Customer support was helpful.</v>
      </c>
      <c r="I76" t="str">
        <f t="shared" si="14"/>
        <v>Customer support was helpful.</v>
      </c>
      <c r="J76">
        <f t="shared" si="15"/>
        <v>29</v>
      </c>
      <c r="K76" t="str">
        <f t="shared" si="16"/>
        <v>Customer s</v>
      </c>
      <c r="L76">
        <f t="shared" si="17"/>
        <v>8</v>
      </c>
      <c r="M76">
        <f t="shared" ca="1" si="18"/>
        <v>789</v>
      </c>
      <c r="N76" t="str">
        <f t="shared" si="19"/>
        <v>WEEKEND</v>
      </c>
      <c r="O76" t="str">
        <f t="shared" si="20"/>
        <v>25-Aug-2024</v>
      </c>
      <c r="P76" t="str">
        <f t="shared" si="21"/>
        <v>Aarav Patel-Mobile</v>
      </c>
    </row>
    <row r="77" spans="1:16" x14ac:dyDescent="0.4">
      <c r="A77" s="2" t="s">
        <v>1879</v>
      </c>
      <c r="B77" s="2" t="s">
        <v>885</v>
      </c>
      <c r="C77" s="2" t="s">
        <v>1802</v>
      </c>
      <c r="D77" s="3">
        <v>45331</v>
      </c>
      <c r="E77" s="2" t="s">
        <v>1794</v>
      </c>
      <c r="F77" t="str">
        <f t="shared" si="11"/>
        <v>yes</v>
      </c>
      <c r="G77">
        <f t="shared" si="12"/>
        <v>70</v>
      </c>
      <c r="H77" t="str">
        <f t="shared" si="13"/>
        <v>Product was excellent and delivery was fast.</v>
      </c>
      <c r="I77" t="str">
        <f t="shared" si="14"/>
        <v>Product was excellent and delivery was fast.</v>
      </c>
      <c r="J77">
        <f t="shared" si="15"/>
        <v>44</v>
      </c>
      <c r="K77" t="str">
        <f t="shared" si="16"/>
        <v>Product wa</v>
      </c>
      <c r="L77">
        <f t="shared" si="17"/>
        <v>2</v>
      </c>
      <c r="M77">
        <f t="shared" ca="1" si="18"/>
        <v>987</v>
      </c>
      <c r="N77" t="str">
        <f t="shared" si="19"/>
        <v>WEEKDAY</v>
      </c>
      <c r="O77" t="str">
        <f t="shared" si="20"/>
        <v>09-Feb-2024</v>
      </c>
      <c r="P77" t="str">
        <f t="shared" si="21"/>
        <v>Vivaan Gupta-Smartwatch</v>
      </c>
    </row>
    <row r="78" spans="1:16" x14ac:dyDescent="0.4">
      <c r="A78" s="2" t="s">
        <v>1880</v>
      </c>
      <c r="B78" s="2" t="s">
        <v>141</v>
      </c>
      <c r="C78" s="2" t="s">
        <v>1809</v>
      </c>
      <c r="D78" s="3">
        <v>45621</v>
      </c>
      <c r="E78" s="2" t="s">
        <v>1810</v>
      </c>
      <c r="F78" t="str">
        <f t="shared" si="11"/>
        <v>yes</v>
      </c>
      <c r="G78">
        <f t="shared" si="12"/>
        <v>70</v>
      </c>
      <c r="H78" t="str">
        <f t="shared" si="13"/>
        <v>Customer support was helpful.</v>
      </c>
      <c r="I78" t="str">
        <f t="shared" si="14"/>
        <v>Customer support was helpful.</v>
      </c>
      <c r="J78">
        <f t="shared" si="15"/>
        <v>29</v>
      </c>
      <c r="K78" t="str">
        <f t="shared" si="16"/>
        <v>Customer s</v>
      </c>
      <c r="L78">
        <f t="shared" si="17"/>
        <v>11</v>
      </c>
      <c r="M78">
        <f t="shared" ca="1" si="18"/>
        <v>697</v>
      </c>
      <c r="N78" t="str">
        <f t="shared" si="19"/>
        <v>WEEKDAY</v>
      </c>
      <c r="O78" t="str">
        <f t="shared" si="20"/>
        <v>25-Nov-2024</v>
      </c>
      <c r="P78" t="str">
        <f t="shared" si="21"/>
        <v>Meera Das-Tablet</v>
      </c>
    </row>
    <row r="79" spans="1:16" x14ac:dyDescent="0.4">
      <c r="A79" s="2" t="s">
        <v>1881</v>
      </c>
      <c r="B79" s="2" t="s">
        <v>621</v>
      </c>
      <c r="C79" s="2" t="s">
        <v>1793</v>
      </c>
      <c r="D79" s="3">
        <v>45657</v>
      </c>
      <c r="E79" s="2" t="s">
        <v>1810</v>
      </c>
      <c r="F79" t="str">
        <f t="shared" si="11"/>
        <v>yes</v>
      </c>
      <c r="G79">
        <f t="shared" si="12"/>
        <v>70</v>
      </c>
      <c r="H79" t="str">
        <f t="shared" si="13"/>
        <v>Received damaged item, requested replacement.</v>
      </c>
      <c r="I79" t="str">
        <f t="shared" si="14"/>
        <v>Received damaged item, requested replacement.</v>
      </c>
      <c r="J79">
        <f t="shared" si="15"/>
        <v>45</v>
      </c>
      <c r="K79" t="str">
        <f t="shared" si="16"/>
        <v>Received d</v>
      </c>
      <c r="L79">
        <f t="shared" si="17"/>
        <v>12</v>
      </c>
      <c r="M79">
        <f t="shared" ca="1" si="18"/>
        <v>661</v>
      </c>
      <c r="N79" t="str">
        <f t="shared" si="19"/>
        <v>WEEKDAY</v>
      </c>
      <c r="O79" t="str">
        <f t="shared" si="20"/>
        <v>31-Dec-2024</v>
      </c>
      <c r="P79" t="str">
        <f t="shared" si="21"/>
        <v>Isha Khan-Tablet</v>
      </c>
    </row>
    <row r="80" spans="1:16" x14ac:dyDescent="0.4">
      <c r="A80" s="2" t="s">
        <v>1882</v>
      </c>
      <c r="B80" s="2" t="s">
        <v>107</v>
      </c>
      <c r="C80" s="2" t="s">
        <v>1802</v>
      </c>
      <c r="D80" s="3">
        <v>45532</v>
      </c>
      <c r="E80" s="2" t="s">
        <v>1820</v>
      </c>
      <c r="F80" t="str">
        <f t="shared" si="11"/>
        <v>yes</v>
      </c>
      <c r="G80">
        <f t="shared" si="12"/>
        <v>70</v>
      </c>
      <c r="H80" t="str">
        <f t="shared" si="13"/>
        <v>Product was excellent and delivery was fast.</v>
      </c>
      <c r="I80" t="str">
        <f t="shared" si="14"/>
        <v>Product was excellent and delivery was fast.</v>
      </c>
      <c r="J80">
        <f t="shared" si="15"/>
        <v>44</v>
      </c>
      <c r="K80" t="str">
        <f t="shared" si="16"/>
        <v>Product wa</v>
      </c>
      <c r="L80">
        <f t="shared" si="17"/>
        <v>8</v>
      </c>
      <c r="M80">
        <f t="shared" ca="1" si="18"/>
        <v>786</v>
      </c>
      <c r="N80" t="str">
        <f t="shared" si="19"/>
        <v>WEEKDAY</v>
      </c>
      <c r="O80" t="str">
        <f t="shared" si="20"/>
        <v>28-Aug-2024</v>
      </c>
      <c r="P80" t="str">
        <f t="shared" si="21"/>
        <v>Arjun Mehta-Printer</v>
      </c>
    </row>
    <row r="81" spans="1:16" x14ac:dyDescent="0.4">
      <c r="A81" s="2" t="s">
        <v>1883</v>
      </c>
      <c r="B81" s="2" t="s">
        <v>9</v>
      </c>
      <c r="C81" s="2" t="s">
        <v>1796</v>
      </c>
      <c r="D81" s="3">
        <v>45316</v>
      </c>
      <c r="E81" s="2" t="s">
        <v>1820</v>
      </c>
      <c r="F81" t="str">
        <f t="shared" si="11"/>
        <v>yes</v>
      </c>
      <c r="G81">
        <f t="shared" si="12"/>
        <v>70</v>
      </c>
      <c r="H81" t="str">
        <f t="shared" si="13"/>
        <v>Delivery was late but product is good.</v>
      </c>
      <c r="I81" t="str">
        <f t="shared" si="14"/>
        <v>Delivery was delayed but product is good.</v>
      </c>
      <c r="J81">
        <f t="shared" si="15"/>
        <v>41</v>
      </c>
      <c r="K81" t="str">
        <f t="shared" si="16"/>
        <v>Delivery w</v>
      </c>
      <c r="L81">
        <f t="shared" si="17"/>
        <v>1</v>
      </c>
      <c r="M81">
        <f t="shared" ca="1" si="18"/>
        <v>1002</v>
      </c>
      <c r="N81" t="str">
        <f t="shared" si="19"/>
        <v>WEEKDAY</v>
      </c>
      <c r="O81" t="str">
        <f t="shared" si="20"/>
        <v>25-Jan-2024</v>
      </c>
      <c r="P81" t="str">
        <f t="shared" si="21"/>
        <v>Meera Mehta-Printer</v>
      </c>
    </row>
    <row r="82" spans="1:16" x14ac:dyDescent="0.4">
      <c r="A82" s="2" t="s">
        <v>1884</v>
      </c>
      <c r="B82" s="2" t="s">
        <v>235</v>
      </c>
      <c r="C82" s="2" t="s">
        <v>1809</v>
      </c>
      <c r="D82" s="3">
        <v>45507</v>
      </c>
      <c r="E82" s="2" t="s">
        <v>1820</v>
      </c>
      <c r="F82" t="str">
        <f t="shared" si="11"/>
        <v>yes</v>
      </c>
      <c r="G82">
        <f t="shared" si="12"/>
        <v>70</v>
      </c>
      <c r="H82" t="str">
        <f t="shared" si="13"/>
        <v>Customer support was helpful.</v>
      </c>
      <c r="I82" t="str">
        <f t="shared" si="14"/>
        <v>Customer support was helpful.</v>
      </c>
      <c r="J82">
        <f t="shared" si="15"/>
        <v>29</v>
      </c>
      <c r="K82" t="str">
        <f t="shared" si="16"/>
        <v>Customer s</v>
      </c>
      <c r="L82">
        <f t="shared" si="17"/>
        <v>8</v>
      </c>
      <c r="M82">
        <f t="shared" ca="1" si="18"/>
        <v>811</v>
      </c>
      <c r="N82" t="str">
        <f t="shared" si="19"/>
        <v>WEEKEND</v>
      </c>
      <c r="O82" t="str">
        <f t="shared" si="20"/>
        <v>03-Aug-2024</v>
      </c>
      <c r="P82" t="str">
        <f t="shared" si="21"/>
        <v>Aarav Gupta-Printer</v>
      </c>
    </row>
    <row r="83" spans="1:16" x14ac:dyDescent="0.4">
      <c r="A83" s="2" t="s">
        <v>1885</v>
      </c>
      <c r="B83" s="2" t="s">
        <v>1177</v>
      </c>
      <c r="C83" s="2" t="s">
        <v>1796</v>
      </c>
      <c r="D83" s="3">
        <v>45433</v>
      </c>
      <c r="E83" s="2" t="s">
        <v>1800</v>
      </c>
      <c r="F83" t="str">
        <f t="shared" si="11"/>
        <v>yes</v>
      </c>
      <c r="G83">
        <f t="shared" si="12"/>
        <v>70</v>
      </c>
      <c r="H83" t="str">
        <f t="shared" si="13"/>
        <v>Delivery was late but product is good.</v>
      </c>
      <c r="I83" t="str">
        <f t="shared" si="14"/>
        <v>Delivery was delayed but product is good.</v>
      </c>
      <c r="J83">
        <f t="shared" si="15"/>
        <v>41</v>
      </c>
      <c r="K83" t="str">
        <f t="shared" si="16"/>
        <v>Delivery w</v>
      </c>
      <c r="L83">
        <f t="shared" si="17"/>
        <v>5</v>
      </c>
      <c r="M83">
        <f t="shared" ca="1" si="18"/>
        <v>885</v>
      </c>
      <c r="N83" t="str">
        <f t="shared" si="19"/>
        <v>WEEKDAY</v>
      </c>
      <c r="O83" t="str">
        <f t="shared" si="20"/>
        <v>21-May-2024</v>
      </c>
      <c r="P83" t="str">
        <f t="shared" si="21"/>
        <v>Riya Reddy-Camera</v>
      </c>
    </row>
    <row r="84" spans="1:16" x14ac:dyDescent="0.4">
      <c r="A84" s="2" t="s">
        <v>1886</v>
      </c>
      <c r="B84" s="2" t="s">
        <v>129</v>
      </c>
      <c r="C84" s="2" t="s">
        <v>1796</v>
      </c>
      <c r="D84" s="3">
        <v>45328</v>
      </c>
      <c r="E84" s="2" t="s">
        <v>1800</v>
      </c>
      <c r="F84" t="str">
        <f t="shared" si="11"/>
        <v>yes</v>
      </c>
      <c r="G84">
        <f t="shared" si="12"/>
        <v>70</v>
      </c>
      <c r="H84" t="str">
        <f t="shared" si="13"/>
        <v>Delivery was late but product is good.</v>
      </c>
      <c r="I84" t="str">
        <f t="shared" si="14"/>
        <v>Delivery was delayed but product is good.</v>
      </c>
      <c r="J84">
        <f t="shared" si="15"/>
        <v>41</v>
      </c>
      <c r="K84" t="str">
        <f t="shared" si="16"/>
        <v>Delivery w</v>
      </c>
      <c r="L84">
        <f t="shared" si="17"/>
        <v>2</v>
      </c>
      <c r="M84">
        <f t="shared" ca="1" si="18"/>
        <v>990</v>
      </c>
      <c r="N84" t="str">
        <f t="shared" si="19"/>
        <v>WEEKDAY</v>
      </c>
      <c r="O84" t="str">
        <f t="shared" si="20"/>
        <v>06-Feb-2024</v>
      </c>
      <c r="P84" t="str">
        <f t="shared" si="21"/>
        <v>Isha Nair-Camera</v>
      </c>
    </row>
    <row r="85" spans="1:16" x14ac:dyDescent="0.4">
      <c r="A85" s="2" t="s">
        <v>1887</v>
      </c>
      <c r="B85" s="2" t="s">
        <v>333</v>
      </c>
      <c r="C85" s="2" t="s">
        <v>1796</v>
      </c>
      <c r="D85" s="3">
        <v>45540</v>
      </c>
      <c r="E85" s="2" t="s">
        <v>1797</v>
      </c>
      <c r="F85" t="str">
        <f t="shared" si="11"/>
        <v>yes</v>
      </c>
      <c r="G85">
        <f t="shared" si="12"/>
        <v>70</v>
      </c>
      <c r="H85" t="str">
        <f t="shared" si="13"/>
        <v>Delivery was late but product is good.</v>
      </c>
      <c r="I85" t="str">
        <f t="shared" si="14"/>
        <v>Delivery was delayed but product is good.</v>
      </c>
      <c r="J85">
        <f t="shared" si="15"/>
        <v>41</v>
      </c>
      <c r="K85" t="str">
        <f t="shared" si="16"/>
        <v>Delivery w</v>
      </c>
      <c r="L85">
        <f t="shared" si="17"/>
        <v>9</v>
      </c>
      <c r="M85">
        <f t="shared" ca="1" si="18"/>
        <v>778</v>
      </c>
      <c r="N85" t="str">
        <f t="shared" si="19"/>
        <v>WEEKDAY</v>
      </c>
      <c r="O85" t="str">
        <f t="shared" si="20"/>
        <v>05-Sep-2024</v>
      </c>
      <c r="P85" t="str">
        <f t="shared" si="21"/>
        <v>Aarav Singh-Mobile</v>
      </c>
    </row>
    <row r="86" spans="1:16" x14ac:dyDescent="0.4">
      <c r="A86" s="2" t="s">
        <v>1888</v>
      </c>
      <c r="B86" s="2" t="s">
        <v>411</v>
      </c>
      <c r="C86" s="2" t="s">
        <v>1815</v>
      </c>
      <c r="D86" s="3">
        <v>45559</v>
      </c>
      <c r="E86" s="2" t="s">
        <v>1794</v>
      </c>
      <c r="F86" t="str">
        <f t="shared" si="11"/>
        <v>yes</v>
      </c>
      <c r="G86">
        <f t="shared" si="12"/>
        <v>70</v>
      </c>
      <c r="H86" t="str">
        <f t="shared" si="13"/>
        <v>Great value for money!</v>
      </c>
      <c r="I86" t="str">
        <f t="shared" si="14"/>
        <v>Great value for money!</v>
      </c>
      <c r="J86">
        <f t="shared" si="15"/>
        <v>22</v>
      </c>
      <c r="K86" t="str">
        <f t="shared" si="16"/>
        <v>Great valu</v>
      </c>
      <c r="L86">
        <f t="shared" si="17"/>
        <v>9</v>
      </c>
      <c r="M86">
        <f t="shared" ca="1" si="18"/>
        <v>759</v>
      </c>
      <c r="N86" t="str">
        <f t="shared" si="19"/>
        <v>WEEKDAY</v>
      </c>
      <c r="O86" t="str">
        <f t="shared" si="20"/>
        <v>24-Sep-2024</v>
      </c>
      <c r="P86" t="str">
        <f t="shared" si="21"/>
        <v>Aarav Joshi-Smartwatch</v>
      </c>
    </row>
    <row r="87" spans="1:16" x14ac:dyDescent="0.4">
      <c r="A87" s="2" t="s">
        <v>1889</v>
      </c>
      <c r="B87" s="2" t="s">
        <v>187</v>
      </c>
      <c r="C87" s="2" t="s">
        <v>1815</v>
      </c>
      <c r="D87" s="3">
        <v>45510</v>
      </c>
      <c r="E87" s="2" t="s">
        <v>1803</v>
      </c>
      <c r="F87" t="str">
        <f t="shared" si="11"/>
        <v>yes</v>
      </c>
      <c r="G87">
        <f t="shared" si="12"/>
        <v>70</v>
      </c>
      <c r="H87" t="str">
        <f t="shared" si="13"/>
        <v>Great value for money!</v>
      </c>
      <c r="I87" t="str">
        <f t="shared" si="14"/>
        <v>Great value for money!</v>
      </c>
      <c r="J87">
        <f t="shared" si="15"/>
        <v>22</v>
      </c>
      <c r="K87" t="str">
        <f t="shared" si="16"/>
        <v>Great valu</v>
      </c>
      <c r="L87">
        <f t="shared" si="17"/>
        <v>8</v>
      </c>
      <c r="M87">
        <f t="shared" ca="1" si="18"/>
        <v>808</v>
      </c>
      <c r="N87" t="str">
        <f t="shared" si="19"/>
        <v>WEEKDAY</v>
      </c>
      <c r="O87" t="str">
        <f t="shared" si="20"/>
        <v>06-Aug-2024</v>
      </c>
      <c r="P87" t="str">
        <f t="shared" si="21"/>
        <v>Aarav Reddy-Laptop</v>
      </c>
    </row>
    <row r="88" spans="1:16" x14ac:dyDescent="0.4">
      <c r="A88" s="2" t="s">
        <v>1890</v>
      </c>
      <c r="B88" s="2" t="s">
        <v>333</v>
      </c>
      <c r="C88" s="2" t="s">
        <v>1815</v>
      </c>
      <c r="D88" s="3">
        <v>45528</v>
      </c>
      <c r="E88" s="2" t="s">
        <v>1803</v>
      </c>
      <c r="F88" t="str">
        <f t="shared" si="11"/>
        <v>yes</v>
      </c>
      <c r="G88">
        <f t="shared" si="12"/>
        <v>70</v>
      </c>
      <c r="H88" t="str">
        <f t="shared" si="13"/>
        <v>Great value for money!</v>
      </c>
      <c r="I88" t="str">
        <f t="shared" si="14"/>
        <v>Great value for money!</v>
      </c>
      <c r="J88">
        <f t="shared" si="15"/>
        <v>22</v>
      </c>
      <c r="K88" t="str">
        <f t="shared" si="16"/>
        <v>Great valu</v>
      </c>
      <c r="L88">
        <f t="shared" si="17"/>
        <v>8</v>
      </c>
      <c r="M88">
        <f t="shared" ca="1" si="18"/>
        <v>790</v>
      </c>
      <c r="N88" t="str">
        <f t="shared" si="19"/>
        <v>WEEKEND</v>
      </c>
      <c r="O88" t="str">
        <f t="shared" si="20"/>
        <v>24-Aug-2024</v>
      </c>
      <c r="P88" t="str">
        <f t="shared" si="21"/>
        <v>Aarav Singh-Laptop</v>
      </c>
    </row>
    <row r="89" spans="1:16" x14ac:dyDescent="0.4">
      <c r="A89" s="2" t="s">
        <v>1891</v>
      </c>
      <c r="B89" s="2" t="s">
        <v>543</v>
      </c>
      <c r="C89" s="2" t="s">
        <v>1802</v>
      </c>
      <c r="D89" s="3">
        <v>45494</v>
      </c>
      <c r="E89" s="2" t="s">
        <v>1800</v>
      </c>
      <c r="F89" t="str">
        <f t="shared" si="11"/>
        <v>yes</v>
      </c>
      <c r="G89">
        <f t="shared" si="12"/>
        <v>70</v>
      </c>
      <c r="H89" t="str">
        <f t="shared" si="13"/>
        <v>Product was excellent and delivery was fast.</v>
      </c>
      <c r="I89" t="str">
        <f t="shared" si="14"/>
        <v>Product was excellent and delivery was fast.</v>
      </c>
      <c r="J89">
        <f t="shared" si="15"/>
        <v>44</v>
      </c>
      <c r="K89" t="str">
        <f t="shared" si="16"/>
        <v>Product wa</v>
      </c>
      <c r="L89">
        <f t="shared" si="17"/>
        <v>7</v>
      </c>
      <c r="M89">
        <f t="shared" ca="1" si="18"/>
        <v>824</v>
      </c>
      <c r="N89" t="str">
        <f t="shared" si="19"/>
        <v>WEEKEND</v>
      </c>
      <c r="O89" t="str">
        <f t="shared" si="20"/>
        <v>21-Jul-2024</v>
      </c>
      <c r="P89" t="str">
        <f t="shared" si="21"/>
        <v>Vivaan Joshi-Camera</v>
      </c>
    </row>
    <row r="90" spans="1:16" x14ac:dyDescent="0.4">
      <c r="A90" s="2" t="s">
        <v>1892</v>
      </c>
      <c r="B90" s="2" t="s">
        <v>70</v>
      </c>
      <c r="C90" s="2" t="s">
        <v>1796</v>
      </c>
      <c r="D90" s="3">
        <v>45412</v>
      </c>
      <c r="E90" s="2" t="s">
        <v>1794</v>
      </c>
      <c r="F90" t="str">
        <f t="shared" si="11"/>
        <v>yes</v>
      </c>
      <c r="G90">
        <f t="shared" si="12"/>
        <v>70</v>
      </c>
      <c r="H90" t="str">
        <f t="shared" si="13"/>
        <v>Delivery was late but product is good.</v>
      </c>
      <c r="I90" t="str">
        <f t="shared" si="14"/>
        <v>Delivery was delayed but product is good.</v>
      </c>
      <c r="J90">
        <f t="shared" si="15"/>
        <v>41</v>
      </c>
      <c r="K90" t="str">
        <f t="shared" si="16"/>
        <v>Delivery w</v>
      </c>
      <c r="L90">
        <f t="shared" si="17"/>
        <v>4</v>
      </c>
      <c r="M90">
        <f t="shared" ca="1" si="18"/>
        <v>906</v>
      </c>
      <c r="N90" t="str">
        <f t="shared" si="19"/>
        <v>WEEKDAY</v>
      </c>
      <c r="O90" t="str">
        <f t="shared" si="20"/>
        <v>30-Apr-2024</v>
      </c>
      <c r="P90" t="str">
        <f t="shared" si="21"/>
        <v>Vivaan Khan-Smartwatch</v>
      </c>
    </row>
    <row r="91" spans="1:16" x14ac:dyDescent="0.4">
      <c r="A91" s="2" t="s">
        <v>1893</v>
      </c>
      <c r="B91" s="2" t="s">
        <v>165</v>
      </c>
      <c r="C91" s="2" t="s">
        <v>1809</v>
      </c>
      <c r="D91" s="3">
        <v>45361</v>
      </c>
      <c r="E91" s="2" t="s">
        <v>1797</v>
      </c>
      <c r="F91" t="str">
        <f t="shared" si="11"/>
        <v>yes</v>
      </c>
      <c r="G91">
        <f t="shared" si="12"/>
        <v>70</v>
      </c>
      <c r="H91" t="str">
        <f t="shared" si="13"/>
        <v>Customer support was helpful.</v>
      </c>
      <c r="I91" t="str">
        <f t="shared" si="14"/>
        <v>Customer support was helpful.</v>
      </c>
      <c r="J91">
        <f t="shared" si="15"/>
        <v>29</v>
      </c>
      <c r="K91" t="str">
        <f t="shared" si="16"/>
        <v>Customer s</v>
      </c>
      <c r="L91">
        <f t="shared" si="17"/>
        <v>3</v>
      </c>
      <c r="M91">
        <f t="shared" ca="1" si="18"/>
        <v>957</v>
      </c>
      <c r="N91" t="str">
        <f t="shared" si="19"/>
        <v>WEEKEND</v>
      </c>
      <c r="O91" t="str">
        <f t="shared" si="20"/>
        <v>10-Mar-2024</v>
      </c>
      <c r="P91" t="str">
        <f t="shared" si="21"/>
        <v>Aditya Das-Mobile</v>
      </c>
    </row>
    <row r="92" spans="1:16" x14ac:dyDescent="0.4">
      <c r="A92" s="2" t="s">
        <v>1894</v>
      </c>
      <c r="B92" s="2" t="s">
        <v>489</v>
      </c>
      <c r="C92" s="2" t="s">
        <v>1809</v>
      </c>
      <c r="D92" s="3">
        <v>45614</v>
      </c>
      <c r="E92" s="2" t="s">
        <v>1797</v>
      </c>
      <c r="F92" t="str">
        <f t="shared" si="11"/>
        <v>yes</v>
      </c>
      <c r="G92">
        <f t="shared" si="12"/>
        <v>70</v>
      </c>
      <c r="H92" t="str">
        <f t="shared" si="13"/>
        <v>Customer support was helpful.</v>
      </c>
      <c r="I92" t="str">
        <f t="shared" si="14"/>
        <v>Customer support was helpful.</v>
      </c>
      <c r="J92">
        <f t="shared" si="15"/>
        <v>29</v>
      </c>
      <c r="K92" t="str">
        <f t="shared" si="16"/>
        <v>Customer s</v>
      </c>
      <c r="L92">
        <f t="shared" si="17"/>
        <v>11</v>
      </c>
      <c r="M92">
        <f t="shared" ca="1" si="18"/>
        <v>704</v>
      </c>
      <c r="N92" t="str">
        <f t="shared" si="19"/>
        <v>WEEKDAY</v>
      </c>
      <c r="O92" t="str">
        <f t="shared" si="20"/>
        <v>18-Nov-2024</v>
      </c>
      <c r="P92" t="str">
        <f t="shared" si="21"/>
        <v>Arjun Reddy-Mobile</v>
      </c>
    </row>
    <row r="93" spans="1:16" x14ac:dyDescent="0.4">
      <c r="A93" s="2" t="s">
        <v>1895</v>
      </c>
      <c r="B93" s="2" t="s">
        <v>117</v>
      </c>
      <c r="C93" s="2" t="s">
        <v>1802</v>
      </c>
      <c r="D93" s="3">
        <v>45583</v>
      </c>
      <c r="E93" s="2" t="s">
        <v>1800</v>
      </c>
      <c r="F93" t="str">
        <f t="shared" si="11"/>
        <v>yes</v>
      </c>
      <c r="G93">
        <f t="shared" si="12"/>
        <v>70</v>
      </c>
      <c r="H93" t="str">
        <f t="shared" si="13"/>
        <v>Product was excellent and delivery was fast.</v>
      </c>
      <c r="I93" t="str">
        <f t="shared" si="14"/>
        <v>Product was excellent and delivery was fast.</v>
      </c>
      <c r="J93">
        <f t="shared" si="15"/>
        <v>44</v>
      </c>
      <c r="K93" t="str">
        <f t="shared" si="16"/>
        <v>Product wa</v>
      </c>
      <c r="L93">
        <f t="shared" si="17"/>
        <v>10</v>
      </c>
      <c r="M93">
        <f t="shared" ca="1" si="18"/>
        <v>735</v>
      </c>
      <c r="N93" t="str">
        <f t="shared" si="19"/>
        <v>WEEKDAY</v>
      </c>
      <c r="O93" t="str">
        <f t="shared" si="20"/>
        <v>18-Oct-2024</v>
      </c>
      <c r="P93" t="str">
        <f t="shared" si="21"/>
        <v>Kabir Sharma-Camera</v>
      </c>
    </row>
    <row r="94" spans="1:16" x14ac:dyDescent="0.4">
      <c r="A94" s="2" t="s">
        <v>1896</v>
      </c>
      <c r="B94" s="2" t="s">
        <v>99</v>
      </c>
      <c r="C94" s="2" t="s">
        <v>1796</v>
      </c>
      <c r="D94" s="3">
        <v>45389</v>
      </c>
      <c r="E94" s="2" t="s">
        <v>1820</v>
      </c>
      <c r="F94" t="str">
        <f t="shared" si="11"/>
        <v>yes</v>
      </c>
      <c r="G94">
        <f t="shared" si="12"/>
        <v>70</v>
      </c>
      <c r="H94" t="str">
        <f t="shared" si="13"/>
        <v>Delivery was late but product is good.</v>
      </c>
      <c r="I94" t="str">
        <f t="shared" si="14"/>
        <v>Delivery was delayed but product is good.</v>
      </c>
      <c r="J94">
        <f t="shared" si="15"/>
        <v>41</v>
      </c>
      <c r="K94" t="str">
        <f t="shared" si="16"/>
        <v>Delivery w</v>
      </c>
      <c r="L94">
        <f t="shared" si="17"/>
        <v>4</v>
      </c>
      <c r="M94">
        <f t="shared" ca="1" si="18"/>
        <v>929</v>
      </c>
      <c r="N94" t="str">
        <f t="shared" si="19"/>
        <v>WEEKEND</v>
      </c>
      <c r="O94" t="str">
        <f t="shared" si="20"/>
        <v>07-Apr-2024</v>
      </c>
      <c r="P94" t="str">
        <f t="shared" si="21"/>
        <v>Diya Singh-Printer</v>
      </c>
    </row>
    <row r="95" spans="1:16" x14ac:dyDescent="0.4">
      <c r="A95" s="2" t="s">
        <v>1897</v>
      </c>
      <c r="B95" s="2" t="s">
        <v>473</v>
      </c>
      <c r="C95" s="2" t="s">
        <v>1799</v>
      </c>
      <c r="D95" s="3">
        <v>45613</v>
      </c>
      <c r="E95" s="2" t="s">
        <v>1810</v>
      </c>
      <c r="F95" t="str">
        <f t="shared" si="11"/>
        <v>yes</v>
      </c>
      <c r="G95">
        <f t="shared" si="12"/>
        <v>70</v>
      </c>
      <c r="H95" t="str">
        <f t="shared" si="13"/>
        <v>Not satisfied with the quality.</v>
      </c>
      <c r="I95" t="str">
        <f t="shared" si="14"/>
        <v>Not satisfied with the quality.</v>
      </c>
      <c r="J95">
        <f t="shared" si="15"/>
        <v>31</v>
      </c>
      <c r="K95" t="str">
        <f t="shared" si="16"/>
        <v>Not satisf</v>
      </c>
      <c r="L95">
        <f t="shared" si="17"/>
        <v>11</v>
      </c>
      <c r="M95">
        <f t="shared" ca="1" si="18"/>
        <v>705</v>
      </c>
      <c r="N95" t="str">
        <f t="shared" si="19"/>
        <v>WEEKEND</v>
      </c>
      <c r="O95" t="str">
        <f t="shared" si="20"/>
        <v>17-Nov-2024</v>
      </c>
      <c r="P95" t="str">
        <f t="shared" si="21"/>
        <v>Meera Khan-Tablet</v>
      </c>
    </row>
    <row r="96" spans="1:16" x14ac:dyDescent="0.4">
      <c r="A96" s="2" t="s">
        <v>1898</v>
      </c>
      <c r="B96" s="2" t="s">
        <v>271</v>
      </c>
      <c r="C96" s="2" t="s">
        <v>1809</v>
      </c>
      <c r="D96" s="3">
        <v>45292</v>
      </c>
      <c r="E96" s="2" t="s">
        <v>1794</v>
      </c>
      <c r="F96" t="str">
        <f t="shared" si="11"/>
        <v>yes</v>
      </c>
      <c r="G96">
        <f t="shared" si="12"/>
        <v>70</v>
      </c>
      <c r="H96" t="str">
        <f t="shared" si="13"/>
        <v>Customer support was helpful.</v>
      </c>
      <c r="I96" t="str">
        <f t="shared" si="14"/>
        <v>Customer support was helpful.</v>
      </c>
      <c r="J96">
        <f t="shared" si="15"/>
        <v>29</v>
      </c>
      <c r="K96" t="str">
        <f t="shared" si="16"/>
        <v>Customer s</v>
      </c>
      <c r="L96">
        <f t="shared" si="17"/>
        <v>1</v>
      </c>
      <c r="M96">
        <f t="shared" ca="1" si="18"/>
        <v>1026</v>
      </c>
      <c r="N96" t="str">
        <f t="shared" si="19"/>
        <v>WEEKDAY</v>
      </c>
      <c r="O96" t="str">
        <f t="shared" si="20"/>
        <v>01-Jan-2024</v>
      </c>
      <c r="P96" t="str">
        <f t="shared" si="21"/>
        <v>Arjun Joshi-Smartwatch</v>
      </c>
    </row>
    <row r="97" spans="1:16" x14ac:dyDescent="0.4">
      <c r="A97" s="2" t="s">
        <v>1899</v>
      </c>
      <c r="B97" s="2" t="s">
        <v>129</v>
      </c>
      <c r="C97" s="2" t="s">
        <v>1796</v>
      </c>
      <c r="D97" s="3">
        <v>45487</v>
      </c>
      <c r="E97" s="2" t="s">
        <v>1797</v>
      </c>
      <c r="F97" t="str">
        <f t="shared" si="11"/>
        <v>yes</v>
      </c>
      <c r="G97">
        <f t="shared" si="12"/>
        <v>70</v>
      </c>
      <c r="H97" t="str">
        <f t="shared" si="13"/>
        <v>Delivery was late but product is good.</v>
      </c>
      <c r="I97" t="str">
        <f t="shared" si="14"/>
        <v>Delivery was delayed but product is good.</v>
      </c>
      <c r="J97">
        <f t="shared" si="15"/>
        <v>41</v>
      </c>
      <c r="K97" t="str">
        <f t="shared" si="16"/>
        <v>Delivery w</v>
      </c>
      <c r="L97">
        <f t="shared" si="17"/>
        <v>7</v>
      </c>
      <c r="M97">
        <f t="shared" ca="1" si="18"/>
        <v>831</v>
      </c>
      <c r="N97" t="str">
        <f t="shared" si="19"/>
        <v>WEEKEND</v>
      </c>
      <c r="O97" t="str">
        <f t="shared" si="20"/>
        <v>14-Jul-2024</v>
      </c>
      <c r="P97" t="str">
        <f t="shared" si="21"/>
        <v>Isha Nair-Mobile</v>
      </c>
    </row>
    <row r="98" spans="1:16" x14ac:dyDescent="0.4">
      <c r="A98" s="2" t="s">
        <v>1900</v>
      </c>
      <c r="B98" s="2" t="s">
        <v>363</v>
      </c>
      <c r="C98" s="2" t="s">
        <v>1793</v>
      </c>
      <c r="D98" s="3">
        <v>45541</v>
      </c>
      <c r="E98" s="2" t="s">
        <v>1810</v>
      </c>
      <c r="F98" t="str">
        <f t="shared" si="11"/>
        <v>yes</v>
      </c>
      <c r="G98">
        <f t="shared" si="12"/>
        <v>70</v>
      </c>
      <c r="H98" t="str">
        <f t="shared" si="13"/>
        <v>Received damaged item, requested replacement.</v>
      </c>
      <c r="I98" t="str">
        <f t="shared" si="14"/>
        <v>Received damaged item, requested replacement.</v>
      </c>
      <c r="J98">
        <f t="shared" si="15"/>
        <v>45</v>
      </c>
      <c r="K98" t="str">
        <f t="shared" si="16"/>
        <v>Received d</v>
      </c>
      <c r="L98">
        <f t="shared" si="17"/>
        <v>9</v>
      </c>
      <c r="M98">
        <f t="shared" ca="1" si="18"/>
        <v>777</v>
      </c>
      <c r="N98" t="str">
        <f t="shared" si="19"/>
        <v>WEEKDAY</v>
      </c>
      <c r="O98" t="str">
        <f t="shared" si="20"/>
        <v>06-Sep-2024</v>
      </c>
      <c r="P98" t="str">
        <f t="shared" si="21"/>
        <v>Kabir Reddy-Tablet</v>
      </c>
    </row>
    <row r="99" spans="1:16" x14ac:dyDescent="0.4">
      <c r="A99" s="2" t="s">
        <v>1901</v>
      </c>
      <c r="B99" s="2" t="s">
        <v>195</v>
      </c>
      <c r="C99" s="2" t="s">
        <v>1809</v>
      </c>
      <c r="D99" s="3">
        <v>45620</v>
      </c>
      <c r="E99" s="2" t="s">
        <v>1794</v>
      </c>
      <c r="F99" t="str">
        <f t="shared" si="11"/>
        <v>yes</v>
      </c>
      <c r="G99">
        <f t="shared" si="12"/>
        <v>70</v>
      </c>
      <c r="H99" t="str">
        <f t="shared" si="13"/>
        <v>Customer support was helpful.</v>
      </c>
      <c r="I99" t="str">
        <f t="shared" si="14"/>
        <v>Customer support was helpful.</v>
      </c>
      <c r="J99">
        <f t="shared" si="15"/>
        <v>29</v>
      </c>
      <c r="K99" t="str">
        <f t="shared" si="16"/>
        <v>Customer s</v>
      </c>
      <c r="L99">
        <f t="shared" si="17"/>
        <v>11</v>
      </c>
      <c r="M99">
        <f t="shared" ca="1" si="18"/>
        <v>698</v>
      </c>
      <c r="N99" t="str">
        <f t="shared" si="19"/>
        <v>WEEKEND</v>
      </c>
      <c r="O99" t="str">
        <f t="shared" si="20"/>
        <v>24-Nov-2024</v>
      </c>
      <c r="P99" t="str">
        <f t="shared" si="21"/>
        <v>Ananya Das-Smartwatch</v>
      </c>
    </row>
    <row r="100" spans="1:16" x14ac:dyDescent="0.4">
      <c r="A100" s="2" t="s">
        <v>1902</v>
      </c>
      <c r="B100" s="2" t="s">
        <v>103</v>
      </c>
      <c r="C100" s="2" t="s">
        <v>1815</v>
      </c>
      <c r="D100" s="3">
        <v>45317</v>
      </c>
      <c r="E100" s="2" t="s">
        <v>1800</v>
      </c>
      <c r="F100" t="str">
        <f t="shared" si="11"/>
        <v>yes</v>
      </c>
      <c r="G100">
        <f t="shared" si="12"/>
        <v>70</v>
      </c>
      <c r="H100" t="str">
        <f t="shared" si="13"/>
        <v>Great value for money!</v>
      </c>
      <c r="I100" t="str">
        <f t="shared" si="14"/>
        <v>Great value for money!</v>
      </c>
      <c r="J100">
        <f t="shared" si="15"/>
        <v>22</v>
      </c>
      <c r="K100" t="str">
        <f t="shared" si="16"/>
        <v>Great valu</v>
      </c>
      <c r="L100">
        <f t="shared" si="17"/>
        <v>1</v>
      </c>
      <c r="M100">
        <f t="shared" ca="1" si="18"/>
        <v>1001</v>
      </c>
      <c r="N100" t="str">
        <f t="shared" si="19"/>
        <v>WEEKDAY</v>
      </c>
      <c r="O100" t="str">
        <f t="shared" si="20"/>
        <v>26-Jan-2024</v>
      </c>
      <c r="P100" t="str">
        <f t="shared" si="21"/>
        <v>Diya Das-Camera</v>
      </c>
    </row>
    <row r="101" spans="1:16" x14ac:dyDescent="0.4">
      <c r="A101" s="2" t="s">
        <v>1903</v>
      </c>
      <c r="B101" s="2" t="s">
        <v>411</v>
      </c>
      <c r="C101" s="2" t="s">
        <v>1802</v>
      </c>
      <c r="D101" s="3">
        <v>45456</v>
      </c>
      <c r="E101" s="2" t="s">
        <v>1810</v>
      </c>
      <c r="F101" t="str">
        <f t="shared" si="11"/>
        <v>yes</v>
      </c>
      <c r="G101">
        <f t="shared" si="12"/>
        <v>70</v>
      </c>
      <c r="H101" t="str">
        <f t="shared" si="13"/>
        <v>Product was excellent and delivery was fast.</v>
      </c>
      <c r="I101" t="str">
        <f t="shared" si="14"/>
        <v>Product was excellent and delivery was fast.</v>
      </c>
      <c r="J101">
        <f t="shared" si="15"/>
        <v>44</v>
      </c>
      <c r="K101" t="str">
        <f t="shared" si="16"/>
        <v>Product wa</v>
      </c>
      <c r="L101">
        <f t="shared" si="17"/>
        <v>6</v>
      </c>
      <c r="M101">
        <f t="shared" ca="1" si="18"/>
        <v>862</v>
      </c>
      <c r="N101" t="str">
        <f t="shared" si="19"/>
        <v>WEEKDAY</v>
      </c>
      <c r="O101" t="str">
        <f t="shared" si="20"/>
        <v>13-Jun-2024</v>
      </c>
      <c r="P101" t="str">
        <f t="shared" si="21"/>
        <v>Aarav Joshi-Tablet</v>
      </c>
    </row>
    <row r="102" spans="1:16" x14ac:dyDescent="0.4">
      <c r="A102" s="2" t="s">
        <v>1904</v>
      </c>
      <c r="B102" s="2" t="s">
        <v>74</v>
      </c>
      <c r="C102" s="2" t="s">
        <v>1815</v>
      </c>
      <c r="D102" s="3">
        <v>45465</v>
      </c>
      <c r="E102" s="2" t="s">
        <v>1820</v>
      </c>
      <c r="F102" t="str">
        <f t="shared" si="11"/>
        <v>yes</v>
      </c>
      <c r="G102">
        <f t="shared" si="12"/>
        <v>70</v>
      </c>
      <c r="H102" t="str">
        <f t="shared" si="13"/>
        <v>Great value for money!</v>
      </c>
      <c r="I102" t="str">
        <f t="shared" si="14"/>
        <v>Great value for money!</v>
      </c>
      <c r="J102">
        <f t="shared" si="15"/>
        <v>22</v>
      </c>
      <c r="K102" t="str">
        <f t="shared" si="16"/>
        <v>Great valu</v>
      </c>
      <c r="L102">
        <f t="shared" si="17"/>
        <v>6</v>
      </c>
      <c r="M102">
        <f t="shared" ca="1" si="18"/>
        <v>853</v>
      </c>
      <c r="N102" t="str">
        <f t="shared" si="19"/>
        <v>WEEKEND</v>
      </c>
      <c r="O102" t="str">
        <f t="shared" si="20"/>
        <v>22-Jun-2024</v>
      </c>
      <c r="P102" t="str">
        <f t="shared" si="21"/>
        <v>Riya Das-Printer</v>
      </c>
    </row>
    <row r="103" spans="1:16" x14ac:dyDescent="0.4">
      <c r="A103" s="2" t="s">
        <v>1905</v>
      </c>
      <c r="B103" s="2" t="s">
        <v>661</v>
      </c>
      <c r="C103" s="2" t="s">
        <v>1815</v>
      </c>
      <c r="D103" s="3">
        <v>45602</v>
      </c>
      <c r="E103" s="2" t="s">
        <v>1800</v>
      </c>
      <c r="F103" t="str">
        <f t="shared" si="11"/>
        <v>yes</v>
      </c>
      <c r="G103">
        <f t="shared" si="12"/>
        <v>70</v>
      </c>
      <c r="H103" t="str">
        <f t="shared" si="13"/>
        <v>Great value for money!</v>
      </c>
      <c r="I103" t="str">
        <f t="shared" si="14"/>
        <v>Great value for money!</v>
      </c>
      <c r="J103">
        <f t="shared" si="15"/>
        <v>22</v>
      </c>
      <c r="K103" t="str">
        <f t="shared" si="16"/>
        <v>Great valu</v>
      </c>
      <c r="L103">
        <f t="shared" si="17"/>
        <v>11</v>
      </c>
      <c r="M103">
        <f t="shared" ca="1" si="18"/>
        <v>716</v>
      </c>
      <c r="N103" t="str">
        <f t="shared" si="19"/>
        <v>WEEKDAY</v>
      </c>
      <c r="O103" t="str">
        <f t="shared" si="20"/>
        <v>06-Nov-2024</v>
      </c>
      <c r="P103" t="str">
        <f t="shared" si="21"/>
        <v>Kabir Khan-Camera</v>
      </c>
    </row>
    <row r="104" spans="1:16" x14ac:dyDescent="0.4">
      <c r="A104" s="2" t="s">
        <v>1906</v>
      </c>
      <c r="B104" s="2" t="s">
        <v>161</v>
      </c>
      <c r="C104" s="2" t="s">
        <v>1796</v>
      </c>
      <c r="D104" s="3">
        <v>45558</v>
      </c>
      <c r="E104" s="2" t="s">
        <v>1800</v>
      </c>
      <c r="F104" t="str">
        <f t="shared" si="11"/>
        <v>yes</v>
      </c>
      <c r="G104">
        <f t="shared" si="12"/>
        <v>70</v>
      </c>
      <c r="H104" t="str">
        <f t="shared" si="13"/>
        <v>Delivery was late but product is good.</v>
      </c>
      <c r="I104" t="str">
        <f t="shared" si="14"/>
        <v>Delivery was delayed but product is good.</v>
      </c>
      <c r="J104">
        <f t="shared" si="15"/>
        <v>41</v>
      </c>
      <c r="K104" t="str">
        <f t="shared" si="16"/>
        <v>Delivery w</v>
      </c>
      <c r="L104">
        <f t="shared" si="17"/>
        <v>9</v>
      </c>
      <c r="M104">
        <f t="shared" ca="1" si="18"/>
        <v>760</v>
      </c>
      <c r="N104" t="str">
        <f t="shared" si="19"/>
        <v>WEEKDAY</v>
      </c>
      <c r="O104" t="str">
        <f t="shared" si="20"/>
        <v>23-Sep-2024</v>
      </c>
      <c r="P104" t="str">
        <f t="shared" si="21"/>
        <v>Riya Patel-Camera</v>
      </c>
    </row>
    <row r="105" spans="1:16" x14ac:dyDescent="0.4">
      <c r="A105" s="2" t="s">
        <v>1907</v>
      </c>
      <c r="B105" s="2" t="s">
        <v>359</v>
      </c>
      <c r="C105" s="2" t="s">
        <v>1793</v>
      </c>
      <c r="D105" s="3">
        <v>45309</v>
      </c>
      <c r="E105" s="2" t="s">
        <v>1794</v>
      </c>
      <c r="F105" t="str">
        <f t="shared" si="11"/>
        <v>yes</v>
      </c>
      <c r="G105">
        <f t="shared" si="12"/>
        <v>70</v>
      </c>
      <c r="H105" t="str">
        <f t="shared" si="13"/>
        <v>Received damaged item, requested replacement.</v>
      </c>
      <c r="I105" t="str">
        <f t="shared" si="14"/>
        <v>Received damaged item, requested replacement.</v>
      </c>
      <c r="J105">
        <f t="shared" si="15"/>
        <v>45</v>
      </c>
      <c r="K105" t="str">
        <f t="shared" si="16"/>
        <v>Received d</v>
      </c>
      <c r="L105">
        <f t="shared" si="17"/>
        <v>1</v>
      </c>
      <c r="M105">
        <f t="shared" ca="1" si="18"/>
        <v>1009</v>
      </c>
      <c r="N105" t="str">
        <f t="shared" si="19"/>
        <v>WEEKDAY</v>
      </c>
      <c r="O105" t="str">
        <f t="shared" si="20"/>
        <v>18-Jan-2024</v>
      </c>
      <c r="P105" t="str">
        <f t="shared" si="21"/>
        <v>Arjun Nair-Smartwatch</v>
      </c>
    </row>
    <row r="106" spans="1:16" x14ac:dyDescent="0.4">
      <c r="A106" s="2" t="s">
        <v>1908</v>
      </c>
      <c r="B106" s="2" t="s">
        <v>443</v>
      </c>
      <c r="C106" s="2" t="s">
        <v>1815</v>
      </c>
      <c r="D106" s="3">
        <v>45634</v>
      </c>
      <c r="E106" s="2" t="s">
        <v>1810</v>
      </c>
      <c r="F106" t="str">
        <f t="shared" si="11"/>
        <v>yes</v>
      </c>
      <c r="G106">
        <f t="shared" si="12"/>
        <v>70</v>
      </c>
      <c r="H106" t="str">
        <f t="shared" si="13"/>
        <v>Great value for money!</v>
      </c>
      <c r="I106" t="str">
        <f t="shared" si="14"/>
        <v>Great value for money!</v>
      </c>
      <c r="J106">
        <f t="shared" si="15"/>
        <v>22</v>
      </c>
      <c r="K106" t="str">
        <f t="shared" si="16"/>
        <v>Great valu</v>
      </c>
      <c r="L106">
        <f t="shared" si="17"/>
        <v>12</v>
      </c>
      <c r="M106">
        <f t="shared" ca="1" si="18"/>
        <v>684</v>
      </c>
      <c r="N106" t="str">
        <f t="shared" si="19"/>
        <v>WEEKEND</v>
      </c>
      <c r="O106" t="str">
        <f t="shared" si="20"/>
        <v>08-Dec-2024</v>
      </c>
      <c r="P106" t="str">
        <f t="shared" si="21"/>
        <v>Diya Joshi-Tablet</v>
      </c>
    </row>
    <row r="107" spans="1:16" x14ac:dyDescent="0.4">
      <c r="A107" s="2" t="s">
        <v>1909</v>
      </c>
      <c r="B107" s="2" t="s">
        <v>78</v>
      </c>
      <c r="C107" s="2" t="s">
        <v>1815</v>
      </c>
      <c r="D107" s="3">
        <v>45521</v>
      </c>
      <c r="E107" s="2" t="s">
        <v>1820</v>
      </c>
      <c r="F107" t="str">
        <f t="shared" si="11"/>
        <v>yes</v>
      </c>
      <c r="G107">
        <f t="shared" si="12"/>
        <v>70</v>
      </c>
      <c r="H107" t="str">
        <f t="shared" si="13"/>
        <v>Great value for money!</v>
      </c>
      <c r="I107" t="str">
        <f t="shared" si="14"/>
        <v>Great value for money!</v>
      </c>
      <c r="J107">
        <f t="shared" si="15"/>
        <v>22</v>
      </c>
      <c r="K107" t="str">
        <f t="shared" si="16"/>
        <v>Great valu</v>
      </c>
      <c r="L107">
        <f t="shared" si="17"/>
        <v>8</v>
      </c>
      <c r="M107">
        <f t="shared" ca="1" si="18"/>
        <v>797</v>
      </c>
      <c r="N107" t="str">
        <f t="shared" si="19"/>
        <v>WEEKEND</v>
      </c>
      <c r="O107" t="str">
        <f t="shared" si="20"/>
        <v>17-Aug-2024</v>
      </c>
      <c r="P107" t="str">
        <f t="shared" si="21"/>
        <v>Ananya Patel-Printer</v>
      </c>
    </row>
    <row r="108" spans="1:16" x14ac:dyDescent="0.4">
      <c r="A108" s="2" t="s">
        <v>1910</v>
      </c>
      <c r="B108" s="2" t="s">
        <v>629</v>
      </c>
      <c r="C108" s="2" t="s">
        <v>1796</v>
      </c>
      <c r="D108" s="3">
        <v>45458</v>
      </c>
      <c r="E108" s="2" t="s">
        <v>1794</v>
      </c>
      <c r="F108" t="str">
        <f t="shared" si="11"/>
        <v>yes</v>
      </c>
      <c r="G108">
        <f t="shared" si="12"/>
        <v>70</v>
      </c>
      <c r="H108" t="str">
        <f t="shared" si="13"/>
        <v>Delivery was late but product is good.</v>
      </c>
      <c r="I108" t="str">
        <f t="shared" si="14"/>
        <v>Delivery was delayed but product is good.</v>
      </c>
      <c r="J108">
        <f t="shared" si="15"/>
        <v>41</v>
      </c>
      <c r="K108" t="str">
        <f t="shared" si="16"/>
        <v>Delivery w</v>
      </c>
      <c r="L108">
        <f t="shared" si="17"/>
        <v>6</v>
      </c>
      <c r="M108">
        <f t="shared" ca="1" si="18"/>
        <v>860</v>
      </c>
      <c r="N108" t="str">
        <f t="shared" si="19"/>
        <v>WEEKEND</v>
      </c>
      <c r="O108" t="str">
        <f t="shared" si="20"/>
        <v>15-Jun-2024</v>
      </c>
      <c r="P108" t="str">
        <f t="shared" si="21"/>
        <v>Aditya Joshi-Smartwatch</v>
      </c>
    </row>
    <row r="109" spans="1:16" x14ac:dyDescent="0.4">
      <c r="A109" s="2" t="s">
        <v>1911</v>
      </c>
      <c r="B109" s="2" t="s">
        <v>153</v>
      </c>
      <c r="C109" s="2" t="s">
        <v>1796</v>
      </c>
      <c r="D109" s="3">
        <v>45470</v>
      </c>
      <c r="E109" s="2" t="s">
        <v>1800</v>
      </c>
      <c r="F109" t="str">
        <f t="shared" si="11"/>
        <v>yes</v>
      </c>
      <c r="G109">
        <f t="shared" si="12"/>
        <v>70</v>
      </c>
      <c r="H109" t="str">
        <f t="shared" si="13"/>
        <v>Delivery was late but product is good.</v>
      </c>
      <c r="I109" t="str">
        <f t="shared" si="14"/>
        <v>Delivery was delayed but product is good.</v>
      </c>
      <c r="J109">
        <f t="shared" si="15"/>
        <v>41</v>
      </c>
      <c r="K109" t="str">
        <f t="shared" si="16"/>
        <v>Delivery w</v>
      </c>
      <c r="L109">
        <f t="shared" si="17"/>
        <v>6</v>
      </c>
      <c r="M109">
        <f t="shared" ca="1" si="18"/>
        <v>848</v>
      </c>
      <c r="N109" t="str">
        <f t="shared" si="19"/>
        <v>WEEKDAY</v>
      </c>
      <c r="O109" t="str">
        <f t="shared" si="20"/>
        <v>27-Jun-2024</v>
      </c>
      <c r="P109" t="str">
        <f t="shared" si="21"/>
        <v>Kabir Patel-Camera</v>
      </c>
    </row>
    <row r="110" spans="1:16" x14ac:dyDescent="0.4">
      <c r="A110" s="2" t="s">
        <v>1912</v>
      </c>
      <c r="B110" s="2" t="s">
        <v>641</v>
      </c>
      <c r="C110" s="2" t="s">
        <v>1815</v>
      </c>
      <c r="D110" s="3">
        <v>45363</v>
      </c>
      <c r="E110" s="2" t="s">
        <v>1794</v>
      </c>
      <c r="F110" t="str">
        <f t="shared" si="11"/>
        <v>yes</v>
      </c>
      <c r="G110">
        <f t="shared" si="12"/>
        <v>70</v>
      </c>
      <c r="H110" t="str">
        <f t="shared" si="13"/>
        <v>Great value for money!</v>
      </c>
      <c r="I110" t="str">
        <f t="shared" si="14"/>
        <v>Great value for money!</v>
      </c>
      <c r="J110">
        <f t="shared" si="15"/>
        <v>22</v>
      </c>
      <c r="K110" t="str">
        <f t="shared" si="16"/>
        <v>Great valu</v>
      </c>
      <c r="L110">
        <f t="shared" si="17"/>
        <v>3</v>
      </c>
      <c r="M110">
        <f t="shared" ca="1" si="18"/>
        <v>955</v>
      </c>
      <c r="N110" t="str">
        <f t="shared" si="19"/>
        <v>WEEKDAY</v>
      </c>
      <c r="O110" t="str">
        <f t="shared" si="20"/>
        <v>12-Mar-2024</v>
      </c>
      <c r="P110" t="str">
        <f t="shared" si="21"/>
        <v>Aarav Mehta-Smartwatch</v>
      </c>
    </row>
    <row r="111" spans="1:16" x14ac:dyDescent="0.4">
      <c r="A111" s="2" t="s">
        <v>1913</v>
      </c>
      <c r="B111" s="2" t="s">
        <v>621</v>
      </c>
      <c r="C111" s="2" t="s">
        <v>1799</v>
      </c>
      <c r="D111" s="3">
        <v>45407</v>
      </c>
      <c r="E111" s="2" t="s">
        <v>1800</v>
      </c>
      <c r="F111" t="str">
        <f t="shared" si="11"/>
        <v>yes</v>
      </c>
      <c r="G111">
        <f t="shared" si="12"/>
        <v>70</v>
      </c>
      <c r="H111" t="str">
        <f t="shared" si="13"/>
        <v>Not satisfied with the quality.</v>
      </c>
      <c r="I111" t="str">
        <f t="shared" si="14"/>
        <v>Not satisfied with the quality.</v>
      </c>
      <c r="J111">
        <f t="shared" si="15"/>
        <v>31</v>
      </c>
      <c r="K111" t="str">
        <f t="shared" si="16"/>
        <v>Not satisf</v>
      </c>
      <c r="L111">
        <f t="shared" si="17"/>
        <v>4</v>
      </c>
      <c r="M111">
        <f t="shared" ca="1" si="18"/>
        <v>911</v>
      </c>
      <c r="N111" t="str">
        <f t="shared" si="19"/>
        <v>WEEKDAY</v>
      </c>
      <c r="O111" t="str">
        <f t="shared" si="20"/>
        <v>25-Apr-2024</v>
      </c>
      <c r="P111" t="str">
        <f t="shared" si="21"/>
        <v>Isha Khan-Camera</v>
      </c>
    </row>
    <row r="112" spans="1:16" x14ac:dyDescent="0.4">
      <c r="A112" s="2" t="s">
        <v>1914</v>
      </c>
      <c r="B112" s="2" t="s">
        <v>321</v>
      </c>
      <c r="C112" s="2" t="s">
        <v>1796</v>
      </c>
      <c r="D112" s="3">
        <v>45496</v>
      </c>
      <c r="E112" s="2" t="s">
        <v>1797</v>
      </c>
      <c r="F112" t="str">
        <f t="shared" si="11"/>
        <v>yes</v>
      </c>
      <c r="G112">
        <f t="shared" si="12"/>
        <v>70</v>
      </c>
      <c r="H112" t="str">
        <f t="shared" si="13"/>
        <v>Delivery was late but product is good.</v>
      </c>
      <c r="I112" t="str">
        <f t="shared" si="14"/>
        <v>Delivery was delayed but product is good.</v>
      </c>
      <c r="J112">
        <f t="shared" si="15"/>
        <v>41</v>
      </c>
      <c r="K112" t="str">
        <f t="shared" si="16"/>
        <v>Delivery w</v>
      </c>
      <c r="L112">
        <f t="shared" si="17"/>
        <v>7</v>
      </c>
      <c r="M112">
        <f t="shared" ca="1" si="18"/>
        <v>822</v>
      </c>
      <c r="N112" t="str">
        <f t="shared" si="19"/>
        <v>WEEKDAY</v>
      </c>
      <c r="O112" t="str">
        <f t="shared" si="20"/>
        <v>23-Jul-2024</v>
      </c>
      <c r="P112" t="str">
        <f t="shared" si="21"/>
        <v>Kabir Nair-Mobile</v>
      </c>
    </row>
    <row r="113" spans="1:16" x14ac:dyDescent="0.4">
      <c r="A113" s="2" t="s">
        <v>1915</v>
      </c>
      <c r="B113" s="2" t="s">
        <v>9</v>
      </c>
      <c r="C113" s="2" t="s">
        <v>1793</v>
      </c>
      <c r="D113" s="3">
        <v>45505</v>
      </c>
      <c r="E113" s="2" t="s">
        <v>1810</v>
      </c>
      <c r="F113" t="str">
        <f t="shared" si="11"/>
        <v>yes</v>
      </c>
      <c r="G113">
        <f t="shared" si="12"/>
        <v>70</v>
      </c>
      <c r="H113" t="str">
        <f t="shared" si="13"/>
        <v>Received damaged item, requested replacement.</v>
      </c>
      <c r="I113" t="str">
        <f t="shared" si="14"/>
        <v>Received damaged item, requested replacement.</v>
      </c>
      <c r="J113">
        <f t="shared" si="15"/>
        <v>45</v>
      </c>
      <c r="K113" t="str">
        <f t="shared" si="16"/>
        <v>Received d</v>
      </c>
      <c r="L113">
        <f t="shared" si="17"/>
        <v>8</v>
      </c>
      <c r="M113">
        <f t="shared" ca="1" si="18"/>
        <v>813</v>
      </c>
      <c r="N113" t="str">
        <f t="shared" si="19"/>
        <v>WEEKDAY</v>
      </c>
      <c r="O113" t="str">
        <f t="shared" si="20"/>
        <v>01-Aug-2024</v>
      </c>
      <c r="P113" t="str">
        <f t="shared" si="21"/>
        <v>Meera Mehta-Tablet</v>
      </c>
    </row>
    <row r="114" spans="1:16" x14ac:dyDescent="0.4">
      <c r="A114" s="2" t="s">
        <v>1916</v>
      </c>
      <c r="B114" s="2" t="s">
        <v>665</v>
      </c>
      <c r="C114" s="2" t="s">
        <v>1799</v>
      </c>
      <c r="D114" s="3">
        <v>45446</v>
      </c>
      <c r="E114" s="2" t="s">
        <v>1797</v>
      </c>
      <c r="F114" t="str">
        <f t="shared" si="11"/>
        <v>yes</v>
      </c>
      <c r="G114">
        <f t="shared" si="12"/>
        <v>70</v>
      </c>
      <c r="H114" t="str">
        <f t="shared" si="13"/>
        <v>Not satisfied with the quality.</v>
      </c>
      <c r="I114" t="str">
        <f t="shared" si="14"/>
        <v>Not satisfied with the quality.</v>
      </c>
      <c r="J114">
        <f t="shared" si="15"/>
        <v>31</v>
      </c>
      <c r="K114" t="str">
        <f t="shared" si="16"/>
        <v>Not satisf</v>
      </c>
      <c r="L114">
        <f t="shared" si="17"/>
        <v>6</v>
      </c>
      <c r="M114">
        <f t="shared" ca="1" si="18"/>
        <v>872</v>
      </c>
      <c r="N114" t="str">
        <f t="shared" si="19"/>
        <v>WEEKDAY</v>
      </c>
      <c r="O114" t="str">
        <f t="shared" si="20"/>
        <v>03-Jun-2024</v>
      </c>
      <c r="P114" t="str">
        <f t="shared" si="21"/>
        <v>Isha Singh-Mobile</v>
      </c>
    </row>
    <row r="115" spans="1:16" x14ac:dyDescent="0.4">
      <c r="A115" s="2" t="s">
        <v>1917</v>
      </c>
      <c r="B115" s="2" t="s">
        <v>74</v>
      </c>
      <c r="C115" s="2" t="s">
        <v>1793</v>
      </c>
      <c r="D115" s="3">
        <v>45543</v>
      </c>
      <c r="E115" s="2" t="s">
        <v>1810</v>
      </c>
      <c r="F115" t="str">
        <f t="shared" si="11"/>
        <v>yes</v>
      </c>
      <c r="G115">
        <f t="shared" si="12"/>
        <v>70</v>
      </c>
      <c r="H115" t="str">
        <f t="shared" si="13"/>
        <v>Received damaged item, requested replacement.</v>
      </c>
      <c r="I115" t="str">
        <f t="shared" si="14"/>
        <v>Received damaged item, requested replacement.</v>
      </c>
      <c r="J115">
        <f t="shared" si="15"/>
        <v>45</v>
      </c>
      <c r="K115" t="str">
        <f t="shared" si="16"/>
        <v>Received d</v>
      </c>
      <c r="L115">
        <f t="shared" si="17"/>
        <v>9</v>
      </c>
      <c r="M115">
        <f t="shared" ca="1" si="18"/>
        <v>775</v>
      </c>
      <c r="N115" t="str">
        <f t="shared" si="19"/>
        <v>WEEKEND</v>
      </c>
      <c r="O115" t="str">
        <f t="shared" si="20"/>
        <v>08-Sep-2024</v>
      </c>
      <c r="P115" t="str">
        <f t="shared" si="21"/>
        <v>Riya Das-Tablet</v>
      </c>
    </row>
    <row r="116" spans="1:16" x14ac:dyDescent="0.4">
      <c r="A116" s="2" t="s">
        <v>1918</v>
      </c>
      <c r="B116" s="2" t="s">
        <v>39</v>
      </c>
      <c r="C116" s="2" t="s">
        <v>1793</v>
      </c>
      <c r="D116" s="3">
        <v>45591</v>
      </c>
      <c r="E116" s="2" t="s">
        <v>1810</v>
      </c>
      <c r="F116" t="str">
        <f t="shared" si="11"/>
        <v>yes</v>
      </c>
      <c r="G116">
        <f t="shared" si="12"/>
        <v>70</v>
      </c>
      <c r="H116" t="str">
        <f t="shared" si="13"/>
        <v>Received damaged item, requested replacement.</v>
      </c>
      <c r="I116" t="str">
        <f t="shared" si="14"/>
        <v>Received damaged item, requested replacement.</v>
      </c>
      <c r="J116">
        <f t="shared" si="15"/>
        <v>45</v>
      </c>
      <c r="K116" t="str">
        <f t="shared" si="16"/>
        <v>Received d</v>
      </c>
      <c r="L116">
        <f t="shared" si="17"/>
        <v>10</v>
      </c>
      <c r="M116">
        <f t="shared" ca="1" si="18"/>
        <v>727</v>
      </c>
      <c r="N116" t="str">
        <f t="shared" si="19"/>
        <v>WEEKEND</v>
      </c>
      <c r="O116" t="str">
        <f t="shared" si="20"/>
        <v>26-Oct-2024</v>
      </c>
      <c r="P116" t="str">
        <f t="shared" si="21"/>
        <v>Aarav Das-Tablet</v>
      </c>
    </row>
    <row r="117" spans="1:16" x14ac:dyDescent="0.4">
      <c r="A117" s="2" t="s">
        <v>1919</v>
      </c>
      <c r="B117" s="2" t="s">
        <v>117</v>
      </c>
      <c r="C117" s="2" t="s">
        <v>1793</v>
      </c>
      <c r="D117" s="3">
        <v>45487</v>
      </c>
      <c r="E117" s="2" t="s">
        <v>1810</v>
      </c>
      <c r="F117" t="str">
        <f t="shared" si="11"/>
        <v>yes</v>
      </c>
      <c r="G117">
        <f t="shared" si="12"/>
        <v>70</v>
      </c>
      <c r="H117" t="str">
        <f t="shared" si="13"/>
        <v>Received damaged item, requested replacement.</v>
      </c>
      <c r="I117" t="str">
        <f t="shared" si="14"/>
        <v>Received damaged item, requested replacement.</v>
      </c>
      <c r="J117">
        <f t="shared" si="15"/>
        <v>45</v>
      </c>
      <c r="K117" t="str">
        <f t="shared" si="16"/>
        <v>Received d</v>
      </c>
      <c r="L117">
        <f t="shared" si="17"/>
        <v>7</v>
      </c>
      <c r="M117">
        <f t="shared" ca="1" si="18"/>
        <v>831</v>
      </c>
      <c r="N117" t="str">
        <f t="shared" si="19"/>
        <v>WEEKEND</v>
      </c>
      <c r="O117" t="str">
        <f t="shared" si="20"/>
        <v>14-Jul-2024</v>
      </c>
      <c r="P117" t="str">
        <f t="shared" si="21"/>
        <v>Kabir Sharma-Tablet</v>
      </c>
    </row>
    <row r="118" spans="1:16" x14ac:dyDescent="0.4">
      <c r="A118" s="2" t="s">
        <v>1920</v>
      </c>
      <c r="B118" s="2" t="s">
        <v>61</v>
      </c>
      <c r="C118" s="2" t="s">
        <v>1796</v>
      </c>
      <c r="D118" s="3">
        <v>45323</v>
      </c>
      <c r="E118" s="2" t="s">
        <v>1820</v>
      </c>
      <c r="F118" t="str">
        <f t="shared" si="11"/>
        <v>yes</v>
      </c>
      <c r="G118">
        <f t="shared" si="12"/>
        <v>70</v>
      </c>
      <c r="H118" t="str">
        <f t="shared" si="13"/>
        <v>Delivery was late but product is good.</v>
      </c>
      <c r="I118" t="str">
        <f t="shared" si="14"/>
        <v>Delivery was delayed but product is good.</v>
      </c>
      <c r="J118">
        <f t="shared" si="15"/>
        <v>41</v>
      </c>
      <c r="K118" t="str">
        <f t="shared" si="16"/>
        <v>Delivery w</v>
      </c>
      <c r="L118">
        <f t="shared" si="17"/>
        <v>2</v>
      </c>
      <c r="M118">
        <f t="shared" ca="1" si="18"/>
        <v>995</v>
      </c>
      <c r="N118" t="str">
        <f t="shared" si="19"/>
        <v>WEEKDAY</v>
      </c>
      <c r="O118" t="str">
        <f t="shared" si="20"/>
        <v>01-Feb-2024</v>
      </c>
      <c r="P118" t="str">
        <f t="shared" si="21"/>
        <v>Ananya Joshi-Printer</v>
      </c>
    </row>
    <row r="119" spans="1:16" x14ac:dyDescent="0.4">
      <c r="A119" s="2" t="s">
        <v>1921</v>
      </c>
      <c r="B119" s="2" t="s">
        <v>489</v>
      </c>
      <c r="C119" s="2" t="s">
        <v>1799</v>
      </c>
      <c r="D119" s="3">
        <v>45389</v>
      </c>
      <c r="E119" s="2" t="s">
        <v>1800</v>
      </c>
      <c r="F119" t="str">
        <f t="shared" si="11"/>
        <v>yes</v>
      </c>
      <c r="G119">
        <f t="shared" si="12"/>
        <v>70</v>
      </c>
      <c r="H119" t="str">
        <f t="shared" si="13"/>
        <v>Not satisfied with the quality.</v>
      </c>
      <c r="I119" t="str">
        <f t="shared" si="14"/>
        <v>Not satisfied with the quality.</v>
      </c>
      <c r="J119">
        <f t="shared" si="15"/>
        <v>31</v>
      </c>
      <c r="K119" t="str">
        <f t="shared" si="16"/>
        <v>Not satisf</v>
      </c>
      <c r="L119">
        <f t="shared" si="17"/>
        <v>4</v>
      </c>
      <c r="M119">
        <f t="shared" ca="1" si="18"/>
        <v>929</v>
      </c>
      <c r="N119" t="str">
        <f t="shared" si="19"/>
        <v>WEEKEND</v>
      </c>
      <c r="O119" t="str">
        <f t="shared" si="20"/>
        <v>07-Apr-2024</v>
      </c>
      <c r="P119" t="str">
        <f t="shared" si="21"/>
        <v>Arjun Reddy-Camera</v>
      </c>
    </row>
    <row r="120" spans="1:16" x14ac:dyDescent="0.4">
      <c r="A120" s="2" t="s">
        <v>1922</v>
      </c>
      <c r="B120" s="2" t="s">
        <v>391</v>
      </c>
      <c r="C120" s="2" t="s">
        <v>1802</v>
      </c>
      <c r="D120" s="3">
        <v>45443</v>
      </c>
      <c r="E120" s="2" t="s">
        <v>1800</v>
      </c>
      <c r="F120" t="str">
        <f t="shared" si="11"/>
        <v>yes</v>
      </c>
      <c r="G120">
        <f t="shared" si="12"/>
        <v>70</v>
      </c>
      <c r="H120" t="str">
        <f t="shared" si="13"/>
        <v>Product was excellent and delivery was fast.</v>
      </c>
      <c r="I120" t="str">
        <f t="shared" si="14"/>
        <v>Product was excellent and delivery was fast.</v>
      </c>
      <c r="J120">
        <f t="shared" si="15"/>
        <v>44</v>
      </c>
      <c r="K120" t="str">
        <f t="shared" si="16"/>
        <v>Product wa</v>
      </c>
      <c r="L120">
        <f t="shared" si="17"/>
        <v>5</v>
      </c>
      <c r="M120">
        <f t="shared" ca="1" si="18"/>
        <v>875</v>
      </c>
      <c r="N120" t="str">
        <f t="shared" si="19"/>
        <v>WEEKDAY</v>
      </c>
      <c r="O120" t="str">
        <f t="shared" si="20"/>
        <v>31-May-2024</v>
      </c>
      <c r="P120" t="str">
        <f t="shared" si="21"/>
        <v>Aditya Patel-Camera</v>
      </c>
    </row>
    <row r="121" spans="1:16" x14ac:dyDescent="0.4">
      <c r="A121" s="2" t="s">
        <v>1923</v>
      </c>
      <c r="B121" s="2" t="s">
        <v>373</v>
      </c>
      <c r="C121" s="2" t="s">
        <v>1793</v>
      </c>
      <c r="D121" s="3">
        <v>45456</v>
      </c>
      <c r="E121" s="2" t="s">
        <v>1800</v>
      </c>
      <c r="F121" t="str">
        <f t="shared" si="11"/>
        <v>yes</v>
      </c>
      <c r="G121">
        <f t="shared" si="12"/>
        <v>70</v>
      </c>
      <c r="H121" t="str">
        <f t="shared" si="13"/>
        <v>Received damaged item, requested replacement.</v>
      </c>
      <c r="I121" t="str">
        <f t="shared" si="14"/>
        <v>Received damaged item, requested replacement.</v>
      </c>
      <c r="J121">
        <f t="shared" si="15"/>
        <v>45</v>
      </c>
      <c r="K121" t="str">
        <f t="shared" si="16"/>
        <v>Received d</v>
      </c>
      <c r="L121">
        <f t="shared" si="17"/>
        <v>6</v>
      </c>
      <c r="M121">
        <f t="shared" ca="1" si="18"/>
        <v>862</v>
      </c>
      <c r="N121" t="str">
        <f t="shared" si="19"/>
        <v>WEEKDAY</v>
      </c>
      <c r="O121" t="str">
        <f t="shared" si="20"/>
        <v>13-Jun-2024</v>
      </c>
      <c r="P121" t="str">
        <f t="shared" si="21"/>
        <v>Vivaan Nair-Camera</v>
      </c>
    </row>
    <row r="122" spans="1:16" x14ac:dyDescent="0.4">
      <c r="A122" s="2" t="s">
        <v>1924</v>
      </c>
      <c r="B122" s="2" t="s">
        <v>35</v>
      </c>
      <c r="C122" s="2" t="s">
        <v>1815</v>
      </c>
      <c r="D122" s="3">
        <v>45321</v>
      </c>
      <c r="E122" s="2" t="s">
        <v>1803</v>
      </c>
      <c r="F122" t="str">
        <f t="shared" si="11"/>
        <v>yes</v>
      </c>
      <c r="G122">
        <f t="shared" si="12"/>
        <v>70</v>
      </c>
      <c r="H122" t="str">
        <f t="shared" si="13"/>
        <v>Great value for money!</v>
      </c>
      <c r="I122" t="str">
        <f t="shared" si="14"/>
        <v>Great value for money!</v>
      </c>
      <c r="J122">
        <f t="shared" si="15"/>
        <v>22</v>
      </c>
      <c r="K122" t="str">
        <f t="shared" si="16"/>
        <v>Great valu</v>
      </c>
      <c r="L122">
        <f t="shared" si="17"/>
        <v>1</v>
      </c>
      <c r="M122">
        <f t="shared" ca="1" si="18"/>
        <v>997</v>
      </c>
      <c r="N122" t="str">
        <f t="shared" si="19"/>
        <v>WEEKDAY</v>
      </c>
      <c r="O122" t="str">
        <f t="shared" si="20"/>
        <v>30-Jan-2024</v>
      </c>
      <c r="P122" t="str">
        <f t="shared" si="21"/>
        <v>Isha Das-Laptop</v>
      </c>
    </row>
    <row r="123" spans="1:16" x14ac:dyDescent="0.4">
      <c r="A123" s="2" t="s">
        <v>1925</v>
      </c>
      <c r="B123" s="2" t="s">
        <v>363</v>
      </c>
      <c r="C123" s="2" t="s">
        <v>1809</v>
      </c>
      <c r="D123" s="3">
        <v>45549</v>
      </c>
      <c r="E123" s="2" t="s">
        <v>1797</v>
      </c>
      <c r="F123" t="str">
        <f t="shared" si="11"/>
        <v>yes</v>
      </c>
      <c r="G123">
        <f t="shared" si="12"/>
        <v>70</v>
      </c>
      <c r="H123" t="str">
        <f t="shared" si="13"/>
        <v>Customer support was helpful.</v>
      </c>
      <c r="I123" t="str">
        <f t="shared" si="14"/>
        <v>Customer support was helpful.</v>
      </c>
      <c r="J123">
        <f t="shared" si="15"/>
        <v>29</v>
      </c>
      <c r="K123" t="str">
        <f t="shared" si="16"/>
        <v>Customer s</v>
      </c>
      <c r="L123">
        <f t="shared" si="17"/>
        <v>9</v>
      </c>
      <c r="M123">
        <f t="shared" ca="1" si="18"/>
        <v>769</v>
      </c>
      <c r="N123" t="str">
        <f t="shared" si="19"/>
        <v>WEEKEND</v>
      </c>
      <c r="O123" t="str">
        <f t="shared" si="20"/>
        <v>14-Sep-2024</v>
      </c>
      <c r="P123" t="str">
        <f t="shared" si="21"/>
        <v>Kabir Reddy-Mobile</v>
      </c>
    </row>
    <row r="124" spans="1:16" x14ac:dyDescent="0.4">
      <c r="A124" s="2" t="s">
        <v>1926</v>
      </c>
      <c r="B124" s="2" t="s">
        <v>395</v>
      </c>
      <c r="C124" s="2" t="s">
        <v>1799</v>
      </c>
      <c r="D124" s="3">
        <v>45466</v>
      </c>
      <c r="E124" s="2" t="s">
        <v>1810</v>
      </c>
      <c r="F124" t="str">
        <f t="shared" si="11"/>
        <v>yes</v>
      </c>
      <c r="G124">
        <f t="shared" si="12"/>
        <v>70</v>
      </c>
      <c r="H124" t="str">
        <f t="shared" si="13"/>
        <v>Not satisfied with the quality.</v>
      </c>
      <c r="I124" t="str">
        <f t="shared" si="14"/>
        <v>Not satisfied with the quality.</v>
      </c>
      <c r="J124">
        <f t="shared" si="15"/>
        <v>31</v>
      </c>
      <c r="K124" t="str">
        <f t="shared" si="16"/>
        <v>Not satisf</v>
      </c>
      <c r="L124">
        <f t="shared" si="17"/>
        <v>6</v>
      </c>
      <c r="M124">
        <f t="shared" ca="1" si="18"/>
        <v>852</v>
      </c>
      <c r="N124" t="str">
        <f t="shared" si="19"/>
        <v>WEEKEND</v>
      </c>
      <c r="O124" t="str">
        <f t="shared" si="20"/>
        <v>23-Jun-2024</v>
      </c>
      <c r="P124" t="str">
        <f t="shared" si="21"/>
        <v>Riya Nair-Tablet</v>
      </c>
    </row>
    <row r="125" spans="1:16" x14ac:dyDescent="0.4">
      <c r="A125" s="2" t="s">
        <v>1927</v>
      </c>
      <c r="B125" s="2" t="s">
        <v>411</v>
      </c>
      <c r="C125" s="2" t="s">
        <v>1815</v>
      </c>
      <c r="D125" s="3">
        <v>45398</v>
      </c>
      <c r="E125" s="2" t="s">
        <v>1797</v>
      </c>
      <c r="F125" t="str">
        <f t="shared" si="11"/>
        <v>yes</v>
      </c>
      <c r="G125">
        <f t="shared" si="12"/>
        <v>70</v>
      </c>
      <c r="H125" t="str">
        <f t="shared" si="13"/>
        <v>Great value for money!</v>
      </c>
      <c r="I125" t="str">
        <f t="shared" si="14"/>
        <v>Great value for money!</v>
      </c>
      <c r="J125">
        <f t="shared" si="15"/>
        <v>22</v>
      </c>
      <c r="K125" t="str">
        <f t="shared" si="16"/>
        <v>Great valu</v>
      </c>
      <c r="L125">
        <f t="shared" si="17"/>
        <v>4</v>
      </c>
      <c r="M125">
        <f t="shared" ca="1" si="18"/>
        <v>920</v>
      </c>
      <c r="N125" t="str">
        <f t="shared" si="19"/>
        <v>WEEKDAY</v>
      </c>
      <c r="O125" t="str">
        <f t="shared" si="20"/>
        <v>16-Apr-2024</v>
      </c>
      <c r="P125" t="str">
        <f t="shared" si="21"/>
        <v>Aarav Joshi-Mobile</v>
      </c>
    </row>
    <row r="126" spans="1:16" x14ac:dyDescent="0.4">
      <c r="A126" s="2" t="s">
        <v>1928</v>
      </c>
      <c r="B126" s="2" t="s">
        <v>1045</v>
      </c>
      <c r="C126" s="2" t="s">
        <v>1809</v>
      </c>
      <c r="D126" s="3">
        <v>45581</v>
      </c>
      <c r="E126" s="2" t="s">
        <v>1797</v>
      </c>
      <c r="F126" t="str">
        <f t="shared" si="11"/>
        <v>yes</v>
      </c>
      <c r="G126">
        <f t="shared" si="12"/>
        <v>70</v>
      </c>
      <c r="H126" t="str">
        <f t="shared" si="13"/>
        <v>Customer support was helpful.</v>
      </c>
      <c r="I126" t="str">
        <f t="shared" si="14"/>
        <v>Customer support was helpful.</v>
      </c>
      <c r="J126">
        <f t="shared" si="15"/>
        <v>29</v>
      </c>
      <c r="K126" t="str">
        <f t="shared" si="16"/>
        <v>Customer s</v>
      </c>
      <c r="L126">
        <f t="shared" si="17"/>
        <v>10</v>
      </c>
      <c r="M126">
        <f t="shared" ca="1" si="18"/>
        <v>737</v>
      </c>
      <c r="N126" t="str">
        <f t="shared" si="19"/>
        <v>WEEKDAY</v>
      </c>
      <c r="O126" t="str">
        <f t="shared" si="20"/>
        <v>16-Oct-2024</v>
      </c>
      <c r="P126" t="str">
        <f t="shared" si="21"/>
        <v>Vivaan Reddy-Mobile</v>
      </c>
    </row>
    <row r="127" spans="1:16" x14ac:dyDescent="0.4">
      <c r="A127" s="2" t="s">
        <v>1929</v>
      </c>
      <c r="B127" s="2" t="s">
        <v>113</v>
      </c>
      <c r="C127" s="2" t="s">
        <v>1815</v>
      </c>
      <c r="D127" s="3">
        <v>45563</v>
      </c>
      <c r="E127" s="2" t="s">
        <v>1810</v>
      </c>
      <c r="F127" t="str">
        <f t="shared" si="11"/>
        <v>yes</v>
      </c>
      <c r="G127">
        <f t="shared" si="12"/>
        <v>70</v>
      </c>
      <c r="H127" t="str">
        <f t="shared" si="13"/>
        <v>Great value for money!</v>
      </c>
      <c r="I127" t="str">
        <f t="shared" si="14"/>
        <v>Great value for money!</v>
      </c>
      <c r="J127">
        <f t="shared" si="15"/>
        <v>22</v>
      </c>
      <c r="K127" t="str">
        <f t="shared" si="16"/>
        <v>Great valu</v>
      </c>
      <c r="L127">
        <f t="shared" si="17"/>
        <v>9</v>
      </c>
      <c r="M127">
        <f t="shared" ca="1" si="18"/>
        <v>755</v>
      </c>
      <c r="N127" t="str">
        <f t="shared" si="19"/>
        <v>WEEKEND</v>
      </c>
      <c r="O127" t="str">
        <f t="shared" si="20"/>
        <v>28-Sep-2024</v>
      </c>
      <c r="P127" t="str">
        <f t="shared" si="21"/>
        <v>Diya Reddy-Tablet</v>
      </c>
    </row>
    <row r="128" spans="1:16" x14ac:dyDescent="0.4">
      <c r="A128" s="2" t="s">
        <v>1930</v>
      </c>
      <c r="B128" s="2" t="s">
        <v>95</v>
      </c>
      <c r="C128" s="2" t="s">
        <v>1799</v>
      </c>
      <c r="D128" s="3">
        <v>45508</v>
      </c>
      <c r="E128" s="2" t="s">
        <v>1794</v>
      </c>
      <c r="F128" t="str">
        <f t="shared" si="11"/>
        <v>yes</v>
      </c>
      <c r="G128">
        <f t="shared" si="12"/>
        <v>70</v>
      </c>
      <c r="H128" t="str">
        <f t="shared" si="13"/>
        <v>Not satisfied with the quality.</v>
      </c>
      <c r="I128" t="str">
        <f t="shared" si="14"/>
        <v>Not satisfied with the quality.</v>
      </c>
      <c r="J128">
        <f t="shared" si="15"/>
        <v>31</v>
      </c>
      <c r="K128" t="str">
        <f t="shared" si="16"/>
        <v>Not satisf</v>
      </c>
      <c r="L128">
        <f t="shared" si="17"/>
        <v>8</v>
      </c>
      <c r="M128">
        <f t="shared" ca="1" si="18"/>
        <v>810</v>
      </c>
      <c r="N128" t="str">
        <f t="shared" si="19"/>
        <v>WEEKEND</v>
      </c>
      <c r="O128" t="str">
        <f t="shared" si="20"/>
        <v>04-Aug-2024</v>
      </c>
      <c r="P128" t="str">
        <f t="shared" si="21"/>
        <v>Meera Sharma-Smartwatch</v>
      </c>
    </row>
    <row r="129" spans="1:16" x14ac:dyDescent="0.4">
      <c r="A129" s="2" t="s">
        <v>1931</v>
      </c>
      <c r="B129" s="2" t="s">
        <v>221</v>
      </c>
      <c r="C129" s="2" t="s">
        <v>1802</v>
      </c>
      <c r="D129" s="3">
        <v>45356</v>
      </c>
      <c r="E129" s="2" t="s">
        <v>1820</v>
      </c>
      <c r="F129" t="str">
        <f t="shared" si="11"/>
        <v>yes</v>
      </c>
      <c r="G129">
        <f t="shared" si="12"/>
        <v>70</v>
      </c>
      <c r="H129" t="str">
        <f t="shared" si="13"/>
        <v>Product was excellent and delivery was fast.</v>
      </c>
      <c r="I129" t="str">
        <f t="shared" si="14"/>
        <v>Product was excellent and delivery was fast.</v>
      </c>
      <c r="J129">
        <f t="shared" si="15"/>
        <v>44</v>
      </c>
      <c r="K129" t="str">
        <f t="shared" si="16"/>
        <v>Product wa</v>
      </c>
      <c r="L129">
        <f t="shared" si="17"/>
        <v>3</v>
      </c>
      <c r="M129">
        <f t="shared" ca="1" si="18"/>
        <v>962</v>
      </c>
      <c r="N129" t="str">
        <f t="shared" si="19"/>
        <v>WEEKDAY</v>
      </c>
      <c r="O129" t="str">
        <f t="shared" si="20"/>
        <v>05-Mar-2024</v>
      </c>
      <c r="P129" t="str">
        <f t="shared" si="21"/>
        <v>Isha Reddy-Printer</v>
      </c>
    </row>
    <row r="130" spans="1:16" x14ac:dyDescent="0.4">
      <c r="A130" s="2" t="s">
        <v>1932</v>
      </c>
      <c r="B130" s="2" t="s">
        <v>23</v>
      </c>
      <c r="C130" s="2" t="s">
        <v>1799</v>
      </c>
      <c r="D130" s="3">
        <v>45564</v>
      </c>
      <c r="E130" s="2" t="s">
        <v>1797</v>
      </c>
      <c r="F130" t="str">
        <f t="shared" si="11"/>
        <v>yes</v>
      </c>
      <c r="G130">
        <f t="shared" si="12"/>
        <v>70</v>
      </c>
      <c r="H130" t="str">
        <f t="shared" si="13"/>
        <v>Not satisfied with the quality.</v>
      </c>
      <c r="I130" t="str">
        <f t="shared" si="14"/>
        <v>Not satisfied with the quality.</v>
      </c>
      <c r="J130">
        <f t="shared" si="15"/>
        <v>31</v>
      </c>
      <c r="K130" t="str">
        <f t="shared" si="16"/>
        <v>Not satisf</v>
      </c>
      <c r="L130">
        <f t="shared" si="17"/>
        <v>9</v>
      </c>
      <c r="M130">
        <f t="shared" ca="1" si="18"/>
        <v>754</v>
      </c>
      <c r="N130" t="str">
        <f t="shared" si="19"/>
        <v>WEEKEND</v>
      </c>
      <c r="O130" t="str">
        <f t="shared" si="20"/>
        <v>29-Sep-2024</v>
      </c>
      <c r="P130" t="str">
        <f t="shared" si="21"/>
        <v>Vivaan Mehta-Mobile</v>
      </c>
    </row>
    <row r="131" spans="1:16" x14ac:dyDescent="0.4">
      <c r="A131" s="2" t="s">
        <v>1933</v>
      </c>
      <c r="B131" s="2" t="s">
        <v>1119</v>
      </c>
      <c r="C131" s="2" t="s">
        <v>1815</v>
      </c>
      <c r="D131" s="3">
        <v>45656</v>
      </c>
      <c r="E131" s="2" t="s">
        <v>1810</v>
      </c>
      <c r="F131" t="str">
        <f t="shared" ref="F131:F194" si="22">IF(YEAR(D131)=2024,"yes","No")</f>
        <v>yes</v>
      </c>
      <c r="G131">
        <f t="shared" ref="G131:G194" si="23">COUNTIF($C$2:$C$501,"*good*")</f>
        <v>70</v>
      </c>
      <c r="H131" t="str">
        <f t="shared" ref="H131:H194" si="24">SUBSTITUTE(C131,"delayed","late")</f>
        <v>Great value for money!</v>
      </c>
      <c r="I131" t="str">
        <f t="shared" ref="I131:I194" si="25">TRIM(C131)</f>
        <v>Great value for money!</v>
      </c>
      <c r="J131">
        <f t="shared" ref="J131:J194" si="26">LEN(C131)</f>
        <v>22</v>
      </c>
      <c r="K131" t="str">
        <f t="shared" ref="K131:K194" si="27">LEFT(C131,10)</f>
        <v>Great valu</v>
      </c>
      <c r="L131">
        <f t="shared" ref="L131:L194" si="28">MONTH(D131)</f>
        <v>12</v>
      </c>
      <c r="M131">
        <f t="shared" ref="M131:M194" ca="1" si="29">DATEDIF(D131,TODAY(),"D")</f>
        <v>662</v>
      </c>
      <c r="N131" t="str">
        <f t="shared" ref="N131:N194" si="30">IF(WEEKDAY(D131,2)&gt;5,"WEEKEND","WEEKDAY")</f>
        <v>WEEKDAY</v>
      </c>
      <c r="O131" t="str">
        <f t="shared" ref="O131:O194" si="31">TEXT(D131,"DD-MMM-YYYY")</f>
        <v>30-Dec-2024</v>
      </c>
      <c r="P131" t="str">
        <f t="shared" ref="P131:P194" si="32">_xlfn.CONCAT(B131,"-",E131)</f>
        <v>Isha Joshi-Tablet</v>
      </c>
    </row>
    <row r="132" spans="1:16" x14ac:dyDescent="0.4">
      <c r="A132" s="2" t="s">
        <v>1934</v>
      </c>
      <c r="B132" s="2" t="s">
        <v>287</v>
      </c>
      <c r="C132" s="2" t="s">
        <v>1799</v>
      </c>
      <c r="D132" s="3">
        <v>45368</v>
      </c>
      <c r="E132" s="2" t="s">
        <v>1810</v>
      </c>
      <c r="F132" t="str">
        <f t="shared" si="22"/>
        <v>yes</v>
      </c>
      <c r="G132">
        <f t="shared" si="23"/>
        <v>70</v>
      </c>
      <c r="H132" t="str">
        <f t="shared" si="24"/>
        <v>Not satisfied with the quality.</v>
      </c>
      <c r="I132" t="str">
        <f t="shared" si="25"/>
        <v>Not satisfied with the quality.</v>
      </c>
      <c r="J132">
        <f t="shared" si="26"/>
        <v>31</v>
      </c>
      <c r="K132" t="str">
        <f t="shared" si="27"/>
        <v>Not satisf</v>
      </c>
      <c r="L132">
        <f t="shared" si="28"/>
        <v>3</v>
      </c>
      <c r="M132">
        <f t="shared" ca="1" si="29"/>
        <v>950</v>
      </c>
      <c r="N132" t="str">
        <f t="shared" si="30"/>
        <v>WEEKEND</v>
      </c>
      <c r="O132" t="str">
        <f t="shared" si="31"/>
        <v>17-Mar-2024</v>
      </c>
      <c r="P132" t="str">
        <f t="shared" si="32"/>
        <v>Meera Singh-Tablet</v>
      </c>
    </row>
    <row r="133" spans="1:16" x14ac:dyDescent="0.4">
      <c r="A133" s="2" t="s">
        <v>1935</v>
      </c>
      <c r="B133" s="2" t="s">
        <v>443</v>
      </c>
      <c r="C133" s="2" t="s">
        <v>1793</v>
      </c>
      <c r="D133" s="3">
        <v>45310</v>
      </c>
      <c r="E133" s="2" t="s">
        <v>1800</v>
      </c>
      <c r="F133" t="str">
        <f t="shared" si="22"/>
        <v>yes</v>
      </c>
      <c r="G133">
        <f t="shared" si="23"/>
        <v>70</v>
      </c>
      <c r="H133" t="str">
        <f t="shared" si="24"/>
        <v>Received damaged item, requested replacement.</v>
      </c>
      <c r="I133" t="str">
        <f t="shared" si="25"/>
        <v>Received damaged item, requested replacement.</v>
      </c>
      <c r="J133">
        <f t="shared" si="26"/>
        <v>45</v>
      </c>
      <c r="K133" t="str">
        <f t="shared" si="27"/>
        <v>Received d</v>
      </c>
      <c r="L133">
        <f t="shared" si="28"/>
        <v>1</v>
      </c>
      <c r="M133">
        <f t="shared" ca="1" si="29"/>
        <v>1008</v>
      </c>
      <c r="N133" t="str">
        <f t="shared" si="30"/>
        <v>WEEKDAY</v>
      </c>
      <c r="O133" t="str">
        <f t="shared" si="31"/>
        <v>19-Jan-2024</v>
      </c>
      <c r="P133" t="str">
        <f t="shared" si="32"/>
        <v>Diya Joshi-Camera</v>
      </c>
    </row>
    <row r="134" spans="1:16" x14ac:dyDescent="0.4">
      <c r="A134" s="2" t="s">
        <v>1936</v>
      </c>
      <c r="B134" s="2" t="s">
        <v>271</v>
      </c>
      <c r="C134" s="2" t="s">
        <v>1796</v>
      </c>
      <c r="D134" s="3">
        <v>45466</v>
      </c>
      <c r="E134" s="2" t="s">
        <v>1794</v>
      </c>
      <c r="F134" t="str">
        <f t="shared" si="22"/>
        <v>yes</v>
      </c>
      <c r="G134">
        <f t="shared" si="23"/>
        <v>70</v>
      </c>
      <c r="H134" t="str">
        <f t="shared" si="24"/>
        <v>Delivery was late but product is good.</v>
      </c>
      <c r="I134" t="str">
        <f t="shared" si="25"/>
        <v>Delivery was delayed but product is good.</v>
      </c>
      <c r="J134">
        <f t="shared" si="26"/>
        <v>41</v>
      </c>
      <c r="K134" t="str">
        <f t="shared" si="27"/>
        <v>Delivery w</v>
      </c>
      <c r="L134">
        <f t="shared" si="28"/>
        <v>6</v>
      </c>
      <c r="M134">
        <f t="shared" ca="1" si="29"/>
        <v>852</v>
      </c>
      <c r="N134" t="str">
        <f t="shared" si="30"/>
        <v>WEEKEND</v>
      </c>
      <c r="O134" t="str">
        <f t="shared" si="31"/>
        <v>23-Jun-2024</v>
      </c>
      <c r="P134" t="str">
        <f t="shared" si="32"/>
        <v>Arjun Joshi-Smartwatch</v>
      </c>
    </row>
    <row r="135" spans="1:16" x14ac:dyDescent="0.4">
      <c r="A135" s="2" t="s">
        <v>1937</v>
      </c>
      <c r="B135" s="2" t="s">
        <v>363</v>
      </c>
      <c r="C135" s="2" t="s">
        <v>1809</v>
      </c>
      <c r="D135" s="3">
        <v>45475</v>
      </c>
      <c r="E135" s="2" t="s">
        <v>1797</v>
      </c>
      <c r="F135" t="str">
        <f t="shared" si="22"/>
        <v>yes</v>
      </c>
      <c r="G135">
        <f t="shared" si="23"/>
        <v>70</v>
      </c>
      <c r="H135" t="str">
        <f t="shared" si="24"/>
        <v>Customer support was helpful.</v>
      </c>
      <c r="I135" t="str">
        <f t="shared" si="25"/>
        <v>Customer support was helpful.</v>
      </c>
      <c r="J135">
        <f t="shared" si="26"/>
        <v>29</v>
      </c>
      <c r="K135" t="str">
        <f t="shared" si="27"/>
        <v>Customer s</v>
      </c>
      <c r="L135">
        <f t="shared" si="28"/>
        <v>7</v>
      </c>
      <c r="M135">
        <f t="shared" ca="1" si="29"/>
        <v>843</v>
      </c>
      <c r="N135" t="str">
        <f t="shared" si="30"/>
        <v>WEEKDAY</v>
      </c>
      <c r="O135" t="str">
        <f t="shared" si="31"/>
        <v>02-Jul-2024</v>
      </c>
      <c r="P135" t="str">
        <f t="shared" si="32"/>
        <v>Kabir Reddy-Mobile</v>
      </c>
    </row>
    <row r="136" spans="1:16" x14ac:dyDescent="0.4">
      <c r="A136" s="2" t="s">
        <v>1938</v>
      </c>
      <c r="B136" s="2" t="s">
        <v>443</v>
      </c>
      <c r="C136" s="2" t="s">
        <v>1802</v>
      </c>
      <c r="D136" s="3">
        <v>45452</v>
      </c>
      <c r="E136" s="2" t="s">
        <v>1820</v>
      </c>
      <c r="F136" t="str">
        <f t="shared" si="22"/>
        <v>yes</v>
      </c>
      <c r="G136">
        <f t="shared" si="23"/>
        <v>70</v>
      </c>
      <c r="H136" t="str">
        <f t="shared" si="24"/>
        <v>Product was excellent and delivery was fast.</v>
      </c>
      <c r="I136" t="str">
        <f t="shared" si="25"/>
        <v>Product was excellent and delivery was fast.</v>
      </c>
      <c r="J136">
        <f t="shared" si="26"/>
        <v>44</v>
      </c>
      <c r="K136" t="str">
        <f t="shared" si="27"/>
        <v>Product wa</v>
      </c>
      <c r="L136">
        <f t="shared" si="28"/>
        <v>6</v>
      </c>
      <c r="M136">
        <f t="shared" ca="1" si="29"/>
        <v>866</v>
      </c>
      <c r="N136" t="str">
        <f t="shared" si="30"/>
        <v>WEEKEND</v>
      </c>
      <c r="O136" t="str">
        <f t="shared" si="31"/>
        <v>09-Jun-2024</v>
      </c>
      <c r="P136" t="str">
        <f t="shared" si="32"/>
        <v>Diya Joshi-Printer</v>
      </c>
    </row>
    <row r="137" spans="1:16" x14ac:dyDescent="0.4">
      <c r="A137" s="2" t="s">
        <v>1939</v>
      </c>
      <c r="B137" s="2" t="s">
        <v>385</v>
      </c>
      <c r="C137" s="2" t="s">
        <v>1796</v>
      </c>
      <c r="D137" s="3">
        <v>45484</v>
      </c>
      <c r="E137" s="2" t="s">
        <v>1810</v>
      </c>
      <c r="F137" t="str">
        <f t="shared" si="22"/>
        <v>yes</v>
      </c>
      <c r="G137">
        <f t="shared" si="23"/>
        <v>70</v>
      </c>
      <c r="H137" t="str">
        <f t="shared" si="24"/>
        <v>Delivery was late but product is good.</v>
      </c>
      <c r="I137" t="str">
        <f t="shared" si="25"/>
        <v>Delivery was delayed but product is good.</v>
      </c>
      <c r="J137">
        <f t="shared" si="26"/>
        <v>41</v>
      </c>
      <c r="K137" t="str">
        <f t="shared" si="27"/>
        <v>Delivery w</v>
      </c>
      <c r="L137">
        <f t="shared" si="28"/>
        <v>7</v>
      </c>
      <c r="M137">
        <f t="shared" ca="1" si="29"/>
        <v>834</v>
      </c>
      <c r="N137" t="str">
        <f t="shared" si="30"/>
        <v>WEEKDAY</v>
      </c>
      <c r="O137" t="str">
        <f t="shared" si="31"/>
        <v>11-Jul-2024</v>
      </c>
      <c r="P137" t="str">
        <f t="shared" si="32"/>
        <v>Diya Nair-Tablet</v>
      </c>
    </row>
    <row r="138" spans="1:16" x14ac:dyDescent="0.4">
      <c r="A138" s="2" t="s">
        <v>1940</v>
      </c>
      <c r="B138" s="2" t="s">
        <v>133</v>
      </c>
      <c r="C138" s="2" t="s">
        <v>1809</v>
      </c>
      <c r="D138" s="3">
        <v>45565</v>
      </c>
      <c r="E138" s="2" t="s">
        <v>1820</v>
      </c>
      <c r="F138" t="str">
        <f t="shared" si="22"/>
        <v>yes</v>
      </c>
      <c r="G138">
        <f t="shared" si="23"/>
        <v>70</v>
      </c>
      <c r="H138" t="str">
        <f t="shared" si="24"/>
        <v>Customer support was helpful.</v>
      </c>
      <c r="I138" t="str">
        <f t="shared" si="25"/>
        <v>Customer support was helpful.</v>
      </c>
      <c r="J138">
        <f t="shared" si="26"/>
        <v>29</v>
      </c>
      <c r="K138" t="str">
        <f t="shared" si="27"/>
        <v>Customer s</v>
      </c>
      <c r="L138">
        <f t="shared" si="28"/>
        <v>9</v>
      </c>
      <c r="M138">
        <f t="shared" ca="1" si="29"/>
        <v>753</v>
      </c>
      <c r="N138" t="str">
        <f t="shared" si="30"/>
        <v>WEEKDAY</v>
      </c>
      <c r="O138" t="str">
        <f t="shared" si="31"/>
        <v>30-Sep-2024</v>
      </c>
      <c r="P138" t="str">
        <f t="shared" si="32"/>
        <v>Arjun Sharma-Printer</v>
      </c>
    </row>
    <row r="139" spans="1:16" x14ac:dyDescent="0.4">
      <c r="A139" s="2" t="s">
        <v>1941</v>
      </c>
      <c r="B139" s="2" t="s">
        <v>677</v>
      </c>
      <c r="C139" s="2" t="s">
        <v>1802</v>
      </c>
      <c r="D139" s="3">
        <v>45455</v>
      </c>
      <c r="E139" s="2" t="s">
        <v>1794</v>
      </c>
      <c r="F139" t="str">
        <f t="shared" si="22"/>
        <v>yes</v>
      </c>
      <c r="G139">
        <f t="shared" si="23"/>
        <v>70</v>
      </c>
      <c r="H139" t="str">
        <f t="shared" si="24"/>
        <v>Product was excellent and delivery was fast.</v>
      </c>
      <c r="I139" t="str">
        <f t="shared" si="25"/>
        <v>Product was excellent and delivery was fast.</v>
      </c>
      <c r="J139">
        <f t="shared" si="26"/>
        <v>44</v>
      </c>
      <c r="K139" t="str">
        <f t="shared" si="27"/>
        <v>Product wa</v>
      </c>
      <c r="L139">
        <f t="shared" si="28"/>
        <v>6</v>
      </c>
      <c r="M139">
        <f t="shared" ca="1" si="29"/>
        <v>863</v>
      </c>
      <c r="N139" t="str">
        <f t="shared" si="30"/>
        <v>WEEKDAY</v>
      </c>
      <c r="O139" t="str">
        <f t="shared" si="31"/>
        <v>12-Jun-2024</v>
      </c>
      <c r="P139" t="str">
        <f t="shared" si="32"/>
        <v>Arjun Khan-Smartwatch</v>
      </c>
    </row>
    <row r="140" spans="1:16" x14ac:dyDescent="0.4">
      <c r="A140" s="2" t="s">
        <v>1942</v>
      </c>
      <c r="B140" s="2" t="s">
        <v>153</v>
      </c>
      <c r="C140" s="2" t="s">
        <v>1809</v>
      </c>
      <c r="D140" s="3">
        <v>45604</v>
      </c>
      <c r="E140" s="2" t="s">
        <v>1810</v>
      </c>
      <c r="F140" t="str">
        <f t="shared" si="22"/>
        <v>yes</v>
      </c>
      <c r="G140">
        <f t="shared" si="23"/>
        <v>70</v>
      </c>
      <c r="H140" t="str">
        <f t="shared" si="24"/>
        <v>Customer support was helpful.</v>
      </c>
      <c r="I140" t="str">
        <f t="shared" si="25"/>
        <v>Customer support was helpful.</v>
      </c>
      <c r="J140">
        <f t="shared" si="26"/>
        <v>29</v>
      </c>
      <c r="K140" t="str">
        <f t="shared" si="27"/>
        <v>Customer s</v>
      </c>
      <c r="L140">
        <f t="shared" si="28"/>
        <v>11</v>
      </c>
      <c r="M140">
        <f t="shared" ca="1" si="29"/>
        <v>714</v>
      </c>
      <c r="N140" t="str">
        <f t="shared" si="30"/>
        <v>WEEKDAY</v>
      </c>
      <c r="O140" t="str">
        <f t="shared" si="31"/>
        <v>08-Nov-2024</v>
      </c>
      <c r="P140" t="str">
        <f t="shared" si="32"/>
        <v>Kabir Patel-Tablet</v>
      </c>
    </row>
    <row r="141" spans="1:16" x14ac:dyDescent="0.4">
      <c r="A141" s="2" t="s">
        <v>1943</v>
      </c>
      <c r="B141" s="2" t="s">
        <v>153</v>
      </c>
      <c r="C141" s="2" t="s">
        <v>1809</v>
      </c>
      <c r="D141" s="3">
        <v>45478</v>
      </c>
      <c r="E141" s="2" t="s">
        <v>1797</v>
      </c>
      <c r="F141" t="str">
        <f t="shared" si="22"/>
        <v>yes</v>
      </c>
      <c r="G141">
        <f t="shared" si="23"/>
        <v>70</v>
      </c>
      <c r="H141" t="str">
        <f t="shared" si="24"/>
        <v>Customer support was helpful.</v>
      </c>
      <c r="I141" t="str">
        <f t="shared" si="25"/>
        <v>Customer support was helpful.</v>
      </c>
      <c r="J141">
        <f t="shared" si="26"/>
        <v>29</v>
      </c>
      <c r="K141" t="str">
        <f t="shared" si="27"/>
        <v>Customer s</v>
      </c>
      <c r="L141">
        <f t="shared" si="28"/>
        <v>7</v>
      </c>
      <c r="M141">
        <f t="shared" ca="1" si="29"/>
        <v>840</v>
      </c>
      <c r="N141" t="str">
        <f t="shared" si="30"/>
        <v>WEEKDAY</v>
      </c>
      <c r="O141" t="str">
        <f t="shared" si="31"/>
        <v>05-Jul-2024</v>
      </c>
      <c r="P141" t="str">
        <f t="shared" si="32"/>
        <v>Kabir Patel-Mobile</v>
      </c>
    </row>
    <row r="142" spans="1:16" x14ac:dyDescent="0.4">
      <c r="A142" s="2" t="s">
        <v>1944</v>
      </c>
      <c r="B142" s="2" t="s">
        <v>359</v>
      </c>
      <c r="C142" s="2" t="s">
        <v>1793</v>
      </c>
      <c r="D142" s="3">
        <v>45468</v>
      </c>
      <c r="E142" s="2" t="s">
        <v>1803</v>
      </c>
      <c r="F142" t="str">
        <f t="shared" si="22"/>
        <v>yes</v>
      </c>
      <c r="G142">
        <f t="shared" si="23"/>
        <v>70</v>
      </c>
      <c r="H142" t="str">
        <f t="shared" si="24"/>
        <v>Received damaged item, requested replacement.</v>
      </c>
      <c r="I142" t="str">
        <f t="shared" si="25"/>
        <v>Received damaged item, requested replacement.</v>
      </c>
      <c r="J142">
        <f t="shared" si="26"/>
        <v>45</v>
      </c>
      <c r="K142" t="str">
        <f t="shared" si="27"/>
        <v>Received d</v>
      </c>
      <c r="L142">
        <f t="shared" si="28"/>
        <v>6</v>
      </c>
      <c r="M142">
        <f t="shared" ca="1" si="29"/>
        <v>850</v>
      </c>
      <c r="N142" t="str">
        <f t="shared" si="30"/>
        <v>WEEKDAY</v>
      </c>
      <c r="O142" t="str">
        <f t="shared" si="31"/>
        <v>25-Jun-2024</v>
      </c>
      <c r="P142" t="str">
        <f t="shared" si="32"/>
        <v>Arjun Nair-Laptop</v>
      </c>
    </row>
    <row r="143" spans="1:16" x14ac:dyDescent="0.4">
      <c r="A143" s="2" t="s">
        <v>1945</v>
      </c>
      <c r="B143" s="2" t="s">
        <v>195</v>
      </c>
      <c r="C143" s="2" t="s">
        <v>1815</v>
      </c>
      <c r="D143" s="3">
        <v>45299</v>
      </c>
      <c r="E143" s="2" t="s">
        <v>1810</v>
      </c>
      <c r="F143" t="str">
        <f t="shared" si="22"/>
        <v>yes</v>
      </c>
      <c r="G143">
        <f t="shared" si="23"/>
        <v>70</v>
      </c>
      <c r="H143" t="str">
        <f t="shared" si="24"/>
        <v>Great value for money!</v>
      </c>
      <c r="I143" t="str">
        <f t="shared" si="25"/>
        <v>Great value for money!</v>
      </c>
      <c r="J143">
        <f t="shared" si="26"/>
        <v>22</v>
      </c>
      <c r="K143" t="str">
        <f t="shared" si="27"/>
        <v>Great valu</v>
      </c>
      <c r="L143">
        <f t="shared" si="28"/>
        <v>1</v>
      </c>
      <c r="M143">
        <f t="shared" ca="1" si="29"/>
        <v>1019</v>
      </c>
      <c r="N143" t="str">
        <f t="shared" si="30"/>
        <v>WEEKDAY</v>
      </c>
      <c r="O143" t="str">
        <f t="shared" si="31"/>
        <v>08-Jan-2024</v>
      </c>
      <c r="P143" t="str">
        <f t="shared" si="32"/>
        <v>Ananya Das-Tablet</v>
      </c>
    </row>
    <row r="144" spans="1:16" x14ac:dyDescent="0.4">
      <c r="A144" s="2" t="s">
        <v>1946</v>
      </c>
      <c r="B144" s="2" t="s">
        <v>9</v>
      </c>
      <c r="C144" s="2" t="s">
        <v>1809</v>
      </c>
      <c r="D144" s="3">
        <v>45590</v>
      </c>
      <c r="E144" s="2" t="s">
        <v>1810</v>
      </c>
      <c r="F144" t="str">
        <f t="shared" si="22"/>
        <v>yes</v>
      </c>
      <c r="G144">
        <f t="shared" si="23"/>
        <v>70</v>
      </c>
      <c r="H144" t="str">
        <f t="shared" si="24"/>
        <v>Customer support was helpful.</v>
      </c>
      <c r="I144" t="str">
        <f t="shared" si="25"/>
        <v>Customer support was helpful.</v>
      </c>
      <c r="J144">
        <f t="shared" si="26"/>
        <v>29</v>
      </c>
      <c r="K144" t="str">
        <f t="shared" si="27"/>
        <v>Customer s</v>
      </c>
      <c r="L144">
        <f t="shared" si="28"/>
        <v>10</v>
      </c>
      <c r="M144">
        <f t="shared" ca="1" si="29"/>
        <v>728</v>
      </c>
      <c r="N144" t="str">
        <f t="shared" si="30"/>
        <v>WEEKDAY</v>
      </c>
      <c r="O144" t="str">
        <f t="shared" si="31"/>
        <v>25-Oct-2024</v>
      </c>
      <c r="P144" t="str">
        <f t="shared" si="32"/>
        <v>Meera Mehta-Tablet</v>
      </c>
    </row>
    <row r="145" spans="1:16" x14ac:dyDescent="0.4">
      <c r="A145" s="2" t="s">
        <v>1947</v>
      </c>
      <c r="B145" s="2" t="s">
        <v>113</v>
      </c>
      <c r="C145" s="2" t="s">
        <v>1799</v>
      </c>
      <c r="D145" s="3">
        <v>45298</v>
      </c>
      <c r="E145" s="2" t="s">
        <v>1794</v>
      </c>
      <c r="F145" t="str">
        <f t="shared" si="22"/>
        <v>yes</v>
      </c>
      <c r="G145">
        <f t="shared" si="23"/>
        <v>70</v>
      </c>
      <c r="H145" t="str">
        <f t="shared" si="24"/>
        <v>Not satisfied with the quality.</v>
      </c>
      <c r="I145" t="str">
        <f t="shared" si="25"/>
        <v>Not satisfied with the quality.</v>
      </c>
      <c r="J145">
        <f t="shared" si="26"/>
        <v>31</v>
      </c>
      <c r="K145" t="str">
        <f t="shared" si="27"/>
        <v>Not satisf</v>
      </c>
      <c r="L145">
        <f t="shared" si="28"/>
        <v>1</v>
      </c>
      <c r="M145">
        <f t="shared" ca="1" si="29"/>
        <v>1020</v>
      </c>
      <c r="N145" t="str">
        <f t="shared" si="30"/>
        <v>WEEKEND</v>
      </c>
      <c r="O145" t="str">
        <f t="shared" si="31"/>
        <v>07-Jan-2024</v>
      </c>
      <c r="P145" t="str">
        <f t="shared" si="32"/>
        <v>Diya Reddy-Smartwatch</v>
      </c>
    </row>
    <row r="146" spans="1:16" x14ac:dyDescent="0.4">
      <c r="A146" s="2" t="s">
        <v>1948</v>
      </c>
      <c r="B146" s="2" t="s">
        <v>66</v>
      </c>
      <c r="C146" s="2" t="s">
        <v>1799</v>
      </c>
      <c r="D146" s="3">
        <v>45580</v>
      </c>
      <c r="E146" s="2" t="s">
        <v>1800</v>
      </c>
      <c r="F146" t="str">
        <f t="shared" si="22"/>
        <v>yes</v>
      </c>
      <c r="G146">
        <f t="shared" si="23"/>
        <v>70</v>
      </c>
      <c r="H146" t="str">
        <f t="shared" si="24"/>
        <v>Not satisfied with the quality.</v>
      </c>
      <c r="I146" t="str">
        <f t="shared" si="25"/>
        <v>Not satisfied with the quality.</v>
      </c>
      <c r="J146">
        <f t="shared" si="26"/>
        <v>31</v>
      </c>
      <c r="K146" t="str">
        <f t="shared" si="27"/>
        <v>Not satisf</v>
      </c>
      <c r="L146">
        <f t="shared" si="28"/>
        <v>10</v>
      </c>
      <c r="M146">
        <f t="shared" ca="1" si="29"/>
        <v>738</v>
      </c>
      <c r="N146" t="str">
        <f t="shared" si="30"/>
        <v>WEEKDAY</v>
      </c>
      <c r="O146" t="str">
        <f t="shared" si="31"/>
        <v>15-Oct-2024</v>
      </c>
      <c r="P146" t="str">
        <f t="shared" si="32"/>
        <v>Aarav Khan-Camera</v>
      </c>
    </row>
    <row r="147" spans="1:16" x14ac:dyDescent="0.4">
      <c r="A147" s="2" t="s">
        <v>1949</v>
      </c>
      <c r="B147" s="2" t="s">
        <v>9</v>
      </c>
      <c r="C147" s="2" t="s">
        <v>1802</v>
      </c>
      <c r="D147" s="3">
        <v>45626</v>
      </c>
      <c r="E147" s="2" t="s">
        <v>1820</v>
      </c>
      <c r="F147" t="str">
        <f t="shared" si="22"/>
        <v>yes</v>
      </c>
      <c r="G147">
        <f t="shared" si="23"/>
        <v>70</v>
      </c>
      <c r="H147" t="str">
        <f t="shared" si="24"/>
        <v>Product was excellent and delivery was fast.</v>
      </c>
      <c r="I147" t="str">
        <f t="shared" si="25"/>
        <v>Product was excellent and delivery was fast.</v>
      </c>
      <c r="J147">
        <f t="shared" si="26"/>
        <v>44</v>
      </c>
      <c r="K147" t="str">
        <f t="shared" si="27"/>
        <v>Product wa</v>
      </c>
      <c r="L147">
        <f t="shared" si="28"/>
        <v>11</v>
      </c>
      <c r="M147">
        <f t="shared" ca="1" si="29"/>
        <v>692</v>
      </c>
      <c r="N147" t="str">
        <f t="shared" si="30"/>
        <v>WEEKEND</v>
      </c>
      <c r="O147" t="str">
        <f t="shared" si="31"/>
        <v>30-Nov-2024</v>
      </c>
      <c r="P147" t="str">
        <f t="shared" si="32"/>
        <v>Meera Mehta-Printer</v>
      </c>
    </row>
    <row r="148" spans="1:16" x14ac:dyDescent="0.4">
      <c r="A148" s="2" t="s">
        <v>1950</v>
      </c>
      <c r="B148" s="2" t="s">
        <v>181</v>
      </c>
      <c r="C148" s="2" t="s">
        <v>1799</v>
      </c>
      <c r="D148" s="3">
        <v>45374</v>
      </c>
      <c r="E148" s="2" t="s">
        <v>1810</v>
      </c>
      <c r="F148" t="str">
        <f t="shared" si="22"/>
        <v>yes</v>
      </c>
      <c r="G148">
        <f t="shared" si="23"/>
        <v>70</v>
      </c>
      <c r="H148" t="str">
        <f t="shared" si="24"/>
        <v>Not satisfied with the quality.</v>
      </c>
      <c r="I148" t="str">
        <f t="shared" si="25"/>
        <v>Not satisfied with the quality.</v>
      </c>
      <c r="J148">
        <f t="shared" si="26"/>
        <v>31</v>
      </c>
      <c r="K148" t="str">
        <f t="shared" si="27"/>
        <v>Not satisf</v>
      </c>
      <c r="L148">
        <f t="shared" si="28"/>
        <v>3</v>
      </c>
      <c r="M148">
        <f t="shared" ca="1" si="29"/>
        <v>944</v>
      </c>
      <c r="N148" t="str">
        <f t="shared" si="30"/>
        <v>WEEKEND</v>
      </c>
      <c r="O148" t="str">
        <f t="shared" si="31"/>
        <v>23-Mar-2024</v>
      </c>
      <c r="P148" t="str">
        <f t="shared" si="32"/>
        <v>Meera Patel-Tablet</v>
      </c>
    </row>
    <row r="149" spans="1:16" x14ac:dyDescent="0.4">
      <c r="A149" s="2" t="s">
        <v>1951</v>
      </c>
      <c r="B149" s="2" t="s">
        <v>561</v>
      </c>
      <c r="C149" s="2" t="s">
        <v>1815</v>
      </c>
      <c r="D149" s="3">
        <v>45342</v>
      </c>
      <c r="E149" s="2" t="s">
        <v>1800</v>
      </c>
      <c r="F149" t="str">
        <f t="shared" si="22"/>
        <v>yes</v>
      </c>
      <c r="G149">
        <f t="shared" si="23"/>
        <v>70</v>
      </c>
      <c r="H149" t="str">
        <f t="shared" si="24"/>
        <v>Great value for money!</v>
      </c>
      <c r="I149" t="str">
        <f t="shared" si="25"/>
        <v>Great value for money!</v>
      </c>
      <c r="J149">
        <f t="shared" si="26"/>
        <v>22</v>
      </c>
      <c r="K149" t="str">
        <f t="shared" si="27"/>
        <v>Great valu</v>
      </c>
      <c r="L149">
        <f t="shared" si="28"/>
        <v>2</v>
      </c>
      <c r="M149">
        <f t="shared" ca="1" si="29"/>
        <v>976</v>
      </c>
      <c r="N149" t="str">
        <f t="shared" si="30"/>
        <v>WEEKDAY</v>
      </c>
      <c r="O149" t="str">
        <f t="shared" si="31"/>
        <v>20-Feb-2024</v>
      </c>
      <c r="P149" t="str">
        <f t="shared" si="32"/>
        <v>Arjun Das-Camera</v>
      </c>
    </row>
    <row r="150" spans="1:16" x14ac:dyDescent="0.4">
      <c r="A150" s="2" t="s">
        <v>1952</v>
      </c>
      <c r="B150" s="2" t="s">
        <v>217</v>
      </c>
      <c r="C150" s="2" t="s">
        <v>1802</v>
      </c>
      <c r="D150" s="3">
        <v>45480</v>
      </c>
      <c r="E150" s="2" t="s">
        <v>1794</v>
      </c>
      <c r="F150" t="str">
        <f t="shared" si="22"/>
        <v>yes</v>
      </c>
      <c r="G150">
        <f t="shared" si="23"/>
        <v>70</v>
      </c>
      <c r="H150" t="str">
        <f t="shared" si="24"/>
        <v>Product was excellent and delivery was fast.</v>
      </c>
      <c r="I150" t="str">
        <f t="shared" si="25"/>
        <v>Product was excellent and delivery was fast.</v>
      </c>
      <c r="J150">
        <f t="shared" si="26"/>
        <v>44</v>
      </c>
      <c r="K150" t="str">
        <f t="shared" si="27"/>
        <v>Product wa</v>
      </c>
      <c r="L150">
        <f t="shared" si="28"/>
        <v>7</v>
      </c>
      <c r="M150">
        <f t="shared" ca="1" si="29"/>
        <v>838</v>
      </c>
      <c r="N150" t="str">
        <f t="shared" si="30"/>
        <v>WEEKEND</v>
      </c>
      <c r="O150" t="str">
        <f t="shared" si="31"/>
        <v>07-Jul-2024</v>
      </c>
      <c r="P150" t="str">
        <f t="shared" si="32"/>
        <v>Meera Gupta-Smartwatch</v>
      </c>
    </row>
    <row r="151" spans="1:16" x14ac:dyDescent="0.4">
      <c r="A151" s="2" t="s">
        <v>1953</v>
      </c>
      <c r="B151" s="2" t="s">
        <v>395</v>
      </c>
      <c r="C151" s="2" t="s">
        <v>1815</v>
      </c>
      <c r="D151" s="3">
        <v>45327</v>
      </c>
      <c r="E151" s="2" t="s">
        <v>1794</v>
      </c>
      <c r="F151" t="str">
        <f t="shared" si="22"/>
        <v>yes</v>
      </c>
      <c r="G151">
        <f t="shared" si="23"/>
        <v>70</v>
      </c>
      <c r="H151" t="str">
        <f t="shared" si="24"/>
        <v>Great value for money!</v>
      </c>
      <c r="I151" t="str">
        <f t="shared" si="25"/>
        <v>Great value for money!</v>
      </c>
      <c r="J151">
        <f t="shared" si="26"/>
        <v>22</v>
      </c>
      <c r="K151" t="str">
        <f t="shared" si="27"/>
        <v>Great valu</v>
      </c>
      <c r="L151">
        <f t="shared" si="28"/>
        <v>2</v>
      </c>
      <c r="M151">
        <f t="shared" ca="1" si="29"/>
        <v>991</v>
      </c>
      <c r="N151" t="str">
        <f t="shared" si="30"/>
        <v>WEEKDAY</v>
      </c>
      <c r="O151" t="str">
        <f t="shared" si="31"/>
        <v>05-Feb-2024</v>
      </c>
      <c r="P151" t="str">
        <f t="shared" si="32"/>
        <v>Riya Nair-Smartwatch</v>
      </c>
    </row>
    <row r="152" spans="1:16" x14ac:dyDescent="0.4">
      <c r="A152" s="2" t="s">
        <v>1954</v>
      </c>
      <c r="B152" s="2" t="s">
        <v>217</v>
      </c>
      <c r="C152" s="2" t="s">
        <v>1796</v>
      </c>
      <c r="D152" s="3">
        <v>45571</v>
      </c>
      <c r="E152" s="2" t="s">
        <v>1800</v>
      </c>
      <c r="F152" t="str">
        <f t="shared" si="22"/>
        <v>yes</v>
      </c>
      <c r="G152">
        <f t="shared" si="23"/>
        <v>70</v>
      </c>
      <c r="H152" t="str">
        <f t="shared" si="24"/>
        <v>Delivery was late but product is good.</v>
      </c>
      <c r="I152" t="str">
        <f t="shared" si="25"/>
        <v>Delivery was delayed but product is good.</v>
      </c>
      <c r="J152">
        <f t="shared" si="26"/>
        <v>41</v>
      </c>
      <c r="K152" t="str">
        <f t="shared" si="27"/>
        <v>Delivery w</v>
      </c>
      <c r="L152">
        <f t="shared" si="28"/>
        <v>10</v>
      </c>
      <c r="M152">
        <f t="shared" ca="1" si="29"/>
        <v>747</v>
      </c>
      <c r="N152" t="str">
        <f t="shared" si="30"/>
        <v>WEEKEND</v>
      </c>
      <c r="O152" t="str">
        <f t="shared" si="31"/>
        <v>06-Oct-2024</v>
      </c>
      <c r="P152" t="str">
        <f t="shared" si="32"/>
        <v>Meera Gupta-Camera</v>
      </c>
    </row>
    <row r="153" spans="1:16" x14ac:dyDescent="0.4">
      <c r="A153" s="2" t="s">
        <v>1955</v>
      </c>
      <c r="B153" s="2" t="s">
        <v>317</v>
      </c>
      <c r="C153" s="2" t="s">
        <v>1802</v>
      </c>
      <c r="D153" s="3">
        <v>45399</v>
      </c>
      <c r="E153" s="2" t="s">
        <v>1803</v>
      </c>
      <c r="F153" t="str">
        <f t="shared" si="22"/>
        <v>yes</v>
      </c>
      <c r="G153">
        <f t="shared" si="23"/>
        <v>70</v>
      </c>
      <c r="H153" t="str">
        <f t="shared" si="24"/>
        <v>Product was excellent and delivery was fast.</v>
      </c>
      <c r="I153" t="str">
        <f t="shared" si="25"/>
        <v>Product was excellent and delivery was fast.</v>
      </c>
      <c r="J153">
        <f t="shared" si="26"/>
        <v>44</v>
      </c>
      <c r="K153" t="str">
        <f t="shared" si="27"/>
        <v>Product wa</v>
      </c>
      <c r="L153">
        <f t="shared" si="28"/>
        <v>4</v>
      </c>
      <c r="M153">
        <f t="shared" ca="1" si="29"/>
        <v>919</v>
      </c>
      <c r="N153" t="str">
        <f t="shared" si="30"/>
        <v>WEEKDAY</v>
      </c>
      <c r="O153" t="str">
        <f t="shared" si="31"/>
        <v>17-Apr-2024</v>
      </c>
      <c r="P153" t="str">
        <f t="shared" si="32"/>
        <v>Aditya Reddy-Laptop</v>
      </c>
    </row>
    <row r="154" spans="1:16" x14ac:dyDescent="0.4">
      <c r="A154" s="2" t="s">
        <v>1956</v>
      </c>
      <c r="B154" s="2" t="s">
        <v>555</v>
      </c>
      <c r="C154" s="2" t="s">
        <v>1809</v>
      </c>
      <c r="D154" s="3">
        <v>45403</v>
      </c>
      <c r="E154" s="2" t="s">
        <v>1810</v>
      </c>
      <c r="F154" t="str">
        <f t="shared" si="22"/>
        <v>yes</v>
      </c>
      <c r="G154">
        <f t="shared" si="23"/>
        <v>70</v>
      </c>
      <c r="H154" t="str">
        <f t="shared" si="24"/>
        <v>Customer support was helpful.</v>
      </c>
      <c r="I154" t="str">
        <f t="shared" si="25"/>
        <v>Customer support was helpful.</v>
      </c>
      <c r="J154">
        <f t="shared" si="26"/>
        <v>29</v>
      </c>
      <c r="K154" t="str">
        <f t="shared" si="27"/>
        <v>Customer s</v>
      </c>
      <c r="L154">
        <f t="shared" si="28"/>
        <v>4</v>
      </c>
      <c r="M154">
        <f t="shared" ca="1" si="29"/>
        <v>915</v>
      </c>
      <c r="N154" t="str">
        <f t="shared" si="30"/>
        <v>WEEKEND</v>
      </c>
      <c r="O154" t="str">
        <f t="shared" si="31"/>
        <v>21-Apr-2024</v>
      </c>
      <c r="P154" t="str">
        <f t="shared" si="32"/>
        <v>Riya Joshi-Tablet</v>
      </c>
    </row>
    <row r="155" spans="1:16" x14ac:dyDescent="0.4">
      <c r="A155" s="2" t="s">
        <v>1957</v>
      </c>
      <c r="B155" s="2" t="s">
        <v>39</v>
      </c>
      <c r="C155" s="2" t="s">
        <v>1793</v>
      </c>
      <c r="D155" s="3">
        <v>45635</v>
      </c>
      <c r="E155" s="2" t="s">
        <v>1803</v>
      </c>
      <c r="F155" t="str">
        <f t="shared" si="22"/>
        <v>yes</v>
      </c>
      <c r="G155">
        <f t="shared" si="23"/>
        <v>70</v>
      </c>
      <c r="H155" t="str">
        <f t="shared" si="24"/>
        <v>Received damaged item, requested replacement.</v>
      </c>
      <c r="I155" t="str">
        <f t="shared" si="25"/>
        <v>Received damaged item, requested replacement.</v>
      </c>
      <c r="J155">
        <f t="shared" si="26"/>
        <v>45</v>
      </c>
      <c r="K155" t="str">
        <f t="shared" si="27"/>
        <v>Received d</v>
      </c>
      <c r="L155">
        <f t="shared" si="28"/>
        <v>12</v>
      </c>
      <c r="M155">
        <f t="shared" ca="1" si="29"/>
        <v>683</v>
      </c>
      <c r="N155" t="str">
        <f t="shared" si="30"/>
        <v>WEEKDAY</v>
      </c>
      <c r="O155" t="str">
        <f t="shared" si="31"/>
        <v>09-Dec-2024</v>
      </c>
      <c r="P155" t="str">
        <f t="shared" si="32"/>
        <v>Aarav Das-Laptop</v>
      </c>
    </row>
    <row r="156" spans="1:16" x14ac:dyDescent="0.4">
      <c r="A156" s="2" t="s">
        <v>1958</v>
      </c>
      <c r="B156" s="2" t="s">
        <v>279</v>
      </c>
      <c r="C156" s="2" t="s">
        <v>1815</v>
      </c>
      <c r="D156" s="3">
        <v>45321</v>
      </c>
      <c r="E156" s="2" t="s">
        <v>1803</v>
      </c>
      <c r="F156" t="str">
        <f t="shared" si="22"/>
        <v>yes</v>
      </c>
      <c r="G156">
        <f t="shared" si="23"/>
        <v>70</v>
      </c>
      <c r="H156" t="str">
        <f t="shared" si="24"/>
        <v>Great value for money!</v>
      </c>
      <c r="I156" t="str">
        <f t="shared" si="25"/>
        <v>Great value for money!</v>
      </c>
      <c r="J156">
        <f t="shared" si="26"/>
        <v>22</v>
      </c>
      <c r="K156" t="str">
        <f t="shared" si="27"/>
        <v>Great valu</v>
      </c>
      <c r="L156">
        <f t="shared" si="28"/>
        <v>1</v>
      </c>
      <c r="M156">
        <f t="shared" ca="1" si="29"/>
        <v>997</v>
      </c>
      <c r="N156" t="str">
        <f t="shared" si="30"/>
        <v>WEEKDAY</v>
      </c>
      <c r="O156" t="str">
        <f t="shared" si="31"/>
        <v>30-Jan-2024</v>
      </c>
      <c r="P156" t="str">
        <f t="shared" si="32"/>
        <v>Diya Patel-Laptop</v>
      </c>
    </row>
    <row r="157" spans="1:16" x14ac:dyDescent="0.4">
      <c r="A157" s="2" t="s">
        <v>1959</v>
      </c>
      <c r="B157" s="2" t="s">
        <v>621</v>
      </c>
      <c r="C157" s="2" t="s">
        <v>1809</v>
      </c>
      <c r="D157" s="3">
        <v>45391</v>
      </c>
      <c r="E157" s="2" t="s">
        <v>1810</v>
      </c>
      <c r="F157" t="str">
        <f t="shared" si="22"/>
        <v>yes</v>
      </c>
      <c r="G157">
        <f t="shared" si="23"/>
        <v>70</v>
      </c>
      <c r="H157" t="str">
        <f t="shared" si="24"/>
        <v>Customer support was helpful.</v>
      </c>
      <c r="I157" t="str">
        <f t="shared" si="25"/>
        <v>Customer support was helpful.</v>
      </c>
      <c r="J157">
        <f t="shared" si="26"/>
        <v>29</v>
      </c>
      <c r="K157" t="str">
        <f t="shared" si="27"/>
        <v>Customer s</v>
      </c>
      <c r="L157">
        <f t="shared" si="28"/>
        <v>4</v>
      </c>
      <c r="M157">
        <f t="shared" ca="1" si="29"/>
        <v>927</v>
      </c>
      <c r="N157" t="str">
        <f t="shared" si="30"/>
        <v>WEEKDAY</v>
      </c>
      <c r="O157" t="str">
        <f t="shared" si="31"/>
        <v>09-Apr-2024</v>
      </c>
      <c r="P157" t="str">
        <f t="shared" si="32"/>
        <v>Isha Khan-Tablet</v>
      </c>
    </row>
    <row r="158" spans="1:16" x14ac:dyDescent="0.4">
      <c r="A158" s="2" t="s">
        <v>1960</v>
      </c>
      <c r="B158" s="2" t="s">
        <v>141</v>
      </c>
      <c r="C158" s="2" t="s">
        <v>1793</v>
      </c>
      <c r="D158" s="3">
        <v>45634</v>
      </c>
      <c r="E158" s="2" t="s">
        <v>1797</v>
      </c>
      <c r="F158" t="str">
        <f t="shared" si="22"/>
        <v>yes</v>
      </c>
      <c r="G158">
        <f t="shared" si="23"/>
        <v>70</v>
      </c>
      <c r="H158" t="str">
        <f t="shared" si="24"/>
        <v>Received damaged item, requested replacement.</v>
      </c>
      <c r="I158" t="str">
        <f t="shared" si="25"/>
        <v>Received damaged item, requested replacement.</v>
      </c>
      <c r="J158">
        <f t="shared" si="26"/>
        <v>45</v>
      </c>
      <c r="K158" t="str">
        <f t="shared" si="27"/>
        <v>Received d</v>
      </c>
      <c r="L158">
        <f t="shared" si="28"/>
        <v>12</v>
      </c>
      <c r="M158">
        <f t="shared" ca="1" si="29"/>
        <v>684</v>
      </c>
      <c r="N158" t="str">
        <f t="shared" si="30"/>
        <v>WEEKEND</v>
      </c>
      <c r="O158" t="str">
        <f t="shared" si="31"/>
        <v>08-Dec-2024</v>
      </c>
      <c r="P158" t="str">
        <f t="shared" si="32"/>
        <v>Meera Das-Mobile</v>
      </c>
    </row>
    <row r="159" spans="1:16" x14ac:dyDescent="0.4">
      <c r="A159" s="2" t="s">
        <v>1961</v>
      </c>
      <c r="B159" s="2" t="s">
        <v>91</v>
      </c>
      <c r="C159" s="2" t="s">
        <v>1799</v>
      </c>
      <c r="D159" s="3">
        <v>45622</v>
      </c>
      <c r="E159" s="2" t="s">
        <v>1800</v>
      </c>
      <c r="F159" t="str">
        <f t="shared" si="22"/>
        <v>yes</v>
      </c>
      <c r="G159">
        <f t="shared" si="23"/>
        <v>70</v>
      </c>
      <c r="H159" t="str">
        <f t="shared" si="24"/>
        <v>Not satisfied with the quality.</v>
      </c>
      <c r="I159" t="str">
        <f t="shared" si="25"/>
        <v>Not satisfied with the quality.</v>
      </c>
      <c r="J159">
        <f t="shared" si="26"/>
        <v>31</v>
      </c>
      <c r="K159" t="str">
        <f t="shared" si="27"/>
        <v>Not satisf</v>
      </c>
      <c r="L159">
        <f t="shared" si="28"/>
        <v>11</v>
      </c>
      <c r="M159">
        <f t="shared" ca="1" si="29"/>
        <v>696</v>
      </c>
      <c r="N159" t="str">
        <f t="shared" si="30"/>
        <v>WEEKDAY</v>
      </c>
      <c r="O159" t="str">
        <f t="shared" si="31"/>
        <v>26-Nov-2024</v>
      </c>
      <c r="P159" t="str">
        <f t="shared" si="32"/>
        <v>Isha Mehta-Camera</v>
      </c>
    </row>
    <row r="160" spans="1:16" x14ac:dyDescent="0.4">
      <c r="A160" s="2" t="s">
        <v>1962</v>
      </c>
      <c r="B160" s="2" t="s">
        <v>177</v>
      </c>
      <c r="C160" s="2" t="s">
        <v>1799</v>
      </c>
      <c r="D160" s="3">
        <v>45300</v>
      </c>
      <c r="E160" s="2" t="s">
        <v>1820</v>
      </c>
      <c r="F160" t="str">
        <f t="shared" si="22"/>
        <v>yes</v>
      </c>
      <c r="G160">
        <f t="shared" si="23"/>
        <v>70</v>
      </c>
      <c r="H160" t="str">
        <f t="shared" si="24"/>
        <v>Not satisfied with the quality.</v>
      </c>
      <c r="I160" t="str">
        <f t="shared" si="25"/>
        <v>Not satisfied with the quality.</v>
      </c>
      <c r="J160">
        <f t="shared" si="26"/>
        <v>31</v>
      </c>
      <c r="K160" t="str">
        <f t="shared" si="27"/>
        <v>Not satisf</v>
      </c>
      <c r="L160">
        <f t="shared" si="28"/>
        <v>1</v>
      </c>
      <c r="M160">
        <f t="shared" ca="1" si="29"/>
        <v>1018</v>
      </c>
      <c r="N160" t="str">
        <f t="shared" si="30"/>
        <v>WEEKDAY</v>
      </c>
      <c r="O160" t="str">
        <f t="shared" si="31"/>
        <v>09-Jan-2024</v>
      </c>
      <c r="P160" t="str">
        <f t="shared" si="32"/>
        <v>Riya Gupta-Printer</v>
      </c>
    </row>
    <row r="161" spans="1:16" x14ac:dyDescent="0.4">
      <c r="A161" s="2" t="s">
        <v>1963</v>
      </c>
      <c r="B161" s="2" t="s">
        <v>345</v>
      </c>
      <c r="C161" s="2" t="s">
        <v>1802</v>
      </c>
      <c r="D161" s="3">
        <v>45479</v>
      </c>
      <c r="E161" s="2" t="s">
        <v>1810</v>
      </c>
      <c r="F161" t="str">
        <f t="shared" si="22"/>
        <v>yes</v>
      </c>
      <c r="G161">
        <f t="shared" si="23"/>
        <v>70</v>
      </c>
      <c r="H161" t="str">
        <f t="shared" si="24"/>
        <v>Product was excellent and delivery was fast.</v>
      </c>
      <c r="I161" t="str">
        <f t="shared" si="25"/>
        <v>Product was excellent and delivery was fast.</v>
      </c>
      <c r="J161">
        <f t="shared" si="26"/>
        <v>44</v>
      </c>
      <c r="K161" t="str">
        <f t="shared" si="27"/>
        <v>Product wa</v>
      </c>
      <c r="L161">
        <f t="shared" si="28"/>
        <v>7</v>
      </c>
      <c r="M161">
        <f t="shared" ca="1" si="29"/>
        <v>839</v>
      </c>
      <c r="N161" t="str">
        <f t="shared" si="30"/>
        <v>WEEKEND</v>
      </c>
      <c r="O161" t="str">
        <f t="shared" si="31"/>
        <v>06-Jul-2024</v>
      </c>
      <c r="P161" t="str">
        <f t="shared" si="32"/>
        <v>Isha Sharma-Tablet</v>
      </c>
    </row>
    <row r="162" spans="1:16" x14ac:dyDescent="0.4">
      <c r="A162" s="2" t="s">
        <v>1964</v>
      </c>
      <c r="B162" s="2" t="s">
        <v>411</v>
      </c>
      <c r="C162" s="2" t="s">
        <v>1793</v>
      </c>
      <c r="D162" s="3">
        <v>45409</v>
      </c>
      <c r="E162" s="2" t="s">
        <v>1800</v>
      </c>
      <c r="F162" t="str">
        <f t="shared" si="22"/>
        <v>yes</v>
      </c>
      <c r="G162">
        <f t="shared" si="23"/>
        <v>70</v>
      </c>
      <c r="H162" t="str">
        <f t="shared" si="24"/>
        <v>Received damaged item, requested replacement.</v>
      </c>
      <c r="I162" t="str">
        <f t="shared" si="25"/>
        <v>Received damaged item, requested replacement.</v>
      </c>
      <c r="J162">
        <f t="shared" si="26"/>
        <v>45</v>
      </c>
      <c r="K162" t="str">
        <f t="shared" si="27"/>
        <v>Received d</v>
      </c>
      <c r="L162">
        <f t="shared" si="28"/>
        <v>4</v>
      </c>
      <c r="M162">
        <f t="shared" ca="1" si="29"/>
        <v>909</v>
      </c>
      <c r="N162" t="str">
        <f t="shared" si="30"/>
        <v>WEEKEND</v>
      </c>
      <c r="O162" t="str">
        <f t="shared" si="31"/>
        <v>27-Apr-2024</v>
      </c>
      <c r="P162" t="str">
        <f t="shared" si="32"/>
        <v>Aarav Joshi-Camera</v>
      </c>
    </row>
    <row r="163" spans="1:16" x14ac:dyDescent="0.4">
      <c r="A163" s="2" t="s">
        <v>1965</v>
      </c>
      <c r="B163" s="2" t="s">
        <v>195</v>
      </c>
      <c r="C163" s="2" t="s">
        <v>1802</v>
      </c>
      <c r="D163" s="3">
        <v>45321</v>
      </c>
      <c r="E163" s="2" t="s">
        <v>1797</v>
      </c>
      <c r="F163" t="str">
        <f t="shared" si="22"/>
        <v>yes</v>
      </c>
      <c r="G163">
        <f t="shared" si="23"/>
        <v>70</v>
      </c>
      <c r="H163" t="str">
        <f t="shared" si="24"/>
        <v>Product was excellent and delivery was fast.</v>
      </c>
      <c r="I163" t="str">
        <f t="shared" si="25"/>
        <v>Product was excellent and delivery was fast.</v>
      </c>
      <c r="J163">
        <f t="shared" si="26"/>
        <v>44</v>
      </c>
      <c r="K163" t="str">
        <f t="shared" si="27"/>
        <v>Product wa</v>
      </c>
      <c r="L163">
        <f t="shared" si="28"/>
        <v>1</v>
      </c>
      <c r="M163">
        <f t="shared" ca="1" si="29"/>
        <v>997</v>
      </c>
      <c r="N163" t="str">
        <f t="shared" si="30"/>
        <v>WEEKDAY</v>
      </c>
      <c r="O163" t="str">
        <f t="shared" si="31"/>
        <v>30-Jan-2024</v>
      </c>
      <c r="P163" t="str">
        <f t="shared" si="32"/>
        <v>Ananya Das-Mobile</v>
      </c>
    </row>
    <row r="164" spans="1:16" x14ac:dyDescent="0.4">
      <c r="A164" s="2" t="s">
        <v>1966</v>
      </c>
      <c r="B164" s="2" t="s">
        <v>99</v>
      </c>
      <c r="C164" s="2" t="s">
        <v>1809</v>
      </c>
      <c r="D164" s="3">
        <v>45481</v>
      </c>
      <c r="E164" s="2" t="s">
        <v>1797</v>
      </c>
      <c r="F164" t="str">
        <f t="shared" si="22"/>
        <v>yes</v>
      </c>
      <c r="G164">
        <f t="shared" si="23"/>
        <v>70</v>
      </c>
      <c r="H164" t="str">
        <f t="shared" si="24"/>
        <v>Customer support was helpful.</v>
      </c>
      <c r="I164" t="str">
        <f t="shared" si="25"/>
        <v>Customer support was helpful.</v>
      </c>
      <c r="J164">
        <f t="shared" si="26"/>
        <v>29</v>
      </c>
      <c r="K164" t="str">
        <f t="shared" si="27"/>
        <v>Customer s</v>
      </c>
      <c r="L164">
        <f t="shared" si="28"/>
        <v>7</v>
      </c>
      <c r="M164">
        <f t="shared" ca="1" si="29"/>
        <v>837</v>
      </c>
      <c r="N164" t="str">
        <f t="shared" si="30"/>
        <v>WEEKDAY</v>
      </c>
      <c r="O164" t="str">
        <f t="shared" si="31"/>
        <v>08-Jul-2024</v>
      </c>
      <c r="P164" t="str">
        <f t="shared" si="32"/>
        <v>Diya Singh-Mobile</v>
      </c>
    </row>
    <row r="165" spans="1:16" x14ac:dyDescent="0.4">
      <c r="A165" s="2" t="s">
        <v>1967</v>
      </c>
      <c r="B165" s="2" t="s">
        <v>70</v>
      </c>
      <c r="C165" s="2" t="s">
        <v>1799</v>
      </c>
      <c r="D165" s="3">
        <v>45458</v>
      </c>
      <c r="E165" s="2" t="s">
        <v>1800</v>
      </c>
      <c r="F165" t="str">
        <f t="shared" si="22"/>
        <v>yes</v>
      </c>
      <c r="G165">
        <f t="shared" si="23"/>
        <v>70</v>
      </c>
      <c r="H165" t="str">
        <f t="shared" si="24"/>
        <v>Not satisfied with the quality.</v>
      </c>
      <c r="I165" t="str">
        <f t="shared" si="25"/>
        <v>Not satisfied with the quality.</v>
      </c>
      <c r="J165">
        <f t="shared" si="26"/>
        <v>31</v>
      </c>
      <c r="K165" t="str">
        <f t="shared" si="27"/>
        <v>Not satisf</v>
      </c>
      <c r="L165">
        <f t="shared" si="28"/>
        <v>6</v>
      </c>
      <c r="M165">
        <f t="shared" ca="1" si="29"/>
        <v>860</v>
      </c>
      <c r="N165" t="str">
        <f t="shared" si="30"/>
        <v>WEEKEND</v>
      </c>
      <c r="O165" t="str">
        <f t="shared" si="31"/>
        <v>15-Jun-2024</v>
      </c>
      <c r="P165" t="str">
        <f t="shared" si="32"/>
        <v>Vivaan Khan-Camera</v>
      </c>
    </row>
    <row r="166" spans="1:16" x14ac:dyDescent="0.4">
      <c r="A166" s="2" t="s">
        <v>1968</v>
      </c>
      <c r="B166" s="2" t="s">
        <v>651</v>
      </c>
      <c r="C166" s="2" t="s">
        <v>1802</v>
      </c>
      <c r="D166" s="3">
        <v>45565</v>
      </c>
      <c r="E166" s="2" t="s">
        <v>1794</v>
      </c>
      <c r="F166" t="str">
        <f t="shared" si="22"/>
        <v>yes</v>
      </c>
      <c r="G166">
        <f t="shared" si="23"/>
        <v>70</v>
      </c>
      <c r="H166" t="str">
        <f t="shared" si="24"/>
        <v>Product was excellent and delivery was fast.</v>
      </c>
      <c r="I166" t="str">
        <f t="shared" si="25"/>
        <v>Product was excellent and delivery was fast.</v>
      </c>
      <c r="J166">
        <f t="shared" si="26"/>
        <v>44</v>
      </c>
      <c r="K166" t="str">
        <f t="shared" si="27"/>
        <v>Product wa</v>
      </c>
      <c r="L166">
        <f t="shared" si="28"/>
        <v>9</v>
      </c>
      <c r="M166">
        <f t="shared" ca="1" si="29"/>
        <v>753</v>
      </c>
      <c r="N166" t="str">
        <f t="shared" si="30"/>
        <v>WEEKDAY</v>
      </c>
      <c r="O166" t="str">
        <f t="shared" si="31"/>
        <v>30-Sep-2024</v>
      </c>
      <c r="P166" t="str">
        <f t="shared" si="32"/>
        <v>Aarav Nair-Smartwatch</v>
      </c>
    </row>
    <row r="167" spans="1:16" x14ac:dyDescent="0.4">
      <c r="A167" s="2" t="s">
        <v>1969</v>
      </c>
      <c r="B167" s="2" t="s">
        <v>317</v>
      </c>
      <c r="C167" s="2" t="s">
        <v>1809</v>
      </c>
      <c r="D167" s="3">
        <v>45337</v>
      </c>
      <c r="E167" s="2" t="s">
        <v>1803</v>
      </c>
      <c r="F167" t="str">
        <f t="shared" si="22"/>
        <v>yes</v>
      </c>
      <c r="G167">
        <f t="shared" si="23"/>
        <v>70</v>
      </c>
      <c r="H167" t="str">
        <f t="shared" si="24"/>
        <v>Customer support was helpful.</v>
      </c>
      <c r="I167" t="str">
        <f t="shared" si="25"/>
        <v>Customer support was helpful.</v>
      </c>
      <c r="J167">
        <f t="shared" si="26"/>
        <v>29</v>
      </c>
      <c r="K167" t="str">
        <f t="shared" si="27"/>
        <v>Customer s</v>
      </c>
      <c r="L167">
        <f t="shared" si="28"/>
        <v>2</v>
      </c>
      <c r="M167">
        <f t="shared" ca="1" si="29"/>
        <v>981</v>
      </c>
      <c r="N167" t="str">
        <f t="shared" si="30"/>
        <v>WEEKDAY</v>
      </c>
      <c r="O167" t="str">
        <f t="shared" si="31"/>
        <v>15-Feb-2024</v>
      </c>
      <c r="P167" t="str">
        <f t="shared" si="32"/>
        <v>Aditya Reddy-Laptop</v>
      </c>
    </row>
    <row r="168" spans="1:16" x14ac:dyDescent="0.4">
      <c r="A168" s="2" t="s">
        <v>1970</v>
      </c>
      <c r="B168" s="2" t="s">
        <v>279</v>
      </c>
      <c r="C168" s="2" t="s">
        <v>1802</v>
      </c>
      <c r="D168" s="3">
        <v>45575</v>
      </c>
      <c r="E168" s="2" t="s">
        <v>1803</v>
      </c>
      <c r="F168" t="str">
        <f t="shared" si="22"/>
        <v>yes</v>
      </c>
      <c r="G168">
        <f t="shared" si="23"/>
        <v>70</v>
      </c>
      <c r="H168" t="str">
        <f t="shared" si="24"/>
        <v>Product was excellent and delivery was fast.</v>
      </c>
      <c r="I168" t="str">
        <f t="shared" si="25"/>
        <v>Product was excellent and delivery was fast.</v>
      </c>
      <c r="J168">
        <f t="shared" si="26"/>
        <v>44</v>
      </c>
      <c r="K168" t="str">
        <f t="shared" si="27"/>
        <v>Product wa</v>
      </c>
      <c r="L168">
        <f t="shared" si="28"/>
        <v>10</v>
      </c>
      <c r="M168">
        <f t="shared" ca="1" si="29"/>
        <v>743</v>
      </c>
      <c r="N168" t="str">
        <f t="shared" si="30"/>
        <v>WEEKDAY</v>
      </c>
      <c r="O168" t="str">
        <f t="shared" si="31"/>
        <v>10-Oct-2024</v>
      </c>
      <c r="P168" t="str">
        <f t="shared" si="32"/>
        <v>Diya Patel-Laptop</v>
      </c>
    </row>
    <row r="169" spans="1:16" x14ac:dyDescent="0.4">
      <c r="A169" s="2" t="s">
        <v>1971</v>
      </c>
      <c r="B169" s="2" t="s">
        <v>99</v>
      </c>
      <c r="C169" s="2" t="s">
        <v>1793</v>
      </c>
      <c r="D169" s="3">
        <v>45457</v>
      </c>
      <c r="E169" s="2" t="s">
        <v>1810</v>
      </c>
      <c r="F169" t="str">
        <f t="shared" si="22"/>
        <v>yes</v>
      </c>
      <c r="G169">
        <f t="shared" si="23"/>
        <v>70</v>
      </c>
      <c r="H169" t="str">
        <f t="shared" si="24"/>
        <v>Received damaged item, requested replacement.</v>
      </c>
      <c r="I169" t="str">
        <f t="shared" si="25"/>
        <v>Received damaged item, requested replacement.</v>
      </c>
      <c r="J169">
        <f t="shared" si="26"/>
        <v>45</v>
      </c>
      <c r="K169" t="str">
        <f t="shared" si="27"/>
        <v>Received d</v>
      </c>
      <c r="L169">
        <f t="shared" si="28"/>
        <v>6</v>
      </c>
      <c r="M169">
        <f t="shared" ca="1" si="29"/>
        <v>861</v>
      </c>
      <c r="N169" t="str">
        <f t="shared" si="30"/>
        <v>WEEKDAY</v>
      </c>
      <c r="O169" t="str">
        <f t="shared" si="31"/>
        <v>14-Jun-2024</v>
      </c>
      <c r="P169" t="str">
        <f t="shared" si="32"/>
        <v>Diya Singh-Tablet</v>
      </c>
    </row>
    <row r="170" spans="1:16" x14ac:dyDescent="0.4">
      <c r="A170" s="2" t="s">
        <v>1972</v>
      </c>
      <c r="B170" s="2" t="s">
        <v>449</v>
      </c>
      <c r="C170" s="2" t="s">
        <v>1809</v>
      </c>
      <c r="D170" s="3">
        <v>45324</v>
      </c>
      <c r="E170" s="2" t="s">
        <v>1803</v>
      </c>
      <c r="F170" t="str">
        <f t="shared" si="22"/>
        <v>yes</v>
      </c>
      <c r="G170">
        <f t="shared" si="23"/>
        <v>70</v>
      </c>
      <c r="H170" t="str">
        <f t="shared" si="24"/>
        <v>Customer support was helpful.</v>
      </c>
      <c r="I170" t="str">
        <f t="shared" si="25"/>
        <v>Customer support was helpful.</v>
      </c>
      <c r="J170">
        <f t="shared" si="26"/>
        <v>29</v>
      </c>
      <c r="K170" t="str">
        <f t="shared" si="27"/>
        <v>Customer s</v>
      </c>
      <c r="L170">
        <f t="shared" si="28"/>
        <v>2</v>
      </c>
      <c r="M170">
        <f t="shared" ca="1" si="29"/>
        <v>994</v>
      </c>
      <c r="N170" t="str">
        <f t="shared" si="30"/>
        <v>WEEKDAY</v>
      </c>
      <c r="O170" t="str">
        <f t="shared" si="31"/>
        <v>02-Feb-2024</v>
      </c>
      <c r="P170" t="str">
        <f t="shared" si="32"/>
        <v>Arjun Singh-Laptop</v>
      </c>
    </row>
    <row r="171" spans="1:16" x14ac:dyDescent="0.4">
      <c r="A171" s="2" t="s">
        <v>1973</v>
      </c>
      <c r="B171" s="2" t="s">
        <v>271</v>
      </c>
      <c r="C171" s="2" t="s">
        <v>1815</v>
      </c>
      <c r="D171" s="3">
        <v>45320</v>
      </c>
      <c r="E171" s="2" t="s">
        <v>1800</v>
      </c>
      <c r="F171" t="str">
        <f t="shared" si="22"/>
        <v>yes</v>
      </c>
      <c r="G171">
        <f t="shared" si="23"/>
        <v>70</v>
      </c>
      <c r="H171" t="str">
        <f t="shared" si="24"/>
        <v>Great value for money!</v>
      </c>
      <c r="I171" t="str">
        <f t="shared" si="25"/>
        <v>Great value for money!</v>
      </c>
      <c r="J171">
        <f t="shared" si="26"/>
        <v>22</v>
      </c>
      <c r="K171" t="str">
        <f t="shared" si="27"/>
        <v>Great valu</v>
      </c>
      <c r="L171">
        <f t="shared" si="28"/>
        <v>1</v>
      </c>
      <c r="M171">
        <f t="shared" ca="1" si="29"/>
        <v>998</v>
      </c>
      <c r="N171" t="str">
        <f t="shared" si="30"/>
        <v>WEEKDAY</v>
      </c>
      <c r="O171" t="str">
        <f t="shared" si="31"/>
        <v>29-Jan-2024</v>
      </c>
      <c r="P171" t="str">
        <f t="shared" si="32"/>
        <v>Arjun Joshi-Camera</v>
      </c>
    </row>
    <row r="172" spans="1:16" x14ac:dyDescent="0.4">
      <c r="A172" s="2" t="s">
        <v>1974</v>
      </c>
      <c r="B172" s="2" t="s">
        <v>1087</v>
      </c>
      <c r="C172" s="2" t="s">
        <v>1796</v>
      </c>
      <c r="D172" s="3">
        <v>45399</v>
      </c>
      <c r="E172" s="2" t="s">
        <v>1803</v>
      </c>
      <c r="F172" t="str">
        <f t="shared" si="22"/>
        <v>yes</v>
      </c>
      <c r="G172">
        <f t="shared" si="23"/>
        <v>70</v>
      </c>
      <c r="H172" t="str">
        <f t="shared" si="24"/>
        <v>Delivery was late but product is good.</v>
      </c>
      <c r="I172" t="str">
        <f t="shared" si="25"/>
        <v>Delivery was delayed but product is good.</v>
      </c>
      <c r="J172">
        <f t="shared" si="26"/>
        <v>41</v>
      </c>
      <c r="K172" t="str">
        <f t="shared" si="27"/>
        <v>Delivery w</v>
      </c>
      <c r="L172">
        <f t="shared" si="28"/>
        <v>4</v>
      </c>
      <c r="M172">
        <f t="shared" ca="1" si="29"/>
        <v>919</v>
      </c>
      <c r="N172" t="str">
        <f t="shared" si="30"/>
        <v>WEEKDAY</v>
      </c>
      <c r="O172" t="str">
        <f t="shared" si="31"/>
        <v>17-Apr-2024</v>
      </c>
      <c r="P172" t="str">
        <f t="shared" si="32"/>
        <v>Vivaan Sharma-Laptop</v>
      </c>
    </row>
    <row r="173" spans="1:16" x14ac:dyDescent="0.4">
      <c r="A173" s="2" t="s">
        <v>1975</v>
      </c>
      <c r="B173" s="2" t="s">
        <v>473</v>
      </c>
      <c r="C173" s="2" t="s">
        <v>1799</v>
      </c>
      <c r="D173" s="3">
        <v>45451</v>
      </c>
      <c r="E173" s="2" t="s">
        <v>1803</v>
      </c>
      <c r="F173" t="str">
        <f t="shared" si="22"/>
        <v>yes</v>
      </c>
      <c r="G173">
        <f t="shared" si="23"/>
        <v>70</v>
      </c>
      <c r="H173" t="str">
        <f t="shared" si="24"/>
        <v>Not satisfied with the quality.</v>
      </c>
      <c r="I173" t="str">
        <f t="shared" si="25"/>
        <v>Not satisfied with the quality.</v>
      </c>
      <c r="J173">
        <f t="shared" si="26"/>
        <v>31</v>
      </c>
      <c r="K173" t="str">
        <f t="shared" si="27"/>
        <v>Not satisf</v>
      </c>
      <c r="L173">
        <f t="shared" si="28"/>
        <v>6</v>
      </c>
      <c r="M173">
        <f t="shared" ca="1" si="29"/>
        <v>867</v>
      </c>
      <c r="N173" t="str">
        <f t="shared" si="30"/>
        <v>WEEKEND</v>
      </c>
      <c r="O173" t="str">
        <f t="shared" si="31"/>
        <v>08-Jun-2024</v>
      </c>
      <c r="P173" t="str">
        <f t="shared" si="32"/>
        <v>Meera Khan-Laptop</v>
      </c>
    </row>
    <row r="174" spans="1:16" x14ac:dyDescent="0.4">
      <c r="A174" s="2" t="s">
        <v>1976</v>
      </c>
      <c r="B174" s="2" t="s">
        <v>885</v>
      </c>
      <c r="C174" s="2" t="s">
        <v>1809</v>
      </c>
      <c r="D174" s="3">
        <v>45598</v>
      </c>
      <c r="E174" s="2" t="s">
        <v>1810</v>
      </c>
      <c r="F174" t="str">
        <f t="shared" si="22"/>
        <v>yes</v>
      </c>
      <c r="G174">
        <f t="shared" si="23"/>
        <v>70</v>
      </c>
      <c r="H174" t="str">
        <f t="shared" si="24"/>
        <v>Customer support was helpful.</v>
      </c>
      <c r="I174" t="str">
        <f t="shared" si="25"/>
        <v>Customer support was helpful.</v>
      </c>
      <c r="J174">
        <f t="shared" si="26"/>
        <v>29</v>
      </c>
      <c r="K174" t="str">
        <f t="shared" si="27"/>
        <v>Customer s</v>
      </c>
      <c r="L174">
        <f t="shared" si="28"/>
        <v>11</v>
      </c>
      <c r="M174">
        <f t="shared" ca="1" si="29"/>
        <v>720</v>
      </c>
      <c r="N174" t="str">
        <f t="shared" si="30"/>
        <v>WEEKEND</v>
      </c>
      <c r="O174" t="str">
        <f t="shared" si="31"/>
        <v>02-Nov-2024</v>
      </c>
      <c r="P174" t="str">
        <f t="shared" si="32"/>
        <v>Vivaan Gupta-Tablet</v>
      </c>
    </row>
    <row r="175" spans="1:16" x14ac:dyDescent="0.4">
      <c r="A175" s="2" t="s">
        <v>1977</v>
      </c>
      <c r="B175" s="2" t="s">
        <v>299</v>
      </c>
      <c r="C175" s="2" t="s">
        <v>1796</v>
      </c>
      <c r="D175" s="3">
        <v>45487</v>
      </c>
      <c r="E175" s="2" t="s">
        <v>1800</v>
      </c>
      <c r="F175" t="str">
        <f t="shared" si="22"/>
        <v>yes</v>
      </c>
      <c r="G175">
        <f t="shared" si="23"/>
        <v>70</v>
      </c>
      <c r="H175" t="str">
        <f t="shared" si="24"/>
        <v>Delivery was late but product is good.</v>
      </c>
      <c r="I175" t="str">
        <f t="shared" si="25"/>
        <v>Delivery was delayed but product is good.</v>
      </c>
      <c r="J175">
        <f t="shared" si="26"/>
        <v>41</v>
      </c>
      <c r="K175" t="str">
        <f t="shared" si="27"/>
        <v>Delivery w</v>
      </c>
      <c r="L175">
        <f t="shared" si="28"/>
        <v>7</v>
      </c>
      <c r="M175">
        <f t="shared" ca="1" si="29"/>
        <v>831</v>
      </c>
      <c r="N175" t="str">
        <f t="shared" si="30"/>
        <v>WEEKEND</v>
      </c>
      <c r="O175" t="str">
        <f t="shared" si="31"/>
        <v>14-Jul-2024</v>
      </c>
      <c r="P175" t="str">
        <f t="shared" si="32"/>
        <v>Aditya Khan-Camera</v>
      </c>
    </row>
    <row r="176" spans="1:16" x14ac:dyDescent="0.4">
      <c r="A176" s="2" t="s">
        <v>1978</v>
      </c>
      <c r="B176" s="2" t="s">
        <v>57</v>
      </c>
      <c r="C176" s="2" t="s">
        <v>1809</v>
      </c>
      <c r="D176" s="3">
        <v>45423</v>
      </c>
      <c r="E176" s="2" t="s">
        <v>1803</v>
      </c>
      <c r="F176" t="str">
        <f t="shared" si="22"/>
        <v>yes</v>
      </c>
      <c r="G176">
        <f t="shared" si="23"/>
        <v>70</v>
      </c>
      <c r="H176" t="str">
        <f t="shared" si="24"/>
        <v>Customer support was helpful.</v>
      </c>
      <c r="I176" t="str">
        <f t="shared" si="25"/>
        <v>Customer support was helpful.</v>
      </c>
      <c r="J176">
        <f t="shared" si="26"/>
        <v>29</v>
      </c>
      <c r="K176" t="str">
        <f t="shared" si="27"/>
        <v>Customer s</v>
      </c>
      <c r="L176">
        <f t="shared" si="28"/>
        <v>5</v>
      </c>
      <c r="M176">
        <f t="shared" ca="1" si="29"/>
        <v>895</v>
      </c>
      <c r="N176" t="str">
        <f t="shared" si="30"/>
        <v>WEEKEND</v>
      </c>
      <c r="O176" t="str">
        <f t="shared" si="31"/>
        <v>11-May-2024</v>
      </c>
      <c r="P176" t="str">
        <f t="shared" si="32"/>
        <v>Diya Gupta-Laptop</v>
      </c>
    </row>
    <row r="177" spans="1:16" x14ac:dyDescent="0.4">
      <c r="A177" s="2" t="s">
        <v>1979</v>
      </c>
      <c r="B177" s="2" t="s">
        <v>199</v>
      </c>
      <c r="C177" s="2" t="s">
        <v>1802</v>
      </c>
      <c r="D177" s="3">
        <v>45622</v>
      </c>
      <c r="E177" s="2" t="s">
        <v>1820</v>
      </c>
      <c r="F177" t="str">
        <f t="shared" si="22"/>
        <v>yes</v>
      </c>
      <c r="G177">
        <f t="shared" si="23"/>
        <v>70</v>
      </c>
      <c r="H177" t="str">
        <f t="shared" si="24"/>
        <v>Product was excellent and delivery was fast.</v>
      </c>
      <c r="I177" t="str">
        <f t="shared" si="25"/>
        <v>Product was excellent and delivery was fast.</v>
      </c>
      <c r="J177">
        <f t="shared" si="26"/>
        <v>44</v>
      </c>
      <c r="K177" t="str">
        <f t="shared" si="27"/>
        <v>Product wa</v>
      </c>
      <c r="L177">
        <f t="shared" si="28"/>
        <v>11</v>
      </c>
      <c r="M177">
        <f t="shared" ca="1" si="29"/>
        <v>696</v>
      </c>
      <c r="N177" t="str">
        <f t="shared" si="30"/>
        <v>WEEKDAY</v>
      </c>
      <c r="O177" t="str">
        <f t="shared" si="31"/>
        <v>26-Nov-2024</v>
      </c>
      <c r="P177" t="str">
        <f t="shared" si="32"/>
        <v>Kabir Das-Printer</v>
      </c>
    </row>
    <row r="178" spans="1:16" x14ac:dyDescent="0.4">
      <c r="A178" s="2" t="s">
        <v>1980</v>
      </c>
      <c r="B178" s="2" t="s">
        <v>385</v>
      </c>
      <c r="C178" s="2" t="s">
        <v>1793</v>
      </c>
      <c r="D178" s="3">
        <v>45413</v>
      </c>
      <c r="E178" s="2" t="s">
        <v>1820</v>
      </c>
      <c r="F178" t="str">
        <f t="shared" si="22"/>
        <v>yes</v>
      </c>
      <c r="G178">
        <f t="shared" si="23"/>
        <v>70</v>
      </c>
      <c r="H178" t="str">
        <f t="shared" si="24"/>
        <v>Received damaged item, requested replacement.</v>
      </c>
      <c r="I178" t="str">
        <f t="shared" si="25"/>
        <v>Received damaged item, requested replacement.</v>
      </c>
      <c r="J178">
        <f t="shared" si="26"/>
        <v>45</v>
      </c>
      <c r="K178" t="str">
        <f t="shared" si="27"/>
        <v>Received d</v>
      </c>
      <c r="L178">
        <f t="shared" si="28"/>
        <v>5</v>
      </c>
      <c r="M178">
        <f t="shared" ca="1" si="29"/>
        <v>905</v>
      </c>
      <c r="N178" t="str">
        <f t="shared" si="30"/>
        <v>WEEKDAY</v>
      </c>
      <c r="O178" t="str">
        <f t="shared" si="31"/>
        <v>01-May-2024</v>
      </c>
      <c r="P178" t="str">
        <f t="shared" si="32"/>
        <v>Diya Nair-Printer</v>
      </c>
    </row>
    <row r="179" spans="1:16" x14ac:dyDescent="0.4">
      <c r="A179" s="2" t="s">
        <v>1981</v>
      </c>
      <c r="B179" s="2" t="s">
        <v>48</v>
      </c>
      <c r="C179" s="2" t="s">
        <v>1815</v>
      </c>
      <c r="D179" s="3">
        <v>45466</v>
      </c>
      <c r="E179" s="2" t="s">
        <v>1797</v>
      </c>
      <c r="F179" t="str">
        <f t="shared" si="22"/>
        <v>yes</v>
      </c>
      <c r="G179">
        <f t="shared" si="23"/>
        <v>70</v>
      </c>
      <c r="H179" t="str">
        <f t="shared" si="24"/>
        <v>Great value for money!</v>
      </c>
      <c r="I179" t="str">
        <f t="shared" si="25"/>
        <v>Great value for money!</v>
      </c>
      <c r="J179">
        <f t="shared" si="26"/>
        <v>22</v>
      </c>
      <c r="K179" t="str">
        <f t="shared" si="27"/>
        <v>Great valu</v>
      </c>
      <c r="L179">
        <f t="shared" si="28"/>
        <v>6</v>
      </c>
      <c r="M179">
        <f t="shared" ca="1" si="29"/>
        <v>852</v>
      </c>
      <c r="N179" t="str">
        <f t="shared" si="30"/>
        <v>WEEKEND</v>
      </c>
      <c r="O179" t="str">
        <f t="shared" si="31"/>
        <v>23-Jun-2024</v>
      </c>
      <c r="P179" t="str">
        <f t="shared" si="32"/>
        <v>Aditya Gupta-Mobile</v>
      </c>
    </row>
    <row r="180" spans="1:16" x14ac:dyDescent="0.4">
      <c r="A180" s="2" t="s">
        <v>1982</v>
      </c>
      <c r="B180" s="2" t="s">
        <v>567</v>
      </c>
      <c r="C180" s="2" t="s">
        <v>1799</v>
      </c>
      <c r="D180" s="3">
        <v>45384</v>
      </c>
      <c r="E180" s="2" t="s">
        <v>1810</v>
      </c>
      <c r="F180" t="str">
        <f t="shared" si="22"/>
        <v>yes</v>
      </c>
      <c r="G180">
        <f t="shared" si="23"/>
        <v>70</v>
      </c>
      <c r="H180" t="str">
        <f t="shared" si="24"/>
        <v>Not satisfied with the quality.</v>
      </c>
      <c r="I180" t="str">
        <f t="shared" si="25"/>
        <v>Not satisfied with the quality.</v>
      </c>
      <c r="J180">
        <f t="shared" si="26"/>
        <v>31</v>
      </c>
      <c r="K180" t="str">
        <f t="shared" si="27"/>
        <v>Not satisf</v>
      </c>
      <c r="L180">
        <f t="shared" si="28"/>
        <v>4</v>
      </c>
      <c r="M180">
        <f t="shared" ca="1" si="29"/>
        <v>934</v>
      </c>
      <c r="N180" t="str">
        <f t="shared" si="30"/>
        <v>WEEKDAY</v>
      </c>
      <c r="O180" t="str">
        <f t="shared" si="31"/>
        <v>02-Apr-2024</v>
      </c>
      <c r="P180" t="str">
        <f t="shared" si="32"/>
        <v>Arjun Patel-Tablet</v>
      </c>
    </row>
    <row r="181" spans="1:16" x14ac:dyDescent="0.4">
      <c r="A181" s="2" t="s">
        <v>1983</v>
      </c>
      <c r="B181" s="2" t="s">
        <v>133</v>
      </c>
      <c r="C181" s="2" t="s">
        <v>1802</v>
      </c>
      <c r="D181" s="3">
        <v>45483</v>
      </c>
      <c r="E181" s="2" t="s">
        <v>1810</v>
      </c>
      <c r="F181" t="str">
        <f t="shared" si="22"/>
        <v>yes</v>
      </c>
      <c r="G181">
        <f t="shared" si="23"/>
        <v>70</v>
      </c>
      <c r="H181" t="str">
        <f t="shared" si="24"/>
        <v>Product was excellent and delivery was fast.</v>
      </c>
      <c r="I181" t="str">
        <f t="shared" si="25"/>
        <v>Product was excellent and delivery was fast.</v>
      </c>
      <c r="J181">
        <f t="shared" si="26"/>
        <v>44</v>
      </c>
      <c r="K181" t="str">
        <f t="shared" si="27"/>
        <v>Product wa</v>
      </c>
      <c r="L181">
        <f t="shared" si="28"/>
        <v>7</v>
      </c>
      <c r="M181">
        <f t="shared" ca="1" si="29"/>
        <v>835</v>
      </c>
      <c r="N181" t="str">
        <f t="shared" si="30"/>
        <v>WEEKDAY</v>
      </c>
      <c r="O181" t="str">
        <f t="shared" si="31"/>
        <v>10-Jul-2024</v>
      </c>
      <c r="P181" t="str">
        <f t="shared" si="32"/>
        <v>Arjun Sharma-Tablet</v>
      </c>
    </row>
    <row r="182" spans="1:16" x14ac:dyDescent="0.4">
      <c r="A182" s="2" t="s">
        <v>1984</v>
      </c>
      <c r="B182" s="2" t="s">
        <v>141</v>
      </c>
      <c r="C182" s="2" t="s">
        <v>1793</v>
      </c>
      <c r="D182" s="3">
        <v>45502</v>
      </c>
      <c r="E182" s="2" t="s">
        <v>1800</v>
      </c>
      <c r="F182" t="str">
        <f t="shared" si="22"/>
        <v>yes</v>
      </c>
      <c r="G182">
        <f t="shared" si="23"/>
        <v>70</v>
      </c>
      <c r="H182" t="str">
        <f t="shared" si="24"/>
        <v>Received damaged item, requested replacement.</v>
      </c>
      <c r="I182" t="str">
        <f t="shared" si="25"/>
        <v>Received damaged item, requested replacement.</v>
      </c>
      <c r="J182">
        <f t="shared" si="26"/>
        <v>45</v>
      </c>
      <c r="K182" t="str">
        <f t="shared" si="27"/>
        <v>Received d</v>
      </c>
      <c r="L182">
        <f t="shared" si="28"/>
        <v>7</v>
      </c>
      <c r="M182">
        <f t="shared" ca="1" si="29"/>
        <v>816</v>
      </c>
      <c r="N182" t="str">
        <f t="shared" si="30"/>
        <v>WEEKDAY</v>
      </c>
      <c r="O182" t="str">
        <f t="shared" si="31"/>
        <v>29-Jul-2024</v>
      </c>
      <c r="P182" t="str">
        <f t="shared" si="32"/>
        <v>Meera Das-Camera</v>
      </c>
    </row>
    <row r="183" spans="1:16" x14ac:dyDescent="0.4">
      <c r="A183" s="2" t="s">
        <v>1985</v>
      </c>
      <c r="B183" s="2" t="s">
        <v>221</v>
      </c>
      <c r="C183" s="2" t="s">
        <v>1802</v>
      </c>
      <c r="D183" s="3">
        <v>45643</v>
      </c>
      <c r="E183" s="2" t="s">
        <v>1797</v>
      </c>
      <c r="F183" t="str">
        <f t="shared" si="22"/>
        <v>yes</v>
      </c>
      <c r="G183">
        <f t="shared" si="23"/>
        <v>70</v>
      </c>
      <c r="H183" t="str">
        <f t="shared" si="24"/>
        <v>Product was excellent and delivery was fast.</v>
      </c>
      <c r="I183" t="str">
        <f t="shared" si="25"/>
        <v>Product was excellent and delivery was fast.</v>
      </c>
      <c r="J183">
        <f t="shared" si="26"/>
        <v>44</v>
      </c>
      <c r="K183" t="str">
        <f t="shared" si="27"/>
        <v>Product wa</v>
      </c>
      <c r="L183">
        <f t="shared" si="28"/>
        <v>12</v>
      </c>
      <c r="M183">
        <f t="shared" ca="1" si="29"/>
        <v>675</v>
      </c>
      <c r="N183" t="str">
        <f t="shared" si="30"/>
        <v>WEEKDAY</v>
      </c>
      <c r="O183" t="str">
        <f t="shared" si="31"/>
        <v>17-Dec-2024</v>
      </c>
      <c r="P183" t="str">
        <f t="shared" si="32"/>
        <v>Isha Reddy-Mobile</v>
      </c>
    </row>
    <row r="184" spans="1:16" x14ac:dyDescent="0.4">
      <c r="A184" s="2" t="s">
        <v>1986</v>
      </c>
      <c r="B184" s="2" t="s">
        <v>121</v>
      </c>
      <c r="C184" s="2" t="s">
        <v>1809</v>
      </c>
      <c r="D184" s="3">
        <v>45449</v>
      </c>
      <c r="E184" s="2" t="s">
        <v>1794</v>
      </c>
      <c r="F184" t="str">
        <f t="shared" si="22"/>
        <v>yes</v>
      </c>
      <c r="G184">
        <f t="shared" si="23"/>
        <v>70</v>
      </c>
      <c r="H184" t="str">
        <f t="shared" si="24"/>
        <v>Customer support was helpful.</v>
      </c>
      <c r="I184" t="str">
        <f t="shared" si="25"/>
        <v>Customer support was helpful.</v>
      </c>
      <c r="J184">
        <f t="shared" si="26"/>
        <v>29</v>
      </c>
      <c r="K184" t="str">
        <f t="shared" si="27"/>
        <v>Customer s</v>
      </c>
      <c r="L184">
        <f t="shared" si="28"/>
        <v>6</v>
      </c>
      <c r="M184">
        <f t="shared" ca="1" si="29"/>
        <v>869</v>
      </c>
      <c r="N184" t="str">
        <f t="shared" si="30"/>
        <v>WEEKDAY</v>
      </c>
      <c r="O184" t="str">
        <f t="shared" si="31"/>
        <v>06-Jun-2024</v>
      </c>
      <c r="P184" t="str">
        <f t="shared" si="32"/>
        <v>Ananya Sharma-Smartwatch</v>
      </c>
    </row>
    <row r="185" spans="1:16" x14ac:dyDescent="0.4">
      <c r="A185" s="2" t="s">
        <v>1987</v>
      </c>
      <c r="B185" s="2" t="s">
        <v>23</v>
      </c>
      <c r="C185" s="2" t="s">
        <v>1799</v>
      </c>
      <c r="D185" s="3">
        <v>45405</v>
      </c>
      <c r="E185" s="2" t="s">
        <v>1810</v>
      </c>
      <c r="F185" t="str">
        <f t="shared" si="22"/>
        <v>yes</v>
      </c>
      <c r="G185">
        <f t="shared" si="23"/>
        <v>70</v>
      </c>
      <c r="H185" t="str">
        <f t="shared" si="24"/>
        <v>Not satisfied with the quality.</v>
      </c>
      <c r="I185" t="str">
        <f t="shared" si="25"/>
        <v>Not satisfied with the quality.</v>
      </c>
      <c r="J185">
        <f t="shared" si="26"/>
        <v>31</v>
      </c>
      <c r="K185" t="str">
        <f t="shared" si="27"/>
        <v>Not satisf</v>
      </c>
      <c r="L185">
        <f t="shared" si="28"/>
        <v>4</v>
      </c>
      <c r="M185">
        <f t="shared" ca="1" si="29"/>
        <v>913</v>
      </c>
      <c r="N185" t="str">
        <f t="shared" si="30"/>
        <v>WEEKDAY</v>
      </c>
      <c r="O185" t="str">
        <f t="shared" si="31"/>
        <v>23-Apr-2024</v>
      </c>
      <c r="P185" t="str">
        <f t="shared" si="32"/>
        <v>Vivaan Mehta-Tablet</v>
      </c>
    </row>
    <row r="186" spans="1:16" x14ac:dyDescent="0.4">
      <c r="A186" s="2" t="s">
        <v>1988</v>
      </c>
      <c r="B186" s="2" t="s">
        <v>279</v>
      </c>
      <c r="C186" s="2" t="s">
        <v>1802</v>
      </c>
      <c r="D186" s="3">
        <v>45438</v>
      </c>
      <c r="E186" s="2" t="s">
        <v>1800</v>
      </c>
      <c r="F186" t="str">
        <f t="shared" si="22"/>
        <v>yes</v>
      </c>
      <c r="G186">
        <f t="shared" si="23"/>
        <v>70</v>
      </c>
      <c r="H186" t="str">
        <f t="shared" si="24"/>
        <v>Product was excellent and delivery was fast.</v>
      </c>
      <c r="I186" t="str">
        <f t="shared" si="25"/>
        <v>Product was excellent and delivery was fast.</v>
      </c>
      <c r="J186">
        <f t="shared" si="26"/>
        <v>44</v>
      </c>
      <c r="K186" t="str">
        <f t="shared" si="27"/>
        <v>Product wa</v>
      </c>
      <c r="L186">
        <f t="shared" si="28"/>
        <v>5</v>
      </c>
      <c r="M186">
        <f t="shared" ca="1" si="29"/>
        <v>880</v>
      </c>
      <c r="N186" t="str">
        <f t="shared" si="30"/>
        <v>WEEKEND</v>
      </c>
      <c r="O186" t="str">
        <f t="shared" si="31"/>
        <v>26-May-2024</v>
      </c>
      <c r="P186" t="str">
        <f t="shared" si="32"/>
        <v>Diya Patel-Camera</v>
      </c>
    </row>
    <row r="187" spans="1:16" x14ac:dyDescent="0.4">
      <c r="A187" s="2" t="s">
        <v>1989</v>
      </c>
      <c r="B187" s="2" t="s">
        <v>677</v>
      </c>
      <c r="C187" s="2" t="s">
        <v>1796</v>
      </c>
      <c r="D187" s="3">
        <v>45397</v>
      </c>
      <c r="E187" s="2" t="s">
        <v>1794</v>
      </c>
      <c r="F187" t="str">
        <f t="shared" si="22"/>
        <v>yes</v>
      </c>
      <c r="G187">
        <f t="shared" si="23"/>
        <v>70</v>
      </c>
      <c r="H187" t="str">
        <f t="shared" si="24"/>
        <v>Delivery was late but product is good.</v>
      </c>
      <c r="I187" t="str">
        <f t="shared" si="25"/>
        <v>Delivery was delayed but product is good.</v>
      </c>
      <c r="J187">
        <f t="shared" si="26"/>
        <v>41</v>
      </c>
      <c r="K187" t="str">
        <f t="shared" si="27"/>
        <v>Delivery w</v>
      </c>
      <c r="L187">
        <f t="shared" si="28"/>
        <v>4</v>
      </c>
      <c r="M187">
        <f t="shared" ca="1" si="29"/>
        <v>921</v>
      </c>
      <c r="N187" t="str">
        <f t="shared" si="30"/>
        <v>WEEKDAY</v>
      </c>
      <c r="O187" t="str">
        <f t="shared" si="31"/>
        <v>15-Apr-2024</v>
      </c>
      <c r="P187" t="str">
        <f t="shared" si="32"/>
        <v>Arjun Khan-Smartwatch</v>
      </c>
    </row>
    <row r="188" spans="1:16" x14ac:dyDescent="0.4">
      <c r="A188" s="2" t="s">
        <v>1990</v>
      </c>
      <c r="B188" s="2" t="s">
        <v>117</v>
      </c>
      <c r="C188" s="2" t="s">
        <v>1802</v>
      </c>
      <c r="D188" s="3">
        <v>45611</v>
      </c>
      <c r="E188" s="2" t="s">
        <v>1797</v>
      </c>
      <c r="F188" t="str">
        <f t="shared" si="22"/>
        <v>yes</v>
      </c>
      <c r="G188">
        <f t="shared" si="23"/>
        <v>70</v>
      </c>
      <c r="H188" t="str">
        <f t="shared" si="24"/>
        <v>Product was excellent and delivery was fast.</v>
      </c>
      <c r="I188" t="str">
        <f t="shared" si="25"/>
        <v>Product was excellent and delivery was fast.</v>
      </c>
      <c r="J188">
        <f t="shared" si="26"/>
        <v>44</v>
      </c>
      <c r="K188" t="str">
        <f t="shared" si="27"/>
        <v>Product wa</v>
      </c>
      <c r="L188">
        <f t="shared" si="28"/>
        <v>11</v>
      </c>
      <c r="M188">
        <f t="shared" ca="1" si="29"/>
        <v>707</v>
      </c>
      <c r="N188" t="str">
        <f t="shared" si="30"/>
        <v>WEEKDAY</v>
      </c>
      <c r="O188" t="str">
        <f t="shared" si="31"/>
        <v>15-Nov-2024</v>
      </c>
      <c r="P188" t="str">
        <f t="shared" si="32"/>
        <v>Kabir Sharma-Mobile</v>
      </c>
    </row>
    <row r="189" spans="1:16" x14ac:dyDescent="0.4">
      <c r="A189" s="2" t="s">
        <v>1991</v>
      </c>
      <c r="B189" s="2" t="s">
        <v>30</v>
      </c>
      <c r="C189" s="2" t="s">
        <v>1809</v>
      </c>
      <c r="D189" s="3">
        <v>45384</v>
      </c>
      <c r="E189" s="2" t="s">
        <v>1820</v>
      </c>
      <c r="F189" t="str">
        <f t="shared" si="22"/>
        <v>yes</v>
      </c>
      <c r="G189">
        <f t="shared" si="23"/>
        <v>70</v>
      </c>
      <c r="H189" t="str">
        <f t="shared" si="24"/>
        <v>Customer support was helpful.</v>
      </c>
      <c r="I189" t="str">
        <f t="shared" si="25"/>
        <v>Customer support was helpful.</v>
      </c>
      <c r="J189">
        <f t="shared" si="26"/>
        <v>29</v>
      </c>
      <c r="K189" t="str">
        <f t="shared" si="27"/>
        <v>Customer s</v>
      </c>
      <c r="L189">
        <f t="shared" si="28"/>
        <v>4</v>
      </c>
      <c r="M189">
        <f t="shared" ca="1" si="29"/>
        <v>934</v>
      </c>
      <c r="N189" t="str">
        <f t="shared" si="30"/>
        <v>WEEKDAY</v>
      </c>
      <c r="O189" t="str">
        <f t="shared" si="31"/>
        <v>02-Apr-2024</v>
      </c>
      <c r="P189" t="str">
        <f t="shared" si="32"/>
        <v>Ananya Reddy-Printer</v>
      </c>
    </row>
    <row r="190" spans="1:16" x14ac:dyDescent="0.4">
      <c r="A190" s="2" t="s">
        <v>1992</v>
      </c>
      <c r="B190" s="2" t="s">
        <v>267</v>
      </c>
      <c r="C190" s="2" t="s">
        <v>1796</v>
      </c>
      <c r="D190" s="3">
        <v>45603</v>
      </c>
      <c r="E190" s="2" t="s">
        <v>1810</v>
      </c>
      <c r="F190" t="str">
        <f t="shared" si="22"/>
        <v>yes</v>
      </c>
      <c r="G190">
        <f t="shared" si="23"/>
        <v>70</v>
      </c>
      <c r="H190" t="str">
        <f t="shared" si="24"/>
        <v>Delivery was late but product is good.</v>
      </c>
      <c r="I190" t="str">
        <f t="shared" si="25"/>
        <v>Delivery was delayed but product is good.</v>
      </c>
      <c r="J190">
        <f t="shared" si="26"/>
        <v>41</v>
      </c>
      <c r="K190" t="str">
        <f t="shared" si="27"/>
        <v>Delivery w</v>
      </c>
      <c r="L190">
        <f t="shared" si="28"/>
        <v>11</v>
      </c>
      <c r="M190">
        <f t="shared" ca="1" si="29"/>
        <v>715</v>
      </c>
      <c r="N190" t="str">
        <f t="shared" si="30"/>
        <v>WEEKDAY</v>
      </c>
      <c r="O190" t="str">
        <f t="shared" si="31"/>
        <v>07-Nov-2024</v>
      </c>
      <c r="P190" t="str">
        <f t="shared" si="32"/>
        <v>Diya Mehta-Tablet</v>
      </c>
    </row>
    <row r="191" spans="1:16" x14ac:dyDescent="0.4">
      <c r="A191" s="2" t="s">
        <v>1993</v>
      </c>
      <c r="B191" s="2" t="s">
        <v>161</v>
      </c>
      <c r="C191" s="2" t="s">
        <v>1802</v>
      </c>
      <c r="D191" s="3">
        <v>45601</v>
      </c>
      <c r="E191" s="2" t="s">
        <v>1794</v>
      </c>
      <c r="F191" t="str">
        <f t="shared" si="22"/>
        <v>yes</v>
      </c>
      <c r="G191">
        <f t="shared" si="23"/>
        <v>70</v>
      </c>
      <c r="H191" t="str">
        <f t="shared" si="24"/>
        <v>Product was excellent and delivery was fast.</v>
      </c>
      <c r="I191" t="str">
        <f t="shared" si="25"/>
        <v>Product was excellent and delivery was fast.</v>
      </c>
      <c r="J191">
        <f t="shared" si="26"/>
        <v>44</v>
      </c>
      <c r="K191" t="str">
        <f t="shared" si="27"/>
        <v>Product wa</v>
      </c>
      <c r="L191">
        <f t="shared" si="28"/>
        <v>11</v>
      </c>
      <c r="M191">
        <f t="shared" ca="1" si="29"/>
        <v>717</v>
      </c>
      <c r="N191" t="str">
        <f t="shared" si="30"/>
        <v>WEEKDAY</v>
      </c>
      <c r="O191" t="str">
        <f t="shared" si="31"/>
        <v>05-Nov-2024</v>
      </c>
      <c r="P191" t="str">
        <f t="shared" si="32"/>
        <v>Riya Patel-Smartwatch</v>
      </c>
    </row>
    <row r="192" spans="1:16" x14ac:dyDescent="0.4">
      <c r="A192" s="2" t="s">
        <v>1994</v>
      </c>
      <c r="B192" s="2" t="s">
        <v>43</v>
      </c>
      <c r="C192" s="2" t="s">
        <v>1815</v>
      </c>
      <c r="D192" s="3">
        <v>45554</v>
      </c>
      <c r="E192" s="2" t="s">
        <v>1800</v>
      </c>
      <c r="F192" t="str">
        <f t="shared" si="22"/>
        <v>yes</v>
      </c>
      <c r="G192">
        <f t="shared" si="23"/>
        <v>70</v>
      </c>
      <c r="H192" t="str">
        <f t="shared" si="24"/>
        <v>Great value for money!</v>
      </c>
      <c r="I192" t="str">
        <f t="shared" si="25"/>
        <v>Great value for money!</v>
      </c>
      <c r="J192">
        <f t="shared" si="26"/>
        <v>22</v>
      </c>
      <c r="K192" t="str">
        <f t="shared" si="27"/>
        <v>Great valu</v>
      </c>
      <c r="L192">
        <f t="shared" si="28"/>
        <v>9</v>
      </c>
      <c r="M192">
        <f t="shared" ca="1" si="29"/>
        <v>764</v>
      </c>
      <c r="N192" t="str">
        <f t="shared" si="30"/>
        <v>WEEKDAY</v>
      </c>
      <c r="O192" t="str">
        <f t="shared" si="31"/>
        <v>19-Sep-2024</v>
      </c>
      <c r="P192" t="str">
        <f t="shared" si="32"/>
        <v>Ananya Mehta-Camera</v>
      </c>
    </row>
    <row r="193" spans="1:16" x14ac:dyDescent="0.4">
      <c r="A193" s="2" t="s">
        <v>1995</v>
      </c>
      <c r="B193" s="2" t="s">
        <v>665</v>
      </c>
      <c r="C193" s="2" t="s">
        <v>1802</v>
      </c>
      <c r="D193" s="3">
        <v>45374</v>
      </c>
      <c r="E193" s="2" t="s">
        <v>1820</v>
      </c>
      <c r="F193" t="str">
        <f t="shared" si="22"/>
        <v>yes</v>
      </c>
      <c r="G193">
        <f t="shared" si="23"/>
        <v>70</v>
      </c>
      <c r="H193" t="str">
        <f t="shared" si="24"/>
        <v>Product was excellent and delivery was fast.</v>
      </c>
      <c r="I193" t="str">
        <f t="shared" si="25"/>
        <v>Product was excellent and delivery was fast.</v>
      </c>
      <c r="J193">
        <f t="shared" si="26"/>
        <v>44</v>
      </c>
      <c r="K193" t="str">
        <f t="shared" si="27"/>
        <v>Product wa</v>
      </c>
      <c r="L193">
        <f t="shared" si="28"/>
        <v>3</v>
      </c>
      <c r="M193">
        <f t="shared" ca="1" si="29"/>
        <v>944</v>
      </c>
      <c r="N193" t="str">
        <f t="shared" si="30"/>
        <v>WEEKEND</v>
      </c>
      <c r="O193" t="str">
        <f t="shared" si="31"/>
        <v>23-Mar-2024</v>
      </c>
      <c r="P193" t="str">
        <f t="shared" si="32"/>
        <v>Isha Singh-Printer</v>
      </c>
    </row>
    <row r="194" spans="1:16" x14ac:dyDescent="0.4">
      <c r="A194" s="2" t="s">
        <v>1996</v>
      </c>
      <c r="B194" s="2" t="s">
        <v>107</v>
      </c>
      <c r="C194" s="2" t="s">
        <v>1809</v>
      </c>
      <c r="D194" s="3">
        <v>45540</v>
      </c>
      <c r="E194" s="2" t="s">
        <v>1810</v>
      </c>
      <c r="F194" t="str">
        <f t="shared" si="22"/>
        <v>yes</v>
      </c>
      <c r="G194">
        <f t="shared" si="23"/>
        <v>70</v>
      </c>
      <c r="H194" t="str">
        <f t="shared" si="24"/>
        <v>Customer support was helpful.</v>
      </c>
      <c r="I194" t="str">
        <f t="shared" si="25"/>
        <v>Customer support was helpful.</v>
      </c>
      <c r="J194">
        <f t="shared" si="26"/>
        <v>29</v>
      </c>
      <c r="K194" t="str">
        <f t="shared" si="27"/>
        <v>Customer s</v>
      </c>
      <c r="L194">
        <f t="shared" si="28"/>
        <v>9</v>
      </c>
      <c r="M194">
        <f t="shared" ca="1" si="29"/>
        <v>778</v>
      </c>
      <c r="N194" t="str">
        <f t="shared" si="30"/>
        <v>WEEKDAY</v>
      </c>
      <c r="O194" t="str">
        <f t="shared" si="31"/>
        <v>05-Sep-2024</v>
      </c>
      <c r="P194" t="str">
        <f t="shared" si="32"/>
        <v>Arjun Mehta-Tablet</v>
      </c>
    </row>
    <row r="195" spans="1:16" x14ac:dyDescent="0.4">
      <c r="A195" s="2" t="s">
        <v>1997</v>
      </c>
      <c r="B195" s="2" t="s">
        <v>251</v>
      </c>
      <c r="C195" s="2" t="s">
        <v>1809</v>
      </c>
      <c r="D195" s="3">
        <v>45565</v>
      </c>
      <c r="E195" s="2" t="s">
        <v>1810</v>
      </c>
      <c r="F195" t="str">
        <f t="shared" ref="F195:F258" si="33">IF(YEAR(D195)=2024,"yes","No")</f>
        <v>yes</v>
      </c>
      <c r="G195">
        <f t="shared" ref="G195:G258" si="34">COUNTIF($C$2:$C$501,"*good*")</f>
        <v>70</v>
      </c>
      <c r="H195" t="str">
        <f t="shared" ref="H195:H258" si="35">SUBSTITUTE(C195,"delayed","late")</f>
        <v>Customer support was helpful.</v>
      </c>
      <c r="I195" t="str">
        <f t="shared" ref="I195:I258" si="36">TRIM(C195)</f>
        <v>Customer support was helpful.</v>
      </c>
      <c r="J195">
        <f t="shared" ref="J195:J258" si="37">LEN(C195)</f>
        <v>29</v>
      </c>
      <c r="K195" t="str">
        <f t="shared" ref="K195:K258" si="38">LEFT(C195,10)</f>
        <v>Customer s</v>
      </c>
      <c r="L195">
        <f t="shared" ref="L195:L258" si="39">MONTH(D195)</f>
        <v>9</v>
      </c>
      <c r="M195">
        <f t="shared" ref="M195:M258" ca="1" si="40">DATEDIF(D195,TODAY(),"D")</f>
        <v>753</v>
      </c>
      <c r="N195" t="str">
        <f t="shared" ref="N195:N258" si="41">IF(WEEKDAY(D195,2)&gt;5,"WEEKEND","WEEKDAY")</f>
        <v>WEEKDAY</v>
      </c>
      <c r="O195" t="str">
        <f t="shared" ref="O195:O258" si="42">TEXT(D195,"DD-MMM-YYYY")</f>
        <v>30-Sep-2024</v>
      </c>
      <c r="P195" t="str">
        <f t="shared" ref="P195:P258" si="43">_xlfn.CONCAT(B195,"-",E195)</f>
        <v>Aditya Mehta-Tablet</v>
      </c>
    </row>
    <row r="196" spans="1:16" x14ac:dyDescent="0.4">
      <c r="A196" s="2" t="s">
        <v>1998</v>
      </c>
      <c r="B196" s="2" t="s">
        <v>255</v>
      </c>
      <c r="C196" s="2" t="s">
        <v>1809</v>
      </c>
      <c r="D196" s="3">
        <v>45624</v>
      </c>
      <c r="E196" s="2" t="s">
        <v>1803</v>
      </c>
      <c r="F196" t="str">
        <f t="shared" si="33"/>
        <v>yes</v>
      </c>
      <c r="G196">
        <f t="shared" si="34"/>
        <v>70</v>
      </c>
      <c r="H196" t="str">
        <f t="shared" si="35"/>
        <v>Customer support was helpful.</v>
      </c>
      <c r="I196" t="str">
        <f t="shared" si="36"/>
        <v>Customer support was helpful.</v>
      </c>
      <c r="J196">
        <f t="shared" si="37"/>
        <v>29</v>
      </c>
      <c r="K196" t="str">
        <f t="shared" si="38"/>
        <v>Customer s</v>
      </c>
      <c r="L196">
        <f t="shared" si="39"/>
        <v>11</v>
      </c>
      <c r="M196">
        <f t="shared" ca="1" si="40"/>
        <v>694</v>
      </c>
      <c r="N196" t="str">
        <f t="shared" si="41"/>
        <v>WEEKDAY</v>
      </c>
      <c r="O196" t="str">
        <f t="shared" si="42"/>
        <v>28-Nov-2024</v>
      </c>
      <c r="P196" t="str">
        <f t="shared" si="43"/>
        <v>Riya Singh-Laptop</v>
      </c>
    </row>
    <row r="197" spans="1:16" x14ac:dyDescent="0.4">
      <c r="A197" s="2" t="s">
        <v>1999</v>
      </c>
      <c r="B197" s="2" t="s">
        <v>43</v>
      </c>
      <c r="C197" s="2" t="s">
        <v>1799</v>
      </c>
      <c r="D197" s="3">
        <v>45582</v>
      </c>
      <c r="E197" s="2" t="s">
        <v>1800</v>
      </c>
      <c r="F197" t="str">
        <f t="shared" si="33"/>
        <v>yes</v>
      </c>
      <c r="G197">
        <f t="shared" si="34"/>
        <v>70</v>
      </c>
      <c r="H197" t="str">
        <f t="shared" si="35"/>
        <v>Not satisfied with the quality.</v>
      </c>
      <c r="I197" t="str">
        <f t="shared" si="36"/>
        <v>Not satisfied with the quality.</v>
      </c>
      <c r="J197">
        <f t="shared" si="37"/>
        <v>31</v>
      </c>
      <c r="K197" t="str">
        <f t="shared" si="38"/>
        <v>Not satisf</v>
      </c>
      <c r="L197">
        <f t="shared" si="39"/>
        <v>10</v>
      </c>
      <c r="M197">
        <f t="shared" ca="1" si="40"/>
        <v>736</v>
      </c>
      <c r="N197" t="str">
        <f t="shared" si="41"/>
        <v>WEEKDAY</v>
      </c>
      <c r="O197" t="str">
        <f t="shared" si="42"/>
        <v>17-Oct-2024</v>
      </c>
      <c r="P197" t="str">
        <f t="shared" si="43"/>
        <v>Ananya Mehta-Camera</v>
      </c>
    </row>
    <row r="198" spans="1:16" x14ac:dyDescent="0.4">
      <c r="A198" s="2" t="s">
        <v>2000</v>
      </c>
      <c r="B198" s="2" t="s">
        <v>199</v>
      </c>
      <c r="C198" s="2" t="s">
        <v>1793</v>
      </c>
      <c r="D198" s="3">
        <v>45461</v>
      </c>
      <c r="E198" s="2" t="s">
        <v>1800</v>
      </c>
      <c r="F198" t="str">
        <f t="shared" si="33"/>
        <v>yes</v>
      </c>
      <c r="G198">
        <f t="shared" si="34"/>
        <v>70</v>
      </c>
      <c r="H198" t="str">
        <f t="shared" si="35"/>
        <v>Received damaged item, requested replacement.</v>
      </c>
      <c r="I198" t="str">
        <f t="shared" si="36"/>
        <v>Received damaged item, requested replacement.</v>
      </c>
      <c r="J198">
        <f t="shared" si="37"/>
        <v>45</v>
      </c>
      <c r="K198" t="str">
        <f t="shared" si="38"/>
        <v>Received d</v>
      </c>
      <c r="L198">
        <f t="shared" si="39"/>
        <v>6</v>
      </c>
      <c r="M198">
        <f t="shared" ca="1" si="40"/>
        <v>857</v>
      </c>
      <c r="N198" t="str">
        <f t="shared" si="41"/>
        <v>WEEKDAY</v>
      </c>
      <c r="O198" t="str">
        <f t="shared" si="42"/>
        <v>18-Jun-2024</v>
      </c>
      <c r="P198" t="str">
        <f t="shared" si="43"/>
        <v>Kabir Das-Camera</v>
      </c>
    </row>
    <row r="199" spans="1:16" x14ac:dyDescent="0.4">
      <c r="A199" s="2" t="s">
        <v>2001</v>
      </c>
      <c r="B199" s="2" t="s">
        <v>165</v>
      </c>
      <c r="C199" s="2" t="s">
        <v>1793</v>
      </c>
      <c r="D199" s="3">
        <v>45459</v>
      </c>
      <c r="E199" s="2" t="s">
        <v>1803</v>
      </c>
      <c r="F199" t="str">
        <f t="shared" si="33"/>
        <v>yes</v>
      </c>
      <c r="G199">
        <f t="shared" si="34"/>
        <v>70</v>
      </c>
      <c r="H199" t="str">
        <f t="shared" si="35"/>
        <v>Received damaged item, requested replacement.</v>
      </c>
      <c r="I199" t="str">
        <f t="shared" si="36"/>
        <v>Received damaged item, requested replacement.</v>
      </c>
      <c r="J199">
        <f t="shared" si="37"/>
        <v>45</v>
      </c>
      <c r="K199" t="str">
        <f t="shared" si="38"/>
        <v>Received d</v>
      </c>
      <c r="L199">
        <f t="shared" si="39"/>
        <v>6</v>
      </c>
      <c r="M199">
        <f t="shared" ca="1" si="40"/>
        <v>859</v>
      </c>
      <c r="N199" t="str">
        <f t="shared" si="41"/>
        <v>WEEKEND</v>
      </c>
      <c r="O199" t="str">
        <f t="shared" si="42"/>
        <v>16-Jun-2024</v>
      </c>
      <c r="P199" t="str">
        <f t="shared" si="43"/>
        <v>Aditya Das-Laptop</v>
      </c>
    </row>
    <row r="200" spans="1:16" x14ac:dyDescent="0.4">
      <c r="A200" s="2" t="s">
        <v>2002</v>
      </c>
      <c r="B200" s="2" t="s">
        <v>39</v>
      </c>
      <c r="C200" s="2" t="s">
        <v>1799</v>
      </c>
      <c r="D200" s="3">
        <v>45515</v>
      </c>
      <c r="E200" s="2" t="s">
        <v>1820</v>
      </c>
      <c r="F200" t="str">
        <f t="shared" si="33"/>
        <v>yes</v>
      </c>
      <c r="G200">
        <f t="shared" si="34"/>
        <v>70</v>
      </c>
      <c r="H200" t="str">
        <f t="shared" si="35"/>
        <v>Not satisfied with the quality.</v>
      </c>
      <c r="I200" t="str">
        <f t="shared" si="36"/>
        <v>Not satisfied with the quality.</v>
      </c>
      <c r="J200">
        <f t="shared" si="37"/>
        <v>31</v>
      </c>
      <c r="K200" t="str">
        <f t="shared" si="38"/>
        <v>Not satisf</v>
      </c>
      <c r="L200">
        <f t="shared" si="39"/>
        <v>8</v>
      </c>
      <c r="M200">
        <f t="shared" ca="1" si="40"/>
        <v>803</v>
      </c>
      <c r="N200" t="str">
        <f t="shared" si="41"/>
        <v>WEEKEND</v>
      </c>
      <c r="O200" t="str">
        <f t="shared" si="42"/>
        <v>11-Aug-2024</v>
      </c>
      <c r="P200" t="str">
        <f t="shared" si="43"/>
        <v>Aarav Das-Printer</v>
      </c>
    </row>
    <row r="201" spans="1:16" x14ac:dyDescent="0.4">
      <c r="A201" s="2" t="s">
        <v>2003</v>
      </c>
      <c r="B201" s="2" t="s">
        <v>61</v>
      </c>
      <c r="C201" s="2" t="s">
        <v>1796</v>
      </c>
      <c r="D201" s="3">
        <v>45569</v>
      </c>
      <c r="E201" s="2" t="s">
        <v>1797</v>
      </c>
      <c r="F201" t="str">
        <f t="shared" si="33"/>
        <v>yes</v>
      </c>
      <c r="G201">
        <f t="shared" si="34"/>
        <v>70</v>
      </c>
      <c r="H201" t="str">
        <f t="shared" si="35"/>
        <v>Delivery was late but product is good.</v>
      </c>
      <c r="I201" t="str">
        <f t="shared" si="36"/>
        <v>Delivery was delayed but product is good.</v>
      </c>
      <c r="J201">
        <f t="shared" si="37"/>
        <v>41</v>
      </c>
      <c r="K201" t="str">
        <f t="shared" si="38"/>
        <v>Delivery w</v>
      </c>
      <c r="L201">
        <f t="shared" si="39"/>
        <v>10</v>
      </c>
      <c r="M201">
        <f t="shared" ca="1" si="40"/>
        <v>749</v>
      </c>
      <c r="N201" t="str">
        <f t="shared" si="41"/>
        <v>WEEKDAY</v>
      </c>
      <c r="O201" t="str">
        <f t="shared" si="42"/>
        <v>04-Oct-2024</v>
      </c>
      <c r="P201" t="str">
        <f t="shared" si="43"/>
        <v>Ananya Joshi-Mobile</v>
      </c>
    </row>
    <row r="202" spans="1:16" x14ac:dyDescent="0.4">
      <c r="A202" s="2" t="s">
        <v>2004</v>
      </c>
      <c r="B202" s="2" t="s">
        <v>629</v>
      </c>
      <c r="C202" s="2" t="s">
        <v>1793</v>
      </c>
      <c r="D202" s="3">
        <v>45440</v>
      </c>
      <c r="E202" s="2" t="s">
        <v>1810</v>
      </c>
      <c r="F202" t="str">
        <f t="shared" si="33"/>
        <v>yes</v>
      </c>
      <c r="G202">
        <f t="shared" si="34"/>
        <v>70</v>
      </c>
      <c r="H202" t="str">
        <f t="shared" si="35"/>
        <v>Received damaged item, requested replacement.</v>
      </c>
      <c r="I202" t="str">
        <f t="shared" si="36"/>
        <v>Received damaged item, requested replacement.</v>
      </c>
      <c r="J202">
        <f t="shared" si="37"/>
        <v>45</v>
      </c>
      <c r="K202" t="str">
        <f t="shared" si="38"/>
        <v>Received d</v>
      </c>
      <c r="L202">
        <f t="shared" si="39"/>
        <v>5</v>
      </c>
      <c r="M202">
        <f t="shared" ca="1" si="40"/>
        <v>878</v>
      </c>
      <c r="N202" t="str">
        <f t="shared" si="41"/>
        <v>WEEKDAY</v>
      </c>
      <c r="O202" t="str">
        <f t="shared" si="42"/>
        <v>28-May-2024</v>
      </c>
      <c r="P202" t="str">
        <f t="shared" si="43"/>
        <v>Aditya Joshi-Tablet</v>
      </c>
    </row>
    <row r="203" spans="1:16" x14ac:dyDescent="0.4">
      <c r="A203" s="2" t="s">
        <v>2005</v>
      </c>
      <c r="B203" s="2" t="s">
        <v>117</v>
      </c>
      <c r="C203" s="2" t="s">
        <v>1793</v>
      </c>
      <c r="D203" s="3">
        <v>45443</v>
      </c>
      <c r="E203" s="2" t="s">
        <v>1794</v>
      </c>
      <c r="F203" t="str">
        <f t="shared" si="33"/>
        <v>yes</v>
      </c>
      <c r="G203">
        <f t="shared" si="34"/>
        <v>70</v>
      </c>
      <c r="H203" t="str">
        <f t="shared" si="35"/>
        <v>Received damaged item, requested replacement.</v>
      </c>
      <c r="I203" t="str">
        <f t="shared" si="36"/>
        <v>Received damaged item, requested replacement.</v>
      </c>
      <c r="J203">
        <f t="shared" si="37"/>
        <v>45</v>
      </c>
      <c r="K203" t="str">
        <f t="shared" si="38"/>
        <v>Received d</v>
      </c>
      <c r="L203">
        <f t="shared" si="39"/>
        <v>5</v>
      </c>
      <c r="M203">
        <f t="shared" ca="1" si="40"/>
        <v>875</v>
      </c>
      <c r="N203" t="str">
        <f t="shared" si="41"/>
        <v>WEEKDAY</v>
      </c>
      <c r="O203" t="str">
        <f t="shared" si="42"/>
        <v>31-May-2024</v>
      </c>
      <c r="P203" t="str">
        <f t="shared" si="43"/>
        <v>Kabir Sharma-Smartwatch</v>
      </c>
    </row>
    <row r="204" spans="1:16" x14ac:dyDescent="0.4">
      <c r="A204" s="2" t="s">
        <v>2006</v>
      </c>
      <c r="B204" s="2" t="s">
        <v>1045</v>
      </c>
      <c r="C204" s="2" t="s">
        <v>1793</v>
      </c>
      <c r="D204" s="3">
        <v>45521</v>
      </c>
      <c r="E204" s="2" t="s">
        <v>1797</v>
      </c>
      <c r="F204" t="str">
        <f t="shared" si="33"/>
        <v>yes</v>
      </c>
      <c r="G204">
        <f t="shared" si="34"/>
        <v>70</v>
      </c>
      <c r="H204" t="str">
        <f t="shared" si="35"/>
        <v>Received damaged item, requested replacement.</v>
      </c>
      <c r="I204" t="str">
        <f t="shared" si="36"/>
        <v>Received damaged item, requested replacement.</v>
      </c>
      <c r="J204">
        <f t="shared" si="37"/>
        <v>45</v>
      </c>
      <c r="K204" t="str">
        <f t="shared" si="38"/>
        <v>Received d</v>
      </c>
      <c r="L204">
        <f t="shared" si="39"/>
        <v>8</v>
      </c>
      <c r="M204">
        <f t="shared" ca="1" si="40"/>
        <v>797</v>
      </c>
      <c r="N204" t="str">
        <f t="shared" si="41"/>
        <v>WEEKEND</v>
      </c>
      <c r="O204" t="str">
        <f t="shared" si="42"/>
        <v>17-Aug-2024</v>
      </c>
      <c r="P204" t="str">
        <f t="shared" si="43"/>
        <v>Vivaan Reddy-Mobile</v>
      </c>
    </row>
    <row r="205" spans="1:16" x14ac:dyDescent="0.4">
      <c r="A205" s="2" t="s">
        <v>2007</v>
      </c>
      <c r="B205" s="2" t="s">
        <v>48</v>
      </c>
      <c r="C205" s="2" t="s">
        <v>1815</v>
      </c>
      <c r="D205" s="3">
        <v>45292</v>
      </c>
      <c r="E205" s="2" t="s">
        <v>1797</v>
      </c>
      <c r="F205" t="str">
        <f t="shared" si="33"/>
        <v>yes</v>
      </c>
      <c r="G205">
        <f t="shared" si="34"/>
        <v>70</v>
      </c>
      <c r="H205" t="str">
        <f t="shared" si="35"/>
        <v>Great value for money!</v>
      </c>
      <c r="I205" t="str">
        <f t="shared" si="36"/>
        <v>Great value for money!</v>
      </c>
      <c r="J205">
        <f t="shared" si="37"/>
        <v>22</v>
      </c>
      <c r="K205" t="str">
        <f t="shared" si="38"/>
        <v>Great valu</v>
      </c>
      <c r="L205">
        <f t="shared" si="39"/>
        <v>1</v>
      </c>
      <c r="M205">
        <f t="shared" ca="1" si="40"/>
        <v>1026</v>
      </c>
      <c r="N205" t="str">
        <f t="shared" si="41"/>
        <v>WEEKDAY</v>
      </c>
      <c r="O205" t="str">
        <f t="shared" si="42"/>
        <v>01-Jan-2024</v>
      </c>
      <c r="P205" t="str">
        <f t="shared" si="43"/>
        <v>Aditya Gupta-Mobile</v>
      </c>
    </row>
    <row r="206" spans="1:16" x14ac:dyDescent="0.4">
      <c r="A206" s="2" t="s">
        <v>2008</v>
      </c>
      <c r="B206" s="2" t="s">
        <v>885</v>
      </c>
      <c r="C206" s="2" t="s">
        <v>1809</v>
      </c>
      <c r="D206" s="3">
        <v>45421</v>
      </c>
      <c r="E206" s="2" t="s">
        <v>1800</v>
      </c>
      <c r="F206" t="str">
        <f t="shared" si="33"/>
        <v>yes</v>
      </c>
      <c r="G206">
        <f t="shared" si="34"/>
        <v>70</v>
      </c>
      <c r="H206" t="str">
        <f t="shared" si="35"/>
        <v>Customer support was helpful.</v>
      </c>
      <c r="I206" t="str">
        <f t="shared" si="36"/>
        <v>Customer support was helpful.</v>
      </c>
      <c r="J206">
        <f t="shared" si="37"/>
        <v>29</v>
      </c>
      <c r="K206" t="str">
        <f t="shared" si="38"/>
        <v>Customer s</v>
      </c>
      <c r="L206">
        <f t="shared" si="39"/>
        <v>5</v>
      </c>
      <c r="M206">
        <f t="shared" ca="1" si="40"/>
        <v>897</v>
      </c>
      <c r="N206" t="str">
        <f t="shared" si="41"/>
        <v>WEEKDAY</v>
      </c>
      <c r="O206" t="str">
        <f t="shared" si="42"/>
        <v>09-May-2024</v>
      </c>
      <c r="P206" t="str">
        <f t="shared" si="43"/>
        <v>Vivaan Gupta-Camera</v>
      </c>
    </row>
    <row r="207" spans="1:16" x14ac:dyDescent="0.4">
      <c r="A207" s="2" t="s">
        <v>2009</v>
      </c>
      <c r="B207" s="2" t="s">
        <v>82</v>
      </c>
      <c r="C207" s="2" t="s">
        <v>1809</v>
      </c>
      <c r="D207" s="3">
        <v>45316</v>
      </c>
      <c r="E207" s="2" t="s">
        <v>1800</v>
      </c>
      <c r="F207" t="str">
        <f t="shared" si="33"/>
        <v>yes</v>
      </c>
      <c r="G207">
        <f t="shared" si="34"/>
        <v>70</v>
      </c>
      <c r="H207" t="str">
        <f t="shared" si="35"/>
        <v>Customer support was helpful.</v>
      </c>
      <c r="I207" t="str">
        <f t="shared" si="36"/>
        <v>Customer support was helpful.</v>
      </c>
      <c r="J207">
        <f t="shared" si="37"/>
        <v>29</v>
      </c>
      <c r="K207" t="str">
        <f t="shared" si="38"/>
        <v>Customer s</v>
      </c>
      <c r="L207">
        <f t="shared" si="39"/>
        <v>1</v>
      </c>
      <c r="M207">
        <f t="shared" ca="1" si="40"/>
        <v>1002</v>
      </c>
      <c r="N207" t="str">
        <f t="shared" si="41"/>
        <v>WEEKDAY</v>
      </c>
      <c r="O207" t="str">
        <f t="shared" si="42"/>
        <v>25-Jan-2024</v>
      </c>
      <c r="P207" t="str">
        <f t="shared" si="43"/>
        <v>Meera Joshi-Camera</v>
      </c>
    </row>
    <row r="208" spans="1:16" x14ac:dyDescent="0.4">
      <c r="A208" s="2" t="s">
        <v>2010</v>
      </c>
      <c r="B208" s="2" t="s">
        <v>153</v>
      </c>
      <c r="C208" s="2" t="s">
        <v>1802</v>
      </c>
      <c r="D208" s="3">
        <v>45430</v>
      </c>
      <c r="E208" s="2" t="s">
        <v>1803</v>
      </c>
      <c r="F208" t="str">
        <f t="shared" si="33"/>
        <v>yes</v>
      </c>
      <c r="G208">
        <f t="shared" si="34"/>
        <v>70</v>
      </c>
      <c r="H208" t="str">
        <f t="shared" si="35"/>
        <v>Product was excellent and delivery was fast.</v>
      </c>
      <c r="I208" t="str">
        <f t="shared" si="36"/>
        <v>Product was excellent and delivery was fast.</v>
      </c>
      <c r="J208">
        <f t="shared" si="37"/>
        <v>44</v>
      </c>
      <c r="K208" t="str">
        <f t="shared" si="38"/>
        <v>Product wa</v>
      </c>
      <c r="L208">
        <f t="shared" si="39"/>
        <v>5</v>
      </c>
      <c r="M208">
        <f t="shared" ca="1" si="40"/>
        <v>888</v>
      </c>
      <c r="N208" t="str">
        <f t="shared" si="41"/>
        <v>WEEKEND</v>
      </c>
      <c r="O208" t="str">
        <f t="shared" si="42"/>
        <v>18-May-2024</v>
      </c>
      <c r="P208" t="str">
        <f t="shared" si="43"/>
        <v>Kabir Patel-Laptop</v>
      </c>
    </row>
    <row r="209" spans="1:16" x14ac:dyDescent="0.4">
      <c r="A209" s="2" t="s">
        <v>2011</v>
      </c>
      <c r="B209" s="2" t="s">
        <v>255</v>
      </c>
      <c r="C209" s="2" t="s">
        <v>1802</v>
      </c>
      <c r="D209" s="3">
        <v>45533</v>
      </c>
      <c r="E209" s="2" t="s">
        <v>1810</v>
      </c>
      <c r="F209" t="str">
        <f t="shared" si="33"/>
        <v>yes</v>
      </c>
      <c r="G209">
        <f t="shared" si="34"/>
        <v>70</v>
      </c>
      <c r="H209" t="str">
        <f t="shared" si="35"/>
        <v>Product was excellent and delivery was fast.</v>
      </c>
      <c r="I209" t="str">
        <f t="shared" si="36"/>
        <v>Product was excellent and delivery was fast.</v>
      </c>
      <c r="J209">
        <f t="shared" si="37"/>
        <v>44</v>
      </c>
      <c r="K209" t="str">
        <f t="shared" si="38"/>
        <v>Product wa</v>
      </c>
      <c r="L209">
        <f t="shared" si="39"/>
        <v>8</v>
      </c>
      <c r="M209">
        <f t="shared" ca="1" si="40"/>
        <v>785</v>
      </c>
      <c r="N209" t="str">
        <f t="shared" si="41"/>
        <v>WEEKDAY</v>
      </c>
      <c r="O209" t="str">
        <f t="shared" si="42"/>
        <v>29-Aug-2024</v>
      </c>
      <c r="P209" t="str">
        <f t="shared" si="43"/>
        <v>Riya Singh-Tablet</v>
      </c>
    </row>
    <row r="210" spans="1:16" x14ac:dyDescent="0.4">
      <c r="A210" s="2" t="s">
        <v>2012</v>
      </c>
      <c r="B210" s="2" t="s">
        <v>91</v>
      </c>
      <c r="C210" s="2" t="s">
        <v>1809</v>
      </c>
      <c r="D210" s="3">
        <v>45631</v>
      </c>
      <c r="E210" s="2" t="s">
        <v>1797</v>
      </c>
      <c r="F210" t="str">
        <f t="shared" si="33"/>
        <v>yes</v>
      </c>
      <c r="G210">
        <f t="shared" si="34"/>
        <v>70</v>
      </c>
      <c r="H210" t="str">
        <f t="shared" si="35"/>
        <v>Customer support was helpful.</v>
      </c>
      <c r="I210" t="str">
        <f t="shared" si="36"/>
        <v>Customer support was helpful.</v>
      </c>
      <c r="J210">
        <f t="shared" si="37"/>
        <v>29</v>
      </c>
      <c r="K210" t="str">
        <f t="shared" si="38"/>
        <v>Customer s</v>
      </c>
      <c r="L210">
        <f t="shared" si="39"/>
        <v>12</v>
      </c>
      <c r="M210">
        <f t="shared" ca="1" si="40"/>
        <v>687</v>
      </c>
      <c r="N210" t="str">
        <f t="shared" si="41"/>
        <v>WEEKDAY</v>
      </c>
      <c r="O210" t="str">
        <f t="shared" si="42"/>
        <v>05-Dec-2024</v>
      </c>
      <c r="P210" t="str">
        <f t="shared" si="43"/>
        <v>Isha Mehta-Mobile</v>
      </c>
    </row>
    <row r="211" spans="1:16" x14ac:dyDescent="0.4">
      <c r="A211" s="2" t="s">
        <v>2013</v>
      </c>
      <c r="B211" s="2" t="s">
        <v>651</v>
      </c>
      <c r="C211" s="2" t="s">
        <v>1796</v>
      </c>
      <c r="D211" s="3">
        <v>45547</v>
      </c>
      <c r="E211" s="2" t="s">
        <v>1803</v>
      </c>
      <c r="F211" t="str">
        <f t="shared" si="33"/>
        <v>yes</v>
      </c>
      <c r="G211">
        <f t="shared" si="34"/>
        <v>70</v>
      </c>
      <c r="H211" t="str">
        <f t="shared" si="35"/>
        <v>Delivery was late but product is good.</v>
      </c>
      <c r="I211" t="str">
        <f t="shared" si="36"/>
        <v>Delivery was delayed but product is good.</v>
      </c>
      <c r="J211">
        <f t="shared" si="37"/>
        <v>41</v>
      </c>
      <c r="K211" t="str">
        <f t="shared" si="38"/>
        <v>Delivery w</v>
      </c>
      <c r="L211">
        <f t="shared" si="39"/>
        <v>9</v>
      </c>
      <c r="M211">
        <f t="shared" ca="1" si="40"/>
        <v>771</v>
      </c>
      <c r="N211" t="str">
        <f t="shared" si="41"/>
        <v>WEEKDAY</v>
      </c>
      <c r="O211" t="str">
        <f t="shared" si="42"/>
        <v>12-Sep-2024</v>
      </c>
      <c r="P211" t="str">
        <f t="shared" si="43"/>
        <v>Aarav Nair-Laptop</v>
      </c>
    </row>
    <row r="212" spans="1:16" x14ac:dyDescent="0.4">
      <c r="A212" s="2" t="s">
        <v>2014</v>
      </c>
      <c r="B212" s="2" t="s">
        <v>121</v>
      </c>
      <c r="C212" s="2" t="s">
        <v>1809</v>
      </c>
      <c r="D212" s="3">
        <v>45634</v>
      </c>
      <c r="E212" s="2" t="s">
        <v>1810</v>
      </c>
      <c r="F212" t="str">
        <f t="shared" si="33"/>
        <v>yes</v>
      </c>
      <c r="G212">
        <f t="shared" si="34"/>
        <v>70</v>
      </c>
      <c r="H212" t="str">
        <f t="shared" si="35"/>
        <v>Customer support was helpful.</v>
      </c>
      <c r="I212" t="str">
        <f t="shared" si="36"/>
        <v>Customer support was helpful.</v>
      </c>
      <c r="J212">
        <f t="shared" si="37"/>
        <v>29</v>
      </c>
      <c r="K212" t="str">
        <f t="shared" si="38"/>
        <v>Customer s</v>
      </c>
      <c r="L212">
        <f t="shared" si="39"/>
        <v>12</v>
      </c>
      <c r="M212">
        <f t="shared" ca="1" si="40"/>
        <v>684</v>
      </c>
      <c r="N212" t="str">
        <f t="shared" si="41"/>
        <v>WEEKEND</v>
      </c>
      <c r="O212" t="str">
        <f t="shared" si="42"/>
        <v>08-Dec-2024</v>
      </c>
      <c r="P212" t="str">
        <f t="shared" si="43"/>
        <v>Ananya Sharma-Tablet</v>
      </c>
    </row>
    <row r="213" spans="1:16" x14ac:dyDescent="0.4">
      <c r="A213" s="2" t="s">
        <v>2015</v>
      </c>
      <c r="B213" s="2" t="s">
        <v>449</v>
      </c>
      <c r="C213" s="2" t="s">
        <v>1793</v>
      </c>
      <c r="D213" s="3">
        <v>45530</v>
      </c>
      <c r="E213" s="2" t="s">
        <v>1800</v>
      </c>
      <c r="F213" t="str">
        <f t="shared" si="33"/>
        <v>yes</v>
      </c>
      <c r="G213">
        <f t="shared" si="34"/>
        <v>70</v>
      </c>
      <c r="H213" t="str">
        <f t="shared" si="35"/>
        <v>Received damaged item, requested replacement.</v>
      </c>
      <c r="I213" t="str">
        <f t="shared" si="36"/>
        <v>Received damaged item, requested replacement.</v>
      </c>
      <c r="J213">
        <f t="shared" si="37"/>
        <v>45</v>
      </c>
      <c r="K213" t="str">
        <f t="shared" si="38"/>
        <v>Received d</v>
      </c>
      <c r="L213">
        <f t="shared" si="39"/>
        <v>8</v>
      </c>
      <c r="M213">
        <f t="shared" ca="1" si="40"/>
        <v>788</v>
      </c>
      <c r="N213" t="str">
        <f t="shared" si="41"/>
        <v>WEEKDAY</v>
      </c>
      <c r="O213" t="str">
        <f t="shared" si="42"/>
        <v>26-Aug-2024</v>
      </c>
      <c r="P213" t="str">
        <f t="shared" si="43"/>
        <v>Arjun Singh-Camera</v>
      </c>
    </row>
    <row r="214" spans="1:16" x14ac:dyDescent="0.4">
      <c r="A214" s="2" t="s">
        <v>2016</v>
      </c>
      <c r="B214" s="2" t="s">
        <v>221</v>
      </c>
      <c r="C214" s="2" t="s">
        <v>1799</v>
      </c>
      <c r="D214" s="3">
        <v>45565</v>
      </c>
      <c r="E214" s="2" t="s">
        <v>1803</v>
      </c>
      <c r="F214" t="str">
        <f t="shared" si="33"/>
        <v>yes</v>
      </c>
      <c r="G214">
        <f t="shared" si="34"/>
        <v>70</v>
      </c>
      <c r="H214" t="str">
        <f t="shared" si="35"/>
        <v>Not satisfied with the quality.</v>
      </c>
      <c r="I214" t="str">
        <f t="shared" si="36"/>
        <v>Not satisfied with the quality.</v>
      </c>
      <c r="J214">
        <f t="shared" si="37"/>
        <v>31</v>
      </c>
      <c r="K214" t="str">
        <f t="shared" si="38"/>
        <v>Not satisf</v>
      </c>
      <c r="L214">
        <f t="shared" si="39"/>
        <v>9</v>
      </c>
      <c r="M214">
        <f t="shared" ca="1" si="40"/>
        <v>753</v>
      </c>
      <c r="N214" t="str">
        <f t="shared" si="41"/>
        <v>WEEKDAY</v>
      </c>
      <c r="O214" t="str">
        <f t="shared" si="42"/>
        <v>30-Sep-2024</v>
      </c>
      <c r="P214" t="str">
        <f t="shared" si="43"/>
        <v>Isha Reddy-Laptop</v>
      </c>
    </row>
    <row r="215" spans="1:16" x14ac:dyDescent="0.4">
      <c r="A215" s="2" t="s">
        <v>2017</v>
      </c>
      <c r="B215" s="2" t="s">
        <v>145</v>
      </c>
      <c r="C215" s="2" t="s">
        <v>1809</v>
      </c>
      <c r="D215" s="3">
        <v>45447</v>
      </c>
      <c r="E215" s="2" t="s">
        <v>1810</v>
      </c>
      <c r="F215" t="str">
        <f t="shared" si="33"/>
        <v>yes</v>
      </c>
      <c r="G215">
        <f t="shared" si="34"/>
        <v>70</v>
      </c>
      <c r="H215" t="str">
        <f t="shared" si="35"/>
        <v>Customer support was helpful.</v>
      </c>
      <c r="I215" t="str">
        <f t="shared" si="36"/>
        <v>Customer support was helpful.</v>
      </c>
      <c r="J215">
        <f t="shared" si="37"/>
        <v>29</v>
      </c>
      <c r="K215" t="str">
        <f t="shared" si="38"/>
        <v>Customer s</v>
      </c>
      <c r="L215">
        <f t="shared" si="39"/>
        <v>6</v>
      </c>
      <c r="M215">
        <f t="shared" ca="1" si="40"/>
        <v>871</v>
      </c>
      <c r="N215" t="str">
        <f t="shared" si="41"/>
        <v>WEEKDAY</v>
      </c>
      <c r="O215" t="str">
        <f t="shared" si="42"/>
        <v>04-Jun-2024</v>
      </c>
      <c r="P215" t="str">
        <f t="shared" si="43"/>
        <v>Aditya Nair-Tablet</v>
      </c>
    </row>
    <row r="216" spans="1:16" x14ac:dyDescent="0.4">
      <c r="A216" s="2" t="s">
        <v>2018</v>
      </c>
      <c r="B216" s="2" t="s">
        <v>30</v>
      </c>
      <c r="C216" s="2" t="s">
        <v>1809</v>
      </c>
      <c r="D216" s="3">
        <v>45366</v>
      </c>
      <c r="E216" s="2" t="s">
        <v>1803</v>
      </c>
      <c r="F216" t="str">
        <f t="shared" si="33"/>
        <v>yes</v>
      </c>
      <c r="G216">
        <f t="shared" si="34"/>
        <v>70</v>
      </c>
      <c r="H216" t="str">
        <f t="shared" si="35"/>
        <v>Customer support was helpful.</v>
      </c>
      <c r="I216" t="str">
        <f t="shared" si="36"/>
        <v>Customer support was helpful.</v>
      </c>
      <c r="J216">
        <f t="shared" si="37"/>
        <v>29</v>
      </c>
      <c r="K216" t="str">
        <f t="shared" si="38"/>
        <v>Customer s</v>
      </c>
      <c r="L216">
        <f t="shared" si="39"/>
        <v>3</v>
      </c>
      <c r="M216">
        <f t="shared" ca="1" si="40"/>
        <v>952</v>
      </c>
      <c r="N216" t="str">
        <f t="shared" si="41"/>
        <v>WEEKDAY</v>
      </c>
      <c r="O216" t="str">
        <f t="shared" si="42"/>
        <v>15-Mar-2024</v>
      </c>
      <c r="P216" t="str">
        <f t="shared" si="43"/>
        <v>Ananya Reddy-Laptop</v>
      </c>
    </row>
    <row r="217" spans="1:16" x14ac:dyDescent="0.4">
      <c r="A217" s="2" t="s">
        <v>2019</v>
      </c>
      <c r="B217" s="2" t="s">
        <v>221</v>
      </c>
      <c r="C217" s="2" t="s">
        <v>1796</v>
      </c>
      <c r="D217" s="3">
        <v>45524</v>
      </c>
      <c r="E217" s="2" t="s">
        <v>1797</v>
      </c>
      <c r="F217" t="str">
        <f t="shared" si="33"/>
        <v>yes</v>
      </c>
      <c r="G217">
        <f t="shared" si="34"/>
        <v>70</v>
      </c>
      <c r="H217" t="str">
        <f t="shared" si="35"/>
        <v>Delivery was late but product is good.</v>
      </c>
      <c r="I217" t="str">
        <f t="shared" si="36"/>
        <v>Delivery was delayed but product is good.</v>
      </c>
      <c r="J217">
        <f t="shared" si="37"/>
        <v>41</v>
      </c>
      <c r="K217" t="str">
        <f t="shared" si="38"/>
        <v>Delivery w</v>
      </c>
      <c r="L217">
        <f t="shared" si="39"/>
        <v>8</v>
      </c>
      <c r="M217">
        <f t="shared" ca="1" si="40"/>
        <v>794</v>
      </c>
      <c r="N217" t="str">
        <f t="shared" si="41"/>
        <v>WEEKDAY</v>
      </c>
      <c r="O217" t="str">
        <f t="shared" si="42"/>
        <v>20-Aug-2024</v>
      </c>
      <c r="P217" t="str">
        <f t="shared" si="43"/>
        <v>Isha Reddy-Mobile</v>
      </c>
    </row>
    <row r="218" spans="1:16" x14ac:dyDescent="0.4">
      <c r="A218" s="2" t="s">
        <v>2020</v>
      </c>
      <c r="B218" s="2" t="s">
        <v>555</v>
      </c>
      <c r="C218" s="2" t="s">
        <v>1802</v>
      </c>
      <c r="D218" s="3">
        <v>45470</v>
      </c>
      <c r="E218" s="2" t="s">
        <v>1800</v>
      </c>
      <c r="F218" t="str">
        <f t="shared" si="33"/>
        <v>yes</v>
      </c>
      <c r="G218">
        <f t="shared" si="34"/>
        <v>70</v>
      </c>
      <c r="H218" t="str">
        <f t="shared" si="35"/>
        <v>Product was excellent and delivery was fast.</v>
      </c>
      <c r="I218" t="str">
        <f t="shared" si="36"/>
        <v>Product was excellent and delivery was fast.</v>
      </c>
      <c r="J218">
        <f t="shared" si="37"/>
        <v>44</v>
      </c>
      <c r="K218" t="str">
        <f t="shared" si="38"/>
        <v>Product wa</v>
      </c>
      <c r="L218">
        <f t="shared" si="39"/>
        <v>6</v>
      </c>
      <c r="M218">
        <f t="shared" ca="1" si="40"/>
        <v>848</v>
      </c>
      <c r="N218" t="str">
        <f t="shared" si="41"/>
        <v>WEEKDAY</v>
      </c>
      <c r="O218" t="str">
        <f t="shared" si="42"/>
        <v>27-Jun-2024</v>
      </c>
      <c r="P218" t="str">
        <f t="shared" si="43"/>
        <v>Riya Joshi-Camera</v>
      </c>
    </row>
    <row r="219" spans="1:16" x14ac:dyDescent="0.4">
      <c r="A219" s="2" t="s">
        <v>2021</v>
      </c>
      <c r="B219" s="2" t="s">
        <v>117</v>
      </c>
      <c r="C219" s="2" t="s">
        <v>1793</v>
      </c>
      <c r="D219" s="3">
        <v>45493</v>
      </c>
      <c r="E219" s="2" t="s">
        <v>1820</v>
      </c>
      <c r="F219" t="str">
        <f t="shared" si="33"/>
        <v>yes</v>
      </c>
      <c r="G219">
        <f t="shared" si="34"/>
        <v>70</v>
      </c>
      <c r="H219" t="str">
        <f t="shared" si="35"/>
        <v>Received damaged item, requested replacement.</v>
      </c>
      <c r="I219" t="str">
        <f t="shared" si="36"/>
        <v>Received damaged item, requested replacement.</v>
      </c>
      <c r="J219">
        <f t="shared" si="37"/>
        <v>45</v>
      </c>
      <c r="K219" t="str">
        <f t="shared" si="38"/>
        <v>Received d</v>
      </c>
      <c r="L219">
        <f t="shared" si="39"/>
        <v>7</v>
      </c>
      <c r="M219">
        <f t="shared" ca="1" si="40"/>
        <v>825</v>
      </c>
      <c r="N219" t="str">
        <f t="shared" si="41"/>
        <v>WEEKEND</v>
      </c>
      <c r="O219" t="str">
        <f t="shared" si="42"/>
        <v>20-Jul-2024</v>
      </c>
      <c r="P219" t="str">
        <f t="shared" si="43"/>
        <v>Kabir Sharma-Printer</v>
      </c>
    </row>
    <row r="220" spans="1:16" x14ac:dyDescent="0.4">
      <c r="A220" s="2" t="s">
        <v>2022</v>
      </c>
      <c r="B220" s="2" t="s">
        <v>153</v>
      </c>
      <c r="C220" s="2" t="s">
        <v>1802</v>
      </c>
      <c r="D220" s="3">
        <v>45589</v>
      </c>
      <c r="E220" s="2" t="s">
        <v>1810</v>
      </c>
      <c r="F220" t="str">
        <f t="shared" si="33"/>
        <v>yes</v>
      </c>
      <c r="G220">
        <f t="shared" si="34"/>
        <v>70</v>
      </c>
      <c r="H220" t="str">
        <f t="shared" si="35"/>
        <v>Product was excellent and delivery was fast.</v>
      </c>
      <c r="I220" t="str">
        <f t="shared" si="36"/>
        <v>Product was excellent and delivery was fast.</v>
      </c>
      <c r="J220">
        <f t="shared" si="37"/>
        <v>44</v>
      </c>
      <c r="K220" t="str">
        <f t="shared" si="38"/>
        <v>Product wa</v>
      </c>
      <c r="L220">
        <f t="shared" si="39"/>
        <v>10</v>
      </c>
      <c r="M220">
        <f t="shared" ca="1" si="40"/>
        <v>729</v>
      </c>
      <c r="N220" t="str">
        <f t="shared" si="41"/>
        <v>WEEKDAY</v>
      </c>
      <c r="O220" t="str">
        <f t="shared" si="42"/>
        <v>24-Oct-2024</v>
      </c>
      <c r="P220" t="str">
        <f t="shared" si="43"/>
        <v>Kabir Patel-Tablet</v>
      </c>
    </row>
    <row r="221" spans="1:16" x14ac:dyDescent="0.4">
      <c r="A221" s="2" t="s">
        <v>2023</v>
      </c>
      <c r="B221" s="2" t="s">
        <v>61</v>
      </c>
      <c r="C221" s="2" t="s">
        <v>1809</v>
      </c>
      <c r="D221" s="3">
        <v>45399</v>
      </c>
      <c r="E221" s="2" t="s">
        <v>1797</v>
      </c>
      <c r="F221" t="str">
        <f t="shared" si="33"/>
        <v>yes</v>
      </c>
      <c r="G221">
        <f t="shared" si="34"/>
        <v>70</v>
      </c>
      <c r="H221" t="str">
        <f t="shared" si="35"/>
        <v>Customer support was helpful.</v>
      </c>
      <c r="I221" t="str">
        <f t="shared" si="36"/>
        <v>Customer support was helpful.</v>
      </c>
      <c r="J221">
        <f t="shared" si="37"/>
        <v>29</v>
      </c>
      <c r="K221" t="str">
        <f t="shared" si="38"/>
        <v>Customer s</v>
      </c>
      <c r="L221">
        <f t="shared" si="39"/>
        <v>4</v>
      </c>
      <c r="M221">
        <f t="shared" ca="1" si="40"/>
        <v>919</v>
      </c>
      <c r="N221" t="str">
        <f t="shared" si="41"/>
        <v>WEEKDAY</v>
      </c>
      <c r="O221" t="str">
        <f t="shared" si="42"/>
        <v>17-Apr-2024</v>
      </c>
      <c r="P221" t="str">
        <f t="shared" si="43"/>
        <v>Ananya Joshi-Mobile</v>
      </c>
    </row>
    <row r="222" spans="1:16" x14ac:dyDescent="0.4">
      <c r="A222" s="2" t="s">
        <v>2024</v>
      </c>
      <c r="B222" s="2" t="s">
        <v>575</v>
      </c>
      <c r="C222" s="2" t="s">
        <v>1796</v>
      </c>
      <c r="D222" s="3">
        <v>45499</v>
      </c>
      <c r="E222" s="2" t="s">
        <v>1803</v>
      </c>
      <c r="F222" t="str">
        <f t="shared" si="33"/>
        <v>yes</v>
      </c>
      <c r="G222">
        <f t="shared" si="34"/>
        <v>70</v>
      </c>
      <c r="H222" t="str">
        <f t="shared" si="35"/>
        <v>Delivery was late but product is good.</v>
      </c>
      <c r="I222" t="str">
        <f t="shared" si="36"/>
        <v>Delivery was delayed but product is good.</v>
      </c>
      <c r="J222">
        <f t="shared" si="37"/>
        <v>41</v>
      </c>
      <c r="K222" t="str">
        <f t="shared" si="38"/>
        <v>Delivery w</v>
      </c>
      <c r="L222">
        <f t="shared" si="39"/>
        <v>7</v>
      </c>
      <c r="M222">
        <f t="shared" ca="1" si="40"/>
        <v>819</v>
      </c>
      <c r="N222" t="str">
        <f t="shared" si="41"/>
        <v>WEEKDAY</v>
      </c>
      <c r="O222" t="str">
        <f t="shared" si="42"/>
        <v>26-Jul-2024</v>
      </c>
      <c r="P222" t="str">
        <f t="shared" si="43"/>
        <v>Vivaan Das-Laptop</v>
      </c>
    </row>
    <row r="223" spans="1:16" x14ac:dyDescent="0.4">
      <c r="A223" s="2" t="s">
        <v>2025</v>
      </c>
      <c r="B223" s="2" t="s">
        <v>299</v>
      </c>
      <c r="C223" s="2" t="s">
        <v>1815</v>
      </c>
      <c r="D223" s="3">
        <v>45301</v>
      </c>
      <c r="E223" s="2" t="s">
        <v>1800</v>
      </c>
      <c r="F223" t="str">
        <f t="shared" si="33"/>
        <v>yes</v>
      </c>
      <c r="G223">
        <f t="shared" si="34"/>
        <v>70</v>
      </c>
      <c r="H223" t="str">
        <f t="shared" si="35"/>
        <v>Great value for money!</v>
      </c>
      <c r="I223" t="str">
        <f t="shared" si="36"/>
        <v>Great value for money!</v>
      </c>
      <c r="J223">
        <f t="shared" si="37"/>
        <v>22</v>
      </c>
      <c r="K223" t="str">
        <f t="shared" si="38"/>
        <v>Great valu</v>
      </c>
      <c r="L223">
        <f t="shared" si="39"/>
        <v>1</v>
      </c>
      <c r="M223">
        <f t="shared" ca="1" si="40"/>
        <v>1017</v>
      </c>
      <c r="N223" t="str">
        <f t="shared" si="41"/>
        <v>WEEKDAY</v>
      </c>
      <c r="O223" t="str">
        <f t="shared" si="42"/>
        <v>10-Jan-2024</v>
      </c>
      <c r="P223" t="str">
        <f t="shared" si="43"/>
        <v>Aditya Khan-Camera</v>
      </c>
    </row>
    <row r="224" spans="1:16" x14ac:dyDescent="0.4">
      <c r="A224" s="2" t="s">
        <v>2026</v>
      </c>
      <c r="B224" s="2" t="s">
        <v>885</v>
      </c>
      <c r="C224" s="2" t="s">
        <v>1809</v>
      </c>
      <c r="D224" s="3">
        <v>45477</v>
      </c>
      <c r="E224" s="2" t="s">
        <v>1800</v>
      </c>
      <c r="F224" t="str">
        <f t="shared" si="33"/>
        <v>yes</v>
      </c>
      <c r="G224">
        <f t="shared" si="34"/>
        <v>70</v>
      </c>
      <c r="H224" t="str">
        <f t="shared" si="35"/>
        <v>Customer support was helpful.</v>
      </c>
      <c r="I224" t="str">
        <f t="shared" si="36"/>
        <v>Customer support was helpful.</v>
      </c>
      <c r="J224">
        <f t="shared" si="37"/>
        <v>29</v>
      </c>
      <c r="K224" t="str">
        <f t="shared" si="38"/>
        <v>Customer s</v>
      </c>
      <c r="L224">
        <f t="shared" si="39"/>
        <v>7</v>
      </c>
      <c r="M224">
        <f t="shared" ca="1" si="40"/>
        <v>841</v>
      </c>
      <c r="N224" t="str">
        <f t="shared" si="41"/>
        <v>WEEKDAY</v>
      </c>
      <c r="O224" t="str">
        <f t="shared" si="42"/>
        <v>04-Jul-2024</v>
      </c>
      <c r="P224" t="str">
        <f t="shared" si="43"/>
        <v>Vivaan Gupta-Camera</v>
      </c>
    </row>
    <row r="225" spans="1:16" x14ac:dyDescent="0.4">
      <c r="A225" s="2" t="s">
        <v>2027</v>
      </c>
      <c r="B225" s="2" t="s">
        <v>187</v>
      </c>
      <c r="C225" s="2" t="s">
        <v>1802</v>
      </c>
      <c r="D225" s="3">
        <v>45300</v>
      </c>
      <c r="E225" s="2" t="s">
        <v>1810</v>
      </c>
      <c r="F225" t="str">
        <f t="shared" si="33"/>
        <v>yes</v>
      </c>
      <c r="G225">
        <f t="shared" si="34"/>
        <v>70</v>
      </c>
      <c r="H225" t="str">
        <f t="shared" si="35"/>
        <v>Product was excellent and delivery was fast.</v>
      </c>
      <c r="I225" t="str">
        <f t="shared" si="36"/>
        <v>Product was excellent and delivery was fast.</v>
      </c>
      <c r="J225">
        <f t="shared" si="37"/>
        <v>44</v>
      </c>
      <c r="K225" t="str">
        <f t="shared" si="38"/>
        <v>Product wa</v>
      </c>
      <c r="L225">
        <f t="shared" si="39"/>
        <v>1</v>
      </c>
      <c r="M225">
        <f t="shared" ca="1" si="40"/>
        <v>1018</v>
      </c>
      <c r="N225" t="str">
        <f t="shared" si="41"/>
        <v>WEEKDAY</v>
      </c>
      <c r="O225" t="str">
        <f t="shared" si="42"/>
        <v>09-Jan-2024</v>
      </c>
      <c r="P225" t="str">
        <f t="shared" si="43"/>
        <v>Aarav Reddy-Tablet</v>
      </c>
    </row>
    <row r="226" spans="1:16" x14ac:dyDescent="0.4">
      <c r="A226" s="2" t="s">
        <v>2028</v>
      </c>
      <c r="B226" s="2" t="s">
        <v>263</v>
      </c>
      <c r="C226" s="2" t="s">
        <v>1815</v>
      </c>
      <c r="D226" s="3">
        <v>45486</v>
      </c>
      <c r="E226" s="2" t="s">
        <v>1797</v>
      </c>
      <c r="F226" t="str">
        <f t="shared" si="33"/>
        <v>yes</v>
      </c>
      <c r="G226">
        <f t="shared" si="34"/>
        <v>70</v>
      </c>
      <c r="H226" t="str">
        <f t="shared" si="35"/>
        <v>Great value for money!</v>
      </c>
      <c r="I226" t="str">
        <f t="shared" si="36"/>
        <v>Great value for money!</v>
      </c>
      <c r="J226">
        <f t="shared" si="37"/>
        <v>22</v>
      </c>
      <c r="K226" t="str">
        <f t="shared" si="38"/>
        <v>Great valu</v>
      </c>
      <c r="L226">
        <f t="shared" si="39"/>
        <v>7</v>
      </c>
      <c r="M226">
        <f t="shared" ca="1" si="40"/>
        <v>832</v>
      </c>
      <c r="N226" t="str">
        <f t="shared" si="41"/>
        <v>WEEKEND</v>
      </c>
      <c r="O226" t="str">
        <f t="shared" si="42"/>
        <v>13-Jul-2024</v>
      </c>
      <c r="P226" t="str">
        <f t="shared" si="43"/>
        <v>Isha Gupta-Mobile</v>
      </c>
    </row>
    <row r="227" spans="1:16" x14ac:dyDescent="0.4">
      <c r="A227" s="2" t="s">
        <v>2029</v>
      </c>
      <c r="B227" s="2" t="s">
        <v>16</v>
      </c>
      <c r="C227" s="2" t="s">
        <v>1799</v>
      </c>
      <c r="D227" s="3">
        <v>45391</v>
      </c>
      <c r="E227" s="2" t="s">
        <v>1797</v>
      </c>
      <c r="F227" t="str">
        <f t="shared" si="33"/>
        <v>yes</v>
      </c>
      <c r="G227">
        <f t="shared" si="34"/>
        <v>70</v>
      </c>
      <c r="H227" t="str">
        <f t="shared" si="35"/>
        <v>Not satisfied with the quality.</v>
      </c>
      <c r="I227" t="str">
        <f t="shared" si="36"/>
        <v>Not satisfied with the quality.</v>
      </c>
      <c r="J227">
        <f t="shared" si="37"/>
        <v>31</v>
      </c>
      <c r="K227" t="str">
        <f t="shared" si="38"/>
        <v>Not satisf</v>
      </c>
      <c r="L227">
        <f t="shared" si="39"/>
        <v>4</v>
      </c>
      <c r="M227">
        <f t="shared" ca="1" si="40"/>
        <v>927</v>
      </c>
      <c r="N227" t="str">
        <f t="shared" si="41"/>
        <v>WEEKDAY</v>
      </c>
      <c r="O227" t="str">
        <f t="shared" si="42"/>
        <v>09-Apr-2024</v>
      </c>
      <c r="P227" t="str">
        <f t="shared" si="43"/>
        <v>Meera Reddy-Mobile</v>
      </c>
    </row>
    <row r="228" spans="1:16" x14ac:dyDescent="0.4">
      <c r="A228" s="2" t="s">
        <v>2030</v>
      </c>
      <c r="B228" s="2" t="s">
        <v>579</v>
      </c>
      <c r="C228" s="2" t="s">
        <v>1793</v>
      </c>
      <c r="D228" s="3">
        <v>45349</v>
      </c>
      <c r="E228" s="2" t="s">
        <v>1794</v>
      </c>
      <c r="F228" t="str">
        <f t="shared" si="33"/>
        <v>yes</v>
      </c>
      <c r="G228">
        <f t="shared" si="34"/>
        <v>70</v>
      </c>
      <c r="H228" t="str">
        <f t="shared" si="35"/>
        <v>Received damaged item, requested replacement.</v>
      </c>
      <c r="I228" t="str">
        <f t="shared" si="36"/>
        <v>Received damaged item, requested replacement.</v>
      </c>
      <c r="J228">
        <f t="shared" si="37"/>
        <v>45</v>
      </c>
      <c r="K228" t="str">
        <f t="shared" si="38"/>
        <v>Received d</v>
      </c>
      <c r="L228">
        <f t="shared" si="39"/>
        <v>2</v>
      </c>
      <c r="M228">
        <f t="shared" ca="1" si="40"/>
        <v>969</v>
      </c>
      <c r="N228" t="str">
        <f t="shared" si="41"/>
        <v>WEEKDAY</v>
      </c>
      <c r="O228" t="str">
        <f t="shared" si="42"/>
        <v>27-Feb-2024</v>
      </c>
      <c r="P228" t="str">
        <f t="shared" si="43"/>
        <v>Diya Khan-Smartwatch</v>
      </c>
    </row>
    <row r="229" spans="1:16" x14ac:dyDescent="0.4">
      <c r="A229" s="2" t="s">
        <v>2031</v>
      </c>
      <c r="B229" s="2" t="s">
        <v>395</v>
      </c>
      <c r="C229" s="2" t="s">
        <v>1793</v>
      </c>
      <c r="D229" s="3">
        <v>45568</v>
      </c>
      <c r="E229" s="2" t="s">
        <v>1820</v>
      </c>
      <c r="F229" t="str">
        <f t="shared" si="33"/>
        <v>yes</v>
      </c>
      <c r="G229">
        <f t="shared" si="34"/>
        <v>70</v>
      </c>
      <c r="H229" t="str">
        <f t="shared" si="35"/>
        <v>Received damaged item, requested replacement.</v>
      </c>
      <c r="I229" t="str">
        <f t="shared" si="36"/>
        <v>Received damaged item, requested replacement.</v>
      </c>
      <c r="J229">
        <f t="shared" si="37"/>
        <v>45</v>
      </c>
      <c r="K229" t="str">
        <f t="shared" si="38"/>
        <v>Received d</v>
      </c>
      <c r="L229">
        <f t="shared" si="39"/>
        <v>10</v>
      </c>
      <c r="M229">
        <f t="shared" ca="1" si="40"/>
        <v>750</v>
      </c>
      <c r="N229" t="str">
        <f t="shared" si="41"/>
        <v>WEEKDAY</v>
      </c>
      <c r="O229" t="str">
        <f t="shared" si="42"/>
        <v>03-Oct-2024</v>
      </c>
      <c r="P229" t="str">
        <f t="shared" si="43"/>
        <v>Riya Nair-Printer</v>
      </c>
    </row>
    <row r="230" spans="1:16" x14ac:dyDescent="0.4">
      <c r="A230" s="2" t="s">
        <v>2032</v>
      </c>
      <c r="B230" s="2" t="s">
        <v>303</v>
      </c>
      <c r="C230" s="2" t="s">
        <v>1799</v>
      </c>
      <c r="D230" s="3">
        <v>45381</v>
      </c>
      <c r="E230" s="2" t="s">
        <v>1820</v>
      </c>
      <c r="F230" t="str">
        <f t="shared" si="33"/>
        <v>yes</v>
      </c>
      <c r="G230">
        <f t="shared" si="34"/>
        <v>70</v>
      </c>
      <c r="H230" t="str">
        <f t="shared" si="35"/>
        <v>Not satisfied with the quality.</v>
      </c>
      <c r="I230" t="str">
        <f t="shared" si="36"/>
        <v>Not satisfied with the quality.</v>
      </c>
      <c r="J230">
        <f t="shared" si="37"/>
        <v>31</v>
      </c>
      <c r="K230" t="str">
        <f t="shared" si="38"/>
        <v>Not satisf</v>
      </c>
      <c r="L230">
        <f t="shared" si="39"/>
        <v>3</v>
      </c>
      <c r="M230">
        <f t="shared" ca="1" si="40"/>
        <v>937</v>
      </c>
      <c r="N230" t="str">
        <f t="shared" si="41"/>
        <v>WEEKEND</v>
      </c>
      <c r="O230" t="str">
        <f t="shared" si="42"/>
        <v>30-Mar-2024</v>
      </c>
      <c r="P230" t="str">
        <f t="shared" si="43"/>
        <v>Isha Patel-Printer</v>
      </c>
    </row>
    <row r="231" spans="1:16" x14ac:dyDescent="0.4">
      <c r="A231" s="2" t="s">
        <v>2033</v>
      </c>
      <c r="B231" s="2" t="s">
        <v>191</v>
      </c>
      <c r="C231" s="2" t="s">
        <v>1809</v>
      </c>
      <c r="D231" s="3">
        <v>45392</v>
      </c>
      <c r="E231" s="2" t="s">
        <v>1800</v>
      </c>
      <c r="F231" t="str">
        <f t="shared" si="33"/>
        <v>yes</v>
      </c>
      <c r="G231">
        <f t="shared" si="34"/>
        <v>70</v>
      </c>
      <c r="H231" t="str">
        <f t="shared" si="35"/>
        <v>Customer support was helpful.</v>
      </c>
      <c r="I231" t="str">
        <f t="shared" si="36"/>
        <v>Customer support was helpful.</v>
      </c>
      <c r="J231">
        <f t="shared" si="37"/>
        <v>29</v>
      </c>
      <c r="K231" t="str">
        <f t="shared" si="38"/>
        <v>Customer s</v>
      </c>
      <c r="L231">
        <f t="shared" si="39"/>
        <v>4</v>
      </c>
      <c r="M231">
        <f t="shared" ca="1" si="40"/>
        <v>926</v>
      </c>
      <c r="N231" t="str">
        <f t="shared" si="41"/>
        <v>WEEKDAY</v>
      </c>
      <c r="O231" t="str">
        <f t="shared" si="42"/>
        <v>10-Apr-2024</v>
      </c>
      <c r="P231" t="str">
        <f t="shared" si="43"/>
        <v>Kabir Gupta-Camera</v>
      </c>
    </row>
    <row r="232" spans="1:16" x14ac:dyDescent="0.4">
      <c r="A232" s="2" t="s">
        <v>2034</v>
      </c>
      <c r="B232" s="2" t="s">
        <v>317</v>
      </c>
      <c r="C232" s="2" t="s">
        <v>1799</v>
      </c>
      <c r="D232" s="3">
        <v>45418</v>
      </c>
      <c r="E232" s="2" t="s">
        <v>1803</v>
      </c>
      <c r="F232" t="str">
        <f t="shared" si="33"/>
        <v>yes</v>
      </c>
      <c r="G232">
        <f t="shared" si="34"/>
        <v>70</v>
      </c>
      <c r="H232" t="str">
        <f t="shared" si="35"/>
        <v>Not satisfied with the quality.</v>
      </c>
      <c r="I232" t="str">
        <f t="shared" si="36"/>
        <v>Not satisfied with the quality.</v>
      </c>
      <c r="J232">
        <f t="shared" si="37"/>
        <v>31</v>
      </c>
      <c r="K232" t="str">
        <f t="shared" si="38"/>
        <v>Not satisf</v>
      </c>
      <c r="L232">
        <f t="shared" si="39"/>
        <v>5</v>
      </c>
      <c r="M232">
        <f t="shared" ca="1" si="40"/>
        <v>900</v>
      </c>
      <c r="N232" t="str">
        <f t="shared" si="41"/>
        <v>WEEKDAY</v>
      </c>
      <c r="O232" t="str">
        <f t="shared" si="42"/>
        <v>06-May-2024</v>
      </c>
      <c r="P232" t="str">
        <f t="shared" si="43"/>
        <v>Aditya Reddy-Laptop</v>
      </c>
    </row>
    <row r="233" spans="1:16" x14ac:dyDescent="0.4">
      <c r="A233" s="2" t="s">
        <v>2035</v>
      </c>
      <c r="B233" s="2" t="s">
        <v>43</v>
      </c>
      <c r="C233" s="2" t="s">
        <v>1815</v>
      </c>
      <c r="D233" s="3">
        <v>45363</v>
      </c>
      <c r="E233" s="2" t="s">
        <v>1797</v>
      </c>
      <c r="F233" t="str">
        <f t="shared" si="33"/>
        <v>yes</v>
      </c>
      <c r="G233">
        <f t="shared" si="34"/>
        <v>70</v>
      </c>
      <c r="H233" t="str">
        <f t="shared" si="35"/>
        <v>Great value for money!</v>
      </c>
      <c r="I233" t="str">
        <f t="shared" si="36"/>
        <v>Great value for money!</v>
      </c>
      <c r="J233">
        <f t="shared" si="37"/>
        <v>22</v>
      </c>
      <c r="K233" t="str">
        <f t="shared" si="38"/>
        <v>Great valu</v>
      </c>
      <c r="L233">
        <f t="shared" si="39"/>
        <v>3</v>
      </c>
      <c r="M233">
        <f t="shared" ca="1" si="40"/>
        <v>955</v>
      </c>
      <c r="N233" t="str">
        <f t="shared" si="41"/>
        <v>WEEKDAY</v>
      </c>
      <c r="O233" t="str">
        <f t="shared" si="42"/>
        <v>12-Mar-2024</v>
      </c>
      <c r="P233" t="str">
        <f t="shared" si="43"/>
        <v>Ananya Mehta-Mobile</v>
      </c>
    </row>
    <row r="234" spans="1:16" x14ac:dyDescent="0.4">
      <c r="A234" s="2" t="s">
        <v>2036</v>
      </c>
      <c r="B234" s="2" t="s">
        <v>187</v>
      </c>
      <c r="C234" s="2" t="s">
        <v>1802</v>
      </c>
      <c r="D234" s="3">
        <v>45304</v>
      </c>
      <c r="E234" s="2" t="s">
        <v>1810</v>
      </c>
      <c r="F234" t="str">
        <f t="shared" si="33"/>
        <v>yes</v>
      </c>
      <c r="G234">
        <f t="shared" si="34"/>
        <v>70</v>
      </c>
      <c r="H234" t="str">
        <f t="shared" si="35"/>
        <v>Product was excellent and delivery was fast.</v>
      </c>
      <c r="I234" t="str">
        <f t="shared" si="36"/>
        <v>Product was excellent and delivery was fast.</v>
      </c>
      <c r="J234">
        <f t="shared" si="37"/>
        <v>44</v>
      </c>
      <c r="K234" t="str">
        <f t="shared" si="38"/>
        <v>Product wa</v>
      </c>
      <c r="L234">
        <f t="shared" si="39"/>
        <v>1</v>
      </c>
      <c r="M234">
        <f t="shared" ca="1" si="40"/>
        <v>1014</v>
      </c>
      <c r="N234" t="str">
        <f t="shared" si="41"/>
        <v>WEEKEND</v>
      </c>
      <c r="O234" t="str">
        <f t="shared" si="42"/>
        <v>13-Jan-2024</v>
      </c>
      <c r="P234" t="str">
        <f t="shared" si="43"/>
        <v>Aarav Reddy-Tablet</v>
      </c>
    </row>
    <row r="235" spans="1:16" x14ac:dyDescent="0.4">
      <c r="A235" s="2" t="s">
        <v>2037</v>
      </c>
      <c r="B235" s="2" t="s">
        <v>74</v>
      </c>
      <c r="C235" s="2" t="s">
        <v>1815</v>
      </c>
      <c r="D235" s="3">
        <v>45656</v>
      </c>
      <c r="E235" s="2" t="s">
        <v>1810</v>
      </c>
      <c r="F235" t="str">
        <f t="shared" si="33"/>
        <v>yes</v>
      </c>
      <c r="G235">
        <f t="shared" si="34"/>
        <v>70</v>
      </c>
      <c r="H235" t="str">
        <f t="shared" si="35"/>
        <v>Great value for money!</v>
      </c>
      <c r="I235" t="str">
        <f t="shared" si="36"/>
        <v>Great value for money!</v>
      </c>
      <c r="J235">
        <f t="shared" si="37"/>
        <v>22</v>
      </c>
      <c r="K235" t="str">
        <f t="shared" si="38"/>
        <v>Great valu</v>
      </c>
      <c r="L235">
        <f t="shared" si="39"/>
        <v>12</v>
      </c>
      <c r="M235">
        <f t="shared" ca="1" si="40"/>
        <v>662</v>
      </c>
      <c r="N235" t="str">
        <f t="shared" si="41"/>
        <v>WEEKDAY</v>
      </c>
      <c r="O235" t="str">
        <f t="shared" si="42"/>
        <v>30-Dec-2024</v>
      </c>
      <c r="P235" t="str">
        <f t="shared" si="43"/>
        <v>Riya Das-Tablet</v>
      </c>
    </row>
    <row r="236" spans="1:16" x14ac:dyDescent="0.4">
      <c r="A236" s="2" t="s">
        <v>2038</v>
      </c>
      <c r="B236" s="2" t="s">
        <v>103</v>
      </c>
      <c r="C236" s="2" t="s">
        <v>1815</v>
      </c>
      <c r="D236" s="3">
        <v>45567</v>
      </c>
      <c r="E236" s="2" t="s">
        <v>1794</v>
      </c>
      <c r="F236" t="str">
        <f t="shared" si="33"/>
        <v>yes</v>
      </c>
      <c r="G236">
        <f t="shared" si="34"/>
        <v>70</v>
      </c>
      <c r="H236" t="str">
        <f t="shared" si="35"/>
        <v>Great value for money!</v>
      </c>
      <c r="I236" t="str">
        <f t="shared" si="36"/>
        <v>Great value for money!</v>
      </c>
      <c r="J236">
        <f t="shared" si="37"/>
        <v>22</v>
      </c>
      <c r="K236" t="str">
        <f t="shared" si="38"/>
        <v>Great valu</v>
      </c>
      <c r="L236">
        <f t="shared" si="39"/>
        <v>10</v>
      </c>
      <c r="M236">
        <f t="shared" ca="1" si="40"/>
        <v>751</v>
      </c>
      <c r="N236" t="str">
        <f t="shared" si="41"/>
        <v>WEEKDAY</v>
      </c>
      <c r="O236" t="str">
        <f t="shared" si="42"/>
        <v>02-Oct-2024</v>
      </c>
      <c r="P236" t="str">
        <f t="shared" si="43"/>
        <v>Diya Das-Smartwatch</v>
      </c>
    </row>
    <row r="237" spans="1:16" x14ac:dyDescent="0.4">
      <c r="A237" s="2" t="s">
        <v>2039</v>
      </c>
      <c r="B237" s="2" t="s">
        <v>363</v>
      </c>
      <c r="C237" s="2" t="s">
        <v>1796</v>
      </c>
      <c r="D237" s="3">
        <v>45445</v>
      </c>
      <c r="E237" s="2" t="s">
        <v>1800</v>
      </c>
      <c r="F237" t="str">
        <f t="shared" si="33"/>
        <v>yes</v>
      </c>
      <c r="G237">
        <f t="shared" si="34"/>
        <v>70</v>
      </c>
      <c r="H237" t="str">
        <f t="shared" si="35"/>
        <v>Delivery was late but product is good.</v>
      </c>
      <c r="I237" t="str">
        <f t="shared" si="36"/>
        <v>Delivery was delayed but product is good.</v>
      </c>
      <c r="J237">
        <f t="shared" si="37"/>
        <v>41</v>
      </c>
      <c r="K237" t="str">
        <f t="shared" si="38"/>
        <v>Delivery w</v>
      </c>
      <c r="L237">
        <f t="shared" si="39"/>
        <v>6</v>
      </c>
      <c r="M237">
        <f t="shared" ca="1" si="40"/>
        <v>873</v>
      </c>
      <c r="N237" t="str">
        <f t="shared" si="41"/>
        <v>WEEKEND</v>
      </c>
      <c r="O237" t="str">
        <f t="shared" si="42"/>
        <v>02-Jun-2024</v>
      </c>
      <c r="P237" t="str">
        <f t="shared" si="43"/>
        <v>Kabir Reddy-Camera</v>
      </c>
    </row>
    <row r="238" spans="1:16" x14ac:dyDescent="0.4">
      <c r="A238" s="2" t="s">
        <v>2040</v>
      </c>
      <c r="B238" s="2" t="s">
        <v>533</v>
      </c>
      <c r="C238" s="2" t="s">
        <v>1793</v>
      </c>
      <c r="D238" s="3">
        <v>45526</v>
      </c>
      <c r="E238" s="2" t="s">
        <v>1794</v>
      </c>
      <c r="F238" t="str">
        <f t="shared" si="33"/>
        <v>yes</v>
      </c>
      <c r="G238">
        <f t="shared" si="34"/>
        <v>70</v>
      </c>
      <c r="H238" t="str">
        <f t="shared" si="35"/>
        <v>Received damaged item, requested replacement.</v>
      </c>
      <c r="I238" t="str">
        <f t="shared" si="36"/>
        <v>Received damaged item, requested replacement.</v>
      </c>
      <c r="J238">
        <f t="shared" si="37"/>
        <v>45</v>
      </c>
      <c r="K238" t="str">
        <f t="shared" si="38"/>
        <v>Received d</v>
      </c>
      <c r="L238">
        <f t="shared" si="39"/>
        <v>8</v>
      </c>
      <c r="M238">
        <f t="shared" ca="1" si="40"/>
        <v>792</v>
      </c>
      <c r="N238" t="str">
        <f t="shared" si="41"/>
        <v>WEEKDAY</v>
      </c>
      <c r="O238" t="str">
        <f t="shared" si="42"/>
        <v>22-Aug-2024</v>
      </c>
      <c r="P238" t="str">
        <f t="shared" si="43"/>
        <v>Aditya Sharma-Smartwatch</v>
      </c>
    </row>
    <row r="239" spans="1:16" x14ac:dyDescent="0.4">
      <c r="A239" s="2" t="s">
        <v>2041</v>
      </c>
      <c r="B239" s="2" t="s">
        <v>161</v>
      </c>
      <c r="C239" s="2" t="s">
        <v>1796</v>
      </c>
      <c r="D239" s="3">
        <v>45303</v>
      </c>
      <c r="E239" s="2" t="s">
        <v>1803</v>
      </c>
      <c r="F239" t="str">
        <f t="shared" si="33"/>
        <v>yes</v>
      </c>
      <c r="G239">
        <f t="shared" si="34"/>
        <v>70</v>
      </c>
      <c r="H239" t="str">
        <f t="shared" si="35"/>
        <v>Delivery was late but product is good.</v>
      </c>
      <c r="I239" t="str">
        <f t="shared" si="36"/>
        <v>Delivery was delayed but product is good.</v>
      </c>
      <c r="J239">
        <f t="shared" si="37"/>
        <v>41</v>
      </c>
      <c r="K239" t="str">
        <f t="shared" si="38"/>
        <v>Delivery w</v>
      </c>
      <c r="L239">
        <f t="shared" si="39"/>
        <v>1</v>
      </c>
      <c r="M239">
        <f t="shared" ca="1" si="40"/>
        <v>1015</v>
      </c>
      <c r="N239" t="str">
        <f t="shared" si="41"/>
        <v>WEEKDAY</v>
      </c>
      <c r="O239" t="str">
        <f t="shared" si="42"/>
        <v>12-Jan-2024</v>
      </c>
      <c r="P239" t="str">
        <f t="shared" si="43"/>
        <v>Riya Patel-Laptop</v>
      </c>
    </row>
    <row r="240" spans="1:16" x14ac:dyDescent="0.4">
      <c r="A240" s="2" t="s">
        <v>2042</v>
      </c>
      <c r="B240" s="2" t="s">
        <v>295</v>
      </c>
      <c r="C240" s="2" t="s">
        <v>1796</v>
      </c>
      <c r="D240" s="3">
        <v>45413</v>
      </c>
      <c r="E240" s="2" t="s">
        <v>1820</v>
      </c>
      <c r="F240" t="str">
        <f t="shared" si="33"/>
        <v>yes</v>
      </c>
      <c r="G240">
        <f t="shared" si="34"/>
        <v>70</v>
      </c>
      <c r="H240" t="str">
        <f t="shared" si="35"/>
        <v>Delivery was late but product is good.</v>
      </c>
      <c r="I240" t="str">
        <f t="shared" si="36"/>
        <v>Delivery was delayed but product is good.</v>
      </c>
      <c r="J240">
        <f t="shared" si="37"/>
        <v>41</v>
      </c>
      <c r="K240" t="str">
        <f t="shared" si="38"/>
        <v>Delivery w</v>
      </c>
      <c r="L240">
        <f t="shared" si="39"/>
        <v>5</v>
      </c>
      <c r="M240">
        <f t="shared" ca="1" si="40"/>
        <v>905</v>
      </c>
      <c r="N240" t="str">
        <f t="shared" si="41"/>
        <v>WEEKDAY</v>
      </c>
      <c r="O240" t="str">
        <f t="shared" si="42"/>
        <v>01-May-2024</v>
      </c>
      <c r="P240" t="str">
        <f t="shared" si="43"/>
        <v>Aarav Sharma-Printer</v>
      </c>
    </row>
    <row r="241" spans="1:16" x14ac:dyDescent="0.4">
      <c r="A241" s="2" t="s">
        <v>2043</v>
      </c>
      <c r="B241" s="2" t="s">
        <v>533</v>
      </c>
      <c r="C241" s="2" t="s">
        <v>1815</v>
      </c>
      <c r="D241" s="3">
        <v>45491</v>
      </c>
      <c r="E241" s="2" t="s">
        <v>1794</v>
      </c>
      <c r="F241" t="str">
        <f t="shared" si="33"/>
        <v>yes</v>
      </c>
      <c r="G241">
        <f t="shared" si="34"/>
        <v>70</v>
      </c>
      <c r="H241" t="str">
        <f t="shared" si="35"/>
        <v>Great value for money!</v>
      </c>
      <c r="I241" t="str">
        <f t="shared" si="36"/>
        <v>Great value for money!</v>
      </c>
      <c r="J241">
        <f t="shared" si="37"/>
        <v>22</v>
      </c>
      <c r="K241" t="str">
        <f t="shared" si="38"/>
        <v>Great valu</v>
      </c>
      <c r="L241">
        <f t="shared" si="39"/>
        <v>7</v>
      </c>
      <c r="M241">
        <f t="shared" ca="1" si="40"/>
        <v>827</v>
      </c>
      <c r="N241" t="str">
        <f t="shared" si="41"/>
        <v>WEEKDAY</v>
      </c>
      <c r="O241" t="str">
        <f t="shared" si="42"/>
        <v>18-Jul-2024</v>
      </c>
      <c r="P241" t="str">
        <f t="shared" si="43"/>
        <v>Aditya Sharma-Smartwatch</v>
      </c>
    </row>
    <row r="242" spans="1:16" x14ac:dyDescent="0.4">
      <c r="A242" s="2" t="s">
        <v>2044</v>
      </c>
      <c r="B242" s="2" t="s">
        <v>263</v>
      </c>
      <c r="C242" s="2" t="s">
        <v>1802</v>
      </c>
      <c r="D242" s="3">
        <v>45523</v>
      </c>
      <c r="E242" s="2" t="s">
        <v>1797</v>
      </c>
      <c r="F242" t="str">
        <f t="shared" si="33"/>
        <v>yes</v>
      </c>
      <c r="G242">
        <f t="shared" si="34"/>
        <v>70</v>
      </c>
      <c r="H242" t="str">
        <f t="shared" si="35"/>
        <v>Product was excellent and delivery was fast.</v>
      </c>
      <c r="I242" t="str">
        <f t="shared" si="36"/>
        <v>Product was excellent and delivery was fast.</v>
      </c>
      <c r="J242">
        <f t="shared" si="37"/>
        <v>44</v>
      </c>
      <c r="K242" t="str">
        <f t="shared" si="38"/>
        <v>Product wa</v>
      </c>
      <c r="L242">
        <f t="shared" si="39"/>
        <v>8</v>
      </c>
      <c r="M242">
        <f t="shared" ca="1" si="40"/>
        <v>795</v>
      </c>
      <c r="N242" t="str">
        <f t="shared" si="41"/>
        <v>WEEKDAY</v>
      </c>
      <c r="O242" t="str">
        <f t="shared" si="42"/>
        <v>19-Aug-2024</v>
      </c>
      <c r="P242" t="str">
        <f t="shared" si="43"/>
        <v>Isha Gupta-Mobile</v>
      </c>
    </row>
    <row r="243" spans="1:16" x14ac:dyDescent="0.4">
      <c r="A243" s="2" t="s">
        <v>2045</v>
      </c>
      <c r="B243" s="2" t="s">
        <v>95</v>
      </c>
      <c r="C243" s="2" t="s">
        <v>1802</v>
      </c>
      <c r="D243" s="3">
        <v>45620</v>
      </c>
      <c r="E243" s="2" t="s">
        <v>1797</v>
      </c>
      <c r="F243" t="str">
        <f t="shared" si="33"/>
        <v>yes</v>
      </c>
      <c r="G243">
        <f t="shared" si="34"/>
        <v>70</v>
      </c>
      <c r="H243" t="str">
        <f t="shared" si="35"/>
        <v>Product was excellent and delivery was fast.</v>
      </c>
      <c r="I243" t="str">
        <f t="shared" si="36"/>
        <v>Product was excellent and delivery was fast.</v>
      </c>
      <c r="J243">
        <f t="shared" si="37"/>
        <v>44</v>
      </c>
      <c r="K243" t="str">
        <f t="shared" si="38"/>
        <v>Product wa</v>
      </c>
      <c r="L243">
        <f t="shared" si="39"/>
        <v>11</v>
      </c>
      <c r="M243">
        <f t="shared" ca="1" si="40"/>
        <v>698</v>
      </c>
      <c r="N243" t="str">
        <f t="shared" si="41"/>
        <v>WEEKEND</v>
      </c>
      <c r="O243" t="str">
        <f t="shared" si="42"/>
        <v>24-Nov-2024</v>
      </c>
      <c r="P243" t="str">
        <f t="shared" si="43"/>
        <v>Meera Sharma-Mobile</v>
      </c>
    </row>
    <row r="244" spans="1:16" x14ac:dyDescent="0.4">
      <c r="A244" s="2" t="s">
        <v>2046</v>
      </c>
      <c r="B244" s="2" t="s">
        <v>405</v>
      </c>
      <c r="C244" s="2" t="s">
        <v>1799</v>
      </c>
      <c r="D244" s="3">
        <v>45441</v>
      </c>
      <c r="E244" s="2" t="s">
        <v>1803</v>
      </c>
      <c r="F244" t="str">
        <f t="shared" si="33"/>
        <v>yes</v>
      </c>
      <c r="G244">
        <f t="shared" si="34"/>
        <v>70</v>
      </c>
      <c r="H244" t="str">
        <f t="shared" si="35"/>
        <v>Not satisfied with the quality.</v>
      </c>
      <c r="I244" t="str">
        <f t="shared" si="36"/>
        <v>Not satisfied with the quality.</v>
      </c>
      <c r="J244">
        <f t="shared" si="37"/>
        <v>31</v>
      </c>
      <c r="K244" t="str">
        <f t="shared" si="38"/>
        <v>Not satisf</v>
      </c>
      <c r="L244">
        <f t="shared" si="39"/>
        <v>5</v>
      </c>
      <c r="M244">
        <f t="shared" ca="1" si="40"/>
        <v>877</v>
      </c>
      <c r="N244" t="str">
        <f t="shared" si="41"/>
        <v>WEEKDAY</v>
      </c>
      <c r="O244" t="str">
        <f t="shared" si="42"/>
        <v>29-May-2024</v>
      </c>
      <c r="P244" t="str">
        <f t="shared" si="43"/>
        <v>Ananya Singh-Laptop</v>
      </c>
    </row>
    <row r="245" spans="1:16" x14ac:dyDescent="0.4">
      <c r="A245" s="2" t="s">
        <v>2047</v>
      </c>
      <c r="B245" s="2" t="s">
        <v>661</v>
      </c>
      <c r="C245" s="2" t="s">
        <v>1809</v>
      </c>
      <c r="D245" s="3">
        <v>45617</v>
      </c>
      <c r="E245" s="2" t="s">
        <v>1820</v>
      </c>
      <c r="F245" t="str">
        <f t="shared" si="33"/>
        <v>yes</v>
      </c>
      <c r="G245">
        <f t="shared" si="34"/>
        <v>70</v>
      </c>
      <c r="H245" t="str">
        <f t="shared" si="35"/>
        <v>Customer support was helpful.</v>
      </c>
      <c r="I245" t="str">
        <f t="shared" si="36"/>
        <v>Customer support was helpful.</v>
      </c>
      <c r="J245">
        <f t="shared" si="37"/>
        <v>29</v>
      </c>
      <c r="K245" t="str">
        <f t="shared" si="38"/>
        <v>Customer s</v>
      </c>
      <c r="L245">
        <f t="shared" si="39"/>
        <v>11</v>
      </c>
      <c r="M245">
        <f t="shared" ca="1" si="40"/>
        <v>701</v>
      </c>
      <c r="N245" t="str">
        <f t="shared" si="41"/>
        <v>WEEKDAY</v>
      </c>
      <c r="O245" t="str">
        <f t="shared" si="42"/>
        <v>21-Nov-2024</v>
      </c>
      <c r="P245" t="str">
        <f t="shared" si="43"/>
        <v>Kabir Khan-Printer</v>
      </c>
    </row>
    <row r="246" spans="1:16" x14ac:dyDescent="0.4">
      <c r="A246" s="2" t="s">
        <v>2048</v>
      </c>
      <c r="B246" s="2" t="s">
        <v>203</v>
      </c>
      <c r="C246" s="2" t="s">
        <v>1809</v>
      </c>
      <c r="D246" s="3">
        <v>45649</v>
      </c>
      <c r="E246" s="2" t="s">
        <v>1800</v>
      </c>
      <c r="F246" t="str">
        <f t="shared" si="33"/>
        <v>yes</v>
      </c>
      <c r="G246">
        <f t="shared" si="34"/>
        <v>70</v>
      </c>
      <c r="H246" t="str">
        <f t="shared" si="35"/>
        <v>Customer support was helpful.</v>
      </c>
      <c r="I246" t="str">
        <f t="shared" si="36"/>
        <v>Customer support was helpful.</v>
      </c>
      <c r="J246">
        <f t="shared" si="37"/>
        <v>29</v>
      </c>
      <c r="K246" t="str">
        <f t="shared" si="38"/>
        <v>Customer s</v>
      </c>
      <c r="L246">
        <f t="shared" si="39"/>
        <v>12</v>
      </c>
      <c r="M246">
        <f t="shared" ca="1" si="40"/>
        <v>669</v>
      </c>
      <c r="N246" t="str">
        <f t="shared" si="41"/>
        <v>WEEKDAY</v>
      </c>
      <c r="O246" t="str">
        <f t="shared" si="42"/>
        <v>23-Dec-2024</v>
      </c>
      <c r="P246" t="str">
        <f t="shared" si="43"/>
        <v>Ananya Gupta-Camera</v>
      </c>
    </row>
    <row r="247" spans="1:16" x14ac:dyDescent="0.4">
      <c r="A247" s="2" t="s">
        <v>2049</v>
      </c>
      <c r="B247" s="2" t="s">
        <v>48</v>
      </c>
      <c r="C247" s="2" t="s">
        <v>1796</v>
      </c>
      <c r="D247" s="3">
        <v>45591</v>
      </c>
      <c r="E247" s="2" t="s">
        <v>1820</v>
      </c>
      <c r="F247" t="str">
        <f t="shared" si="33"/>
        <v>yes</v>
      </c>
      <c r="G247">
        <f t="shared" si="34"/>
        <v>70</v>
      </c>
      <c r="H247" t="str">
        <f t="shared" si="35"/>
        <v>Delivery was late but product is good.</v>
      </c>
      <c r="I247" t="str">
        <f t="shared" si="36"/>
        <v>Delivery was delayed but product is good.</v>
      </c>
      <c r="J247">
        <f t="shared" si="37"/>
        <v>41</v>
      </c>
      <c r="K247" t="str">
        <f t="shared" si="38"/>
        <v>Delivery w</v>
      </c>
      <c r="L247">
        <f t="shared" si="39"/>
        <v>10</v>
      </c>
      <c r="M247">
        <f t="shared" ca="1" si="40"/>
        <v>727</v>
      </c>
      <c r="N247" t="str">
        <f t="shared" si="41"/>
        <v>WEEKEND</v>
      </c>
      <c r="O247" t="str">
        <f t="shared" si="42"/>
        <v>26-Oct-2024</v>
      </c>
      <c r="P247" t="str">
        <f t="shared" si="43"/>
        <v>Aditya Gupta-Printer</v>
      </c>
    </row>
    <row r="248" spans="1:16" x14ac:dyDescent="0.4">
      <c r="A248" s="2" t="s">
        <v>2050</v>
      </c>
      <c r="B248" s="2" t="s">
        <v>661</v>
      </c>
      <c r="C248" s="2" t="s">
        <v>1799</v>
      </c>
      <c r="D248" s="3">
        <v>45586</v>
      </c>
      <c r="E248" s="2" t="s">
        <v>1820</v>
      </c>
      <c r="F248" t="str">
        <f t="shared" si="33"/>
        <v>yes</v>
      </c>
      <c r="G248">
        <f t="shared" si="34"/>
        <v>70</v>
      </c>
      <c r="H248" t="str">
        <f t="shared" si="35"/>
        <v>Not satisfied with the quality.</v>
      </c>
      <c r="I248" t="str">
        <f t="shared" si="36"/>
        <v>Not satisfied with the quality.</v>
      </c>
      <c r="J248">
        <f t="shared" si="37"/>
        <v>31</v>
      </c>
      <c r="K248" t="str">
        <f t="shared" si="38"/>
        <v>Not satisf</v>
      </c>
      <c r="L248">
        <f t="shared" si="39"/>
        <v>10</v>
      </c>
      <c r="M248">
        <f t="shared" ca="1" si="40"/>
        <v>732</v>
      </c>
      <c r="N248" t="str">
        <f t="shared" si="41"/>
        <v>WEEKDAY</v>
      </c>
      <c r="O248" t="str">
        <f t="shared" si="42"/>
        <v>21-Oct-2024</v>
      </c>
      <c r="P248" t="str">
        <f t="shared" si="43"/>
        <v>Kabir Khan-Printer</v>
      </c>
    </row>
    <row r="249" spans="1:16" x14ac:dyDescent="0.4">
      <c r="A249" s="2" t="s">
        <v>2051</v>
      </c>
      <c r="B249" s="2" t="s">
        <v>385</v>
      </c>
      <c r="C249" s="2" t="s">
        <v>1796</v>
      </c>
      <c r="D249" s="3">
        <v>45292</v>
      </c>
      <c r="E249" s="2" t="s">
        <v>1797</v>
      </c>
      <c r="F249" t="str">
        <f t="shared" si="33"/>
        <v>yes</v>
      </c>
      <c r="G249">
        <f t="shared" si="34"/>
        <v>70</v>
      </c>
      <c r="H249" t="str">
        <f t="shared" si="35"/>
        <v>Delivery was late but product is good.</v>
      </c>
      <c r="I249" t="str">
        <f t="shared" si="36"/>
        <v>Delivery was delayed but product is good.</v>
      </c>
      <c r="J249">
        <f t="shared" si="37"/>
        <v>41</v>
      </c>
      <c r="K249" t="str">
        <f t="shared" si="38"/>
        <v>Delivery w</v>
      </c>
      <c r="L249">
        <f t="shared" si="39"/>
        <v>1</v>
      </c>
      <c r="M249">
        <f t="shared" ca="1" si="40"/>
        <v>1026</v>
      </c>
      <c r="N249" t="str">
        <f t="shared" si="41"/>
        <v>WEEKDAY</v>
      </c>
      <c r="O249" t="str">
        <f t="shared" si="42"/>
        <v>01-Jan-2024</v>
      </c>
      <c r="P249" t="str">
        <f t="shared" si="43"/>
        <v>Diya Nair-Mobile</v>
      </c>
    </row>
    <row r="250" spans="1:16" x14ac:dyDescent="0.4">
      <c r="A250" s="2" t="s">
        <v>2052</v>
      </c>
      <c r="B250" s="2" t="s">
        <v>195</v>
      </c>
      <c r="C250" s="2" t="s">
        <v>1815</v>
      </c>
      <c r="D250" s="3">
        <v>45494</v>
      </c>
      <c r="E250" s="2" t="s">
        <v>1820</v>
      </c>
      <c r="F250" t="str">
        <f t="shared" si="33"/>
        <v>yes</v>
      </c>
      <c r="G250">
        <f t="shared" si="34"/>
        <v>70</v>
      </c>
      <c r="H250" t="str">
        <f t="shared" si="35"/>
        <v>Great value for money!</v>
      </c>
      <c r="I250" t="str">
        <f t="shared" si="36"/>
        <v>Great value for money!</v>
      </c>
      <c r="J250">
        <f t="shared" si="37"/>
        <v>22</v>
      </c>
      <c r="K250" t="str">
        <f t="shared" si="38"/>
        <v>Great valu</v>
      </c>
      <c r="L250">
        <f t="shared" si="39"/>
        <v>7</v>
      </c>
      <c r="M250">
        <f t="shared" ca="1" si="40"/>
        <v>824</v>
      </c>
      <c r="N250" t="str">
        <f t="shared" si="41"/>
        <v>WEEKEND</v>
      </c>
      <c r="O250" t="str">
        <f t="shared" si="42"/>
        <v>21-Jul-2024</v>
      </c>
      <c r="P250" t="str">
        <f t="shared" si="43"/>
        <v>Ananya Das-Printer</v>
      </c>
    </row>
    <row r="251" spans="1:16" x14ac:dyDescent="0.4">
      <c r="A251" s="2" t="s">
        <v>2053</v>
      </c>
      <c r="B251" s="2" t="s">
        <v>95</v>
      </c>
      <c r="C251" s="2" t="s">
        <v>1809</v>
      </c>
      <c r="D251" s="3">
        <v>45593</v>
      </c>
      <c r="E251" s="2" t="s">
        <v>1810</v>
      </c>
      <c r="F251" t="str">
        <f t="shared" si="33"/>
        <v>yes</v>
      </c>
      <c r="G251">
        <f t="shared" si="34"/>
        <v>70</v>
      </c>
      <c r="H251" t="str">
        <f t="shared" si="35"/>
        <v>Customer support was helpful.</v>
      </c>
      <c r="I251" t="str">
        <f t="shared" si="36"/>
        <v>Customer support was helpful.</v>
      </c>
      <c r="J251">
        <f t="shared" si="37"/>
        <v>29</v>
      </c>
      <c r="K251" t="str">
        <f t="shared" si="38"/>
        <v>Customer s</v>
      </c>
      <c r="L251">
        <f t="shared" si="39"/>
        <v>10</v>
      </c>
      <c r="M251">
        <f t="shared" ca="1" si="40"/>
        <v>725</v>
      </c>
      <c r="N251" t="str">
        <f t="shared" si="41"/>
        <v>WEEKDAY</v>
      </c>
      <c r="O251" t="str">
        <f t="shared" si="42"/>
        <v>28-Oct-2024</v>
      </c>
      <c r="P251" t="str">
        <f t="shared" si="43"/>
        <v>Meera Sharma-Tablet</v>
      </c>
    </row>
    <row r="252" spans="1:16" x14ac:dyDescent="0.4">
      <c r="A252" s="2" t="s">
        <v>2054</v>
      </c>
      <c r="B252" s="2" t="s">
        <v>203</v>
      </c>
      <c r="C252" s="2" t="s">
        <v>1793</v>
      </c>
      <c r="D252" s="3">
        <v>45530</v>
      </c>
      <c r="E252" s="2" t="s">
        <v>1797</v>
      </c>
      <c r="F252" t="str">
        <f t="shared" si="33"/>
        <v>yes</v>
      </c>
      <c r="G252">
        <f t="shared" si="34"/>
        <v>70</v>
      </c>
      <c r="H252" t="str">
        <f t="shared" si="35"/>
        <v>Received damaged item, requested replacement.</v>
      </c>
      <c r="I252" t="str">
        <f t="shared" si="36"/>
        <v>Received damaged item, requested replacement.</v>
      </c>
      <c r="J252">
        <f t="shared" si="37"/>
        <v>45</v>
      </c>
      <c r="K252" t="str">
        <f t="shared" si="38"/>
        <v>Received d</v>
      </c>
      <c r="L252">
        <f t="shared" si="39"/>
        <v>8</v>
      </c>
      <c r="M252">
        <f t="shared" ca="1" si="40"/>
        <v>788</v>
      </c>
      <c r="N252" t="str">
        <f t="shared" si="41"/>
        <v>WEEKDAY</v>
      </c>
      <c r="O252" t="str">
        <f t="shared" si="42"/>
        <v>26-Aug-2024</v>
      </c>
      <c r="P252" t="str">
        <f t="shared" si="43"/>
        <v>Ananya Gupta-Mobile</v>
      </c>
    </row>
    <row r="253" spans="1:16" x14ac:dyDescent="0.4">
      <c r="A253" s="2" t="s">
        <v>2055</v>
      </c>
      <c r="B253" s="2" t="s">
        <v>567</v>
      </c>
      <c r="C253" s="2" t="s">
        <v>1799</v>
      </c>
      <c r="D253" s="3">
        <v>45325</v>
      </c>
      <c r="E253" s="2" t="s">
        <v>1803</v>
      </c>
      <c r="F253" t="str">
        <f t="shared" si="33"/>
        <v>yes</v>
      </c>
      <c r="G253">
        <f t="shared" si="34"/>
        <v>70</v>
      </c>
      <c r="H253" t="str">
        <f t="shared" si="35"/>
        <v>Not satisfied with the quality.</v>
      </c>
      <c r="I253" t="str">
        <f t="shared" si="36"/>
        <v>Not satisfied with the quality.</v>
      </c>
      <c r="J253">
        <f t="shared" si="37"/>
        <v>31</v>
      </c>
      <c r="K253" t="str">
        <f t="shared" si="38"/>
        <v>Not satisf</v>
      </c>
      <c r="L253">
        <f t="shared" si="39"/>
        <v>2</v>
      </c>
      <c r="M253">
        <f t="shared" ca="1" si="40"/>
        <v>993</v>
      </c>
      <c r="N253" t="str">
        <f t="shared" si="41"/>
        <v>WEEKEND</v>
      </c>
      <c r="O253" t="str">
        <f t="shared" si="42"/>
        <v>03-Feb-2024</v>
      </c>
      <c r="P253" t="str">
        <f t="shared" si="43"/>
        <v>Arjun Patel-Laptop</v>
      </c>
    </row>
    <row r="254" spans="1:16" x14ac:dyDescent="0.4">
      <c r="A254" s="2" t="s">
        <v>2056</v>
      </c>
      <c r="B254" s="2" t="s">
        <v>43</v>
      </c>
      <c r="C254" s="2" t="s">
        <v>1793</v>
      </c>
      <c r="D254" s="3">
        <v>45429</v>
      </c>
      <c r="E254" s="2" t="s">
        <v>1803</v>
      </c>
      <c r="F254" t="str">
        <f t="shared" si="33"/>
        <v>yes</v>
      </c>
      <c r="G254">
        <f t="shared" si="34"/>
        <v>70</v>
      </c>
      <c r="H254" t="str">
        <f t="shared" si="35"/>
        <v>Received damaged item, requested replacement.</v>
      </c>
      <c r="I254" t="str">
        <f t="shared" si="36"/>
        <v>Received damaged item, requested replacement.</v>
      </c>
      <c r="J254">
        <f t="shared" si="37"/>
        <v>45</v>
      </c>
      <c r="K254" t="str">
        <f t="shared" si="38"/>
        <v>Received d</v>
      </c>
      <c r="L254">
        <f t="shared" si="39"/>
        <v>5</v>
      </c>
      <c r="M254">
        <f t="shared" ca="1" si="40"/>
        <v>889</v>
      </c>
      <c r="N254" t="str">
        <f t="shared" si="41"/>
        <v>WEEKDAY</v>
      </c>
      <c r="O254" t="str">
        <f t="shared" si="42"/>
        <v>17-May-2024</v>
      </c>
      <c r="P254" t="str">
        <f t="shared" si="43"/>
        <v>Ananya Mehta-Laptop</v>
      </c>
    </row>
    <row r="255" spans="1:16" x14ac:dyDescent="0.4">
      <c r="A255" s="2" t="s">
        <v>2057</v>
      </c>
      <c r="B255" s="2" t="s">
        <v>831</v>
      </c>
      <c r="C255" s="2" t="s">
        <v>1809</v>
      </c>
      <c r="D255" s="3">
        <v>45565</v>
      </c>
      <c r="E255" s="2" t="s">
        <v>1794</v>
      </c>
      <c r="F255" t="str">
        <f t="shared" si="33"/>
        <v>yes</v>
      </c>
      <c r="G255">
        <f t="shared" si="34"/>
        <v>70</v>
      </c>
      <c r="H255" t="str">
        <f t="shared" si="35"/>
        <v>Customer support was helpful.</v>
      </c>
      <c r="I255" t="str">
        <f t="shared" si="36"/>
        <v>Customer support was helpful.</v>
      </c>
      <c r="J255">
        <f t="shared" si="37"/>
        <v>29</v>
      </c>
      <c r="K255" t="str">
        <f t="shared" si="38"/>
        <v>Customer s</v>
      </c>
      <c r="L255">
        <f t="shared" si="39"/>
        <v>9</v>
      </c>
      <c r="M255">
        <f t="shared" ca="1" si="40"/>
        <v>753</v>
      </c>
      <c r="N255" t="str">
        <f t="shared" si="41"/>
        <v>WEEKDAY</v>
      </c>
      <c r="O255" t="str">
        <f t="shared" si="42"/>
        <v>30-Sep-2024</v>
      </c>
      <c r="P255" t="str">
        <f t="shared" si="43"/>
        <v>Diya Sharma-Smartwatch</v>
      </c>
    </row>
    <row r="256" spans="1:16" x14ac:dyDescent="0.4">
      <c r="A256" s="2" t="s">
        <v>2058</v>
      </c>
      <c r="B256" s="2" t="s">
        <v>213</v>
      </c>
      <c r="C256" s="2" t="s">
        <v>1793</v>
      </c>
      <c r="D256" s="3">
        <v>45386</v>
      </c>
      <c r="E256" s="2" t="s">
        <v>1794</v>
      </c>
      <c r="F256" t="str">
        <f t="shared" si="33"/>
        <v>yes</v>
      </c>
      <c r="G256">
        <f t="shared" si="34"/>
        <v>70</v>
      </c>
      <c r="H256" t="str">
        <f t="shared" si="35"/>
        <v>Received damaged item, requested replacement.</v>
      </c>
      <c r="I256" t="str">
        <f t="shared" si="36"/>
        <v>Received damaged item, requested replacement.</v>
      </c>
      <c r="J256">
        <f t="shared" si="37"/>
        <v>45</v>
      </c>
      <c r="K256" t="str">
        <f t="shared" si="38"/>
        <v>Received d</v>
      </c>
      <c r="L256">
        <f t="shared" si="39"/>
        <v>4</v>
      </c>
      <c r="M256">
        <f t="shared" ca="1" si="40"/>
        <v>932</v>
      </c>
      <c r="N256" t="str">
        <f t="shared" si="41"/>
        <v>WEEKDAY</v>
      </c>
      <c r="O256" t="str">
        <f t="shared" si="42"/>
        <v>04-Apr-2024</v>
      </c>
      <c r="P256" t="str">
        <f t="shared" si="43"/>
        <v>Vivaan Patel-Smartwatch</v>
      </c>
    </row>
    <row r="257" spans="1:16" x14ac:dyDescent="0.4">
      <c r="A257" s="2" t="s">
        <v>2059</v>
      </c>
      <c r="B257" s="2" t="s">
        <v>239</v>
      </c>
      <c r="C257" s="2" t="s">
        <v>1809</v>
      </c>
      <c r="D257" s="3">
        <v>45500</v>
      </c>
      <c r="E257" s="2" t="s">
        <v>1797</v>
      </c>
      <c r="F257" t="str">
        <f t="shared" si="33"/>
        <v>yes</v>
      </c>
      <c r="G257">
        <f t="shared" si="34"/>
        <v>70</v>
      </c>
      <c r="H257" t="str">
        <f t="shared" si="35"/>
        <v>Customer support was helpful.</v>
      </c>
      <c r="I257" t="str">
        <f t="shared" si="36"/>
        <v>Customer support was helpful.</v>
      </c>
      <c r="J257">
        <f t="shared" si="37"/>
        <v>29</v>
      </c>
      <c r="K257" t="str">
        <f t="shared" si="38"/>
        <v>Customer s</v>
      </c>
      <c r="L257">
        <f t="shared" si="39"/>
        <v>7</v>
      </c>
      <c r="M257">
        <f t="shared" ca="1" si="40"/>
        <v>818</v>
      </c>
      <c r="N257" t="str">
        <f t="shared" si="41"/>
        <v>WEEKEND</v>
      </c>
      <c r="O257" t="str">
        <f t="shared" si="42"/>
        <v>27-Jul-2024</v>
      </c>
      <c r="P257" t="str">
        <f t="shared" si="43"/>
        <v>Vivaan Singh-Mobile</v>
      </c>
    </row>
    <row r="258" spans="1:16" x14ac:dyDescent="0.4">
      <c r="A258" s="2" t="s">
        <v>2060</v>
      </c>
      <c r="B258" s="2" t="s">
        <v>199</v>
      </c>
      <c r="C258" s="2" t="s">
        <v>1793</v>
      </c>
      <c r="D258" s="3">
        <v>45507</v>
      </c>
      <c r="E258" s="2" t="s">
        <v>1820</v>
      </c>
      <c r="F258" t="str">
        <f t="shared" si="33"/>
        <v>yes</v>
      </c>
      <c r="G258">
        <f t="shared" si="34"/>
        <v>70</v>
      </c>
      <c r="H258" t="str">
        <f t="shared" si="35"/>
        <v>Received damaged item, requested replacement.</v>
      </c>
      <c r="I258" t="str">
        <f t="shared" si="36"/>
        <v>Received damaged item, requested replacement.</v>
      </c>
      <c r="J258">
        <f t="shared" si="37"/>
        <v>45</v>
      </c>
      <c r="K258" t="str">
        <f t="shared" si="38"/>
        <v>Received d</v>
      </c>
      <c r="L258">
        <f t="shared" si="39"/>
        <v>8</v>
      </c>
      <c r="M258">
        <f t="shared" ca="1" si="40"/>
        <v>811</v>
      </c>
      <c r="N258" t="str">
        <f t="shared" si="41"/>
        <v>WEEKEND</v>
      </c>
      <c r="O258" t="str">
        <f t="shared" si="42"/>
        <v>03-Aug-2024</v>
      </c>
      <c r="P258" t="str">
        <f t="shared" si="43"/>
        <v>Kabir Das-Printer</v>
      </c>
    </row>
    <row r="259" spans="1:16" x14ac:dyDescent="0.4">
      <c r="A259" s="2" t="s">
        <v>2061</v>
      </c>
      <c r="B259" s="2" t="s">
        <v>385</v>
      </c>
      <c r="C259" s="2" t="s">
        <v>1796</v>
      </c>
      <c r="D259" s="3">
        <v>45525</v>
      </c>
      <c r="E259" s="2" t="s">
        <v>1794</v>
      </c>
      <c r="F259" t="str">
        <f t="shared" ref="F259:F322" si="44">IF(YEAR(D259)=2024,"yes","No")</f>
        <v>yes</v>
      </c>
      <c r="G259">
        <f t="shared" ref="G259:G322" si="45">COUNTIF($C$2:$C$501,"*good*")</f>
        <v>70</v>
      </c>
      <c r="H259" t="str">
        <f t="shared" ref="H259:H322" si="46">SUBSTITUTE(C259,"delayed","late")</f>
        <v>Delivery was late but product is good.</v>
      </c>
      <c r="I259" t="str">
        <f t="shared" ref="I259:I322" si="47">TRIM(C259)</f>
        <v>Delivery was delayed but product is good.</v>
      </c>
      <c r="J259">
        <f t="shared" ref="J259:J322" si="48">LEN(C259)</f>
        <v>41</v>
      </c>
      <c r="K259" t="str">
        <f t="shared" ref="K259:K322" si="49">LEFT(C259,10)</f>
        <v>Delivery w</v>
      </c>
      <c r="L259">
        <f t="shared" ref="L259:L322" si="50">MONTH(D259)</f>
        <v>8</v>
      </c>
      <c r="M259">
        <f t="shared" ref="M259:M322" ca="1" si="51">DATEDIF(D259,TODAY(),"D")</f>
        <v>793</v>
      </c>
      <c r="N259" t="str">
        <f t="shared" ref="N259:N322" si="52">IF(WEEKDAY(D259,2)&gt;5,"WEEKEND","WEEKDAY")</f>
        <v>WEEKDAY</v>
      </c>
      <c r="O259" t="str">
        <f t="shared" ref="O259:O322" si="53">TEXT(D259,"DD-MMM-YYYY")</f>
        <v>21-Aug-2024</v>
      </c>
      <c r="P259" t="str">
        <f t="shared" ref="P259:P322" si="54">_xlfn.CONCAT(B259,"-",E259)</f>
        <v>Diya Nair-Smartwatch</v>
      </c>
    </row>
    <row r="260" spans="1:16" x14ac:dyDescent="0.4">
      <c r="A260" s="2" t="s">
        <v>2062</v>
      </c>
      <c r="B260" s="2" t="s">
        <v>1087</v>
      </c>
      <c r="C260" s="2" t="s">
        <v>1809</v>
      </c>
      <c r="D260" s="3">
        <v>45365</v>
      </c>
      <c r="E260" s="2" t="s">
        <v>1810</v>
      </c>
      <c r="F260" t="str">
        <f t="shared" si="44"/>
        <v>yes</v>
      </c>
      <c r="G260">
        <f t="shared" si="45"/>
        <v>70</v>
      </c>
      <c r="H260" t="str">
        <f t="shared" si="46"/>
        <v>Customer support was helpful.</v>
      </c>
      <c r="I260" t="str">
        <f t="shared" si="47"/>
        <v>Customer support was helpful.</v>
      </c>
      <c r="J260">
        <f t="shared" si="48"/>
        <v>29</v>
      </c>
      <c r="K260" t="str">
        <f t="shared" si="49"/>
        <v>Customer s</v>
      </c>
      <c r="L260">
        <f t="shared" si="50"/>
        <v>3</v>
      </c>
      <c r="M260">
        <f t="shared" ca="1" si="51"/>
        <v>953</v>
      </c>
      <c r="N260" t="str">
        <f t="shared" si="52"/>
        <v>WEEKDAY</v>
      </c>
      <c r="O260" t="str">
        <f t="shared" si="53"/>
        <v>14-Mar-2024</v>
      </c>
      <c r="P260" t="str">
        <f t="shared" si="54"/>
        <v>Vivaan Sharma-Tablet</v>
      </c>
    </row>
    <row r="261" spans="1:16" x14ac:dyDescent="0.4">
      <c r="A261" s="2" t="s">
        <v>2063</v>
      </c>
      <c r="B261" s="2" t="s">
        <v>191</v>
      </c>
      <c r="C261" s="2" t="s">
        <v>1799</v>
      </c>
      <c r="D261" s="3">
        <v>45609</v>
      </c>
      <c r="E261" s="2" t="s">
        <v>1810</v>
      </c>
      <c r="F261" t="str">
        <f t="shared" si="44"/>
        <v>yes</v>
      </c>
      <c r="G261">
        <f t="shared" si="45"/>
        <v>70</v>
      </c>
      <c r="H261" t="str">
        <f t="shared" si="46"/>
        <v>Not satisfied with the quality.</v>
      </c>
      <c r="I261" t="str">
        <f t="shared" si="47"/>
        <v>Not satisfied with the quality.</v>
      </c>
      <c r="J261">
        <f t="shared" si="48"/>
        <v>31</v>
      </c>
      <c r="K261" t="str">
        <f t="shared" si="49"/>
        <v>Not satisf</v>
      </c>
      <c r="L261">
        <f t="shared" si="50"/>
        <v>11</v>
      </c>
      <c r="M261">
        <f t="shared" ca="1" si="51"/>
        <v>709</v>
      </c>
      <c r="N261" t="str">
        <f t="shared" si="52"/>
        <v>WEEKDAY</v>
      </c>
      <c r="O261" t="str">
        <f t="shared" si="53"/>
        <v>13-Nov-2024</v>
      </c>
      <c r="P261" t="str">
        <f t="shared" si="54"/>
        <v>Kabir Gupta-Tablet</v>
      </c>
    </row>
    <row r="262" spans="1:16" x14ac:dyDescent="0.4">
      <c r="A262" s="2" t="s">
        <v>2064</v>
      </c>
      <c r="B262" s="2" t="s">
        <v>295</v>
      </c>
      <c r="C262" s="2" t="s">
        <v>1815</v>
      </c>
      <c r="D262" s="3">
        <v>45459</v>
      </c>
      <c r="E262" s="2" t="s">
        <v>1797</v>
      </c>
      <c r="F262" t="str">
        <f t="shared" si="44"/>
        <v>yes</v>
      </c>
      <c r="G262">
        <f t="shared" si="45"/>
        <v>70</v>
      </c>
      <c r="H262" t="str">
        <f t="shared" si="46"/>
        <v>Great value for money!</v>
      </c>
      <c r="I262" t="str">
        <f t="shared" si="47"/>
        <v>Great value for money!</v>
      </c>
      <c r="J262">
        <f t="shared" si="48"/>
        <v>22</v>
      </c>
      <c r="K262" t="str">
        <f t="shared" si="49"/>
        <v>Great valu</v>
      </c>
      <c r="L262">
        <f t="shared" si="50"/>
        <v>6</v>
      </c>
      <c r="M262">
        <f t="shared" ca="1" si="51"/>
        <v>859</v>
      </c>
      <c r="N262" t="str">
        <f t="shared" si="52"/>
        <v>WEEKEND</v>
      </c>
      <c r="O262" t="str">
        <f t="shared" si="53"/>
        <v>16-Jun-2024</v>
      </c>
      <c r="P262" t="str">
        <f t="shared" si="54"/>
        <v>Aarav Sharma-Mobile</v>
      </c>
    </row>
    <row r="263" spans="1:16" x14ac:dyDescent="0.4">
      <c r="A263" s="2" t="s">
        <v>2065</v>
      </c>
      <c r="B263" s="2" t="s">
        <v>489</v>
      </c>
      <c r="C263" s="2" t="s">
        <v>1799</v>
      </c>
      <c r="D263" s="3">
        <v>45549</v>
      </c>
      <c r="E263" s="2" t="s">
        <v>1797</v>
      </c>
      <c r="F263" t="str">
        <f t="shared" si="44"/>
        <v>yes</v>
      </c>
      <c r="G263">
        <f t="shared" si="45"/>
        <v>70</v>
      </c>
      <c r="H263" t="str">
        <f t="shared" si="46"/>
        <v>Not satisfied with the quality.</v>
      </c>
      <c r="I263" t="str">
        <f t="shared" si="47"/>
        <v>Not satisfied with the quality.</v>
      </c>
      <c r="J263">
        <f t="shared" si="48"/>
        <v>31</v>
      </c>
      <c r="K263" t="str">
        <f t="shared" si="49"/>
        <v>Not satisf</v>
      </c>
      <c r="L263">
        <f t="shared" si="50"/>
        <v>9</v>
      </c>
      <c r="M263">
        <f t="shared" ca="1" si="51"/>
        <v>769</v>
      </c>
      <c r="N263" t="str">
        <f t="shared" si="52"/>
        <v>WEEKEND</v>
      </c>
      <c r="O263" t="str">
        <f t="shared" si="53"/>
        <v>14-Sep-2024</v>
      </c>
      <c r="P263" t="str">
        <f t="shared" si="54"/>
        <v>Arjun Reddy-Mobile</v>
      </c>
    </row>
    <row r="264" spans="1:16" x14ac:dyDescent="0.4">
      <c r="A264" s="2" t="s">
        <v>2066</v>
      </c>
      <c r="B264" s="2" t="s">
        <v>651</v>
      </c>
      <c r="C264" s="2" t="s">
        <v>1802</v>
      </c>
      <c r="D264" s="3">
        <v>45303</v>
      </c>
      <c r="E264" s="2" t="s">
        <v>1810</v>
      </c>
      <c r="F264" t="str">
        <f t="shared" si="44"/>
        <v>yes</v>
      </c>
      <c r="G264">
        <f t="shared" si="45"/>
        <v>70</v>
      </c>
      <c r="H264" t="str">
        <f t="shared" si="46"/>
        <v>Product was excellent and delivery was fast.</v>
      </c>
      <c r="I264" t="str">
        <f t="shared" si="47"/>
        <v>Product was excellent and delivery was fast.</v>
      </c>
      <c r="J264">
        <f t="shared" si="48"/>
        <v>44</v>
      </c>
      <c r="K264" t="str">
        <f t="shared" si="49"/>
        <v>Product wa</v>
      </c>
      <c r="L264">
        <f t="shared" si="50"/>
        <v>1</v>
      </c>
      <c r="M264">
        <f t="shared" ca="1" si="51"/>
        <v>1015</v>
      </c>
      <c r="N264" t="str">
        <f t="shared" si="52"/>
        <v>WEEKDAY</v>
      </c>
      <c r="O264" t="str">
        <f t="shared" si="53"/>
        <v>12-Jan-2024</v>
      </c>
      <c r="P264" t="str">
        <f t="shared" si="54"/>
        <v>Aarav Nair-Tablet</v>
      </c>
    </row>
    <row r="265" spans="1:16" x14ac:dyDescent="0.4">
      <c r="A265" s="2" t="s">
        <v>2067</v>
      </c>
      <c r="B265" s="2" t="s">
        <v>165</v>
      </c>
      <c r="C265" s="2" t="s">
        <v>1802</v>
      </c>
      <c r="D265" s="3">
        <v>45428</v>
      </c>
      <c r="E265" s="2" t="s">
        <v>1797</v>
      </c>
      <c r="F265" t="str">
        <f t="shared" si="44"/>
        <v>yes</v>
      </c>
      <c r="G265">
        <f t="shared" si="45"/>
        <v>70</v>
      </c>
      <c r="H265" t="str">
        <f t="shared" si="46"/>
        <v>Product was excellent and delivery was fast.</v>
      </c>
      <c r="I265" t="str">
        <f t="shared" si="47"/>
        <v>Product was excellent and delivery was fast.</v>
      </c>
      <c r="J265">
        <f t="shared" si="48"/>
        <v>44</v>
      </c>
      <c r="K265" t="str">
        <f t="shared" si="49"/>
        <v>Product wa</v>
      </c>
      <c r="L265">
        <f t="shared" si="50"/>
        <v>5</v>
      </c>
      <c r="M265">
        <f t="shared" ca="1" si="51"/>
        <v>890</v>
      </c>
      <c r="N265" t="str">
        <f t="shared" si="52"/>
        <v>WEEKDAY</v>
      </c>
      <c r="O265" t="str">
        <f t="shared" si="53"/>
        <v>16-May-2024</v>
      </c>
      <c r="P265" t="str">
        <f t="shared" si="54"/>
        <v>Aditya Das-Mobile</v>
      </c>
    </row>
    <row r="266" spans="1:16" x14ac:dyDescent="0.4">
      <c r="A266" s="2" t="s">
        <v>2068</v>
      </c>
      <c r="B266" s="2" t="s">
        <v>299</v>
      </c>
      <c r="C266" s="2" t="s">
        <v>1802</v>
      </c>
      <c r="D266" s="3">
        <v>45483</v>
      </c>
      <c r="E266" s="2" t="s">
        <v>1820</v>
      </c>
      <c r="F266" t="str">
        <f t="shared" si="44"/>
        <v>yes</v>
      </c>
      <c r="G266">
        <f t="shared" si="45"/>
        <v>70</v>
      </c>
      <c r="H266" t="str">
        <f t="shared" si="46"/>
        <v>Product was excellent and delivery was fast.</v>
      </c>
      <c r="I266" t="str">
        <f t="shared" si="47"/>
        <v>Product was excellent and delivery was fast.</v>
      </c>
      <c r="J266">
        <f t="shared" si="48"/>
        <v>44</v>
      </c>
      <c r="K266" t="str">
        <f t="shared" si="49"/>
        <v>Product wa</v>
      </c>
      <c r="L266">
        <f t="shared" si="50"/>
        <v>7</v>
      </c>
      <c r="M266">
        <f t="shared" ca="1" si="51"/>
        <v>835</v>
      </c>
      <c r="N266" t="str">
        <f t="shared" si="52"/>
        <v>WEEKDAY</v>
      </c>
      <c r="O266" t="str">
        <f t="shared" si="53"/>
        <v>10-Jul-2024</v>
      </c>
      <c r="P266" t="str">
        <f t="shared" si="54"/>
        <v>Aditya Khan-Printer</v>
      </c>
    </row>
    <row r="267" spans="1:16" x14ac:dyDescent="0.4">
      <c r="A267" s="2" t="s">
        <v>2069</v>
      </c>
      <c r="B267" s="2" t="s">
        <v>263</v>
      </c>
      <c r="C267" s="2" t="s">
        <v>1802</v>
      </c>
      <c r="D267" s="3">
        <v>45479</v>
      </c>
      <c r="E267" s="2" t="s">
        <v>1820</v>
      </c>
      <c r="F267" t="str">
        <f t="shared" si="44"/>
        <v>yes</v>
      </c>
      <c r="G267">
        <f t="shared" si="45"/>
        <v>70</v>
      </c>
      <c r="H267" t="str">
        <f t="shared" si="46"/>
        <v>Product was excellent and delivery was fast.</v>
      </c>
      <c r="I267" t="str">
        <f t="shared" si="47"/>
        <v>Product was excellent and delivery was fast.</v>
      </c>
      <c r="J267">
        <f t="shared" si="48"/>
        <v>44</v>
      </c>
      <c r="K267" t="str">
        <f t="shared" si="49"/>
        <v>Product wa</v>
      </c>
      <c r="L267">
        <f t="shared" si="50"/>
        <v>7</v>
      </c>
      <c r="M267">
        <f t="shared" ca="1" si="51"/>
        <v>839</v>
      </c>
      <c r="N267" t="str">
        <f t="shared" si="52"/>
        <v>WEEKEND</v>
      </c>
      <c r="O267" t="str">
        <f t="shared" si="53"/>
        <v>06-Jul-2024</v>
      </c>
      <c r="P267" t="str">
        <f t="shared" si="54"/>
        <v>Isha Gupta-Printer</v>
      </c>
    </row>
    <row r="268" spans="1:16" x14ac:dyDescent="0.4">
      <c r="A268" s="2" t="s">
        <v>2070</v>
      </c>
      <c r="B268" s="2" t="s">
        <v>287</v>
      </c>
      <c r="C268" s="2" t="s">
        <v>1809</v>
      </c>
      <c r="D268" s="3">
        <v>45643</v>
      </c>
      <c r="E268" s="2" t="s">
        <v>1803</v>
      </c>
      <c r="F268" t="str">
        <f t="shared" si="44"/>
        <v>yes</v>
      </c>
      <c r="G268">
        <f t="shared" si="45"/>
        <v>70</v>
      </c>
      <c r="H268" t="str">
        <f t="shared" si="46"/>
        <v>Customer support was helpful.</v>
      </c>
      <c r="I268" t="str">
        <f t="shared" si="47"/>
        <v>Customer support was helpful.</v>
      </c>
      <c r="J268">
        <f t="shared" si="48"/>
        <v>29</v>
      </c>
      <c r="K268" t="str">
        <f t="shared" si="49"/>
        <v>Customer s</v>
      </c>
      <c r="L268">
        <f t="shared" si="50"/>
        <v>12</v>
      </c>
      <c r="M268">
        <f t="shared" ca="1" si="51"/>
        <v>675</v>
      </c>
      <c r="N268" t="str">
        <f t="shared" si="52"/>
        <v>WEEKDAY</v>
      </c>
      <c r="O268" t="str">
        <f t="shared" si="53"/>
        <v>17-Dec-2024</v>
      </c>
      <c r="P268" t="str">
        <f t="shared" si="54"/>
        <v>Meera Singh-Laptop</v>
      </c>
    </row>
    <row r="269" spans="1:16" x14ac:dyDescent="0.4">
      <c r="A269" s="2" t="s">
        <v>2071</v>
      </c>
      <c r="B269" s="2" t="s">
        <v>489</v>
      </c>
      <c r="C269" s="2" t="s">
        <v>1809</v>
      </c>
      <c r="D269" s="3">
        <v>45510</v>
      </c>
      <c r="E269" s="2" t="s">
        <v>1800</v>
      </c>
      <c r="F269" t="str">
        <f t="shared" si="44"/>
        <v>yes</v>
      </c>
      <c r="G269">
        <f t="shared" si="45"/>
        <v>70</v>
      </c>
      <c r="H269" t="str">
        <f t="shared" si="46"/>
        <v>Customer support was helpful.</v>
      </c>
      <c r="I269" t="str">
        <f t="shared" si="47"/>
        <v>Customer support was helpful.</v>
      </c>
      <c r="J269">
        <f t="shared" si="48"/>
        <v>29</v>
      </c>
      <c r="K269" t="str">
        <f t="shared" si="49"/>
        <v>Customer s</v>
      </c>
      <c r="L269">
        <f t="shared" si="50"/>
        <v>8</v>
      </c>
      <c r="M269">
        <f t="shared" ca="1" si="51"/>
        <v>808</v>
      </c>
      <c r="N269" t="str">
        <f t="shared" si="52"/>
        <v>WEEKDAY</v>
      </c>
      <c r="O269" t="str">
        <f t="shared" si="53"/>
        <v>06-Aug-2024</v>
      </c>
      <c r="P269" t="str">
        <f t="shared" si="54"/>
        <v>Arjun Reddy-Camera</v>
      </c>
    </row>
    <row r="270" spans="1:16" x14ac:dyDescent="0.4">
      <c r="A270" s="2" t="s">
        <v>2072</v>
      </c>
      <c r="B270" s="2" t="s">
        <v>561</v>
      </c>
      <c r="C270" s="2" t="s">
        <v>1796</v>
      </c>
      <c r="D270" s="3">
        <v>45358</v>
      </c>
      <c r="E270" s="2" t="s">
        <v>1803</v>
      </c>
      <c r="F270" t="str">
        <f t="shared" si="44"/>
        <v>yes</v>
      </c>
      <c r="G270">
        <f t="shared" si="45"/>
        <v>70</v>
      </c>
      <c r="H270" t="str">
        <f t="shared" si="46"/>
        <v>Delivery was late but product is good.</v>
      </c>
      <c r="I270" t="str">
        <f t="shared" si="47"/>
        <v>Delivery was delayed but product is good.</v>
      </c>
      <c r="J270">
        <f t="shared" si="48"/>
        <v>41</v>
      </c>
      <c r="K270" t="str">
        <f t="shared" si="49"/>
        <v>Delivery w</v>
      </c>
      <c r="L270">
        <f t="shared" si="50"/>
        <v>3</v>
      </c>
      <c r="M270">
        <f t="shared" ca="1" si="51"/>
        <v>960</v>
      </c>
      <c r="N270" t="str">
        <f t="shared" si="52"/>
        <v>WEEKDAY</v>
      </c>
      <c r="O270" t="str">
        <f t="shared" si="53"/>
        <v>07-Mar-2024</v>
      </c>
      <c r="P270" t="str">
        <f t="shared" si="54"/>
        <v>Arjun Das-Laptop</v>
      </c>
    </row>
    <row r="271" spans="1:16" x14ac:dyDescent="0.4">
      <c r="A271" s="2" t="s">
        <v>2073</v>
      </c>
      <c r="B271" s="2" t="s">
        <v>121</v>
      </c>
      <c r="C271" s="2" t="s">
        <v>1809</v>
      </c>
      <c r="D271" s="3">
        <v>45628</v>
      </c>
      <c r="E271" s="2" t="s">
        <v>1800</v>
      </c>
      <c r="F271" t="str">
        <f t="shared" si="44"/>
        <v>yes</v>
      </c>
      <c r="G271">
        <f t="shared" si="45"/>
        <v>70</v>
      </c>
      <c r="H271" t="str">
        <f t="shared" si="46"/>
        <v>Customer support was helpful.</v>
      </c>
      <c r="I271" t="str">
        <f t="shared" si="47"/>
        <v>Customer support was helpful.</v>
      </c>
      <c r="J271">
        <f t="shared" si="48"/>
        <v>29</v>
      </c>
      <c r="K271" t="str">
        <f t="shared" si="49"/>
        <v>Customer s</v>
      </c>
      <c r="L271">
        <f t="shared" si="50"/>
        <v>12</v>
      </c>
      <c r="M271">
        <f t="shared" ca="1" si="51"/>
        <v>690</v>
      </c>
      <c r="N271" t="str">
        <f t="shared" si="52"/>
        <v>WEEKDAY</v>
      </c>
      <c r="O271" t="str">
        <f t="shared" si="53"/>
        <v>02-Dec-2024</v>
      </c>
      <c r="P271" t="str">
        <f t="shared" si="54"/>
        <v>Ananya Sharma-Camera</v>
      </c>
    </row>
    <row r="272" spans="1:16" x14ac:dyDescent="0.4">
      <c r="A272" s="2" t="s">
        <v>2074</v>
      </c>
      <c r="B272" s="2" t="s">
        <v>70</v>
      </c>
      <c r="C272" s="2" t="s">
        <v>1802</v>
      </c>
      <c r="D272" s="3">
        <v>45294</v>
      </c>
      <c r="E272" s="2" t="s">
        <v>1810</v>
      </c>
      <c r="F272" t="str">
        <f t="shared" si="44"/>
        <v>yes</v>
      </c>
      <c r="G272">
        <f t="shared" si="45"/>
        <v>70</v>
      </c>
      <c r="H272" t="str">
        <f t="shared" si="46"/>
        <v>Product was excellent and delivery was fast.</v>
      </c>
      <c r="I272" t="str">
        <f t="shared" si="47"/>
        <v>Product was excellent and delivery was fast.</v>
      </c>
      <c r="J272">
        <f t="shared" si="48"/>
        <v>44</v>
      </c>
      <c r="K272" t="str">
        <f t="shared" si="49"/>
        <v>Product wa</v>
      </c>
      <c r="L272">
        <f t="shared" si="50"/>
        <v>1</v>
      </c>
      <c r="M272">
        <f t="shared" ca="1" si="51"/>
        <v>1024</v>
      </c>
      <c r="N272" t="str">
        <f t="shared" si="52"/>
        <v>WEEKDAY</v>
      </c>
      <c r="O272" t="str">
        <f t="shared" si="53"/>
        <v>03-Jan-2024</v>
      </c>
      <c r="P272" t="str">
        <f t="shared" si="54"/>
        <v>Vivaan Khan-Tablet</v>
      </c>
    </row>
    <row r="273" spans="1:16" x14ac:dyDescent="0.4">
      <c r="A273" s="2" t="s">
        <v>2075</v>
      </c>
      <c r="B273" s="2" t="s">
        <v>395</v>
      </c>
      <c r="C273" s="2" t="s">
        <v>1802</v>
      </c>
      <c r="D273" s="3">
        <v>45388</v>
      </c>
      <c r="E273" s="2" t="s">
        <v>1803</v>
      </c>
      <c r="F273" t="str">
        <f t="shared" si="44"/>
        <v>yes</v>
      </c>
      <c r="G273">
        <f t="shared" si="45"/>
        <v>70</v>
      </c>
      <c r="H273" t="str">
        <f t="shared" si="46"/>
        <v>Product was excellent and delivery was fast.</v>
      </c>
      <c r="I273" t="str">
        <f t="shared" si="47"/>
        <v>Product was excellent and delivery was fast.</v>
      </c>
      <c r="J273">
        <f t="shared" si="48"/>
        <v>44</v>
      </c>
      <c r="K273" t="str">
        <f t="shared" si="49"/>
        <v>Product wa</v>
      </c>
      <c r="L273">
        <f t="shared" si="50"/>
        <v>4</v>
      </c>
      <c r="M273">
        <f t="shared" ca="1" si="51"/>
        <v>930</v>
      </c>
      <c r="N273" t="str">
        <f t="shared" si="52"/>
        <v>WEEKEND</v>
      </c>
      <c r="O273" t="str">
        <f t="shared" si="53"/>
        <v>06-Apr-2024</v>
      </c>
      <c r="P273" t="str">
        <f t="shared" si="54"/>
        <v>Riya Nair-Laptop</v>
      </c>
    </row>
    <row r="274" spans="1:16" x14ac:dyDescent="0.4">
      <c r="A274" s="2" t="s">
        <v>2076</v>
      </c>
      <c r="B274" s="2" t="s">
        <v>239</v>
      </c>
      <c r="C274" s="2" t="s">
        <v>1796</v>
      </c>
      <c r="D274" s="3">
        <v>45586</v>
      </c>
      <c r="E274" s="2" t="s">
        <v>1820</v>
      </c>
      <c r="F274" t="str">
        <f t="shared" si="44"/>
        <v>yes</v>
      </c>
      <c r="G274">
        <f t="shared" si="45"/>
        <v>70</v>
      </c>
      <c r="H274" t="str">
        <f t="shared" si="46"/>
        <v>Delivery was late but product is good.</v>
      </c>
      <c r="I274" t="str">
        <f t="shared" si="47"/>
        <v>Delivery was delayed but product is good.</v>
      </c>
      <c r="J274">
        <f t="shared" si="48"/>
        <v>41</v>
      </c>
      <c r="K274" t="str">
        <f t="shared" si="49"/>
        <v>Delivery w</v>
      </c>
      <c r="L274">
        <f t="shared" si="50"/>
        <v>10</v>
      </c>
      <c r="M274">
        <f t="shared" ca="1" si="51"/>
        <v>732</v>
      </c>
      <c r="N274" t="str">
        <f t="shared" si="52"/>
        <v>WEEKDAY</v>
      </c>
      <c r="O274" t="str">
        <f t="shared" si="53"/>
        <v>21-Oct-2024</v>
      </c>
      <c r="P274" t="str">
        <f t="shared" si="54"/>
        <v>Vivaan Singh-Printer</v>
      </c>
    </row>
    <row r="275" spans="1:16" x14ac:dyDescent="0.4">
      <c r="A275" s="2" t="s">
        <v>2077</v>
      </c>
      <c r="B275" s="2" t="s">
        <v>157</v>
      </c>
      <c r="C275" s="2" t="s">
        <v>1815</v>
      </c>
      <c r="D275" s="3">
        <v>45411</v>
      </c>
      <c r="E275" s="2" t="s">
        <v>1810</v>
      </c>
      <c r="F275" t="str">
        <f t="shared" si="44"/>
        <v>yes</v>
      </c>
      <c r="G275">
        <f t="shared" si="45"/>
        <v>70</v>
      </c>
      <c r="H275" t="str">
        <f t="shared" si="46"/>
        <v>Great value for money!</v>
      </c>
      <c r="I275" t="str">
        <f t="shared" si="47"/>
        <v>Great value for money!</v>
      </c>
      <c r="J275">
        <f t="shared" si="48"/>
        <v>22</v>
      </c>
      <c r="K275" t="str">
        <f t="shared" si="49"/>
        <v>Great valu</v>
      </c>
      <c r="L275">
        <f t="shared" si="50"/>
        <v>4</v>
      </c>
      <c r="M275">
        <f t="shared" ca="1" si="51"/>
        <v>907</v>
      </c>
      <c r="N275" t="str">
        <f t="shared" si="52"/>
        <v>WEEKDAY</v>
      </c>
      <c r="O275" t="str">
        <f t="shared" si="53"/>
        <v>29-Apr-2024</v>
      </c>
      <c r="P275" t="str">
        <f t="shared" si="54"/>
        <v>Riya Mehta-Tablet</v>
      </c>
    </row>
    <row r="276" spans="1:16" x14ac:dyDescent="0.4">
      <c r="A276" s="2" t="s">
        <v>2078</v>
      </c>
      <c r="B276" s="2" t="s">
        <v>217</v>
      </c>
      <c r="C276" s="2" t="s">
        <v>1802</v>
      </c>
      <c r="D276" s="3">
        <v>45588</v>
      </c>
      <c r="E276" s="2" t="s">
        <v>1794</v>
      </c>
      <c r="F276" t="str">
        <f t="shared" si="44"/>
        <v>yes</v>
      </c>
      <c r="G276">
        <f t="shared" si="45"/>
        <v>70</v>
      </c>
      <c r="H276" t="str">
        <f t="shared" si="46"/>
        <v>Product was excellent and delivery was fast.</v>
      </c>
      <c r="I276" t="str">
        <f t="shared" si="47"/>
        <v>Product was excellent and delivery was fast.</v>
      </c>
      <c r="J276">
        <f t="shared" si="48"/>
        <v>44</v>
      </c>
      <c r="K276" t="str">
        <f t="shared" si="49"/>
        <v>Product wa</v>
      </c>
      <c r="L276">
        <f t="shared" si="50"/>
        <v>10</v>
      </c>
      <c r="M276">
        <f t="shared" ca="1" si="51"/>
        <v>730</v>
      </c>
      <c r="N276" t="str">
        <f t="shared" si="52"/>
        <v>WEEKDAY</v>
      </c>
      <c r="O276" t="str">
        <f t="shared" si="53"/>
        <v>23-Oct-2024</v>
      </c>
      <c r="P276" t="str">
        <f t="shared" si="54"/>
        <v>Meera Gupta-Smartwatch</v>
      </c>
    </row>
    <row r="277" spans="1:16" x14ac:dyDescent="0.4">
      <c r="A277" s="2" t="s">
        <v>2079</v>
      </c>
      <c r="B277" s="2" t="s">
        <v>48</v>
      </c>
      <c r="C277" s="2" t="s">
        <v>1799</v>
      </c>
      <c r="D277" s="3">
        <v>45604</v>
      </c>
      <c r="E277" s="2" t="s">
        <v>1820</v>
      </c>
      <c r="F277" t="str">
        <f t="shared" si="44"/>
        <v>yes</v>
      </c>
      <c r="G277">
        <f t="shared" si="45"/>
        <v>70</v>
      </c>
      <c r="H277" t="str">
        <f t="shared" si="46"/>
        <v>Not satisfied with the quality.</v>
      </c>
      <c r="I277" t="str">
        <f t="shared" si="47"/>
        <v>Not satisfied with the quality.</v>
      </c>
      <c r="J277">
        <f t="shared" si="48"/>
        <v>31</v>
      </c>
      <c r="K277" t="str">
        <f t="shared" si="49"/>
        <v>Not satisf</v>
      </c>
      <c r="L277">
        <f t="shared" si="50"/>
        <v>11</v>
      </c>
      <c r="M277">
        <f t="shared" ca="1" si="51"/>
        <v>714</v>
      </c>
      <c r="N277" t="str">
        <f t="shared" si="52"/>
        <v>WEEKDAY</v>
      </c>
      <c r="O277" t="str">
        <f t="shared" si="53"/>
        <v>08-Nov-2024</v>
      </c>
      <c r="P277" t="str">
        <f t="shared" si="54"/>
        <v>Aditya Gupta-Printer</v>
      </c>
    </row>
    <row r="278" spans="1:16" x14ac:dyDescent="0.4">
      <c r="A278" s="2" t="s">
        <v>2080</v>
      </c>
      <c r="B278" s="2" t="s">
        <v>99</v>
      </c>
      <c r="C278" s="2" t="s">
        <v>1793</v>
      </c>
      <c r="D278" s="3">
        <v>45538</v>
      </c>
      <c r="E278" s="2" t="s">
        <v>1800</v>
      </c>
      <c r="F278" t="str">
        <f t="shared" si="44"/>
        <v>yes</v>
      </c>
      <c r="G278">
        <f t="shared" si="45"/>
        <v>70</v>
      </c>
      <c r="H278" t="str">
        <f t="shared" si="46"/>
        <v>Received damaged item, requested replacement.</v>
      </c>
      <c r="I278" t="str">
        <f t="shared" si="47"/>
        <v>Received damaged item, requested replacement.</v>
      </c>
      <c r="J278">
        <f t="shared" si="48"/>
        <v>45</v>
      </c>
      <c r="K278" t="str">
        <f t="shared" si="49"/>
        <v>Received d</v>
      </c>
      <c r="L278">
        <f t="shared" si="50"/>
        <v>9</v>
      </c>
      <c r="M278">
        <f t="shared" ca="1" si="51"/>
        <v>780</v>
      </c>
      <c r="N278" t="str">
        <f t="shared" si="52"/>
        <v>WEEKDAY</v>
      </c>
      <c r="O278" t="str">
        <f t="shared" si="53"/>
        <v>03-Sep-2024</v>
      </c>
      <c r="P278" t="str">
        <f t="shared" si="54"/>
        <v>Diya Singh-Camera</v>
      </c>
    </row>
    <row r="279" spans="1:16" x14ac:dyDescent="0.4">
      <c r="A279" s="2" t="s">
        <v>2081</v>
      </c>
      <c r="B279" s="2" t="s">
        <v>103</v>
      </c>
      <c r="C279" s="2" t="s">
        <v>1796</v>
      </c>
      <c r="D279" s="3">
        <v>45583</v>
      </c>
      <c r="E279" s="2" t="s">
        <v>1820</v>
      </c>
      <c r="F279" t="str">
        <f t="shared" si="44"/>
        <v>yes</v>
      </c>
      <c r="G279">
        <f t="shared" si="45"/>
        <v>70</v>
      </c>
      <c r="H279" t="str">
        <f t="shared" si="46"/>
        <v>Delivery was late but product is good.</v>
      </c>
      <c r="I279" t="str">
        <f t="shared" si="47"/>
        <v>Delivery was delayed but product is good.</v>
      </c>
      <c r="J279">
        <f t="shared" si="48"/>
        <v>41</v>
      </c>
      <c r="K279" t="str">
        <f t="shared" si="49"/>
        <v>Delivery w</v>
      </c>
      <c r="L279">
        <f t="shared" si="50"/>
        <v>10</v>
      </c>
      <c r="M279">
        <f t="shared" ca="1" si="51"/>
        <v>735</v>
      </c>
      <c r="N279" t="str">
        <f t="shared" si="52"/>
        <v>WEEKDAY</v>
      </c>
      <c r="O279" t="str">
        <f t="shared" si="53"/>
        <v>18-Oct-2024</v>
      </c>
      <c r="P279" t="str">
        <f t="shared" si="54"/>
        <v>Diya Das-Printer</v>
      </c>
    </row>
    <row r="280" spans="1:16" x14ac:dyDescent="0.4">
      <c r="A280" s="2" t="s">
        <v>2082</v>
      </c>
      <c r="B280" s="2" t="s">
        <v>195</v>
      </c>
      <c r="C280" s="2" t="s">
        <v>1809</v>
      </c>
      <c r="D280" s="3">
        <v>45500</v>
      </c>
      <c r="E280" s="2" t="s">
        <v>1810</v>
      </c>
      <c r="F280" t="str">
        <f t="shared" si="44"/>
        <v>yes</v>
      </c>
      <c r="G280">
        <f t="shared" si="45"/>
        <v>70</v>
      </c>
      <c r="H280" t="str">
        <f t="shared" si="46"/>
        <v>Customer support was helpful.</v>
      </c>
      <c r="I280" t="str">
        <f t="shared" si="47"/>
        <v>Customer support was helpful.</v>
      </c>
      <c r="J280">
        <f t="shared" si="48"/>
        <v>29</v>
      </c>
      <c r="K280" t="str">
        <f t="shared" si="49"/>
        <v>Customer s</v>
      </c>
      <c r="L280">
        <f t="shared" si="50"/>
        <v>7</v>
      </c>
      <c r="M280">
        <f t="shared" ca="1" si="51"/>
        <v>818</v>
      </c>
      <c r="N280" t="str">
        <f t="shared" si="52"/>
        <v>WEEKEND</v>
      </c>
      <c r="O280" t="str">
        <f t="shared" si="53"/>
        <v>27-Jul-2024</v>
      </c>
      <c r="P280" t="str">
        <f t="shared" si="54"/>
        <v>Ananya Das-Tablet</v>
      </c>
    </row>
    <row r="281" spans="1:16" x14ac:dyDescent="0.4">
      <c r="A281" s="2" t="s">
        <v>2083</v>
      </c>
      <c r="B281" s="2" t="s">
        <v>533</v>
      </c>
      <c r="C281" s="2" t="s">
        <v>1802</v>
      </c>
      <c r="D281" s="3">
        <v>45633</v>
      </c>
      <c r="E281" s="2" t="s">
        <v>1797</v>
      </c>
      <c r="F281" t="str">
        <f t="shared" si="44"/>
        <v>yes</v>
      </c>
      <c r="G281">
        <f t="shared" si="45"/>
        <v>70</v>
      </c>
      <c r="H281" t="str">
        <f t="shared" si="46"/>
        <v>Product was excellent and delivery was fast.</v>
      </c>
      <c r="I281" t="str">
        <f t="shared" si="47"/>
        <v>Product was excellent and delivery was fast.</v>
      </c>
      <c r="J281">
        <f t="shared" si="48"/>
        <v>44</v>
      </c>
      <c r="K281" t="str">
        <f t="shared" si="49"/>
        <v>Product wa</v>
      </c>
      <c r="L281">
        <f t="shared" si="50"/>
        <v>12</v>
      </c>
      <c r="M281">
        <f t="shared" ca="1" si="51"/>
        <v>685</v>
      </c>
      <c r="N281" t="str">
        <f t="shared" si="52"/>
        <v>WEEKEND</v>
      </c>
      <c r="O281" t="str">
        <f t="shared" si="53"/>
        <v>07-Dec-2024</v>
      </c>
      <c r="P281" t="str">
        <f t="shared" si="54"/>
        <v>Aditya Sharma-Mobile</v>
      </c>
    </row>
    <row r="282" spans="1:16" x14ac:dyDescent="0.4">
      <c r="A282" s="2" t="s">
        <v>2084</v>
      </c>
      <c r="B282" s="2" t="s">
        <v>43</v>
      </c>
      <c r="C282" s="2" t="s">
        <v>1802</v>
      </c>
      <c r="D282" s="3">
        <v>45501</v>
      </c>
      <c r="E282" s="2" t="s">
        <v>1794</v>
      </c>
      <c r="F282" t="str">
        <f t="shared" si="44"/>
        <v>yes</v>
      </c>
      <c r="G282">
        <f t="shared" si="45"/>
        <v>70</v>
      </c>
      <c r="H282" t="str">
        <f t="shared" si="46"/>
        <v>Product was excellent and delivery was fast.</v>
      </c>
      <c r="I282" t="str">
        <f t="shared" si="47"/>
        <v>Product was excellent and delivery was fast.</v>
      </c>
      <c r="J282">
        <f t="shared" si="48"/>
        <v>44</v>
      </c>
      <c r="K282" t="str">
        <f t="shared" si="49"/>
        <v>Product wa</v>
      </c>
      <c r="L282">
        <f t="shared" si="50"/>
        <v>7</v>
      </c>
      <c r="M282">
        <f t="shared" ca="1" si="51"/>
        <v>817</v>
      </c>
      <c r="N282" t="str">
        <f t="shared" si="52"/>
        <v>WEEKEND</v>
      </c>
      <c r="O282" t="str">
        <f t="shared" si="53"/>
        <v>28-Jul-2024</v>
      </c>
      <c r="P282" t="str">
        <f t="shared" si="54"/>
        <v>Ananya Mehta-Smartwatch</v>
      </c>
    </row>
    <row r="283" spans="1:16" x14ac:dyDescent="0.4">
      <c r="A283" s="2" t="s">
        <v>2085</v>
      </c>
      <c r="B283" s="2" t="s">
        <v>107</v>
      </c>
      <c r="C283" s="2" t="s">
        <v>1802</v>
      </c>
      <c r="D283" s="3">
        <v>45362</v>
      </c>
      <c r="E283" s="2" t="s">
        <v>1810</v>
      </c>
      <c r="F283" t="str">
        <f t="shared" si="44"/>
        <v>yes</v>
      </c>
      <c r="G283">
        <f t="shared" si="45"/>
        <v>70</v>
      </c>
      <c r="H283" t="str">
        <f t="shared" si="46"/>
        <v>Product was excellent and delivery was fast.</v>
      </c>
      <c r="I283" t="str">
        <f t="shared" si="47"/>
        <v>Product was excellent and delivery was fast.</v>
      </c>
      <c r="J283">
        <f t="shared" si="48"/>
        <v>44</v>
      </c>
      <c r="K283" t="str">
        <f t="shared" si="49"/>
        <v>Product wa</v>
      </c>
      <c r="L283">
        <f t="shared" si="50"/>
        <v>3</v>
      </c>
      <c r="M283">
        <f t="shared" ca="1" si="51"/>
        <v>956</v>
      </c>
      <c r="N283" t="str">
        <f t="shared" si="52"/>
        <v>WEEKDAY</v>
      </c>
      <c r="O283" t="str">
        <f t="shared" si="53"/>
        <v>11-Mar-2024</v>
      </c>
      <c r="P283" t="str">
        <f t="shared" si="54"/>
        <v>Arjun Mehta-Tablet</v>
      </c>
    </row>
    <row r="284" spans="1:16" x14ac:dyDescent="0.4">
      <c r="A284" s="2" t="s">
        <v>2086</v>
      </c>
      <c r="B284" s="2" t="s">
        <v>107</v>
      </c>
      <c r="C284" s="2" t="s">
        <v>1796</v>
      </c>
      <c r="D284" s="3">
        <v>45637</v>
      </c>
      <c r="E284" s="2" t="s">
        <v>1797</v>
      </c>
      <c r="F284" t="str">
        <f t="shared" si="44"/>
        <v>yes</v>
      </c>
      <c r="G284">
        <f t="shared" si="45"/>
        <v>70</v>
      </c>
      <c r="H284" t="str">
        <f t="shared" si="46"/>
        <v>Delivery was late but product is good.</v>
      </c>
      <c r="I284" t="str">
        <f t="shared" si="47"/>
        <v>Delivery was delayed but product is good.</v>
      </c>
      <c r="J284">
        <f t="shared" si="48"/>
        <v>41</v>
      </c>
      <c r="K284" t="str">
        <f t="shared" si="49"/>
        <v>Delivery w</v>
      </c>
      <c r="L284">
        <f t="shared" si="50"/>
        <v>12</v>
      </c>
      <c r="M284">
        <f t="shared" ca="1" si="51"/>
        <v>681</v>
      </c>
      <c r="N284" t="str">
        <f t="shared" si="52"/>
        <v>WEEKDAY</v>
      </c>
      <c r="O284" t="str">
        <f t="shared" si="53"/>
        <v>11-Dec-2024</v>
      </c>
      <c r="P284" t="str">
        <f t="shared" si="54"/>
        <v>Arjun Mehta-Mobile</v>
      </c>
    </row>
    <row r="285" spans="1:16" x14ac:dyDescent="0.4">
      <c r="A285" s="2" t="s">
        <v>2087</v>
      </c>
      <c r="B285" s="2" t="s">
        <v>391</v>
      </c>
      <c r="C285" s="2" t="s">
        <v>1799</v>
      </c>
      <c r="D285" s="3">
        <v>45464</v>
      </c>
      <c r="E285" s="2" t="s">
        <v>1820</v>
      </c>
      <c r="F285" t="str">
        <f t="shared" si="44"/>
        <v>yes</v>
      </c>
      <c r="G285">
        <f t="shared" si="45"/>
        <v>70</v>
      </c>
      <c r="H285" t="str">
        <f t="shared" si="46"/>
        <v>Not satisfied with the quality.</v>
      </c>
      <c r="I285" t="str">
        <f t="shared" si="47"/>
        <v>Not satisfied with the quality.</v>
      </c>
      <c r="J285">
        <f t="shared" si="48"/>
        <v>31</v>
      </c>
      <c r="K285" t="str">
        <f t="shared" si="49"/>
        <v>Not satisf</v>
      </c>
      <c r="L285">
        <f t="shared" si="50"/>
        <v>6</v>
      </c>
      <c r="M285">
        <f t="shared" ca="1" si="51"/>
        <v>854</v>
      </c>
      <c r="N285" t="str">
        <f t="shared" si="52"/>
        <v>WEEKDAY</v>
      </c>
      <c r="O285" t="str">
        <f t="shared" si="53"/>
        <v>21-Jun-2024</v>
      </c>
      <c r="P285" t="str">
        <f t="shared" si="54"/>
        <v>Aditya Patel-Printer</v>
      </c>
    </row>
    <row r="286" spans="1:16" x14ac:dyDescent="0.4">
      <c r="A286" s="2" t="s">
        <v>2088</v>
      </c>
      <c r="B286" s="2" t="s">
        <v>831</v>
      </c>
      <c r="C286" s="2" t="s">
        <v>1809</v>
      </c>
      <c r="D286" s="3">
        <v>45416</v>
      </c>
      <c r="E286" s="2" t="s">
        <v>1803</v>
      </c>
      <c r="F286" t="str">
        <f t="shared" si="44"/>
        <v>yes</v>
      </c>
      <c r="G286">
        <f t="shared" si="45"/>
        <v>70</v>
      </c>
      <c r="H286" t="str">
        <f t="shared" si="46"/>
        <v>Customer support was helpful.</v>
      </c>
      <c r="I286" t="str">
        <f t="shared" si="47"/>
        <v>Customer support was helpful.</v>
      </c>
      <c r="J286">
        <f t="shared" si="48"/>
        <v>29</v>
      </c>
      <c r="K286" t="str">
        <f t="shared" si="49"/>
        <v>Customer s</v>
      </c>
      <c r="L286">
        <f t="shared" si="50"/>
        <v>5</v>
      </c>
      <c r="M286">
        <f t="shared" ca="1" si="51"/>
        <v>902</v>
      </c>
      <c r="N286" t="str">
        <f t="shared" si="52"/>
        <v>WEEKEND</v>
      </c>
      <c r="O286" t="str">
        <f t="shared" si="53"/>
        <v>04-May-2024</v>
      </c>
      <c r="P286" t="str">
        <f t="shared" si="54"/>
        <v>Diya Sharma-Laptop</v>
      </c>
    </row>
    <row r="287" spans="1:16" x14ac:dyDescent="0.4">
      <c r="A287" s="2" t="s">
        <v>2089</v>
      </c>
      <c r="B287" s="2" t="s">
        <v>39</v>
      </c>
      <c r="C287" s="2" t="s">
        <v>1815</v>
      </c>
      <c r="D287" s="3">
        <v>45540</v>
      </c>
      <c r="E287" s="2" t="s">
        <v>1800</v>
      </c>
      <c r="F287" t="str">
        <f t="shared" si="44"/>
        <v>yes</v>
      </c>
      <c r="G287">
        <f t="shared" si="45"/>
        <v>70</v>
      </c>
      <c r="H287" t="str">
        <f t="shared" si="46"/>
        <v>Great value for money!</v>
      </c>
      <c r="I287" t="str">
        <f t="shared" si="47"/>
        <v>Great value for money!</v>
      </c>
      <c r="J287">
        <f t="shared" si="48"/>
        <v>22</v>
      </c>
      <c r="K287" t="str">
        <f t="shared" si="49"/>
        <v>Great valu</v>
      </c>
      <c r="L287">
        <f t="shared" si="50"/>
        <v>9</v>
      </c>
      <c r="M287">
        <f t="shared" ca="1" si="51"/>
        <v>778</v>
      </c>
      <c r="N287" t="str">
        <f t="shared" si="52"/>
        <v>WEEKDAY</v>
      </c>
      <c r="O287" t="str">
        <f t="shared" si="53"/>
        <v>05-Sep-2024</v>
      </c>
      <c r="P287" t="str">
        <f t="shared" si="54"/>
        <v>Aarav Das-Camera</v>
      </c>
    </row>
    <row r="288" spans="1:16" x14ac:dyDescent="0.4">
      <c r="A288" s="2" t="s">
        <v>2090</v>
      </c>
      <c r="B288" s="2" t="s">
        <v>567</v>
      </c>
      <c r="C288" s="2" t="s">
        <v>1796</v>
      </c>
      <c r="D288" s="3">
        <v>45465</v>
      </c>
      <c r="E288" s="2" t="s">
        <v>1794</v>
      </c>
      <c r="F288" t="str">
        <f t="shared" si="44"/>
        <v>yes</v>
      </c>
      <c r="G288">
        <f t="shared" si="45"/>
        <v>70</v>
      </c>
      <c r="H288" t="str">
        <f t="shared" si="46"/>
        <v>Delivery was late but product is good.</v>
      </c>
      <c r="I288" t="str">
        <f t="shared" si="47"/>
        <v>Delivery was delayed but product is good.</v>
      </c>
      <c r="J288">
        <f t="shared" si="48"/>
        <v>41</v>
      </c>
      <c r="K288" t="str">
        <f t="shared" si="49"/>
        <v>Delivery w</v>
      </c>
      <c r="L288">
        <f t="shared" si="50"/>
        <v>6</v>
      </c>
      <c r="M288">
        <f t="shared" ca="1" si="51"/>
        <v>853</v>
      </c>
      <c r="N288" t="str">
        <f t="shared" si="52"/>
        <v>WEEKEND</v>
      </c>
      <c r="O288" t="str">
        <f t="shared" si="53"/>
        <v>22-Jun-2024</v>
      </c>
      <c r="P288" t="str">
        <f t="shared" si="54"/>
        <v>Arjun Patel-Smartwatch</v>
      </c>
    </row>
    <row r="289" spans="1:16" x14ac:dyDescent="0.4">
      <c r="A289" s="2" t="s">
        <v>2091</v>
      </c>
      <c r="B289" s="2" t="s">
        <v>473</v>
      </c>
      <c r="C289" s="2" t="s">
        <v>1802</v>
      </c>
      <c r="D289" s="3">
        <v>45303</v>
      </c>
      <c r="E289" s="2" t="s">
        <v>1803</v>
      </c>
      <c r="F289" t="str">
        <f t="shared" si="44"/>
        <v>yes</v>
      </c>
      <c r="G289">
        <f t="shared" si="45"/>
        <v>70</v>
      </c>
      <c r="H289" t="str">
        <f t="shared" si="46"/>
        <v>Product was excellent and delivery was fast.</v>
      </c>
      <c r="I289" t="str">
        <f t="shared" si="47"/>
        <v>Product was excellent and delivery was fast.</v>
      </c>
      <c r="J289">
        <f t="shared" si="48"/>
        <v>44</v>
      </c>
      <c r="K289" t="str">
        <f t="shared" si="49"/>
        <v>Product wa</v>
      </c>
      <c r="L289">
        <f t="shared" si="50"/>
        <v>1</v>
      </c>
      <c r="M289">
        <f t="shared" ca="1" si="51"/>
        <v>1015</v>
      </c>
      <c r="N289" t="str">
        <f t="shared" si="52"/>
        <v>WEEKDAY</v>
      </c>
      <c r="O289" t="str">
        <f t="shared" si="53"/>
        <v>12-Jan-2024</v>
      </c>
      <c r="P289" t="str">
        <f t="shared" si="54"/>
        <v>Meera Khan-Laptop</v>
      </c>
    </row>
    <row r="290" spans="1:16" x14ac:dyDescent="0.4">
      <c r="A290" s="2" t="s">
        <v>2092</v>
      </c>
      <c r="B290" s="2" t="s">
        <v>405</v>
      </c>
      <c r="C290" s="2" t="s">
        <v>1809</v>
      </c>
      <c r="D290" s="3">
        <v>45549</v>
      </c>
      <c r="E290" s="2" t="s">
        <v>1820</v>
      </c>
      <c r="F290" t="str">
        <f t="shared" si="44"/>
        <v>yes</v>
      </c>
      <c r="G290">
        <f t="shared" si="45"/>
        <v>70</v>
      </c>
      <c r="H290" t="str">
        <f t="shared" si="46"/>
        <v>Customer support was helpful.</v>
      </c>
      <c r="I290" t="str">
        <f t="shared" si="47"/>
        <v>Customer support was helpful.</v>
      </c>
      <c r="J290">
        <f t="shared" si="48"/>
        <v>29</v>
      </c>
      <c r="K290" t="str">
        <f t="shared" si="49"/>
        <v>Customer s</v>
      </c>
      <c r="L290">
        <f t="shared" si="50"/>
        <v>9</v>
      </c>
      <c r="M290">
        <f t="shared" ca="1" si="51"/>
        <v>769</v>
      </c>
      <c r="N290" t="str">
        <f t="shared" si="52"/>
        <v>WEEKEND</v>
      </c>
      <c r="O290" t="str">
        <f t="shared" si="53"/>
        <v>14-Sep-2024</v>
      </c>
      <c r="P290" t="str">
        <f t="shared" si="54"/>
        <v>Ananya Singh-Printer</v>
      </c>
    </row>
    <row r="291" spans="1:16" x14ac:dyDescent="0.4">
      <c r="A291" s="2" t="s">
        <v>2093</v>
      </c>
      <c r="B291" s="2" t="s">
        <v>235</v>
      </c>
      <c r="C291" s="2" t="s">
        <v>1815</v>
      </c>
      <c r="D291" s="3">
        <v>45633</v>
      </c>
      <c r="E291" s="2" t="s">
        <v>1800</v>
      </c>
      <c r="F291" t="str">
        <f t="shared" si="44"/>
        <v>yes</v>
      </c>
      <c r="G291">
        <f t="shared" si="45"/>
        <v>70</v>
      </c>
      <c r="H291" t="str">
        <f t="shared" si="46"/>
        <v>Great value for money!</v>
      </c>
      <c r="I291" t="str">
        <f t="shared" si="47"/>
        <v>Great value for money!</v>
      </c>
      <c r="J291">
        <f t="shared" si="48"/>
        <v>22</v>
      </c>
      <c r="K291" t="str">
        <f t="shared" si="49"/>
        <v>Great valu</v>
      </c>
      <c r="L291">
        <f t="shared" si="50"/>
        <v>12</v>
      </c>
      <c r="M291">
        <f t="shared" ca="1" si="51"/>
        <v>685</v>
      </c>
      <c r="N291" t="str">
        <f t="shared" si="52"/>
        <v>WEEKEND</v>
      </c>
      <c r="O291" t="str">
        <f t="shared" si="53"/>
        <v>07-Dec-2024</v>
      </c>
      <c r="P291" t="str">
        <f t="shared" si="54"/>
        <v>Aarav Gupta-Camera</v>
      </c>
    </row>
    <row r="292" spans="1:16" x14ac:dyDescent="0.4">
      <c r="A292" s="2" t="s">
        <v>2094</v>
      </c>
      <c r="B292" s="2" t="s">
        <v>469</v>
      </c>
      <c r="C292" s="2" t="s">
        <v>1815</v>
      </c>
      <c r="D292" s="3">
        <v>45330</v>
      </c>
      <c r="E292" s="2" t="s">
        <v>1797</v>
      </c>
      <c r="F292" t="str">
        <f t="shared" si="44"/>
        <v>yes</v>
      </c>
      <c r="G292">
        <f t="shared" si="45"/>
        <v>70</v>
      </c>
      <c r="H292" t="str">
        <f t="shared" si="46"/>
        <v>Great value for money!</v>
      </c>
      <c r="I292" t="str">
        <f t="shared" si="47"/>
        <v>Great value for money!</v>
      </c>
      <c r="J292">
        <f t="shared" si="48"/>
        <v>22</v>
      </c>
      <c r="K292" t="str">
        <f t="shared" si="49"/>
        <v>Great valu</v>
      </c>
      <c r="L292">
        <f t="shared" si="50"/>
        <v>2</v>
      </c>
      <c r="M292">
        <f t="shared" ca="1" si="51"/>
        <v>988</v>
      </c>
      <c r="N292" t="str">
        <f t="shared" si="52"/>
        <v>WEEKDAY</v>
      </c>
      <c r="O292" t="str">
        <f t="shared" si="53"/>
        <v>08-Feb-2024</v>
      </c>
      <c r="P292" t="str">
        <f t="shared" si="54"/>
        <v>Ananya Nair-Mobile</v>
      </c>
    </row>
    <row r="293" spans="1:16" x14ac:dyDescent="0.4">
      <c r="A293" s="2" t="s">
        <v>2095</v>
      </c>
      <c r="B293" s="2" t="s">
        <v>473</v>
      </c>
      <c r="C293" s="2" t="s">
        <v>1796</v>
      </c>
      <c r="D293" s="3">
        <v>45507</v>
      </c>
      <c r="E293" s="2" t="s">
        <v>1820</v>
      </c>
      <c r="F293" t="str">
        <f t="shared" si="44"/>
        <v>yes</v>
      </c>
      <c r="G293">
        <f t="shared" si="45"/>
        <v>70</v>
      </c>
      <c r="H293" t="str">
        <f t="shared" si="46"/>
        <v>Delivery was late but product is good.</v>
      </c>
      <c r="I293" t="str">
        <f t="shared" si="47"/>
        <v>Delivery was delayed but product is good.</v>
      </c>
      <c r="J293">
        <f t="shared" si="48"/>
        <v>41</v>
      </c>
      <c r="K293" t="str">
        <f t="shared" si="49"/>
        <v>Delivery w</v>
      </c>
      <c r="L293">
        <f t="shared" si="50"/>
        <v>8</v>
      </c>
      <c r="M293">
        <f t="shared" ca="1" si="51"/>
        <v>811</v>
      </c>
      <c r="N293" t="str">
        <f t="shared" si="52"/>
        <v>WEEKEND</v>
      </c>
      <c r="O293" t="str">
        <f t="shared" si="53"/>
        <v>03-Aug-2024</v>
      </c>
      <c r="P293" t="str">
        <f t="shared" si="54"/>
        <v>Meera Khan-Printer</v>
      </c>
    </row>
    <row r="294" spans="1:16" x14ac:dyDescent="0.4">
      <c r="A294" s="2" t="s">
        <v>2096</v>
      </c>
      <c r="B294" s="2" t="s">
        <v>489</v>
      </c>
      <c r="C294" s="2" t="s">
        <v>1799</v>
      </c>
      <c r="D294" s="3">
        <v>45371</v>
      </c>
      <c r="E294" s="2" t="s">
        <v>1820</v>
      </c>
      <c r="F294" t="str">
        <f t="shared" si="44"/>
        <v>yes</v>
      </c>
      <c r="G294">
        <f t="shared" si="45"/>
        <v>70</v>
      </c>
      <c r="H294" t="str">
        <f t="shared" si="46"/>
        <v>Not satisfied with the quality.</v>
      </c>
      <c r="I294" t="str">
        <f t="shared" si="47"/>
        <v>Not satisfied with the quality.</v>
      </c>
      <c r="J294">
        <f t="shared" si="48"/>
        <v>31</v>
      </c>
      <c r="K294" t="str">
        <f t="shared" si="49"/>
        <v>Not satisf</v>
      </c>
      <c r="L294">
        <f t="shared" si="50"/>
        <v>3</v>
      </c>
      <c r="M294">
        <f t="shared" ca="1" si="51"/>
        <v>947</v>
      </c>
      <c r="N294" t="str">
        <f t="shared" si="52"/>
        <v>WEEKDAY</v>
      </c>
      <c r="O294" t="str">
        <f t="shared" si="53"/>
        <v>20-Mar-2024</v>
      </c>
      <c r="P294" t="str">
        <f t="shared" si="54"/>
        <v>Arjun Reddy-Printer</v>
      </c>
    </row>
    <row r="295" spans="1:16" x14ac:dyDescent="0.4">
      <c r="A295" s="2" t="s">
        <v>2097</v>
      </c>
      <c r="B295" s="2" t="s">
        <v>543</v>
      </c>
      <c r="C295" s="2" t="s">
        <v>1799</v>
      </c>
      <c r="D295" s="3">
        <v>45307</v>
      </c>
      <c r="E295" s="2" t="s">
        <v>1820</v>
      </c>
      <c r="F295" t="str">
        <f t="shared" si="44"/>
        <v>yes</v>
      </c>
      <c r="G295">
        <f t="shared" si="45"/>
        <v>70</v>
      </c>
      <c r="H295" t="str">
        <f t="shared" si="46"/>
        <v>Not satisfied with the quality.</v>
      </c>
      <c r="I295" t="str">
        <f t="shared" si="47"/>
        <v>Not satisfied with the quality.</v>
      </c>
      <c r="J295">
        <f t="shared" si="48"/>
        <v>31</v>
      </c>
      <c r="K295" t="str">
        <f t="shared" si="49"/>
        <v>Not satisf</v>
      </c>
      <c r="L295">
        <f t="shared" si="50"/>
        <v>1</v>
      </c>
      <c r="M295">
        <f t="shared" ca="1" si="51"/>
        <v>1011</v>
      </c>
      <c r="N295" t="str">
        <f t="shared" si="52"/>
        <v>WEEKDAY</v>
      </c>
      <c r="O295" t="str">
        <f t="shared" si="53"/>
        <v>16-Jan-2024</v>
      </c>
      <c r="P295" t="str">
        <f t="shared" si="54"/>
        <v>Vivaan Joshi-Printer</v>
      </c>
    </row>
    <row r="296" spans="1:16" x14ac:dyDescent="0.4">
      <c r="A296" s="2" t="s">
        <v>2098</v>
      </c>
      <c r="B296" s="2" t="s">
        <v>181</v>
      </c>
      <c r="C296" s="2" t="s">
        <v>1809</v>
      </c>
      <c r="D296" s="3">
        <v>45542</v>
      </c>
      <c r="E296" s="2" t="s">
        <v>1810</v>
      </c>
      <c r="F296" t="str">
        <f t="shared" si="44"/>
        <v>yes</v>
      </c>
      <c r="G296">
        <f t="shared" si="45"/>
        <v>70</v>
      </c>
      <c r="H296" t="str">
        <f t="shared" si="46"/>
        <v>Customer support was helpful.</v>
      </c>
      <c r="I296" t="str">
        <f t="shared" si="47"/>
        <v>Customer support was helpful.</v>
      </c>
      <c r="J296">
        <f t="shared" si="48"/>
        <v>29</v>
      </c>
      <c r="K296" t="str">
        <f t="shared" si="49"/>
        <v>Customer s</v>
      </c>
      <c r="L296">
        <f t="shared" si="50"/>
        <v>9</v>
      </c>
      <c r="M296">
        <f t="shared" ca="1" si="51"/>
        <v>776</v>
      </c>
      <c r="N296" t="str">
        <f t="shared" si="52"/>
        <v>WEEKEND</v>
      </c>
      <c r="O296" t="str">
        <f t="shared" si="53"/>
        <v>07-Sep-2024</v>
      </c>
      <c r="P296" t="str">
        <f t="shared" si="54"/>
        <v>Meera Patel-Tablet</v>
      </c>
    </row>
    <row r="297" spans="1:16" x14ac:dyDescent="0.4">
      <c r="A297" s="2" t="s">
        <v>2099</v>
      </c>
      <c r="B297" s="2" t="s">
        <v>473</v>
      </c>
      <c r="C297" s="2" t="s">
        <v>1796</v>
      </c>
      <c r="D297" s="3">
        <v>45535</v>
      </c>
      <c r="E297" s="2" t="s">
        <v>1820</v>
      </c>
      <c r="F297" t="str">
        <f t="shared" si="44"/>
        <v>yes</v>
      </c>
      <c r="G297">
        <f t="shared" si="45"/>
        <v>70</v>
      </c>
      <c r="H297" t="str">
        <f t="shared" si="46"/>
        <v>Delivery was late but product is good.</v>
      </c>
      <c r="I297" t="str">
        <f t="shared" si="47"/>
        <v>Delivery was delayed but product is good.</v>
      </c>
      <c r="J297">
        <f t="shared" si="48"/>
        <v>41</v>
      </c>
      <c r="K297" t="str">
        <f t="shared" si="49"/>
        <v>Delivery w</v>
      </c>
      <c r="L297">
        <f t="shared" si="50"/>
        <v>8</v>
      </c>
      <c r="M297">
        <f t="shared" ca="1" si="51"/>
        <v>783</v>
      </c>
      <c r="N297" t="str">
        <f t="shared" si="52"/>
        <v>WEEKEND</v>
      </c>
      <c r="O297" t="str">
        <f t="shared" si="53"/>
        <v>31-Aug-2024</v>
      </c>
      <c r="P297" t="str">
        <f t="shared" si="54"/>
        <v>Meera Khan-Printer</v>
      </c>
    </row>
    <row r="298" spans="1:16" x14ac:dyDescent="0.4">
      <c r="A298" s="2" t="s">
        <v>2100</v>
      </c>
      <c r="B298" s="2" t="s">
        <v>235</v>
      </c>
      <c r="C298" s="2" t="s">
        <v>1799</v>
      </c>
      <c r="D298" s="3">
        <v>45646</v>
      </c>
      <c r="E298" s="2" t="s">
        <v>1803</v>
      </c>
      <c r="F298" t="str">
        <f t="shared" si="44"/>
        <v>yes</v>
      </c>
      <c r="G298">
        <f t="shared" si="45"/>
        <v>70</v>
      </c>
      <c r="H298" t="str">
        <f t="shared" si="46"/>
        <v>Not satisfied with the quality.</v>
      </c>
      <c r="I298" t="str">
        <f t="shared" si="47"/>
        <v>Not satisfied with the quality.</v>
      </c>
      <c r="J298">
        <f t="shared" si="48"/>
        <v>31</v>
      </c>
      <c r="K298" t="str">
        <f t="shared" si="49"/>
        <v>Not satisf</v>
      </c>
      <c r="L298">
        <f t="shared" si="50"/>
        <v>12</v>
      </c>
      <c r="M298">
        <f t="shared" ca="1" si="51"/>
        <v>672</v>
      </c>
      <c r="N298" t="str">
        <f t="shared" si="52"/>
        <v>WEEKDAY</v>
      </c>
      <c r="O298" t="str">
        <f t="shared" si="53"/>
        <v>20-Dec-2024</v>
      </c>
      <c r="P298" t="str">
        <f t="shared" si="54"/>
        <v>Aarav Gupta-Laptop</v>
      </c>
    </row>
    <row r="299" spans="1:16" x14ac:dyDescent="0.4">
      <c r="A299" s="2" t="s">
        <v>2101</v>
      </c>
      <c r="B299" s="2" t="s">
        <v>665</v>
      </c>
      <c r="C299" s="2" t="s">
        <v>1809</v>
      </c>
      <c r="D299" s="3">
        <v>45617</v>
      </c>
      <c r="E299" s="2" t="s">
        <v>1803</v>
      </c>
      <c r="F299" t="str">
        <f t="shared" si="44"/>
        <v>yes</v>
      </c>
      <c r="G299">
        <f t="shared" si="45"/>
        <v>70</v>
      </c>
      <c r="H299" t="str">
        <f t="shared" si="46"/>
        <v>Customer support was helpful.</v>
      </c>
      <c r="I299" t="str">
        <f t="shared" si="47"/>
        <v>Customer support was helpful.</v>
      </c>
      <c r="J299">
        <f t="shared" si="48"/>
        <v>29</v>
      </c>
      <c r="K299" t="str">
        <f t="shared" si="49"/>
        <v>Customer s</v>
      </c>
      <c r="L299">
        <f t="shared" si="50"/>
        <v>11</v>
      </c>
      <c r="M299">
        <f t="shared" ca="1" si="51"/>
        <v>701</v>
      </c>
      <c r="N299" t="str">
        <f t="shared" si="52"/>
        <v>WEEKDAY</v>
      </c>
      <c r="O299" t="str">
        <f t="shared" si="53"/>
        <v>21-Nov-2024</v>
      </c>
      <c r="P299" t="str">
        <f t="shared" si="54"/>
        <v>Isha Singh-Laptop</v>
      </c>
    </row>
    <row r="300" spans="1:16" x14ac:dyDescent="0.4">
      <c r="A300" s="2" t="s">
        <v>2102</v>
      </c>
      <c r="B300" s="2" t="s">
        <v>359</v>
      </c>
      <c r="C300" s="2" t="s">
        <v>1793</v>
      </c>
      <c r="D300" s="3">
        <v>45406</v>
      </c>
      <c r="E300" s="2" t="s">
        <v>1797</v>
      </c>
      <c r="F300" t="str">
        <f t="shared" si="44"/>
        <v>yes</v>
      </c>
      <c r="G300">
        <f t="shared" si="45"/>
        <v>70</v>
      </c>
      <c r="H300" t="str">
        <f t="shared" si="46"/>
        <v>Received damaged item, requested replacement.</v>
      </c>
      <c r="I300" t="str">
        <f t="shared" si="47"/>
        <v>Received damaged item, requested replacement.</v>
      </c>
      <c r="J300">
        <f t="shared" si="48"/>
        <v>45</v>
      </c>
      <c r="K300" t="str">
        <f t="shared" si="49"/>
        <v>Received d</v>
      </c>
      <c r="L300">
        <f t="shared" si="50"/>
        <v>4</v>
      </c>
      <c r="M300">
        <f t="shared" ca="1" si="51"/>
        <v>912</v>
      </c>
      <c r="N300" t="str">
        <f t="shared" si="52"/>
        <v>WEEKDAY</v>
      </c>
      <c r="O300" t="str">
        <f t="shared" si="53"/>
        <v>24-Apr-2024</v>
      </c>
      <c r="P300" t="str">
        <f t="shared" si="54"/>
        <v>Arjun Nair-Mobile</v>
      </c>
    </row>
    <row r="301" spans="1:16" x14ac:dyDescent="0.4">
      <c r="A301" s="2" t="s">
        <v>2103</v>
      </c>
      <c r="B301" s="2" t="s">
        <v>137</v>
      </c>
      <c r="C301" s="2" t="s">
        <v>1815</v>
      </c>
      <c r="D301" s="3">
        <v>45534</v>
      </c>
      <c r="E301" s="2" t="s">
        <v>1794</v>
      </c>
      <c r="F301" t="str">
        <f t="shared" si="44"/>
        <v>yes</v>
      </c>
      <c r="G301">
        <f t="shared" si="45"/>
        <v>70</v>
      </c>
      <c r="H301" t="str">
        <f t="shared" si="46"/>
        <v>Great value for money!</v>
      </c>
      <c r="I301" t="str">
        <f t="shared" si="47"/>
        <v>Great value for money!</v>
      </c>
      <c r="J301">
        <f t="shared" si="48"/>
        <v>22</v>
      </c>
      <c r="K301" t="str">
        <f t="shared" si="49"/>
        <v>Great valu</v>
      </c>
      <c r="L301">
        <f t="shared" si="50"/>
        <v>8</v>
      </c>
      <c r="M301">
        <f t="shared" ca="1" si="51"/>
        <v>784</v>
      </c>
      <c r="N301" t="str">
        <f t="shared" si="52"/>
        <v>WEEKDAY</v>
      </c>
      <c r="O301" t="str">
        <f t="shared" si="53"/>
        <v>30-Aug-2024</v>
      </c>
      <c r="P301" t="str">
        <f t="shared" si="54"/>
        <v>Aditya Singh-Smartwatch</v>
      </c>
    </row>
    <row r="302" spans="1:16" x14ac:dyDescent="0.4">
      <c r="A302" s="2" t="s">
        <v>2104</v>
      </c>
      <c r="B302" s="2" t="s">
        <v>1177</v>
      </c>
      <c r="C302" s="2" t="s">
        <v>1796</v>
      </c>
      <c r="D302" s="3">
        <v>45539</v>
      </c>
      <c r="E302" s="2" t="s">
        <v>1794</v>
      </c>
      <c r="F302" t="str">
        <f t="shared" si="44"/>
        <v>yes</v>
      </c>
      <c r="G302">
        <f t="shared" si="45"/>
        <v>70</v>
      </c>
      <c r="H302" t="str">
        <f t="shared" si="46"/>
        <v>Delivery was late but product is good.</v>
      </c>
      <c r="I302" t="str">
        <f t="shared" si="47"/>
        <v>Delivery was delayed but product is good.</v>
      </c>
      <c r="J302">
        <f t="shared" si="48"/>
        <v>41</v>
      </c>
      <c r="K302" t="str">
        <f t="shared" si="49"/>
        <v>Delivery w</v>
      </c>
      <c r="L302">
        <f t="shared" si="50"/>
        <v>9</v>
      </c>
      <c r="M302">
        <f t="shared" ca="1" si="51"/>
        <v>779</v>
      </c>
      <c r="N302" t="str">
        <f t="shared" si="52"/>
        <v>WEEKDAY</v>
      </c>
      <c r="O302" t="str">
        <f t="shared" si="53"/>
        <v>04-Sep-2024</v>
      </c>
      <c r="P302" t="str">
        <f t="shared" si="54"/>
        <v>Riya Reddy-Smartwatch</v>
      </c>
    </row>
    <row r="303" spans="1:16" x14ac:dyDescent="0.4">
      <c r="A303" s="2" t="s">
        <v>2105</v>
      </c>
      <c r="B303" s="2" t="s">
        <v>629</v>
      </c>
      <c r="C303" s="2" t="s">
        <v>1802</v>
      </c>
      <c r="D303" s="3">
        <v>45471</v>
      </c>
      <c r="E303" s="2" t="s">
        <v>1820</v>
      </c>
      <c r="F303" t="str">
        <f t="shared" si="44"/>
        <v>yes</v>
      </c>
      <c r="G303">
        <f t="shared" si="45"/>
        <v>70</v>
      </c>
      <c r="H303" t="str">
        <f t="shared" si="46"/>
        <v>Product was excellent and delivery was fast.</v>
      </c>
      <c r="I303" t="str">
        <f t="shared" si="47"/>
        <v>Product was excellent and delivery was fast.</v>
      </c>
      <c r="J303">
        <f t="shared" si="48"/>
        <v>44</v>
      </c>
      <c r="K303" t="str">
        <f t="shared" si="49"/>
        <v>Product wa</v>
      </c>
      <c r="L303">
        <f t="shared" si="50"/>
        <v>6</v>
      </c>
      <c r="M303">
        <f t="shared" ca="1" si="51"/>
        <v>847</v>
      </c>
      <c r="N303" t="str">
        <f t="shared" si="52"/>
        <v>WEEKDAY</v>
      </c>
      <c r="O303" t="str">
        <f t="shared" si="53"/>
        <v>28-Jun-2024</v>
      </c>
      <c r="P303" t="str">
        <f t="shared" si="54"/>
        <v>Aditya Joshi-Printer</v>
      </c>
    </row>
    <row r="304" spans="1:16" x14ac:dyDescent="0.4">
      <c r="A304" s="2" t="s">
        <v>2106</v>
      </c>
      <c r="B304" s="2" t="s">
        <v>251</v>
      </c>
      <c r="C304" s="2" t="s">
        <v>1809</v>
      </c>
      <c r="D304" s="3">
        <v>45589</v>
      </c>
      <c r="E304" s="2" t="s">
        <v>1820</v>
      </c>
      <c r="F304" t="str">
        <f t="shared" si="44"/>
        <v>yes</v>
      </c>
      <c r="G304">
        <f t="shared" si="45"/>
        <v>70</v>
      </c>
      <c r="H304" t="str">
        <f t="shared" si="46"/>
        <v>Customer support was helpful.</v>
      </c>
      <c r="I304" t="str">
        <f t="shared" si="47"/>
        <v>Customer support was helpful.</v>
      </c>
      <c r="J304">
        <f t="shared" si="48"/>
        <v>29</v>
      </c>
      <c r="K304" t="str">
        <f t="shared" si="49"/>
        <v>Customer s</v>
      </c>
      <c r="L304">
        <f t="shared" si="50"/>
        <v>10</v>
      </c>
      <c r="M304">
        <f t="shared" ca="1" si="51"/>
        <v>729</v>
      </c>
      <c r="N304" t="str">
        <f t="shared" si="52"/>
        <v>WEEKDAY</v>
      </c>
      <c r="O304" t="str">
        <f t="shared" si="53"/>
        <v>24-Oct-2024</v>
      </c>
      <c r="P304" t="str">
        <f t="shared" si="54"/>
        <v>Aditya Mehta-Printer</v>
      </c>
    </row>
    <row r="305" spans="1:16" x14ac:dyDescent="0.4">
      <c r="A305" s="2" t="s">
        <v>2107</v>
      </c>
      <c r="B305" s="2" t="s">
        <v>30</v>
      </c>
      <c r="C305" s="2" t="s">
        <v>1796</v>
      </c>
      <c r="D305" s="3">
        <v>45489</v>
      </c>
      <c r="E305" s="2" t="s">
        <v>1797</v>
      </c>
      <c r="F305" t="str">
        <f t="shared" si="44"/>
        <v>yes</v>
      </c>
      <c r="G305">
        <f t="shared" si="45"/>
        <v>70</v>
      </c>
      <c r="H305" t="str">
        <f t="shared" si="46"/>
        <v>Delivery was late but product is good.</v>
      </c>
      <c r="I305" t="str">
        <f t="shared" si="47"/>
        <v>Delivery was delayed but product is good.</v>
      </c>
      <c r="J305">
        <f t="shared" si="48"/>
        <v>41</v>
      </c>
      <c r="K305" t="str">
        <f t="shared" si="49"/>
        <v>Delivery w</v>
      </c>
      <c r="L305">
        <f t="shared" si="50"/>
        <v>7</v>
      </c>
      <c r="M305">
        <f t="shared" ca="1" si="51"/>
        <v>829</v>
      </c>
      <c r="N305" t="str">
        <f t="shared" si="52"/>
        <v>WEEKDAY</v>
      </c>
      <c r="O305" t="str">
        <f t="shared" si="53"/>
        <v>16-Jul-2024</v>
      </c>
      <c r="P305" t="str">
        <f t="shared" si="54"/>
        <v>Ananya Reddy-Mobile</v>
      </c>
    </row>
    <row r="306" spans="1:16" x14ac:dyDescent="0.4">
      <c r="A306" s="2" t="s">
        <v>2108</v>
      </c>
      <c r="B306" s="2" t="s">
        <v>161</v>
      </c>
      <c r="C306" s="2" t="s">
        <v>1809</v>
      </c>
      <c r="D306" s="3">
        <v>45549</v>
      </c>
      <c r="E306" s="2" t="s">
        <v>1800</v>
      </c>
      <c r="F306" t="str">
        <f t="shared" si="44"/>
        <v>yes</v>
      </c>
      <c r="G306">
        <f t="shared" si="45"/>
        <v>70</v>
      </c>
      <c r="H306" t="str">
        <f t="shared" si="46"/>
        <v>Customer support was helpful.</v>
      </c>
      <c r="I306" t="str">
        <f t="shared" si="47"/>
        <v>Customer support was helpful.</v>
      </c>
      <c r="J306">
        <f t="shared" si="48"/>
        <v>29</v>
      </c>
      <c r="K306" t="str">
        <f t="shared" si="49"/>
        <v>Customer s</v>
      </c>
      <c r="L306">
        <f t="shared" si="50"/>
        <v>9</v>
      </c>
      <c r="M306">
        <f t="shared" ca="1" si="51"/>
        <v>769</v>
      </c>
      <c r="N306" t="str">
        <f t="shared" si="52"/>
        <v>WEEKEND</v>
      </c>
      <c r="O306" t="str">
        <f t="shared" si="53"/>
        <v>14-Sep-2024</v>
      </c>
      <c r="P306" t="str">
        <f t="shared" si="54"/>
        <v>Riya Patel-Camera</v>
      </c>
    </row>
    <row r="307" spans="1:16" x14ac:dyDescent="0.4">
      <c r="A307" s="2" t="s">
        <v>2109</v>
      </c>
      <c r="B307" s="2" t="s">
        <v>489</v>
      </c>
      <c r="C307" s="2" t="s">
        <v>1796</v>
      </c>
      <c r="D307" s="3">
        <v>45563</v>
      </c>
      <c r="E307" s="2" t="s">
        <v>1794</v>
      </c>
      <c r="F307" t="str">
        <f t="shared" si="44"/>
        <v>yes</v>
      </c>
      <c r="G307">
        <f t="shared" si="45"/>
        <v>70</v>
      </c>
      <c r="H307" t="str">
        <f t="shared" si="46"/>
        <v>Delivery was late but product is good.</v>
      </c>
      <c r="I307" t="str">
        <f t="shared" si="47"/>
        <v>Delivery was delayed but product is good.</v>
      </c>
      <c r="J307">
        <f t="shared" si="48"/>
        <v>41</v>
      </c>
      <c r="K307" t="str">
        <f t="shared" si="49"/>
        <v>Delivery w</v>
      </c>
      <c r="L307">
        <f t="shared" si="50"/>
        <v>9</v>
      </c>
      <c r="M307">
        <f t="shared" ca="1" si="51"/>
        <v>755</v>
      </c>
      <c r="N307" t="str">
        <f t="shared" si="52"/>
        <v>WEEKEND</v>
      </c>
      <c r="O307" t="str">
        <f t="shared" si="53"/>
        <v>28-Sep-2024</v>
      </c>
      <c r="P307" t="str">
        <f t="shared" si="54"/>
        <v>Arjun Reddy-Smartwatch</v>
      </c>
    </row>
    <row r="308" spans="1:16" x14ac:dyDescent="0.4">
      <c r="A308" s="2" t="s">
        <v>2110</v>
      </c>
      <c r="B308" s="2" t="s">
        <v>217</v>
      </c>
      <c r="C308" s="2" t="s">
        <v>1796</v>
      </c>
      <c r="D308" s="3">
        <v>45456</v>
      </c>
      <c r="E308" s="2" t="s">
        <v>1797</v>
      </c>
      <c r="F308" t="str">
        <f t="shared" si="44"/>
        <v>yes</v>
      </c>
      <c r="G308">
        <f t="shared" si="45"/>
        <v>70</v>
      </c>
      <c r="H308" t="str">
        <f t="shared" si="46"/>
        <v>Delivery was late but product is good.</v>
      </c>
      <c r="I308" t="str">
        <f t="shared" si="47"/>
        <v>Delivery was delayed but product is good.</v>
      </c>
      <c r="J308">
        <f t="shared" si="48"/>
        <v>41</v>
      </c>
      <c r="K308" t="str">
        <f t="shared" si="49"/>
        <v>Delivery w</v>
      </c>
      <c r="L308">
        <f t="shared" si="50"/>
        <v>6</v>
      </c>
      <c r="M308">
        <f t="shared" ca="1" si="51"/>
        <v>862</v>
      </c>
      <c r="N308" t="str">
        <f t="shared" si="52"/>
        <v>WEEKDAY</v>
      </c>
      <c r="O308" t="str">
        <f t="shared" si="53"/>
        <v>13-Jun-2024</v>
      </c>
      <c r="P308" t="str">
        <f t="shared" si="54"/>
        <v>Meera Gupta-Mobile</v>
      </c>
    </row>
    <row r="309" spans="1:16" x14ac:dyDescent="0.4">
      <c r="A309" s="2" t="s">
        <v>2111</v>
      </c>
      <c r="B309" s="2" t="s">
        <v>1087</v>
      </c>
      <c r="C309" s="2" t="s">
        <v>1809</v>
      </c>
      <c r="D309" s="3">
        <v>45533</v>
      </c>
      <c r="E309" s="2" t="s">
        <v>1797</v>
      </c>
      <c r="F309" t="str">
        <f t="shared" si="44"/>
        <v>yes</v>
      </c>
      <c r="G309">
        <f t="shared" si="45"/>
        <v>70</v>
      </c>
      <c r="H309" t="str">
        <f t="shared" si="46"/>
        <v>Customer support was helpful.</v>
      </c>
      <c r="I309" t="str">
        <f t="shared" si="47"/>
        <v>Customer support was helpful.</v>
      </c>
      <c r="J309">
        <f t="shared" si="48"/>
        <v>29</v>
      </c>
      <c r="K309" t="str">
        <f t="shared" si="49"/>
        <v>Customer s</v>
      </c>
      <c r="L309">
        <f t="shared" si="50"/>
        <v>8</v>
      </c>
      <c r="M309">
        <f t="shared" ca="1" si="51"/>
        <v>785</v>
      </c>
      <c r="N309" t="str">
        <f t="shared" si="52"/>
        <v>WEEKDAY</v>
      </c>
      <c r="O309" t="str">
        <f t="shared" si="53"/>
        <v>29-Aug-2024</v>
      </c>
      <c r="P309" t="str">
        <f t="shared" si="54"/>
        <v>Vivaan Sharma-Mobile</v>
      </c>
    </row>
    <row r="310" spans="1:16" x14ac:dyDescent="0.4">
      <c r="A310" s="2" t="s">
        <v>2112</v>
      </c>
      <c r="B310" s="2" t="s">
        <v>99</v>
      </c>
      <c r="C310" s="2" t="s">
        <v>1796</v>
      </c>
      <c r="D310" s="3">
        <v>45510</v>
      </c>
      <c r="E310" s="2" t="s">
        <v>1794</v>
      </c>
      <c r="F310" t="str">
        <f t="shared" si="44"/>
        <v>yes</v>
      </c>
      <c r="G310">
        <f t="shared" si="45"/>
        <v>70</v>
      </c>
      <c r="H310" t="str">
        <f t="shared" si="46"/>
        <v>Delivery was late but product is good.</v>
      </c>
      <c r="I310" t="str">
        <f t="shared" si="47"/>
        <v>Delivery was delayed but product is good.</v>
      </c>
      <c r="J310">
        <f t="shared" si="48"/>
        <v>41</v>
      </c>
      <c r="K310" t="str">
        <f t="shared" si="49"/>
        <v>Delivery w</v>
      </c>
      <c r="L310">
        <f t="shared" si="50"/>
        <v>8</v>
      </c>
      <c r="M310">
        <f t="shared" ca="1" si="51"/>
        <v>808</v>
      </c>
      <c r="N310" t="str">
        <f t="shared" si="52"/>
        <v>WEEKDAY</v>
      </c>
      <c r="O310" t="str">
        <f t="shared" si="53"/>
        <v>06-Aug-2024</v>
      </c>
      <c r="P310" t="str">
        <f t="shared" si="54"/>
        <v>Diya Singh-Smartwatch</v>
      </c>
    </row>
    <row r="311" spans="1:16" x14ac:dyDescent="0.4">
      <c r="A311" s="2" t="s">
        <v>2113</v>
      </c>
      <c r="B311" s="2" t="s">
        <v>145</v>
      </c>
      <c r="C311" s="2" t="s">
        <v>1809</v>
      </c>
      <c r="D311" s="3">
        <v>45608</v>
      </c>
      <c r="E311" s="2" t="s">
        <v>1797</v>
      </c>
      <c r="F311" t="str">
        <f t="shared" si="44"/>
        <v>yes</v>
      </c>
      <c r="G311">
        <f t="shared" si="45"/>
        <v>70</v>
      </c>
      <c r="H311" t="str">
        <f t="shared" si="46"/>
        <v>Customer support was helpful.</v>
      </c>
      <c r="I311" t="str">
        <f t="shared" si="47"/>
        <v>Customer support was helpful.</v>
      </c>
      <c r="J311">
        <f t="shared" si="48"/>
        <v>29</v>
      </c>
      <c r="K311" t="str">
        <f t="shared" si="49"/>
        <v>Customer s</v>
      </c>
      <c r="L311">
        <f t="shared" si="50"/>
        <v>11</v>
      </c>
      <c r="M311">
        <f t="shared" ca="1" si="51"/>
        <v>710</v>
      </c>
      <c r="N311" t="str">
        <f t="shared" si="52"/>
        <v>WEEKDAY</v>
      </c>
      <c r="O311" t="str">
        <f t="shared" si="53"/>
        <v>12-Nov-2024</v>
      </c>
      <c r="P311" t="str">
        <f t="shared" si="54"/>
        <v>Aditya Nair-Mobile</v>
      </c>
    </row>
    <row r="312" spans="1:16" x14ac:dyDescent="0.4">
      <c r="A312" s="2" t="s">
        <v>2114</v>
      </c>
      <c r="B312" s="2" t="s">
        <v>61</v>
      </c>
      <c r="C312" s="2" t="s">
        <v>1793</v>
      </c>
      <c r="D312" s="3">
        <v>45559</v>
      </c>
      <c r="E312" s="2" t="s">
        <v>1794</v>
      </c>
      <c r="F312" t="str">
        <f t="shared" si="44"/>
        <v>yes</v>
      </c>
      <c r="G312">
        <f t="shared" si="45"/>
        <v>70</v>
      </c>
      <c r="H312" t="str">
        <f t="shared" si="46"/>
        <v>Received damaged item, requested replacement.</v>
      </c>
      <c r="I312" t="str">
        <f t="shared" si="47"/>
        <v>Received damaged item, requested replacement.</v>
      </c>
      <c r="J312">
        <f t="shared" si="48"/>
        <v>45</v>
      </c>
      <c r="K312" t="str">
        <f t="shared" si="49"/>
        <v>Received d</v>
      </c>
      <c r="L312">
        <f t="shared" si="50"/>
        <v>9</v>
      </c>
      <c r="M312">
        <f t="shared" ca="1" si="51"/>
        <v>759</v>
      </c>
      <c r="N312" t="str">
        <f t="shared" si="52"/>
        <v>WEEKDAY</v>
      </c>
      <c r="O312" t="str">
        <f t="shared" si="53"/>
        <v>24-Sep-2024</v>
      </c>
      <c r="P312" t="str">
        <f t="shared" si="54"/>
        <v>Ananya Joshi-Smartwatch</v>
      </c>
    </row>
    <row r="313" spans="1:16" x14ac:dyDescent="0.4">
      <c r="A313" s="2" t="s">
        <v>2115</v>
      </c>
      <c r="B313" s="2" t="s">
        <v>70</v>
      </c>
      <c r="C313" s="2" t="s">
        <v>1815</v>
      </c>
      <c r="D313" s="3">
        <v>45353</v>
      </c>
      <c r="E313" s="2" t="s">
        <v>1800</v>
      </c>
      <c r="F313" t="str">
        <f t="shared" si="44"/>
        <v>yes</v>
      </c>
      <c r="G313">
        <f t="shared" si="45"/>
        <v>70</v>
      </c>
      <c r="H313" t="str">
        <f t="shared" si="46"/>
        <v>Great value for money!</v>
      </c>
      <c r="I313" t="str">
        <f t="shared" si="47"/>
        <v>Great value for money!</v>
      </c>
      <c r="J313">
        <f t="shared" si="48"/>
        <v>22</v>
      </c>
      <c r="K313" t="str">
        <f t="shared" si="49"/>
        <v>Great valu</v>
      </c>
      <c r="L313">
        <f t="shared" si="50"/>
        <v>3</v>
      </c>
      <c r="M313">
        <f t="shared" ca="1" si="51"/>
        <v>965</v>
      </c>
      <c r="N313" t="str">
        <f t="shared" si="52"/>
        <v>WEEKEND</v>
      </c>
      <c r="O313" t="str">
        <f t="shared" si="53"/>
        <v>02-Mar-2024</v>
      </c>
      <c r="P313" t="str">
        <f t="shared" si="54"/>
        <v>Vivaan Khan-Camera</v>
      </c>
    </row>
    <row r="314" spans="1:16" x14ac:dyDescent="0.4">
      <c r="A314" s="2" t="s">
        <v>2116</v>
      </c>
      <c r="B314" s="2" t="s">
        <v>395</v>
      </c>
      <c r="C314" s="2" t="s">
        <v>1796</v>
      </c>
      <c r="D314" s="3">
        <v>45656</v>
      </c>
      <c r="E314" s="2" t="s">
        <v>1810</v>
      </c>
      <c r="F314" t="str">
        <f t="shared" si="44"/>
        <v>yes</v>
      </c>
      <c r="G314">
        <f t="shared" si="45"/>
        <v>70</v>
      </c>
      <c r="H314" t="str">
        <f t="shared" si="46"/>
        <v>Delivery was late but product is good.</v>
      </c>
      <c r="I314" t="str">
        <f t="shared" si="47"/>
        <v>Delivery was delayed but product is good.</v>
      </c>
      <c r="J314">
        <f t="shared" si="48"/>
        <v>41</v>
      </c>
      <c r="K314" t="str">
        <f t="shared" si="49"/>
        <v>Delivery w</v>
      </c>
      <c r="L314">
        <f t="shared" si="50"/>
        <v>12</v>
      </c>
      <c r="M314">
        <f t="shared" ca="1" si="51"/>
        <v>662</v>
      </c>
      <c r="N314" t="str">
        <f t="shared" si="52"/>
        <v>WEEKDAY</v>
      </c>
      <c r="O314" t="str">
        <f t="shared" si="53"/>
        <v>30-Dec-2024</v>
      </c>
      <c r="P314" t="str">
        <f t="shared" si="54"/>
        <v>Riya Nair-Tablet</v>
      </c>
    </row>
    <row r="315" spans="1:16" x14ac:dyDescent="0.4">
      <c r="A315" s="2" t="s">
        <v>2117</v>
      </c>
      <c r="B315" s="2" t="s">
        <v>579</v>
      </c>
      <c r="C315" s="2" t="s">
        <v>1799</v>
      </c>
      <c r="D315" s="3">
        <v>45535</v>
      </c>
      <c r="E315" s="2" t="s">
        <v>1800</v>
      </c>
      <c r="F315" t="str">
        <f t="shared" si="44"/>
        <v>yes</v>
      </c>
      <c r="G315">
        <f t="shared" si="45"/>
        <v>70</v>
      </c>
      <c r="H315" t="str">
        <f t="shared" si="46"/>
        <v>Not satisfied with the quality.</v>
      </c>
      <c r="I315" t="str">
        <f t="shared" si="47"/>
        <v>Not satisfied with the quality.</v>
      </c>
      <c r="J315">
        <f t="shared" si="48"/>
        <v>31</v>
      </c>
      <c r="K315" t="str">
        <f t="shared" si="49"/>
        <v>Not satisf</v>
      </c>
      <c r="L315">
        <f t="shared" si="50"/>
        <v>8</v>
      </c>
      <c r="M315">
        <f t="shared" ca="1" si="51"/>
        <v>783</v>
      </c>
      <c r="N315" t="str">
        <f t="shared" si="52"/>
        <v>WEEKEND</v>
      </c>
      <c r="O315" t="str">
        <f t="shared" si="53"/>
        <v>31-Aug-2024</v>
      </c>
      <c r="P315" t="str">
        <f t="shared" si="54"/>
        <v>Diya Khan-Camera</v>
      </c>
    </row>
    <row r="316" spans="1:16" x14ac:dyDescent="0.4">
      <c r="A316" s="2" t="s">
        <v>2118</v>
      </c>
      <c r="B316" s="2" t="s">
        <v>411</v>
      </c>
      <c r="C316" s="2" t="s">
        <v>1815</v>
      </c>
      <c r="D316" s="3">
        <v>45494</v>
      </c>
      <c r="E316" s="2" t="s">
        <v>1797</v>
      </c>
      <c r="F316" t="str">
        <f t="shared" si="44"/>
        <v>yes</v>
      </c>
      <c r="G316">
        <f t="shared" si="45"/>
        <v>70</v>
      </c>
      <c r="H316" t="str">
        <f t="shared" si="46"/>
        <v>Great value for money!</v>
      </c>
      <c r="I316" t="str">
        <f t="shared" si="47"/>
        <v>Great value for money!</v>
      </c>
      <c r="J316">
        <f t="shared" si="48"/>
        <v>22</v>
      </c>
      <c r="K316" t="str">
        <f t="shared" si="49"/>
        <v>Great valu</v>
      </c>
      <c r="L316">
        <f t="shared" si="50"/>
        <v>7</v>
      </c>
      <c r="M316">
        <f t="shared" ca="1" si="51"/>
        <v>824</v>
      </c>
      <c r="N316" t="str">
        <f t="shared" si="52"/>
        <v>WEEKEND</v>
      </c>
      <c r="O316" t="str">
        <f t="shared" si="53"/>
        <v>21-Jul-2024</v>
      </c>
      <c r="P316" t="str">
        <f t="shared" si="54"/>
        <v>Aarav Joshi-Mobile</v>
      </c>
    </row>
    <row r="317" spans="1:16" x14ac:dyDescent="0.4">
      <c r="A317" s="2" t="s">
        <v>2119</v>
      </c>
      <c r="B317" s="2" t="s">
        <v>385</v>
      </c>
      <c r="C317" s="2" t="s">
        <v>1796</v>
      </c>
      <c r="D317" s="3">
        <v>45414</v>
      </c>
      <c r="E317" s="2" t="s">
        <v>1794</v>
      </c>
      <c r="F317" t="str">
        <f t="shared" si="44"/>
        <v>yes</v>
      </c>
      <c r="G317">
        <f t="shared" si="45"/>
        <v>70</v>
      </c>
      <c r="H317" t="str">
        <f t="shared" si="46"/>
        <v>Delivery was late but product is good.</v>
      </c>
      <c r="I317" t="str">
        <f t="shared" si="47"/>
        <v>Delivery was delayed but product is good.</v>
      </c>
      <c r="J317">
        <f t="shared" si="48"/>
        <v>41</v>
      </c>
      <c r="K317" t="str">
        <f t="shared" si="49"/>
        <v>Delivery w</v>
      </c>
      <c r="L317">
        <f t="shared" si="50"/>
        <v>5</v>
      </c>
      <c r="M317">
        <f t="shared" ca="1" si="51"/>
        <v>904</v>
      </c>
      <c r="N317" t="str">
        <f t="shared" si="52"/>
        <v>WEEKDAY</v>
      </c>
      <c r="O317" t="str">
        <f t="shared" si="53"/>
        <v>02-May-2024</v>
      </c>
      <c r="P317" t="str">
        <f t="shared" si="54"/>
        <v>Diya Nair-Smartwatch</v>
      </c>
    </row>
    <row r="318" spans="1:16" x14ac:dyDescent="0.4">
      <c r="A318" s="2" t="s">
        <v>2120</v>
      </c>
      <c r="B318" s="2" t="s">
        <v>543</v>
      </c>
      <c r="C318" s="2" t="s">
        <v>1799</v>
      </c>
      <c r="D318" s="3">
        <v>45450</v>
      </c>
      <c r="E318" s="2" t="s">
        <v>1794</v>
      </c>
      <c r="F318" t="str">
        <f t="shared" si="44"/>
        <v>yes</v>
      </c>
      <c r="G318">
        <f t="shared" si="45"/>
        <v>70</v>
      </c>
      <c r="H318" t="str">
        <f t="shared" si="46"/>
        <v>Not satisfied with the quality.</v>
      </c>
      <c r="I318" t="str">
        <f t="shared" si="47"/>
        <v>Not satisfied with the quality.</v>
      </c>
      <c r="J318">
        <f t="shared" si="48"/>
        <v>31</v>
      </c>
      <c r="K318" t="str">
        <f t="shared" si="49"/>
        <v>Not satisf</v>
      </c>
      <c r="L318">
        <f t="shared" si="50"/>
        <v>6</v>
      </c>
      <c r="M318">
        <f t="shared" ca="1" si="51"/>
        <v>868</v>
      </c>
      <c r="N318" t="str">
        <f t="shared" si="52"/>
        <v>WEEKDAY</v>
      </c>
      <c r="O318" t="str">
        <f t="shared" si="53"/>
        <v>07-Jun-2024</v>
      </c>
      <c r="P318" t="str">
        <f t="shared" si="54"/>
        <v>Vivaan Joshi-Smartwatch</v>
      </c>
    </row>
    <row r="319" spans="1:16" x14ac:dyDescent="0.4">
      <c r="A319" s="2" t="s">
        <v>2121</v>
      </c>
      <c r="B319" s="2" t="s">
        <v>405</v>
      </c>
      <c r="C319" s="2" t="s">
        <v>1809</v>
      </c>
      <c r="D319" s="3">
        <v>45562</v>
      </c>
      <c r="E319" s="2" t="s">
        <v>1794</v>
      </c>
      <c r="F319" t="str">
        <f t="shared" si="44"/>
        <v>yes</v>
      </c>
      <c r="G319">
        <f t="shared" si="45"/>
        <v>70</v>
      </c>
      <c r="H319" t="str">
        <f t="shared" si="46"/>
        <v>Customer support was helpful.</v>
      </c>
      <c r="I319" t="str">
        <f t="shared" si="47"/>
        <v>Customer support was helpful.</v>
      </c>
      <c r="J319">
        <f t="shared" si="48"/>
        <v>29</v>
      </c>
      <c r="K319" t="str">
        <f t="shared" si="49"/>
        <v>Customer s</v>
      </c>
      <c r="L319">
        <f t="shared" si="50"/>
        <v>9</v>
      </c>
      <c r="M319">
        <f t="shared" ca="1" si="51"/>
        <v>756</v>
      </c>
      <c r="N319" t="str">
        <f t="shared" si="52"/>
        <v>WEEKDAY</v>
      </c>
      <c r="O319" t="str">
        <f t="shared" si="53"/>
        <v>27-Sep-2024</v>
      </c>
      <c r="P319" t="str">
        <f t="shared" si="54"/>
        <v>Ananya Singh-Smartwatch</v>
      </c>
    </row>
    <row r="320" spans="1:16" x14ac:dyDescent="0.4">
      <c r="A320" s="2" t="s">
        <v>2122</v>
      </c>
      <c r="B320" s="2" t="s">
        <v>629</v>
      </c>
      <c r="C320" s="2" t="s">
        <v>1802</v>
      </c>
      <c r="D320" s="3">
        <v>45522</v>
      </c>
      <c r="E320" s="2" t="s">
        <v>1794</v>
      </c>
      <c r="F320" t="str">
        <f t="shared" si="44"/>
        <v>yes</v>
      </c>
      <c r="G320">
        <f t="shared" si="45"/>
        <v>70</v>
      </c>
      <c r="H320" t="str">
        <f t="shared" si="46"/>
        <v>Product was excellent and delivery was fast.</v>
      </c>
      <c r="I320" t="str">
        <f t="shared" si="47"/>
        <v>Product was excellent and delivery was fast.</v>
      </c>
      <c r="J320">
        <f t="shared" si="48"/>
        <v>44</v>
      </c>
      <c r="K320" t="str">
        <f t="shared" si="49"/>
        <v>Product wa</v>
      </c>
      <c r="L320">
        <f t="shared" si="50"/>
        <v>8</v>
      </c>
      <c r="M320">
        <f t="shared" ca="1" si="51"/>
        <v>796</v>
      </c>
      <c r="N320" t="str">
        <f t="shared" si="52"/>
        <v>WEEKEND</v>
      </c>
      <c r="O320" t="str">
        <f t="shared" si="53"/>
        <v>18-Aug-2024</v>
      </c>
      <c r="P320" t="str">
        <f t="shared" si="54"/>
        <v>Aditya Joshi-Smartwatch</v>
      </c>
    </row>
    <row r="321" spans="1:16" x14ac:dyDescent="0.4">
      <c r="A321" s="2" t="s">
        <v>2123</v>
      </c>
      <c r="B321" s="2" t="s">
        <v>255</v>
      </c>
      <c r="C321" s="2" t="s">
        <v>1799</v>
      </c>
      <c r="D321" s="3">
        <v>45656</v>
      </c>
      <c r="E321" s="2" t="s">
        <v>1800</v>
      </c>
      <c r="F321" t="str">
        <f t="shared" si="44"/>
        <v>yes</v>
      </c>
      <c r="G321">
        <f t="shared" si="45"/>
        <v>70</v>
      </c>
      <c r="H321" t="str">
        <f t="shared" si="46"/>
        <v>Not satisfied with the quality.</v>
      </c>
      <c r="I321" t="str">
        <f t="shared" si="47"/>
        <v>Not satisfied with the quality.</v>
      </c>
      <c r="J321">
        <f t="shared" si="48"/>
        <v>31</v>
      </c>
      <c r="K321" t="str">
        <f t="shared" si="49"/>
        <v>Not satisf</v>
      </c>
      <c r="L321">
        <f t="shared" si="50"/>
        <v>12</v>
      </c>
      <c r="M321">
        <f t="shared" ca="1" si="51"/>
        <v>662</v>
      </c>
      <c r="N321" t="str">
        <f t="shared" si="52"/>
        <v>WEEKDAY</v>
      </c>
      <c r="O321" t="str">
        <f t="shared" si="53"/>
        <v>30-Dec-2024</v>
      </c>
      <c r="P321" t="str">
        <f t="shared" si="54"/>
        <v>Riya Singh-Camera</v>
      </c>
    </row>
    <row r="322" spans="1:16" x14ac:dyDescent="0.4">
      <c r="A322" s="2" t="s">
        <v>2124</v>
      </c>
      <c r="B322" s="2" t="s">
        <v>181</v>
      </c>
      <c r="C322" s="2" t="s">
        <v>1793</v>
      </c>
      <c r="D322" s="3">
        <v>45512</v>
      </c>
      <c r="E322" s="2" t="s">
        <v>1797</v>
      </c>
      <c r="F322" t="str">
        <f t="shared" si="44"/>
        <v>yes</v>
      </c>
      <c r="G322">
        <f t="shared" si="45"/>
        <v>70</v>
      </c>
      <c r="H322" t="str">
        <f t="shared" si="46"/>
        <v>Received damaged item, requested replacement.</v>
      </c>
      <c r="I322" t="str">
        <f t="shared" si="47"/>
        <v>Received damaged item, requested replacement.</v>
      </c>
      <c r="J322">
        <f t="shared" si="48"/>
        <v>45</v>
      </c>
      <c r="K322" t="str">
        <f t="shared" si="49"/>
        <v>Received d</v>
      </c>
      <c r="L322">
        <f t="shared" si="50"/>
        <v>8</v>
      </c>
      <c r="M322">
        <f t="shared" ca="1" si="51"/>
        <v>806</v>
      </c>
      <c r="N322" t="str">
        <f t="shared" si="52"/>
        <v>WEEKDAY</v>
      </c>
      <c r="O322" t="str">
        <f t="shared" si="53"/>
        <v>08-Aug-2024</v>
      </c>
      <c r="P322" t="str">
        <f t="shared" si="54"/>
        <v>Meera Patel-Mobile</v>
      </c>
    </row>
    <row r="323" spans="1:16" x14ac:dyDescent="0.4">
      <c r="A323" s="2" t="s">
        <v>2125</v>
      </c>
      <c r="B323" s="2" t="s">
        <v>469</v>
      </c>
      <c r="C323" s="2" t="s">
        <v>1809</v>
      </c>
      <c r="D323" s="3">
        <v>45362</v>
      </c>
      <c r="E323" s="2" t="s">
        <v>1794</v>
      </c>
      <c r="F323" t="str">
        <f t="shared" ref="F323:F386" si="55">IF(YEAR(D323)=2024,"yes","No")</f>
        <v>yes</v>
      </c>
      <c r="G323">
        <f t="shared" ref="G323:G386" si="56">COUNTIF($C$2:$C$501,"*good*")</f>
        <v>70</v>
      </c>
      <c r="H323" t="str">
        <f t="shared" ref="H323:H386" si="57">SUBSTITUTE(C323,"delayed","late")</f>
        <v>Customer support was helpful.</v>
      </c>
      <c r="I323" t="str">
        <f t="shared" ref="I323:I386" si="58">TRIM(C323)</f>
        <v>Customer support was helpful.</v>
      </c>
      <c r="J323">
        <f t="shared" ref="J323:J386" si="59">LEN(C323)</f>
        <v>29</v>
      </c>
      <c r="K323" t="str">
        <f t="shared" ref="K323:K386" si="60">LEFT(C323,10)</f>
        <v>Customer s</v>
      </c>
      <c r="L323">
        <f t="shared" ref="L323:L386" si="61">MONTH(D323)</f>
        <v>3</v>
      </c>
      <c r="M323">
        <f t="shared" ref="M323:M386" ca="1" si="62">DATEDIF(D323,TODAY(),"D")</f>
        <v>956</v>
      </c>
      <c r="N323" t="str">
        <f t="shared" ref="N323:N386" si="63">IF(WEEKDAY(D323,2)&gt;5,"WEEKEND","WEEKDAY")</f>
        <v>WEEKDAY</v>
      </c>
      <c r="O323" t="str">
        <f t="shared" ref="O323:O386" si="64">TEXT(D323,"DD-MMM-YYYY")</f>
        <v>11-Mar-2024</v>
      </c>
      <c r="P323" t="str">
        <f t="shared" ref="P323:P386" si="65">_xlfn.CONCAT(B323,"-",E323)</f>
        <v>Ananya Nair-Smartwatch</v>
      </c>
    </row>
    <row r="324" spans="1:16" x14ac:dyDescent="0.4">
      <c r="A324" s="2" t="s">
        <v>2126</v>
      </c>
      <c r="B324" s="2" t="s">
        <v>555</v>
      </c>
      <c r="C324" s="2" t="s">
        <v>1809</v>
      </c>
      <c r="D324" s="3">
        <v>45432</v>
      </c>
      <c r="E324" s="2" t="s">
        <v>1794</v>
      </c>
      <c r="F324" t="str">
        <f t="shared" si="55"/>
        <v>yes</v>
      </c>
      <c r="G324">
        <f t="shared" si="56"/>
        <v>70</v>
      </c>
      <c r="H324" t="str">
        <f t="shared" si="57"/>
        <v>Customer support was helpful.</v>
      </c>
      <c r="I324" t="str">
        <f t="shared" si="58"/>
        <v>Customer support was helpful.</v>
      </c>
      <c r="J324">
        <f t="shared" si="59"/>
        <v>29</v>
      </c>
      <c r="K324" t="str">
        <f t="shared" si="60"/>
        <v>Customer s</v>
      </c>
      <c r="L324">
        <f t="shared" si="61"/>
        <v>5</v>
      </c>
      <c r="M324">
        <f t="shared" ca="1" si="62"/>
        <v>886</v>
      </c>
      <c r="N324" t="str">
        <f t="shared" si="63"/>
        <v>WEEKDAY</v>
      </c>
      <c r="O324" t="str">
        <f t="shared" si="64"/>
        <v>20-May-2024</v>
      </c>
      <c r="P324" t="str">
        <f t="shared" si="65"/>
        <v>Riya Joshi-Smartwatch</v>
      </c>
    </row>
    <row r="325" spans="1:16" x14ac:dyDescent="0.4">
      <c r="A325" s="2" t="s">
        <v>2127</v>
      </c>
      <c r="B325" s="2" t="s">
        <v>263</v>
      </c>
      <c r="C325" s="2" t="s">
        <v>1815</v>
      </c>
      <c r="D325" s="3">
        <v>45519</v>
      </c>
      <c r="E325" s="2" t="s">
        <v>1800</v>
      </c>
      <c r="F325" t="str">
        <f t="shared" si="55"/>
        <v>yes</v>
      </c>
      <c r="G325">
        <f t="shared" si="56"/>
        <v>70</v>
      </c>
      <c r="H325" t="str">
        <f t="shared" si="57"/>
        <v>Great value for money!</v>
      </c>
      <c r="I325" t="str">
        <f t="shared" si="58"/>
        <v>Great value for money!</v>
      </c>
      <c r="J325">
        <f t="shared" si="59"/>
        <v>22</v>
      </c>
      <c r="K325" t="str">
        <f t="shared" si="60"/>
        <v>Great valu</v>
      </c>
      <c r="L325">
        <f t="shared" si="61"/>
        <v>8</v>
      </c>
      <c r="M325">
        <f t="shared" ca="1" si="62"/>
        <v>799</v>
      </c>
      <c r="N325" t="str">
        <f t="shared" si="63"/>
        <v>WEEKDAY</v>
      </c>
      <c r="O325" t="str">
        <f t="shared" si="64"/>
        <v>15-Aug-2024</v>
      </c>
      <c r="P325" t="str">
        <f t="shared" si="65"/>
        <v>Isha Gupta-Camera</v>
      </c>
    </row>
    <row r="326" spans="1:16" x14ac:dyDescent="0.4">
      <c r="A326" s="2" t="s">
        <v>2128</v>
      </c>
      <c r="B326" s="2" t="s">
        <v>641</v>
      </c>
      <c r="C326" s="2" t="s">
        <v>1802</v>
      </c>
      <c r="D326" s="3">
        <v>45602</v>
      </c>
      <c r="E326" s="2" t="s">
        <v>1820</v>
      </c>
      <c r="F326" t="str">
        <f t="shared" si="55"/>
        <v>yes</v>
      </c>
      <c r="G326">
        <f t="shared" si="56"/>
        <v>70</v>
      </c>
      <c r="H326" t="str">
        <f t="shared" si="57"/>
        <v>Product was excellent and delivery was fast.</v>
      </c>
      <c r="I326" t="str">
        <f t="shared" si="58"/>
        <v>Product was excellent and delivery was fast.</v>
      </c>
      <c r="J326">
        <f t="shared" si="59"/>
        <v>44</v>
      </c>
      <c r="K326" t="str">
        <f t="shared" si="60"/>
        <v>Product wa</v>
      </c>
      <c r="L326">
        <f t="shared" si="61"/>
        <v>11</v>
      </c>
      <c r="M326">
        <f t="shared" ca="1" si="62"/>
        <v>716</v>
      </c>
      <c r="N326" t="str">
        <f t="shared" si="63"/>
        <v>WEEKDAY</v>
      </c>
      <c r="O326" t="str">
        <f t="shared" si="64"/>
        <v>06-Nov-2024</v>
      </c>
      <c r="P326" t="str">
        <f t="shared" si="65"/>
        <v>Aarav Mehta-Printer</v>
      </c>
    </row>
    <row r="327" spans="1:16" x14ac:dyDescent="0.4">
      <c r="A327" s="2" t="s">
        <v>2129</v>
      </c>
      <c r="B327" s="2" t="s">
        <v>651</v>
      </c>
      <c r="C327" s="2" t="s">
        <v>1809</v>
      </c>
      <c r="D327" s="3">
        <v>45606</v>
      </c>
      <c r="E327" s="2" t="s">
        <v>1794</v>
      </c>
      <c r="F327" t="str">
        <f t="shared" si="55"/>
        <v>yes</v>
      </c>
      <c r="G327">
        <f t="shared" si="56"/>
        <v>70</v>
      </c>
      <c r="H327" t="str">
        <f t="shared" si="57"/>
        <v>Customer support was helpful.</v>
      </c>
      <c r="I327" t="str">
        <f t="shared" si="58"/>
        <v>Customer support was helpful.</v>
      </c>
      <c r="J327">
        <f t="shared" si="59"/>
        <v>29</v>
      </c>
      <c r="K327" t="str">
        <f t="shared" si="60"/>
        <v>Customer s</v>
      </c>
      <c r="L327">
        <f t="shared" si="61"/>
        <v>11</v>
      </c>
      <c r="M327">
        <f t="shared" ca="1" si="62"/>
        <v>712</v>
      </c>
      <c r="N327" t="str">
        <f t="shared" si="63"/>
        <v>WEEKEND</v>
      </c>
      <c r="O327" t="str">
        <f t="shared" si="64"/>
        <v>10-Nov-2024</v>
      </c>
      <c r="P327" t="str">
        <f t="shared" si="65"/>
        <v>Aarav Nair-Smartwatch</v>
      </c>
    </row>
    <row r="328" spans="1:16" x14ac:dyDescent="0.4">
      <c r="A328" s="2" t="s">
        <v>2130</v>
      </c>
      <c r="B328" s="2" t="s">
        <v>195</v>
      </c>
      <c r="C328" s="2" t="s">
        <v>1799</v>
      </c>
      <c r="D328" s="3">
        <v>45294</v>
      </c>
      <c r="E328" s="2" t="s">
        <v>1794</v>
      </c>
      <c r="F328" t="str">
        <f t="shared" si="55"/>
        <v>yes</v>
      </c>
      <c r="G328">
        <f t="shared" si="56"/>
        <v>70</v>
      </c>
      <c r="H328" t="str">
        <f t="shared" si="57"/>
        <v>Not satisfied with the quality.</v>
      </c>
      <c r="I328" t="str">
        <f t="shared" si="58"/>
        <v>Not satisfied with the quality.</v>
      </c>
      <c r="J328">
        <f t="shared" si="59"/>
        <v>31</v>
      </c>
      <c r="K328" t="str">
        <f t="shared" si="60"/>
        <v>Not satisf</v>
      </c>
      <c r="L328">
        <f t="shared" si="61"/>
        <v>1</v>
      </c>
      <c r="M328">
        <f t="shared" ca="1" si="62"/>
        <v>1024</v>
      </c>
      <c r="N328" t="str">
        <f t="shared" si="63"/>
        <v>WEEKDAY</v>
      </c>
      <c r="O328" t="str">
        <f t="shared" si="64"/>
        <v>03-Jan-2024</v>
      </c>
      <c r="P328" t="str">
        <f t="shared" si="65"/>
        <v>Ananya Das-Smartwatch</v>
      </c>
    </row>
    <row r="329" spans="1:16" x14ac:dyDescent="0.4">
      <c r="A329" s="2" t="s">
        <v>2131</v>
      </c>
      <c r="B329" s="2" t="s">
        <v>385</v>
      </c>
      <c r="C329" s="2" t="s">
        <v>1802</v>
      </c>
      <c r="D329" s="3">
        <v>45316</v>
      </c>
      <c r="E329" s="2" t="s">
        <v>1810</v>
      </c>
      <c r="F329" t="str">
        <f t="shared" si="55"/>
        <v>yes</v>
      </c>
      <c r="G329">
        <f t="shared" si="56"/>
        <v>70</v>
      </c>
      <c r="H329" t="str">
        <f t="shared" si="57"/>
        <v>Product was excellent and delivery was fast.</v>
      </c>
      <c r="I329" t="str">
        <f t="shared" si="58"/>
        <v>Product was excellent and delivery was fast.</v>
      </c>
      <c r="J329">
        <f t="shared" si="59"/>
        <v>44</v>
      </c>
      <c r="K329" t="str">
        <f t="shared" si="60"/>
        <v>Product wa</v>
      </c>
      <c r="L329">
        <f t="shared" si="61"/>
        <v>1</v>
      </c>
      <c r="M329">
        <f t="shared" ca="1" si="62"/>
        <v>1002</v>
      </c>
      <c r="N329" t="str">
        <f t="shared" si="63"/>
        <v>WEEKDAY</v>
      </c>
      <c r="O329" t="str">
        <f t="shared" si="64"/>
        <v>25-Jan-2024</v>
      </c>
      <c r="P329" t="str">
        <f t="shared" si="65"/>
        <v>Diya Nair-Tablet</v>
      </c>
    </row>
    <row r="330" spans="1:16" x14ac:dyDescent="0.4">
      <c r="A330" s="2" t="s">
        <v>2132</v>
      </c>
      <c r="B330" s="2" t="s">
        <v>603</v>
      </c>
      <c r="C330" s="2" t="s">
        <v>1815</v>
      </c>
      <c r="D330" s="3">
        <v>45456</v>
      </c>
      <c r="E330" s="2" t="s">
        <v>1810</v>
      </c>
      <c r="F330" t="str">
        <f t="shared" si="55"/>
        <v>yes</v>
      </c>
      <c r="G330">
        <f t="shared" si="56"/>
        <v>70</v>
      </c>
      <c r="H330" t="str">
        <f t="shared" si="57"/>
        <v>Great value for money!</v>
      </c>
      <c r="I330" t="str">
        <f t="shared" si="58"/>
        <v>Great value for money!</v>
      </c>
      <c r="J330">
        <f t="shared" si="59"/>
        <v>22</v>
      </c>
      <c r="K330" t="str">
        <f t="shared" si="60"/>
        <v>Great valu</v>
      </c>
      <c r="L330">
        <f t="shared" si="61"/>
        <v>6</v>
      </c>
      <c r="M330">
        <f t="shared" ca="1" si="62"/>
        <v>862</v>
      </c>
      <c r="N330" t="str">
        <f t="shared" si="63"/>
        <v>WEEKDAY</v>
      </c>
      <c r="O330" t="str">
        <f t="shared" si="64"/>
        <v>13-Jun-2024</v>
      </c>
      <c r="P330" t="str">
        <f t="shared" si="65"/>
        <v>Riya Khan-Tablet</v>
      </c>
    </row>
    <row r="331" spans="1:16" x14ac:dyDescent="0.4">
      <c r="A331" s="2" t="s">
        <v>2133</v>
      </c>
      <c r="B331" s="2" t="s">
        <v>82</v>
      </c>
      <c r="C331" s="2" t="s">
        <v>1799</v>
      </c>
      <c r="D331" s="3">
        <v>45598</v>
      </c>
      <c r="E331" s="2" t="s">
        <v>1810</v>
      </c>
      <c r="F331" t="str">
        <f t="shared" si="55"/>
        <v>yes</v>
      </c>
      <c r="G331">
        <f t="shared" si="56"/>
        <v>70</v>
      </c>
      <c r="H331" t="str">
        <f t="shared" si="57"/>
        <v>Not satisfied with the quality.</v>
      </c>
      <c r="I331" t="str">
        <f t="shared" si="58"/>
        <v>Not satisfied with the quality.</v>
      </c>
      <c r="J331">
        <f t="shared" si="59"/>
        <v>31</v>
      </c>
      <c r="K331" t="str">
        <f t="shared" si="60"/>
        <v>Not satisf</v>
      </c>
      <c r="L331">
        <f t="shared" si="61"/>
        <v>11</v>
      </c>
      <c r="M331">
        <f t="shared" ca="1" si="62"/>
        <v>720</v>
      </c>
      <c r="N331" t="str">
        <f t="shared" si="63"/>
        <v>WEEKEND</v>
      </c>
      <c r="O331" t="str">
        <f t="shared" si="64"/>
        <v>02-Nov-2024</v>
      </c>
      <c r="P331" t="str">
        <f t="shared" si="65"/>
        <v>Meera Joshi-Tablet</v>
      </c>
    </row>
    <row r="332" spans="1:16" x14ac:dyDescent="0.4">
      <c r="A332" s="2" t="s">
        <v>2134</v>
      </c>
      <c r="B332" s="2" t="s">
        <v>217</v>
      </c>
      <c r="C332" s="2" t="s">
        <v>1815</v>
      </c>
      <c r="D332" s="3">
        <v>45329</v>
      </c>
      <c r="E332" s="2" t="s">
        <v>1794</v>
      </c>
      <c r="F332" t="str">
        <f t="shared" si="55"/>
        <v>yes</v>
      </c>
      <c r="G332">
        <f t="shared" si="56"/>
        <v>70</v>
      </c>
      <c r="H332" t="str">
        <f t="shared" si="57"/>
        <v>Great value for money!</v>
      </c>
      <c r="I332" t="str">
        <f t="shared" si="58"/>
        <v>Great value for money!</v>
      </c>
      <c r="J332">
        <f t="shared" si="59"/>
        <v>22</v>
      </c>
      <c r="K332" t="str">
        <f t="shared" si="60"/>
        <v>Great valu</v>
      </c>
      <c r="L332">
        <f t="shared" si="61"/>
        <v>2</v>
      </c>
      <c r="M332">
        <f t="shared" ca="1" si="62"/>
        <v>989</v>
      </c>
      <c r="N332" t="str">
        <f t="shared" si="63"/>
        <v>WEEKDAY</v>
      </c>
      <c r="O332" t="str">
        <f t="shared" si="64"/>
        <v>07-Feb-2024</v>
      </c>
      <c r="P332" t="str">
        <f t="shared" si="65"/>
        <v>Meera Gupta-Smartwatch</v>
      </c>
    </row>
    <row r="333" spans="1:16" x14ac:dyDescent="0.4">
      <c r="A333" s="2" t="s">
        <v>2135</v>
      </c>
      <c r="B333" s="2" t="s">
        <v>199</v>
      </c>
      <c r="C333" s="2" t="s">
        <v>1809</v>
      </c>
      <c r="D333" s="3">
        <v>45487</v>
      </c>
      <c r="E333" s="2" t="s">
        <v>1803</v>
      </c>
      <c r="F333" t="str">
        <f t="shared" si="55"/>
        <v>yes</v>
      </c>
      <c r="G333">
        <f t="shared" si="56"/>
        <v>70</v>
      </c>
      <c r="H333" t="str">
        <f t="shared" si="57"/>
        <v>Customer support was helpful.</v>
      </c>
      <c r="I333" t="str">
        <f t="shared" si="58"/>
        <v>Customer support was helpful.</v>
      </c>
      <c r="J333">
        <f t="shared" si="59"/>
        <v>29</v>
      </c>
      <c r="K333" t="str">
        <f t="shared" si="60"/>
        <v>Customer s</v>
      </c>
      <c r="L333">
        <f t="shared" si="61"/>
        <v>7</v>
      </c>
      <c r="M333">
        <f t="shared" ca="1" si="62"/>
        <v>831</v>
      </c>
      <c r="N333" t="str">
        <f t="shared" si="63"/>
        <v>WEEKEND</v>
      </c>
      <c r="O333" t="str">
        <f t="shared" si="64"/>
        <v>14-Jul-2024</v>
      </c>
      <c r="P333" t="str">
        <f t="shared" si="65"/>
        <v>Kabir Das-Laptop</v>
      </c>
    </row>
    <row r="334" spans="1:16" x14ac:dyDescent="0.4">
      <c r="A334" s="2" t="s">
        <v>2136</v>
      </c>
      <c r="B334" s="2" t="s">
        <v>199</v>
      </c>
      <c r="C334" s="2" t="s">
        <v>1799</v>
      </c>
      <c r="D334" s="3">
        <v>45350</v>
      </c>
      <c r="E334" s="2" t="s">
        <v>1797</v>
      </c>
      <c r="F334" t="str">
        <f t="shared" si="55"/>
        <v>yes</v>
      </c>
      <c r="G334">
        <f t="shared" si="56"/>
        <v>70</v>
      </c>
      <c r="H334" t="str">
        <f t="shared" si="57"/>
        <v>Not satisfied with the quality.</v>
      </c>
      <c r="I334" t="str">
        <f t="shared" si="58"/>
        <v>Not satisfied with the quality.</v>
      </c>
      <c r="J334">
        <f t="shared" si="59"/>
        <v>31</v>
      </c>
      <c r="K334" t="str">
        <f t="shared" si="60"/>
        <v>Not satisf</v>
      </c>
      <c r="L334">
        <f t="shared" si="61"/>
        <v>2</v>
      </c>
      <c r="M334">
        <f t="shared" ca="1" si="62"/>
        <v>968</v>
      </c>
      <c r="N334" t="str">
        <f t="shared" si="63"/>
        <v>WEEKDAY</v>
      </c>
      <c r="O334" t="str">
        <f t="shared" si="64"/>
        <v>28-Feb-2024</v>
      </c>
      <c r="P334" t="str">
        <f t="shared" si="65"/>
        <v>Kabir Das-Mobile</v>
      </c>
    </row>
    <row r="335" spans="1:16" x14ac:dyDescent="0.4">
      <c r="A335" s="2" t="s">
        <v>2137</v>
      </c>
      <c r="B335" s="2" t="s">
        <v>1045</v>
      </c>
      <c r="C335" s="2" t="s">
        <v>1799</v>
      </c>
      <c r="D335" s="3">
        <v>45297</v>
      </c>
      <c r="E335" s="2" t="s">
        <v>1794</v>
      </c>
      <c r="F335" t="str">
        <f t="shared" si="55"/>
        <v>yes</v>
      </c>
      <c r="G335">
        <f t="shared" si="56"/>
        <v>70</v>
      </c>
      <c r="H335" t="str">
        <f t="shared" si="57"/>
        <v>Not satisfied with the quality.</v>
      </c>
      <c r="I335" t="str">
        <f t="shared" si="58"/>
        <v>Not satisfied with the quality.</v>
      </c>
      <c r="J335">
        <f t="shared" si="59"/>
        <v>31</v>
      </c>
      <c r="K335" t="str">
        <f t="shared" si="60"/>
        <v>Not satisf</v>
      </c>
      <c r="L335">
        <f t="shared" si="61"/>
        <v>1</v>
      </c>
      <c r="M335">
        <f t="shared" ca="1" si="62"/>
        <v>1021</v>
      </c>
      <c r="N335" t="str">
        <f t="shared" si="63"/>
        <v>WEEKEND</v>
      </c>
      <c r="O335" t="str">
        <f t="shared" si="64"/>
        <v>06-Jan-2024</v>
      </c>
      <c r="P335" t="str">
        <f t="shared" si="65"/>
        <v>Vivaan Reddy-Smartwatch</v>
      </c>
    </row>
    <row r="336" spans="1:16" x14ac:dyDescent="0.4">
      <c r="A336" s="2" t="s">
        <v>2138</v>
      </c>
      <c r="B336" s="2" t="s">
        <v>35</v>
      </c>
      <c r="C336" s="2" t="s">
        <v>1802</v>
      </c>
      <c r="D336" s="3">
        <v>45484</v>
      </c>
      <c r="E336" s="2" t="s">
        <v>1797</v>
      </c>
      <c r="F336" t="str">
        <f t="shared" si="55"/>
        <v>yes</v>
      </c>
      <c r="G336">
        <f t="shared" si="56"/>
        <v>70</v>
      </c>
      <c r="H336" t="str">
        <f t="shared" si="57"/>
        <v>Product was excellent and delivery was fast.</v>
      </c>
      <c r="I336" t="str">
        <f t="shared" si="58"/>
        <v>Product was excellent and delivery was fast.</v>
      </c>
      <c r="J336">
        <f t="shared" si="59"/>
        <v>44</v>
      </c>
      <c r="K336" t="str">
        <f t="shared" si="60"/>
        <v>Product wa</v>
      </c>
      <c r="L336">
        <f t="shared" si="61"/>
        <v>7</v>
      </c>
      <c r="M336">
        <f t="shared" ca="1" si="62"/>
        <v>834</v>
      </c>
      <c r="N336" t="str">
        <f t="shared" si="63"/>
        <v>WEEKDAY</v>
      </c>
      <c r="O336" t="str">
        <f t="shared" si="64"/>
        <v>11-Jul-2024</v>
      </c>
      <c r="P336" t="str">
        <f t="shared" si="65"/>
        <v>Isha Das-Mobile</v>
      </c>
    </row>
    <row r="337" spans="1:16" x14ac:dyDescent="0.4">
      <c r="A337" s="2" t="s">
        <v>2139</v>
      </c>
      <c r="B337" s="2" t="s">
        <v>177</v>
      </c>
      <c r="C337" s="2" t="s">
        <v>1793</v>
      </c>
      <c r="D337" s="3">
        <v>45392</v>
      </c>
      <c r="E337" s="2" t="s">
        <v>1803</v>
      </c>
      <c r="F337" t="str">
        <f t="shared" si="55"/>
        <v>yes</v>
      </c>
      <c r="G337">
        <f t="shared" si="56"/>
        <v>70</v>
      </c>
      <c r="H337" t="str">
        <f t="shared" si="57"/>
        <v>Received damaged item, requested replacement.</v>
      </c>
      <c r="I337" t="str">
        <f t="shared" si="58"/>
        <v>Received damaged item, requested replacement.</v>
      </c>
      <c r="J337">
        <f t="shared" si="59"/>
        <v>45</v>
      </c>
      <c r="K337" t="str">
        <f t="shared" si="60"/>
        <v>Received d</v>
      </c>
      <c r="L337">
        <f t="shared" si="61"/>
        <v>4</v>
      </c>
      <c r="M337">
        <f t="shared" ca="1" si="62"/>
        <v>926</v>
      </c>
      <c r="N337" t="str">
        <f t="shared" si="63"/>
        <v>WEEKDAY</v>
      </c>
      <c r="O337" t="str">
        <f t="shared" si="64"/>
        <v>10-Apr-2024</v>
      </c>
      <c r="P337" t="str">
        <f t="shared" si="65"/>
        <v>Riya Gupta-Laptop</v>
      </c>
    </row>
    <row r="338" spans="1:16" x14ac:dyDescent="0.4">
      <c r="A338" s="2" t="s">
        <v>2140</v>
      </c>
      <c r="B338" s="2" t="s">
        <v>299</v>
      </c>
      <c r="C338" s="2" t="s">
        <v>1796</v>
      </c>
      <c r="D338" s="3">
        <v>45564</v>
      </c>
      <c r="E338" s="2" t="s">
        <v>1794</v>
      </c>
      <c r="F338" t="str">
        <f t="shared" si="55"/>
        <v>yes</v>
      </c>
      <c r="G338">
        <f t="shared" si="56"/>
        <v>70</v>
      </c>
      <c r="H338" t="str">
        <f t="shared" si="57"/>
        <v>Delivery was late but product is good.</v>
      </c>
      <c r="I338" t="str">
        <f t="shared" si="58"/>
        <v>Delivery was delayed but product is good.</v>
      </c>
      <c r="J338">
        <f t="shared" si="59"/>
        <v>41</v>
      </c>
      <c r="K338" t="str">
        <f t="shared" si="60"/>
        <v>Delivery w</v>
      </c>
      <c r="L338">
        <f t="shared" si="61"/>
        <v>9</v>
      </c>
      <c r="M338">
        <f t="shared" ca="1" si="62"/>
        <v>754</v>
      </c>
      <c r="N338" t="str">
        <f t="shared" si="63"/>
        <v>WEEKEND</v>
      </c>
      <c r="O338" t="str">
        <f t="shared" si="64"/>
        <v>29-Sep-2024</v>
      </c>
      <c r="P338" t="str">
        <f t="shared" si="65"/>
        <v>Aditya Khan-Smartwatch</v>
      </c>
    </row>
    <row r="339" spans="1:16" x14ac:dyDescent="0.4">
      <c r="A339" s="2" t="s">
        <v>2141</v>
      </c>
      <c r="B339" s="2" t="s">
        <v>221</v>
      </c>
      <c r="C339" s="2" t="s">
        <v>1809</v>
      </c>
      <c r="D339" s="3">
        <v>45612</v>
      </c>
      <c r="E339" s="2" t="s">
        <v>1810</v>
      </c>
      <c r="F339" t="str">
        <f t="shared" si="55"/>
        <v>yes</v>
      </c>
      <c r="G339">
        <f t="shared" si="56"/>
        <v>70</v>
      </c>
      <c r="H339" t="str">
        <f t="shared" si="57"/>
        <v>Customer support was helpful.</v>
      </c>
      <c r="I339" t="str">
        <f t="shared" si="58"/>
        <v>Customer support was helpful.</v>
      </c>
      <c r="J339">
        <f t="shared" si="59"/>
        <v>29</v>
      </c>
      <c r="K339" t="str">
        <f t="shared" si="60"/>
        <v>Customer s</v>
      </c>
      <c r="L339">
        <f t="shared" si="61"/>
        <v>11</v>
      </c>
      <c r="M339">
        <f t="shared" ca="1" si="62"/>
        <v>706</v>
      </c>
      <c r="N339" t="str">
        <f t="shared" si="63"/>
        <v>WEEKEND</v>
      </c>
      <c r="O339" t="str">
        <f t="shared" si="64"/>
        <v>16-Nov-2024</v>
      </c>
      <c r="P339" t="str">
        <f t="shared" si="65"/>
        <v>Isha Reddy-Tablet</v>
      </c>
    </row>
    <row r="340" spans="1:16" x14ac:dyDescent="0.4">
      <c r="A340" s="2" t="s">
        <v>2142</v>
      </c>
      <c r="B340" s="2" t="s">
        <v>74</v>
      </c>
      <c r="C340" s="2" t="s">
        <v>1796</v>
      </c>
      <c r="D340" s="3">
        <v>45400</v>
      </c>
      <c r="E340" s="2" t="s">
        <v>1794</v>
      </c>
      <c r="F340" t="str">
        <f t="shared" si="55"/>
        <v>yes</v>
      </c>
      <c r="G340">
        <f t="shared" si="56"/>
        <v>70</v>
      </c>
      <c r="H340" t="str">
        <f t="shared" si="57"/>
        <v>Delivery was late but product is good.</v>
      </c>
      <c r="I340" t="str">
        <f t="shared" si="58"/>
        <v>Delivery was delayed but product is good.</v>
      </c>
      <c r="J340">
        <f t="shared" si="59"/>
        <v>41</v>
      </c>
      <c r="K340" t="str">
        <f t="shared" si="60"/>
        <v>Delivery w</v>
      </c>
      <c r="L340">
        <f t="shared" si="61"/>
        <v>4</v>
      </c>
      <c r="M340">
        <f t="shared" ca="1" si="62"/>
        <v>918</v>
      </c>
      <c r="N340" t="str">
        <f t="shared" si="63"/>
        <v>WEEKDAY</v>
      </c>
      <c r="O340" t="str">
        <f t="shared" si="64"/>
        <v>18-Apr-2024</v>
      </c>
      <c r="P340" t="str">
        <f t="shared" si="65"/>
        <v>Riya Das-Smartwatch</v>
      </c>
    </row>
    <row r="341" spans="1:16" x14ac:dyDescent="0.4">
      <c r="A341" s="2" t="s">
        <v>2143</v>
      </c>
      <c r="B341" s="2" t="s">
        <v>385</v>
      </c>
      <c r="C341" s="2" t="s">
        <v>1793</v>
      </c>
      <c r="D341" s="3">
        <v>45508</v>
      </c>
      <c r="E341" s="2" t="s">
        <v>1810</v>
      </c>
      <c r="F341" t="str">
        <f t="shared" si="55"/>
        <v>yes</v>
      </c>
      <c r="G341">
        <f t="shared" si="56"/>
        <v>70</v>
      </c>
      <c r="H341" t="str">
        <f t="shared" si="57"/>
        <v>Received damaged item, requested replacement.</v>
      </c>
      <c r="I341" t="str">
        <f t="shared" si="58"/>
        <v>Received damaged item, requested replacement.</v>
      </c>
      <c r="J341">
        <f t="shared" si="59"/>
        <v>45</v>
      </c>
      <c r="K341" t="str">
        <f t="shared" si="60"/>
        <v>Received d</v>
      </c>
      <c r="L341">
        <f t="shared" si="61"/>
        <v>8</v>
      </c>
      <c r="M341">
        <f t="shared" ca="1" si="62"/>
        <v>810</v>
      </c>
      <c r="N341" t="str">
        <f t="shared" si="63"/>
        <v>WEEKEND</v>
      </c>
      <c r="O341" t="str">
        <f t="shared" si="64"/>
        <v>04-Aug-2024</v>
      </c>
      <c r="P341" t="str">
        <f t="shared" si="65"/>
        <v>Diya Nair-Tablet</v>
      </c>
    </row>
    <row r="342" spans="1:16" x14ac:dyDescent="0.4">
      <c r="A342" s="2" t="s">
        <v>2144</v>
      </c>
      <c r="B342" s="2" t="s">
        <v>61</v>
      </c>
      <c r="C342" s="2" t="s">
        <v>1793</v>
      </c>
      <c r="D342" s="3">
        <v>45432</v>
      </c>
      <c r="E342" s="2" t="s">
        <v>1810</v>
      </c>
      <c r="F342" t="str">
        <f t="shared" si="55"/>
        <v>yes</v>
      </c>
      <c r="G342">
        <f t="shared" si="56"/>
        <v>70</v>
      </c>
      <c r="H342" t="str">
        <f t="shared" si="57"/>
        <v>Received damaged item, requested replacement.</v>
      </c>
      <c r="I342" t="str">
        <f t="shared" si="58"/>
        <v>Received damaged item, requested replacement.</v>
      </c>
      <c r="J342">
        <f t="shared" si="59"/>
        <v>45</v>
      </c>
      <c r="K342" t="str">
        <f t="shared" si="60"/>
        <v>Received d</v>
      </c>
      <c r="L342">
        <f t="shared" si="61"/>
        <v>5</v>
      </c>
      <c r="M342">
        <f t="shared" ca="1" si="62"/>
        <v>886</v>
      </c>
      <c r="N342" t="str">
        <f t="shared" si="63"/>
        <v>WEEKDAY</v>
      </c>
      <c r="O342" t="str">
        <f t="shared" si="64"/>
        <v>20-May-2024</v>
      </c>
      <c r="P342" t="str">
        <f t="shared" si="65"/>
        <v>Ananya Joshi-Tablet</v>
      </c>
    </row>
    <row r="343" spans="1:16" x14ac:dyDescent="0.4">
      <c r="A343" s="2" t="s">
        <v>2145</v>
      </c>
      <c r="B343" s="2" t="s">
        <v>125</v>
      </c>
      <c r="C343" s="2" t="s">
        <v>1815</v>
      </c>
      <c r="D343" s="3">
        <v>45370</v>
      </c>
      <c r="E343" s="2" t="s">
        <v>1800</v>
      </c>
      <c r="F343" t="str">
        <f t="shared" si="55"/>
        <v>yes</v>
      </c>
      <c r="G343">
        <f t="shared" si="56"/>
        <v>70</v>
      </c>
      <c r="H343" t="str">
        <f t="shared" si="57"/>
        <v>Great value for money!</v>
      </c>
      <c r="I343" t="str">
        <f t="shared" si="58"/>
        <v>Great value for money!</v>
      </c>
      <c r="J343">
        <f t="shared" si="59"/>
        <v>22</v>
      </c>
      <c r="K343" t="str">
        <f t="shared" si="60"/>
        <v>Great valu</v>
      </c>
      <c r="L343">
        <f t="shared" si="61"/>
        <v>3</v>
      </c>
      <c r="M343">
        <f t="shared" ca="1" si="62"/>
        <v>948</v>
      </c>
      <c r="N343" t="str">
        <f t="shared" si="63"/>
        <v>WEEKDAY</v>
      </c>
      <c r="O343" t="str">
        <f t="shared" si="64"/>
        <v>19-Mar-2024</v>
      </c>
      <c r="P343" t="str">
        <f t="shared" si="65"/>
        <v>Riya Sharma-Camera</v>
      </c>
    </row>
    <row r="344" spans="1:16" x14ac:dyDescent="0.4">
      <c r="A344" s="2" t="s">
        <v>2146</v>
      </c>
      <c r="B344" s="2" t="s">
        <v>561</v>
      </c>
      <c r="C344" s="2" t="s">
        <v>1809</v>
      </c>
      <c r="D344" s="3">
        <v>45342</v>
      </c>
      <c r="E344" s="2" t="s">
        <v>1794</v>
      </c>
      <c r="F344" t="str">
        <f t="shared" si="55"/>
        <v>yes</v>
      </c>
      <c r="G344">
        <f t="shared" si="56"/>
        <v>70</v>
      </c>
      <c r="H344" t="str">
        <f t="shared" si="57"/>
        <v>Customer support was helpful.</v>
      </c>
      <c r="I344" t="str">
        <f t="shared" si="58"/>
        <v>Customer support was helpful.</v>
      </c>
      <c r="J344">
        <f t="shared" si="59"/>
        <v>29</v>
      </c>
      <c r="K344" t="str">
        <f t="shared" si="60"/>
        <v>Customer s</v>
      </c>
      <c r="L344">
        <f t="shared" si="61"/>
        <v>2</v>
      </c>
      <c r="M344">
        <f t="shared" ca="1" si="62"/>
        <v>976</v>
      </c>
      <c r="N344" t="str">
        <f t="shared" si="63"/>
        <v>WEEKDAY</v>
      </c>
      <c r="O344" t="str">
        <f t="shared" si="64"/>
        <v>20-Feb-2024</v>
      </c>
      <c r="P344" t="str">
        <f t="shared" si="65"/>
        <v>Arjun Das-Smartwatch</v>
      </c>
    </row>
    <row r="345" spans="1:16" x14ac:dyDescent="0.4">
      <c r="A345" s="2" t="s">
        <v>2147</v>
      </c>
      <c r="B345" s="2" t="s">
        <v>225</v>
      </c>
      <c r="C345" s="2" t="s">
        <v>1799</v>
      </c>
      <c r="D345" s="3">
        <v>45498</v>
      </c>
      <c r="E345" s="2" t="s">
        <v>1797</v>
      </c>
      <c r="F345" t="str">
        <f t="shared" si="55"/>
        <v>yes</v>
      </c>
      <c r="G345">
        <f t="shared" si="56"/>
        <v>70</v>
      </c>
      <c r="H345" t="str">
        <f t="shared" si="57"/>
        <v>Not satisfied with the quality.</v>
      </c>
      <c r="I345" t="str">
        <f t="shared" si="58"/>
        <v>Not satisfied with the quality.</v>
      </c>
      <c r="J345">
        <f t="shared" si="59"/>
        <v>31</v>
      </c>
      <c r="K345" t="str">
        <f t="shared" si="60"/>
        <v>Not satisf</v>
      </c>
      <c r="L345">
        <f t="shared" si="61"/>
        <v>7</v>
      </c>
      <c r="M345">
        <f t="shared" ca="1" si="62"/>
        <v>820</v>
      </c>
      <c r="N345" t="str">
        <f t="shared" si="63"/>
        <v>WEEKDAY</v>
      </c>
      <c r="O345" t="str">
        <f t="shared" si="64"/>
        <v>25-Jul-2024</v>
      </c>
      <c r="P345" t="str">
        <f t="shared" si="65"/>
        <v>Arjun Gupta-Mobile</v>
      </c>
    </row>
    <row r="346" spans="1:16" x14ac:dyDescent="0.4">
      <c r="A346" s="2" t="s">
        <v>2148</v>
      </c>
      <c r="B346" s="2" t="s">
        <v>187</v>
      </c>
      <c r="C346" s="2" t="s">
        <v>1815</v>
      </c>
      <c r="D346" s="3">
        <v>45375</v>
      </c>
      <c r="E346" s="2" t="s">
        <v>1794</v>
      </c>
      <c r="F346" t="str">
        <f t="shared" si="55"/>
        <v>yes</v>
      </c>
      <c r="G346">
        <f t="shared" si="56"/>
        <v>70</v>
      </c>
      <c r="H346" t="str">
        <f t="shared" si="57"/>
        <v>Great value for money!</v>
      </c>
      <c r="I346" t="str">
        <f t="shared" si="58"/>
        <v>Great value for money!</v>
      </c>
      <c r="J346">
        <f t="shared" si="59"/>
        <v>22</v>
      </c>
      <c r="K346" t="str">
        <f t="shared" si="60"/>
        <v>Great valu</v>
      </c>
      <c r="L346">
        <f t="shared" si="61"/>
        <v>3</v>
      </c>
      <c r="M346">
        <f t="shared" ca="1" si="62"/>
        <v>943</v>
      </c>
      <c r="N346" t="str">
        <f t="shared" si="63"/>
        <v>WEEKEND</v>
      </c>
      <c r="O346" t="str">
        <f t="shared" si="64"/>
        <v>24-Mar-2024</v>
      </c>
      <c r="P346" t="str">
        <f t="shared" si="65"/>
        <v>Aarav Reddy-Smartwatch</v>
      </c>
    </row>
    <row r="347" spans="1:16" x14ac:dyDescent="0.4">
      <c r="A347" s="2" t="s">
        <v>2149</v>
      </c>
      <c r="B347" s="2" t="s">
        <v>287</v>
      </c>
      <c r="C347" s="2" t="s">
        <v>1802</v>
      </c>
      <c r="D347" s="3">
        <v>45509</v>
      </c>
      <c r="E347" s="2" t="s">
        <v>1810</v>
      </c>
      <c r="F347" t="str">
        <f t="shared" si="55"/>
        <v>yes</v>
      </c>
      <c r="G347">
        <f t="shared" si="56"/>
        <v>70</v>
      </c>
      <c r="H347" t="str">
        <f t="shared" si="57"/>
        <v>Product was excellent and delivery was fast.</v>
      </c>
      <c r="I347" t="str">
        <f t="shared" si="58"/>
        <v>Product was excellent and delivery was fast.</v>
      </c>
      <c r="J347">
        <f t="shared" si="59"/>
        <v>44</v>
      </c>
      <c r="K347" t="str">
        <f t="shared" si="60"/>
        <v>Product wa</v>
      </c>
      <c r="L347">
        <f t="shared" si="61"/>
        <v>8</v>
      </c>
      <c r="M347">
        <f t="shared" ca="1" si="62"/>
        <v>809</v>
      </c>
      <c r="N347" t="str">
        <f t="shared" si="63"/>
        <v>WEEKDAY</v>
      </c>
      <c r="O347" t="str">
        <f t="shared" si="64"/>
        <v>05-Aug-2024</v>
      </c>
      <c r="P347" t="str">
        <f t="shared" si="65"/>
        <v>Meera Singh-Tablet</v>
      </c>
    </row>
    <row r="348" spans="1:16" x14ac:dyDescent="0.4">
      <c r="A348" s="2" t="s">
        <v>2150</v>
      </c>
      <c r="B348" s="2" t="s">
        <v>279</v>
      </c>
      <c r="C348" s="2" t="s">
        <v>1799</v>
      </c>
      <c r="D348" s="3">
        <v>45562</v>
      </c>
      <c r="E348" s="2" t="s">
        <v>1820</v>
      </c>
      <c r="F348" t="str">
        <f t="shared" si="55"/>
        <v>yes</v>
      </c>
      <c r="G348">
        <f t="shared" si="56"/>
        <v>70</v>
      </c>
      <c r="H348" t="str">
        <f t="shared" si="57"/>
        <v>Not satisfied with the quality.</v>
      </c>
      <c r="I348" t="str">
        <f t="shared" si="58"/>
        <v>Not satisfied with the quality.</v>
      </c>
      <c r="J348">
        <f t="shared" si="59"/>
        <v>31</v>
      </c>
      <c r="K348" t="str">
        <f t="shared" si="60"/>
        <v>Not satisf</v>
      </c>
      <c r="L348">
        <f t="shared" si="61"/>
        <v>9</v>
      </c>
      <c r="M348">
        <f t="shared" ca="1" si="62"/>
        <v>756</v>
      </c>
      <c r="N348" t="str">
        <f t="shared" si="63"/>
        <v>WEEKDAY</v>
      </c>
      <c r="O348" t="str">
        <f t="shared" si="64"/>
        <v>27-Sep-2024</v>
      </c>
      <c r="P348" t="str">
        <f t="shared" si="65"/>
        <v>Diya Patel-Printer</v>
      </c>
    </row>
    <row r="349" spans="1:16" x14ac:dyDescent="0.4">
      <c r="A349" s="2" t="s">
        <v>2151</v>
      </c>
      <c r="B349" s="2" t="s">
        <v>567</v>
      </c>
      <c r="C349" s="2" t="s">
        <v>1809</v>
      </c>
      <c r="D349" s="3">
        <v>45456</v>
      </c>
      <c r="E349" s="2" t="s">
        <v>1794</v>
      </c>
      <c r="F349" t="str">
        <f t="shared" si="55"/>
        <v>yes</v>
      </c>
      <c r="G349">
        <f t="shared" si="56"/>
        <v>70</v>
      </c>
      <c r="H349" t="str">
        <f t="shared" si="57"/>
        <v>Customer support was helpful.</v>
      </c>
      <c r="I349" t="str">
        <f t="shared" si="58"/>
        <v>Customer support was helpful.</v>
      </c>
      <c r="J349">
        <f t="shared" si="59"/>
        <v>29</v>
      </c>
      <c r="K349" t="str">
        <f t="shared" si="60"/>
        <v>Customer s</v>
      </c>
      <c r="L349">
        <f t="shared" si="61"/>
        <v>6</v>
      </c>
      <c r="M349">
        <f t="shared" ca="1" si="62"/>
        <v>862</v>
      </c>
      <c r="N349" t="str">
        <f t="shared" si="63"/>
        <v>WEEKDAY</v>
      </c>
      <c r="O349" t="str">
        <f t="shared" si="64"/>
        <v>13-Jun-2024</v>
      </c>
      <c r="P349" t="str">
        <f t="shared" si="65"/>
        <v>Arjun Patel-Smartwatch</v>
      </c>
    </row>
    <row r="350" spans="1:16" x14ac:dyDescent="0.4">
      <c r="A350" s="2" t="s">
        <v>2152</v>
      </c>
      <c r="B350" s="2" t="s">
        <v>661</v>
      </c>
      <c r="C350" s="2" t="s">
        <v>1802</v>
      </c>
      <c r="D350" s="3">
        <v>45451</v>
      </c>
      <c r="E350" s="2" t="s">
        <v>1803</v>
      </c>
      <c r="F350" t="str">
        <f t="shared" si="55"/>
        <v>yes</v>
      </c>
      <c r="G350">
        <f t="shared" si="56"/>
        <v>70</v>
      </c>
      <c r="H350" t="str">
        <f t="shared" si="57"/>
        <v>Product was excellent and delivery was fast.</v>
      </c>
      <c r="I350" t="str">
        <f t="shared" si="58"/>
        <v>Product was excellent and delivery was fast.</v>
      </c>
      <c r="J350">
        <f t="shared" si="59"/>
        <v>44</v>
      </c>
      <c r="K350" t="str">
        <f t="shared" si="60"/>
        <v>Product wa</v>
      </c>
      <c r="L350">
        <f t="shared" si="61"/>
        <v>6</v>
      </c>
      <c r="M350">
        <f t="shared" ca="1" si="62"/>
        <v>867</v>
      </c>
      <c r="N350" t="str">
        <f t="shared" si="63"/>
        <v>WEEKEND</v>
      </c>
      <c r="O350" t="str">
        <f t="shared" si="64"/>
        <v>08-Jun-2024</v>
      </c>
      <c r="P350" t="str">
        <f t="shared" si="65"/>
        <v>Kabir Khan-Laptop</v>
      </c>
    </row>
    <row r="351" spans="1:16" x14ac:dyDescent="0.4">
      <c r="A351" s="2" t="s">
        <v>2153</v>
      </c>
      <c r="B351" s="2" t="s">
        <v>133</v>
      </c>
      <c r="C351" s="2" t="s">
        <v>1799</v>
      </c>
      <c r="D351" s="3">
        <v>45294</v>
      </c>
      <c r="E351" s="2" t="s">
        <v>1797</v>
      </c>
      <c r="F351" t="str">
        <f t="shared" si="55"/>
        <v>yes</v>
      </c>
      <c r="G351">
        <f t="shared" si="56"/>
        <v>70</v>
      </c>
      <c r="H351" t="str">
        <f t="shared" si="57"/>
        <v>Not satisfied with the quality.</v>
      </c>
      <c r="I351" t="str">
        <f t="shared" si="58"/>
        <v>Not satisfied with the quality.</v>
      </c>
      <c r="J351">
        <f t="shared" si="59"/>
        <v>31</v>
      </c>
      <c r="K351" t="str">
        <f t="shared" si="60"/>
        <v>Not satisf</v>
      </c>
      <c r="L351">
        <f t="shared" si="61"/>
        <v>1</v>
      </c>
      <c r="M351">
        <f t="shared" ca="1" si="62"/>
        <v>1024</v>
      </c>
      <c r="N351" t="str">
        <f t="shared" si="63"/>
        <v>WEEKDAY</v>
      </c>
      <c r="O351" t="str">
        <f t="shared" si="64"/>
        <v>03-Jan-2024</v>
      </c>
      <c r="P351" t="str">
        <f t="shared" si="65"/>
        <v>Arjun Sharma-Mobile</v>
      </c>
    </row>
    <row r="352" spans="1:16" x14ac:dyDescent="0.4">
      <c r="A352" s="2" t="s">
        <v>2154</v>
      </c>
      <c r="B352" s="2" t="s">
        <v>629</v>
      </c>
      <c r="C352" s="2" t="s">
        <v>1809</v>
      </c>
      <c r="D352" s="3">
        <v>45323</v>
      </c>
      <c r="E352" s="2" t="s">
        <v>1810</v>
      </c>
      <c r="F352" t="str">
        <f t="shared" si="55"/>
        <v>yes</v>
      </c>
      <c r="G352">
        <f t="shared" si="56"/>
        <v>70</v>
      </c>
      <c r="H352" t="str">
        <f t="shared" si="57"/>
        <v>Customer support was helpful.</v>
      </c>
      <c r="I352" t="str">
        <f t="shared" si="58"/>
        <v>Customer support was helpful.</v>
      </c>
      <c r="J352">
        <f t="shared" si="59"/>
        <v>29</v>
      </c>
      <c r="K352" t="str">
        <f t="shared" si="60"/>
        <v>Customer s</v>
      </c>
      <c r="L352">
        <f t="shared" si="61"/>
        <v>2</v>
      </c>
      <c r="M352">
        <f t="shared" ca="1" si="62"/>
        <v>995</v>
      </c>
      <c r="N352" t="str">
        <f t="shared" si="63"/>
        <v>WEEKDAY</v>
      </c>
      <c r="O352" t="str">
        <f t="shared" si="64"/>
        <v>01-Feb-2024</v>
      </c>
      <c r="P352" t="str">
        <f t="shared" si="65"/>
        <v>Aditya Joshi-Tablet</v>
      </c>
    </row>
    <row r="353" spans="1:16" x14ac:dyDescent="0.4">
      <c r="A353" s="2" t="s">
        <v>2155</v>
      </c>
      <c r="B353" s="2" t="s">
        <v>149</v>
      </c>
      <c r="C353" s="2" t="s">
        <v>1796</v>
      </c>
      <c r="D353" s="3">
        <v>45438</v>
      </c>
      <c r="E353" s="2" t="s">
        <v>1800</v>
      </c>
      <c r="F353" t="str">
        <f t="shared" si="55"/>
        <v>yes</v>
      </c>
      <c r="G353">
        <f t="shared" si="56"/>
        <v>70</v>
      </c>
      <c r="H353" t="str">
        <f t="shared" si="57"/>
        <v>Delivery was late but product is good.</v>
      </c>
      <c r="I353" t="str">
        <f t="shared" si="58"/>
        <v>Delivery was delayed but product is good.</v>
      </c>
      <c r="J353">
        <f t="shared" si="59"/>
        <v>41</v>
      </c>
      <c r="K353" t="str">
        <f t="shared" si="60"/>
        <v>Delivery w</v>
      </c>
      <c r="L353">
        <f t="shared" si="61"/>
        <v>5</v>
      </c>
      <c r="M353">
        <f t="shared" ca="1" si="62"/>
        <v>880</v>
      </c>
      <c r="N353" t="str">
        <f t="shared" si="63"/>
        <v>WEEKEND</v>
      </c>
      <c r="O353" t="str">
        <f t="shared" si="64"/>
        <v>26-May-2024</v>
      </c>
      <c r="P353" t="str">
        <f t="shared" si="65"/>
        <v>Kabir Joshi-Camera</v>
      </c>
    </row>
    <row r="354" spans="1:16" x14ac:dyDescent="0.4">
      <c r="A354" s="2" t="s">
        <v>2156</v>
      </c>
      <c r="B354" s="2" t="s">
        <v>225</v>
      </c>
      <c r="C354" s="2" t="s">
        <v>1799</v>
      </c>
      <c r="D354" s="3">
        <v>45518</v>
      </c>
      <c r="E354" s="2" t="s">
        <v>1810</v>
      </c>
      <c r="F354" t="str">
        <f t="shared" si="55"/>
        <v>yes</v>
      </c>
      <c r="G354">
        <f t="shared" si="56"/>
        <v>70</v>
      </c>
      <c r="H354" t="str">
        <f t="shared" si="57"/>
        <v>Not satisfied with the quality.</v>
      </c>
      <c r="I354" t="str">
        <f t="shared" si="58"/>
        <v>Not satisfied with the quality.</v>
      </c>
      <c r="J354">
        <f t="shared" si="59"/>
        <v>31</v>
      </c>
      <c r="K354" t="str">
        <f t="shared" si="60"/>
        <v>Not satisf</v>
      </c>
      <c r="L354">
        <f t="shared" si="61"/>
        <v>8</v>
      </c>
      <c r="M354">
        <f t="shared" ca="1" si="62"/>
        <v>800</v>
      </c>
      <c r="N354" t="str">
        <f t="shared" si="63"/>
        <v>WEEKDAY</v>
      </c>
      <c r="O354" t="str">
        <f t="shared" si="64"/>
        <v>14-Aug-2024</v>
      </c>
      <c r="P354" t="str">
        <f t="shared" si="65"/>
        <v>Arjun Gupta-Tablet</v>
      </c>
    </row>
    <row r="355" spans="1:16" x14ac:dyDescent="0.4">
      <c r="A355" s="2" t="s">
        <v>2157</v>
      </c>
      <c r="B355" s="2" t="s">
        <v>255</v>
      </c>
      <c r="C355" s="2" t="s">
        <v>1802</v>
      </c>
      <c r="D355" s="3">
        <v>45441</v>
      </c>
      <c r="E355" s="2" t="s">
        <v>1800</v>
      </c>
      <c r="F355" t="str">
        <f t="shared" si="55"/>
        <v>yes</v>
      </c>
      <c r="G355">
        <f t="shared" si="56"/>
        <v>70</v>
      </c>
      <c r="H355" t="str">
        <f t="shared" si="57"/>
        <v>Product was excellent and delivery was fast.</v>
      </c>
      <c r="I355" t="str">
        <f t="shared" si="58"/>
        <v>Product was excellent and delivery was fast.</v>
      </c>
      <c r="J355">
        <f t="shared" si="59"/>
        <v>44</v>
      </c>
      <c r="K355" t="str">
        <f t="shared" si="60"/>
        <v>Product wa</v>
      </c>
      <c r="L355">
        <f t="shared" si="61"/>
        <v>5</v>
      </c>
      <c r="M355">
        <f t="shared" ca="1" si="62"/>
        <v>877</v>
      </c>
      <c r="N355" t="str">
        <f t="shared" si="63"/>
        <v>WEEKDAY</v>
      </c>
      <c r="O355" t="str">
        <f t="shared" si="64"/>
        <v>29-May-2024</v>
      </c>
      <c r="P355" t="str">
        <f t="shared" si="65"/>
        <v>Riya Singh-Camera</v>
      </c>
    </row>
    <row r="356" spans="1:16" x14ac:dyDescent="0.4">
      <c r="A356" s="2" t="s">
        <v>2158</v>
      </c>
      <c r="B356" s="2" t="s">
        <v>103</v>
      </c>
      <c r="C356" s="2" t="s">
        <v>1799</v>
      </c>
      <c r="D356" s="3">
        <v>45416</v>
      </c>
      <c r="E356" s="2" t="s">
        <v>1800</v>
      </c>
      <c r="F356" t="str">
        <f t="shared" si="55"/>
        <v>yes</v>
      </c>
      <c r="G356">
        <f t="shared" si="56"/>
        <v>70</v>
      </c>
      <c r="H356" t="str">
        <f t="shared" si="57"/>
        <v>Not satisfied with the quality.</v>
      </c>
      <c r="I356" t="str">
        <f t="shared" si="58"/>
        <v>Not satisfied with the quality.</v>
      </c>
      <c r="J356">
        <f t="shared" si="59"/>
        <v>31</v>
      </c>
      <c r="K356" t="str">
        <f t="shared" si="60"/>
        <v>Not satisf</v>
      </c>
      <c r="L356">
        <f t="shared" si="61"/>
        <v>5</v>
      </c>
      <c r="M356">
        <f t="shared" ca="1" si="62"/>
        <v>902</v>
      </c>
      <c r="N356" t="str">
        <f t="shared" si="63"/>
        <v>WEEKEND</v>
      </c>
      <c r="O356" t="str">
        <f t="shared" si="64"/>
        <v>04-May-2024</v>
      </c>
      <c r="P356" t="str">
        <f t="shared" si="65"/>
        <v>Diya Das-Camera</v>
      </c>
    </row>
    <row r="357" spans="1:16" x14ac:dyDescent="0.4">
      <c r="A357" s="2" t="s">
        <v>2159</v>
      </c>
      <c r="B357" s="2" t="s">
        <v>363</v>
      </c>
      <c r="C357" s="2" t="s">
        <v>1793</v>
      </c>
      <c r="D357" s="3">
        <v>45594</v>
      </c>
      <c r="E357" s="2" t="s">
        <v>1820</v>
      </c>
      <c r="F357" t="str">
        <f t="shared" si="55"/>
        <v>yes</v>
      </c>
      <c r="G357">
        <f t="shared" si="56"/>
        <v>70</v>
      </c>
      <c r="H357" t="str">
        <f t="shared" si="57"/>
        <v>Received damaged item, requested replacement.</v>
      </c>
      <c r="I357" t="str">
        <f t="shared" si="58"/>
        <v>Received damaged item, requested replacement.</v>
      </c>
      <c r="J357">
        <f t="shared" si="59"/>
        <v>45</v>
      </c>
      <c r="K357" t="str">
        <f t="shared" si="60"/>
        <v>Received d</v>
      </c>
      <c r="L357">
        <f t="shared" si="61"/>
        <v>10</v>
      </c>
      <c r="M357">
        <f t="shared" ca="1" si="62"/>
        <v>724</v>
      </c>
      <c r="N357" t="str">
        <f t="shared" si="63"/>
        <v>WEEKDAY</v>
      </c>
      <c r="O357" t="str">
        <f t="shared" si="64"/>
        <v>29-Oct-2024</v>
      </c>
      <c r="P357" t="str">
        <f t="shared" si="65"/>
        <v>Kabir Reddy-Printer</v>
      </c>
    </row>
    <row r="358" spans="1:16" x14ac:dyDescent="0.4">
      <c r="A358" s="2" t="s">
        <v>2160</v>
      </c>
      <c r="B358" s="2" t="s">
        <v>149</v>
      </c>
      <c r="C358" s="2" t="s">
        <v>1802</v>
      </c>
      <c r="D358" s="3">
        <v>45563</v>
      </c>
      <c r="E358" s="2" t="s">
        <v>1794</v>
      </c>
      <c r="F358" t="str">
        <f t="shared" si="55"/>
        <v>yes</v>
      </c>
      <c r="G358">
        <f t="shared" si="56"/>
        <v>70</v>
      </c>
      <c r="H358" t="str">
        <f t="shared" si="57"/>
        <v>Product was excellent and delivery was fast.</v>
      </c>
      <c r="I358" t="str">
        <f t="shared" si="58"/>
        <v>Product was excellent and delivery was fast.</v>
      </c>
      <c r="J358">
        <f t="shared" si="59"/>
        <v>44</v>
      </c>
      <c r="K358" t="str">
        <f t="shared" si="60"/>
        <v>Product wa</v>
      </c>
      <c r="L358">
        <f t="shared" si="61"/>
        <v>9</v>
      </c>
      <c r="M358">
        <f t="shared" ca="1" si="62"/>
        <v>755</v>
      </c>
      <c r="N358" t="str">
        <f t="shared" si="63"/>
        <v>WEEKEND</v>
      </c>
      <c r="O358" t="str">
        <f t="shared" si="64"/>
        <v>28-Sep-2024</v>
      </c>
      <c r="P358" t="str">
        <f t="shared" si="65"/>
        <v>Kabir Joshi-Smartwatch</v>
      </c>
    </row>
    <row r="359" spans="1:16" x14ac:dyDescent="0.4">
      <c r="A359" s="2" t="s">
        <v>2161</v>
      </c>
      <c r="B359" s="2" t="s">
        <v>263</v>
      </c>
      <c r="C359" s="2" t="s">
        <v>1799</v>
      </c>
      <c r="D359" s="3">
        <v>45414</v>
      </c>
      <c r="E359" s="2" t="s">
        <v>1820</v>
      </c>
      <c r="F359" t="str">
        <f t="shared" si="55"/>
        <v>yes</v>
      </c>
      <c r="G359">
        <f t="shared" si="56"/>
        <v>70</v>
      </c>
      <c r="H359" t="str">
        <f t="shared" si="57"/>
        <v>Not satisfied with the quality.</v>
      </c>
      <c r="I359" t="str">
        <f t="shared" si="58"/>
        <v>Not satisfied with the quality.</v>
      </c>
      <c r="J359">
        <f t="shared" si="59"/>
        <v>31</v>
      </c>
      <c r="K359" t="str">
        <f t="shared" si="60"/>
        <v>Not satisf</v>
      </c>
      <c r="L359">
        <f t="shared" si="61"/>
        <v>5</v>
      </c>
      <c r="M359">
        <f t="shared" ca="1" si="62"/>
        <v>904</v>
      </c>
      <c r="N359" t="str">
        <f t="shared" si="63"/>
        <v>WEEKDAY</v>
      </c>
      <c r="O359" t="str">
        <f t="shared" si="64"/>
        <v>02-May-2024</v>
      </c>
      <c r="P359" t="str">
        <f t="shared" si="65"/>
        <v>Isha Gupta-Printer</v>
      </c>
    </row>
    <row r="360" spans="1:16" x14ac:dyDescent="0.4">
      <c r="A360" s="2" t="s">
        <v>2162</v>
      </c>
      <c r="B360" s="2" t="s">
        <v>103</v>
      </c>
      <c r="C360" s="2" t="s">
        <v>1799</v>
      </c>
      <c r="D360" s="3">
        <v>45508</v>
      </c>
      <c r="E360" s="2" t="s">
        <v>1800</v>
      </c>
      <c r="F360" t="str">
        <f t="shared" si="55"/>
        <v>yes</v>
      </c>
      <c r="G360">
        <f t="shared" si="56"/>
        <v>70</v>
      </c>
      <c r="H360" t="str">
        <f t="shared" si="57"/>
        <v>Not satisfied with the quality.</v>
      </c>
      <c r="I360" t="str">
        <f t="shared" si="58"/>
        <v>Not satisfied with the quality.</v>
      </c>
      <c r="J360">
        <f t="shared" si="59"/>
        <v>31</v>
      </c>
      <c r="K360" t="str">
        <f t="shared" si="60"/>
        <v>Not satisf</v>
      </c>
      <c r="L360">
        <f t="shared" si="61"/>
        <v>8</v>
      </c>
      <c r="M360">
        <f t="shared" ca="1" si="62"/>
        <v>810</v>
      </c>
      <c r="N360" t="str">
        <f t="shared" si="63"/>
        <v>WEEKEND</v>
      </c>
      <c r="O360" t="str">
        <f t="shared" si="64"/>
        <v>04-Aug-2024</v>
      </c>
      <c r="P360" t="str">
        <f t="shared" si="65"/>
        <v>Diya Das-Camera</v>
      </c>
    </row>
    <row r="361" spans="1:16" x14ac:dyDescent="0.4">
      <c r="A361" s="2" t="s">
        <v>2163</v>
      </c>
      <c r="B361" s="2" t="s">
        <v>1045</v>
      </c>
      <c r="C361" s="2" t="s">
        <v>1799</v>
      </c>
      <c r="D361" s="3">
        <v>45373</v>
      </c>
      <c r="E361" s="2" t="s">
        <v>1810</v>
      </c>
      <c r="F361" t="str">
        <f t="shared" si="55"/>
        <v>yes</v>
      </c>
      <c r="G361">
        <f t="shared" si="56"/>
        <v>70</v>
      </c>
      <c r="H361" t="str">
        <f t="shared" si="57"/>
        <v>Not satisfied with the quality.</v>
      </c>
      <c r="I361" t="str">
        <f t="shared" si="58"/>
        <v>Not satisfied with the quality.</v>
      </c>
      <c r="J361">
        <f t="shared" si="59"/>
        <v>31</v>
      </c>
      <c r="K361" t="str">
        <f t="shared" si="60"/>
        <v>Not satisf</v>
      </c>
      <c r="L361">
        <f t="shared" si="61"/>
        <v>3</v>
      </c>
      <c r="M361">
        <f t="shared" ca="1" si="62"/>
        <v>945</v>
      </c>
      <c r="N361" t="str">
        <f t="shared" si="63"/>
        <v>WEEKDAY</v>
      </c>
      <c r="O361" t="str">
        <f t="shared" si="64"/>
        <v>22-Mar-2024</v>
      </c>
      <c r="P361" t="str">
        <f t="shared" si="65"/>
        <v>Vivaan Reddy-Tablet</v>
      </c>
    </row>
    <row r="362" spans="1:16" x14ac:dyDescent="0.4">
      <c r="A362" s="2" t="s">
        <v>2164</v>
      </c>
      <c r="B362" s="2" t="s">
        <v>91</v>
      </c>
      <c r="C362" s="2" t="s">
        <v>1796</v>
      </c>
      <c r="D362" s="3">
        <v>45645</v>
      </c>
      <c r="E362" s="2" t="s">
        <v>1803</v>
      </c>
      <c r="F362" t="str">
        <f t="shared" si="55"/>
        <v>yes</v>
      </c>
      <c r="G362">
        <f t="shared" si="56"/>
        <v>70</v>
      </c>
      <c r="H362" t="str">
        <f t="shared" si="57"/>
        <v>Delivery was late but product is good.</v>
      </c>
      <c r="I362" t="str">
        <f t="shared" si="58"/>
        <v>Delivery was delayed but product is good.</v>
      </c>
      <c r="J362">
        <f t="shared" si="59"/>
        <v>41</v>
      </c>
      <c r="K362" t="str">
        <f t="shared" si="60"/>
        <v>Delivery w</v>
      </c>
      <c r="L362">
        <f t="shared" si="61"/>
        <v>12</v>
      </c>
      <c r="M362">
        <f t="shared" ca="1" si="62"/>
        <v>673</v>
      </c>
      <c r="N362" t="str">
        <f t="shared" si="63"/>
        <v>WEEKDAY</v>
      </c>
      <c r="O362" t="str">
        <f t="shared" si="64"/>
        <v>19-Dec-2024</v>
      </c>
      <c r="P362" t="str">
        <f t="shared" si="65"/>
        <v>Isha Mehta-Laptop</v>
      </c>
    </row>
    <row r="363" spans="1:16" x14ac:dyDescent="0.4">
      <c r="A363" s="2" t="s">
        <v>2165</v>
      </c>
      <c r="B363" s="2" t="s">
        <v>299</v>
      </c>
      <c r="C363" s="2" t="s">
        <v>1802</v>
      </c>
      <c r="D363" s="3">
        <v>45387</v>
      </c>
      <c r="E363" s="2" t="s">
        <v>1820</v>
      </c>
      <c r="F363" t="str">
        <f t="shared" si="55"/>
        <v>yes</v>
      </c>
      <c r="G363">
        <f t="shared" si="56"/>
        <v>70</v>
      </c>
      <c r="H363" t="str">
        <f t="shared" si="57"/>
        <v>Product was excellent and delivery was fast.</v>
      </c>
      <c r="I363" t="str">
        <f t="shared" si="58"/>
        <v>Product was excellent and delivery was fast.</v>
      </c>
      <c r="J363">
        <f t="shared" si="59"/>
        <v>44</v>
      </c>
      <c r="K363" t="str">
        <f t="shared" si="60"/>
        <v>Product wa</v>
      </c>
      <c r="L363">
        <f t="shared" si="61"/>
        <v>4</v>
      </c>
      <c r="M363">
        <f t="shared" ca="1" si="62"/>
        <v>931</v>
      </c>
      <c r="N363" t="str">
        <f t="shared" si="63"/>
        <v>WEEKDAY</v>
      </c>
      <c r="O363" t="str">
        <f t="shared" si="64"/>
        <v>05-Apr-2024</v>
      </c>
      <c r="P363" t="str">
        <f t="shared" si="65"/>
        <v>Aditya Khan-Printer</v>
      </c>
    </row>
    <row r="364" spans="1:16" x14ac:dyDescent="0.4">
      <c r="A364" s="2" t="s">
        <v>2166</v>
      </c>
      <c r="B364" s="2" t="s">
        <v>661</v>
      </c>
      <c r="C364" s="2" t="s">
        <v>1815</v>
      </c>
      <c r="D364" s="3">
        <v>45590</v>
      </c>
      <c r="E364" s="2" t="s">
        <v>1803</v>
      </c>
      <c r="F364" t="str">
        <f t="shared" si="55"/>
        <v>yes</v>
      </c>
      <c r="G364">
        <f t="shared" si="56"/>
        <v>70</v>
      </c>
      <c r="H364" t="str">
        <f t="shared" si="57"/>
        <v>Great value for money!</v>
      </c>
      <c r="I364" t="str">
        <f t="shared" si="58"/>
        <v>Great value for money!</v>
      </c>
      <c r="J364">
        <f t="shared" si="59"/>
        <v>22</v>
      </c>
      <c r="K364" t="str">
        <f t="shared" si="60"/>
        <v>Great valu</v>
      </c>
      <c r="L364">
        <f t="shared" si="61"/>
        <v>10</v>
      </c>
      <c r="M364">
        <f t="shared" ca="1" si="62"/>
        <v>728</v>
      </c>
      <c r="N364" t="str">
        <f t="shared" si="63"/>
        <v>WEEKDAY</v>
      </c>
      <c r="O364" t="str">
        <f t="shared" si="64"/>
        <v>25-Oct-2024</v>
      </c>
      <c r="P364" t="str">
        <f t="shared" si="65"/>
        <v>Kabir Khan-Laptop</v>
      </c>
    </row>
    <row r="365" spans="1:16" x14ac:dyDescent="0.4">
      <c r="A365" s="2" t="s">
        <v>2167</v>
      </c>
      <c r="B365" s="2" t="s">
        <v>161</v>
      </c>
      <c r="C365" s="2" t="s">
        <v>1793</v>
      </c>
      <c r="D365" s="3">
        <v>45578</v>
      </c>
      <c r="E365" s="2" t="s">
        <v>1820</v>
      </c>
      <c r="F365" t="str">
        <f t="shared" si="55"/>
        <v>yes</v>
      </c>
      <c r="G365">
        <f t="shared" si="56"/>
        <v>70</v>
      </c>
      <c r="H365" t="str">
        <f t="shared" si="57"/>
        <v>Received damaged item, requested replacement.</v>
      </c>
      <c r="I365" t="str">
        <f t="shared" si="58"/>
        <v>Received damaged item, requested replacement.</v>
      </c>
      <c r="J365">
        <f t="shared" si="59"/>
        <v>45</v>
      </c>
      <c r="K365" t="str">
        <f t="shared" si="60"/>
        <v>Received d</v>
      </c>
      <c r="L365">
        <f t="shared" si="61"/>
        <v>10</v>
      </c>
      <c r="M365">
        <f t="shared" ca="1" si="62"/>
        <v>740</v>
      </c>
      <c r="N365" t="str">
        <f t="shared" si="63"/>
        <v>WEEKEND</v>
      </c>
      <c r="O365" t="str">
        <f t="shared" si="64"/>
        <v>13-Oct-2024</v>
      </c>
      <c r="P365" t="str">
        <f t="shared" si="65"/>
        <v>Riya Patel-Printer</v>
      </c>
    </row>
    <row r="366" spans="1:16" x14ac:dyDescent="0.4">
      <c r="A366" s="2" t="s">
        <v>2168</v>
      </c>
      <c r="B366" s="2" t="s">
        <v>113</v>
      </c>
      <c r="C366" s="2" t="s">
        <v>1802</v>
      </c>
      <c r="D366" s="3">
        <v>45606</v>
      </c>
      <c r="E366" s="2" t="s">
        <v>1820</v>
      </c>
      <c r="F366" t="str">
        <f t="shared" si="55"/>
        <v>yes</v>
      </c>
      <c r="G366">
        <f t="shared" si="56"/>
        <v>70</v>
      </c>
      <c r="H366" t="str">
        <f t="shared" si="57"/>
        <v>Product was excellent and delivery was fast.</v>
      </c>
      <c r="I366" t="str">
        <f t="shared" si="58"/>
        <v>Product was excellent and delivery was fast.</v>
      </c>
      <c r="J366">
        <f t="shared" si="59"/>
        <v>44</v>
      </c>
      <c r="K366" t="str">
        <f t="shared" si="60"/>
        <v>Product wa</v>
      </c>
      <c r="L366">
        <f t="shared" si="61"/>
        <v>11</v>
      </c>
      <c r="M366">
        <f t="shared" ca="1" si="62"/>
        <v>712</v>
      </c>
      <c r="N366" t="str">
        <f t="shared" si="63"/>
        <v>WEEKEND</v>
      </c>
      <c r="O366" t="str">
        <f t="shared" si="64"/>
        <v>10-Nov-2024</v>
      </c>
      <c r="P366" t="str">
        <f t="shared" si="65"/>
        <v>Diya Reddy-Printer</v>
      </c>
    </row>
    <row r="367" spans="1:16" x14ac:dyDescent="0.4">
      <c r="A367" s="2" t="s">
        <v>2169</v>
      </c>
      <c r="B367" s="2" t="s">
        <v>373</v>
      </c>
      <c r="C367" s="2" t="s">
        <v>1799</v>
      </c>
      <c r="D367" s="3">
        <v>45354</v>
      </c>
      <c r="E367" s="2" t="s">
        <v>1803</v>
      </c>
      <c r="F367" t="str">
        <f t="shared" si="55"/>
        <v>yes</v>
      </c>
      <c r="G367">
        <f t="shared" si="56"/>
        <v>70</v>
      </c>
      <c r="H367" t="str">
        <f t="shared" si="57"/>
        <v>Not satisfied with the quality.</v>
      </c>
      <c r="I367" t="str">
        <f t="shared" si="58"/>
        <v>Not satisfied with the quality.</v>
      </c>
      <c r="J367">
        <f t="shared" si="59"/>
        <v>31</v>
      </c>
      <c r="K367" t="str">
        <f t="shared" si="60"/>
        <v>Not satisf</v>
      </c>
      <c r="L367">
        <f t="shared" si="61"/>
        <v>3</v>
      </c>
      <c r="M367">
        <f t="shared" ca="1" si="62"/>
        <v>964</v>
      </c>
      <c r="N367" t="str">
        <f t="shared" si="63"/>
        <v>WEEKEND</v>
      </c>
      <c r="O367" t="str">
        <f t="shared" si="64"/>
        <v>03-Mar-2024</v>
      </c>
      <c r="P367" t="str">
        <f t="shared" si="65"/>
        <v>Vivaan Nair-Laptop</v>
      </c>
    </row>
    <row r="368" spans="1:16" x14ac:dyDescent="0.4">
      <c r="A368" s="2" t="s">
        <v>2170</v>
      </c>
      <c r="B368" s="2" t="s">
        <v>117</v>
      </c>
      <c r="C368" s="2" t="s">
        <v>1793</v>
      </c>
      <c r="D368" s="3">
        <v>45595</v>
      </c>
      <c r="E368" s="2" t="s">
        <v>1803</v>
      </c>
      <c r="F368" t="str">
        <f t="shared" si="55"/>
        <v>yes</v>
      </c>
      <c r="G368">
        <f t="shared" si="56"/>
        <v>70</v>
      </c>
      <c r="H368" t="str">
        <f t="shared" si="57"/>
        <v>Received damaged item, requested replacement.</v>
      </c>
      <c r="I368" t="str">
        <f t="shared" si="58"/>
        <v>Received damaged item, requested replacement.</v>
      </c>
      <c r="J368">
        <f t="shared" si="59"/>
        <v>45</v>
      </c>
      <c r="K368" t="str">
        <f t="shared" si="60"/>
        <v>Received d</v>
      </c>
      <c r="L368">
        <f t="shared" si="61"/>
        <v>10</v>
      </c>
      <c r="M368">
        <f t="shared" ca="1" si="62"/>
        <v>723</v>
      </c>
      <c r="N368" t="str">
        <f t="shared" si="63"/>
        <v>WEEKDAY</v>
      </c>
      <c r="O368" t="str">
        <f t="shared" si="64"/>
        <v>30-Oct-2024</v>
      </c>
      <c r="P368" t="str">
        <f t="shared" si="65"/>
        <v>Kabir Sharma-Laptop</v>
      </c>
    </row>
    <row r="369" spans="1:16" x14ac:dyDescent="0.4">
      <c r="A369" s="2" t="s">
        <v>2171</v>
      </c>
      <c r="B369" s="2" t="s">
        <v>303</v>
      </c>
      <c r="C369" s="2" t="s">
        <v>1799</v>
      </c>
      <c r="D369" s="3">
        <v>45610</v>
      </c>
      <c r="E369" s="2" t="s">
        <v>1794</v>
      </c>
      <c r="F369" t="str">
        <f t="shared" si="55"/>
        <v>yes</v>
      </c>
      <c r="G369">
        <f t="shared" si="56"/>
        <v>70</v>
      </c>
      <c r="H369" t="str">
        <f t="shared" si="57"/>
        <v>Not satisfied with the quality.</v>
      </c>
      <c r="I369" t="str">
        <f t="shared" si="58"/>
        <v>Not satisfied with the quality.</v>
      </c>
      <c r="J369">
        <f t="shared" si="59"/>
        <v>31</v>
      </c>
      <c r="K369" t="str">
        <f t="shared" si="60"/>
        <v>Not satisf</v>
      </c>
      <c r="L369">
        <f t="shared" si="61"/>
        <v>11</v>
      </c>
      <c r="M369">
        <f t="shared" ca="1" si="62"/>
        <v>708</v>
      </c>
      <c r="N369" t="str">
        <f t="shared" si="63"/>
        <v>WEEKDAY</v>
      </c>
      <c r="O369" t="str">
        <f t="shared" si="64"/>
        <v>14-Nov-2024</v>
      </c>
      <c r="P369" t="str">
        <f t="shared" si="65"/>
        <v>Isha Patel-Smartwatch</v>
      </c>
    </row>
    <row r="370" spans="1:16" x14ac:dyDescent="0.4">
      <c r="A370" s="2" t="s">
        <v>2172</v>
      </c>
      <c r="B370" s="2" t="s">
        <v>30</v>
      </c>
      <c r="C370" s="2" t="s">
        <v>1809</v>
      </c>
      <c r="D370" s="3">
        <v>45452</v>
      </c>
      <c r="E370" s="2" t="s">
        <v>1803</v>
      </c>
      <c r="F370" t="str">
        <f t="shared" si="55"/>
        <v>yes</v>
      </c>
      <c r="G370">
        <f t="shared" si="56"/>
        <v>70</v>
      </c>
      <c r="H370" t="str">
        <f t="shared" si="57"/>
        <v>Customer support was helpful.</v>
      </c>
      <c r="I370" t="str">
        <f t="shared" si="58"/>
        <v>Customer support was helpful.</v>
      </c>
      <c r="J370">
        <f t="shared" si="59"/>
        <v>29</v>
      </c>
      <c r="K370" t="str">
        <f t="shared" si="60"/>
        <v>Customer s</v>
      </c>
      <c r="L370">
        <f t="shared" si="61"/>
        <v>6</v>
      </c>
      <c r="M370">
        <f t="shared" ca="1" si="62"/>
        <v>866</v>
      </c>
      <c r="N370" t="str">
        <f t="shared" si="63"/>
        <v>WEEKEND</v>
      </c>
      <c r="O370" t="str">
        <f t="shared" si="64"/>
        <v>09-Jun-2024</v>
      </c>
      <c r="P370" t="str">
        <f t="shared" si="65"/>
        <v>Ananya Reddy-Laptop</v>
      </c>
    </row>
    <row r="371" spans="1:16" x14ac:dyDescent="0.4">
      <c r="A371" s="2" t="s">
        <v>2173</v>
      </c>
      <c r="B371" s="2" t="s">
        <v>35</v>
      </c>
      <c r="C371" s="2" t="s">
        <v>1809</v>
      </c>
      <c r="D371" s="3">
        <v>45541</v>
      </c>
      <c r="E371" s="2" t="s">
        <v>1794</v>
      </c>
      <c r="F371" t="str">
        <f t="shared" si="55"/>
        <v>yes</v>
      </c>
      <c r="G371">
        <f t="shared" si="56"/>
        <v>70</v>
      </c>
      <c r="H371" t="str">
        <f t="shared" si="57"/>
        <v>Customer support was helpful.</v>
      </c>
      <c r="I371" t="str">
        <f t="shared" si="58"/>
        <v>Customer support was helpful.</v>
      </c>
      <c r="J371">
        <f t="shared" si="59"/>
        <v>29</v>
      </c>
      <c r="K371" t="str">
        <f t="shared" si="60"/>
        <v>Customer s</v>
      </c>
      <c r="L371">
        <f t="shared" si="61"/>
        <v>9</v>
      </c>
      <c r="M371">
        <f t="shared" ca="1" si="62"/>
        <v>777</v>
      </c>
      <c r="N371" t="str">
        <f t="shared" si="63"/>
        <v>WEEKDAY</v>
      </c>
      <c r="O371" t="str">
        <f t="shared" si="64"/>
        <v>06-Sep-2024</v>
      </c>
      <c r="P371" t="str">
        <f t="shared" si="65"/>
        <v>Isha Das-Smartwatch</v>
      </c>
    </row>
    <row r="372" spans="1:16" x14ac:dyDescent="0.4">
      <c r="A372" s="2" t="s">
        <v>2174</v>
      </c>
      <c r="B372" s="2" t="s">
        <v>677</v>
      </c>
      <c r="C372" s="2" t="s">
        <v>1799</v>
      </c>
      <c r="D372" s="3">
        <v>45641</v>
      </c>
      <c r="E372" s="2" t="s">
        <v>1810</v>
      </c>
      <c r="F372" t="str">
        <f t="shared" si="55"/>
        <v>yes</v>
      </c>
      <c r="G372">
        <f t="shared" si="56"/>
        <v>70</v>
      </c>
      <c r="H372" t="str">
        <f t="shared" si="57"/>
        <v>Not satisfied with the quality.</v>
      </c>
      <c r="I372" t="str">
        <f t="shared" si="58"/>
        <v>Not satisfied with the quality.</v>
      </c>
      <c r="J372">
        <f t="shared" si="59"/>
        <v>31</v>
      </c>
      <c r="K372" t="str">
        <f t="shared" si="60"/>
        <v>Not satisf</v>
      </c>
      <c r="L372">
        <f t="shared" si="61"/>
        <v>12</v>
      </c>
      <c r="M372">
        <f t="shared" ca="1" si="62"/>
        <v>677</v>
      </c>
      <c r="N372" t="str">
        <f t="shared" si="63"/>
        <v>WEEKEND</v>
      </c>
      <c r="O372" t="str">
        <f t="shared" si="64"/>
        <v>15-Dec-2024</v>
      </c>
      <c r="P372" t="str">
        <f t="shared" si="65"/>
        <v>Arjun Khan-Tablet</v>
      </c>
    </row>
    <row r="373" spans="1:16" x14ac:dyDescent="0.4">
      <c r="A373" s="2" t="s">
        <v>2175</v>
      </c>
      <c r="B373" s="2" t="s">
        <v>373</v>
      </c>
      <c r="C373" s="2" t="s">
        <v>1799</v>
      </c>
      <c r="D373" s="3">
        <v>45589</v>
      </c>
      <c r="E373" s="2" t="s">
        <v>1810</v>
      </c>
      <c r="F373" t="str">
        <f t="shared" si="55"/>
        <v>yes</v>
      </c>
      <c r="G373">
        <f t="shared" si="56"/>
        <v>70</v>
      </c>
      <c r="H373" t="str">
        <f t="shared" si="57"/>
        <v>Not satisfied with the quality.</v>
      </c>
      <c r="I373" t="str">
        <f t="shared" si="58"/>
        <v>Not satisfied with the quality.</v>
      </c>
      <c r="J373">
        <f t="shared" si="59"/>
        <v>31</v>
      </c>
      <c r="K373" t="str">
        <f t="shared" si="60"/>
        <v>Not satisf</v>
      </c>
      <c r="L373">
        <f t="shared" si="61"/>
        <v>10</v>
      </c>
      <c r="M373">
        <f t="shared" ca="1" si="62"/>
        <v>729</v>
      </c>
      <c r="N373" t="str">
        <f t="shared" si="63"/>
        <v>WEEKDAY</v>
      </c>
      <c r="O373" t="str">
        <f t="shared" si="64"/>
        <v>24-Oct-2024</v>
      </c>
      <c r="P373" t="str">
        <f t="shared" si="65"/>
        <v>Vivaan Nair-Tablet</v>
      </c>
    </row>
    <row r="374" spans="1:16" x14ac:dyDescent="0.4">
      <c r="A374" s="2" t="s">
        <v>2176</v>
      </c>
      <c r="B374" s="2" t="s">
        <v>405</v>
      </c>
      <c r="C374" s="2" t="s">
        <v>1802</v>
      </c>
      <c r="D374" s="3">
        <v>45507</v>
      </c>
      <c r="E374" s="2" t="s">
        <v>1794</v>
      </c>
      <c r="F374" t="str">
        <f t="shared" si="55"/>
        <v>yes</v>
      </c>
      <c r="G374">
        <f t="shared" si="56"/>
        <v>70</v>
      </c>
      <c r="H374" t="str">
        <f t="shared" si="57"/>
        <v>Product was excellent and delivery was fast.</v>
      </c>
      <c r="I374" t="str">
        <f t="shared" si="58"/>
        <v>Product was excellent and delivery was fast.</v>
      </c>
      <c r="J374">
        <f t="shared" si="59"/>
        <v>44</v>
      </c>
      <c r="K374" t="str">
        <f t="shared" si="60"/>
        <v>Product wa</v>
      </c>
      <c r="L374">
        <f t="shared" si="61"/>
        <v>8</v>
      </c>
      <c r="M374">
        <f t="shared" ca="1" si="62"/>
        <v>811</v>
      </c>
      <c r="N374" t="str">
        <f t="shared" si="63"/>
        <v>WEEKEND</v>
      </c>
      <c r="O374" t="str">
        <f t="shared" si="64"/>
        <v>03-Aug-2024</v>
      </c>
      <c r="P374" t="str">
        <f t="shared" si="65"/>
        <v>Ananya Singh-Smartwatch</v>
      </c>
    </row>
    <row r="375" spans="1:16" x14ac:dyDescent="0.4">
      <c r="A375" s="2" t="s">
        <v>2177</v>
      </c>
      <c r="B375" s="2" t="s">
        <v>239</v>
      </c>
      <c r="C375" s="2" t="s">
        <v>1796</v>
      </c>
      <c r="D375" s="3">
        <v>45428</v>
      </c>
      <c r="E375" s="2" t="s">
        <v>1794</v>
      </c>
      <c r="F375" t="str">
        <f t="shared" si="55"/>
        <v>yes</v>
      </c>
      <c r="G375">
        <f t="shared" si="56"/>
        <v>70</v>
      </c>
      <c r="H375" t="str">
        <f t="shared" si="57"/>
        <v>Delivery was late but product is good.</v>
      </c>
      <c r="I375" t="str">
        <f t="shared" si="58"/>
        <v>Delivery was delayed but product is good.</v>
      </c>
      <c r="J375">
        <f t="shared" si="59"/>
        <v>41</v>
      </c>
      <c r="K375" t="str">
        <f t="shared" si="60"/>
        <v>Delivery w</v>
      </c>
      <c r="L375">
        <f t="shared" si="61"/>
        <v>5</v>
      </c>
      <c r="M375">
        <f t="shared" ca="1" si="62"/>
        <v>890</v>
      </c>
      <c r="N375" t="str">
        <f t="shared" si="63"/>
        <v>WEEKDAY</v>
      </c>
      <c r="O375" t="str">
        <f t="shared" si="64"/>
        <v>16-May-2024</v>
      </c>
      <c r="P375" t="str">
        <f t="shared" si="65"/>
        <v>Vivaan Singh-Smartwatch</v>
      </c>
    </row>
    <row r="376" spans="1:16" x14ac:dyDescent="0.4">
      <c r="A376" s="2" t="s">
        <v>2178</v>
      </c>
      <c r="B376" s="2" t="s">
        <v>279</v>
      </c>
      <c r="C376" s="2" t="s">
        <v>1802</v>
      </c>
      <c r="D376" s="3">
        <v>45370</v>
      </c>
      <c r="E376" s="2" t="s">
        <v>1820</v>
      </c>
      <c r="F376" t="str">
        <f t="shared" si="55"/>
        <v>yes</v>
      </c>
      <c r="G376">
        <f t="shared" si="56"/>
        <v>70</v>
      </c>
      <c r="H376" t="str">
        <f t="shared" si="57"/>
        <v>Product was excellent and delivery was fast.</v>
      </c>
      <c r="I376" t="str">
        <f t="shared" si="58"/>
        <v>Product was excellent and delivery was fast.</v>
      </c>
      <c r="J376">
        <f t="shared" si="59"/>
        <v>44</v>
      </c>
      <c r="K376" t="str">
        <f t="shared" si="60"/>
        <v>Product wa</v>
      </c>
      <c r="L376">
        <f t="shared" si="61"/>
        <v>3</v>
      </c>
      <c r="M376">
        <f t="shared" ca="1" si="62"/>
        <v>948</v>
      </c>
      <c r="N376" t="str">
        <f t="shared" si="63"/>
        <v>WEEKDAY</v>
      </c>
      <c r="O376" t="str">
        <f t="shared" si="64"/>
        <v>19-Mar-2024</v>
      </c>
      <c r="P376" t="str">
        <f t="shared" si="65"/>
        <v>Diya Patel-Printer</v>
      </c>
    </row>
    <row r="377" spans="1:16" x14ac:dyDescent="0.4">
      <c r="A377" s="2" t="s">
        <v>2179</v>
      </c>
      <c r="B377" s="2" t="s">
        <v>641</v>
      </c>
      <c r="C377" s="2" t="s">
        <v>1799</v>
      </c>
      <c r="D377" s="3">
        <v>45445</v>
      </c>
      <c r="E377" s="2" t="s">
        <v>1797</v>
      </c>
      <c r="F377" t="str">
        <f t="shared" si="55"/>
        <v>yes</v>
      </c>
      <c r="G377">
        <f t="shared" si="56"/>
        <v>70</v>
      </c>
      <c r="H377" t="str">
        <f t="shared" si="57"/>
        <v>Not satisfied with the quality.</v>
      </c>
      <c r="I377" t="str">
        <f t="shared" si="58"/>
        <v>Not satisfied with the quality.</v>
      </c>
      <c r="J377">
        <f t="shared" si="59"/>
        <v>31</v>
      </c>
      <c r="K377" t="str">
        <f t="shared" si="60"/>
        <v>Not satisf</v>
      </c>
      <c r="L377">
        <f t="shared" si="61"/>
        <v>6</v>
      </c>
      <c r="M377">
        <f t="shared" ca="1" si="62"/>
        <v>873</v>
      </c>
      <c r="N377" t="str">
        <f t="shared" si="63"/>
        <v>WEEKEND</v>
      </c>
      <c r="O377" t="str">
        <f t="shared" si="64"/>
        <v>02-Jun-2024</v>
      </c>
      <c r="P377" t="str">
        <f t="shared" si="65"/>
        <v>Aarav Mehta-Mobile</v>
      </c>
    </row>
    <row r="378" spans="1:16" x14ac:dyDescent="0.4">
      <c r="A378" s="2" t="s">
        <v>2180</v>
      </c>
      <c r="B378" s="2" t="s">
        <v>489</v>
      </c>
      <c r="C378" s="2" t="s">
        <v>1793</v>
      </c>
      <c r="D378" s="3">
        <v>45563</v>
      </c>
      <c r="E378" s="2" t="s">
        <v>1803</v>
      </c>
      <c r="F378" t="str">
        <f t="shared" si="55"/>
        <v>yes</v>
      </c>
      <c r="G378">
        <f t="shared" si="56"/>
        <v>70</v>
      </c>
      <c r="H378" t="str">
        <f t="shared" si="57"/>
        <v>Received damaged item, requested replacement.</v>
      </c>
      <c r="I378" t="str">
        <f t="shared" si="58"/>
        <v>Received damaged item, requested replacement.</v>
      </c>
      <c r="J378">
        <f t="shared" si="59"/>
        <v>45</v>
      </c>
      <c r="K378" t="str">
        <f t="shared" si="60"/>
        <v>Received d</v>
      </c>
      <c r="L378">
        <f t="shared" si="61"/>
        <v>9</v>
      </c>
      <c r="M378">
        <f t="shared" ca="1" si="62"/>
        <v>755</v>
      </c>
      <c r="N378" t="str">
        <f t="shared" si="63"/>
        <v>WEEKEND</v>
      </c>
      <c r="O378" t="str">
        <f t="shared" si="64"/>
        <v>28-Sep-2024</v>
      </c>
      <c r="P378" t="str">
        <f t="shared" si="65"/>
        <v>Arjun Reddy-Laptop</v>
      </c>
    </row>
    <row r="379" spans="1:16" x14ac:dyDescent="0.4">
      <c r="A379" s="2" t="s">
        <v>2181</v>
      </c>
      <c r="B379" s="2" t="s">
        <v>48</v>
      </c>
      <c r="C379" s="2" t="s">
        <v>1799</v>
      </c>
      <c r="D379" s="3">
        <v>45330</v>
      </c>
      <c r="E379" s="2" t="s">
        <v>1820</v>
      </c>
      <c r="F379" t="str">
        <f t="shared" si="55"/>
        <v>yes</v>
      </c>
      <c r="G379">
        <f t="shared" si="56"/>
        <v>70</v>
      </c>
      <c r="H379" t="str">
        <f t="shared" si="57"/>
        <v>Not satisfied with the quality.</v>
      </c>
      <c r="I379" t="str">
        <f t="shared" si="58"/>
        <v>Not satisfied with the quality.</v>
      </c>
      <c r="J379">
        <f t="shared" si="59"/>
        <v>31</v>
      </c>
      <c r="K379" t="str">
        <f t="shared" si="60"/>
        <v>Not satisf</v>
      </c>
      <c r="L379">
        <f t="shared" si="61"/>
        <v>2</v>
      </c>
      <c r="M379">
        <f t="shared" ca="1" si="62"/>
        <v>988</v>
      </c>
      <c r="N379" t="str">
        <f t="shared" si="63"/>
        <v>WEEKDAY</v>
      </c>
      <c r="O379" t="str">
        <f t="shared" si="64"/>
        <v>08-Feb-2024</v>
      </c>
      <c r="P379" t="str">
        <f t="shared" si="65"/>
        <v>Aditya Gupta-Printer</v>
      </c>
    </row>
    <row r="380" spans="1:16" x14ac:dyDescent="0.4">
      <c r="A380" s="2" t="s">
        <v>2182</v>
      </c>
      <c r="B380" s="2" t="s">
        <v>99</v>
      </c>
      <c r="C380" s="2" t="s">
        <v>1809</v>
      </c>
      <c r="D380" s="3">
        <v>45398</v>
      </c>
      <c r="E380" s="2" t="s">
        <v>1820</v>
      </c>
      <c r="F380" t="str">
        <f t="shared" si="55"/>
        <v>yes</v>
      </c>
      <c r="G380">
        <f t="shared" si="56"/>
        <v>70</v>
      </c>
      <c r="H380" t="str">
        <f t="shared" si="57"/>
        <v>Customer support was helpful.</v>
      </c>
      <c r="I380" t="str">
        <f t="shared" si="58"/>
        <v>Customer support was helpful.</v>
      </c>
      <c r="J380">
        <f t="shared" si="59"/>
        <v>29</v>
      </c>
      <c r="K380" t="str">
        <f t="shared" si="60"/>
        <v>Customer s</v>
      </c>
      <c r="L380">
        <f t="shared" si="61"/>
        <v>4</v>
      </c>
      <c r="M380">
        <f t="shared" ca="1" si="62"/>
        <v>920</v>
      </c>
      <c r="N380" t="str">
        <f t="shared" si="63"/>
        <v>WEEKDAY</v>
      </c>
      <c r="O380" t="str">
        <f t="shared" si="64"/>
        <v>16-Apr-2024</v>
      </c>
      <c r="P380" t="str">
        <f t="shared" si="65"/>
        <v>Diya Singh-Printer</v>
      </c>
    </row>
    <row r="381" spans="1:16" x14ac:dyDescent="0.4">
      <c r="A381" s="2" t="s">
        <v>2183</v>
      </c>
      <c r="B381" s="2" t="s">
        <v>145</v>
      </c>
      <c r="C381" s="2" t="s">
        <v>1815</v>
      </c>
      <c r="D381" s="3">
        <v>45353</v>
      </c>
      <c r="E381" s="2" t="s">
        <v>1797</v>
      </c>
      <c r="F381" t="str">
        <f t="shared" si="55"/>
        <v>yes</v>
      </c>
      <c r="G381">
        <f t="shared" si="56"/>
        <v>70</v>
      </c>
      <c r="H381" t="str">
        <f t="shared" si="57"/>
        <v>Great value for money!</v>
      </c>
      <c r="I381" t="str">
        <f t="shared" si="58"/>
        <v>Great value for money!</v>
      </c>
      <c r="J381">
        <f t="shared" si="59"/>
        <v>22</v>
      </c>
      <c r="K381" t="str">
        <f t="shared" si="60"/>
        <v>Great valu</v>
      </c>
      <c r="L381">
        <f t="shared" si="61"/>
        <v>3</v>
      </c>
      <c r="M381">
        <f t="shared" ca="1" si="62"/>
        <v>965</v>
      </c>
      <c r="N381" t="str">
        <f t="shared" si="63"/>
        <v>WEEKEND</v>
      </c>
      <c r="O381" t="str">
        <f t="shared" si="64"/>
        <v>02-Mar-2024</v>
      </c>
      <c r="P381" t="str">
        <f t="shared" si="65"/>
        <v>Aditya Nair-Mobile</v>
      </c>
    </row>
    <row r="382" spans="1:16" x14ac:dyDescent="0.4">
      <c r="A382" s="2" t="s">
        <v>2184</v>
      </c>
      <c r="B382" s="2" t="s">
        <v>345</v>
      </c>
      <c r="C382" s="2" t="s">
        <v>1815</v>
      </c>
      <c r="D382" s="3">
        <v>45547</v>
      </c>
      <c r="E382" s="2" t="s">
        <v>1803</v>
      </c>
      <c r="F382" t="str">
        <f t="shared" si="55"/>
        <v>yes</v>
      </c>
      <c r="G382">
        <f t="shared" si="56"/>
        <v>70</v>
      </c>
      <c r="H382" t="str">
        <f t="shared" si="57"/>
        <v>Great value for money!</v>
      </c>
      <c r="I382" t="str">
        <f t="shared" si="58"/>
        <v>Great value for money!</v>
      </c>
      <c r="J382">
        <f t="shared" si="59"/>
        <v>22</v>
      </c>
      <c r="K382" t="str">
        <f t="shared" si="60"/>
        <v>Great valu</v>
      </c>
      <c r="L382">
        <f t="shared" si="61"/>
        <v>9</v>
      </c>
      <c r="M382">
        <f t="shared" ca="1" si="62"/>
        <v>771</v>
      </c>
      <c r="N382" t="str">
        <f t="shared" si="63"/>
        <v>WEEKDAY</v>
      </c>
      <c r="O382" t="str">
        <f t="shared" si="64"/>
        <v>12-Sep-2024</v>
      </c>
      <c r="P382" t="str">
        <f t="shared" si="65"/>
        <v>Isha Sharma-Laptop</v>
      </c>
    </row>
    <row r="383" spans="1:16" x14ac:dyDescent="0.4">
      <c r="A383" s="2" t="s">
        <v>2185</v>
      </c>
      <c r="B383" s="2" t="s">
        <v>217</v>
      </c>
      <c r="C383" s="2" t="s">
        <v>1809</v>
      </c>
      <c r="D383" s="3">
        <v>45334</v>
      </c>
      <c r="E383" s="2" t="s">
        <v>1820</v>
      </c>
      <c r="F383" t="str">
        <f t="shared" si="55"/>
        <v>yes</v>
      </c>
      <c r="G383">
        <f t="shared" si="56"/>
        <v>70</v>
      </c>
      <c r="H383" t="str">
        <f t="shared" si="57"/>
        <v>Customer support was helpful.</v>
      </c>
      <c r="I383" t="str">
        <f t="shared" si="58"/>
        <v>Customer support was helpful.</v>
      </c>
      <c r="J383">
        <f t="shared" si="59"/>
        <v>29</v>
      </c>
      <c r="K383" t="str">
        <f t="shared" si="60"/>
        <v>Customer s</v>
      </c>
      <c r="L383">
        <f t="shared" si="61"/>
        <v>2</v>
      </c>
      <c r="M383">
        <f t="shared" ca="1" si="62"/>
        <v>984</v>
      </c>
      <c r="N383" t="str">
        <f t="shared" si="63"/>
        <v>WEEKDAY</v>
      </c>
      <c r="O383" t="str">
        <f t="shared" si="64"/>
        <v>12-Feb-2024</v>
      </c>
      <c r="P383" t="str">
        <f t="shared" si="65"/>
        <v>Meera Gupta-Printer</v>
      </c>
    </row>
    <row r="384" spans="1:16" x14ac:dyDescent="0.4">
      <c r="A384" s="2" t="s">
        <v>2186</v>
      </c>
      <c r="B384" s="2" t="s">
        <v>103</v>
      </c>
      <c r="C384" s="2" t="s">
        <v>1793</v>
      </c>
      <c r="D384" s="3">
        <v>45298</v>
      </c>
      <c r="E384" s="2" t="s">
        <v>1803</v>
      </c>
      <c r="F384" t="str">
        <f t="shared" si="55"/>
        <v>yes</v>
      </c>
      <c r="G384">
        <f t="shared" si="56"/>
        <v>70</v>
      </c>
      <c r="H384" t="str">
        <f t="shared" si="57"/>
        <v>Received damaged item, requested replacement.</v>
      </c>
      <c r="I384" t="str">
        <f t="shared" si="58"/>
        <v>Received damaged item, requested replacement.</v>
      </c>
      <c r="J384">
        <f t="shared" si="59"/>
        <v>45</v>
      </c>
      <c r="K384" t="str">
        <f t="shared" si="60"/>
        <v>Received d</v>
      </c>
      <c r="L384">
        <f t="shared" si="61"/>
        <v>1</v>
      </c>
      <c r="M384">
        <f t="shared" ca="1" si="62"/>
        <v>1020</v>
      </c>
      <c r="N384" t="str">
        <f t="shared" si="63"/>
        <v>WEEKEND</v>
      </c>
      <c r="O384" t="str">
        <f t="shared" si="64"/>
        <v>07-Jan-2024</v>
      </c>
      <c r="P384" t="str">
        <f t="shared" si="65"/>
        <v>Diya Das-Laptop</v>
      </c>
    </row>
    <row r="385" spans="1:16" x14ac:dyDescent="0.4">
      <c r="A385" s="2" t="s">
        <v>2187</v>
      </c>
      <c r="B385" s="2" t="s">
        <v>661</v>
      </c>
      <c r="C385" s="2" t="s">
        <v>1793</v>
      </c>
      <c r="D385" s="3">
        <v>45630</v>
      </c>
      <c r="E385" s="2" t="s">
        <v>1797</v>
      </c>
      <c r="F385" t="str">
        <f t="shared" si="55"/>
        <v>yes</v>
      </c>
      <c r="G385">
        <f t="shared" si="56"/>
        <v>70</v>
      </c>
      <c r="H385" t="str">
        <f t="shared" si="57"/>
        <v>Received damaged item, requested replacement.</v>
      </c>
      <c r="I385" t="str">
        <f t="shared" si="58"/>
        <v>Received damaged item, requested replacement.</v>
      </c>
      <c r="J385">
        <f t="shared" si="59"/>
        <v>45</v>
      </c>
      <c r="K385" t="str">
        <f t="shared" si="60"/>
        <v>Received d</v>
      </c>
      <c r="L385">
        <f t="shared" si="61"/>
        <v>12</v>
      </c>
      <c r="M385">
        <f t="shared" ca="1" si="62"/>
        <v>688</v>
      </c>
      <c r="N385" t="str">
        <f t="shared" si="63"/>
        <v>WEEKDAY</v>
      </c>
      <c r="O385" t="str">
        <f t="shared" si="64"/>
        <v>04-Dec-2024</v>
      </c>
      <c r="P385" t="str">
        <f t="shared" si="65"/>
        <v>Kabir Khan-Mobile</v>
      </c>
    </row>
    <row r="386" spans="1:16" x14ac:dyDescent="0.4">
      <c r="A386" s="2" t="s">
        <v>2188</v>
      </c>
      <c r="B386" s="2" t="s">
        <v>345</v>
      </c>
      <c r="C386" s="2" t="s">
        <v>1809</v>
      </c>
      <c r="D386" s="3">
        <v>45299</v>
      </c>
      <c r="E386" s="2" t="s">
        <v>1803</v>
      </c>
      <c r="F386" t="str">
        <f t="shared" si="55"/>
        <v>yes</v>
      </c>
      <c r="G386">
        <f t="shared" si="56"/>
        <v>70</v>
      </c>
      <c r="H386" t="str">
        <f t="shared" si="57"/>
        <v>Customer support was helpful.</v>
      </c>
      <c r="I386" t="str">
        <f t="shared" si="58"/>
        <v>Customer support was helpful.</v>
      </c>
      <c r="J386">
        <f t="shared" si="59"/>
        <v>29</v>
      </c>
      <c r="K386" t="str">
        <f t="shared" si="60"/>
        <v>Customer s</v>
      </c>
      <c r="L386">
        <f t="shared" si="61"/>
        <v>1</v>
      </c>
      <c r="M386">
        <f t="shared" ca="1" si="62"/>
        <v>1019</v>
      </c>
      <c r="N386" t="str">
        <f t="shared" si="63"/>
        <v>WEEKDAY</v>
      </c>
      <c r="O386" t="str">
        <f t="shared" si="64"/>
        <v>08-Jan-2024</v>
      </c>
      <c r="P386" t="str">
        <f t="shared" si="65"/>
        <v>Isha Sharma-Laptop</v>
      </c>
    </row>
    <row r="387" spans="1:16" x14ac:dyDescent="0.4">
      <c r="A387" s="2" t="s">
        <v>2189</v>
      </c>
      <c r="B387" s="2" t="s">
        <v>107</v>
      </c>
      <c r="C387" s="2" t="s">
        <v>1809</v>
      </c>
      <c r="D387" s="3">
        <v>45495</v>
      </c>
      <c r="E387" s="2" t="s">
        <v>1794</v>
      </c>
      <c r="F387" t="str">
        <f t="shared" ref="F387:F450" si="66">IF(YEAR(D387)=2024,"yes","No")</f>
        <v>yes</v>
      </c>
      <c r="G387">
        <f t="shared" ref="G387:G450" si="67">COUNTIF($C$2:$C$501,"*good*")</f>
        <v>70</v>
      </c>
      <c r="H387" t="str">
        <f t="shared" ref="H387:H450" si="68">SUBSTITUTE(C387,"delayed","late")</f>
        <v>Customer support was helpful.</v>
      </c>
      <c r="I387" t="str">
        <f t="shared" ref="I387:I450" si="69">TRIM(C387)</f>
        <v>Customer support was helpful.</v>
      </c>
      <c r="J387">
        <f t="shared" ref="J387:J450" si="70">LEN(C387)</f>
        <v>29</v>
      </c>
      <c r="K387" t="str">
        <f t="shared" ref="K387:K450" si="71">LEFT(C387,10)</f>
        <v>Customer s</v>
      </c>
      <c r="L387">
        <f t="shared" ref="L387:L450" si="72">MONTH(D387)</f>
        <v>7</v>
      </c>
      <c r="M387">
        <f t="shared" ref="M387:M450" ca="1" si="73">DATEDIF(D387,TODAY(),"D")</f>
        <v>823</v>
      </c>
      <c r="N387" t="str">
        <f t="shared" ref="N387:N450" si="74">IF(WEEKDAY(D387,2)&gt;5,"WEEKEND","WEEKDAY")</f>
        <v>WEEKDAY</v>
      </c>
      <c r="O387" t="str">
        <f t="shared" ref="O387:O450" si="75">TEXT(D387,"DD-MMM-YYYY")</f>
        <v>22-Jul-2024</v>
      </c>
      <c r="P387" t="str">
        <f t="shared" ref="P387:P450" si="76">_xlfn.CONCAT(B387,"-",E387)</f>
        <v>Arjun Mehta-Smartwatch</v>
      </c>
    </row>
    <row r="388" spans="1:16" x14ac:dyDescent="0.4">
      <c r="A388" s="2" t="s">
        <v>2190</v>
      </c>
      <c r="B388" s="2" t="s">
        <v>395</v>
      </c>
      <c r="C388" s="2" t="s">
        <v>1799</v>
      </c>
      <c r="D388" s="3">
        <v>45459</v>
      </c>
      <c r="E388" s="2" t="s">
        <v>1794</v>
      </c>
      <c r="F388" t="str">
        <f t="shared" si="66"/>
        <v>yes</v>
      </c>
      <c r="G388">
        <f t="shared" si="67"/>
        <v>70</v>
      </c>
      <c r="H388" t="str">
        <f t="shared" si="68"/>
        <v>Not satisfied with the quality.</v>
      </c>
      <c r="I388" t="str">
        <f t="shared" si="69"/>
        <v>Not satisfied with the quality.</v>
      </c>
      <c r="J388">
        <f t="shared" si="70"/>
        <v>31</v>
      </c>
      <c r="K388" t="str">
        <f t="shared" si="71"/>
        <v>Not satisf</v>
      </c>
      <c r="L388">
        <f t="shared" si="72"/>
        <v>6</v>
      </c>
      <c r="M388">
        <f t="shared" ca="1" si="73"/>
        <v>859</v>
      </c>
      <c r="N388" t="str">
        <f t="shared" si="74"/>
        <v>WEEKEND</v>
      </c>
      <c r="O388" t="str">
        <f t="shared" si="75"/>
        <v>16-Jun-2024</v>
      </c>
      <c r="P388" t="str">
        <f t="shared" si="76"/>
        <v>Riya Nair-Smartwatch</v>
      </c>
    </row>
    <row r="389" spans="1:16" x14ac:dyDescent="0.4">
      <c r="A389" s="2" t="s">
        <v>2191</v>
      </c>
      <c r="B389" s="2" t="s">
        <v>489</v>
      </c>
      <c r="C389" s="2" t="s">
        <v>1796</v>
      </c>
      <c r="D389" s="3">
        <v>45526</v>
      </c>
      <c r="E389" s="2" t="s">
        <v>1794</v>
      </c>
      <c r="F389" t="str">
        <f t="shared" si="66"/>
        <v>yes</v>
      </c>
      <c r="G389">
        <f t="shared" si="67"/>
        <v>70</v>
      </c>
      <c r="H389" t="str">
        <f t="shared" si="68"/>
        <v>Delivery was late but product is good.</v>
      </c>
      <c r="I389" t="str">
        <f t="shared" si="69"/>
        <v>Delivery was delayed but product is good.</v>
      </c>
      <c r="J389">
        <f t="shared" si="70"/>
        <v>41</v>
      </c>
      <c r="K389" t="str">
        <f t="shared" si="71"/>
        <v>Delivery w</v>
      </c>
      <c r="L389">
        <f t="shared" si="72"/>
        <v>8</v>
      </c>
      <c r="M389">
        <f t="shared" ca="1" si="73"/>
        <v>792</v>
      </c>
      <c r="N389" t="str">
        <f t="shared" si="74"/>
        <v>WEEKDAY</v>
      </c>
      <c r="O389" t="str">
        <f t="shared" si="75"/>
        <v>22-Aug-2024</v>
      </c>
      <c r="P389" t="str">
        <f t="shared" si="76"/>
        <v>Arjun Reddy-Smartwatch</v>
      </c>
    </row>
    <row r="390" spans="1:16" x14ac:dyDescent="0.4">
      <c r="A390" s="2" t="s">
        <v>2192</v>
      </c>
      <c r="B390" s="2" t="s">
        <v>30</v>
      </c>
      <c r="C390" s="2" t="s">
        <v>1802</v>
      </c>
      <c r="D390" s="3">
        <v>45408</v>
      </c>
      <c r="E390" s="2" t="s">
        <v>1820</v>
      </c>
      <c r="F390" t="str">
        <f t="shared" si="66"/>
        <v>yes</v>
      </c>
      <c r="G390">
        <f t="shared" si="67"/>
        <v>70</v>
      </c>
      <c r="H390" t="str">
        <f t="shared" si="68"/>
        <v>Product was excellent and delivery was fast.</v>
      </c>
      <c r="I390" t="str">
        <f t="shared" si="69"/>
        <v>Product was excellent and delivery was fast.</v>
      </c>
      <c r="J390">
        <f t="shared" si="70"/>
        <v>44</v>
      </c>
      <c r="K390" t="str">
        <f t="shared" si="71"/>
        <v>Product wa</v>
      </c>
      <c r="L390">
        <f t="shared" si="72"/>
        <v>4</v>
      </c>
      <c r="M390">
        <f t="shared" ca="1" si="73"/>
        <v>910</v>
      </c>
      <c r="N390" t="str">
        <f t="shared" si="74"/>
        <v>WEEKDAY</v>
      </c>
      <c r="O390" t="str">
        <f t="shared" si="75"/>
        <v>26-Apr-2024</v>
      </c>
      <c r="P390" t="str">
        <f t="shared" si="76"/>
        <v>Ananya Reddy-Printer</v>
      </c>
    </row>
    <row r="391" spans="1:16" x14ac:dyDescent="0.4">
      <c r="A391" s="2" t="s">
        <v>2193</v>
      </c>
      <c r="B391" s="2" t="s">
        <v>251</v>
      </c>
      <c r="C391" s="2" t="s">
        <v>1793</v>
      </c>
      <c r="D391" s="3">
        <v>45558</v>
      </c>
      <c r="E391" s="2" t="s">
        <v>1797</v>
      </c>
      <c r="F391" t="str">
        <f t="shared" si="66"/>
        <v>yes</v>
      </c>
      <c r="G391">
        <f t="shared" si="67"/>
        <v>70</v>
      </c>
      <c r="H391" t="str">
        <f t="shared" si="68"/>
        <v>Received damaged item, requested replacement.</v>
      </c>
      <c r="I391" t="str">
        <f t="shared" si="69"/>
        <v>Received damaged item, requested replacement.</v>
      </c>
      <c r="J391">
        <f t="shared" si="70"/>
        <v>45</v>
      </c>
      <c r="K391" t="str">
        <f t="shared" si="71"/>
        <v>Received d</v>
      </c>
      <c r="L391">
        <f t="shared" si="72"/>
        <v>9</v>
      </c>
      <c r="M391">
        <f t="shared" ca="1" si="73"/>
        <v>760</v>
      </c>
      <c r="N391" t="str">
        <f t="shared" si="74"/>
        <v>WEEKDAY</v>
      </c>
      <c r="O391" t="str">
        <f t="shared" si="75"/>
        <v>23-Sep-2024</v>
      </c>
      <c r="P391" t="str">
        <f t="shared" si="76"/>
        <v>Aditya Mehta-Mobile</v>
      </c>
    </row>
    <row r="392" spans="1:16" x14ac:dyDescent="0.4">
      <c r="A392" s="2" t="s">
        <v>2194</v>
      </c>
      <c r="B392" s="2" t="s">
        <v>1087</v>
      </c>
      <c r="C392" s="2" t="s">
        <v>1799</v>
      </c>
      <c r="D392" s="3">
        <v>45308</v>
      </c>
      <c r="E392" s="2" t="s">
        <v>1803</v>
      </c>
      <c r="F392" t="str">
        <f t="shared" si="66"/>
        <v>yes</v>
      </c>
      <c r="G392">
        <f t="shared" si="67"/>
        <v>70</v>
      </c>
      <c r="H392" t="str">
        <f t="shared" si="68"/>
        <v>Not satisfied with the quality.</v>
      </c>
      <c r="I392" t="str">
        <f t="shared" si="69"/>
        <v>Not satisfied with the quality.</v>
      </c>
      <c r="J392">
        <f t="shared" si="70"/>
        <v>31</v>
      </c>
      <c r="K392" t="str">
        <f t="shared" si="71"/>
        <v>Not satisf</v>
      </c>
      <c r="L392">
        <f t="shared" si="72"/>
        <v>1</v>
      </c>
      <c r="M392">
        <f t="shared" ca="1" si="73"/>
        <v>1010</v>
      </c>
      <c r="N392" t="str">
        <f t="shared" si="74"/>
        <v>WEEKDAY</v>
      </c>
      <c r="O392" t="str">
        <f t="shared" si="75"/>
        <v>17-Jan-2024</v>
      </c>
      <c r="P392" t="str">
        <f t="shared" si="76"/>
        <v>Vivaan Sharma-Laptop</v>
      </c>
    </row>
    <row r="393" spans="1:16" x14ac:dyDescent="0.4">
      <c r="A393" s="2" t="s">
        <v>2195</v>
      </c>
      <c r="B393" s="2" t="s">
        <v>78</v>
      </c>
      <c r="C393" s="2" t="s">
        <v>1809</v>
      </c>
      <c r="D393" s="3">
        <v>45374</v>
      </c>
      <c r="E393" s="2" t="s">
        <v>1797</v>
      </c>
      <c r="F393" t="str">
        <f t="shared" si="66"/>
        <v>yes</v>
      </c>
      <c r="G393">
        <f t="shared" si="67"/>
        <v>70</v>
      </c>
      <c r="H393" t="str">
        <f t="shared" si="68"/>
        <v>Customer support was helpful.</v>
      </c>
      <c r="I393" t="str">
        <f t="shared" si="69"/>
        <v>Customer support was helpful.</v>
      </c>
      <c r="J393">
        <f t="shared" si="70"/>
        <v>29</v>
      </c>
      <c r="K393" t="str">
        <f t="shared" si="71"/>
        <v>Customer s</v>
      </c>
      <c r="L393">
        <f t="shared" si="72"/>
        <v>3</v>
      </c>
      <c r="M393">
        <f t="shared" ca="1" si="73"/>
        <v>944</v>
      </c>
      <c r="N393" t="str">
        <f t="shared" si="74"/>
        <v>WEEKEND</v>
      </c>
      <c r="O393" t="str">
        <f t="shared" si="75"/>
        <v>23-Mar-2024</v>
      </c>
      <c r="P393" t="str">
        <f t="shared" si="76"/>
        <v>Ananya Patel-Mobile</v>
      </c>
    </row>
    <row r="394" spans="1:16" x14ac:dyDescent="0.4">
      <c r="A394" s="2" t="s">
        <v>2196</v>
      </c>
      <c r="B394" s="2" t="s">
        <v>543</v>
      </c>
      <c r="C394" s="2" t="s">
        <v>1815</v>
      </c>
      <c r="D394" s="3">
        <v>45520</v>
      </c>
      <c r="E394" s="2" t="s">
        <v>1794</v>
      </c>
      <c r="F394" t="str">
        <f t="shared" si="66"/>
        <v>yes</v>
      </c>
      <c r="G394">
        <f t="shared" si="67"/>
        <v>70</v>
      </c>
      <c r="H394" t="str">
        <f t="shared" si="68"/>
        <v>Great value for money!</v>
      </c>
      <c r="I394" t="str">
        <f t="shared" si="69"/>
        <v>Great value for money!</v>
      </c>
      <c r="J394">
        <f t="shared" si="70"/>
        <v>22</v>
      </c>
      <c r="K394" t="str">
        <f t="shared" si="71"/>
        <v>Great valu</v>
      </c>
      <c r="L394">
        <f t="shared" si="72"/>
        <v>8</v>
      </c>
      <c r="M394">
        <f t="shared" ca="1" si="73"/>
        <v>798</v>
      </c>
      <c r="N394" t="str">
        <f t="shared" si="74"/>
        <v>WEEKDAY</v>
      </c>
      <c r="O394" t="str">
        <f t="shared" si="75"/>
        <v>16-Aug-2024</v>
      </c>
      <c r="P394" t="str">
        <f t="shared" si="76"/>
        <v>Vivaan Joshi-Smartwatch</v>
      </c>
    </row>
    <row r="395" spans="1:16" x14ac:dyDescent="0.4">
      <c r="A395" s="2" t="s">
        <v>2197</v>
      </c>
      <c r="B395" s="2" t="s">
        <v>117</v>
      </c>
      <c r="C395" s="2" t="s">
        <v>1815</v>
      </c>
      <c r="D395" s="3">
        <v>45520</v>
      </c>
      <c r="E395" s="2" t="s">
        <v>1810</v>
      </c>
      <c r="F395" t="str">
        <f t="shared" si="66"/>
        <v>yes</v>
      </c>
      <c r="G395">
        <f t="shared" si="67"/>
        <v>70</v>
      </c>
      <c r="H395" t="str">
        <f t="shared" si="68"/>
        <v>Great value for money!</v>
      </c>
      <c r="I395" t="str">
        <f t="shared" si="69"/>
        <v>Great value for money!</v>
      </c>
      <c r="J395">
        <f t="shared" si="70"/>
        <v>22</v>
      </c>
      <c r="K395" t="str">
        <f t="shared" si="71"/>
        <v>Great valu</v>
      </c>
      <c r="L395">
        <f t="shared" si="72"/>
        <v>8</v>
      </c>
      <c r="M395">
        <f t="shared" ca="1" si="73"/>
        <v>798</v>
      </c>
      <c r="N395" t="str">
        <f t="shared" si="74"/>
        <v>WEEKDAY</v>
      </c>
      <c r="O395" t="str">
        <f t="shared" si="75"/>
        <v>16-Aug-2024</v>
      </c>
      <c r="P395" t="str">
        <f t="shared" si="76"/>
        <v>Kabir Sharma-Tablet</v>
      </c>
    </row>
    <row r="396" spans="1:16" x14ac:dyDescent="0.4">
      <c r="A396" s="2" t="s">
        <v>2198</v>
      </c>
      <c r="B396" s="2" t="s">
        <v>74</v>
      </c>
      <c r="C396" s="2" t="s">
        <v>1815</v>
      </c>
      <c r="D396" s="3">
        <v>45419</v>
      </c>
      <c r="E396" s="2" t="s">
        <v>1797</v>
      </c>
      <c r="F396" t="str">
        <f t="shared" si="66"/>
        <v>yes</v>
      </c>
      <c r="G396">
        <f t="shared" si="67"/>
        <v>70</v>
      </c>
      <c r="H396" t="str">
        <f t="shared" si="68"/>
        <v>Great value for money!</v>
      </c>
      <c r="I396" t="str">
        <f t="shared" si="69"/>
        <v>Great value for money!</v>
      </c>
      <c r="J396">
        <f t="shared" si="70"/>
        <v>22</v>
      </c>
      <c r="K396" t="str">
        <f t="shared" si="71"/>
        <v>Great valu</v>
      </c>
      <c r="L396">
        <f t="shared" si="72"/>
        <v>5</v>
      </c>
      <c r="M396">
        <f t="shared" ca="1" si="73"/>
        <v>899</v>
      </c>
      <c r="N396" t="str">
        <f t="shared" si="74"/>
        <v>WEEKDAY</v>
      </c>
      <c r="O396" t="str">
        <f t="shared" si="75"/>
        <v>07-May-2024</v>
      </c>
      <c r="P396" t="str">
        <f t="shared" si="76"/>
        <v>Riya Das-Mobile</v>
      </c>
    </row>
    <row r="397" spans="1:16" x14ac:dyDescent="0.4">
      <c r="A397" s="2" t="s">
        <v>2199</v>
      </c>
      <c r="B397" s="2" t="s">
        <v>30</v>
      </c>
      <c r="C397" s="2" t="s">
        <v>1815</v>
      </c>
      <c r="D397" s="3">
        <v>45648</v>
      </c>
      <c r="E397" s="2" t="s">
        <v>1803</v>
      </c>
      <c r="F397" t="str">
        <f t="shared" si="66"/>
        <v>yes</v>
      </c>
      <c r="G397">
        <f t="shared" si="67"/>
        <v>70</v>
      </c>
      <c r="H397" t="str">
        <f t="shared" si="68"/>
        <v>Great value for money!</v>
      </c>
      <c r="I397" t="str">
        <f t="shared" si="69"/>
        <v>Great value for money!</v>
      </c>
      <c r="J397">
        <f t="shared" si="70"/>
        <v>22</v>
      </c>
      <c r="K397" t="str">
        <f t="shared" si="71"/>
        <v>Great valu</v>
      </c>
      <c r="L397">
        <f t="shared" si="72"/>
        <v>12</v>
      </c>
      <c r="M397">
        <f t="shared" ca="1" si="73"/>
        <v>670</v>
      </c>
      <c r="N397" t="str">
        <f t="shared" si="74"/>
        <v>WEEKEND</v>
      </c>
      <c r="O397" t="str">
        <f t="shared" si="75"/>
        <v>22-Dec-2024</v>
      </c>
      <c r="P397" t="str">
        <f t="shared" si="76"/>
        <v>Ananya Reddy-Laptop</v>
      </c>
    </row>
    <row r="398" spans="1:16" x14ac:dyDescent="0.4">
      <c r="A398" s="2" t="s">
        <v>2200</v>
      </c>
      <c r="B398" s="2" t="s">
        <v>70</v>
      </c>
      <c r="C398" s="2" t="s">
        <v>1815</v>
      </c>
      <c r="D398" s="3">
        <v>45444</v>
      </c>
      <c r="E398" s="2" t="s">
        <v>1794</v>
      </c>
      <c r="F398" t="str">
        <f t="shared" si="66"/>
        <v>yes</v>
      </c>
      <c r="G398">
        <f t="shared" si="67"/>
        <v>70</v>
      </c>
      <c r="H398" t="str">
        <f t="shared" si="68"/>
        <v>Great value for money!</v>
      </c>
      <c r="I398" t="str">
        <f t="shared" si="69"/>
        <v>Great value for money!</v>
      </c>
      <c r="J398">
        <f t="shared" si="70"/>
        <v>22</v>
      </c>
      <c r="K398" t="str">
        <f t="shared" si="71"/>
        <v>Great valu</v>
      </c>
      <c r="L398">
        <f t="shared" si="72"/>
        <v>6</v>
      </c>
      <c r="M398">
        <f t="shared" ca="1" si="73"/>
        <v>874</v>
      </c>
      <c r="N398" t="str">
        <f t="shared" si="74"/>
        <v>WEEKEND</v>
      </c>
      <c r="O398" t="str">
        <f t="shared" si="75"/>
        <v>01-Jun-2024</v>
      </c>
      <c r="P398" t="str">
        <f t="shared" si="76"/>
        <v>Vivaan Khan-Smartwatch</v>
      </c>
    </row>
    <row r="399" spans="1:16" x14ac:dyDescent="0.4">
      <c r="A399" s="2" t="s">
        <v>2201</v>
      </c>
      <c r="B399" s="2" t="s">
        <v>885</v>
      </c>
      <c r="C399" s="2" t="s">
        <v>1815</v>
      </c>
      <c r="D399" s="3">
        <v>45483</v>
      </c>
      <c r="E399" s="2" t="s">
        <v>1794</v>
      </c>
      <c r="F399" t="str">
        <f t="shared" si="66"/>
        <v>yes</v>
      </c>
      <c r="G399">
        <f t="shared" si="67"/>
        <v>70</v>
      </c>
      <c r="H399" t="str">
        <f t="shared" si="68"/>
        <v>Great value for money!</v>
      </c>
      <c r="I399" t="str">
        <f t="shared" si="69"/>
        <v>Great value for money!</v>
      </c>
      <c r="J399">
        <f t="shared" si="70"/>
        <v>22</v>
      </c>
      <c r="K399" t="str">
        <f t="shared" si="71"/>
        <v>Great valu</v>
      </c>
      <c r="L399">
        <f t="shared" si="72"/>
        <v>7</v>
      </c>
      <c r="M399">
        <f t="shared" ca="1" si="73"/>
        <v>835</v>
      </c>
      <c r="N399" t="str">
        <f t="shared" si="74"/>
        <v>WEEKDAY</v>
      </c>
      <c r="O399" t="str">
        <f t="shared" si="75"/>
        <v>10-Jul-2024</v>
      </c>
      <c r="P399" t="str">
        <f t="shared" si="76"/>
        <v>Vivaan Gupta-Smartwatch</v>
      </c>
    </row>
    <row r="400" spans="1:16" x14ac:dyDescent="0.4">
      <c r="A400" s="2" t="s">
        <v>2202</v>
      </c>
      <c r="B400" s="2" t="s">
        <v>1087</v>
      </c>
      <c r="C400" s="2" t="s">
        <v>1799</v>
      </c>
      <c r="D400" s="3">
        <v>45442</v>
      </c>
      <c r="E400" s="2" t="s">
        <v>1800</v>
      </c>
      <c r="F400" t="str">
        <f t="shared" si="66"/>
        <v>yes</v>
      </c>
      <c r="G400">
        <f t="shared" si="67"/>
        <v>70</v>
      </c>
      <c r="H400" t="str">
        <f t="shared" si="68"/>
        <v>Not satisfied with the quality.</v>
      </c>
      <c r="I400" t="str">
        <f t="shared" si="69"/>
        <v>Not satisfied with the quality.</v>
      </c>
      <c r="J400">
        <f t="shared" si="70"/>
        <v>31</v>
      </c>
      <c r="K400" t="str">
        <f t="shared" si="71"/>
        <v>Not satisf</v>
      </c>
      <c r="L400">
        <f t="shared" si="72"/>
        <v>5</v>
      </c>
      <c r="M400">
        <f t="shared" ca="1" si="73"/>
        <v>876</v>
      </c>
      <c r="N400" t="str">
        <f t="shared" si="74"/>
        <v>WEEKDAY</v>
      </c>
      <c r="O400" t="str">
        <f t="shared" si="75"/>
        <v>30-May-2024</v>
      </c>
      <c r="P400" t="str">
        <f t="shared" si="76"/>
        <v>Vivaan Sharma-Camera</v>
      </c>
    </row>
    <row r="401" spans="1:16" x14ac:dyDescent="0.4">
      <c r="A401" s="2" t="s">
        <v>2203</v>
      </c>
      <c r="B401" s="2" t="s">
        <v>66</v>
      </c>
      <c r="C401" s="2" t="s">
        <v>1815</v>
      </c>
      <c r="D401" s="3">
        <v>45641</v>
      </c>
      <c r="E401" s="2" t="s">
        <v>1800</v>
      </c>
      <c r="F401" t="str">
        <f t="shared" si="66"/>
        <v>yes</v>
      </c>
      <c r="G401">
        <f t="shared" si="67"/>
        <v>70</v>
      </c>
      <c r="H401" t="str">
        <f t="shared" si="68"/>
        <v>Great value for money!</v>
      </c>
      <c r="I401" t="str">
        <f t="shared" si="69"/>
        <v>Great value for money!</v>
      </c>
      <c r="J401">
        <f t="shared" si="70"/>
        <v>22</v>
      </c>
      <c r="K401" t="str">
        <f t="shared" si="71"/>
        <v>Great valu</v>
      </c>
      <c r="L401">
        <f t="shared" si="72"/>
        <v>12</v>
      </c>
      <c r="M401">
        <f t="shared" ca="1" si="73"/>
        <v>677</v>
      </c>
      <c r="N401" t="str">
        <f t="shared" si="74"/>
        <v>WEEKEND</v>
      </c>
      <c r="O401" t="str">
        <f t="shared" si="75"/>
        <v>15-Dec-2024</v>
      </c>
      <c r="P401" t="str">
        <f t="shared" si="76"/>
        <v>Aarav Khan-Camera</v>
      </c>
    </row>
    <row r="402" spans="1:16" x14ac:dyDescent="0.4">
      <c r="A402" s="2" t="s">
        <v>2204</v>
      </c>
      <c r="B402" s="2" t="s">
        <v>153</v>
      </c>
      <c r="C402" s="2" t="s">
        <v>1809</v>
      </c>
      <c r="D402" s="3">
        <v>45474</v>
      </c>
      <c r="E402" s="2" t="s">
        <v>1820</v>
      </c>
      <c r="F402" t="str">
        <f t="shared" si="66"/>
        <v>yes</v>
      </c>
      <c r="G402">
        <f t="shared" si="67"/>
        <v>70</v>
      </c>
      <c r="H402" t="str">
        <f t="shared" si="68"/>
        <v>Customer support was helpful.</v>
      </c>
      <c r="I402" t="str">
        <f t="shared" si="69"/>
        <v>Customer support was helpful.</v>
      </c>
      <c r="J402">
        <f t="shared" si="70"/>
        <v>29</v>
      </c>
      <c r="K402" t="str">
        <f t="shared" si="71"/>
        <v>Customer s</v>
      </c>
      <c r="L402">
        <f t="shared" si="72"/>
        <v>7</v>
      </c>
      <c r="M402">
        <f t="shared" ca="1" si="73"/>
        <v>844</v>
      </c>
      <c r="N402" t="str">
        <f t="shared" si="74"/>
        <v>WEEKDAY</v>
      </c>
      <c r="O402" t="str">
        <f t="shared" si="75"/>
        <v>01-Jul-2024</v>
      </c>
      <c r="P402" t="str">
        <f t="shared" si="76"/>
        <v>Kabir Patel-Printer</v>
      </c>
    </row>
    <row r="403" spans="1:16" x14ac:dyDescent="0.4">
      <c r="A403" s="2" t="s">
        <v>2205</v>
      </c>
      <c r="B403" s="2" t="s">
        <v>86</v>
      </c>
      <c r="C403" s="2" t="s">
        <v>1799</v>
      </c>
      <c r="D403" s="3">
        <v>45523</v>
      </c>
      <c r="E403" s="2" t="s">
        <v>1810</v>
      </c>
      <c r="F403" t="str">
        <f t="shared" si="66"/>
        <v>yes</v>
      </c>
      <c r="G403">
        <f t="shared" si="67"/>
        <v>70</v>
      </c>
      <c r="H403" t="str">
        <f t="shared" si="68"/>
        <v>Not satisfied with the quality.</v>
      </c>
      <c r="I403" t="str">
        <f t="shared" si="69"/>
        <v>Not satisfied with the quality.</v>
      </c>
      <c r="J403">
        <f t="shared" si="70"/>
        <v>31</v>
      </c>
      <c r="K403" t="str">
        <f t="shared" si="71"/>
        <v>Not satisf</v>
      </c>
      <c r="L403">
        <f t="shared" si="72"/>
        <v>8</v>
      </c>
      <c r="M403">
        <f t="shared" ca="1" si="73"/>
        <v>795</v>
      </c>
      <c r="N403" t="str">
        <f t="shared" si="74"/>
        <v>WEEKDAY</v>
      </c>
      <c r="O403" t="str">
        <f t="shared" si="75"/>
        <v>19-Aug-2024</v>
      </c>
      <c r="P403" t="str">
        <f t="shared" si="76"/>
        <v>Kabir Singh-Tablet</v>
      </c>
    </row>
    <row r="404" spans="1:16" x14ac:dyDescent="0.4">
      <c r="A404" s="2" t="s">
        <v>2206</v>
      </c>
      <c r="B404" s="2" t="s">
        <v>107</v>
      </c>
      <c r="C404" s="2" t="s">
        <v>1815</v>
      </c>
      <c r="D404" s="3">
        <v>45524</v>
      </c>
      <c r="E404" s="2" t="s">
        <v>1803</v>
      </c>
      <c r="F404" t="str">
        <f t="shared" si="66"/>
        <v>yes</v>
      </c>
      <c r="G404">
        <f t="shared" si="67"/>
        <v>70</v>
      </c>
      <c r="H404" t="str">
        <f t="shared" si="68"/>
        <v>Great value for money!</v>
      </c>
      <c r="I404" t="str">
        <f t="shared" si="69"/>
        <v>Great value for money!</v>
      </c>
      <c r="J404">
        <f t="shared" si="70"/>
        <v>22</v>
      </c>
      <c r="K404" t="str">
        <f t="shared" si="71"/>
        <v>Great valu</v>
      </c>
      <c r="L404">
        <f t="shared" si="72"/>
        <v>8</v>
      </c>
      <c r="M404">
        <f t="shared" ca="1" si="73"/>
        <v>794</v>
      </c>
      <c r="N404" t="str">
        <f t="shared" si="74"/>
        <v>WEEKDAY</v>
      </c>
      <c r="O404" t="str">
        <f t="shared" si="75"/>
        <v>20-Aug-2024</v>
      </c>
      <c r="P404" t="str">
        <f t="shared" si="76"/>
        <v>Arjun Mehta-Laptop</v>
      </c>
    </row>
    <row r="405" spans="1:16" x14ac:dyDescent="0.4">
      <c r="A405" s="2" t="s">
        <v>2207</v>
      </c>
      <c r="B405" s="2" t="s">
        <v>125</v>
      </c>
      <c r="C405" s="2" t="s">
        <v>1815</v>
      </c>
      <c r="D405" s="3">
        <v>45521</v>
      </c>
      <c r="E405" s="2" t="s">
        <v>1794</v>
      </c>
      <c r="F405" t="str">
        <f t="shared" si="66"/>
        <v>yes</v>
      </c>
      <c r="G405">
        <f t="shared" si="67"/>
        <v>70</v>
      </c>
      <c r="H405" t="str">
        <f t="shared" si="68"/>
        <v>Great value for money!</v>
      </c>
      <c r="I405" t="str">
        <f t="shared" si="69"/>
        <v>Great value for money!</v>
      </c>
      <c r="J405">
        <f t="shared" si="70"/>
        <v>22</v>
      </c>
      <c r="K405" t="str">
        <f t="shared" si="71"/>
        <v>Great valu</v>
      </c>
      <c r="L405">
        <f t="shared" si="72"/>
        <v>8</v>
      </c>
      <c r="M405">
        <f t="shared" ca="1" si="73"/>
        <v>797</v>
      </c>
      <c r="N405" t="str">
        <f t="shared" si="74"/>
        <v>WEEKEND</v>
      </c>
      <c r="O405" t="str">
        <f t="shared" si="75"/>
        <v>17-Aug-2024</v>
      </c>
      <c r="P405" t="str">
        <f t="shared" si="76"/>
        <v>Riya Sharma-Smartwatch</v>
      </c>
    </row>
    <row r="406" spans="1:16" x14ac:dyDescent="0.4">
      <c r="A406" s="2" t="s">
        <v>2208</v>
      </c>
      <c r="B406" s="2" t="s">
        <v>385</v>
      </c>
      <c r="C406" s="2" t="s">
        <v>1796</v>
      </c>
      <c r="D406" s="3">
        <v>45348</v>
      </c>
      <c r="E406" s="2" t="s">
        <v>1803</v>
      </c>
      <c r="F406" t="str">
        <f t="shared" si="66"/>
        <v>yes</v>
      </c>
      <c r="G406">
        <f t="shared" si="67"/>
        <v>70</v>
      </c>
      <c r="H406" t="str">
        <f t="shared" si="68"/>
        <v>Delivery was late but product is good.</v>
      </c>
      <c r="I406" t="str">
        <f t="shared" si="69"/>
        <v>Delivery was delayed but product is good.</v>
      </c>
      <c r="J406">
        <f t="shared" si="70"/>
        <v>41</v>
      </c>
      <c r="K406" t="str">
        <f t="shared" si="71"/>
        <v>Delivery w</v>
      </c>
      <c r="L406">
        <f t="shared" si="72"/>
        <v>2</v>
      </c>
      <c r="M406">
        <f t="shared" ca="1" si="73"/>
        <v>970</v>
      </c>
      <c r="N406" t="str">
        <f t="shared" si="74"/>
        <v>WEEKDAY</v>
      </c>
      <c r="O406" t="str">
        <f t="shared" si="75"/>
        <v>26-Feb-2024</v>
      </c>
      <c r="P406" t="str">
        <f t="shared" si="76"/>
        <v>Diya Nair-Laptop</v>
      </c>
    </row>
    <row r="407" spans="1:16" x14ac:dyDescent="0.4">
      <c r="A407" s="2" t="s">
        <v>2209</v>
      </c>
      <c r="B407" s="2" t="s">
        <v>35</v>
      </c>
      <c r="C407" s="2" t="s">
        <v>1815</v>
      </c>
      <c r="D407" s="3">
        <v>45319</v>
      </c>
      <c r="E407" s="2" t="s">
        <v>1800</v>
      </c>
      <c r="F407" t="str">
        <f t="shared" si="66"/>
        <v>yes</v>
      </c>
      <c r="G407">
        <f t="shared" si="67"/>
        <v>70</v>
      </c>
      <c r="H407" t="str">
        <f t="shared" si="68"/>
        <v>Great value for money!</v>
      </c>
      <c r="I407" t="str">
        <f t="shared" si="69"/>
        <v>Great value for money!</v>
      </c>
      <c r="J407">
        <f t="shared" si="70"/>
        <v>22</v>
      </c>
      <c r="K407" t="str">
        <f t="shared" si="71"/>
        <v>Great valu</v>
      </c>
      <c r="L407">
        <f t="shared" si="72"/>
        <v>1</v>
      </c>
      <c r="M407">
        <f t="shared" ca="1" si="73"/>
        <v>999</v>
      </c>
      <c r="N407" t="str">
        <f t="shared" si="74"/>
        <v>WEEKEND</v>
      </c>
      <c r="O407" t="str">
        <f t="shared" si="75"/>
        <v>28-Jan-2024</v>
      </c>
      <c r="P407" t="str">
        <f t="shared" si="76"/>
        <v>Isha Das-Camera</v>
      </c>
    </row>
    <row r="408" spans="1:16" x14ac:dyDescent="0.4">
      <c r="A408" s="2" t="s">
        <v>2210</v>
      </c>
      <c r="B408" s="2" t="s">
        <v>299</v>
      </c>
      <c r="C408" s="2" t="s">
        <v>1793</v>
      </c>
      <c r="D408" s="3">
        <v>45488</v>
      </c>
      <c r="E408" s="2" t="s">
        <v>1810</v>
      </c>
      <c r="F408" t="str">
        <f t="shared" si="66"/>
        <v>yes</v>
      </c>
      <c r="G408">
        <f t="shared" si="67"/>
        <v>70</v>
      </c>
      <c r="H408" t="str">
        <f t="shared" si="68"/>
        <v>Received damaged item, requested replacement.</v>
      </c>
      <c r="I408" t="str">
        <f t="shared" si="69"/>
        <v>Received damaged item, requested replacement.</v>
      </c>
      <c r="J408">
        <f t="shared" si="70"/>
        <v>45</v>
      </c>
      <c r="K408" t="str">
        <f t="shared" si="71"/>
        <v>Received d</v>
      </c>
      <c r="L408">
        <f t="shared" si="72"/>
        <v>7</v>
      </c>
      <c r="M408">
        <f t="shared" ca="1" si="73"/>
        <v>830</v>
      </c>
      <c r="N408" t="str">
        <f t="shared" si="74"/>
        <v>WEEKDAY</v>
      </c>
      <c r="O408" t="str">
        <f t="shared" si="75"/>
        <v>15-Jul-2024</v>
      </c>
      <c r="P408" t="str">
        <f t="shared" si="76"/>
        <v>Aditya Khan-Tablet</v>
      </c>
    </row>
    <row r="409" spans="1:16" x14ac:dyDescent="0.4">
      <c r="A409" s="2" t="s">
        <v>2211</v>
      </c>
      <c r="B409" s="2" t="s">
        <v>137</v>
      </c>
      <c r="C409" s="2" t="s">
        <v>1815</v>
      </c>
      <c r="D409" s="3">
        <v>45456</v>
      </c>
      <c r="E409" s="2" t="s">
        <v>1797</v>
      </c>
      <c r="F409" t="str">
        <f t="shared" si="66"/>
        <v>yes</v>
      </c>
      <c r="G409">
        <f t="shared" si="67"/>
        <v>70</v>
      </c>
      <c r="H409" t="str">
        <f t="shared" si="68"/>
        <v>Great value for money!</v>
      </c>
      <c r="I409" t="str">
        <f t="shared" si="69"/>
        <v>Great value for money!</v>
      </c>
      <c r="J409">
        <f t="shared" si="70"/>
        <v>22</v>
      </c>
      <c r="K409" t="str">
        <f t="shared" si="71"/>
        <v>Great valu</v>
      </c>
      <c r="L409">
        <f t="shared" si="72"/>
        <v>6</v>
      </c>
      <c r="M409">
        <f t="shared" ca="1" si="73"/>
        <v>862</v>
      </c>
      <c r="N409" t="str">
        <f t="shared" si="74"/>
        <v>WEEKDAY</v>
      </c>
      <c r="O409" t="str">
        <f t="shared" si="75"/>
        <v>13-Jun-2024</v>
      </c>
      <c r="P409" t="str">
        <f t="shared" si="76"/>
        <v>Aditya Singh-Mobile</v>
      </c>
    </row>
    <row r="410" spans="1:16" x14ac:dyDescent="0.4">
      <c r="A410" s="2" t="s">
        <v>2212</v>
      </c>
      <c r="B410" s="2" t="s">
        <v>267</v>
      </c>
      <c r="C410" s="2" t="s">
        <v>1799</v>
      </c>
      <c r="D410" s="3">
        <v>45318</v>
      </c>
      <c r="E410" s="2" t="s">
        <v>1810</v>
      </c>
      <c r="F410" t="str">
        <f t="shared" si="66"/>
        <v>yes</v>
      </c>
      <c r="G410">
        <f t="shared" si="67"/>
        <v>70</v>
      </c>
      <c r="H410" t="str">
        <f t="shared" si="68"/>
        <v>Not satisfied with the quality.</v>
      </c>
      <c r="I410" t="str">
        <f t="shared" si="69"/>
        <v>Not satisfied with the quality.</v>
      </c>
      <c r="J410">
        <f t="shared" si="70"/>
        <v>31</v>
      </c>
      <c r="K410" t="str">
        <f t="shared" si="71"/>
        <v>Not satisf</v>
      </c>
      <c r="L410">
        <f t="shared" si="72"/>
        <v>1</v>
      </c>
      <c r="M410">
        <f t="shared" ca="1" si="73"/>
        <v>1000</v>
      </c>
      <c r="N410" t="str">
        <f t="shared" si="74"/>
        <v>WEEKEND</v>
      </c>
      <c r="O410" t="str">
        <f t="shared" si="75"/>
        <v>27-Jan-2024</v>
      </c>
      <c r="P410" t="str">
        <f t="shared" si="76"/>
        <v>Diya Mehta-Tablet</v>
      </c>
    </row>
    <row r="411" spans="1:16" x14ac:dyDescent="0.4">
      <c r="A411" s="2" t="s">
        <v>2213</v>
      </c>
      <c r="B411" s="2" t="s">
        <v>191</v>
      </c>
      <c r="C411" s="2" t="s">
        <v>1796</v>
      </c>
      <c r="D411" s="3">
        <v>45447</v>
      </c>
      <c r="E411" s="2" t="s">
        <v>1820</v>
      </c>
      <c r="F411" t="str">
        <f t="shared" si="66"/>
        <v>yes</v>
      </c>
      <c r="G411">
        <f t="shared" si="67"/>
        <v>70</v>
      </c>
      <c r="H411" t="str">
        <f t="shared" si="68"/>
        <v>Delivery was late but product is good.</v>
      </c>
      <c r="I411" t="str">
        <f t="shared" si="69"/>
        <v>Delivery was delayed but product is good.</v>
      </c>
      <c r="J411">
        <f t="shared" si="70"/>
        <v>41</v>
      </c>
      <c r="K411" t="str">
        <f t="shared" si="71"/>
        <v>Delivery w</v>
      </c>
      <c r="L411">
        <f t="shared" si="72"/>
        <v>6</v>
      </c>
      <c r="M411">
        <f t="shared" ca="1" si="73"/>
        <v>871</v>
      </c>
      <c r="N411" t="str">
        <f t="shared" si="74"/>
        <v>WEEKDAY</v>
      </c>
      <c r="O411" t="str">
        <f t="shared" si="75"/>
        <v>04-Jun-2024</v>
      </c>
      <c r="P411" t="str">
        <f t="shared" si="76"/>
        <v>Kabir Gupta-Printer</v>
      </c>
    </row>
    <row r="412" spans="1:16" x14ac:dyDescent="0.4">
      <c r="A412" s="2" t="s">
        <v>2214</v>
      </c>
      <c r="B412" s="2" t="s">
        <v>217</v>
      </c>
      <c r="C412" s="2" t="s">
        <v>1799</v>
      </c>
      <c r="D412" s="3">
        <v>45295</v>
      </c>
      <c r="E412" s="2" t="s">
        <v>1800</v>
      </c>
      <c r="F412" t="str">
        <f t="shared" si="66"/>
        <v>yes</v>
      </c>
      <c r="G412">
        <f t="shared" si="67"/>
        <v>70</v>
      </c>
      <c r="H412" t="str">
        <f t="shared" si="68"/>
        <v>Not satisfied with the quality.</v>
      </c>
      <c r="I412" t="str">
        <f t="shared" si="69"/>
        <v>Not satisfied with the quality.</v>
      </c>
      <c r="J412">
        <f t="shared" si="70"/>
        <v>31</v>
      </c>
      <c r="K412" t="str">
        <f t="shared" si="71"/>
        <v>Not satisf</v>
      </c>
      <c r="L412">
        <f t="shared" si="72"/>
        <v>1</v>
      </c>
      <c r="M412">
        <f t="shared" ca="1" si="73"/>
        <v>1023</v>
      </c>
      <c r="N412" t="str">
        <f t="shared" si="74"/>
        <v>WEEKDAY</v>
      </c>
      <c r="O412" t="str">
        <f t="shared" si="75"/>
        <v>04-Jan-2024</v>
      </c>
      <c r="P412" t="str">
        <f t="shared" si="76"/>
        <v>Meera Gupta-Camera</v>
      </c>
    </row>
    <row r="413" spans="1:16" x14ac:dyDescent="0.4">
      <c r="A413" s="2" t="s">
        <v>2215</v>
      </c>
      <c r="B413" s="2" t="s">
        <v>191</v>
      </c>
      <c r="C413" s="2" t="s">
        <v>1799</v>
      </c>
      <c r="D413" s="3">
        <v>45546</v>
      </c>
      <c r="E413" s="2" t="s">
        <v>1797</v>
      </c>
      <c r="F413" t="str">
        <f t="shared" si="66"/>
        <v>yes</v>
      </c>
      <c r="G413">
        <f t="shared" si="67"/>
        <v>70</v>
      </c>
      <c r="H413" t="str">
        <f t="shared" si="68"/>
        <v>Not satisfied with the quality.</v>
      </c>
      <c r="I413" t="str">
        <f t="shared" si="69"/>
        <v>Not satisfied with the quality.</v>
      </c>
      <c r="J413">
        <f t="shared" si="70"/>
        <v>31</v>
      </c>
      <c r="K413" t="str">
        <f t="shared" si="71"/>
        <v>Not satisf</v>
      </c>
      <c r="L413">
        <f t="shared" si="72"/>
        <v>9</v>
      </c>
      <c r="M413">
        <f t="shared" ca="1" si="73"/>
        <v>772</v>
      </c>
      <c r="N413" t="str">
        <f t="shared" si="74"/>
        <v>WEEKDAY</v>
      </c>
      <c r="O413" t="str">
        <f t="shared" si="75"/>
        <v>11-Sep-2024</v>
      </c>
      <c r="P413" t="str">
        <f t="shared" si="76"/>
        <v>Kabir Gupta-Mobile</v>
      </c>
    </row>
    <row r="414" spans="1:16" x14ac:dyDescent="0.4">
      <c r="A414" s="2" t="s">
        <v>2216</v>
      </c>
      <c r="B414" s="2" t="s">
        <v>103</v>
      </c>
      <c r="C414" s="2" t="s">
        <v>1796</v>
      </c>
      <c r="D414" s="3">
        <v>45385</v>
      </c>
      <c r="E414" s="2" t="s">
        <v>1797</v>
      </c>
      <c r="F414" t="str">
        <f t="shared" si="66"/>
        <v>yes</v>
      </c>
      <c r="G414">
        <f t="shared" si="67"/>
        <v>70</v>
      </c>
      <c r="H414" t="str">
        <f t="shared" si="68"/>
        <v>Delivery was late but product is good.</v>
      </c>
      <c r="I414" t="str">
        <f t="shared" si="69"/>
        <v>Delivery was delayed but product is good.</v>
      </c>
      <c r="J414">
        <f t="shared" si="70"/>
        <v>41</v>
      </c>
      <c r="K414" t="str">
        <f t="shared" si="71"/>
        <v>Delivery w</v>
      </c>
      <c r="L414">
        <f t="shared" si="72"/>
        <v>4</v>
      </c>
      <c r="M414">
        <f t="shared" ca="1" si="73"/>
        <v>933</v>
      </c>
      <c r="N414" t="str">
        <f t="shared" si="74"/>
        <v>WEEKDAY</v>
      </c>
      <c r="O414" t="str">
        <f t="shared" si="75"/>
        <v>03-Apr-2024</v>
      </c>
      <c r="P414" t="str">
        <f t="shared" si="76"/>
        <v>Diya Das-Mobile</v>
      </c>
    </row>
    <row r="415" spans="1:16" x14ac:dyDescent="0.4">
      <c r="A415" s="2" t="s">
        <v>2217</v>
      </c>
      <c r="B415" s="2" t="s">
        <v>74</v>
      </c>
      <c r="C415" s="2" t="s">
        <v>1815</v>
      </c>
      <c r="D415" s="3">
        <v>45412</v>
      </c>
      <c r="E415" s="2" t="s">
        <v>1803</v>
      </c>
      <c r="F415" t="str">
        <f t="shared" si="66"/>
        <v>yes</v>
      </c>
      <c r="G415">
        <f t="shared" si="67"/>
        <v>70</v>
      </c>
      <c r="H415" t="str">
        <f t="shared" si="68"/>
        <v>Great value for money!</v>
      </c>
      <c r="I415" t="str">
        <f t="shared" si="69"/>
        <v>Great value for money!</v>
      </c>
      <c r="J415">
        <f t="shared" si="70"/>
        <v>22</v>
      </c>
      <c r="K415" t="str">
        <f t="shared" si="71"/>
        <v>Great valu</v>
      </c>
      <c r="L415">
        <f t="shared" si="72"/>
        <v>4</v>
      </c>
      <c r="M415">
        <f t="shared" ca="1" si="73"/>
        <v>906</v>
      </c>
      <c r="N415" t="str">
        <f t="shared" si="74"/>
        <v>WEEKDAY</v>
      </c>
      <c r="O415" t="str">
        <f t="shared" si="75"/>
        <v>30-Apr-2024</v>
      </c>
      <c r="P415" t="str">
        <f t="shared" si="76"/>
        <v>Riya Das-Laptop</v>
      </c>
    </row>
    <row r="416" spans="1:16" x14ac:dyDescent="0.4">
      <c r="A416" s="2" t="s">
        <v>2218</v>
      </c>
      <c r="B416" s="2" t="s">
        <v>177</v>
      </c>
      <c r="C416" s="2" t="s">
        <v>1809</v>
      </c>
      <c r="D416" s="3">
        <v>45382</v>
      </c>
      <c r="E416" s="2" t="s">
        <v>1797</v>
      </c>
      <c r="F416" t="str">
        <f t="shared" si="66"/>
        <v>yes</v>
      </c>
      <c r="G416">
        <f t="shared" si="67"/>
        <v>70</v>
      </c>
      <c r="H416" t="str">
        <f t="shared" si="68"/>
        <v>Customer support was helpful.</v>
      </c>
      <c r="I416" t="str">
        <f t="shared" si="69"/>
        <v>Customer support was helpful.</v>
      </c>
      <c r="J416">
        <f t="shared" si="70"/>
        <v>29</v>
      </c>
      <c r="K416" t="str">
        <f t="shared" si="71"/>
        <v>Customer s</v>
      </c>
      <c r="L416">
        <f t="shared" si="72"/>
        <v>3</v>
      </c>
      <c r="M416">
        <f t="shared" ca="1" si="73"/>
        <v>936</v>
      </c>
      <c r="N416" t="str">
        <f t="shared" si="74"/>
        <v>WEEKEND</v>
      </c>
      <c r="O416" t="str">
        <f t="shared" si="75"/>
        <v>31-Mar-2024</v>
      </c>
      <c r="P416" t="str">
        <f t="shared" si="76"/>
        <v>Riya Gupta-Mobile</v>
      </c>
    </row>
    <row r="417" spans="1:16" x14ac:dyDescent="0.4">
      <c r="A417" s="2" t="s">
        <v>2219</v>
      </c>
      <c r="B417" s="2" t="s">
        <v>317</v>
      </c>
      <c r="C417" s="2" t="s">
        <v>1799</v>
      </c>
      <c r="D417" s="3">
        <v>45520</v>
      </c>
      <c r="E417" s="2" t="s">
        <v>1794</v>
      </c>
      <c r="F417" t="str">
        <f t="shared" si="66"/>
        <v>yes</v>
      </c>
      <c r="G417">
        <f t="shared" si="67"/>
        <v>70</v>
      </c>
      <c r="H417" t="str">
        <f t="shared" si="68"/>
        <v>Not satisfied with the quality.</v>
      </c>
      <c r="I417" t="str">
        <f t="shared" si="69"/>
        <v>Not satisfied with the quality.</v>
      </c>
      <c r="J417">
        <f t="shared" si="70"/>
        <v>31</v>
      </c>
      <c r="K417" t="str">
        <f t="shared" si="71"/>
        <v>Not satisf</v>
      </c>
      <c r="L417">
        <f t="shared" si="72"/>
        <v>8</v>
      </c>
      <c r="M417">
        <f t="shared" ca="1" si="73"/>
        <v>798</v>
      </c>
      <c r="N417" t="str">
        <f t="shared" si="74"/>
        <v>WEEKDAY</v>
      </c>
      <c r="O417" t="str">
        <f t="shared" si="75"/>
        <v>16-Aug-2024</v>
      </c>
      <c r="P417" t="str">
        <f t="shared" si="76"/>
        <v>Aditya Reddy-Smartwatch</v>
      </c>
    </row>
    <row r="418" spans="1:16" x14ac:dyDescent="0.4">
      <c r="A418" s="2" t="s">
        <v>2220</v>
      </c>
      <c r="B418" s="2" t="s">
        <v>395</v>
      </c>
      <c r="C418" s="2" t="s">
        <v>1796</v>
      </c>
      <c r="D418" s="3">
        <v>45379</v>
      </c>
      <c r="E418" s="2" t="s">
        <v>1797</v>
      </c>
      <c r="F418" t="str">
        <f t="shared" si="66"/>
        <v>yes</v>
      </c>
      <c r="G418">
        <f t="shared" si="67"/>
        <v>70</v>
      </c>
      <c r="H418" t="str">
        <f t="shared" si="68"/>
        <v>Delivery was late but product is good.</v>
      </c>
      <c r="I418" t="str">
        <f t="shared" si="69"/>
        <v>Delivery was delayed but product is good.</v>
      </c>
      <c r="J418">
        <f t="shared" si="70"/>
        <v>41</v>
      </c>
      <c r="K418" t="str">
        <f t="shared" si="71"/>
        <v>Delivery w</v>
      </c>
      <c r="L418">
        <f t="shared" si="72"/>
        <v>3</v>
      </c>
      <c r="M418">
        <f t="shared" ca="1" si="73"/>
        <v>939</v>
      </c>
      <c r="N418" t="str">
        <f t="shared" si="74"/>
        <v>WEEKDAY</v>
      </c>
      <c r="O418" t="str">
        <f t="shared" si="75"/>
        <v>28-Mar-2024</v>
      </c>
      <c r="P418" t="str">
        <f t="shared" si="76"/>
        <v>Riya Nair-Mobile</v>
      </c>
    </row>
    <row r="419" spans="1:16" x14ac:dyDescent="0.4">
      <c r="A419" s="2" t="s">
        <v>2221</v>
      </c>
      <c r="B419" s="2" t="s">
        <v>641</v>
      </c>
      <c r="C419" s="2" t="s">
        <v>1796</v>
      </c>
      <c r="D419" s="3">
        <v>45393</v>
      </c>
      <c r="E419" s="2" t="s">
        <v>1803</v>
      </c>
      <c r="F419" t="str">
        <f t="shared" si="66"/>
        <v>yes</v>
      </c>
      <c r="G419">
        <f t="shared" si="67"/>
        <v>70</v>
      </c>
      <c r="H419" t="str">
        <f t="shared" si="68"/>
        <v>Delivery was late but product is good.</v>
      </c>
      <c r="I419" t="str">
        <f t="shared" si="69"/>
        <v>Delivery was delayed but product is good.</v>
      </c>
      <c r="J419">
        <f t="shared" si="70"/>
        <v>41</v>
      </c>
      <c r="K419" t="str">
        <f t="shared" si="71"/>
        <v>Delivery w</v>
      </c>
      <c r="L419">
        <f t="shared" si="72"/>
        <v>4</v>
      </c>
      <c r="M419">
        <f t="shared" ca="1" si="73"/>
        <v>925</v>
      </c>
      <c r="N419" t="str">
        <f t="shared" si="74"/>
        <v>WEEKDAY</v>
      </c>
      <c r="O419" t="str">
        <f t="shared" si="75"/>
        <v>11-Apr-2024</v>
      </c>
      <c r="P419" t="str">
        <f t="shared" si="76"/>
        <v>Aarav Mehta-Laptop</v>
      </c>
    </row>
    <row r="420" spans="1:16" x14ac:dyDescent="0.4">
      <c r="A420" s="2" t="s">
        <v>2222</v>
      </c>
      <c r="B420" s="2" t="s">
        <v>359</v>
      </c>
      <c r="C420" s="2" t="s">
        <v>1809</v>
      </c>
      <c r="D420" s="3">
        <v>45505</v>
      </c>
      <c r="E420" s="2" t="s">
        <v>1820</v>
      </c>
      <c r="F420" t="str">
        <f t="shared" si="66"/>
        <v>yes</v>
      </c>
      <c r="G420">
        <f t="shared" si="67"/>
        <v>70</v>
      </c>
      <c r="H420" t="str">
        <f t="shared" si="68"/>
        <v>Customer support was helpful.</v>
      </c>
      <c r="I420" t="str">
        <f t="shared" si="69"/>
        <v>Customer support was helpful.</v>
      </c>
      <c r="J420">
        <f t="shared" si="70"/>
        <v>29</v>
      </c>
      <c r="K420" t="str">
        <f t="shared" si="71"/>
        <v>Customer s</v>
      </c>
      <c r="L420">
        <f t="shared" si="72"/>
        <v>8</v>
      </c>
      <c r="M420">
        <f t="shared" ca="1" si="73"/>
        <v>813</v>
      </c>
      <c r="N420" t="str">
        <f t="shared" si="74"/>
        <v>WEEKDAY</v>
      </c>
      <c r="O420" t="str">
        <f t="shared" si="75"/>
        <v>01-Aug-2024</v>
      </c>
      <c r="P420" t="str">
        <f t="shared" si="76"/>
        <v>Arjun Nair-Printer</v>
      </c>
    </row>
    <row r="421" spans="1:16" x14ac:dyDescent="0.4">
      <c r="A421" s="2" t="s">
        <v>2223</v>
      </c>
      <c r="B421" s="2" t="s">
        <v>145</v>
      </c>
      <c r="C421" s="2" t="s">
        <v>1793</v>
      </c>
      <c r="D421" s="3">
        <v>45611</v>
      </c>
      <c r="E421" s="2" t="s">
        <v>1820</v>
      </c>
      <c r="F421" t="str">
        <f t="shared" si="66"/>
        <v>yes</v>
      </c>
      <c r="G421">
        <f t="shared" si="67"/>
        <v>70</v>
      </c>
      <c r="H421" t="str">
        <f t="shared" si="68"/>
        <v>Received damaged item, requested replacement.</v>
      </c>
      <c r="I421" t="str">
        <f t="shared" si="69"/>
        <v>Received damaged item, requested replacement.</v>
      </c>
      <c r="J421">
        <f t="shared" si="70"/>
        <v>45</v>
      </c>
      <c r="K421" t="str">
        <f t="shared" si="71"/>
        <v>Received d</v>
      </c>
      <c r="L421">
        <f t="shared" si="72"/>
        <v>11</v>
      </c>
      <c r="M421">
        <f t="shared" ca="1" si="73"/>
        <v>707</v>
      </c>
      <c r="N421" t="str">
        <f t="shared" si="74"/>
        <v>WEEKDAY</v>
      </c>
      <c r="O421" t="str">
        <f t="shared" si="75"/>
        <v>15-Nov-2024</v>
      </c>
      <c r="P421" t="str">
        <f t="shared" si="76"/>
        <v>Aditya Nair-Printer</v>
      </c>
    </row>
    <row r="422" spans="1:16" x14ac:dyDescent="0.4">
      <c r="A422" s="2" t="s">
        <v>2224</v>
      </c>
      <c r="B422" s="2" t="s">
        <v>561</v>
      </c>
      <c r="C422" s="2" t="s">
        <v>1799</v>
      </c>
      <c r="D422" s="3">
        <v>45556</v>
      </c>
      <c r="E422" s="2" t="s">
        <v>1794</v>
      </c>
      <c r="F422" t="str">
        <f t="shared" si="66"/>
        <v>yes</v>
      </c>
      <c r="G422">
        <f t="shared" si="67"/>
        <v>70</v>
      </c>
      <c r="H422" t="str">
        <f t="shared" si="68"/>
        <v>Not satisfied with the quality.</v>
      </c>
      <c r="I422" t="str">
        <f t="shared" si="69"/>
        <v>Not satisfied with the quality.</v>
      </c>
      <c r="J422">
        <f t="shared" si="70"/>
        <v>31</v>
      </c>
      <c r="K422" t="str">
        <f t="shared" si="71"/>
        <v>Not satisf</v>
      </c>
      <c r="L422">
        <f t="shared" si="72"/>
        <v>9</v>
      </c>
      <c r="M422">
        <f t="shared" ca="1" si="73"/>
        <v>762</v>
      </c>
      <c r="N422" t="str">
        <f t="shared" si="74"/>
        <v>WEEKEND</v>
      </c>
      <c r="O422" t="str">
        <f t="shared" si="75"/>
        <v>21-Sep-2024</v>
      </c>
      <c r="P422" t="str">
        <f t="shared" si="76"/>
        <v>Arjun Das-Smartwatch</v>
      </c>
    </row>
    <row r="423" spans="1:16" x14ac:dyDescent="0.4">
      <c r="A423" s="2" t="s">
        <v>2225</v>
      </c>
      <c r="B423" s="2" t="s">
        <v>395</v>
      </c>
      <c r="C423" s="2" t="s">
        <v>1799</v>
      </c>
      <c r="D423" s="3">
        <v>45510</v>
      </c>
      <c r="E423" s="2" t="s">
        <v>1800</v>
      </c>
      <c r="F423" t="str">
        <f t="shared" si="66"/>
        <v>yes</v>
      </c>
      <c r="G423">
        <f t="shared" si="67"/>
        <v>70</v>
      </c>
      <c r="H423" t="str">
        <f t="shared" si="68"/>
        <v>Not satisfied with the quality.</v>
      </c>
      <c r="I423" t="str">
        <f t="shared" si="69"/>
        <v>Not satisfied with the quality.</v>
      </c>
      <c r="J423">
        <f t="shared" si="70"/>
        <v>31</v>
      </c>
      <c r="K423" t="str">
        <f t="shared" si="71"/>
        <v>Not satisf</v>
      </c>
      <c r="L423">
        <f t="shared" si="72"/>
        <v>8</v>
      </c>
      <c r="M423">
        <f t="shared" ca="1" si="73"/>
        <v>808</v>
      </c>
      <c r="N423" t="str">
        <f t="shared" si="74"/>
        <v>WEEKDAY</v>
      </c>
      <c r="O423" t="str">
        <f t="shared" si="75"/>
        <v>06-Aug-2024</v>
      </c>
      <c r="P423" t="str">
        <f t="shared" si="76"/>
        <v>Riya Nair-Camera</v>
      </c>
    </row>
    <row r="424" spans="1:16" x14ac:dyDescent="0.4">
      <c r="A424" s="2" t="s">
        <v>2226</v>
      </c>
      <c r="B424" s="2" t="s">
        <v>145</v>
      </c>
      <c r="C424" s="2" t="s">
        <v>1802</v>
      </c>
      <c r="D424" s="3">
        <v>45527</v>
      </c>
      <c r="E424" s="2" t="s">
        <v>1803</v>
      </c>
      <c r="F424" t="str">
        <f t="shared" si="66"/>
        <v>yes</v>
      </c>
      <c r="G424">
        <f t="shared" si="67"/>
        <v>70</v>
      </c>
      <c r="H424" t="str">
        <f t="shared" si="68"/>
        <v>Product was excellent and delivery was fast.</v>
      </c>
      <c r="I424" t="str">
        <f t="shared" si="69"/>
        <v>Product was excellent and delivery was fast.</v>
      </c>
      <c r="J424">
        <f t="shared" si="70"/>
        <v>44</v>
      </c>
      <c r="K424" t="str">
        <f t="shared" si="71"/>
        <v>Product wa</v>
      </c>
      <c r="L424">
        <f t="shared" si="72"/>
        <v>8</v>
      </c>
      <c r="M424">
        <f t="shared" ca="1" si="73"/>
        <v>791</v>
      </c>
      <c r="N424" t="str">
        <f t="shared" si="74"/>
        <v>WEEKDAY</v>
      </c>
      <c r="O424" t="str">
        <f t="shared" si="75"/>
        <v>23-Aug-2024</v>
      </c>
      <c r="P424" t="str">
        <f t="shared" si="76"/>
        <v>Aditya Nair-Laptop</v>
      </c>
    </row>
    <row r="425" spans="1:16" x14ac:dyDescent="0.4">
      <c r="A425" s="2" t="s">
        <v>2227</v>
      </c>
      <c r="B425" s="2" t="s">
        <v>543</v>
      </c>
      <c r="C425" s="2" t="s">
        <v>1796</v>
      </c>
      <c r="D425" s="3">
        <v>45319</v>
      </c>
      <c r="E425" s="2" t="s">
        <v>1803</v>
      </c>
      <c r="F425" t="str">
        <f t="shared" si="66"/>
        <v>yes</v>
      </c>
      <c r="G425">
        <f t="shared" si="67"/>
        <v>70</v>
      </c>
      <c r="H425" t="str">
        <f t="shared" si="68"/>
        <v>Delivery was late but product is good.</v>
      </c>
      <c r="I425" t="str">
        <f t="shared" si="69"/>
        <v>Delivery was delayed but product is good.</v>
      </c>
      <c r="J425">
        <f t="shared" si="70"/>
        <v>41</v>
      </c>
      <c r="K425" t="str">
        <f t="shared" si="71"/>
        <v>Delivery w</v>
      </c>
      <c r="L425">
        <f t="shared" si="72"/>
        <v>1</v>
      </c>
      <c r="M425">
        <f t="shared" ca="1" si="73"/>
        <v>999</v>
      </c>
      <c r="N425" t="str">
        <f t="shared" si="74"/>
        <v>WEEKEND</v>
      </c>
      <c r="O425" t="str">
        <f t="shared" si="75"/>
        <v>28-Jan-2024</v>
      </c>
      <c r="P425" t="str">
        <f t="shared" si="76"/>
        <v>Vivaan Joshi-Laptop</v>
      </c>
    </row>
    <row r="426" spans="1:16" x14ac:dyDescent="0.4">
      <c r="A426" s="2" t="s">
        <v>2228</v>
      </c>
      <c r="B426" s="2" t="s">
        <v>677</v>
      </c>
      <c r="C426" s="2" t="s">
        <v>1793</v>
      </c>
      <c r="D426" s="3">
        <v>45518</v>
      </c>
      <c r="E426" s="2" t="s">
        <v>1820</v>
      </c>
      <c r="F426" t="str">
        <f t="shared" si="66"/>
        <v>yes</v>
      </c>
      <c r="G426">
        <f t="shared" si="67"/>
        <v>70</v>
      </c>
      <c r="H426" t="str">
        <f t="shared" si="68"/>
        <v>Received damaged item, requested replacement.</v>
      </c>
      <c r="I426" t="str">
        <f t="shared" si="69"/>
        <v>Received damaged item, requested replacement.</v>
      </c>
      <c r="J426">
        <f t="shared" si="70"/>
        <v>45</v>
      </c>
      <c r="K426" t="str">
        <f t="shared" si="71"/>
        <v>Received d</v>
      </c>
      <c r="L426">
        <f t="shared" si="72"/>
        <v>8</v>
      </c>
      <c r="M426">
        <f t="shared" ca="1" si="73"/>
        <v>800</v>
      </c>
      <c r="N426" t="str">
        <f t="shared" si="74"/>
        <v>WEEKDAY</v>
      </c>
      <c r="O426" t="str">
        <f t="shared" si="75"/>
        <v>14-Aug-2024</v>
      </c>
      <c r="P426" t="str">
        <f t="shared" si="76"/>
        <v>Arjun Khan-Printer</v>
      </c>
    </row>
    <row r="427" spans="1:16" x14ac:dyDescent="0.4">
      <c r="A427" s="2" t="s">
        <v>2229</v>
      </c>
      <c r="B427" s="2" t="s">
        <v>235</v>
      </c>
      <c r="C427" s="2" t="s">
        <v>1802</v>
      </c>
      <c r="D427" s="3">
        <v>45443</v>
      </c>
      <c r="E427" s="2" t="s">
        <v>1797</v>
      </c>
      <c r="F427" t="str">
        <f t="shared" si="66"/>
        <v>yes</v>
      </c>
      <c r="G427">
        <f t="shared" si="67"/>
        <v>70</v>
      </c>
      <c r="H427" t="str">
        <f t="shared" si="68"/>
        <v>Product was excellent and delivery was fast.</v>
      </c>
      <c r="I427" t="str">
        <f t="shared" si="69"/>
        <v>Product was excellent and delivery was fast.</v>
      </c>
      <c r="J427">
        <f t="shared" si="70"/>
        <v>44</v>
      </c>
      <c r="K427" t="str">
        <f t="shared" si="71"/>
        <v>Product wa</v>
      </c>
      <c r="L427">
        <f t="shared" si="72"/>
        <v>5</v>
      </c>
      <c r="M427">
        <f t="shared" ca="1" si="73"/>
        <v>875</v>
      </c>
      <c r="N427" t="str">
        <f t="shared" si="74"/>
        <v>WEEKDAY</v>
      </c>
      <c r="O427" t="str">
        <f t="shared" si="75"/>
        <v>31-May-2024</v>
      </c>
      <c r="P427" t="str">
        <f t="shared" si="76"/>
        <v>Aarav Gupta-Mobile</v>
      </c>
    </row>
    <row r="428" spans="1:16" x14ac:dyDescent="0.4">
      <c r="A428" s="2" t="s">
        <v>2230</v>
      </c>
      <c r="B428" s="2" t="s">
        <v>129</v>
      </c>
      <c r="C428" s="2" t="s">
        <v>1799</v>
      </c>
      <c r="D428" s="3">
        <v>45522</v>
      </c>
      <c r="E428" s="2" t="s">
        <v>1800</v>
      </c>
      <c r="F428" t="str">
        <f t="shared" si="66"/>
        <v>yes</v>
      </c>
      <c r="G428">
        <f t="shared" si="67"/>
        <v>70</v>
      </c>
      <c r="H428" t="str">
        <f t="shared" si="68"/>
        <v>Not satisfied with the quality.</v>
      </c>
      <c r="I428" t="str">
        <f t="shared" si="69"/>
        <v>Not satisfied with the quality.</v>
      </c>
      <c r="J428">
        <f t="shared" si="70"/>
        <v>31</v>
      </c>
      <c r="K428" t="str">
        <f t="shared" si="71"/>
        <v>Not satisf</v>
      </c>
      <c r="L428">
        <f t="shared" si="72"/>
        <v>8</v>
      </c>
      <c r="M428">
        <f t="shared" ca="1" si="73"/>
        <v>796</v>
      </c>
      <c r="N428" t="str">
        <f t="shared" si="74"/>
        <v>WEEKEND</v>
      </c>
      <c r="O428" t="str">
        <f t="shared" si="75"/>
        <v>18-Aug-2024</v>
      </c>
      <c r="P428" t="str">
        <f t="shared" si="76"/>
        <v>Isha Nair-Camera</v>
      </c>
    </row>
    <row r="429" spans="1:16" x14ac:dyDescent="0.4">
      <c r="A429" s="2" t="s">
        <v>2231</v>
      </c>
      <c r="B429" s="2" t="s">
        <v>567</v>
      </c>
      <c r="C429" s="2" t="s">
        <v>1793</v>
      </c>
      <c r="D429" s="3">
        <v>45469</v>
      </c>
      <c r="E429" s="2" t="s">
        <v>1820</v>
      </c>
      <c r="F429" t="str">
        <f t="shared" si="66"/>
        <v>yes</v>
      </c>
      <c r="G429">
        <f t="shared" si="67"/>
        <v>70</v>
      </c>
      <c r="H429" t="str">
        <f t="shared" si="68"/>
        <v>Received damaged item, requested replacement.</v>
      </c>
      <c r="I429" t="str">
        <f t="shared" si="69"/>
        <v>Received damaged item, requested replacement.</v>
      </c>
      <c r="J429">
        <f t="shared" si="70"/>
        <v>45</v>
      </c>
      <c r="K429" t="str">
        <f t="shared" si="71"/>
        <v>Received d</v>
      </c>
      <c r="L429">
        <f t="shared" si="72"/>
        <v>6</v>
      </c>
      <c r="M429">
        <f t="shared" ca="1" si="73"/>
        <v>849</v>
      </c>
      <c r="N429" t="str">
        <f t="shared" si="74"/>
        <v>WEEKDAY</v>
      </c>
      <c r="O429" t="str">
        <f t="shared" si="75"/>
        <v>26-Jun-2024</v>
      </c>
      <c r="P429" t="str">
        <f t="shared" si="76"/>
        <v>Arjun Patel-Printer</v>
      </c>
    </row>
    <row r="430" spans="1:16" x14ac:dyDescent="0.4">
      <c r="A430" s="2" t="s">
        <v>2232</v>
      </c>
      <c r="B430" s="2" t="s">
        <v>267</v>
      </c>
      <c r="C430" s="2" t="s">
        <v>1802</v>
      </c>
      <c r="D430" s="3">
        <v>45539</v>
      </c>
      <c r="E430" s="2" t="s">
        <v>1794</v>
      </c>
      <c r="F430" t="str">
        <f t="shared" si="66"/>
        <v>yes</v>
      </c>
      <c r="G430">
        <f t="shared" si="67"/>
        <v>70</v>
      </c>
      <c r="H430" t="str">
        <f t="shared" si="68"/>
        <v>Product was excellent and delivery was fast.</v>
      </c>
      <c r="I430" t="str">
        <f t="shared" si="69"/>
        <v>Product was excellent and delivery was fast.</v>
      </c>
      <c r="J430">
        <f t="shared" si="70"/>
        <v>44</v>
      </c>
      <c r="K430" t="str">
        <f t="shared" si="71"/>
        <v>Product wa</v>
      </c>
      <c r="L430">
        <f t="shared" si="72"/>
        <v>9</v>
      </c>
      <c r="M430">
        <f t="shared" ca="1" si="73"/>
        <v>779</v>
      </c>
      <c r="N430" t="str">
        <f t="shared" si="74"/>
        <v>WEEKDAY</v>
      </c>
      <c r="O430" t="str">
        <f t="shared" si="75"/>
        <v>04-Sep-2024</v>
      </c>
      <c r="P430" t="str">
        <f t="shared" si="76"/>
        <v>Diya Mehta-Smartwatch</v>
      </c>
    </row>
    <row r="431" spans="1:16" x14ac:dyDescent="0.4">
      <c r="A431" s="2" t="s">
        <v>2233</v>
      </c>
      <c r="B431" s="2" t="s">
        <v>57</v>
      </c>
      <c r="C431" s="2" t="s">
        <v>1802</v>
      </c>
      <c r="D431" s="3">
        <v>45585</v>
      </c>
      <c r="E431" s="2" t="s">
        <v>1803</v>
      </c>
      <c r="F431" t="str">
        <f t="shared" si="66"/>
        <v>yes</v>
      </c>
      <c r="G431">
        <f t="shared" si="67"/>
        <v>70</v>
      </c>
      <c r="H431" t="str">
        <f t="shared" si="68"/>
        <v>Product was excellent and delivery was fast.</v>
      </c>
      <c r="I431" t="str">
        <f t="shared" si="69"/>
        <v>Product was excellent and delivery was fast.</v>
      </c>
      <c r="J431">
        <f t="shared" si="70"/>
        <v>44</v>
      </c>
      <c r="K431" t="str">
        <f t="shared" si="71"/>
        <v>Product wa</v>
      </c>
      <c r="L431">
        <f t="shared" si="72"/>
        <v>10</v>
      </c>
      <c r="M431">
        <f t="shared" ca="1" si="73"/>
        <v>733</v>
      </c>
      <c r="N431" t="str">
        <f t="shared" si="74"/>
        <v>WEEKEND</v>
      </c>
      <c r="O431" t="str">
        <f t="shared" si="75"/>
        <v>20-Oct-2024</v>
      </c>
      <c r="P431" t="str">
        <f t="shared" si="76"/>
        <v>Diya Gupta-Laptop</v>
      </c>
    </row>
    <row r="432" spans="1:16" x14ac:dyDescent="0.4">
      <c r="A432" s="2" t="s">
        <v>2234</v>
      </c>
      <c r="B432" s="2" t="s">
        <v>95</v>
      </c>
      <c r="C432" s="2" t="s">
        <v>1793</v>
      </c>
      <c r="D432" s="3">
        <v>45416</v>
      </c>
      <c r="E432" s="2" t="s">
        <v>1800</v>
      </c>
      <c r="F432" t="str">
        <f t="shared" si="66"/>
        <v>yes</v>
      </c>
      <c r="G432">
        <f t="shared" si="67"/>
        <v>70</v>
      </c>
      <c r="H432" t="str">
        <f t="shared" si="68"/>
        <v>Received damaged item, requested replacement.</v>
      </c>
      <c r="I432" t="str">
        <f t="shared" si="69"/>
        <v>Received damaged item, requested replacement.</v>
      </c>
      <c r="J432">
        <f t="shared" si="70"/>
        <v>45</v>
      </c>
      <c r="K432" t="str">
        <f t="shared" si="71"/>
        <v>Received d</v>
      </c>
      <c r="L432">
        <f t="shared" si="72"/>
        <v>5</v>
      </c>
      <c r="M432">
        <f t="shared" ca="1" si="73"/>
        <v>902</v>
      </c>
      <c r="N432" t="str">
        <f t="shared" si="74"/>
        <v>WEEKEND</v>
      </c>
      <c r="O432" t="str">
        <f t="shared" si="75"/>
        <v>04-May-2024</v>
      </c>
      <c r="P432" t="str">
        <f t="shared" si="76"/>
        <v>Meera Sharma-Camera</v>
      </c>
    </row>
    <row r="433" spans="1:16" x14ac:dyDescent="0.4">
      <c r="A433" s="2" t="s">
        <v>2235</v>
      </c>
      <c r="B433" s="2" t="s">
        <v>187</v>
      </c>
      <c r="C433" s="2" t="s">
        <v>1815</v>
      </c>
      <c r="D433" s="3">
        <v>45618</v>
      </c>
      <c r="E433" s="2" t="s">
        <v>1800</v>
      </c>
      <c r="F433" t="str">
        <f t="shared" si="66"/>
        <v>yes</v>
      </c>
      <c r="G433">
        <f t="shared" si="67"/>
        <v>70</v>
      </c>
      <c r="H433" t="str">
        <f t="shared" si="68"/>
        <v>Great value for money!</v>
      </c>
      <c r="I433" t="str">
        <f t="shared" si="69"/>
        <v>Great value for money!</v>
      </c>
      <c r="J433">
        <f t="shared" si="70"/>
        <v>22</v>
      </c>
      <c r="K433" t="str">
        <f t="shared" si="71"/>
        <v>Great valu</v>
      </c>
      <c r="L433">
        <f t="shared" si="72"/>
        <v>11</v>
      </c>
      <c r="M433">
        <f t="shared" ca="1" si="73"/>
        <v>700</v>
      </c>
      <c r="N433" t="str">
        <f t="shared" si="74"/>
        <v>WEEKDAY</v>
      </c>
      <c r="O433" t="str">
        <f t="shared" si="75"/>
        <v>22-Nov-2024</v>
      </c>
      <c r="P433" t="str">
        <f t="shared" si="76"/>
        <v>Aarav Reddy-Camera</v>
      </c>
    </row>
    <row r="434" spans="1:16" x14ac:dyDescent="0.4">
      <c r="A434" s="2" t="s">
        <v>2236</v>
      </c>
      <c r="B434" s="2" t="s">
        <v>121</v>
      </c>
      <c r="C434" s="2" t="s">
        <v>1815</v>
      </c>
      <c r="D434" s="3">
        <v>45321</v>
      </c>
      <c r="E434" s="2" t="s">
        <v>1803</v>
      </c>
      <c r="F434" t="str">
        <f t="shared" si="66"/>
        <v>yes</v>
      </c>
      <c r="G434">
        <f t="shared" si="67"/>
        <v>70</v>
      </c>
      <c r="H434" t="str">
        <f t="shared" si="68"/>
        <v>Great value for money!</v>
      </c>
      <c r="I434" t="str">
        <f t="shared" si="69"/>
        <v>Great value for money!</v>
      </c>
      <c r="J434">
        <f t="shared" si="70"/>
        <v>22</v>
      </c>
      <c r="K434" t="str">
        <f t="shared" si="71"/>
        <v>Great valu</v>
      </c>
      <c r="L434">
        <f t="shared" si="72"/>
        <v>1</v>
      </c>
      <c r="M434">
        <f t="shared" ca="1" si="73"/>
        <v>997</v>
      </c>
      <c r="N434" t="str">
        <f t="shared" si="74"/>
        <v>WEEKDAY</v>
      </c>
      <c r="O434" t="str">
        <f t="shared" si="75"/>
        <v>30-Jan-2024</v>
      </c>
      <c r="P434" t="str">
        <f t="shared" si="76"/>
        <v>Ananya Sharma-Laptop</v>
      </c>
    </row>
    <row r="435" spans="1:16" x14ac:dyDescent="0.4">
      <c r="A435" s="2" t="s">
        <v>2237</v>
      </c>
      <c r="B435" s="2" t="s">
        <v>661</v>
      </c>
      <c r="C435" s="2" t="s">
        <v>1815</v>
      </c>
      <c r="D435" s="3">
        <v>45375</v>
      </c>
      <c r="E435" s="2" t="s">
        <v>1797</v>
      </c>
      <c r="F435" t="str">
        <f t="shared" si="66"/>
        <v>yes</v>
      </c>
      <c r="G435">
        <f t="shared" si="67"/>
        <v>70</v>
      </c>
      <c r="H435" t="str">
        <f t="shared" si="68"/>
        <v>Great value for money!</v>
      </c>
      <c r="I435" t="str">
        <f t="shared" si="69"/>
        <v>Great value for money!</v>
      </c>
      <c r="J435">
        <f t="shared" si="70"/>
        <v>22</v>
      </c>
      <c r="K435" t="str">
        <f t="shared" si="71"/>
        <v>Great valu</v>
      </c>
      <c r="L435">
        <f t="shared" si="72"/>
        <v>3</v>
      </c>
      <c r="M435">
        <f t="shared" ca="1" si="73"/>
        <v>943</v>
      </c>
      <c r="N435" t="str">
        <f t="shared" si="74"/>
        <v>WEEKEND</v>
      </c>
      <c r="O435" t="str">
        <f t="shared" si="75"/>
        <v>24-Mar-2024</v>
      </c>
      <c r="P435" t="str">
        <f t="shared" si="76"/>
        <v>Kabir Khan-Mobile</v>
      </c>
    </row>
    <row r="436" spans="1:16" x14ac:dyDescent="0.4">
      <c r="A436" s="2" t="s">
        <v>2238</v>
      </c>
      <c r="B436" s="2" t="s">
        <v>107</v>
      </c>
      <c r="C436" s="2" t="s">
        <v>1815</v>
      </c>
      <c r="D436" s="3">
        <v>45427</v>
      </c>
      <c r="E436" s="2" t="s">
        <v>1810</v>
      </c>
      <c r="F436" t="str">
        <f t="shared" si="66"/>
        <v>yes</v>
      </c>
      <c r="G436">
        <f t="shared" si="67"/>
        <v>70</v>
      </c>
      <c r="H436" t="str">
        <f t="shared" si="68"/>
        <v>Great value for money!</v>
      </c>
      <c r="I436" t="str">
        <f t="shared" si="69"/>
        <v>Great value for money!</v>
      </c>
      <c r="J436">
        <f t="shared" si="70"/>
        <v>22</v>
      </c>
      <c r="K436" t="str">
        <f t="shared" si="71"/>
        <v>Great valu</v>
      </c>
      <c r="L436">
        <f t="shared" si="72"/>
        <v>5</v>
      </c>
      <c r="M436">
        <f t="shared" ca="1" si="73"/>
        <v>891</v>
      </c>
      <c r="N436" t="str">
        <f t="shared" si="74"/>
        <v>WEEKDAY</v>
      </c>
      <c r="O436" t="str">
        <f t="shared" si="75"/>
        <v>15-May-2024</v>
      </c>
      <c r="P436" t="str">
        <f t="shared" si="76"/>
        <v>Arjun Mehta-Tablet</v>
      </c>
    </row>
    <row r="437" spans="1:16" x14ac:dyDescent="0.4">
      <c r="A437" s="2" t="s">
        <v>2239</v>
      </c>
      <c r="B437" s="2" t="s">
        <v>831</v>
      </c>
      <c r="C437" s="2" t="s">
        <v>1799</v>
      </c>
      <c r="D437" s="3">
        <v>45635</v>
      </c>
      <c r="E437" s="2" t="s">
        <v>1820</v>
      </c>
      <c r="F437" t="str">
        <f t="shared" si="66"/>
        <v>yes</v>
      </c>
      <c r="G437">
        <f t="shared" si="67"/>
        <v>70</v>
      </c>
      <c r="H437" t="str">
        <f t="shared" si="68"/>
        <v>Not satisfied with the quality.</v>
      </c>
      <c r="I437" t="str">
        <f t="shared" si="69"/>
        <v>Not satisfied with the quality.</v>
      </c>
      <c r="J437">
        <f t="shared" si="70"/>
        <v>31</v>
      </c>
      <c r="K437" t="str">
        <f t="shared" si="71"/>
        <v>Not satisf</v>
      </c>
      <c r="L437">
        <f t="shared" si="72"/>
        <v>12</v>
      </c>
      <c r="M437">
        <f t="shared" ca="1" si="73"/>
        <v>683</v>
      </c>
      <c r="N437" t="str">
        <f t="shared" si="74"/>
        <v>WEEKDAY</v>
      </c>
      <c r="O437" t="str">
        <f t="shared" si="75"/>
        <v>09-Dec-2024</v>
      </c>
      <c r="P437" t="str">
        <f t="shared" si="76"/>
        <v>Diya Sharma-Printer</v>
      </c>
    </row>
    <row r="438" spans="1:16" x14ac:dyDescent="0.4">
      <c r="A438" s="2" t="s">
        <v>2240</v>
      </c>
      <c r="B438" s="2" t="s">
        <v>321</v>
      </c>
      <c r="C438" s="2" t="s">
        <v>1793</v>
      </c>
      <c r="D438" s="3">
        <v>45305</v>
      </c>
      <c r="E438" s="2" t="s">
        <v>1794</v>
      </c>
      <c r="F438" t="str">
        <f t="shared" si="66"/>
        <v>yes</v>
      </c>
      <c r="G438">
        <f t="shared" si="67"/>
        <v>70</v>
      </c>
      <c r="H438" t="str">
        <f t="shared" si="68"/>
        <v>Received damaged item, requested replacement.</v>
      </c>
      <c r="I438" t="str">
        <f t="shared" si="69"/>
        <v>Received damaged item, requested replacement.</v>
      </c>
      <c r="J438">
        <f t="shared" si="70"/>
        <v>45</v>
      </c>
      <c r="K438" t="str">
        <f t="shared" si="71"/>
        <v>Received d</v>
      </c>
      <c r="L438">
        <f t="shared" si="72"/>
        <v>1</v>
      </c>
      <c r="M438">
        <f t="shared" ca="1" si="73"/>
        <v>1013</v>
      </c>
      <c r="N438" t="str">
        <f t="shared" si="74"/>
        <v>WEEKEND</v>
      </c>
      <c r="O438" t="str">
        <f t="shared" si="75"/>
        <v>14-Jan-2024</v>
      </c>
      <c r="P438" t="str">
        <f t="shared" si="76"/>
        <v>Kabir Nair-Smartwatch</v>
      </c>
    </row>
    <row r="439" spans="1:16" x14ac:dyDescent="0.4">
      <c r="A439" s="2" t="s">
        <v>2241</v>
      </c>
      <c r="B439" s="2" t="s">
        <v>125</v>
      </c>
      <c r="C439" s="2" t="s">
        <v>1793</v>
      </c>
      <c r="D439" s="3">
        <v>45393</v>
      </c>
      <c r="E439" s="2" t="s">
        <v>1803</v>
      </c>
      <c r="F439" t="str">
        <f t="shared" si="66"/>
        <v>yes</v>
      </c>
      <c r="G439">
        <f t="shared" si="67"/>
        <v>70</v>
      </c>
      <c r="H439" t="str">
        <f t="shared" si="68"/>
        <v>Received damaged item, requested replacement.</v>
      </c>
      <c r="I439" t="str">
        <f t="shared" si="69"/>
        <v>Received damaged item, requested replacement.</v>
      </c>
      <c r="J439">
        <f t="shared" si="70"/>
        <v>45</v>
      </c>
      <c r="K439" t="str">
        <f t="shared" si="71"/>
        <v>Received d</v>
      </c>
      <c r="L439">
        <f t="shared" si="72"/>
        <v>4</v>
      </c>
      <c r="M439">
        <f t="shared" ca="1" si="73"/>
        <v>925</v>
      </c>
      <c r="N439" t="str">
        <f t="shared" si="74"/>
        <v>WEEKDAY</v>
      </c>
      <c r="O439" t="str">
        <f t="shared" si="75"/>
        <v>11-Apr-2024</v>
      </c>
      <c r="P439" t="str">
        <f t="shared" si="76"/>
        <v>Riya Sharma-Laptop</v>
      </c>
    </row>
    <row r="440" spans="1:16" x14ac:dyDescent="0.4">
      <c r="A440" s="2" t="s">
        <v>2242</v>
      </c>
      <c r="B440" s="2" t="s">
        <v>57</v>
      </c>
      <c r="C440" s="2" t="s">
        <v>1815</v>
      </c>
      <c r="D440" s="3">
        <v>45628</v>
      </c>
      <c r="E440" s="2" t="s">
        <v>1797</v>
      </c>
      <c r="F440" t="str">
        <f t="shared" si="66"/>
        <v>yes</v>
      </c>
      <c r="G440">
        <f t="shared" si="67"/>
        <v>70</v>
      </c>
      <c r="H440" t="str">
        <f t="shared" si="68"/>
        <v>Great value for money!</v>
      </c>
      <c r="I440" t="str">
        <f t="shared" si="69"/>
        <v>Great value for money!</v>
      </c>
      <c r="J440">
        <f t="shared" si="70"/>
        <v>22</v>
      </c>
      <c r="K440" t="str">
        <f t="shared" si="71"/>
        <v>Great valu</v>
      </c>
      <c r="L440">
        <f t="shared" si="72"/>
        <v>12</v>
      </c>
      <c r="M440">
        <f t="shared" ca="1" si="73"/>
        <v>690</v>
      </c>
      <c r="N440" t="str">
        <f t="shared" si="74"/>
        <v>WEEKDAY</v>
      </c>
      <c r="O440" t="str">
        <f t="shared" si="75"/>
        <v>02-Dec-2024</v>
      </c>
      <c r="P440" t="str">
        <f t="shared" si="76"/>
        <v>Diya Gupta-Mobile</v>
      </c>
    </row>
    <row r="441" spans="1:16" x14ac:dyDescent="0.4">
      <c r="A441" s="2" t="s">
        <v>2243</v>
      </c>
      <c r="B441" s="2" t="s">
        <v>61</v>
      </c>
      <c r="C441" s="2" t="s">
        <v>1802</v>
      </c>
      <c r="D441" s="3">
        <v>45592</v>
      </c>
      <c r="E441" s="2" t="s">
        <v>1797</v>
      </c>
      <c r="F441" t="str">
        <f t="shared" si="66"/>
        <v>yes</v>
      </c>
      <c r="G441">
        <f t="shared" si="67"/>
        <v>70</v>
      </c>
      <c r="H441" t="str">
        <f t="shared" si="68"/>
        <v>Product was excellent and delivery was fast.</v>
      </c>
      <c r="I441" t="str">
        <f t="shared" si="69"/>
        <v>Product was excellent and delivery was fast.</v>
      </c>
      <c r="J441">
        <f t="shared" si="70"/>
        <v>44</v>
      </c>
      <c r="K441" t="str">
        <f t="shared" si="71"/>
        <v>Product wa</v>
      </c>
      <c r="L441">
        <f t="shared" si="72"/>
        <v>10</v>
      </c>
      <c r="M441">
        <f t="shared" ca="1" si="73"/>
        <v>726</v>
      </c>
      <c r="N441" t="str">
        <f t="shared" si="74"/>
        <v>WEEKEND</v>
      </c>
      <c r="O441" t="str">
        <f t="shared" si="75"/>
        <v>27-Oct-2024</v>
      </c>
      <c r="P441" t="str">
        <f t="shared" si="76"/>
        <v>Ananya Joshi-Mobile</v>
      </c>
    </row>
    <row r="442" spans="1:16" x14ac:dyDescent="0.4">
      <c r="A442" s="2" t="s">
        <v>2244</v>
      </c>
      <c r="B442" s="2" t="s">
        <v>489</v>
      </c>
      <c r="C442" s="2" t="s">
        <v>1799</v>
      </c>
      <c r="D442" s="3">
        <v>45440</v>
      </c>
      <c r="E442" s="2" t="s">
        <v>1800</v>
      </c>
      <c r="F442" t="str">
        <f t="shared" si="66"/>
        <v>yes</v>
      </c>
      <c r="G442">
        <f t="shared" si="67"/>
        <v>70</v>
      </c>
      <c r="H442" t="str">
        <f t="shared" si="68"/>
        <v>Not satisfied with the quality.</v>
      </c>
      <c r="I442" t="str">
        <f t="shared" si="69"/>
        <v>Not satisfied with the quality.</v>
      </c>
      <c r="J442">
        <f t="shared" si="70"/>
        <v>31</v>
      </c>
      <c r="K442" t="str">
        <f t="shared" si="71"/>
        <v>Not satisf</v>
      </c>
      <c r="L442">
        <f t="shared" si="72"/>
        <v>5</v>
      </c>
      <c r="M442">
        <f t="shared" ca="1" si="73"/>
        <v>878</v>
      </c>
      <c r="N442" t="str">
        <f t="shared" si="74"/>
        <v>WEEKDAY</v>
      </c>
      <c r="O442" t="str">
        <f t="shared" si="75"/>
        <v>28-May-2024</v>
      </c>
      <c r="P442" t="str">
        <f t="shared" si="76"/>
        <v>Arjun Reddy-Camera</v>
      </c>
    </row>
    <row r="443" spans="1:16" x14ac:dyDescent="0.4">
      <c r="A443" s="2" t="s">
        <v>2245</v>
      </c>
      <c r="B443" s="2" t="s">
        <v>30</v>
      </c>
      <c r="C443" s="2" t="s">
        <v>1799</v>
      </c>
      <c r="D443" s="3">
        <v>45422</v>
      </c>
      <c r="E443" s="2" t="s">
        <v>1810</v>
      </c>
      <c r="F443" t="str">
        <f t="shared" si="66"/>
        <v>yes</v>
      </c>
      <c r="G443">
        <f t="shared" si="67"/>
        <v>70</v>
      </c>
      <c r="H443" t="str">
        <f t="shared" si="68"/>
        <v>Not satisfied with the quality.</v>
      </c>
      <c r="I443" t="str">
        <f t="shared" si="69"/>
        <v>Not satisfied with the quality.</v>
      </c>
      <c r="J443">
        <f t="shared" si="70"/>
        <v>31</v>
      </c>
      <c r="K443" t="str">
        <f t="shared" si="71"/>
        <v>Not satisf</v>
      </c>
      <c r="L443">
        <f t="shared" si="72"/>
        <v>5</v>
      </c>
      <c r="M443">
        <f t="shared" ca="1" si="73"/>
        <v>896</v>
      </c>
      <c r="N443" t="str">
        <f t="shared" si="74"/>
        <v>WEEKDAY</v>
      </c>
      <c r="O443" t="str">
        <f t="shared" si="75"/>
        <v>10-May-2024</v>
      </c>
      <c r="P443" t="str">
        <f t="shared" si="76"/>
        <v>Ananya Reddy-Tablet</v>
      </c>
    </row>
    <row r="444" spans="1:16" x14ac:dyDescent="0.4">
      <c r="A444" s="2" t="s">
        <v>2246</v>
      </c>
      <c r="B444" s="2" t="s">
        <v>91</v>
      </c>
      <c r="C444" s="2" t="s">
        <v>1793</v>
      </c>
      <c r="D444" s="3">
        <v>45336</v>
      </c>
      <c r="E444" s="2" t="s">
        <v>1797</v>
      </c>
      <c r="F444" t="str">
        <f t="shared" si="66"/>
        <v>yes</v>
      </c>
      <c r="G444">
        <f t="shared" si="67"/>
        <v>70</v>
      </c>
      <c r="H444" t="str">
        <f t="shared" si="68"/>
        <v>Received damaged item, requested replacement.</v>
      </c>
      <c r="I444" t="str">
        <f t="shared" si="69"/>
        <v>Received damaged item, requested replacement.</v>
      </c>
      <c r="J444">
        <f t="shared" si="70"/>
        <v>45</v>
      </c>
      <c r="K444" t="str">
        <f t="shared" si="71"/>
        <v>Received d</v>
      </c>
      <c r="L444">
        <f t="shared" si="72"/>
        <v>2</v>
      </c>
      <c r="M444">
        <f t="shared" ca="1" si="73"/>
        <v>982</v>
      </c>
      <c r="N444" t="str">
        <f t="shared" si="74"/>
        <v>WEEKDAY</v>
      </c>
      <c r="O444" t="str">
        <f t="shared" si="75"/>
        <v>14-Feb-2024</v>
      </c>
      <c r="P444" t="str">
        <f t="shared" si="76"/>
        <v>Isha Mehta-Mobile</v>
      </c>
    </row>
    <row r="445" spans="1:16" x14ac:dyDescent="0.4">
      <c r="A445" s="2" t="s">
        <v>2247</v>
      </c>
      <c r="B445" s="2" t="s">
        <v>137</v>
      </c>
      <c r="C445" s="2" t="s">
        <v>1809</v>
      </c>
      <c r="D445" s="3">
        <v>45503</v>
      </c>
      <c r="E445" s="2" t="s">
        <v>1797</v>
      </c>
      <c r="F445" t="str">
        <f t="shared" si="66"/>
        <v>yes</v>
      </c>
      <c r="G445">
        <f t="shared" si="67"/>
        <v>70</v>
      </c>
      <c r="H445" t="str">
        <f t="shared" si="68"/>
        <v>Customer support was helpful.</v>
      </c>
      <c r="I445" t="str">
        <f t="shared" si="69"/>
        <v>Customer support was helpful.</v>
      </c>
      <c r="J445">
        <f t="shared" si="70"/>
        <v>29</v>
      </c>
      <c r="K445" t="str">
        <f t="shared" si="71"/>
        <v>Customer s</v>
      </c>
      <c r="L445">
        <f t="shared" si="72"/>
        <v>7</v>
      </c>
      <c r="M445">
        <f t="shared" ca="1" si="73"/>
        <v>815</v>
      </c>
      <c r="N445" t="str">
        <f t="shared" si="74"/>
        <v>WEEKDAY</v>
      </c>
      <c r="O445" t="str">
        <f t="shared" si="75"/>
        <v>30-Jul-2024</v>
      </c>
      <c r="P445" t="str">
        <f t="shared" si="76"/>
        <v>Aditya Singh-Mobile</v>
      </c>
    </row>
    <row r="446" spans="1:16" x14ac:dyDescent="0.4">
      <c r="A446" s="2" t="s">
        <v>2248</v>
      </c>
      <c r="B446" s="2" t="s">
        <v>35</v>
      </c>
      <c r="C446" s="2" t="s">
        <v>1793</v>
      </c>
      <c r="D446" s="3">
        <v>45353</v>
      </c>
      <c r="E446" s="2" t="s">
        <v>1800</v>
      </c>
      <c r="F446" t="str">
        <f t="shared" si="66"/>
        <v>yes</v>
      </c>
      <c r="G446">
        <f t="shared" si="67"/>
        <v>70</v>
      </c>
      <c r="H446" t="str">
        <f t="shared" si="68"/>
        <v>Received damaged item, requested replacement.</v>
      </c>
      <c r="I446" t="str">
        <f t="shared" si="69"/>
        <v>Received damaged item, requested replacement.</v>
      </c>
      <c r="J446">
        <f t="shared" si="70"/>
        <v>45</v>
      </c>
      <c r="K446" t="str">
        <f t="shared" si="71"/>
        <v>Received d</v>
      </c>
      <c r="L446">
        <f t="shared" si="72"/>
        <v>3</v>
      </c>
      <c r="M446">
        <f t="shared" ca="1" si="73"/>
        <v>965</v>
      </c>
      <c r="N446" t="str">
        <f t="shared" si="74"/>
        <v>WEEKEND</v>
      </c>
      <c r="O446" t="str">
        <f t="shared" si="75"/>
        <v>02-Mar-2024</v>
      </c>
      <c r="P446" t="str">
        <f t="shared" si="76"/>
        <v>Isha Das-Camera</v>
      </c>
    </row>
    <row r="447" spans="1:16" x14ac:dyDescent="0.4">
      <c r="A447" s="2" t="s">
        <v>2249</v>
      </c>
      <c r="B447" s="2" t="s">
        <v>16</v>
      </c>
      <c r="C447" s="2" t="s">
        <v>1802</v>
      </c>
      <c r="D447" s="3">
        <v>45334</v>
      </c>
      <c r="E447" s="2" t="s">
        <v>1794</v>
      </c>
      <c r="F447" t="str">
        <f t="shared" si="66"/>
        <v>yes</v>
      </c>
      <c r="G447">
        <f t="shared" si="67"/>
        <v>70</v>
      </c>
      <c r="H447" t="str">
        <f t="shared" si="68"/>
        <v>Product was excellent and delivery was fast.</v>
      </c>
      <c r="I447" t="str">
        <f t="shared" si="69"/>
        <v>Product was excellent and delivery was fast.</v>
      </c>
      <c r="J447">
        <f t="shared" si="70"/>
        <v>44</v>
      </c>
      <c r="K447" t="str">
        <f t="shared" si="71"/>
        <v>Product wa</v>
      </c>
      <c r="L447">
        <f t="shared" si="72"/>
        <v>2</v>
      </c>
      <c r="M447">
        <f t="shared" ca="1" si="73"/>
        <v>984</v>
      </c>
      <c r="N447" t="str">
        <f t="shared" si="74"/>
        <v>WEEKDAY</v>
      </c>
      <c r="O447" t="str">
        <f t="shared" si="75"/>
        <v>12-Feb-2024</v>
      </c>
      <c r="P447" t="str">
        <f t="shared" si="76"/>
        <v>Meera Reddy-Smartwatch</v>
      </c>
    </row>
    <row r="448" spans="1:16" x14ac:dyDescent="0.4">
      <c r="A448" s="2" t="s">
        <v>2250</v>
      </c>
      <c r="B448" s="2" t="s">
        <v>279</v>
      </c>
      <c r="C448" s="2" t="s">
        <v>1793</v>
      </c>
      <c r="D448" s="3">
        <v>45516</v>
      </c>
      <c r="E448" s="2" t="s">
        <v>1794</v>
      </c>
      <c r="F448" t="str">
        <f t="shared" si="66"/>
        <v>yes</v>
      </c>
      <c r="G448">
        <f t="shared" si="67"/>
        <v>70</v>
      </c>
      <c r="H448" t="str">
        <f t="shared" si="68"/>
        <v>Received damaged item, requested replacement.</v>
      </c>
      <c r="I448" t="str">
        <f t="shared" si="69"/>
        <v>Received damaged item, requested replacement.</v>
      </c>
      <c r="J448">
        <f t="shared" si="70"/>
        <v>45</v>
      </c>
      <c r="K448" t="str">
        <f t="shared" si="71"/>
        <v>Received d</v>
      </c>
      <c r="L448">
        <f t="shared" si="72"/>
        <v>8</v>
      </c>
      <c r="M448">
        <f t="shared" ca="1" si="73"/>
        <v>802</v>
      </c>
      <c r="N448" t="str">
        <f t="shared" si="74"/>
        <v>WEEKDAY</v>
      </c>
      <c r="O448" t="str">
        <f t="shared" si="75"/>
        <v>12-Aug-2024</v>
      </c>
      <c r="P448" t="str">
        <f t="shared" si="76"/>
        <v>Diya Patel-Smartwatch</v>
      </c>
    </row>
    <row r="449" spans="1:16" x14ac:dyDescent="0.4">
      <c r="A449" s="2" t="s">
        <v>2251</v>
      </c>
      <c r="B449" s="2" t="s">
        <v>187</v>
      </c>
      <c r="C449" s="2" t="s">
        <v>1793</v>
      </c>
      <c r="D449" s="3">
        <v>45360</v>
      </c>
      <c r="E449" s="2" t="s">
        <v>1797</v>
      </c>
      <c r="F449" t="str">
        <f t="shared" si="66"/>
        <v>yes</v>
      </c>
      <c r="G449">
        <f t="shared" si="67"/>
        <v>70</v>
      </c>
      <c r="H449" t="str">
        <f t="shared" si="68"/>
        <v>Received damaged item, requested replacement.</v>
      </c>
      <c r="I449" t="str">
        <f t="shared" si="69"/>
        <v>Received damaged item, requested replacement.</v>
      </c>
      <c r="J449">
        <f t="shared" si="70"/>
        <v>45</v>
      </c>
      <c r="K449" t="str">
        <f t="shared" si="71"/>
        <v>Received d</v>
      </c>
      <c r="L449">
        <f t="shared" si="72"/>
        <v>3</v>
      </c>
      <c r="M449">
        <f t="shared" ca="1" si="73"/>
        <v>958</v>
      </c>
      <c r="N449" t="str">
        <f t="shared" si="74"/>
        <v>WEEKEND</v>
      </c>
      <c r="O449" t="str">
        <f t="shared" si="75"/>
        <v>09-Mar-2024</v>
      </c>
      <c r="P449" t="str">
        <f t="shared" si="76"/>
        <v>Aarav Reddy-Mobile</v>
      </c>
    </row>
    <row r="450" spans="1:16" x14ac:dyDescent="0.4">
      <c r="A450" s="2" t="s">
        <v>2252</v>
      </c>
      <c r="B450" s="2" t="s">
        <v>263</v>
      </c>
      <c r="C450" s="2" t="s">
        <v>1809</v>
      </c>
      <c r="D450" s="3">
        <v>45575</v>
      </c>
      <c r="E450" s="2" t="s">
        <v>1797</v>
      </c>
      <c r="F450" t="str">
        <f t="shared" si="66"/>
        <v>yes</v>
      </c>
      <c r="G450">
        <f t="shared" si="67"/>
        <v>70</v>
      </c>
      <c r="H450" t="str">
        <f t="shared" si="68"/>
        <v>Customer support was helpful.</v>
      </c>
      <c r="I450" t="str">
        <f t="shared" si="69"/>
        <v>Customer support was helpful.</v>
      </c>
      <c r="J450">
        <f t="shared" si="70"/>
        <v>29</v>
      </c>
      <c r="K450" t="str">
        <f t="shared" si="71"/>
        <v>Customer s</v>
      </c>
      <c r="L450">
        <f t="shared" si="72"/>
        <v>10</v>
      </c>
      <c r="M450">
        <f t="shared" ca="1" si="73"/>
        <v>743</v>
      </c>
      <c r="N450" t="str">
        <f t="shared" si="74"/>
        <v>WEEKDAY</v>
      </c>
      <c r="O450" t="str">
        <f t="shared" si="75"/>
        <v>10-Oct-2024</v>
      </c>
      <c r="P450" t="str">
        <f t="shared" si="76"/>
        <v>Isha Gupta-Mobile</v>
      </c>
    </row>
    <row r="451" spans="1:16" x14ac:dyDescent="0.4">
      <c r="A451" s="2" t="s">
        <v>2253</v>
      </c>
      <c r="B451" s="2" t="s">
        <v>1045</v>
      </c>
      <c r="C451" s="2" t="s">
        <v>1809</v>
      </c>
      <c r="D451" s="3">
        <v>45352</v>
      </c>
      <c r="E451" s="2" t="s">
        <v>1794</v>
      </c>
      <c r="F451" t="str">
        <f t="shared" ref="F451:F501" si="77">IF(YEAR(D451)=2024,"yes","No")</f>
        <v>yes</v>
      </c>
      <c r="G451">
        <f t="shared" ref="G451:G508" si="78">COUNTIF($C$2:$C$501,"*good*")</f>
        <v>70</v>
      </c>
      <c r="H451" t="str">
        <f t="shared" ref="H451:H508" si="79">SUBSTITUTE(C451,"delayed","late")</f>
        <v>Customer support was helpful.</v>
      </c>
      <c r="I451" t="str">
        <f t="shared" ref="I451:I508" si="80">TRIM(C451)</f>
        <v>Customer support was helpful.</v>
      </c>
      <c r="J451">
        <f t="shared" ref="J451:J501" si="81">LEN(C451)</f>
        <v>29</v>
      </c>
      <c r="K451" t="str">
        <f t="shared" ref="K451:K501" si="82">LEFT(C451,10)</f>
        <v>Customer s</v>
      </c>
      <c r="L451">
        <f t="shared" ref="L451:L501" si="83">MONTH(D451)</f>
        <v>3</v>
      </c>
      <c r="M451">
        <f t="shared" ref="M451:M501" ca="1" si="84">DATEDIF(D451,TODAY(),"D")</f>
        <v>966</v>
      </c>
      <c r="N451" t="str">
        <f t="shared" ref="N451:N501" si="85">IF(WEEKDAY(D451,2)&gt;5,"WEEKEND","WEEKDAY")</f>
        <v>WEEKDAY</v>
      </c>
      <c r="O451" t="str">
        <f t="shared" ref="O451:O501" si="86">TEXT(D451,"DD-MMM-YYYY")</f>
        <v>01-Mar-2024</v>
      </c>
      <c r="P451" t="str">
        <f t="shared" ref="P451:P501" si="87">_xlfn.CONCAT(B451,"-",E451)</f>
        <v>Vivaan Reddy-Smartwatch</v>
      </c>
    </row>
    <row r="452" spans="1:16" x14ac:dyDescent="0.4">
      <c r="A452" s="2" t="s">
        <v>2254</v>
      </c>
      <c r="B452" s="2" t="s">
        <v>43</v>
      </c>
      <c r="C452" s="2" t="s">
        <v>1796</v>
      </c>
      <c r="D452" s="3">
        <v>45444</v>
      </c>
      <c r="E452" s="2" t="s">
        <v>1797</v>
      </c>
      <c r="F452" t="str">
        <f t="shared" si="77"/>
        <v>yes</v>
      </c>
      <c r="G452">
        <f t="shared" si="78"/>
        <v>70</v>
      </c>
      <c r="H452" t="str">
        <f t="shared" si="79"/>
        <v>Delivery was late but product is good.</v>
      </c>
      <c r="I452" t="str">
        <f t="shared" si="80"/>
        <v>Delivery was delayed but product is good.</v>
      </c>
      <c r="J452">
        <f t="shared" si="81"/>
        <v>41</v>
      </c>
      <c r="K452" t="str">
        <f t="shared" si="82"/>
        <v>Delivery w</v>
      </c>
      <c r="L452">
        <f t="shared" si="83"/>
        <v>6</v>
      </c>
      <c r="M452">
        <f t="shared" ca="1" si="84"/>
        <v>874</v>
      </c>
      <c r="N452" t="str">
        <f t="shared" si="85"/>
        <v>WEEKEND</v>
      </c>
      <c r="O452" t="str">
        <f t="shared" si="86"/>
        <v>01-Jun-2024</v>
      </c>
      <c r="P452" t="str">
        <f t="shared" si="87"/>
        <v>Ananya Mehta-Mobile</v>
      </c>
    </row>
    <row r="453" spans="1:16" x14ac:dyDescent="0.4">
      <c r="A453" s="2" t="s">
        <v>2255</v>
      </c>
      <c r="B453" s="2" t="s">
        <v>621</v>
      </c>
      <c r="C453" s="2" t="s">
        <v>1799</v>
      </c>
      <c r="D453" s="3">
        <v>45443</v>
      </c>
      <c r="E453" s="2" t="s">
        <v>1794</v>
      </c>
      <c r="F453" t="str">
        <f t="shared" si="77"/>
        <v>yes</v>
      </c>
      <c r="G453">
        <f t="shared" si="78"/>
        <v>70</v>
      </c>
      <c r="H453" t="str">
        <f t="shared" si="79"/>
        <v>Not satisfied with the quality.</v>
      </c>
      <c r="I453" t="str">
        <f t="shared" si="80"/>
        <v>Not satisfied with the quality.</v>
      </c>
      <c r="J453">
        <f t="shared" si="81"/>
        <v>31</v>
      </c>
      <c r="K453" t="str">
        <f t="shared" si="82"/>
        <v>Not satisf</v>
      </c>
      <c r="L453">
        <f t="shared" si="83"/>
        <v>5</v>
      </c>
      <c r="M453">
        <f t="shared" ca="1" si="84"/>
        <v>875</v>
      </c>
      <c r="N453" t="str">
        <f t="shared" si="85"/>
        <v>WEEKDAY</v>
      </c>
      <c r="O453" t="str">
        <f t="shared" si="86"/>
        <v>31-May-2024</v>
      </c>
      <c r="P453" t="str">
        <f t="shared" si="87"/>
        <v>Isha Khan-Smartwatch</v>
      </c>
    </row>
    <row r="454" spans="1:16" x14ac:dyDescent="0.4">
      <c r="A454" s="2" t="s">
        <v>2256</v>
      </c>
      <c r="B454" s="2" t="s">
        <v>271</v>
      </c>
      <c r="C454" s="2" t="s">
        <v>1796</v>
      </c>
      <c r="D454" s="3">
        <v>45592</v>
      </c>
      <c r="E454" s="2" t="s">
        <v>1803</v>
      </c>
      <c r="F454" t="str">
        <f t="shared" si="77"/>
        <v>yes</v>
      </c>
      <c r="G454">
        <f t="shared" si="78"/>
        <v>70</v>
      </c>
      <c r="H454" t="str">
        <f t="shared" si="79"/>
        <v>Delivery was late but product is good.</v>
      </c>
      <c r="I454" t="str">
        <f t="shared" si="80"/>
        <v>Delivery was delayed but product is good.</v>
      </c>
      <c r="J454">
        <f t="shared" si="81"/>
        <v>41</v>
      </c>
      <c r="K454" t="str">
        <f t="shared" si="82"/>
        <v>Delivery w</v>
      </c>
      <c r="L454">
        <f t="shared" si="83"/>
        <v>10</v>
      </c>
      <c r="M454">
        <f t="shared" ca="1" si="84"/>
        <v>726</v>
      </c>
      <c r="N454" t="str">
        <f t="shared" si="85"/>
        <v>WEEKEND</v>
      </c>
      <c r="O454" t="str">
        <f t="shared" si="86"/>
        <v>27-Oct-2024</v>
      </c>
      <c r="P454" t="str">
        <f t="shared" si="87"/>
        <v>Arjun Joshi-Laptop</v>
      </c>
    </row>
    <row r="455" spans="1:16" x14ac:dyDescent="0.4">
      <c r="A455" s="2" t="s">
        <v>2257</v>
      </c>
      <c r="B455" s="2" t="s">
        <v>78</v>
      </c>
      <c r="C455" s="2" t="s">
        <v>1802</v>
      </c>
      <c r="D455" s="3">
        <v>45635</v>
      </c>
      <c r="E455" s="2" t="s">
        <v>1797</v>
      </c>
      <c r="F455" t="str">
        <f t="shared" si="77"/>
        <v>yes</v>
      </c>
      <c r="G455">
        <f t="shared" si="78"/>
        <v>70</v>
      </c>
      <c r="H455" t="str">
        <f t="shared" si="79"/>
        <v>Product was excellent and delivery was fast.</v>
      </c>
      <c r="I455" t="str">
        <f t="shared" si="80"/>
        <v>Product was excellent and delivery was fast.</v>
      </c>
      <c r="J455">
        <f t="shared" si="81"/>
        <v>44</v>
      </c>
      <c r="K455" t="str">
        <f t="shared" si="82"/>
        <v>Product wa</v>
      </c>
      <c r="L455">
        <f t="shared" si="83"/>
        <v>12</v>
      </c>
      <c r="M455">
        <f t="shared" ca="1" si="84"/>
        <v>683</v>
      </c>
      <c r="N455" t="str">
        <f t="shared" si="85"/>
        <v>WEEKDAY</v>
      </c>
      <c r="O455" t="str">
        <f t="shared" si="86"/>
        <v>09-Dec-2024</v>
      </c>
      <c r="P455" t="str">
        <f t="shared" si="87"/>
        <v>Ananya Patel-Mobile</v>
      </c>
    </row>
    <row r="456" spans="1:16" x14ac:dyDescent="0.4">
      <c r="A456" s="2" t="s">
        <v>2258</v>
      </c>
      <c r="B456" s="2" t="s">
        <v>209</v>
      </c>
      <c r="C456" s="2" t="s">
        <v>1802</v>
      </c>
      <c r="D456" s="3">
        <v>45335</v>
      </c>
      <c r="E456" s="2" t="s">
        <v>1794</v>
      </c>
      <c r="F456" t="str">
        <f t="shared" si="77"/>
        <v>yes</v>
      </c>
      <c r="G456">
        <f t="shared" si="78"/>
        <v>70</v>
      </c>
      <c r="H456" t="str">
        <f t="shared" si="79"/>
        <v>Product was excellent and delivery was fast.</v>
      </c>
      <c r="I456" t="str">
        <f t="shared" si="80"/>
        <v>Product was excellent and delivery was fast.</v>
      </c>
      <c r="J456">
        <f t="shared" si="81"/>
        <v>44</v>
      </c>
      <c r="K456" t="str">
        <f t="shared" si="82"/>
        <v>Product wa</v>
      </c>
      <c r="L456">
        <f t="shared" si="83"/>
        <v>2</v>
      </c>
      <c r="M456">
        <f t="shared" ca="1" si="84"/>
        <v>983</v>
      </c>
      <c r="N456" t="str">
        <f t="shared" si="85"/>
        <v>WEEKDAY</v>
      </c>
      <c r="O456" t="str">
        <f t="shared" si="86"/>
        <v>13-Feb-2024</v>
      </c>
      <c r="P456" t="str">
        <f t="shared" si="87"/>
        <v>Aarav Patel-Smartwatch</v>
      </c>
    </row>
    <row r="457" spans="1:16" x14ac:dyDescent="0.4">
      <c r="A457" s="2" t="s">
        <v>2259</v>
      </c>
      <c r="B457" s="2" t="s">
        <v>86</v>
      </c>
      <c r="C457" s="2" t="s">
        <v>1793</v>
      </c>
      <c r="D457" s="3">
        <v>45458</v>
      </c>
      <c r="E457" s="2" t="s">
        <v>1803</v>
      </c>
      <c r="F457" t="str">
        <f t="shared" si="77"/>
        <v>yes</v>
      </c>
      <c r="G457">
        <f t="shared" si="78"/>
        <v>70</v>
      </c>
      <c r="H457" t="str">
        <f t="shared" si="79"/>
        <v>Received damaged item, requested replacement.</v>
      </c>
      <c r="I457" t="str">
        <f t="shared" si="80"/>
        <v>Received damaged item, requested replacement.</v>
      </c>
      <c r="J457">
        <f t="shared" si="81"/>
        <v>45</v>
      </c>
      <c r="K457" t="str">
        <f t="shared" si="82"/>
        <v>Received d</v>
      </c>
      <c r="L457">
        <f t="shared" si="83"/>
        <v>6</v>
      </c>
      <c r="M457">
        <f t="shared" ca="1" si="84"/>
        <v>860</v>
      </c>
      <c r="N457" t="str">
        <f t="shared" si="85"/>
        <v>WEEKEND</v>
      </c>
      <c r="O457" t="str">
        <f t="shared" si="86"/>
        <v>15-Jun-2024</v>
      </c>
      <c r="P457" t="str">
        <f t="shared" si="87"/>
        <v>Kabir Singh-Laptop</v>
      </c>
    </row>
    <row r="458" spans="1:16" x14ac:dyDescent="0.4">
      <c r="A458" s="2" t="s">
        <v>2260</v>
      </c>
      <c r="B458" s="2" t="s">
        <v>35</v>
      </c>
      <c r="C458" s="2" t="s">
        <v>1809</v>
      </c>
      <c r="D458" s="3">
        <v>45301</v>
      </c>
      <c r="E458" s="2" t="s">
        <v>1820</v>
      </c>
      <c r="F458" t="str">
        <f t="shared" si="77"/>
        <v>yes</v>
      </c>
      <c r="G458">
        <f t="shared" si="78"/>
        <v>70</v>
      </c>
      <c r="H458" t="str">
        <f t="shared" si="79"/>
        <v>Customer support was helpful.</v>
      </c>
      <c r="I458" t="str">
        <f t="shared" si="80"/>
        <v>Customer support was helpful.</v>
      </c>
      <c r="J458">
        <f t="shared" si="81"/>
        <v>29</v>
      </c>
      <c r="K458" t="str">
        <f t="shared" si="82"/>
        <v>Customer s</v>
      </c>
      <c r="L458">
        <f t="shared" si="83"/>
        <v>1</v>
      </c>
      <c r="M458">
        <f t="shared" ca="1" si="84"/>
        <v>1017</v>
      </c>
      <c r="N458" t="str">
        <f t="shared" si="85"/>
        <v>WEEKDAY</v>
      </c>
      <c r="O458" t="str">
        <f t="shared" si="86"/>
        <v>10-Jan-2024</v>
      </c>
      <c r="P458" t="str">
        <f t="shared" si="87"/>
        <v>Isha Das-Printer</v>
      </c>
    </row>
    <row r="459" spans="1:16" x14ac:dyDescent="0.4">
      <c r="A459" s="2" t="s">
        <v>2261</v>
      </c>
      <c r="B459" s="2" t="s">
        <v>567</v>
      </c>
      <c r="C459" s="2" t="s">
        <v>1799</v>
      </c>
      <c r="D459" s="3">
        <v>45330</v>
      </c>
      <c r="E459" s="2" t="s">
        <v>1810</v>
      </c>
      <c r="F459" t="str">
        <f t="shared" si="77"/>
        <v>yes</v>
      </c>
      <c r="G459">
        <f t="shared" si="78"/>
        <v>70</v>
      </c>
      <c r="H459" t="str">
        <f t="shared" si="79"/>
        <v>Not satisfied with the quality.</v>
      </c>
      <c r="I459" t="str">
        <f t="shared" si="80"/>
        <v>Not satisfied with the quality.</v>
      </c>
      <c r="J459">
        <f t="shared" si="81"/>
        <v>31</v>
      </c>
      <c r="K459" t="str">
        <f t="shared" si="82"/>
        <v>Not satisf</v>
      </c>
      <c r="L459">
        <f t="shared" si="83"/>
        <v>2</v>
      </c>
      <c r="M459">
        <f t="shared" ca="1" si="84"/>
        <v>988</v>
      </c>
      <c r="N459" t="str">
        <f t="shared" si="85"/>
        <v>WEEKDAY</v>
      </c>
      <c r="O459" t="str">
        <f t="shared" si="86"/>
        <v>08-Feb-2024</v>
      </c>
      <c r="P459" t="str">
        <f t="shared" si="87"/>
        <v>Arjun Patel-Tablet</v>
      </c>
    </row>
    <row r="460" spans="1:16" x14ac:dyDescent="0.4">
      <c r="A460" s="2" t="s">
        <v>2262</v>
      </c>
      <c r="B460" s="2" t="s">
        <v>125</v>
      </c>
      <c r="C460" s="2" t="s">
        <v>1809</v>
      </c>
      <c r="D460" s="3">
        <v>45514</v>
      </c>
      <c r="E460" s="2" t="s">
        <v>1797</v>
      </c>
      <c r="F460" t="str">
        <f t="shared" si="77"/>
        <v>yes</v>
      </c>
      <c r="G460">
        <f t="shared" si="78"/>
        <v>70</v>
      </c>
      <c r="H460" t="str">
        <f t="shared" si="79"/>
        <v>Customer support was helpful.</v>
      </c>
      <c r="I460" t="str">
        <f t="shared" si="80"/>
        <v>Customer support was helpful.</v>
      </c>
      <c r="J460">
        <f t="shared" si="81"/>
        <v>29</v>
      </c>
      <c r="K460" t="str">
        <f t="shared" si="82"/>
        <v>Customer s</v>
      </c>
      <c r="L460">
        <f t="shared" si="83"/>
        <v>8</v>
      </c>
      <c r="M460">
        <f t="shared" ca="1" si="84"/>
        <v>804</v>
      </c>
      <c r="N460" t="str">
        <f t="shared" si="85"/>
        <v>WEEKEND</v>
      </c>
      <c r="O460" t="str">
        <f t="shared" si="86"/>
        <v>10-Aug-2024</v>
      </c>
      <c r="P460" t="str">
        <f t="shared" si="87"/>
        <v>Riya Sharma-Mobile</v>
      </c>
    </row>
    <row r="461" spans="1:16" x14ac:dyDescent="0.4">
      <c r="A461" s="2" t="s">
        <v>2263</v>
      </c>
      <c r="B461" s="2" t="s">
        <v>78</v>
      </c>
      <c r="C461" s="2" t="s">
        <v>1793</v>
      </c>
      <c r="D461" s="3">
        <v>45337</v>
      </c>
      <c r="E461" s="2" t="s">
        <v>1794</v>
      </c>
      <c r="F461" t="str">
        <f t="shared" si="77"/>
        <v>yes</v>
      </c>
      <c r="G461">
        <f t="shared" si="78"/>
        <v>70</v>
      </c>
      <c r="H461" t="str">
        <f t="shared" si="79"/>
        <v>Received damaged item, requested replacement.</v>
      </c>
      <c r="I461" t="str">
        <f t="shared" si="80"/>
        <v>Received damaged item, requested replacement.</v>
      </c>
      <c r="J461">
        <f t="shared" si="81"/>
        <v>45</v>
      </c>
      <c r="K461" t="str">
        <f t="shared" si="82"/>
        <v>Received d</v>
      </c>
      <c r="L461">
        <f t="shared" si="83"/>
        <v>2</v>
      </c>
      <c r="M461">
        <f t="shared" ca="1" si="84"/>
        <v>981</v>
      </c>
      <c r="N461" t="str">
        <f t="shared" si="85"/>
        <v>WEEKDAY</v>
      </c>
      <c r="O461" t="str">
        <f t="shared" si="86"/>
        <v>15-Feb-2024</v>
      </c>
      <c r="P461" t="str">
        <f t="shared" si="87"/>
        <v>Ananya Patel-Smartwatch</v>
      </c>
    </row>
    <row r="462" spans="1:16" x14ac:dyDescent="0.4">
      <c r="A462" s="2" t="s">
        <v>2264</v>
      </c>
      <c r="B462" s="2" t="s">
        <v>473</v>
      </c>
      <c r="C462" s="2" t="s">
        <v>1799</v>
      </c>
      <c r="D462" s="3">
        <v>45294</v>
      </c>
      <c r="E462" s="2" t="s">
        <v>1803</v>
      </c>
      <c r="F462" t="str">
        <f t="shared" si="77"/>
        <v>yes</v>
      </c>
      <c r="G462">
        <f t="shared" si="78"/>
        <v>70</v>
      </c>
      <c r="H462" t="str">
        <f t="shared" si="79"/>
        <v>Not satisfied with the quality.</v>
      </c>
      <c r="I462" t="str">
        <f t="shared" si="80"/>
        <v>Not satisfied with the quality.</v>
      </c>
      <c r="J462">
        <f t="shared" si="81"/>
        <v>31</v>
      </c>
      <c r="K462" t="str">
        <f t="shared" si="82"/>
        <v>Not satisf</v>
      </c>
      <c r="L462">
        <f t="shared" si="83"/>
        <v>1</v>
      </c>
      <c r="M462">
        <f t="shared" ca="1" si="84"/>
        <v>1024</v>
      </c>
      <c r="N462" t="str">
        <f t="shared" si="85"/>
        <v>WEEKDAY</v>
      </c>
      <c r="O462" t="str">
        <f t="shared" si="86"/>
        <v>03-Jan-2024</v>
      </c>
      <c r="P462" t="str">
        <f t="shared" si="87"/>
        <v>Meera Khan-Laptop</v>
      </c>
    </row>
    <row r="463" spans="1:16" x14ac:dyDescent="0.4">
      <c r="A463" s="2" t="s">
        <v>2265</v>
      </c>
      <c r="B463" s="2" t="s">
        <v>533</v>
      </c>
      <c r="C463" s="2" t="s">
        <v>1802</v>
      </c>
      <c r="D463" s="3">
        <v>45575</v>
      </c>
      <c r="E463" s="2" t="s">
        <v>1803</v>
      </c>
      <c r="F463" t="str">
        <f t="shared" si="77"/>
        <v>yes</v>
      </c>
      <c r="G463">
        <f t="shared" si="78"/>
        <v>70</v>
      </c>
      <c r="H463" t="str">
        <f t="shared" si="79"/>
        <v>Product was excellent and delivery was fast.</v>
      </c>
      <c r="I463" t="str">
        <f t="shared" si="80"/>
        <v>Product was excellent and delivery was fast.</v>
      </c>
      <c r="J463">
        <f t="shared" si="81"/>
        <v>44</v>
      </c>
      <c r="K463" t="str">
        <f t="shared" si="82"/>
        <v>Product wa</v>
      </c>
      <c r="L463">
        <f t="shared" si="83"/>
        <v>10</v>
      </c>
      <c r="M463">
        <f t="shared" ca="1" si="84"/>
        <v>743</v>
      </c>
      <c r="N463" t="str">
        <f t="shared" si="85"/>
        <v>WEEKDAY</v>
      </c>
      <c r="O463" t="str">
        <f t="shared" si="86"/>
        <v>10-Oct-2024</v>
      </c>
      <c r="P463" t="str">
        <f t="shared" si="87"/>
        <v>Aditya Sharma-Laptop</v>
      </c>
    </row>
    <row r="464" spans="1:16" x14ac:dyDescent="0.4">
      <c r="A464" s="2" t="s">
        <v>2266</v>
      </c>
      <c r="B464" s="2" t="s">
        <v>579</v>
      </c>
      <c r="C464" s="2" t="s">
        <v>1799</v>
      </c>
      <c r="D464" s="3">
        <v>45459</v>
      </c>
      <c r="E464" s="2" t="s">
        <v>1820</v>
      </c>
      <c r="F464" t="str">
        <f t="shared" si="77"/>
        <v>yes</v>
      </c>
      <c r="G464">
        <f t="shared" si="78"/>
        <v>70</v>
      </c>
      <c r="H464" t="str">
        <f t="shared" si="79"/>
        <v>Not satisfied with the quality.</v>
      </c>
      <c r="I464" t="str">
        <f t="shared" si="80"/>
        <v>Not satisfied with the quality.</v>
      </c>
      <c r="J464">
        <f t="shared" si="81"/>
        <v>31</v>
      </c>
      <c r="K464" t="str">
        <f t="shared" si="82"/>
        <v>Not satisf</v>
      </c>
      <c r="L464">
        <f t="shared" si="83"/>
        <v>6</v>
      </c>
      <c r="M464">
        <f t="shared" ca="1" si="84"/>
        <v>859</v>
      </c>
      <c r="N464" t="str">
        <f t="shared" si="85"/>
        <v>WEEKEND</v>
      </c>
      <c r="O464" t="str">
        <f t="shared" si="86"/>
        <v>16-Jun-2024</v>
      </c>
      <c r="P464" t="str">
        <f t="shared" si="87"/>
        <v>Diya Khan-Printer</v>
      </c>
    </row>
    <row r="465" spans="1:16" x14ac:dyDescent="0.4">
      <c r="A465" s="2" t="s">
        <v>2267</v>
      </c>
      <c r="B465" s="2" t="s">
        <v>187</v>
      </c>
      <c r="C465" s="2" t="s">
        <v>1809</v>
      </c>
      <c r="D465" s="3">
        <v>45433</v>
      </c>
      <c r="E465" s="2" t="s">
        <v>1797</v>
      </c>
      <c r="F465" t="str">
        <f t="shared" si="77"/>
        <v>yes</v>
      </c>
      <c r="G465">
        <f t="shared" si="78"/>
        <v>70</v>
      </c>
      <c r="H465" t="str">
        <f t="shared" si="79"/>
        <v>Customer support was helpful.</v>
      </c>
      <c r="I465" t="str">
        <f t="shared" si="80"/>
        <v>Customer support was helpful.</v>
      </c>
      <c r="J465">
        <f t="shared" si="81"/>
        <v>29</v>
      </c>
      <c r="K465" t="str">
        <f t="shared" si="82"/>
        <v>Customer s</v>
      </c>
      <c r="L465">
        <f t="shared" si="83"/>
        <v>5</v>
      </c>
      <c r="M465">
        <f t="shared" ca="1" si="84"/>
        <v>885</v>
      </c>
      <c r="N465" t="str">
        <f t="shared" si="85"/>
        <v>WEEKDAY</v>
      </c>
      <c r="O465" t="str">
        <f t="shared" si="86"/>
        <v>21-May-2024</v>
      </c>
      <c r="P465" t="str">
        <f t="shared" si="87"/>
        <v>Aarav Reddy-Mobile</v>
      </c>
    </row>
    <row r="466" spans="1:16" x14ac:dyDescent="0.4">
      <c r="A466" s="2" t="s">
        <v>2268</v>
      </c>
      <c r="B466" s="2" t="s">
        <v>187</v>
      </c>
      <c r="C466" s="2" t="s">
        <v>1793</v>
      </c>
      <c r="D466" s="3">
        <v>45641</v>
      </c>
      <c r="E466" s="2" t="s">
        <v>1820</v>
      </c>
      <c r="F466" t="str">
        <f t="shared" si="77"/>
        <v>yes</v>
      </c>
      <c r="G466">
        <f t="shared" si="78"/>
        <v>70</v>
      </c>
      <c r="H466" t="str">
        <f t="shared" si="79"/>
        <v>Received damaged item, requested replacement.</v>
      </c>
      <c r="I466" t="str">
        <f t="shared" si="80"/>
        <v>Received damaged item, requested replacement.</v>
      </c>
      <c r="J466">
        <f t="shared" si="81"/>
        <v>45</v>
      </c>
      <c r="K466" t="str">
        <f t="shared" si="82"/>
        <v>Received d</v>
      </c>
      <c r="L466">
        <f t="shared" si="83"/>
        <v>12</v>
      </c>
      <c r="M466">
        <f t="shared" ca="1" si="84"/>
        <v>677</v>
      </c>
      <c r="N466" t="str">
        <f t="shared" si="85"/>
        <v>WEEKEND</v>
      </c>
      <c r="O466" t="str">
        <f t="shared" si="86"/>
        <v>15-Dec-2024</v>
      </c>
      <c r="P466" t="str">
        <f t="shared" si="87"/>
        <v>Aarav Reddy-Printer</v>
      </c>
    </row>
    <row r="467" spans="1:16" x14ac:dyDescent="0.4">
      <c r="A467" s="2" t="s">
        <v>2269</v>
      </c>
      <c r="B467" s="2" t="s">
        <v>91</v>
      </c>
      <c r="C467" s="2" t="s">
        <v>1793</v>
      </c>
      <c r="D467" s="3">
        <v>45593</v>
      </c>
      <c r="E467" s="2" t="s">
        <v>1800</v>
      </c>
      <c r="F467" t="str">
        <f t="shared" si="77"/>
        <v>yes</v>
      </c>
      <c r="G467">
        <f t="shared" si="78"/>
        <v>70</v>
      </c>
      <c r="H467" t="str">
        <f t="shared" si="79"/>
        <v>Received damaged item, requested replacement.</v>
      </c>
      <c r="I467" t="str">
        <f t="shared" si="80"/>
        <v>Received damaged item, requested replacement.</v>
      </c>
      <c r="J467">
        <f t="shared" si="81"/>
        <v>45</v>
      </c>
      <c r="K467" t="str">
        <f t="shared" si="82"/>
        <v>Received d</v>
      </c>
      <c r="L467">
        <f t="shared" si="83"/>
        <v>10</v>
      </c>
      <c r="M467">
        <f t="shared" ca="1" si="84"/>
        <v>725</v>
      </c>
      <c r="N467" t="str">
        <f t="shared" si="85"/>
        <v>WEEKDAY</v>
      </c>
      <c r="O467" t="str">
        <f t="shared" si="86"/>
        <v>28-Oct-2024</v>
      </c>
      <c r="P467" t="str">
        <f t="shared" si="87"/>
        <v>Isha Mehta-Camera</v>
      </c>
    </row>
    <row r="468" spans="1:16" x14ac:dyDescent="0.4">
      <c r="A468" s="2" t="s">
        <v>2270</v>
      </c>
      <c r="B468" s="2" t="s">
        <v>449</v>
      </c>
      <c r="C468" s="2" t="s">
        <v>1815</v>
      </c>
      <c r="D468" s="3">
        <v>45565</v>
      </c>
      <c r="E468" s="2" t="s">
        <v>1797</v>
      </c>
      <c r="F468" t="str">
        <f t="shared" si="77"/>
        <v>yes</v>
      </c>
      <c r="G468">
        <f t="shared" si="78"/>
        <v>70</v>
      </c>
      <c r="H468" t="str">
        <f t="shared" si="79"/>
        <v>Great value for money!</v>
      </c>
      <c r="I468" t="str">
        <f t="shared" si="80"/>
        <v>Great value for money!</v>
      </c>
      <c r="J468">
        <f t="shared" si="81"/>
        <v>22</v>
      </c>
      <c r="K468" t="str">
        <f t="shared" si="82"/>
        <v>Great valu</v>
      </c>
      <c r="L468">
        <f t="shared" si="83"/>
        <v>9</v>
      </c>
      <c r="M468">
        <f t="shared" ca="1" si="84"/>
        <v>753</v>
      </c>
      <c r="N468" t="str">
        <f t="shared" si="85"/>
        <v>WEEKDAY</v>
      </c>
      <c r="O468" t="str">
        <f t="shared" si="86"/>
        <v>30-Sep-2024</v>
      </c>
      <c r="P468" t="str">
        <f t="shared" si="87"/>
        <v>Arjun Singh-Mobile</v>
      </c>
    </row>
    <row r="469" spans="1:16" x14ac:dyDescent="0.4">
      <c r="A469" s="2" t="s">
        <v>2271</v>
      </c>
      <c r="B469" s="2" t="s">
        <v>121</v>
      </c>
      <c r="C469" s="2" t="s">
        <v>1802</v>
      </c>
      <c r="D469" s="3">
        <v>45469</v>
      </c>
      <c r="E469" s="2" t="s">
        <v>1797</v>
      </c>
      <c r="F469" t="str">
        <f t="shared" si="77"/>
        <v>yes</v>
      </c>
      <c r="G469">
        <f t="shared" si="78"/>
        <v>70</v>
      </c>
      <c r="H469" t="str">
        <f t="shared" si="79"/>
        <v>Product was excellent and delivery was fast.</v>
      </c>
      <c r="I469" t="str">
        <f t="shared" si="80"/>
        <v>Product was excellent and delivery was fast.</v>
      </c>
      <c r="J469">
        <f t="shared" si="81"/>
        <v>44</v>
      </c>
      <c r="K469" t="str">
        <f t="shared" si="82"/>
        <v>Product wa</v>
      </c>
      <c r="L469">
        <f t="shared" si="83"/>
        <v>6</v>
      </c>
      <c r="M469">
        <f t="shared" ca="1" si="84"/>
        <v>849</v>
      </c>
      <c r="N469" t="str">
        <f t="shared" si="85"/>
        <v>WEEKDAY</v>
      </c>
      <c r="O469" t="str">
        <f t="shared" si="86"/>
        <v>26-Jun-2024</v>
      </c>
      <c r="P469" t="str">
        <f t="shared" si="87"/>
        <v>Ananya Sharma-Mobile</v>
      </c>
    </row>
    <row r="470" spans="1:16" x14ac:dyDescent="0.4">
      <c r="A470" s="2" t="s">
        <v>2272</v>
      </c>
      <c r="B470" s="2" t="s">
        <v>74</v>
      </c>
      <c r="C470" s="2" t="s">
        <v>1796</v>
      </c>
      <c r="D470" s="3">
        <v>45619</v>
      </c>
      <c r="E470" s="2" t="s">
        <v>1797</v>
      </c>
      <c r="F470" t="str">
        <f t="shared" si="77"/>
        <v>yes</v>
      </c>
      <c r="G470">
        <f t="shared" si="78"/>
        <v>70</v>
      </c>
      <c r="H470" t="str">
        <f t="shared" si="79"/>
        <v>Delivery was late but product is good.</v>
      </c>
      <c r="I470" t="str">
        <f t="shared" si="80"/>
        <v>Delivery was delayed but product is good.</v>
      </c>
      <c r="J470">
        <f t="shared" si="81"/>
        <v>41</v>
      </c>
      <c r="K470" t="str">
        <f t="shared" si="82"/>
        <v>Delivery w</v>
      </c>
      <c r="L470">
        <f t="shared" si="83"/>
        <v>11</v>
      </c>
      <c r="M470">
        <f t="shared" ca="1" si="84"/>
        <v>699</v>
      </c>
      <c r="N470" t="str">
        <f t="shared" si="85"/>
        <v>WEEKEND</v>
      </c>
      <c r="O470" t="str">
        <f t="shared" si="86"/>
        <v>23-Nov-2024</v>
      </c>
      <c r="P470" t="str">
        <f t="shared" si="87"/>
        <v>Riya Das-Mobile</v>
      </c>
    </row>
    <row r="471" spans="1:16" x14ac:dyDescent="0.4">
      <c r="A471" s="2" t="s">
        <v>2273</v>
      </c>
      <c r="B471" s="2" t="s">
        <v>333</v>
      </c>
      <c r="C471" s="2" t="s">
        <v>1796</v>
      </c>
      <c r="D471" s="3">
        <v>45434</v>
      </c>
      <c r="E471" s="2" t="s">
        <v>1820</v>
      </c>
      <c r="F471" t="str">
        <f t="shared" si="77"/>
        <v>yes</v>
      </c>
      <c r="G471">
        <f t="shared" si="78"/>
        <v>70</v>
      </c>
      <c r="H471" t="str">
        <f t="shared" si="79"/>
        <v>Delivery was late but product is good.</v>
      </c>
      <c r="I471" t="str">
        <f t="shared" si="80"/>
        <v>Delivery was delayed but product is good.</v>
      </c>
      <c r="J471">
        <f t="shared" si="81"/>
        <v>41</v>
      </c>
      <c r="K471" t="str">
        <f t="shared" si="82"/>
        <v>Delivery w</v>
      </c>
      <c r="L471">
        <f t="shared" si="83"/>
        <v>5</v>
      </c>
      <c r="M471">
        <f t="shared" ca="1" si="84"/>
        <v>884</v>
      </c>
      <c r="N471" t="str">
        <f t="shared" si="85"/>
        <v>WEEKDAY</v>
      </c>
      <c r="O471" t="str">
        <f t="shared" si="86"/>
        <v>22-May-2024</v>
      </c>
      <c r="P471" t="str">
        <f t="shared" si="87"/>
        <v>Aarav Singh-Printer</v>
      </c>
    </row>
    <row r="472" spans="1:16" x14ac:dyDescent="0.4">
      <c r="A472" s="2" t="s">
        <v>2274</v>
      </c>
      <c r="B472" s="2" t="s">
        <v>651</v>
      </c>
      <c r="C472" s="2" t="s">
        <v>1815</v>
      </c>
      <c r="D472" s="3">
        <v>45525</v>
      </c>
      <c r="E472" s="2" t="s">
        <v>1820</v>
      </c>
      <c r="F472" t="str">
        <f t="shared" si="77"/>
        <v>yes</v>
      </c>
      <c r="G472">
        <f t="shared" si="78"/>
        <v>70</v>
      </c>
      <c r="H472" t="str">
        <f t="shared" si="79"/>
        <v>Great value for money!</v>
      </c>
      <c r="I472" t="str">
        <f t="shared" si="80"/>
        <v>Great value for money!</v>
      </c>
      <c r="J472">
        <f t="shared" si="81"/>
        <v>22</v>
      </c>
      <c r="K472" t="str">
        <f t="shared" si="82"/>
        <v>Great valu</v>
      </c>
      <c r="L472">
        <f t="shared" si="83"/>
        <v>8</v>
      </c>
      <c r="M472">
        <f t="shared" ca="1" si="84"/>
        <v>793</v>
      </c>
      <c r="N472" t="str">
        <f t="shared" si="85"/>
        <v>WEEKDAY</v>
      </c>
      <c r="O472" t="str">
        <f t="shared" si="86"/>
        <v>21-Aug-2024</v>
      </c>
      <c r="P472" t="str">
        <f t="shared" si="87"/>
        <v>Aarav Nair-Printer</v>
      </c>
    </row>
    <row r="473" spans="1:16" x14ac:dyDescent="0.4">
      <c r="A473" s="2" t="s">
        <v>2275</v>
      </c>
      <c r="B473" s="2" t="s">
        <v>489</v>
      </c>
      <c r="C473" s="2" t="s">
        <v>1802</v>
      </c>
      <c r="D473" s="3">
        <v>45432</v>
      </c>
      <c r="E473" s="2" t="s">
        <v>1820</v>
      </c>
      <c r="F473" t="str">
        <f t="shared" si="77"/>
        <v>yes</v>
      </c>
      <c r="G473">
        <f t="shared" si="78"/>
        <v>70</v>
      </c>
      <c r="H473" t="str">
        <f t="shared" si="79"/>
        <v>Product was excellent and delivery was fast.</v>
      </c>
      <c r="I473" t="str">
        <f t="shared" si="80"/>
        <v>Product was excellent and delivery was fast.</v>
      </c>
      <c r="J473">
        <f t="shared" si="81"/>
        <v>44</v>
      </c>
      <c r="K473" t="str">
        <f t="shared" si="82"/>
        <v>Product wa</v>
      </c>
      <c r="L473">
        <f t="shared" si="83"/>
        <v>5</v>
      </c>
      <c r="M473">
        <f t="shared" ca="1" si="84"/>
        <v>886</v>
      </c>
      <c r="N473" t="str">
        <f t="shared" si="85"/>
        <v>WEEKDAY</v>
      </c>
      <c r="O473" t="str">
        <f t="shared" si="86"/>
        <v>20-May-2024</v>
      </c>
      <c r="P473" t="str">
        <f t="shared" si="87"/>
        <v>Arjun Reddy-Printer</v>
      </c>
    </row>
    <row r="474" spans="1:16" x14ac:dyDescent="0.4">
      <c r="A474" s="2" t="s">
        <v>2276</v>
      </c>
      <c r="B474" s="2" t="s">
        <v>411</v>
      </c>
      <c r="C474" s="2" t="s">
        <v>1809</v>
      </c>
      <c r="D474" s="3">
        <v>45572</v>
      </c>
      <c r="E474" s="2" t="s">
        <v>1810</v>
      </c>
      <c r="F474" t="str">
        <f t="shared" si="77"/>
        <v>yes</v>
      </c>
      <c r="G474">
        <f t="shared" si="78"/>
        <v>70</v>
      </c>
      <c r="H474" t="str">
        <f t="shared" si="79"/>
        <v>Customer support was helpful.</v>
      </c>
      <c r="I474" t="str">
        <f t="shared" si="80"/>
        <v>Customer support was helpful.</v>
      </c>
      <c r="J474">
        <f t="shared" si="81"/>
        <v>29</v>
      </c>
      <c r="K474" t="str">
        <f t="shared" si="82"/>
        <v>Customer s</v>
      </c>
      <c r="L474">
        <f t="shared" si="83"/>
        <v>10</v>
      </c>
      <c r="M474">
        <f t="shared" ca="1" si="84"/>
        <v>746</v>
      </c>
      <c r="N474" t="str">
        <f t="shared" si="85"/>
        <v>WEEKDAY</v>
      </c>
      <c r="O474" t="str">
        <f t="shared" si="86"/>
        <v>07-Oct-2024</v>
      </c>
      <c r="P474" t="str">
        <f t="shared" si="87"/>
        <v>Aarav Joshi-Tablet</v>
      </c>
    </row>
    <row r="475" spans="1:16" x14ac:dyDescent="0.4">
      <c r="A475" s="2" t="s">
        <v>2277</v>
      </c>
      <c r="B475" s="2" t="s">
        <v>133</v>
      </c>
      <c r="C475" s="2" t="s">
        <v>1793</v>
      </c>
      <c r="D475" s="3">
        <v>45293</v>
      </c>
      <c r="E475" s="2" t="s">
        <v>1797</v>
      </c>
      <c r="F475" t="str">
        <f t="shared" si="77"/>
        <v>yes</v>
      </c>
      <c r="G475">
        <f t="shared" si="78"/>
        <v>70</v>
      </c>
      <c r="H475" t="str">
        <f t="shared" si="79"/>
        <v>Received damaged item, requested replacement.</v>
      </c>
      <c r="I475" t="str">
        <f t="shared" si="80"/>
        <v>Received damaged item, requested replacement.</v>
      </c>
      <c r="J475">
        <f t="shared" si="81"/>
        <v>45</v>
      </c>
      <c r="K475" t="str">
        <f t="shared" si="82"/>
        <v>Received d</v>
      </c>
      <c r="L475">
        <f t="shared" si="83"/>
        <v>1</v>
      </c>
      <c r="M475">
        <f t="shared" ca="1" si="84"/>
        <v>1025</v>
      </c>
      <c r="N475" t="str">
        <f t="shared" si="85"/>
        <v>WEEKDAY</v>
      </c>
      <c r="O475" t="str">
        <f t="shared" si="86"/>
        <v>02-Jan-2024</v>
      </c>
      <c r="P475" t="str">
        <f t="shared" si="87"/>
        <v>Arjun Sharma-Mobile</v>
      </c>
    </row>
    <row r="476" spans="1:16" x14ac:dyDescent="0.4">
      <c r="A476" s="2" t="s">
        <v>2278</v>
      </c>
      <c r="B476" s="2" t="s">
        <v>82</v>
      </c>
      <c r="C476" s="2" t="s">
        <v>1799</v>
      </c>
      <c r="D476" s="3">
        <v>45612</v>
      </c>
      <c r="E476" s="2" t="s">
        <v>1797</v>
      </c>
      <c r="F476" t="str">
        <f t="shared" si="77"/>
        <v>yes</v>
      </c>
      <c r="G476">
        <f t="shared" si="78"/>
        <v>70</v>
      </c>
      <c r="H476" t="str">
        <f t="shared" si="79"/>
        <v>Not satisfied with the quality.</v>
      </c>
      <c r="I476" t="str">
        <f t="shared" si="80"/>
        <v>Not satisfied with the quality.</v>
      </c>
      <c r="J476">
        <f t="shared" si="81"/>
        <v>31</v>
      </c>
      <c r="K476" t="str">
        <f t="shared" si="82"/>
        <v>Not satisf</v>
      </c>
      <c r="L476">
        <f t="shared" si="83"/>
        <v>11</v>
      </c>
      <c r="M476">
        <f t="shared" ca="1" si="84"/>
        <v>706</v>
      </c>
      <c r="N476" t="str">
        <f t="shared" si="85"/>
        <v>WEEKEND</v>
      </c>
      <c r="O476" t="str">
        <f t="shared" si="86"/>
        <v>16-Nov-2024</v>
      </c>
      <c r="P476" t="str">
        <f t="shared" si="87"/>
        <v>Meera Joshi-Mobile</v>
      </c>
    </row>
    <row r="477" spans="1:16" x14ac:dyDescent="0.4">
      <c r="A477" s="2" t="s">
        <v>2279</v>
      </c>
      <c r="B477" s="2" t="s">
        <v>125</v>
      </c>
      <c r="C477" s="2" t="s">
        <v>1793</v>
      </c>
      <c r="D477" s="3">
        <v>45299</v>
      </c>
      <c r="E477" s="2" t="s">
        <v>1820</v>
      </c>
      <c r="F477" t="str">
        <f t="shared" si="77"/>
        <v>yes</v>
      </c>
      <c r="G477">
        <f t="shared" si="78"/>
        <v>70</v>
      </c>
      <c r="H477" t="str">
        <f t="shared" si="79"/>
        <v>Received damaged item, requested replacement.</v>
      </c>
      <c r="I477" t="str">
        <f t="shared" si="80"/>
        <v>Received damaged item, requested replacement.</v>
      </c>
      <c r="J477">
        <f t="shared" si="81"/>
        <v>45</v>
      </c>
      <c r="K477" t="str">
        <f t="shared" si="82"/>
        <v>Received d</v>
      </c>
      <c r="L477">
        <f t="shared" si="83"/>
        <v>1</v>
      </c>
      <c r="M477">
        <f t="shared" ca="1" si="84"/>
        <v>1019</v>
      </c>
      <c r="N477" t="str">
        <f t="shared" si="85"/>
        <v>WEEKDAY</v>
      </c>
      <c r="O477" t="str">
        <f t="shared" si="86"/>
        <v>08-Jan-2024</v>
      </c>
      <c r="P477" t="str">
        <f t="shared" si="87"/>
        <v>Riya Sharma-Printer</v>
      </c>
    </row>
    <row r="478" spans="1:16" x14ac:dyDescent="0.4">
      <c r="A478" s="2" t="s">
        <v>2280</v>
      </c>
      <c r="B478" s="2" t="s">
        <v>9</v>
      </c>
      <c r="C478" s="2" t="s">
        <v>1809</v>
      </c>
      <c r="D478" s="3">
        <v>45333</v>
      </c>
      <c r="E478" s="2" t="s">
        <v>1820</v>
      </c>
      <c r="F478" t="str">
        <f t="shared" si="77"/>
        <v>yes</v>
      </c>
      <c r="G478">
        <f t="shared" si="78"/>
        <v>70</v>
      </c>
      <c r="H478" t="str">
        <f t="shared" si="79"/>
        <v>Customer support was helpful.</v>
      </c>
      <c r="I478" t="str">
        <f t="shared" si="80"/>
        <v>Customer support was helpful.</v>
      </c>
      <c r="J478">
        <f t="shared" si="81"/>
        <v>29</v>
      </c>
      <c r="K478" t="str">
        <f t="shared" si="82"/>
        <v>Customer s</v>
      </c>
      <c r="L478">
        <f t="shared" si="83"/>
        <v>2</v>
      </c>
      <c r="M478">
        <f t="shared" ca="1" si="84"/>
        <v>985</v>
      </c>
      <c r="N478" t="str">
        <f t="shared" si="85"/>
        <v>WEEKEND</v>
      </c>
      <c r="O478" t="str">
        <f t="shared" si="86"/>
        <v>11-Feb-2024</v>
      </c>
      <c r="P478" t="str">
        <f t="shared" si="87"/>
        <v>Meera Mehta-Printer</v>
      </c>
    </row>
    <row r="479" spans="1:16" x14ac:dyDescent="0.4">
      <c r="A479" s="2" t="s">
        <v>2281</v>
      </c>
      <c r="B479" s="2" t="s">
        <v>239</v>
      </c>
      <c r="C479" s="2" t="s">
        <v>1796</v>
      </c>
      <c r="D479" s="3">
        <v>45485</v>
      </c>
      <c r="E479" s="2" t="s">
        <v>1820</v>
      </c>
      <c r="F479" t="str">
        <f t="shared" si="77"/>
        <v>yes</v>
      </c>
      <c r="G479">
        <f t="shared" si="78"/>
        <v>70</v>
      </c>
      <c r="H479" t="str">
        <f t="shared" si="79"/>
        <v>Delivery was late but product is good.</v>
      </c>
      <c r="I479" t="str">
        <f t="shared" si="80"/>
        <v>Delivery was delayed but product is good.</v>
      </c>
      <c r="J479">
        <f t="shared" si="81"/>
        <v>41</v>
      </c>
      <c r="K479" t="str">
        <f t="shared" si="82"/>
        <v>Delivery w</v>
      </c>
      <c r="L479">
        <f t="shared" si="83"/>
        <v>7</v>
      </c>
      <c r="M479">
        <f t="shared" ca="1" si="84"/>
        <v>833</v>
      </c>
      <c r="N479" t="str">
        <f t="shared" si="85"/>
        <v>WEEKDAY</v>
      </c>
      <c r="O479" t="str">
        <f t="shared" si="86"/>
        <v>12-Jul-2024</v>
      </c>
      <c r="P479" t="str">
        <f t="shared" si="87"/>
        <v>Vivaan Singh-Printer</v>
      </c>
    </row>
    <row r="480" spans="1:16" x14ac:dyDescent="0.4">
      <c r="A480" s="2" t="s">
        <v>2282</v>
      </c>
      <c r="B480" s="2" t="s">
        <v>9</v>
      </c>
      <c r="C480" s="2" t="s">
        <v>1809</v>
      </c>
      <c r="D480" s="3">
        <v>45538</v>
      </c>
      <c r="E480" s="2" t="s">
        <v>1810</v>
      </c>
      <c r="F480" t="str">
        <f t="shared" si="77"/>
        <v>yes</v>
      </c>
      <c r="G480">
        <f t="shared" si="78"/>
        <v>70</v>
      </c>
      <c r="H480" t="str">
        <f t="shared" si="79"/>
        <v>Customer support was helpful.</v>
      </c>
      <c r="I480" t="str">
        <f t="shared" si="80"/>
        <v>Customer support was helpful.</v>
      </c>
      <c r="J480">
        <f t="shared" si="81"/>
        <v>29</v>
      </c>
      <c r="K480" t="str">
        <f t="shared" si="82"/>
        <v>Customer s</v>
      </c>
      <c r="L480">
        <f t="shared" si="83"/>
        <v>9</v>
      </c>
      <c r="M480">
        <f t="shared" ca="1" si="84"/>
        <v>780</v>
      </c>
      <c r="N480" t="str">
        <f t="shared" si="85"/>
        <v>WEEKDAY</v>
      </c>
      <c r="O480" t="str">
        <f t="shared" si="86"/>
        <v>03-Sep-2024</v>
      </c>
      <c r="P480" t="str">
        <f t="shared" si="87"/>
        <v>Meera Mehta-Tablet</v>
      </c>
    </row>
    <row r="481" spans="1:16" x14ac:dyDescent="0.4">
      <c r="A481" s="2" t="s">
        <v>2283</v>
      </c>
      <c r="B481" s="2" t="s">
        <v>1119</v>
      </c>
      <c r="C481" s="2" t="s">
        <v>1796</v>
      </c>
      <c r="D481" s="3">
        <v>45578</v>
      </c>
      <c r="E481" s="2" t="s">
        <v>1820</v>
      </c>
      <c r="F481" t="str">
        <f t="shared" si="77"/>
        <v>yes</v>
      </c>
      <c r="G481">
        <f t="shared" si="78"/>
        <v>70</v>
      </c>
      <c r="H481" t="str">
        <f t="shared" si="79"/>
        <v>Delivery was late but product is good.</v>
      </c>
      <c r="I481" t="str">
        <f t="shared" si="80"/>
        <v>Delivery was delayed but product is good.</v>
      </c>
      <c r="J481">
        <f t="shared" si="81"/>
        <v>41</v>
      </c>
      <c r="K481" t="str">
        <f t="shared" si="82"/>
        <v>Delivery w</v>
      </c>
      <c r="L481">
        <f t="shared" si="83"/>
        <v>10</v>
      </c>
      <c r="M481">
        <f t="shared" ca="1" si="84"/>
        <v>740</v>
      </c>
      <c r="N481" t="str">
        <f t="shared" si="85"/>
        <v>WEEKEND</v>
      </c>
      <c r="O481" t="str">
        <f t="shared" si="86"/>
        <v>13-Oct-2024</v>
      </c>
      <c r="P481" t="str">
        <f t="shared" si="87"/>
        <v>Isha Joshi-Printer</v>
      </c>
    </row>
    <row r="482" spans="1:16" x14ac:dyDescent="0.4">
      <c r="A482" s="2" t="s">
        <v>2284</v>
      </c>
      <c r="B482" s="2" t="s">
        <v>267</v>
      </c>
      <c r="C482" s="2" t="s">
        <v>1799</v>
      </c>
      <c r="D482" s="3">
        <v>45308</v>
      </c>
      <c r="E482" s="2" t="s">
        <v>1797</v>
      </c>
      <c r="F482" t="str">
        <f t="shared" si="77"/>
        <v>yes</v>
      </c>
      <c r="G482">
        <f t="shared" si="78"/>
        <v>70</v>
      </c>
      <c r="H482" t="str">
        <f t="shared" si="79"/>
        <v>Not satisfied with the quality.</v>
      </c>
      <c r="I482" t="str">
        <f t="shared" si="80"/>
        <v>Not satisfied with the quality.</v>
      </c>
      <c r="J482">
        <f t="shared" si="81"/>
        <v>31</v>
      </c>
      <c r="K482" t="str">
        <f t="shared" si="82"/>
        <v>Not satisf</v>
      </c>
      <c r="L482">
        <f t="shared" si="83"/>
        <v>1</v>
      </c>
      <c r="M482">
        <f t="shared" ca="1" si="84"/>
        <v>1010</v>
      </c>
      <c r="N482" t="str">
        <f t="shared" si="85"/>
        <v>WEEKDAY</v>
      </c>
      <c r="O482" t="str">
        <f t="shared" si="86"/>
        <v>17-Jan-2024</v>
      </c>
      <c r="P482" t="str">
        <f t="shared" si="87"/>
        <v>Diya Mehta-Mobile</v>
      </c>
    </row>
    <row r="483" spans="1:16" x14ac:dyDescent="0.4">
      <c r="A483" s="2" t="s">
        <v>2285</v>
      </c>
      <c r="B483" s="2" t="s">
        <v>543</v>
      </c>
      <c r="C483" s="2" t="s">
        <v>1809</v>
      </c>
      <c r="D483" s="3">
        <v>45513</v>
      </c>
      <c r="E483" s="2" t="s">
        <v>1800</v>
      </c>
      <c r="F483" t="str">
        <f t="shared" si="77"/>
        <v>yes</v>
      </c>
      <c r="G483">
        <f t="shared" si="78"/>
        <v>70</v>
      </c>
      <c r="H483" t="str">
        <f t="shared" si="79"/>
        <v>Customer support was helpful.</v>
      </c>
      <c r="I483" t="str">
        <f t="shared" si="80"/>
        <v>Customer support was helpful.</v>
      </c>
      <c r="J483">
        <f t="shared" si="81"/>
        <v>29</v>
      </c>
      <c r="K483" t="str">
        <f t="shared" si="82"/>
        <v>Customer s</v>
      </c>
      <c r="L483">
        <f t="shared" si="83"/>
        <v>8</v>
      </c>
      <c r="M483">
        <f t="shared" ca="1" si="84"/>
        <v>805</v>
      </c>
      <c r="N483" t="str">
        <f t="shared" si="85"/>
        <v>WEEKDAY</v>
      </c>
      <c r="O483" t="str">
        <f t="shared" si="86"/>
        <v>09-Aug-2024</v>
      </c>
      <c r="P483" t="str">
        <f t="shared" si="87"/>
        <v>Vivaan Joshi-Camera</v>
      </c>
    </row>
    <row r="484" spans="1:16" x14ac:dyDescent="0.4">
      <c r="A484" s="2" t="s">
        <v>2286</v>
      </c>
      <c r="B484" s="2" t="s">
        <v>23</v>
      </c>
      <c r="C484" s="2" t="s">
        <v>1793</v>
      </c>
      <c r="D484" s="3">
        <v>45481</v>
      </c>
      <c r="E484" s="2" t="s">
        <v>1820</v>
      </c>
      <c r="F484" t="str">
        <f t="shared" si="77"/>
        <v>yes</v>
      </c>
      <c r="G484">
        <f t="shared" si="78"/>
        <v>70</v>
      </c>
      <c r="H484" t="str">
        <f t="shared" si="79"/>
        <v>Received damaged item, requested replacement.</v>
      </c>
      <c r="I484" t="str">
        <f t="shared" si="80"/>
        <v>Received damaged item, requested replacement.</v>
      </c>
      <c r="J484">
        <f t="shared" si="81"/>
        <v>45</v>
      </c>
      <c r="K484" t="str">
        <f t="shared" si="82"/>
        <v>Received d</v>
      </c>
      <c r="L484">
        <f t="shared" si="83"/>
        <v>7</v>
      </c>
      <c r="M484">
        <f t="shared" ca="1" si="84"/>
        <v>837</v>
      </c>
      <c r="N484" t="str">
        <f t="shared" si="85"/>
        <v>WEEKDAY</v>
      </c>
      <c r="O484" t="str">
        <f t="shared" si="86"/>
        <v>08-Jul-2024</v>
      </c>
      <c r="P484" t="str">
        <f t="shared" si="87"/>
        <v>Vivaan Mehta-Printer</v>
      </c>
    </row>
    <row r="485" spans="1:16" x14ac:dyDescent="0.4">
      <c r="A485" s="2" t="s">
        <v>2287</v>
      </c>
      <c r="B485" s="2" t="s">
        <v>121</v>
      </c>
      <c r="C485" s="2" t="s">
        <v>1809</v>
      </c>
      <c r="D485" s="3">
        <v>45296</v>
      </c>
      <c r="E485" s="2" t="s">
        <v>1797</v>
      </c>
      <c r="F485" t="str">
        <f t="shared" si="77"/>
        <v>yes</v>
      </c>
      <c r="G485">
        <f t="shared" si="78"/>
        <v>70</v>
      </c>
      <c r="H485" t="str">
        <f t="shared" si="79"/>
        <v>Customer support was helpful.</v>
      </c>
      <c r="I485" t="str">
        <f t="shared" si="80"/>
        <v>Customer support was helpful.</v>
      </c>
      <c r="J485">
        <f t="shared" si="81"/>
        <v>29</v>
      </c>
      <c r="K485" t="str">
        <f t="shared" si="82"/>
        <v>Customer s</v>
      </c>
      <c r="L485">
        <f t="shared" si="83"/>
        <v>1</v>
      </c>
      <c r="M485">
        <f t="shared" ca="1" si="84"/>
        <v>1022</v>
      </c>
      <c r="N485" t="str">
        <f t="shared" si="85"/>
        <v>WEEKDAY</v>
      </c>
      <c r="O485" t="str">
        <f t="shared" si="86"/>
        <v>05-Jan-2024</v>
      </c>
      <c r="P485" t="str">
        <f t="shared" si="87"/>
        <v>Ananya Sharma-Mobile</v>
      </c>
    </row>
    <row r="486" spans="1:16" x14ac:dyDescent="0.4">
      <c r="A486" s="2" t="s">
        <v>2288</v>
      </c>
      <c r="B486" s="2" t="s">
        <v>405</v>
      </c>
      <c r="C486" s="2" t="s">
        <v>1796</v>
      </c>
      <c r="D486" s="3">
        <v>45586</v>
      </c>
      <c r="E486" s="2" t="s">
        <v>1797</v>
      </c>
      <c r="F486" t="str">
        <f t="shared" si="77"/>
        <v>yes</v>
      </c>
      <c r="G486">
        <f t="shared" si="78"/>
        <v>70</v>
      </c>
      <c r="H486" t="str">
        <f t="shared" si="79"/>
        <v>Delivery was late but product is good.</v>
      </c>
      <c r="I486" t="str">
        <f t="shared" si="80"/>
        <v>Delivery was delayed but product is good.</v>
      </c>
      <c r="J486">
        <f t="shared" si="81"/>
        <v>41</v>
      </c>
      <c r="K486" t="str">
        <f t="shared" si="82"/>
        <v>Delivery w</v>
      </c>
      <c r="L486">
        <f t="shared" si="83"/>
        <v>10</v>
      </c>
      <c r="M486">
        <f t="shared" ca="1" si="84"/>
        <v>732</v>
      </c>
      <c r="N486" t="str">
        <f t="shared" si="85"/>
        <v>WEEKDAY</v>
      </c>
      <c r="O486" t="str">
        <f t="shared" si="86"/>
        <v>21-Oct-2024</v>
      </c>
      <c r="P486" t="str">
        <f t="shared" si="87"/>
        <v>Ananya Singh-Mobile</v>
      </c>
    </row>
    <row r="487" spans="1:16" x14ac:dyDescent="0.4">
      <c r="A487" s="2" t="s">
        <v>2289</v>
      </c>
      <c r="B487" s="2" t="s">
        <v>287</v>
      </c>
      <c r="C487" s="2" t="s">
        <v>1802</v>
      </c>
      <c r="D487" s="3">
        <v>45643</v>
      </c>
      <c r="E487" s="2" t="s">
        <v>1794</v>
      </c>
      <c r="F487" t="str">
        <f t="shared" si="77"/>
        <v>yes</v>
      </c>
      <c r="G487">
        <f t="shared" si="78"/>
        <v>70</v>
      </c>
      <c r="H487" t="str">
        <f t="shared" si="79"/>
        <v>Product was excellent and delivery was fast.</v>
      </c>
      <c r="I487" t="str">
        <f t="shared" si="80"/>
        <v>Product was excellent and delivery was fast.</v>
      </c>
      <c r="J487">
        <f t="shared" si="81"/>
        <v>44</v>
      </c>
      <c r="K487" t="str">
        <f t="shared" si="82"/>
        <v>Product wa</v>
      </c>
      <c r="L487">
        <f t="shared" si="83"/>
        <v>12</v>
      </c>
      <c r="M487">
        <f t="shared" ca="1" si="84"/>
        <v>675</v>
      </c>
      <c r="N487" t="str">
        <f t="shared" si="85"/>
        <v>WEEKDAY</v>
      </c>
      <c r="O487" t="str">
        <f t="shared" si="86"/>
        <v>17-Dec-2024</v>
      </c>
      <c r="P487" t="str">
        <f t="shared" si="87"/>
        <v>Meera Singh-Smartwatch</v>
      </c>
    </row>
    <row r="488" spans="1:16" x14ac:dyDescent="0.4">
      <c r="A488" s="2" t="s">
        <v>2290</v>
      </c>
      <c r="B488" s="2" t="s">
        <v>351</v>
      </c>
      <c r="C488" s="2" t="s">
        <v>1802</v>
      </c>
      <c r="D488" s="3">
        <v>45641</v>
      </c>
      <c r="E488" s="2" t="s">
        <v>1800</v>
      </c>
      <c r="F488" t="str">
        <f t="shared" si="77"/>
        <v>yes</v>
      </c>
      <c r="G488">
        <f t="shared" si="78"/>
        <v>70</v>
      </c>
      <c r="H488" t="str">
        <f t="shared" si="79"/>
        <v>Product was excellent and delivery was fast.</v>
      </c>
      <c r="I488" t="str">
        <f t="shared" si="80"/>
        <v>Product was excellent and delivery was fast.</v>
      </c>
      <c r="J488">
        <f t="shared" si="81"/>
        <v>44</v>
      </c>
      <c r="K488" t="str">
        <f t="shared" si="82"/>
        <v>Product wa</v>
      </c>
      <c r="L488">
        <f t="shared" si="83"/>
        <v>12</v>
      </c>
      <c r="M488">
        <f t="shared" ca="1" si="84"/>
        <v>677</v>
      </c>
      <c r="N488" t="str">
        <f t="shared" si="85"/>
        <v>WEEKEND</v>
      </c>
      <c r="O488" t="str">
        <f t="shared" si="86"/>
        <v>15-Dec-2024</v>
      </c>
      <c r="P488" t="str">
        <f t="shared" si="87"/>
        <v>Ananya Khan-Camera</v>
      </c>
    </row>
    <row r="489" spans="1:16" x14ac:dyDescent="0.4">
      <c r="A489" s="2" t="s">
        <v>2291</v>
      </c>
      <c r="B489" s="2" t="s">
        <v>23</v>
      </c>
      <c r="C489" s="2" t="s">
        <v>1809</v>
      </c>
      <c r="D489" s="3">
        <v>45632</v>
      </c>
      <c r="E489" s="2" t="s">
        <v>1820</v>
      </c>
      <c r="F489" t="str">
        <f t="shared" si="77"/>
        <v>yes</v>
      </c>
      <c r="G489">
        <f t="shared" si="78"/>
        <v>70</v>
      </c>
      <c r="H489" t="str">
        <f t="shared" si="79"/>
        <v>Customer support was helpful.</v>
      </c>
      <c r="I489" t="str">
        <f t="shared" si="80"/>
        <v>Customer support was helpful.</v>
      </c>
      <c r="J489">
        <f t="shared" si="81"/>
        <v>29</v>
      </c>
      <c r="K489" t="str">
        <f t="shared" si="82"/>
        <v>Customer s</v>
      </c>
      <c r="L489">
        <f t="shared" si="83"/>
        <v>12</v>
      </c>
      <c r="M489">
        <f t="shared" ca="1" si="84"/>
        <v>686</v>
      </c>
      <c r="N489" t="str">
        <f t="shared" si="85"/>
        <v>WEEKDAY</v>
      </c>
      <c r="O489" t="str">
        <f t="shared" si="86"/>
        <v>06-Dec-2024</v>
      </c>
      <c r="P489" t="str">
        <f t="shared" si="87"/>
        <v>Vivaan Mehta-Printer</v>
      </c>
    </row>
    <row r="490" spans="1:16" x14ac:dyDescent="0.4">
      <c r="A490" s="2" t="s">
        <v>2292</v>
      </c>
      <c r="B490" s="2" t="s">
        <v>43</v>
      </c>
      <c r="C490" s="2" t="s">
        <v>1809</v>
      </c>
      <c r="D490" s="3">
        <v>45464</v>
      </c>
      <c r="E490" s="2" t="s">
        <v>1797</v>
      </c>
      <c r="F490" t="str">
        <f t="shared" si="77"/>
        <v>yes</v>
      </c>
      <c r="G490">
        <f t="shared" si="78"/>
        <v>70</v>
      </c>
      <c r="H490" t="str">
        <f t="shared" si="79"/>
        <v>Customer support was helpful.</v>
      </c>
      <c r="I490" t="str">
        <f t="shared" si="80"/>
        <v>Customer support was helpful.</v>
      </c>
      <c r="J490">
        <f t="shared" si="81"/>
        <v>29</v>
      </c>
      <c r="K490" t="str">
        <f t="shared" si="82"/>
        <v>Customer s</v>
      </c>
      <c r="L490">
        <f t="shared" si="83"/>
        <v>6</v>
      </c>
      <c r="M490">
        <f t="shared" ca="1" si="84"/>
        <v>854</v>
      </c>
      <c r="N490" t="str">
        <f t="shared" si="85"/>
        <v>WEEKDAY</v>
      </c>
      <c r="O490" t="str">
        <f t="shared" si="86"/>
        <v>21-Jun-2024</v>
      </c>
      <c r="P490" t="str">
        <f t="shared" si="87"/>
        <v>Ananya Mehta-Mobile</v>
      </c>
    </row>
    <row r="491" spans="1:16" x14ac:dyDescent="0.4">
      <c r="A491" s="2" t="s">
        <v>2293</v>
      </c>
      <c r="B491" s="2" t="s">
        <v>405</v>
      </c>
      <c r="C491" s="2" t="s">
        <v>1815</v>
      </c>
      <c r="D491" s="3">
        <v>45445</v>
      </c>
      <c r="E491" s="2" t="s">
        <v>1797</v>
      </c>
      <c r="F491" t="str">
        <f t="shared" si="77"/>
        <v>yes</v>
      </c>
      <c r="G491">
        <f t="shared" si="78"/>
        <v>70</v>
      </c>
      <c r="H491" t="str">
        <f t="shared" si="79"/>
        <v>Great value for money!</v>
      </c>
      <c r="I491" t="str">
        <f t="shared" si="80"/>
        <v>Great value for money!</v>
      </c>
      <c r="J491">
        <f t="shared" si="81"/>
        <v>22</v>
      </c>
      <c r="K491" t="str">
        <f t="shared" si="82"/>
        <v>Great valu</v>
      </c>
      <c r="L491">
        <f t="shared" si="83"/>
        <v>6</v>
      </c>
      <c r="M491">
        <f t="shared" ca="1" si="84"/>
        <v>873</v>
      </c>
      <c r="N491" t="str">
        <f t="shared" si="85"/>
        <v>WEEKEND</v>
      </c>
      <c r="O491" t="str">
        <f t="shared" si="86"/>
        <v>02-Jun-2024</v>
      </c>
      <c r="P491" t="str">
        <f t="shared" si="87"/>
        <v>Ananya Singh-Mobile</v>
      </c>
    </row>
    <row r="492" spans="1:16" x14ac:dyDescent="0.4">
      <c r="A492" s="2" t="s">
        <v>2294</v>
      </c>
      <c r="B492" s="2" t="s">
        <v>70</v>
      </c>
      <c r="C492" s="2" t="s">
        <v>1809</v>
      </c>
      <c r="D492" s="3">
        <v>45401</v>
      </c>
      <c r="E492" s="2" t="s">
        <v>1800</v>
      </c>
      <c r="F492" t="str">
        <f t="shared" si="77"/>
        <v>yes</v>
      </c>
      <c r="G492">
        <f t="shared" si="78"/>
        <v>70</v>
      </c>
      <c r="H492" t="str">
        <f t="shared" si="79"/>
        <v>Customer support was helpful.</v>
      </c>
      <c r="I492" t="str">
        <f t="shared" si="80"/>
        <v>Customer support was helpful.</v>
      </c>
      <c r="J492">
        <f t="shared" si="81"/>
        <v>29</v>
      </c>
      <c r="K492" t="str">
        <f t="shared" si="82"/>
        <v>Customer s</v>
      </c>
      <c r="L492">
        <f t="shared" si="83"/>
        <v>4</v>
      </c>
      <c r="M492">
        <f t="shared" ca="1" si="84"/>
        <v>917</v>
      </c>
      <c r="N492" t="str">
        <f t="shared" si="85"/>
        <v>WEEKDAY</v>
      </c>
      <c r="O492" t="str">
        <f t="shared" si="86"/>
        <v>19-Apr-2024</v>
      </c>
      <c r="P492" t="str">
        <f t="shared" si="87"/>
        <v>Vivaan Khan-Camera</v>
      </c>
    </row>
    <row r="493" spans="1:16" x14ac:dyDescent="0.4">
      <c r="A493" s="2" t="s">
        <v>2295</v>
      </c>
      <c r="B493" s="2" t="s">
        <v>129</v>
      </c>
      <c r="C493" s="2" t="s">
        <v>1799</v>
      </c>
      <c r="D493" s="3">
        <v>45530</v>
      </c>
      <c r="E493" s="2" t="s">
        <v>1820</v>
      </c>
      <c r="F493" t="str">
        <f t="shared" si="77"/>
        <v>yes</v>
      </c>
      <c r="G493">
        <f t="shared" si="78"/>
        <v>70</v>
      </c>
      <c r="H493" t="str">
        <f t="shared" si="79"/>
        <v>Not satisfied with the quality.</v>
      </c>
      <c r="I493" t="str">
        <f t="shared" si="80"/>
        <v>Not satisfied with the quality.</v>
      </c>
      <c r="J493">
        <f t="shared" si="81"/>
        <v>31</v>
      </c>
      <c r="K493" t="str">
        <f t="shared" si="82"/>
        <v>Not satisf</v>
      </c>
      <c r="L493">
        <f t="shared" si="83"/>
        <v>8</v>
      </c>
      <c r="M493">
        <f t="shared" ca="1" si="84"/>
        <v>788</v>
      </c>
      <c r="N493" t="str">
        <f t="shared" si="85"/>
        <v>WEEKDAY</v>
      </c>
      <c r="O493" t="str">
        <f t="shared" si="86"/>
        <v>26-Aug-2024</v>
      </c>
      <c r="P493" t="str">
        <f t="shared" si="87"/>
        <v>Isha Nair-Printer</v>
      </c>
    </row>
    <row r="494" spans="1:16" x14ac:dyDescent="0.4">
      <c r="A494" s="2" t="s">
        <v>2296</v>
      </c>
      <c r="B494" s="2" t="s">
        <v>561</v>
      </c>
      <c r="C494" s="2" t="s">
        <v>1815</v>
      </c>
      <c r="D494" s="3">
        <v>45540</v>
      </c>
      <c r="E494" s="2" t="s">
        <v>1810</v>
      </c>
      <c r="F494" t="str">
        <f t="shared" si="77"/>
        <v>yes</v>
      </c>
      <c r="G494">
        <f t="shared" si="78"/>
        <v>70</v>
      </c>
      <c r="H494" t="str">
        <f t="shared" si="79"/>
        <v>Great value for money!</v>
      </c>
      <c r="I494" t="str">
        <f t="shared" si="80"/>
        <v>Great value for money!</v>
      </c>
      <c r="J494">
        <f t="shared" si="81"/>
        <v>22</v>
      </c>
      <c r="K494" t="str">
        <f t="shared" si="82"/>
        <v>Great valu</v>
      </c>
      <c r="L494">
        <f t="shared" si="83"/>
        <v>9</v>
      </c>
      <c r="M494">
        <f t="shared" ca="1" si="84"/>
        <v>778</v>
      </c>
      <c r="N494" t="str">
        <f t="shared" si="85"/>
        <v>WEEKDAY</v>
      </c>
      <c r="O494" t="str">
        <f t="shared" si="86"/>
        <v>05-Sep-2024</v>
      </c>
      <c r="P494" t="str">
        <f t="shared" si="87"/>
        <v>Arjun Das-Tablet</v>
      </c>
    </row>
    <row r="495" spans="1:16" x14ac:dyDescent="0.4">
      <c r="A495" s="2" t="s">
        <v>2297</v>
      </c>
      <c r="B495" s="2" t="s">
        <v>137</v>
      </c>
      <c r="C495" s="2" t="s">
        <v>1809</v>
      </c>
      <c r="D495" s="3">
        <v>45506</v>
      </c>
      <c r="E495" s="2" t="s">
        <v>1794</v>
      </c>
      <c r="F495" t="str">
        <f t="shared" si="77"/>
        <v>yes</v>
      </c>
      <c r="G495">
        <f t="shared" si="78"/>
        <v>70</v>
      </c>
      <c r="H495" t="str">
        <f t="shared" si="79"/>
        <v>Customer support was helpful.</v>
      </c>
      <c r="I495" t="str">
        <f t="shared" si="80"/>
        <v>Customer support was helpful.</v>
      </c>
      <c r="J495">
        <f t="shared" si="81"/>
        <v>29</v>
      </c>
      <c r="K495" t="str">
        <f t="shared" si="82"/>
        <v>Customer s</v>
      </c>
      <c r="L495">
        <f t="shared" si="83"/>
        <v>8</v>
      </c>
      <c r="M495">
        <f t="shared" ca="1" si="84"/>
        <v>812</v>
      </c>
      <c r="N495" t="str">
        <f t="shared" si="85"/>
        <v>WEEKDAY</v>
      </c>
      <c r="O495" t="str">
        <f t="shared" si="86"/>
        <v>02-Aug-2024</v>
      </c>
      <c r="P495" t="str">
        <f t="shared" si="87"/>
        <v>Aditya Singh-Smartwatch</v>
      </c>
    </row>
    <row r="496" spans="1:16" x14ac:dyDescent="0.4">
      <c r="A496" s="2" t="s">
        <v>2298</v>
      </c>
      <c r="B496" s="2" t="s">
        <v>191</v>
      </c>
      <c r="C496" s="2" t="s">
        <v>1809</v>
      </c>
      <c r="D496" s="3">
        <v>45404</v>
      </c>
      <c r="E496" s="2" t="s">
        <v>1820</v>
      </c>
      <c r="F496" t="str">
        <f t="shared" si="77"/>
        <v>yes</v>
      </c>
      <c r="G496">
        <f t="shared" si="78"/>
        <v>70</v>
      </c>
      <c r="H496" t="str">
        <f t="shared" si="79"/>
        <v>Customer support was helpful.</v>
      </c>
      <c r="I496" t="str">
        <f t="shared" si="80"/>
        <v>Customer support was helpful.</v>
      </c>
      <c r="J496">
        <f t="shared" si="81"/>
        <v>29</v>
      </c>
      <c r="K496" t="str">
        <f t="shared" si="82"/>
        <v>Customer s</v>
      </c>
      <c r="L496">
        <f t="shared" si="83"/>
        <v>4</v>
      </c>
      <c r="M496">
        <f t="shared" ca="1" si="84"/>
        <v>914</v>
      </c>
      <c r="N496" t="str">
        <f t="shared" si="85"/>
        <v>WEEKDAY</v>
      </c>
      <c r="O496" t="str">
        <f t="shared" si="86"/>
        <v>22-Apr-2024</v>
      </c>
      <c r="P496" t="str">
        <f t="shared" si="87"/>
        <v>Kabir Gupta-Printer</v>
      </c>
    </row>
    <row r="497" spans="1:16" x14ac:dyDescent="0.4">
      <c r="A497" s="2" t="s">
        <v>2299</v>
      </c>
      <c r="B497" s="2" t="s">
        <v>225</v>
      </c>
      <c r="C497" s="2" t="s">
        <v>1815</v>
      </c>
      <c r="D497" s="3">
        <v>45594</v>
      </c>
      <c r="E497" s="2" t="s">
        <v>1820</v>
      </c>
      <c r="F497" t="str">
        <f t="shared" si="77"/>
        <v>yes</v>
      </c>
      <c r="G497">
        <f t="shared" si="78"/>
        <v>70</v>
      </c>
      <c r="H497" t="str">
        <f t="shared" si="79"/>
        <v>Great value for money!</v>
      </c>
      <c r="I497" t="str">
        <f t="shared" si="80"/>
        <v>Great value for money!</v>
      </c>
      <c r="J497">
        <f t="shared" si="81"/>
        <v>22</v>
      </c>
      <c r="K497" t="str">
        <f t="shared" si="82"/>
        <v>Great valu</v>
      </c>
      <c r="L497">
        <f t="shared" si="83"/>
        <v>10</v>
      </c>
      <c r="M497">
        <f t="shared" ca="1" si="84"/>
        <v>724</v>
      </c>
      <c r="N497" t="str">
        <f t="shared" si="85"/>
        <v>WEEKDAY</v>
      </c>
      <c r="O497" t="str">
        <f t="shared" si="86"/>
        <v>29-Oct-2024</v>
      </c>
      <c r="P497" t="str">
        <f t="shared" si="87"/>
        <v>Arjun Gupta-Printer</v>
      </c>
    </row>
    <row r="498" spans="1:16" x14ac:dyDescent="0.4">
      <c r="A498" s="2" t="s">
        <v>2300</v>
      </c>
      <c r="B498" s="2" t="s">
        <v>395</v>
      </c>
      <c r="C498" s="2" t="s">
        <v>1799</v>
      </c>
      <c r="D498" s="3">
        <v>45299</v>
      </c>
      <c r="E498" s="2" t="s">
        <v>1800</v>
      </c>
      <c r="F498" t="str">
        <f t="shared" si="77"/>
        <v>yes</v>
      </c>
      <c r="G498">
        <f t="shared" si="78"/>
        <v>70</v>
      </c>
      <c r="H498" t="str">
        <f t="shared" si="79"/>
        <v>Not satisfied with the quality.</v>
      </c>
      <c r="I498" t="str">
        <f t="shared" si="80"/>
        <v>Not satisfied with the quality.</v>
      </c>
      <c r="J498">
        <f t="shared" si="81"/>
        <v>31</v>
      </c>
      <c r="K498" t="str">
        <f t="shared" si="82"/>
        <v>Not satisf</v>
      </c>
      <c r="L498">
        <f t="shared" si="83"/>
        <v>1</v>
      </c>
      <c r="M498">
        <f t="shared" ca="1" si="84"/>
        <v>1019</v>
      </c>
      <c r="N498" t="str">
        <f t="shared" si="85"/>
        <v>WEEKDAY</v>
      </c>
      <c r="O498" t="str">
        <f t="shared" si="86"/>
        <v>08-Jan-2024</v>
      </c>
      <c r="P498" t="str">
        <f t="shared" si="87"/>
        <v>Riya Nair-Camera</v>
      </c>
    </row>
    <row r="499" spans="1:16" x14ac:dyDescent="0.4">
      <c r="A499" s="2" t="s">
        <v>2301</v>
      </c>
      <c r="B499" s="2" t="s">
        <v>23</v>
      </c>
      <c r="C499" s="2" t="s">
        <v>1802</v>
      </c>
      <c r="D499" s="3">
        <v>45571</v>
      </c>
      <c r="E499" s="2" t="s">
        <v>1800</v>
      </c>
      <c r="F499" t="str">
        <f t="shared" si="77"/>
        <v>yes</v>
      </c>
      <c r="G499">
        <f t="shared" si="78"/>
        <v>70</v>
      </c>
      <c r="H499" t="str">
        <f t="shared" si="79"/>
        <v>Product was excellent and delivery was fast.</v>
      </c>
      <c r="I499" t="str">
        <f t="shared" si="80"/>
        <v>Product was excellent and delivery was fast.</v>
      </c>
      <c r="J499">
        <f t="shared" si="81"/>
        <v>44</v>
      </c>
      <c r="K499" t="str">
        <f t="shared" si="82"/>
        <v>Product wa</v>
      </c>
      <c r="L499">
        <f t="shared" si="83"/>
        <v>10</v>
      </c>
      <c r="M499">
        <f t="shared" ca="1" si="84"/>
        <v>747</v>
      </c>
      <c r="N499" t="str">
        <f t="shared" si="85"/>
        <v>WEEKEND</v>
      </c>
      <c r="O499" t="str">
        <f t="shared" si="86"/>
        <v>06-Oct-2024</v>
      </c>
      <c r="P499" t="str">
        <f t="shared" si="87"/>
        <v>Vivaan Mehta-Camera</v>
      </c>
    </row>
    <row r="500" spans="1:16" x14ac:dyDescent="0.4">
      <c r="A500" s="2" t="s">
        <v>2302</v>
      </c>
      <c r="B500" s="2" t="s">
        <v>235</v>
      </c>
      <c r="C500" s="2" t="s">
        <v>1802</v>
      </c>
      <c r="D500" s="3">
        <v>45401</v>
      </c>
      <c r="E500" s="2" t="s">
        <v>1794</v>
      </c>
      <c r="F500" t="str">
        <f t="shared" si="77"/>
        <v>yes</v>
      </c>
      <c r="G500">
        <f t="shared" si="78"/>
        <v>70</v>
      </c>
      <c r="H500" t="str">
        <f t="shared" si="79"/>
        <v>Product was excellent and delivery was fast.</v>
      </c>
      <c r="I500" t="str">
        <f t="shared" si="80"/>
        <v>Product was excellent and delivery was fast.</v>
      </c>
      <c r="J500">
        <f t="shared" si="81"/>
        <v>44</v>
      </c>
      <c r="K500" t="str">
        <f t="shared" si="82"/>
        <v>Product wa</v>
      </c>
      <c r="L500">
        <f t="shared" si="83"/>
        <v>4</v>
      </c>
      <c r="M500">
        <f t="shared" ca="1" si="84"/>
        <v>917</v>
      </c>
      <c r="N500" t="str">
        <f t="shared" si="85"/>
        <v>WEEKDAY</v>
      </c>
      <c r="O500" t="str">
        <f t="shared" si="86"/>
        <v>19-Apr-2024</v>
      </c>
      <c r="P500" t="str">
        <f t="shared" si="87"/>
        <v>Aarav Gupta-Smartwatch</v>
      </c>
    </row>
    <row r="501" spans="1:16" x14ac:dyDescent="0.4">
      <c r="A501" s="2" t="s">
        <v>2303</v>
      </c>
      <c r="B501" s="2" t="s">
        <v>279</v>
      </c>
      <c r="C501" s="2" t="s">
        <v>1793</v>
      </c>
      <c r="D501" s="3">
        <v>45421</v>
      </c>
      <c r="E501" s="2" t="s">
        <v>1800</v>
      </c>
      <c r="F501" t="str">
        <f t="shared" si="77"/>
        <v>yes</v>
      </c>
      <c r="G501">
        <f t="shared" si="78"/>
        <v>70</v>
      </c>
      <c r="H501" t="str">
        <f t="shared" si="79"/>
        <v>Received damaged item, requested replacement.</v>
      </c>
      <c r="I501" t="str">
        <f t="shared" si="80"/>
        <v>Received damaged item, requested replacement.</v>
      </c>
      <c r="J501">
        <f t="shared" si="81"/>
        <v>45</v>
      </c>
      <c r="K501" t="str">
        <f t="shared" si="82"/>
        <v>Received d</v>
      </c>
      <c r="L501">
        <f t="shared" si="83"/>
        <v>5</v>
      </c>
      <c r="M501">
        <f t="shared" ca="1" si="84"/>
        <v>897</v>
      </c>
      <c r="N501" t="str">
        <f t="shared" si="85"/>
        <v>WEEKDAY</v>
      </c>
      <c r="O501" t="str">
        <f t="shared" si="86"/>
        <v>09-May-2024</v>
      </c>
      <c r="P501" t="str">
        <f t="shared" si="87"/>
        <v>Diya Patel-Camera</v>
      </c>
    </row>
    <row r="502" spans="1:16" x14ac:dyDescent="0.4">
      <c r="G502">
        <f t="shared" si="78"/>
        <v>70</v>
      </c>
      <c r="H502" t="str">
        <f t="shared" si="79"/>
        <v/>
      </c>
      <c r="I502" t="str">
        <f t="shared" si="80"/>
        <v/>
      </c>
    </row>
    <row r="503" spans="1:16" x14ac:dyDescent="0.4">
      <c r="G503">
        <f t="shared" si="78"/>
        <v>70</v>
      </c>
      <c r="H503" t="str">
        <f t="shared" si="79"/>
        <v/>
      </c>
      <c r="I503" t="str">
        <f t="shared" si="80"/>
        <v/>
      </c>
    </row>
    <row r="504" spans="1:16" x14ac:dyDescent="0.4">
      <c r="G504">
        <f t="shared" si="78"/>
        <v>70</v>
      </c>
      <c r="H504" t="str">
        <f t="shared" si="79"/>
        <v/>
      </c>
      <c r="I504" t="str">
        <f t="shared" si="80"/>
        <v/>
      </c>
    </row>
    <row r="505" spans="1:16" x14ac:dyDescent="0.4">
      <c r="G505">
        <f t="shared" si="78"/>
        <v>70</v>
      </c>
      <c r="H505" t="str">
        <f t="shared" si="79"/>
        <v/>
      </c>
      <c r="I505" t="str">
        <f t="shared" si="80"/>
        <v/>
      </c>
    </row>
    <row r="506" spans="1:16" x14ac:dyDescent="0.4">
      <c r="G506">
        <f t="shared" si="78"/>
        <v>70</v>
      </c>
      <c r="H506" t="str">
        <f t="shared" si="79"/>
        <v/>
      </c>
      <c r="I506" t="str">
        <f t="shared" si="80"/>
        <v/>
      </c>
    </row>
    <row r="507" spans="1:16" x14ac:dyDescent="0.4">
      <c r="G507">
        <f t="shared" si="78"/>
        <v>70</v>
      </c>
      <c r="H507" t="str">
        <f t="shared" si="79"/>
        <v/>
      </c>
      <c r="I507" t="str">
        <f t="shared" si="80"/>
        <v/>
      </c>
    </row>
    <row r="508" spans="1:16" x14ac:dyDescent="0.4">
      <c r="G508">
        <f t="shared" si="78"/>
        <v>70</v>
      </c>
      <c r="H508" t="str">
        <f t="shared" si="79"/>
        <v/>
      </c>
      <c r="I508" t="str">
        <f t="shared" si="80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opLeftCell="A21" zoomScale="93" workbookViewId="0">
      <selection activeCell="B33" sqref="B33:B35"/>
    </sheetView>
  </sheetViews>
  <sheetFormatPr defaultRowHeight="14.6" x14ac:dyDescent="0.4"/>
  <cols>
    <col min="1" max="1" width="5.765625" bestFit="1" customWidth="1"/>
    <col min="2" max="2" width="43.3046875" bestFit="1" customWidth="1"/>
    <col min="3" max="3" width="17.765625" bestFit="1" customWidth="1"/>
    <col min="4" max="4" width="29.3046875" bestFit="1" customWidth="1"/>
    <col min="5" max="5" width="12.07421875" bestFit="1" customWidth="1"/>
    <col min="16384" max="16384" width="8.84375" customWidth="1"/>
  </cols>
  <sheetData>
    <row r="1" spans="1:5" x14ac:dyDescent="0.4">
      <c r="A1" s="1" t="s">
        <v>2304</v>
      </c>
      <c r="B1" s="1" t="s">
        <v>2305</v>
      </c>
      <c r="C1" s="1" t="s">
        <v>2306</v>
      </c>
      <c r="D1" s="4"/>
      <c r="E1" s="5"/>
    </row>
    <row r="2" spans="1:5" x14ac:dyDescent="0.4">
      <c r="A2" s="2">
        <v>1</v>
      </c>
      <c r="B2" s="2" t="s">
        <v>2307</v>
      </c>
      <c r="C2" s="2" t="s">
        <v>2308</v>
      </c>
      <c r="D2" s="2"/>
      <c r="E2" s="9"/>
    </row>
    <row r="3" spans="1:5" x14ac:dyDescent="0.4">
      <c r="A3" s="2">
        <v>2</v>
      </c>
      <c r="B3" s="2" t="s">
        <v>2309</v>
      </c>
      <c r="C3" s="2" t="s">
        <v>2308</v>
      </c>
      <c r="D3" s="2"/>
      <c r="E3" s="9"/>
    </row>
    <row r="4" spans="1:5" x14ac:dyDescent="0.4">
      <c r="A4" s="2">
        <v>3</v>
      </c>
      <c r="B4" s="2" t="s">
        <v>2310</v>
      </c>
      <c r="C4" s="2" t="s">
        <v>2308</v>
      </c>
      <c r="D4" s="2"/>
      <c r="E4" s="9"/>
    </row>
    <row r="5" spans="1:5" x14ac:dyDescent="0.4">
      <c r="A5" s="2">
        <v>4</v>
      </c>
      <c r="B5" s="2" t="s">
        <v>2311</v>
      </c>
      <c r="C5" s="2" t="s">
        <v>2308</v>
      </c>
      <c r="D5" s="2"/>
      <c r="E5" s="9"/>
    </row>
    <row r="6" spans="1:5" x14ac:dyDescent="0.4">
      <c r="A6" s="2">
        <v>5</v>
      </c>
      <c r="B6" s="2" t="s">
        <v>2312</v>
      </c>
      <c r="C6" s="2" t="s">
        <v>2308</v>
      </c>
      <c r="D6" s="2"/>
      <c r="E6" s="9"/>
    </row>
    <row r="7" spans="1:5" x14ac:dyDescent="0.4">
      <c r="A7" s="2">
        <v>6</v>
      </c>
      <c r="B7" s="2" t="s">
        <v>2313</v>
      </c>
      <c r="C7" s="2" t="s">
        <v>2308</v>
      </c>
      <c r="D7" s="2"/>
      <c r="E7" s="9"/>
    </row>
    <row r="8" spans="1:5" x14ac:dyDescent="0.4">
      <c r="A8" s="2">
        <v>7</v>
      </c>
      <c r="B8" s="2" t="s">
        <v>2314</v>
      </c>
      <c r="C8" s="2" t="s">
        <v>2308</v>
      </c>
      <c r="D8" s="2"/>
      <c r="E8" s="9"/>
    </row>
    <row r="9" spans="1:5" x14ac:dyDescent="0.4">
      <c r="A9" s="2">
        <v>8</v>
      </c>
      <c r="B9" s="2" t="s">
        <v>2315</v>
      </c>
      <c r="C9" s="2" t="s">
        <v>2308</v>
      </c>
      <c r="D9" s="2"/>
      <c r="E9" s="9"/>
    </row>
    <row r="10" spans="1:5" x14ac:dyDescent="0.4">
      <c r="A10" s="2">
        <v>9</v>
      </c>
      <c r="B10" s="2" t="s">
        <v>2316</v>
      </c>
      <c r="C10" s="2" t="s">
        <v>2308</v>
      </c>
      <c r="D10" s="2"/>
      <c r="E10" s="9"/>
    </row>
    <row r="11" spans="1:5" x14ac:dyDescent="0.4">
      <c r="A11" s="2">
        <v>10</v>
      </c>
      <c r="B11" s="2" t="s">
        <v>2317</v>
      </c>
      <c r="C11" s="2" t="s">
        <v>2308</v>
      </c>
      <c r="D11" s="2"/>
      <c r="E11" s="9"/>
    </row>
    <row r="12" spans="1:5" x14ac:dyDescent="0.4">
      <c r="A12" s="2">
        <v>11</v>
      </c>
      <c r="B12" s="2" t="s">
        <v>2318</v>
      </c>
      <c r="C12" s="2" t="s">
        <v>2319</v>
      </c>
      <c r="D12" s="2"/>
      <c r="E12" s="9"/>
    </row>
    <row r="13" spans="1:5" x14ac:dyDescent="0.4">
      <c r="A13" s="2">
        <v>12</v>
      </c>
      <c r="B13" s="2" t="s">
        <v>2320</v>
      </c>
      <c r="C13" s="2" t="s">
        <v>2319</v>
      </c>
      <c r="D13" s="2"/>
      <c r="E13" s="9"/>
    </row>
    <row r="14" spans="1:5" x14ac:dyDescent="0.4">
      <c r="A14" s="2">
        <v>13</v>
      </c>
      <c r="B14" s="2" t="s">
        <v>2321</v>
      </c>
      <c r="C14" s="2" t="s">
        <v>2319</v>
      </c>
      <c r="D14" s="2"/>
      <c r="E14" s="9"/>
    </row>
    <row r="15" spans="1:5" x14ac:dyDescent="0.4">
      <c r="A15" s="2">
        <v>14</v>
      </c>
      <c r="B15" s="2" t="s">
        <v>2322</v>
      </c>
      <c r="C15" s="2" t="s">
        <v>2319</v>
      </c>
      <c r="D15" s="2"/>
      <c r="E15" s="9"/>
    </row>
    <row r="16" spans="1:5" x14ac:dyDescent="0.4">
      <c r="A16" s="2">
        <v>15</v>
      </c>
      <c r="B16" s="2" t="s">
        <v>2323</v>
      </c>
      <c r="C16" s="2" t="s">
        <v>2319</v>
      </c>
      <c r="D16" s="2"/>
      <c r="E16" s="9"/>
    </row>
    <row r="17" spans="1:5" x14ac:dyDescent="0.4">
      <c r="A17" s="2">
        <v>16</v>
      </c>
      <c r="B17" s="2" t="s">
        <v>2324</v>
      </c>
      <c r="C17" s="2" t="s">
        <v>2325</v>
      </c>
      <c r="D17" s="2"/>
      <c r="E17" s="14"/>
    </row>
    <row r="18" spans="1:5" x14ac:dyDescent="0.4">
      <c r="A18" s="2">
        <v>17</v>
      </c>
      <c r="B18" s="2" t="s">
        <v>2326</v>
      </c>
      <c r="C18" s="2" t="s">
        <v>2325</v>
      </c>
      <c r="D18" s="2"/>
      <c r="E18" s="14"/>
    </row>
    <row r="19" spans="1:5" x14ac:dyDescent="0.4">
      <c r="A19" s="2">
        <v>18</v>
      </c>
      <c r="B19" s="2" t="s">
        <v>2327</v>
      </c>
      <c r="C19" s="2" t="s">
        <v>2325</v>
      </c>
      <c r="D19" s="2"/>
      <c r="E19" s="14"/>
    </row>
    <row r="20" spans="1:5" x14ac:dyDescent="0.4">
      <c r="A20" s="2">
        <v>19</v>
      </c>
      <c r="B20" s="2" t="s">
        <v>2328</v>
      </c>
      <c r="C20" s="2" t="s">
        <v>2325</v>
      </c>
      <c r="D20" s="2"/>
      <c r="E20" s="14"/>
    </row>
    <row r="21" spans="1:5" x14ac:dyDescent="0.4">
      <c r="A21" s="2">
        <v>20</v>
      </c>
      <c r="B21" s="2" t="s">
        <v>2329</v>
      </c>
      <c r="C21" s="2" t="s">
        <v>2330</v>
      </c>
      <c r="D21" s="2"/>
      <c r="E21" s="14"/>
    </row>
    <row r="22" spans="1:5" x14ac:dyDescent="0.4">
      <c r="A22" s="2">
        <v>21</v>
      </c>
      <c r="B22" s="2" t="s">
        <v>2331</v>
      </c>
      <c r="C22" s="2" t="s">
        <v>2330</v>
      </c>
      <c r="D22" s="2"/>
      <c r="E22" s="14"/>
    </row>
    <row r="23" spans="1:5" x14ac:dyDescent="0.4">
      <c r="A23" s="2">
        <v>22</v>
      </c>
      <c r="B23" s="2" t="s">
        <v>2332</v>
      </c>
      <c r="C23" s="2" t="s">
        <v>2330</v>
      </c>
      <c r="D23" s="2"/>
      <c r="E23" s="9"/>
    </row>
    <row r="24" spans="1:5" x14ac:dyDescent="0.4">
      <c r="A24" s="2">
        <v>23</v>
      </c>
      <c r="B24" s="2" t="s">
        <v>2333</v>
      </c>
      <c r="C24" s="2" t="s">
        <v>2330</v>
      </c>
      <c r="D24" s="2"/>
      <c r="E24" s="14"/>
    </row>
    <row r="25" spans="1:5" x14ac:dyDescent="0.4">
      <c r="A25" s="2">
        <v>24</v>
      </c>
      <c r="B25" s="2" t="s">
        <v>2334</v>
      </c>
      <c r="C25" s="2" t="s">
        <v>2330</v>
      </c>
      <c r="D25" s="2"/>
      <c r="E25" s="14"/>
    </row>
    <row r="26" spans="1:5" x14ac:dyDescent="0.4">
      <c r="A26" s="2">
        <v>25</v>
      </c>
      <c r="B26" s="2" t="s">
        <v>2335</v>
      </c>
      <c r="C26" s="2" t="s">
        <v>2330</v>
      </c>
      <c r="D26" s="2"/>
      <c r="E26" s="14"/>
    </row>
    <row r="27" spans="1:5" x14ac:dyDescent="0.4">
      <c r="A27" s="2">
        <v>26</v>
      </c>
      <c r="B27" s="2" t="s">
        <v>2336</v>
      </c>
      <c r="C27" s="2" t="s">
        <v>2330</v>
      </c>
      <c r="D27" s="2"/>
      <c r="E27" s="14"/>
    </row>
    <row r="28" spans="1:5" x14ac:dyDescent="0.4">
      <c r="A28" s="2">
        <v>27</v>
      </c>
      <c r="B28" s="2" t="s">
        <v>2337</v>
      </c>
      <c r="C28" s="2" t="s">
        <v>2330</v>
      </c>
      <c r="D28" s="2"/>
      <c r="E28" s="14"/>
    </row>
    <row r="29" spans="1:5" x14ac:dyDescent="0.4">
      <c r="A29" s="2">
        <v>28</v>
      </c>
      <c r="B29" s="2" t="s">
        <v>2338</v>
      </c>
      <c r="C29" s="2" t="s">
        <v>2330</v>
      </c>
      <c r="D29" s="2"/>
      <c r="E29" s="14"/>
    </row>
    <row r="30" spans="1:5" x14ac:dyDescent="0.4">
      <c r="A30" s="2">
        <v>29</v>
      </c>
      <c r="B30" s="2" t="s">
        <v>2339</v>
      </c>
      <c r="C30" s="2" t="s">
        <v>2330</v>
      </c>
      <c r="D30" s="2"/>
      <c r="E30" s="14"/>
    </row>
    <row r="31" spans="1:5" x14ac:dyDescent="0.4">
      <c r="A31" s="2">
        <v>30</v>
      </c>
      <c r="B31" s="2" t="s">
        <v>2340</v>
      </c>
      <c r="C31" s="2" t="s">
        <v>2330</v>
      </c>
      <c r="D31" s="2"/>
      <c r="E31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1"/>
  <sheetViews>
    <sheetView topLeftCell="F1" workbookViewId="0">
      <selection activeCell="K1" sqref="K1"/>
    </sheetView>
  </sheetViews>
  <sheetFormatPr defaultRowHeight="14.6" x14ac:dyDescent="0.4"/>
  <cols>
    <col min="1" max="1" width="8.53515625" bestFit="1" customWidth="1"/>
    <col min="2" max="2" width="16.53515625" bestFit="1" customWidth="1"/>
    <col min="3" max="4" width="18.07421875" bestFit="1" customWidth="1"/>
    <col min="5" max="5" width="13.4609375" bestFit="1" customWidth="1"/>
    <col min="6" max="6" width="18" bestFit="1" customWidth="1"/>
    <col min="7" max="7" width="16.3828125" bestFit="1" customWidth="1"/>
    <col min="10" max="10" width="25.765625" bestFit="1" customWidth="1"/>
  </cols>
  <sheetData>
    <row r="1" spans="1:11" x14ac:dyDescent="0.4">
      <c r="A1" s="1" t="s">
        <v>1275</v>
      </c>
      <c r="B1" s="1" t="s">
        <v>1276</v>
      </c>
      <c r="C1" s="1" t="s">
        <v>1277</v>
      </c>
      <c r="D1" s="1" t="s">
        <v>1278</v>
      </c>
      <c r="E1" s="1" t="s">
        <v>1279</v>
      </c>
      <c r="F1" s="1" t="s">
        <v>1280</v>
      </c>
      <c r="G1" s="13" t="s">
        <v>2376</v>
      </c>
      <c r="H1" s="13" t="s">
        <v>2377</v>
      </c>
      <c r="I1" s="13" t="s">
        <v>2378</v>
      </c>
      <c r="J1" s="13" t="s">
        <v>2379</v>
      </c>
      <c r="K1" s="13"/>
    </row>
    <row r="2" spans="1:11" x14ac:dyDescent="0.4">
      <c r="A2" s="2" t="s">
        <v>1281</v>
      </c>
      <c r="B2" s="2" t="s">
        <v>1282</v>
      </c>
      <c r="C2" s="3">
        <v>45462</v>
      </c>
      <c r="D2" s="3">
        <v>45467</v>
      </c>
      <c r="E2" s="2">
        <v>5</v>
      </c>
      <c r="F2" s="2" t="s">
        <v>64</v>
      </c>
      <c r="G2" t="str">
        <f ca="1">IF(AND(C2&lt;=TODAY()+30,D2&gt;=TODAY()),"Upcoming","Not coming events")</f>
        <v>Not coming events</v>
      </c>
      <c r="H2">
        <f>DATEDIF(C2,D2,"d")</f>
        <v>5</v>
      </c>
      <c r="I2" t="str">
        <f>TEXT(C2,"mmm")</f>
        <v>Jun</v>
      </c>
      <c r="J2" t="str">
        <f>_xlfn.CONCAT(B2,"-",F2)</f>
        <v>Annual Review-M. Khan</v>
      </c>
    </row>
    <row r="3" spans="1:11" x14ac:dyDescent="0.4">
      <c r="A3" s="2" t="s">
        <v>1283</v>
      </c>
      <c r="B3" s="2" t="s">
        <v>1284</v>
      </c>
      <c r="C3" s="3">
        <v>45301</v>
      </c>
      <c r="D3" s="3">
        <v>45305</v>
      </c>
      <c r="E3" s="2">
        <v>4</v>
      </c>
      <c r="F3" s="2" t="s">
        <v>28</v>
      </c>
      <c r="G3" t="str">
        <f t="shared" ref="G3:G66" ca="1" si="0">IF(AND(C3&lt;=TODAY()+30,D3&gt;=TODAY()),"Upcoming","Not coming events")</f>
        <v>Not coming events</v>
      </c>
      <c r="H3">
        <f t="shared" ref="H3:H66" si="1">DATEDIF(C3,D3,"d")</f>
        <v>4</v>
      </c>
      <c r="I3" t="str">
        <f t="shared" ref="I3:I66" si="2">TEXT(C3,"mmm")</f>
        <v>Jan</v>
      </c>
      <c r="J3" t="str">
        <f t="shared" ref="J3:J66" si="3">_xlfn.CONCAT(B3,"-",F3)</f>
        <v>Workshop-A. Sharma</v>
      </c>
    </row>
    <row r="4" spans="1:11" x14ac:dyDescent="0.4">
      <c r="A4" s="2" t="s">
        <v>1285</v>
      </c>
      <c r="B4" s="2" t="s">
        <v>1286</v>
      </c>
      <c r="C4" s="3">
        <v>45397</v>
      </c>
      <c r="D4" s="3">
        <v>45400</v>
      </c>
      <c r="E4" s="2">
        <v>3</v>
      </c>
      <c r="F4" s="2" t="s">
        <v>28</v>
      </c>
      <c r="G4" t="str">
        <f t="shared" ca="1" si="0"/>
        <v>Not coming events</v>
      </c>
      <c r="H4">
        <f t="shared" si="1"/>
        <v>3</v>
      </c>
      <c r="I4" t="str">
        <f t="shared" si="2"/>
        <v>Apr</v>
      </c>
      <c r="J4" t="str">
        <f t="shared" si="3"/>
        <v>Product Launch-A. Sharma</v>
      </c>
    </row>
    <row r="5" spans="1:11" x14ac:dyDescent="0.4">
      <c r="A5" s="2" t="s">
        <v>1287</v>
      </c>
      <c r="B5" s="2" t="s">
        <v>1288</v>
      </c>
      <c r="C5" s="3">
        <v>45354</v>
      </c>
      <c r="D5" s="3">
        <v>45355</v>
      </c>
      <c r="E5" s="2">
        <v>1</v>
      </c>
      <c r="F5" s="2" t="s">
        <v>64</v>
      </c>
      <c r="G5" t="str">
        <f t="shared" ca="1" si="0"/>
        <v>Not coming events</v>
      </c>
      <c r="H5">
        <f t="shared" si="1"/>
        <v>1</v>
      </c>
      <c r="I5" t="str">
        <f t="shared" si="2"/>
        <v>Mar</v>
      </c>
      <c r="J5" t="str">
        <f t="shared" si="3"/>
        <v>Team Meeting-M. Khan</v>
      </c>
    </row>
    <row r="6" spans="1:11" x14ac:dyDescent="0.4">
      <c r="A6" s="2" t="s">
        <v>1289</v>
      </c>
      <c r="B6" s="2" t="s">
        <v>1288</v>
      </c>
      <c r="C6" s="3">
        <v>45304</v>
      </c>
      <c r="D6" s="3">
        <v>45309</v>
      </c>
      <c r="E6" s="2">
        <v>5</v>
      </c>
      <c r="F6" s="2" t="s">
        <v>64</v>
      </c>
      <c r="G6" t="str">
        <f t="shared" ca="1" si="0"/>
        <v>Not coming events</v>
      </c>
      <c r="H6">
        <f t="shared" si="1"/>
        <v>5</v>
      </c>
      <c r="I6" t="str">
        <f t="shared" si="2"/>
        <v>Jan</v>
      </c>
      <c r="J6" t="str">
        <f t="shared" si="3"/>
        <v>Team Meeting-M. Khan</v>
      </c>
    </row>
    <row r="7" spans="1:11" x14ac:dyDescent="0.4">
      <c r="A7" s="2" t="s">
        <v>1290</v>
      </c>
      <c r="B7" s="2" t="s">
        <v>1284</v>
      </c>
      <c r="C7" s="3">
        <v>45309</v>
      </c>
      <c r="D7" s="3">
        <v>45310</v>
      </c>
      <c r="E7" s="2">
        <v>1</v>
      </c>
      <c r="F7" s="2" t="s">
        <v>14</v>
      </c>
      <c r="G7" t="str">
        <f t="shared" ca="1" si="0"/>
        <v>Not coming events</v>
      </c>
      <c r="H7">
        <f t="shared" si="1"/>
        <v>1</v>
      </c>
      <c r="I7" t="str">
        <f t="shared" si="2"/>
        <v>Jan</v>
      </c>
      <c r="J7" t="str">
        <f t="shared" si="3"/>
        <v>Workshop-V. Nair</v>
      </c>
    </row>
    <row r="8" spans="1:11" x14ac:dyDescent="0.4">
      <c r="A8" s="2" t="s">
        <v>1291</v>
      </c>
      <c r="B8" s="2" t="s">
        <v>1284</v>
      </c>
      <c r="C8" s="3">
        <v>45611</v>
      </c>
      <c r="D8" s="3">
        <v>45615</v>
      </c>
      <c r="E8" s="2">
        <v>4</v>
      </c>
      <c r="F8" s="2" t="s">
        <v>14</v>
      </c>
      <c r="G8" t="str">
        <f t="shared" ca="1" si="0"/>
        <v>Not coming events</v>
      </c>
      <c r="H8">
        <f t="shared" si="1"/>
        <v>4</v>
      </c>
      <c r="I8" t="str">
        <f t="shared" si="2"/>
        <v>Nov</v>
      </c>
      <c r="J8" t="str">
        <f t="shared" si="3"/>
        <v>Workshop-V. Nair</v>
      </c>
    </row>
    <row r="9" spans="1:11" x14ac:dyDescent="0.4">
      <c r="A9" s="2" t="s">
        <v>1292</v>
      </c>
      <c r="B9" s="2" t="s">
        <v>1288</v>
      </c>
      <c r="C9" s="3">
        <v>45612</v>
      </c>
      <c r="D9" s="3">
        <v>45615</v>
      </c>
      <c r="E9" s="2">
        <v>3</v>
      </c>
      <c r="F9" s="2" t="s">
        <v>21</v>
      </c>
      <c r="G9" t="str">
        <f t="shared" ca="1" si="0"/>
        <v>Not coming events</v>
      </c>
      <c r="H9">
        <f t="shared" si="1"/>
        <v>3</v>
      </c>
      <c r="I9" t="str">
        <f t="shared" si="2"/>
        <v>Nov</v>
      </c>
      <c r="J9" t="str">
        <f t="shared" si="3"/>
        <v>Team Meeting-R. Patel</v>
      </c>
    </row>
    <row r="10" spans="1:11" x14ac:dyDescent="0.4">
      <c r="A10" s="2" t="s">
        <v>1293</v>
      </c>
      <c r="B10" s="2" t="s">
        <v>1284</v>
      </c>
      <c r="C10" s="3">
        <v>45355</v>
      </c>
      <c r="D10" s="3">
        <v>45356</v>
      </c>
      <c r="E10" s="2">
        <v>1</v>
      </c>
      <c r="F10" s="2" t="s">
        <v>64</v>
      </c>
      <c r="G10" t="str">
        <f t="shared" ca="1" si="0"/>
        <v>Not coming events</v>
      </c>
      <c r="H10">
        <f t="shared" si="1"/>
        <v>1</v>
      </c>
      <c r="I10" t="str">
        <f t="shared" si="2"/>
        <v>Mar</v>
      </c>
      <c r="J10" t="str">
        <f t="shared" si="3"/>
        <v>Workshop-M. Khan</v>
      </c>
    </row>
    <row r="11" spans="1:11" x14ac:dyDescent="0.4">
      <c r="A11" s="2" t="s">
        <v>1294</v>
      </c>
      <c r="B11" s="2" t="s">
        <v>1288</v>
      </c>
      <c r="C11" s="3">
        <v>45341</v>
      </c>
      <c r="D11" s="3">
        <v>45346</v>
      </c>
      <c r="E11" s="2">
        <v>5</v>
      </c>
      <c r="F11" s="2" t="s">
        <v>28</v>
      </c>
      <c r="G11" t="str">
        <f t="shared" ca="1" si="0"/>
        <v>Not coming events</v>
      </c>
      <c r="H11">
        <f t="shared" si="1"/>
        <v>5</v>
      </c>
      <c r="I11" t="str">
        <f t="shared" si="2"/>
        <v>Feb</v>
      </c>
      <c r="J11" t="str">
        <f t="shared" si="3"/>
        <v>Team Meeting-A. Sharma</v>
      </c>
    </row>
    <row r="12" spans="1:11" x14ac:dyDescent="0.4">
      <c r="A12" s="2" t="s">
        <v>1295</v>
      </c>
      <c r="B12" s="2" t="s">
        <v>1296</v>
      </c>
      <c r="C12" s="3">
        <v>45338</v>
      </c>
      <c r="D12" s="3">
        <v>45339</v>
      </c>
      <c r="E12" s="2">
        <v>1</v>
      </c>
      <c r="F12" s="2" t="s">
        <v>55</v>
      </c>
      <c r="G12" t="str">
        <f t="shared" ca="1" si="0"/>
        <v>Not coming events</v>
      </c>
      <c r="H12">
        <f t="shared" si="1"/>
        <v>1</v>
      </c>
      <c r="I12" t="str">
        <f t="shared" si="2"/>
        <v>Feb</v>
      </c>
      <c r="J12" t="str">
        <f t="shared" si="3"/>
        <v>Client Presentation-S. Gupta</v>
      </c>
    </row>
    <row r="13" spans="1:11" x14ac:dyDescent="0.4">
      <c r="A13" s="2" t="s">
        <v>1297</v>
      </c>
      <c r="B13" s="2" t="s">
        <v>1286</v>
      </c>
      <c r="C13" s="3">
        <v>45346</v>
      </c>
      <c r="D13" s="3">
        <v>45351</v>
      </c>
      <c r="E13" s="2">
        <v>5</v>
      </c>
      <c r="F13" s="2" t="s">
        <v>14</v>
      </c>
      <c r="G13" t="str">
        <f t="shared" ca="1" si="0"/>
        <v>Not coming events</v>
      </c>
      <c r="H13">
        <f t="shared" si="1"/>
        <v>5</v>
      </c>
      <c r="I13" t="str">
        <f t="shared" si="2"/>
        <v>Feb</v>
      </c>
      <c r="J13" t="str">
        <f t="shared" si="3"/>
        <v>Product Launch-V. Nair</v>
      </c>
    </row>
    <row r="14" spans="1:11" x14ac:dyDescent="0.4">
      <c r="A14" s="2" t="s">
        <v>1298</v>
      </c>
      <c r="B14" s="2" t="s">
        <v>1296</v>
      </c>
      <c r="C14" s="3">
        <v>45420</v>
      </c>
      <c r="D14" s="3">
        <v>45422</v>
      </c>
      <c r="E14" s="2">
        <v>2</v>
      </c>
      <c r="F14" s="2" t="s">
        <v>14</v>
      </c>
      <c r="G14" t="str">
        <f t="shared" ca="1" si="0"/>
        <v>Not coming events</v>
      </c>
      <c r="H14">
        <f t="shared" si="1"/>
        <v>2</v>
      </c>
      <c r="I14" t="str">
        <f t="shared" si="2"/>
        <v>May</v>
      </c>
      <c r="J14" t="str">
        <f t="shared" si="3"/>
        <v>Client Presentation-V. Nair</v>
      </c>
    </row>
    <row r="15" spans="1:11" x14ac:dyDescent="0.4">
      <c r="A15" s="2" t="s">
        <v>1299</v>
      </c>
      <c r="B15" s="2" t="s">
        <v>1282</v>
      </c>
      <c r="C15" s="3">
        <v>45593</v>
      </c>
      <c r="D15" s="3">
        <v>45594</v>
      </c>
      <c r="E15" s="2">
        <v>1</v>
      </c>
      <c r="F15" s="2" t="s">
        <v>64</v>
      </c>
      <c r="G15" t="str">
        <f t="shared" ca="1" si="0"/>
        <v>Not coming events</v>
      </c>
      <c r="H15">
        <f t="shared" si="1"/>
        <v>1</v>
      </c>
      <c r="I15" t="str">
        <f t="shared" si="2"/>
        <v>Oct</v>
      </c>
      <c r="J15" t="str">
        <f t="shared" si="3"/>
        <v>Annual Review-M. Khan</v>
      </c>
    </row>
    <row r="16" spans="1:11" x14ac:dyDescent="0.4">
      <c r="A16" s="2" t="s">
        <v>1300</v>
      </c>
      <c r="B16" s="2" t="s">
        <v>1301</v>
      </c>
      <c r="C16" s="3">
        <v>45632</v>
      </c>
      <c r="D16" s="3">
        <v>45633</v>
      </c>
      <c r="E16" s="2">
        <v>1</v>
      </c>
      <c r="F16" s="2" t="s">
        <v>55</v>
      </c>
      <c r="G16" t="str">
        <f t="shared" ca="1" si="0"/>
        <v>Not coming events</v>
      </c>
      <c r="H16">
        <f t="shared" si="1"/>
        <v>1</v>
      </c>
      <c r="I16" t="str">
        <f t="shared" si="2"/>
        <v>Dec</v>
      </c>
      <c r="J16" t="str">
        <f t="shared" si="3"/>
        <v>Training Session-S. Gupta</v>
      </c>
    </row>
    <row r="17" spans="1:10" x14ac:dyDescent="0.4">
      <c r="A17" s="2" t="s">
        <v>1302</v>
      </c>
      <c r="B17" s="2" t="s">
        <v>1296</v>
      </c>
      <c r="C17" s="3">
        <v>45594</v>
      </c>
      <c r="D17" s="3">
        <v>45599</v>
      </c>
      <c r="E17" s="2">
        <v>5</v>
      </c>
      <c r="F17" s="2" t="s">
        <v>14</v>
      </c>
      <c r="G17" t="str">
        <f t="shared" ca="1" si="0"/>
        <v>Not coming events</v>
      </c>
      <c r="H17">
        <f t="shared" si="1"/>
        <v>5</v>
      </c>
      <c r="I17" t="str">
        <f t="shared" si="2"/>
        <v>Oct</v>
      </c>
      <c r="J17" t="str">
        <f t="shared" si="3"/>
        <v>Client Presentation-V. Nair</v>
      </c>
    </row>
    <row r="18" spans="1:10" x14ac:dyDescent="0.4">
      <c r="A18" s="2" t="s">
        <v>1303</v>
      </c>
      <c r="B18" s="2" t="s">
        <v>1288</v>
      </c>
      <c r="C18" s="3">
        <v>45653</v>
      </c>
      <c r="D18" s="3">
        <v>45658</v>
      </c>
      <c r="E18" s="2">
        <v>5</v>
      </c>
      <c r="F18" s="2" t="s">
        <v>55</v>
      </c>
      <c r="G18" t="str">
        <f t="shared" ca="1" si="0"/>
        <v>Not coming events</v>
      </c>
      <c r="H18">
        <f t="shared" si="1"/>
        <v>5</v>
      </c>
      <c r="I18" t="str">
        <f t="shared" si="2"/>
        <v>Dec</v>
      </c>
      <c r="J18" t="str">
        <f t="shared" si="3"/>
        <v>Team Meeting-S. Gupta</v>
      </c>
    </row>
    <row r="19" spans="1:10" x14ac:dyDescent="0.4">
      <c r="A19" s="2" t="s">
        <v>1304</v>
      </c>
      <c r="B19" s="2" t="s">
        <v>1288</v>
      </c>
      <c r="C19" s="3">
        <v>45392</v>
      </c>
      <c r="D19" s="3">
        <v>45396</v>
      </c>
      <c r="E19" s="2">
        <v>4</v>
      </c>
      <c r="F19" s="2" t="s">
        <v>55</v>
      </c>
      <c r="G19" t="str">
        <f t="shared" ca="1" si="0"/>
        <v>Not coming events</v>
      </c>
      <c r="H19">
        <f t="shared" si="1"/>
        <v>4</v>
      </c>
      <c r="I19" t="str">
        <f t="shared" si="2"/>
        <v>Apr</v>
      </c>
      <c r="J19" t="str">
        <f t="shared" si="3"/>
        <v>Team Meeting-S. Gupta</v>
      </c>
    </row>
    <row r="20" spans="1:10" x14ac:dyDescent="0.4">
      <c r="A20" s="2" t="s">
        <v>1305</v>
      </c>
      <c r="B20" s="2" t="s">
        <v>1288</v>
      </c>
      <c r="C20" s="3">
        <v>45599</v>
      </c>
      <c r="D20" s="3">
        <v>45604</v>
      </c>
      <c r="E20" s="2">
        <v>5</v>
      </c>
      <c r="F20" s="2" t="s">
        <v>21</v>
      </c>
      <c r="G20" t="str">
        <f t="shared" ca="1" si="0"/>
        <v>Not coming events</v>
      </c>
      <c r="H20">
        <f t="shared" si="1"/>
        <v>5</v>
      </c>
      <c r="I20" t="str">
        <f t="shared" si="2"/>
        <v>Nov</v>
      </c>
      <c r="J20" t="str">
        <f t="shared" si="3"/>
        <v>Team Meeting-R. Patel</v>
      </c>
    </row>
    <row r="21" spans="1:10" x14ac:dyDescent="0.4">
      <c r="A21" s="2" t="s">
        <v>1306</v>
      </c>
      <c r="B21" s="2" t="s">
        <v>1284</v>
      </c>
      <c r="C21" s="3">
        <v>45470</v>
      </c>
      <c r="D21" s="3">
        <v>45475</v>
      </c>
      <c r="E21" s="2">
        <v>5</v>
      </c>
      <c r="F21" s="2" t="s">
        <v>21</v>
      </c>
      <c r="G21" t="str">
        <f t="shared" ca="1" si="0"/>
        <v>Not coming events</v>
      </c>
      <c r="H21">
        <f t="shared" si="1"/>
        <v>5</v>
      </c>
      <c r="I21" t="str">
        <f t="shared" si="2"/>
        <v>Jun</v>
      </c>
      <c r="J21" t="str">
        <f t="shared" si="3"/>
        <v>Workshop-R. Patel</v>
      </c>
    </row>
    <row r="22" spans="1:10" x14ac:dyDescent="0.4">
      <c r="A22" s="2" t="s">
        <v>1307</v>
      </c>
      <c r="B22" s="2" t="s">
        <v>1301</v>
      </c>
      <c r="C22" s="3">
        <v>45492</v>
      </c>
      <c r="D22" s="3">
        <v>45496</v>
      </c>
      <c r="E22" s="2">
        <v>4</v>
      </c>
      <c r="F22" s="2" t="s">
        <v>28</v>
      </c>
      <c r="G22" t="str">
        <f t="shared" ca="1" si="0"/>
        <v>Not coming events</v>
      </c>
      <c r="H22">
        <f t="shared" si="1"/>
        <v>4</v>
      </c>
      <c r="I22" t="str">
        <f t="shared" si="2"/>
        <v>Jul</v>
      </c>
      <c r="J22" t="str">
        <f t="shared" si="3"/>
        <v>Training Session-A. Sharma</v>
      </c>
    </row>
    <row r="23" spans="1:10" x14ac:dyDescent="0.4">
      <c r="A23" s="2" t="s">
        <v>1308</v>
      </c>
      <c r="B23" s="2" t="s">
        <v>1288</v>
      </c>
      <c r="C23" s="3">
        <v>45543</v>
      </c>
      <c r="D23" s="3">
        <v>45548</v>
      </c>
      <c r="E23" s="2">
        <v>5</v>
      </c>
      <c r="F23" s="2" t="s">
        <v>14</v>
      </c>
      <c r="G23" t="str">
        <f t="shared" ca="1" si="0"/>
        <v>Not coming events</v>
      </c>
      <c r="H23">
        <f t="shared" si="1"/>
        <v>5</v>
      </c>
      <c r="I23" t="str">
        <f t="shared" si="2"/>
        <v>Sep</v>
      </c>
      <c r="J23" t="str">
        <f t="shared" si="3"/>
        <v>Team Meeting-V. Nair</v>
      </c>
    </row>
    <row r="24" spans="1:10" x14ac:dyDescent="0.4">
      <c r="A24" s="2" t="s">
        <v>1309</v>
      </c>
      <c r="B24" s="2" t="s">
        <v>1284</v>
      </c>
      <c r="C24" s="3">
        <v>45569</v>
      </c>
      <c r="D24" s="3">
        <v>45573</v>
      </c>
      <c r="E24" s="2">
        <v>4</v>
      </c>
      <c r="F24" s="2" t="s">
        <v>28</v>
      </c>
      <c r="G24" t="str">
        <f t="shared" ca="1" si="0"/>
        <v>Not coming events</v>
      </c>
      <c r="H24">
        <f t="shared" si="1"/>
        <v>4</v>
      </c>
      <c r="I24" t="str">
        <f t="shared" si="2"/>
        <v>Oct</v>
      </c>
      <c r="J24" t="str">
        <f t="shared" si="3"/>
        <v>Workshop-A. Sharma</v>
      </c>
    </row>
    <row r="25" spans="1:10" x14ac:dyDescent="0.4">
      <c r="A25" s="2" t="s">
        <v>1310</v>
      </c>
      <c r="B25" s="2" t="s">
        <v>1284</v>
      </c>
      <c r="C25" s="3">
        <v>45506</v>
      </c>
      <c r="D25" s="3">
        <v>45510</v>
      </c>
      <c r="E25" s="2">
        <v>4</v>
      </c>
      <c r="F25" s="2" t="s">
        <v>28</v>
      </c>
      <c r="G25" t="str">
        <f t="shared" ca="1" si="0"/>
        <v>Not coming events</v>
      </c>
      <c r="H25">
        <f t="shared" si="1"/>
        <v>4</v>
      </c>
      <c r="I25" t="str">
        <f t="shared" si="2"/>
        <v>Aug</v>
      </c>
      <c r="J25" t="str">
        <f t="shared" si="3"/>
        <v>Workshop-A. Sharma</v>
      </c>
    </row>
    <row r="26" spans="1:10" x14ac:dyDescent="0.4">
      <c r="A26" s="2" t="s">
        <v>1311</v>
      </c>
      <c r="B26" s="2" t="s">
        <v>1288</v>
      </c>
      <c r="C26" s="3">
        <v>45461</v>
      </c>
      <c r="D26" s="3">
        <v>45465</v>
      </c>
      <c r="E26" s="2">
        <v>4</v>
      </c>
      <c r="F26" s="2" t="s">
        <v>21</v>
      </c>
      <c r="G26" t="str">
        <f t="shared" ca="1" si="0"/>
        <v>Not coming events</v>
      </c>
      <c r="H26">
        <f t="shared" si="1"/>
        <v>4</v>
      </c>
      <c r="I26" t="str">
        <f t="shared" si="2"/>
        <v>Jun</v>
      </c>
      <c r="J26" t="str">
        <f t="shared" si="3"/>
        <v>Team Meeting-R. Patel</v>
      </c>
    </row>
    <row r="27" spans="1:10" x14ac:dyDescent="0.4">
      <c r="A27" s="2" t="s">
        <v>1312</v>
      </c>
      <c r="B27" s="2" t="s">
        <v>1296</v>
      </c>
      <c r="C27" s="3">
        <v>45525</v>
      </c>
      <c r="D27" s="3">
        <v>45527</v>
      </c>
      <c r="E27" s="2">
        <v>2</v>
      </c>
      <c r="F27" s="2" t="s">
        <v>28</v>
      </c>
      <c r="G27" t="str">
        <f t="shared" ca="1" si="0"/>
        <v>Not coming events</v>
      </c>
      <c r="H27">
        <f t="shared" si="1"/>
        <v>2</v>
      </c>
      <c r="I27" t="str">
        <f t="shared" si="2"/>
        <v>Aug</v>
      </c>
      <c r="J27" t="str">
        <f t="shared" si="3"/>
        <v>Client Presentation-A. Sharma</v>
      </c>
    </row>
    <row r="28" spans="1:10" x14ac:dyDescent="0.4">
      <c r="A28" s="2" t="s">
        <v>1313</v>
      </c>
      <c r="B28" s="2" t="s">
        <v>1288</v>
      </c>
      <c r="C28" s="3">
        <v>45629</v>
      </c>
      <c r="D28" s="3">
        <v>45631</v>
      </c>
      <c r="E28" s="2">
        <v>2</v>
      </c>
      <c r="F28" s="2" t="s">
        <v>28</v>
      </c>
      <c r="G28" t="str">
        <f t="shared" ca="1" si="0"/>
        <v>Not coming events</v>
      </c>
      <c r="H28">
        <f t="shared" si="1"/>
        <v>2</v>
      </c>
      <c r="I28" t="str">
        <f t="shared" si="2"/>
        <v>Dec</v>
      </c>
      <c r="J28" t="str">
        <f t="shared" si="3"/>
        <v>Team Meeting-A. Sharma</v>
      </c>
    </row>
    <row r="29" spans="1:10" x14ac:dyDescent="0.4">
      <c r="A29" s="2" t="s">
        <v>1314</v>
      </c>
      <c r="B29" s="2" t="s">
        <v>1282</v>
      </c>
      <c r="C29" s="3">
        <v>45339</v>
      </c>
      <c r="D29" s="3">
        <v>45342</v>
      </c>
      <c r="E29" s="2">
        <v>3</v>
      </c>
      <c r="F29" s="2" t="s">
        <v>55</v>
      </c>
      <c r="G29" t="str">
        <f t="shared" ca="1" si="0"/>
        <v>Not coming events</v>
      </c>
      <c r="H29">
        <f t="shared" si="1"/>
        <v>3</v>
      </c>
      <c r="I29" t="str">
        <f t="shared" si="2"/>
        <v>Feb</v>
      </c>
      <c r="J29" t="str">
        <f t="shared" si="3"/>
        <v>Annual Review-S. Gupta</v>
      </c>
    </row>
    <row r="30" spans="1:10" x14ac:dyDescent="0.4">
      <c r="A30" s="2" t="s">
        <v>1315</v>
      </c>
      <c r="B30" s="2" t="s">
        <v>1282</v>
      </c>
      <c r="C30" s="3">
        <v>45460</v>
      </c>
      <c r="D30" s="3">
        <v>45465</v>
      </c>
      <c r="E30" s="2">
        <v>5</v>
      </c>
      <c r="F30" s="2" t="s">
        <v>14</v>
      </c>
      <c r="G30" t="str">
        <f t="shared" ca="1" si="0"/>
        <v>Not coming events</v>
      </c>
      <c r="H30">
        <f t="shared" si="1"/>
        <v>5</v>
      </c>
      <c r="I30" t="str">
        <f t="shared" si="2"/>
        <v>Jun</v>
      </c>
      <c r="J30" t="str">
        <f t="shared" si="3"/>
        <v>Annual Review-V. Nair</v>
      </c>
    </row>
    <row r="31" spans="1:10" x14ac:dyDescent="0.4">
      <c r="A31" s="2" t="s">
        <v>1316</v>
      </c>
      <c r="B31" s="2" t="s">
        <v>1282</v>
      </c>
      <c r="C31" s="3">
        <v>45626</v>
      </c>
      <c r="D31" s="3">
        <v>45627</v>
      </c>
      <c r="E31" s="2">
        <v>1</v>
      </c>
      <c r="F31" s="2" t="s">
        <v>64</v>
      </c>
      <c r="G31" t="str">
        <f t="shared" ca="1" si="0"/>
        <v>Not coming events</v>
      </c>
      <c r="H31">
        <f t="shared" si="1"/>
        <v>1</v>
      </c>
      <c r="I31" t="str">
        <f t="shared" si="2"/>
        <v>Nov</v>
      </c>
      <c r="J31" t="str">
        <f t="shared" si="3"/>
        <v>Annual Review-M. Khan</v>
      </c>
    </row>
    <row r="32" spans="1:10" x14ac:dyDescent="0.4">
      <c r="A32" s="2" t="s">
        <v>1317</v>
      </c>
      <c r="B32" s="2" t="s">
        <v>1282</v>
      </c>
      <c r="C32" s="3">
        <v>45511</v>
      </c>
      <c r="D32" s="3">
        <v>45513</v>
      </c>
      <c r="E32" s="2">
        <v>2</v>
      </c>
      <c r="F32" s="2" t="s">
        <v>21</v>
      </c>
      <c r="G32" t="str">
        <f t="shared" ca="1" si="0"/>
        <v>Not coming events</v>
      </c>
      <c r="H32">
        <f t="shared" si="1"/>
        <v>2</v>
      </c>
      <c r="I32" t="str">
        <f t="shared" si="2"/>
        <v>Aug</v>
      </c>
      <c r="J32" t="str">
        <f t="shared" si="3"/>
        <v>Annual Review-R. Patel</v>
      </c>
    </row>
    <row r="33" spans="1:10" x14ac:dyDescent="0.4">
      <c r="A33" s="2" t="s">
        <v>1318</v>
      </c>
      <c r="B33" s="2" t="s">
        <v>1301</v>
      </c>
      <c r="C33" s="3">
        <v>45325</v>
      </c>
      <c r="D33" s="3">
        <v>45329</v>
      </c>
      <c r="E33" s="2">
        <v>4</v>
      </c>
      <c r="F33" s="2" t="s">
        <v>64</v>
      </c>
      <c r="G33" t="str">
        <f t="shared" ca="1" si="0"/>
        <v>Not coming events</v>
      </c>
      <c r="H33">
        <f t="shared" si="1"/>
        <v>4</v>
      </c>
      <c r="I33" t="str">
        <f t="shared" si="2"/>
        <v>Feb</v>
      </c>
      <c r="J33" t="str">
        <f t="shared" si="3"/>
        <v>Training Session-M. Khan</v>
      </c>
    </row>
    <row r="34" spans="1:10" x14ac:dyDescent="0.4">
      <c r="A34" s="2" t="s">
        <v>1319</v>
      </c>
      <c r="B34" s="2" t="s">
        <v>1282</v>
      </c>
      <c r="C34" s="3">
        <v>45477</v>
      </c>
      <c r="D34" s="3">
        <v>45480</v>
      </c>
      <c r="E34" s="2">
        <v>3</v>
      </c>
      <c r="F34" s="2" t="s">
        <v>14</v>
      </c>
      <c r="G34" t="str">
        <f t="shared" ca="1" si="0"/>
        <v>Not coming events</v>
      </c>
      <c r="H34">
        <f t="shared" si="1"/>
        <v>3</v>
      </c>
      <c r="I34" t="str">
        <f t="shared" si="2"/>
        <v>Jul</v>
      </c>
      <c r="J34" t="str">
        <f t="shared" si="3"/>
        <v>Annual Review-V. Nair</v>
      </c>
    </row>
    <row r="35" spans="1:10" x14ac:dyDescent="0.4">
      <c r="A35" s="2" t="s">
        <v>1320</v>
      </c>
      <c r="B35" s="2" t="s">
        <v>1301</v>
      </c>
      <c r="C35" s="3">
        <v>45556</v>
      </c>
      <c r="D35" s="3">
        <v>45561</v>
      </c>
      <c r="E35" s="2">
        <v>5</v>
      </c>
      <c r="F35" s="2" t="s">
        <v>14</v>
      </c>
      <c r="G35" t="str">
        <f t="shared" ca="1" si="0"/>
        <v>Not coming events</v>
      </c>
      <c r="H35">
        <f t="shared" si="1"/>
        <v>5</v>
      </c>
      <c r="I35" t="str">
        <f t="shared" si="2"/>
        <v>Sep</v>
      </c>
      <c r="J35" t="str">
        <f t="shared" si="3"/>
        <v>Training Session-V. Nair</v>
      </c>
    </row>
    <row r="36" spans="1:10" x14ac:dyDescent="0.4">
      <c r="A36" s="2" t="s">
        <v>1321</v>
      </c>
      <c r="B36" s="2" t="s">
        <v>1282</v>
      </c>
      <c r="C36" s="3">
        <v>45420</v>
      </c>
      <c r="D36" s="3">
        <v>45423</v>
      </c>
      <c r="E36" s="2">
        <v>3</v>
      </c>
      <c r="F36" s="2" t="s">
        <v>28</v>
      </c>
      <c r="G36" t="str">
        <f t="shared" ca="1" si="0"/>
        <v>Not coming events</v>
      </c>
      <c r="H36">
        <f t="shared" si="1"/>
        <v>3</v>
      </c>
      <c r="I36" t="str">
        <f t="shared" si="2"/>
        <v>May</v>
      </c>
      <c r="J36" t="str">
        <f t="shared" si="3"/>
        <v>Annual Review-A. Sharma</v>
      </c>
    </row>
    <row r="37" spans="1:10" x14ac:dyDescent="0.4">
      <c r="A37" s="2" t="s">
        <v>1322</v>
      </c>
      <c r="B37" s="2" t="s">
        <v>1288</v>
      </c>
      <c r="C37" s="3">
        <v>45608</v>
      </c>
      <c r="D37" s="3">
        <v>45611</v>
      </c>
      <c r="E37" s="2">
        <v>3</v>
      </c>
      <c r="F37" s="2" t="s">
        <v>14</v>
      </c>
      <c r="G37" t="str">
        <f t="shared" ca="1" si="0"/>
        <v>Not coming events</v>
      </c>
      <c r="H37">
        <f t="shared" si="1"/>
        <v>3</v>
      </c>
      <c r="I37" t="str">
        <f t="shared" si="2"/>
        <v>Nov</v>
      </c>
      <c r="J37" t="str">
        <f t="shared" si="3"/>
        <v>Team Meeting-V. Nair</v>
      </c>
    </row>
    <row r="38" spans="1:10" x14ac:dyDescent="0.4">
      <c r="A38" s="2" t="s">
        <v>1323</v>
      </c>
      <c r="B38" s="2" t="s">
        <v>1288</v>
      </c>
      <c r="C38" s="3">
        <v>45582</v>
      </c>
      <c r="D38" s="3">
        <v>45585</v>
      </c>
      <c r="E38" s="2">
        <v>3</v>
      </c>
      <c r="F38" s="2" t="s">
        <v>21</v>
      </c>
      <c r="G38" t="str">
        <f t="shared" ca="1" si="0"/>
        <v>Not coming events</v>
      </c>
      <c r="H38">
        <f t="shared" si="1"/>
        <v>3</v>
      </c>
      <c r="I38" t="str">
        <f t="shared" si="2"/>
        <v>Oct</v>
      </c>
      <c r="J38" t="str">
        <f t="shared" si="3"/>
        <v>Team Meeting-R. Patel</v>
      </c>
    </row>
    <row r="39" spans="1:10" x14ac:dyDescent="0.4">
      <c r="A39" s="2" t="s">
        <v>1324</v>
      </c>
      <c r="B39" s="2" t="s">
        <v>1284</v>
      </c>
      <c r="C39" s="3">
        <v>45461</v>
      </c>
      <c r="D39" s="3">
        <v>45462</v>
      </c>
      <c r="E39" s="2">
        <v>1</v>
      </c>
      <c r="F39" s="2" t="s">
        <v>28</v>
      </c>
      <c r="G39" t="str">
        <f t="shared" ca="1" si="0"/>
        <v>Not coming events</v>
      </c>
      <c r="H39">
        <f t="shared" si="1"/>
        <v>1</v>
      </c>
      <c r="I39" t="str">
        <f t="shared" si="2"/>
        <v>Jun</v>
      </c>
      <c r="J39" t="str">
        <f t="shared" si="3"/>
        <v>Workshop-A. Sharma</v>
      </c>
    </row>
    <row r="40" spans="1:10" x14ac:dyDescent="0.4">
      <c r="A40" s="2" t="s">
        <v>1325</v>
      </c>
      <c r="B40" s="2" t="s">
        <v>1286</v>
      </c>
      <c r="C40" s="3">
        <v>45604</v>
      </c>
      <c r="D40" s="3">
        <v>45607</v>
      </c>
      <c r="E40" s="2">
        <v>3</v>
      </c>
      <c r="F40" s="2" t="s">
        <v>64</v>
      </c>
      <c r="G40" t="str">
        <f t="shared" ca="1" si="0"/>
        <v>Not coming events</v>
      </c>
      <c r="H40">
        <f t="shared" si="1"/>
        <v>3</v>
      </c>
      <c r="I40" t="str">
        <f t="shared" si="2"/>
        <v>Nov</v>
      </c>
      <c r="J40" t="str">
        <f t="shared" si="3"/>
        <v>Product Launch-M. Khan</v>
      </c>
    </row>
    <row r="41" spans="1:10" x14ac:dyDescent="0.4">
      <c r="A41" s="2" t="s">
        <v>1326</v>
      </c>
      <c r="B41" s="2" t="s">
        <v>1296</v>
      </c>
      <c r="C41" s="3">
        <v>45558</v>
      </c>
      <c r="D41" s="3">
        <v>45559</v>
      </c>
      <c r="E41" s="2">
        <v>1</v>
      </c>
      <c r="F41" s="2" t="s">
        <v>28</v>
      </c>
      <c r="G41" t="str">
        <f t="shared" ca="1" si="0"/>
        <v>Not coming events</v>
      </c>
      <c r="H41">
        <f t="shared" si="1"/>
        <v>1</v>
      </c>
      <c r="I41" t="str">
        <f t="shared" si="2"/>
        <v>Sep</v>
      </c>
      <c r="J41" t="str">
        <f t="shared" si="3"/>
        <v>Client Presentation-A. Sharma</v>
      </c>
    </row>
    <row r="42" spans="1:10" x14ac:dyDescent="0.4">
      <c r="A42" s="2" t="s">
        <v>1327</v>
      </c>
      <c r="B42" s="2" t="s">
        <v>1284</v>
      </c>
      <c r="C42" s="3">
        <v>45453</v>
      </c>
      <c r="D42" s="3">
        <v>45458</v>
      </c>
      <c r="E42" s="2">
        <v>5</v>
      </c>
      <c r="F42" s="2" t="s">
        <v>64</v>
      </c>
      <c r="G42" t="str">
        <f t="shared" ca="1" si="0"/>
        <v>Not coming events</v>
      </c>
      <c r="H42">
        <f t="shared" si="1"/>
        <v>5</v>
      </c>
      <c r="I42" t="str">
        <f t="shared" si="2"/>
        <v>Jun</v>
      </c>
      <c r="J42" t="str">
        <f t="shared" si="3"/>
        <v>Workshop-M. Khan</v>
      </c>
    </row>
    <row r="43" spans="1:10" x14ac:dyDescent="0.4">
      <c r="A43" s="2" t="s">
        <v>1328</v>
      </c>
      <c r="B43" s="2" t="s">
        <v>1296</v>
      </c>
      <c r="C43" s="3">
        <v>45528</v>
      </c>
      <c r="D43" s="3">
        <v>45531</v>
      </c>
      <c r="E43" s="2">
        <v>3</v>
      </c>
      <c r="F43" s="2" t="s">
        <v>64</v>
      </c>
      <c r="G43" t="str">
        <f t="shared" ca="1" si="0"/>
        <v>Not coming events</v>
      </c>
      <c r="H43">
        <f t="shared" si="1"/>
        <v>3</v>
      </c>
      <c r="I43" t="str">
        <f t="shared" si="2"/>
        <v>Aug</v>
      </c>
      <c r="J43" t="str">
        <f t="shared" si="3"/>
        <v>Client Presentation-M. Khan</v>
      </c>
    </row>
    <row r="44" spans="1:10" x14ac:dyDescent="0.4">
      <c r="A44" s="2" t="s">
        <v>1329</v>
      </c>
      <c r="B44" s="2" t="s">
        <v>1296</v>
      </c>
      <c r="C44" s="3">
        <v>45358</v>
      </c>
      <c r="D44" s="3">
        <v>45362</v>
      </c>
      <c r="E44" s="2">
        <v>4</v>
      </c>
      <c r="F44" s="2" t="s">
        <v>55</v>
      </c>
      <c r="G44" t="str">
        <f t="shared" ca="1" si="0"/>
        <v>Not coming events</v>
      </c>
      <c r="H44">
        <f t="shared" si="1"/>
        <v>4</v>
      </c>
      <c r="I44" t="str">
        <f t="shared" si="2"/>
        <v>Mar</v>
      </c>
      <c r="J44" t="str">
        <f t="shared" si="3"/>
        <v>Client Presentation-S. Gupta</v>
      </c>
    </row>
    <row r="45" spans="1:10" x14ac:dyDescent="0.4">
      <c r="A45" s="2" t="s">
        <v>1330</v>
      </c>
      <c r="B45" s="2" t="s">
        <v>1284</v>
      </c>
      <c r="C45" s="3">
        <v>45642</v>
      </c>
      <c r="D45" s="3">
        <v>45646</v>
      </c>
      <c r="E45" s="2">
        <v>4</v>
      </c>
      <c r="F45" s="2" t="s">
        <v>55</v>
      </c>
      <c r="G45" t="str">
        <f t="shared" ca="1" si="0"/>
        <v>Not coming events</v>
      </c>
      <c r="H45">
        <f t="shared" si="1"/>
        <v>4</v>
      </c>
      <c r="I45" t="str">
        <f t="shared" si="2"/>
        <v>Dec</v>
      </c>
      <c r="J45" t="str">
        <f t="shared" si="3"/>
        <v>Workshop-S. Gupta</v>
      </c>
    </row>
    <row r="46" spans="1:10" x14ac:dyDescent="0.4">
      <c r="A46" s="2" t="s">
        <v>1331</v>
      </c>
      <c r="B46" s="2" t="s">
        <v>1284</v>
      </c>
      <c r="C46" s="3">
        <v>45310</v>
      </c>
      <c r="D46" s="3">
        <v>45311</v>
      </c>
      <c r="E46" s="2">
        <v>1</v>
      </c>
      <c r="F46" s="2" t="s">
        <v>21</v>
      </c>
      <c r="G46" t="str">
        <f t="shared" ca="1" si="0"/>
        <v>Not coming events</v>
      </c>
      <c r="H46">
        <f t="shared" si="1"/>
        <v>1</v>
      </c>
      <c r="I46" t="str">
        <f t="shared" si="2"/>
        <v>Jan</v>
      </c>
      <c r="J46" t="str">
        <f t="shared" si="3"/>
        <v>Workshop-R. Patel</v>
      </c>
    </row>
    <row r="47" spans="1:10" x14ac:dyDescent="0.4">
      <c r="A47" s="2" t="s">
        <v>1332</v>
      </c>
      <c r="B47" s="2" t="s">
        <v>1296</v>
      </c>
      <c r="C47" s="3">
        <v>45605</v>
      </c>
      <c r="D47" s="3">
        <v>45607</v>
      </c>
      <c r="E47" s="2">
        <v>2</v>
      </c>
      <c r="F47" s="2" t="s">
        <v>55</v>
      </c>
      <c r="G47" t="str">
        <f t="shared" ca="1" si="0"/>
        <v>Not coming events</v>
      </c>
      <c r="H47">
        <f t="shared" si="1"/>
        <v>2</v>
      </c>
      <c r="I47" t="str">
        <f t="shared" si="2"/>
        <v>Nov</v>
      </c>
      <c r="J47" t="str">
        <f t="shared" si="3"/>
        <v>Client Presentation-S. Gupta</v>
      </c>
    </row>
    <row r="48" spans="1:10" x14ac:dyDescent="0.4">
      <c r="A48" s="2" t="s">
        <v>1333</v>
      </c>
      <c r="B48" s="2" t="s">
        <v>1288</v>
      </c>
      <c r="C48" s="3">
        <v>45606</v>
      </c>
      <c r="D48" s="3">
        <v>45610</v>
      </c>
      <c r="E48" s="2">
        <v>4</v>
      </c>
      <c r="F48" s="2" t="s">
        <v>55</v>
      </c>
      <c r="G48" t="str">
        <f t="shared" ca="1" si="0"/>
        <v>Not coming events</v>
      </c>
      <c r="H48">
        <f t="shared" si="1"/>
        <v>4</v>
      </c>
      <c r="I48" t="str">
        <f t="shared" si="2"/>
        <v>Nov</v>
      </c>
      <c r="J48" t="str">
        <f t="shared" si="3"/>
        <v>Team Meeting-S. Gupta</v>
      </c>
    </row>
    <row r="49" spans="1:10" x14ac:dyDescent="0.4">
      <c r="A49" s="2" t="s">
        <v>1334</v>
      </c>
      <c r="B49" s="2" t="s">
        <v>1301</v>
      </c>
      <c r="C49" s="3">
        <v>45479</v>
      </c>
      <c r="D49" s="3">
        <v>45484</v>
      </c>
      <c r="E49" s="2">
        <v>5</v>
      </c>
      <c r="F49" s="2" t="s">
        <v>21</v>
      </c>
      <c r="G49" t="str">
        <f t="shared" ca="1" si="0"/>
        <v>Not coming events</v>
      </c>
      <c r="H49">
        <f t="shared" si="1"/>
        <v>5</v>
      </c>
      <c r="I49" t="str">
        <f t="shared" si="2"/>
        <v>Jul</v>
      </c>
      <c r="J49" t="str">
        <f t="shared" si="3"/>
        <v>Training Session-R. Patel</v>
      </c>
    </row>
    <row r="50" spans="1:10" x14ac:dyDescent="0.4">
      <c r="A50" s="2" t="s">
        <v>1335</v>
      </c>
      <c r="B50" s="2" t="s">
        <v>1301</v>
      </c>
      <c r="C50" s="3">
        <v>45452</v>
      </c>
      <c r="D50" s="3">
        <v>45454</v>
      </c>
      <c r="E50" s="2">
        <v>2</v>
      </c>
      <c r="F50" s="2" t="s">
        <v>28</v>
      </c>
      <c r="G50" t="str">
        <f t="shared" ca="1" si="0"/>
        <v>Not coming events</v>
      </c>
      <c r="H50">
        <f t="shared" si="1"/>
        <v>2</v>
      </c>
      <c r="I50" t="str">
        <f t="shared" si="2"/>
        <v>Jun</v>
      </c>
      <c r="J50" t="str">
        <f t="shared" si="3"/>
        <v>Training Session-A. Sharma</v>
      </c>
    </row>
    <row r="51" spans="1:10" x14ac:dyDescent="0.4">
      <c r="A51" s="2" t="s">
        <v>1336</v>
      </c>
      <c r="B51" s="2" t="s">
        <v>1288</v>
      </c>
      <c r="C51" s="3">
        <v>45599</v>
      </c>
      <c r="D51" s="3">
        <v>45603</v>
      </c>
      <c r="E51" s="2">
        <v>4</v>
      </c>
      <c r="F51" s="2" t="s">
        <v>64</v>
      </c>
      <c r="G51" t="str">
        <f t="shared" ca="1" si="0"/>
        <v>Not coming events</v>
      </c>
      <c r="H51">
        <f t="shared" si="1"/>
        <v>4</v>
      </c>
      <c r="I51" t="str">
        <f t="shared" si="2"/>
        <v>Nov</v>
      </c>
      <c r="J51" t="str">
        <f t="shared" si="3"/>
        <v>Team Meeting-M. Khan</v>
      </c>
    </row>
    <row r="52" spans="1:10" x14ac:dyDescent="0.4">
      <c r="A52" s="2" t="s">
        <v>1337</v>
      </c>
      <c r="B52" s="2" t="s">
        <v>1286</v>
      </c>
      <c r="C52" s="3">
        <v>45582</v>
      </c>
      <c r="D52" s="3">
        <v>45583</v>
      </c>
      <c r="E52" s="2">
        <v>1</v>
      </c>
      <c r="F52" s="2" t="s">
        <v>28</v>
      </c>
      <c r="G52" t="str">
        <f t="shared" ca="1" si="0"/>
        <v>Not coming events</v>
      </c>
      <c r="H52">
        <f t="shared" si="1"/>
        <v>1</v>
      </c>
      <c r="I52" t="str">
        <f t="shared" si="2"/>
        <v>Oct</v>
      </c>
      <c r="J52" t="str">
        <f t="shared" si="3"/>
        <v>Product Launch-A. Sharma</v>
      </c>
    </row>
    <row r="53" spans="1:10" x14ac:dyDescent="0.4">
      <c r="A53" s="2" t="s">
        <v>1338</v>
      </c>
      <c r="B53" s="2" t="s">
        <v>1286</v>
      </c>
      <c r="C53" s="3">
        <v>45465</v>
      </c>
      <c r="D53" s="3">
        <v>45470</v>
      </c>
      <c r="E53" s="2">
        <v>5</v>
      </c>
      <c r="F53" s="2" t="s">
        <v>21</v>
      </c>
      <c r="G53" t="str">
        <f t="shared" ca="1" si="0"/>
        <v>Not coming events</v>
      </c>
      <c r="H53">
        <f t="shared" si="1"/>
        <v>5</v>
      </c>
      <c r="I53" t="str">
        <f t="shared" si="2"/>
        <v>Jun</v>
      </c>
      <c r="J53" t="str">
        <f t="shared" si="3"/>
        <v>Product Launch-R. Patel</v>
      </c>
    </row>
    <row r="54" spans="1:10" x14ac:dyDescent="0.4">
      <c r="A54" s="2" t="s">
        <v>1339</v>
      </c>
      <c r="B54" s="2" t="s">
        <v>1284</v>
      </c>
      <c r="C54" s="3">
        <v>45600</v>
      </c>
      <c r="D54" s="3">
        <v>45602</v>
      </c>
      <c r="E54" s="2">
        <v>2</v>
      </c>
      <c r="F54" s="2" t="s">
        <v>14</v>
      </c>
      <c r="G54" t="str">
        <f t="shared" ca="1" si="0"/>
        <v>Not coming events</v>
      </c>
      <c r="H54">
        <f t="shared" si="1"/>
        <v>2</v>
      </c>
      <c r="I54" t="str">
        <f t="shared" si="2"/>
        <v>Nov</v>
      </c>
      <c r="J54" t="str">
        <f t="shared" si="3"/>
        <v>Workshop-V. Nair</v>
      </c>
    </row>
    <row r="55" spans="1:10" x14ac:dyDescent="0.4">
      <c r="A55" s="2" t="s">
        <v>1340</v>
      </c>
      <c r="B55" s="2" t="s">
        <v>1282</v>
      </c>
      <c r="C55" s="3">
        <v>45471</v>
      </c>
      <c r="D55" s="3">
        <v>45475</v>
      </c>
      <c r="E55" s="2">
        <v>4</v>
      </c>
      <c r="F55" s="2" t="s">
        <v>64</v>
      </c>
      <c r="G55" t="str">
        <f t="shared" ca="1" si="0"/>
        <v>Not coming events</v>
      </c>
      <c r="H55">
        <f t="shared" si="1"/>
        <v>4</v>
      </c>
      <c r="I55" t="str">
        <f t="shared" si="2"/>
        <v>Jun</v>
      </c>
      <c r="J55" t="str">
        <f t="shared" si="3"/>
        <v>Annual Review-M. Khan</v>
      </c>
    </row>
    <row r="56" spans="1:10" x14ac:dyDescent="0.4">
      <c r="A56" s="2" t="s">
        <v>1341</v>
      </c>
      <c r="B56" s="2" t="s">
        <v>1282</v>
      </c>
      <c r="C56" s="3">
        <v>45595</v>
      </c>
      <c r="D56" s="3">
        <v>45596</v>
      </c>
      <c r="E56" s="2">
        <v>1</v>
      </c>
      <c r="F56" s="2" t="s">
        <v>28</v>
      </c>
      <c r="G56" t="str">
        <f t="shared" ca="1" si="0"/>
        <v>Not coming events</v>
      </c>
      <c r="H56">
        <f t="shared" si="1"/>
        <v>1</v>
      </c>
      <c r="I56" t="str">
        <f t="shared" si="2"/>
        <v>Oct</v>
      </c>
      <c r="J56" t="str">
        <f t="shared" si="3"/>
        <v>Annual Review-A. Sharma</v>
      </c>
    </row>
    <row r="57" spans="1:10" x14ac:dyDescent="0.4">
      <c r="A57" s="2" t="s">
        <v>1342</v>
      </c>
      <c r="B57" s="2" t="s">
        <v>1296</v>
      </c>
      <c r="C57" s="3">
        <v>45585</v>
      </c>
      <c r="D57" s="3">
        <v>45589</v>
      </c>
      <c r="E57" s="2">
        <v>4</v>
      </c>
      <c r="F57" s="2" t="s">
        <v>21</v>
      </c>
      <c r="G57" t="str">
        <f t="shared" ca="1" si="0"/>
        <v>Not coming events</v>
      </c>
      <c r="H57">
        <f t="shared" si="1"/>
        <v>4</v>
      </c>
      <c r="I57" t="str">
        <f t="shared" si="2"/>
        <v>Oct</v>
      </c>
      <c r="J57" t="str">
        <f t="shared" si="3"/>
        <v>Client Presentation-R. Patel</v>
      </c>
    </row>
    <row r="58" spans="1:10" x14ac:dyDescent="0.4">
      <c r="A58" s="2" t="s">
        <v>1343</v>
      </c>
      <c r="B58" s="2" t="s">
        <v>1286</v>
      </c>
      <c r="C58" s="3">
        <v>45300</v>
      </c>
      <c r="D58" s="3">
        <v>45302</v>
      </c>
      <c r="E58" s="2">
        <v>2</v>
      </c>
      <c r="F58" s="2" t="s">
        <v>55</v>
      </c>
      <c r="G58" t="str">
        <f t="shared" ca="1" si="0"/>
        <v>Not coming events</v>
      </c>
      <c r="H58">
        <f t="shared" si="1"/>
        <v>2</v>
      </c>
      <c r="I58" t="str">
        <f t="shared" si="2"/>
        <v>Jan</v>
      </c>
      <c r="J58" t="str">
        <f t="shared" si="3"/>
        <v>Product Launch-S. Gupta</v>
      </c>
    </row>
    <row r="59" spans="1:10" x14ac:dyDescent="0.4">
      <c r="A59" s="2" t="s">
        <v>1344</v>
      </c>
      <c r="B59" s="2" t="s">
        <v>1296</v>
      </c>
      <c r="C59" s="3">
        <v>45457</v>
      </c>
      <c r="D59" s="3">
        <v>45459</v>
      </c>
      <c r="E59" s="2">
        <v>2</v>
      </c>
      <c r="F59" s="2" t="s">
        <v>64</v>
      </c>
      <c r="G59" t="str">
        <f t="shared" ca="1" si="0"/>
        <v>Not coming events</v>
      </c>
      <c r="H59">
        <f t="shared" si="1"/>
        <v>2</v>
      </c>
      <c r="I59" t="str">
        <f t="shared" si="2"/>
        <v>Jun</v>
      </c>
      <c r="J59" t="str">
        <f t="shared" si="3"/>
        <v>Client Presentation-M. Khan</v>
      </c>
    </row>
    <row r="60" spans="1:10" x14ac:dyDescent="0.4">
      <c r="A60" s="2" t="s">
        <v>1345</v>
      </c>
      <c r="B60" s="2" t="s">
        <v>1288</v>
      </c>
      <c r="C60" s="3">
        <v>45370</v>
      </c>
      <c r="D60" s="3">
        <v>45373</v>
      </c>
      <c r="E60" s="2">
        <v>3</v>
      </c>
      <c r="F60" s="2" t="s">
        <v>14</v>
      </c>
      <c r="G60" t="str">
        <f t="shared" ca="1" si="0"/>
        <v>Not coming events</v>
      </c>
      <c r="H60">
        <f t="shared" si="1"/>
        <v>3</v>
      </c>
      <c r="I60" t="str">
        <f t="shared" si="2"/>
        <v>Mar</v>
      </c>
      <c r="J60" t="str">
        <f t="shared" si="3"/>
        <v>Team Meeting-V. Nair</v>
      </c>
    </row>
    <row r="61" spans="1:10" x14ac:dyDescent="0.4">
      <c r="A61" s="2" t="s">
        <v>1346</v>
      </c>
      <c r="B61" s="2" t="s">
        <v>1286</v>
      </c>
      <c r="C61" s="3">
        <v>45452</v>
      </c>
      <c r="D61" s="3">
        <v>45455</v>
      </c>
      <c r="E61" s="2">
        <v>3</v>
      </c>
      <c r="F61" s="2" t="s">
        <v>28</v>
      </c>
      <c r="G61" t="str">
        <f t="shared" ca="1" si="0"/>
        <v>Not coming events</v>
      </c>
      <c r="H61">
        <f t="shared" si="1"/>
        <v>3</v>
      </c>
      <c r="I61" t="str">
        <f t="shared" si="2"/>
        <v>Jun</v>
      </c>
      <c r="J61" t="str">
        <f t="shared" si="3"/>
        <v>Product Launch-A. Sharma</v>
      </c>
    </row>
    <row r="62" spans="1:10" x14ac:dyDescent="0.4">
      <c r="A62" s="2" t="s">
        <v>1347</v>
      </c>
      <c r="B62" s="2" t="s">
        <v>1282</v>
      </c>
      <c r="C62" s="3">
        <v>45379</v>
      </c>
      <c r="D62" s="3">
        <v>45382</v>
      </c>
      <c r="E62" s="2">
        <v>3</v>
      </c>
      <c r="F62" s="2" t="s">
        <v>55</v>
      </c>
      <c r="G62" t="str">
        <f t="shared" ca="1" si="0"/>
        <v>Not coming events</v>
      </c>
      <c r="H62">
        <f t="shared" si="1"/>
        <v>3</v>
      </c>
      <c r="I62" t="str">
        <f t="shared" si="2"/>
        <v>Mar</v>
      </c>
      <c r="J62" t="str">
        <f t="shared" si="3"/>
        <v>Annual Review-S. Gupta</v>
      </c>
    </row>
    <row r="63" spans="1:10" x14ac:dyDescent="0.4">
      <c r="A63" s="2" t="s">
        <v>1348</v>
      </c>
      <c r="B63" s="2" t="s">
        <v>1301</v>
      </c>
      <c r="C63" s="3">
        <v>45423</v>
      </c>
      <c r="D63" s="3">
        <v>45426</v>
      </c>
      <c r="E63" s="2">
        <v>3</v>
      </c>
      <c r="F63" s="2" t="s">
        <v>14</v>
      </c>
      <c r="G63" t="str">
        <f t="shared" ca="1" si="0"/>
        <v>Not coming events</v>
      </c>
      <c r="H63">
        <f t="shared" si="1"/>
        <v>3</v>
      </c>
      <c r="I63" t="str">
        <f t="shared" si="2"/>
        <v>May</v>
      </c>
      <c r="J63" t="str">
        <f t="shared" si="3"/>
        <v>Training Session-V. Nair</v>
      </c>
    </row>
    <row r="64" spans="1:10" x14ac:dyDescent="0.4">
      <c r="A64" s="2" t="s">
        <v>1349</v>
      </c>
      <c r="B64" s="2" t="s">
        <v>1301</v>
      </c>
      <c r="C64" s="3">
        <v>45429</v>
      </c>
      <c r="D64" s="3">
        <v>45433</v>
      </c>
      <c r="E64" s="2">
        <v>4</v>
      </c>
      <c r="F64" s="2" t="s">
        <v>64</v>
      </c>
      <c r="G64" t="str">
        <f t="shared" ca="1" si="0"/>
        <v>Not coming events</v>
      </c>
      <c r="H64">
        <f t="shared" si="1"/>
        <v>4</v>
      </c>
      <c r="I64" t="str">
        <f t="shared" si="2"/>
        <v>May</v>
      </c>
      <c r="J64" t="str">
        <f t="shared" si="3"/>
        <v>Training Session-M. Khan</v>
      </c>
    </row>
    <row r="65" spans="1:10" x14ac:dyDescent="0.4">
      <c r="A65" s="2" t="s">
        <v>1350</v>
      </c>
      <c r="B65" s="2" t="s">
        <v>1288</v>
      </c>
      <c r="C65" s="3">
        <v>45428</v>
      </c>
      <c r="D65" s="3">
        <v>45429</v>
      </c>
      <c r="E65" s="2">
        <v>1</v>
      </c>
      <c r="F65" s="2" t="s">
        <v>28</v>
      </c>
      <c r="G65" t="str">
        <f t="shared" ca="1" si="0"/>
        <v>Not coming events</v>
      </c>
      <c r="H65">
        <f t="shared" si="1"/>
        <v>1</v>
      </c>
      <c r="I65" t="str">
        <f t="shared" si="2"/>
        <v>May</v>
      </c>
      <c r="J65" t="str">
        <f t="shared" si="3"/>
        <v>Team Meeting-A. Sharma</v>
      </c>
    </row>
    <row r="66" spans="1:10" x14ac:dyDescent="0.4">
      <c r="A66" s="2" t="s">
        <v>1351</v>
      </c>
      <c r="B66" s="2" t="s">
        <v>1288</v>
      </c>
      <c r="C66" s="3">
        <v>45331</v>
      </c>
      <c r="D66" s="3">
        <v>45333</v>
      </c>
      <c r="E66" s="2">
        <v>2</v>
      </c>
      <c r="F66" s="2" t="s">
        <v>21</v>
      </c>
      <c r="G66" t="str">
        <f t="shared" ca="1" si="0"/>
        <v>Not coming events</v>
      </c>
      <c r="H66">
        <f t="shared" si="1"/>
        <v>2</v>
      </c>
      <c r="I66" t="str">
        <f t="shared" si="2"/>
        <v>Feb</v>
      </c>
      <c r="J66" t="str">
        <f t="shared" si="3"/>
        <v>Team Meeting-R. Patel</v>
      </c>
    </row>
    <row r="67" spans="1:10" x14ac:dyDescent="0.4">
      <c r="A67" s="2" t="s">
        <v>1352</v>
      </c>
      <c r="B67" s="2" t="s">
        <v>1284</v>
      </c>
      <c r="C67" s="3">
        <v>45512</v>
      </c>
      <c r="D67" s="3">
        <v>45515</v>
      </c>
      <c r="E67" s="2">
        <v>3</v>
      </c>
      <c r="F67" s="2" t="s">
        <v>55</v>
      </c>
      <c r="G67" t="str">
        <f t="shared" ref="G67:G130" ca="1" si="4">IF(AND(C67&lt;=TODAY()+30,D67&gt;=TODAY()),"Upcoming","Not coming events")</f>
        <v>Not coming events</v>
      </c>
      <c r="H67">
        <f t="shared" ref="H67:H130" si="5">DATEDIF(C67,D67,"d")</f>
        <v>3</v>
      </c>
      <c r="I67" t="str">
        <f t="shared" ref="I67:I130" si="6">TEXT(C67,"mmm")</f>
        <v>Aug</v>
      </c>
      <c r="J67" t="str">
        <f t="shared" ref="J67:J130" si="7">_xlfn.CONCAT(B67,"-",F67)</f>
        <v>Workshop-S. Gupta</v>
      </c>
    </row>
    <row r="68" spans="1:10" x14ac:dyDescent="0.4">
      <c r="A68" s="2" t="s">
        <v>1353</v>
      </c>
      <c r="B68" s="2" t="s">
        <v>1282</v>
      </c>
      <c r="C68" s="3">
        <v>45374</v>
      </c>
      <c r="D68" s="3">
        <v>45376</v>
      </c>
      <c r="E68" s="2">
        <v>2</v>
      </c>
      <c r="F68" s="2" t="s">
        <v>14</v>
      </c>
      <c r="G68" t="str">
        <f t="shared" ca="1" si="4"/>
        <v>Not coming events</v>
      </c>
      <c r="H68">
        <f t="shared" si="5"/>
        <v>2</v>
      </c>
      <c r="I68" t="str">
        <f t="shared" si="6"/>
        <v>Mar</v>
      </c>
      <c r="J68" t="str">
        <f t="shared" si="7"/>
        <v>Annual Review-V. Nair</v>
      </c>
    </row>
    <row r="69" spans="1:10" x14ac:dyDescent="0.4">
      <c r="A69" s="2" t="s">
        <v>1354</v>
      </c>
      <c r="B69" s="2" t="s">
        <v>1288</v>
      </c>
      <c r="C69" s="3">
        <v>45628</v>
      </c>
      <c r="D69" s="3">
        <v>45631</v>
      </c>
      <c r="E69" s="2">
        <v>3</v>
      </c>
      <c r="F69" s="2" t="s">
        <v>14</v>
      </c>
      <c r="G69" t="str">
        <f t="shared" ca="1" si="4"/>
        <v>Not coming events</v>
      </c>
      <c r="H69">
        <f t="shared" si="5"/>
        <v>3</v>
      </c>
      <c r="I69" t="str">
        <f t="shared" si="6"/>
        <v>Dec</v>
      </c>
      <c r="J69" t="str">
        <f t="shared" si="7"/>
        <v>Team Meeting-V. Nair</v>
      </c>
    </row>
    <row r="70" spans="1:10" x14ac:dyDescent="0.4">
      <c r="A70" s="2" t="s">
        <v>1355</v>
      </c>
      <c r="B70" s="2" t="s">
        <v>1286</v>
      </c>
      <c r="C70" s="3">
        <v>45506</v>
      </c>
      <c r="D70" s="3">
        <v>45511</v>
      </c>
      <c r="E70" s="2">
        <v>5</v>
      </c>
      <c r="F70" s="2" t="s">
        <v>14</v>
      </c>
      <c r="G70" t="str">
        <f t="shared" ca="1" si="4"/>
        <v>Not coming events</v>
      </c>
      <c r="H70">
        <f t="shared" si="5"/>
        <v>5</v>
      </c>
      <c r="I70" t="str">
        <f t="shared" si="6"/>
        <v>Aug</v>
      </c>
      <c r="J70" t="str">
        <f t="shared" si="7"/>
        <v>Product Launch-V. Nair</v>
      </c>
    </row>
    <row r="71" spans="1:10" x14ac:dyDescent="0.4">
      <c r="A71" s="2" t="s">
        <v>1356</v>
      </c>
      <c r="B71" s="2" t="s">
        <v>1296</v>
      </c>
      <c r="C71" s="3">
        <v>45505</v>
      </c>
      <c r="D71" s="3">
        <v>45508</v>
      </c>
      <c r="E71" s="2">
        <v>3</v>
      </c>
      <c r="F71" s="2" t="s">
        <v>21</v>
      </c>
      <c r="G71" t="str">
        <f t="shared" ca="1" si="4"/>
        <v>Not coming events</v>
      </c>
      <c r="H71">
        <f t="shared" si="5"/>
        <v>3</v>
      </c>
      <c r="I71" t="str">
        <f t="shared" si="6"/>
        <v>Aug</v>
      </c>
      <c r="J71" t="str">
        <f t="shared" si="7"/>
        <v>Client Presentation-R. Patel</v>
      </c>
    </row>
    <row r="72" spans="1:10" x14ac:dyDescent="0.4">
      <c r="A72" s="2" t="s">
        <v>1357</v>
      </c>
      <c r="B72" s="2" t="s">
        <v>1296</v>
      </c>
      <c r="C72" s="3">
        <v>45433</v>
      </c>
      <c r="D72" s="3">
        <v>45434</v>
      </c>
      <c r="E72" s="2">
        <v>1</v>
      </c>
      <c r="F72" s="2" t="s">
        <v>55</v>
      </c>
      <c r="G72" t="str">
        <f t="shared" ca="1" si="4"/>
        <v>Not coming events</v>
      </c>
      <c r="H72">
        <f t="shared" si="5"/>
        <v>1</v>
      </c>
      <c r="I72" t="str">
        <f t="shared" si="6"/>
        <v>May</v>
      </c>
      <c r="J72" t="str">
        <f t="shared" si="7"/>
        <v>Client Presentation-S. Gupta</v>
      </c>
    </row>
    <row r="73" spans="1:10" x14ac:dyDescent="0.4">
      <c r="A73" s="2" t="s">
        <v>1358</v>
      </c>
      <c r="B73" s="2" t="s">
        <v>1284</v>
      </c>
      <c r="C73" s="3">
        <v>45541</v>
      </c>
      <c r="D73" s="3">
        <v>45546</v>
      </c>
      <c r="E73" s="2">
        <v>5</v>
      </c>
      <c r="F73" s="2" t="s">
        <v>14</v>
      </c>
      <c r="G73" t="str">
        <f t="shared" ca="1" si="4"/>
        <v>Not coming events</v>
      </c>
      <c r="H73">
        <f t="shared" si="5"/>
        <v>5</v>
      </c>
      <c r="I73" t="str">
        <f t="shared" si="6"/>
        <v>Sep</v>
      </c>
      <c r="J73" t="str">
        <f t="shared" si="7"/>
        <v>Workshop-V. Nair</v>
      </c>
    </row>
    <row r="74" spans="1:10" x14ac:dyDescent="0.4">
      <c r="A74" s="2" t="s">
        <v>1359</v>
      </c>
      <c r="B74" s="2" t="s">
        <v>1296</v>
      </c>
      <c r="C74" s="3">
        <v>45652</v>
      </c>
      <c r="D74" s="3">
        <v>45656</v>
      </c>
      <c r="E74" s="2">
        <v>4</v>
      </c>
      <c r="F74" s="2" t="s">
        <v>64</v>
      </c>
      <c r="G74" t="str">
        <f t="shared" ca="1" si="4"/>
        <v>Not coming events</v>
      </c>
      <c r="H74">
        <f t="shared" si="5"/>
        <v>4</v>
      </c>
      <c r="I74" t="str">
        <f t="shared" si="6"/>
        <v>Dec</v>
      </c>
      <c r="J74" t="str">
        <f t="shared" si="7"/>
        <v>Client Presentation-M. Khan</v>
      </c>
    </row>
    <row r="75" spans="1:10" x14ac:dyDescent="0.4">
      <c r="A75" s="2" t="s">
        <v>1360</v>
      </c>
      <c r="B75" s="2" t="s">
        <v>1296</v>
      </c>
      <c r="C75" s="3">
        <v>45522</v>
      </c>
      <c r="D75" s="3">
        <v>45523</v>
      </c>
      <c r="E75" s="2">
        <v>1</v>
      </c>
      <c r="F75" s="2" t="s">
        <v>14</v>
      </c>
      <c r="G75" t="str">
        <f t="shared" ca="1" si="4"/>
        <v>Not coming events</v>
      </c>
      <c r="H75">
        <f t="shared" si="5"/>
        <v>1</v>
      </c>
      <c r="I75" t="str">
        <f t="shared" si="6"/>
        <v>Aug</v>
      </c>
      <c r="J75" t="str">
        <f t="shared" si="7"/>
        <v>Client Presentation-V. Nair</v>
      </c>
    </row>
    <row r="76" spans="1:10" x14ac:dyDescent="0.4">
      <c r="A76" s="2" t="s">
        <v>1361</v>
      </c>
      <c r="B76" s="2" t="s">
        <v>1301</v>
      </c>
      <c r="C76" s="3">
        <v>45641</v>
      </c>
      <c r="D76" s="3">
        <v>45644</v>
      </c>
      <c r="E76" s="2">
        <v>3</v>
      </c>
      <c r="F76" s="2" t="s">
        <v>14</v>
      </c>
      <c r="G76" t="str">
        <f t="shared" ca="1" si="4"/>
        <v>Not coming events</v>
      </c>
      <c r="H76">
        <f t="shared" si="5"/>
        <v>3</v>
      </c>
      <c r="I76" t="str">
        <f t="shared" si="6"/>
        <v>Dec</v>
      </c>
      <c r="J76" t="str">
        <f t="shared" si="7"/>
        <v>Training Session-V. Nair</v>
      </c>
    </row>
    <row r="77" spans="1:10" x14ac:dyDescent="0.4">
      <c r="A77" s="2" t="s">
        <v>1362</v>
      </c>
      <c r="B77" s="2" t="s">
        <v>1301</v>
      </c>
      <c r="C77" s="3">
        <v>45412</v>
      </c>
      <c r="D77" s="3">
        <v>45415</v>
      </c>
      <c r="E77" s="2">
        <v>3</v>
      </c>
      <c r="F77" s="2" t="s">
        <v>14</v>
      </c>
      <c r="G77" t="str">
        <f t="shared" ca="1" si="4"/>
        <v>Not coming events</v>
      </c>
      <c r="H77">
        <f t="shared" si="5"/>
        <v>3</v>
      </c>
      <c r="I77" t="str">
        <f t="shared" si="6"/>
        <v>Apr</v>
      </c>
      <c r="J77" t="str">
        <f t="shared" si="7"/>
        <v>Training Session-V. Nair</v>
      </c>
    </row>
    <row r="78" spans="1:10" x14ac:dyDescent="0.4">
      <c r="A78" s="2" t="s">
        <v>1363</v>
      </c>
      <c r="B78" s="2" t="s">
        <v>1282</v>
      </c>
      <c r="C78" s="3">
        <v>45300</v>
      </c>
      <c r="D78" s="3">
        <v>45302</v>
      </c>
      <c r="E78" s="2">
        <v>2</v>
      </c>
      <c r="F78" s="2" t="s">
        <v>14</v>
      </c>
      <c r="G78" t="str">
        <f t="shared" ca="1" si="4"/>
        <v>Not coming events</v>
      </c>
      <c r="H78">
        <f t="shared" si="5"/>
        <v>2</v>
      </c>
      <c r="I78" t="str">
        <f t="shared" si="6"/>
        <v>Jan</v>
      </c>
      <c r="J78" t="str">
        <f t="shared" si="7"/>
        <v>Annual Review-V. Nair</v>
      </c>
    </row>
    <row r="79" spans="1:10" x14ac:dyDescent="0.4">
      <c r="A79" s="2" t="s">
        <v>1364</v>
      </c>
      <c r="B79" s="2" t="s">
        <v>1286</v>
      </c>
      <c r="C79" s="3">
        <v>45352</v>
      </c>
      <c r="D79" s="3">
        <v>45356</v>
      </c>
      <c r="E79" s="2">
        <v>4</v>
      </c>
      <c r="F79" s="2" t="s">
        <v>55</v>
      </c>
      <c r="G79" t="str">
        <f t="shared" ca="1" si="4"/>
        <v>Not coming events</v>
      </c>
      <c r="H79">
        <f t="shared" si="5"/>
        <v>4</v>
      </c>
      <c r="I79" t="str">
        <f t="shared" si="6"/>
        <v>Mar</v>
      </c>
      <c r="J79" t="str">
        <f t="shared" si="7"/>
        <v>Product Launch-S. Gupta</v>
      </c>
    </row>
    <row r="80" spans="1:10" x14ac:dyDescent="0.4">
      <c r="A80" s="2" t="s">
        <v>1365</v>
      </c>
      <c r="B80" s="2" t="s">
        <v>1286</v>
      </c>
      <c r="C80" s="3">
        <v>45654</v>
      </c>
      <c r="D80" s="3">
        <v>45658</v>
      </c>
      <c r="E80" s="2">
        <v>4</v>
      </c>
      <c r="F80" s="2" t="s">
        <v>64</v>
      </c>
      <c r="G80" t="str">
        <f t="shared" ca="1" si="4"/>
        <v>Not coming events</v>
      </c>
      <c r="H80">
        <f t="shared" si="5"/>
        <v>4</v>
      </c>
      <c r="I80" t="str">
        <f t="shared" si="6"/>
        <v>Dec</v>
      </c>
      <c r="J80" t="str">
        <f t="shared" si="7"/>
        <v>Product Launch-M. Khan</v>
      </c>
    </row>
    <row r="81" spans="1:10" x14ac:dyDescent="0.4">
      <c r="A81" s="2" t="s">
        <v>1366</v>
      </c>
      <c r="B81" s="2" t="s">
        <v>1288</v>
      </c>
      <c r="C81" s="3">
        <v>45421</v>
      </c>
      <c r="D81" s="3">
        <v>45424</v>
      </c>
      <c r="E81" s="2">
        <v>3</v>
      </c>
      <c r="F81" s="2" t="s">
        <v>64</v>
      </c>
      <c r="G81" t="str">
        <f t="shared" ca="1" si="4"/>
        <v>Not coming events</v>
      </c>
      <c r="H81">
        <f t="shared" si="5"/>
        <v>3</v>
      </c>
      <c r="I81" t="str">
        <f t="shared" si="6"/>
        <v>May</v>
      </c>
      <c r="J81" t="str">
        <f t="shared" si="7"/>
        <v>Team Meeting-M. Khan</v>
      </c>
    </row>
    <row r="82" spans="1:10" x14ac:dyDescent="0.4">
      <c r="A82" s="2" t="s">
        <v>1367</v>
      </c>
      <c r="B82" s="2" t="s">
        <v>1282</v>
      </c>
      <c r="C82" s="3">
        <v>45496</v>
      </c>
      <c r="D82" s="3">
        <v>45499</v>
      </c>
      <c r="E82" s="2">
        <v>3</v>
      </c>
      <c r="F82" s="2" t="s">
        <v>28</v>
      </c>
      <c r="G82" t="str">
        <f t="shared" ca="1" si="4"/>
        <v>Not coming events</v>
      </c>
      <c r="H82">
        <f t="shared" si="5"/>
        <v>3</v>
      </c>
      <c r="I82" t="str">
        <f t="shared" si="6"/>
        <v>Jul</v>
      </c>
      <c r="J82" t="str">
        <f t="shared" si="7"/>
        <v>Annual Review-A. Sharma</v>
      </c>
    </row>
    <row r="83" spans="1:10" x14ac:dyDescent="0.4">
      <c r="A83" s="2" t="s">
        <v>1368</v>
      </c>
      <c r="B83" s="2" t="s">
        <v>1286</v>
      </c>
      <c r="C83" s="3">
        <v>45332</v>
      </c>
      <c r="D83" s="3">
        <v>45337</v>
      </c>
      <c r="E83" s="2">
        <v>5</v>
      </c>
      <c r="F83" s="2" t="s">
        <v>55</v>
      </c>
      <c r="G83" t="str">
        <f t="shared" ca="1" si="4"/>
        <v>Not coming events</v>
      </c>
      <c r="H83">
        <f t="shared" si="5"/>
        <v>5</v>
      </c>
      <c r="I83" t="str">
        <f t="shared" si="6"/>
        <v>Feb</v>
      </c>
      <c r="J83" t="str">
        <f t="shared" si="7"/>
        <v>Product Launch-S. Gupta</v>
      </c>
    </row>
    <row r="84" spans="1:10" x14ac:dyDescent="0.4">
      <c r="A84" s="2" t="s">
        <v>1369</v>
      </c>
      <c r="B84" s="2" t="s">
        <v>1286</v>
      </c>
      <c r="C84" s="3">
        <v>45507</v>
      </c>
      <c r="D84" s="3">
        <v>45508</v>
      </c>
      <c r="E84" s="2">
        <v>1</v>
      </c>
      <c r="F84" s="2" t="s">
        <v>21</v>
      </c>
      <c r="G84" t="str">
        <f t="shared" ca="1" si="4"/>
        <v>Not coming events</v>
      </c>
      <c r="H84">
        <f t="shared" si="5"/>
        <v>1</v>
      </c>
      <c r="I84" t="str">
        <f t="shared" si="6"/>
        <v>Aug</v>
      </c>
      <c r="J84" t="str">
        <f t="shared" si="7"/>
        <v>Product Launch-R. Patel</v>
      </c>
    </row>
    <row r="85" spans="1:10" x14ac:dyDescent="0.4">
      <c r="A85" s="2" t="s">
        <v>1370</v>
      </c>
      <c r="B85" s="2" t="s">
        <v>1301</v>
      </c>
      <c r="C85" s="3">
        <v>45607</v>
      </c>
      <c r="D85" s="3">
        <v>45612</v>
      </c>
      <c r="E85" s="2">
        <v>5</v>
      </c>
      <c r="F85" s="2" t="s">
        <v>55</v>
      </c>
      <c r="G85" t="str">
        <f t="shared" ca="1" si="4"/>
        <v>Not coming events</v>
      </c>
      <c r="H85">
        <f t="shared" si="5"/>
        <v>5</v>
      </c>
      <c r="I85" t="str">
        <f t="shared" si="6"/>
        <v>Nov</v>
      </c>
      <c r="J85" t="str">
        <f t="shared" si="7"/>
        <v>Training Session-S. Gupta</v>
      </c>
    </row>
    <row r="86" spans="1:10" x14ac:dyDescent="0.4">
      <c r="A86" s="2" t="s">
        <v>1371</v>
      </c>
      <c r="B86" s="2" t="s">
        <v>1284</v>
      </c>
      <c r="C86" s="3">
        <v>45504</v>
      </c>
      <c r="D86" s="3">
        <v>45509</v>
      </c>
      <c r="E86" s="2">
        <v>5</v>
      </c>
      <c r="F86" s="2" t="s">
        <v>55</v>
      </c>
      <c r="G86" t="str">
        <f t="shared" ca="1" si="4"/>
        <v>Not coming events</v>
      </c>
      <c r="H86">
        <f t="shared" si="5"/>
        <v>5</v>
      </c>
      <c r="I86" t="str">
        <f t="shared" si="6"/>
        <v>Jul</v>
      </c>
      <c r="J86" t="str">
        <f t="shared" si="7"/>
        <v>Workshop-S. Gupta</v>
      </c>
    </row>
    <row r="87" spans="1:10" x14ac:dyDescent="0.4">
      <c r="A87" s="2" t="s">
        <v>1372</v>
      </c>
      <c r="B87" s="2" t="s">
        <v>1288</v>
      </c>
      <c r="C87" s="3">
        <v>45416</v>
      </c>
      <c r="D87" s="3">
        <v>45420</v>
      </c>
      <c r="E87" s="2">
        <v>4</v>
      </c>
      <c r="F87" s="2" t="s">
        <v>55</v>
      </c>
      <c r="G87" t="str">
        <f t="shared" ca="1" si="4"/>
        <v>Not coming events</v>
      </c>
      <c r="H87">
        <f t="shared" si="5"/>
        <v>4</v>
      </c>
      <c r="I87" t="str">
        <f t="shared" si="6"/>
        <v>May</v>
      </c>
      <c r="J87" t="str">
        <f t="shared" si="7"/>
        <v>Team Meeting-S. Gupta</v>
      </c>
    </row>
    <row r="88" spans="1:10" x14ac:dyDescent="0.4">
      <c r="A88" s="2" t="s">
        <v>1373</v>
      </c>
      <c r="B88" s="2" t="s">
        <v>1288</v>
      </c>
      <c r="C88" s="3">
        <v>45324</v>
      </c>
      <c r="D88" s="3">
        <v>45328</v>
      </c>
      <c r="E88" s="2">
        <v>4</v>
      </c>
      <c r="F88" s="2" t="s">
        <v>64</v>
      </c>
      <c r="G88" t="str">
        <f t="shared" ca="1" si="4"/>
        <v>Not coming events</v>
      </c>
      <c r="H88">
        <f t="shared" si="5"/>
        <v>4</v>
      </c>
      <c r="I88" t="str">
        <f t="shared" si="6"/>
        <v>Feb</v>
      </c>
      <c r="J88" t="str">
        <f t="shared" si="7"/>
        <v>Team Meeting-M. Khan</v>
      </c>
    </row>
    <row r="89" spans="1:10" x14ac:dyDescent="0.4">
      <c r="A89" s="2" t="s">
        <v>1374</v>
      </c>
      <c r="B89" s="2" t="s">
        <v>1288</v>
      </c>
      <c r="C89" s="3">
        <v>45628</v>
      </c>
      <c r="D89" s="3">
        <v>45629</v>
      </c>
      <c r="E89" s="2">
        <v>1</v>
      </c>
      <c r="F89" s="2" t="s">
        <v>28</v>
      </c>
      <c r="G89" t="str">
        <f t="shared" ca="1" si="4"/>
        <v>Not coming events</v>
      </c>
      <c r="H89">
        <f t="shared" si="5"/>
        <v>1</v>
      </c>
      <c r="I89" t="str">
        <f t="shared" si="6"/>
        <v>Dec</v>
      </c>
      <c r="J89" t="str">
        <f t="shared" si="7"/>
        <v>Team Meeting-A. Sharma</v>
      </c>
    </row>
    <row r="90" spans="1:10" x14ac:dyDescent="0.4">
      <c r="A90" s="2" t="s">
        <v>1375</v>
      </c>
      <c r="B90" s="2" t="s">
        <v>1296</v>
      </c>
      <c r="C90" s="3">
        <v>45324</v>
      </c>
      <c r="D90" s="3">
        <v>45326</v>
      </c>
      <c r="E90" s="2">
        <v>2</v>
      </c>
      <c r="F90" s="2" t="s">
        <v>14</v>
      </c>
      <c r="G90" t="str">
        <f t="shared" ca="1" si="4"/>
        <v>Not coming events</v>
      </c>
      <c r="H90">
        <f t="shared" si="5"/>
        <v>2</v>
      </c>
      <c r="I90" t="str">
        <f t="shared" si="6"/>
        <v>Feb</v>
      </c>
      <c r="J90" t="str">
        <f t="shared" si="7"/>
        <v>Client Presentation-V. Nair</v>
      </c>
    </row>
    <row r="91" spans="1:10" x14ac:dyDescent="0.4">
      <c r="A91" s="2" t="s">
        <v>1376</v>
      </c>
      <c r="B91" s="2" t="s">
        <v>1301</v>
      </c>
      <c r="C91" s="3">
        <v>45616</v>
      </c>
      <c r="D91" s="3">
        <v>45621</v>
      </c>
      <c r="E91" s="2">
        <v>5</v>
      </c>
      <c r="F91" s="2" t="s">
        <v>64</v>
      </c>
      <c r="G91" t="str">
        <f t="shared" ca="1" si="4"/>
        <v>Not coming events</v>
      </c>
      <c r="H91">
        <f t="shared" si="5"/>
        <v>5</v>
      </c>
      <c r="I91" t="str">
        <f t="shared" si="6"/>
        <v>Nov</v>
      </c>
      <c r="J91" t="str">
        <f t="shared" si="7"/>
        <v>Training Session-M. Khan</v>
      </c>
    </row>
    <row r="92" spans="1:10" x14ac:dyDescent="0.4">
      <c r="A92" s="2" t="s">
        <v>1377</v>
      </c>
      <c r="B92" s="2" t="s">
        <v>1288</v>
      </c>
      <c r="C92" s="3">
        <v>45582</v>
      </c>
      <c r="D92" s="3">
        <v>45586</v>
      </c>
      <c r="E92" s="2">
        <v>4</v>
      </c>
      <c r="F92" s="2" t="s">
        <v>21</v>
      </c>
      <c r="G92" t="str">
        <f t="shared" ca="1" si="4"/>
        <v>Not coming events</v>
      </c>
      <c r="H92">
        <f t="shared" si="5"/>
        <v>4</v>
      </c>
      <c r="I92" t="str">
        <f t="shared" si="6"/>
        <v>Oct</v>
      </c>
      <c r="J92" t="str">
        <f t="shared" si="7"/>
        <v>Team Meeting-R. Patel</v>
      </c>
    </row>
    <row r="93" spans="1:10" x14ac:dyDescent="0.4">
      <c r="A93" s="2" t="s">
        <v>1378</v>
      </c>
      <c r="B93" s="2" t="s">
        <v>1286</v>
      </c>
      <c r="C93" s="3">
        <v>45546</v>
      </c>
      <c r="D93" s="3">
        <v>45547</v>
      </c>
      <c r="E93" s="2">
        <v>1</v>
      </c>
      <c r="F93" s="2" t="s">
        <v>64</v>
      </c>
      <c r="G93" t="str">
        <f t="shared" ca="1" si="4"/>
        <v>Not coming events</v>
      </c>
      <c r="H93">
        <f t="shared" si="5"/>
        <v>1</v>
      </c>
      <c r="I93" t="str">
        <f t="shared" si="6"/>
        <v>Sep</v>
      </c>
      <c r="J93" t="str">
        <f t="shared" si="7"/>
        <v>Product Launch-M. Khan</v>
      </c>
    </row>
    <row r="94" spans="1:10" x14ac:dyDescent="0.4">
      <c r="A94" s="2" t="s">
        <v>1379</v>
      </c>
      <c r="B94" s="2" t="s">
        <v>1282</v>
      </c>
      <c r="C94" s="3">
        <v>45298</v>
      </c>
      <c r="D94" s="3">
        <v>45300</v>
      </c>
      <c r="E94" s="2">
        <v>2</v>
      </c>
      <c r="F94" s="2" t="s">
        <v>14</v>
      </c>
      <c r="G94" t="str">
        <f t="shared" ca="1" si="4"/>
        <v>Not coming events</v>
      </c>
      <c r="H94">
        <f t="shared" si="5"/>
        <v>2</v>
      </c>
      <c r="I94" t="str">
        <f t="shared" si="6"/>
        <v>Jan</v>
      </c>
      <c r="J94" t="str">
        <f t="shared" si="7"/>
        <v>Annual Review-V. Nair</v>
      </c>
    </row>
    <row r="95" spans="1:10" x14ac:dyDescent="0.4">
      <c r="A95" s="2" t="s">
        <v>1380</v>
      </c>
      <c r="B95" s="2" t="s">
        <v>1288</v>
      </c>
      <c r="C95" s="3">
        <v>45316</v>
      </c>
      <c r="D95" s="3">
        <v>45320</v>
      </c>
      <c r="E95" s="2">
        <v>4</v>
      </c>
      <c r="F95" s="2" t="s">
        <v>64</v>
      </c>
      <c r="G95" t="str">
        <f t="shared" ca="1" si="4"/>
        <v>Not coming events</v>
      </c>
      <c r="H95">
        <f t="shared" si="5"/>
        <v>4</v>
      </c>
      <c r="I95" t="str">
        <f t="shared" si="6"/>
        <v>Jan</v>
      </c>
      <c r="J95" t="str">
        <f t="shared" si="7"/>
        <v>Team Meeting-M. Khan</v>
      </c>
    </row>
    <row r="96" spans="1:10" x14ac:dyDescent="0.4">
      <c r="A96" s="2" t="s">
        <v>1381</v>
      </c>
      <c r="B96" s="2" t="s">
        <v>1284</v>
      </c>
      <c r="C96" s="3">
        <v>45396</v>
      </c>
      <c r="D96" s="3">
        <v>45401</v>
      </c>
      <c r="E96" s="2">
        <v>5</v>
      </c>
      <c r="F96" s="2" t="s">
        <v>14</v>
      </c>
      <c r="G96" t="str">
        <f t="shared" ca="1" si="4"/>
        <v>Not coming events</v>
      </c>
      <c r="H96">
        <f t="shared" si="5"/>
        <v>5</v>
      </c>
      <c r="I96" t="str">
        <f t="shared" si="6"/>
        <v>Apr</v>
      </c>
      <c r="J96" t="str">
        <f t="shared" si="7"/>
        <v>Workshop-V. Nair</v>
      </c>
    </row>
    <row r="97" spans="1:10" x14ac:dyDescent="0.4">
      <c r="A97" s="2" t="s">
        <v>1382</v>
      </c>
      <c r="B97" s="2" t="s">
        <v>1301</v>
      </c>
      <c r="C97" s="3">
        <v>45470</v>
      </c>
      <c r="D97" s="3">
        <v>45474</v>
      </c>
      <c r="E97" s="2">
        <v>4</v>
      </c>
      <c r="F97" s="2" t="s">
        <v>55</v>
      </c>
      <c r="G97" t="str">
        <f t="shared" ca="1" si="4"/>
        <v>Not coming events</v>
      </c>
      <c r="H97">
        <f t="shared" si="5"/>
        <v>4</v>
      </c>
      <c r="I97" t="str">
        <f t="shared" si="6"/>
        <v>Jun</v>
      </c>
      <c r="J97" t="str">
        <f t="shared" si="7"/>
        <v>Training Session-S. Gupta</v>
      </c>
    </row>
    <row r="98" spans="1:10" x14ac:dyDescent="0.4">
      <c r="A98" s="2" t="s">
        <v>1383</v>
      </c>
      <c r="B98" s="2" t="s">
        <v>1282</v>
      </c>
      <c r="C98" s="3">
        <v>45472</v>
      </c>
      <c r="D98" s="3">
        <v>45475</v>
      </c>
      <c r="E98" s="2">
        <v>3</v>
      </c>
      <c r="F98" s="2" t="s">
        <v>14</v>
      </c>
      <c r="G98" t="str">
        <f t="shared" ca="1" si="4"/>
        <v>Not coming events</v>
      </c>
      <c r="H98">
        <f t="shared" si="5"/>
        <v>3</v>
      </c>
      <c r="I98" t="str">
        <f t="shared" si="6"/>
        <v>Jun</v>
      </c>
      <c r="J98" t="str">
        <f t="shared" si="7"/>
        <v>Annual Review-V. Nair</v>
      </c>
    </row>
    <row r="99" spans="1:10" x14ac:dyDescent="0.4">
      <c r="A99" s="2" t="s">
        <v>1384</v>
      </c>
      <c r="B99" s="2" t="s">
        <v>1296</v>
      </c>
      <c r="C99" s="3">
        <v>45648</v>
      </c>
      <c r="D99" s="3">
        <v>45653</v>
      </c>
      <c r="E99" s="2">
        <v>5</v>
      </c>
      <c r="F99" s="2" t="s">
        <v>14</v>
      </c>
      <c r="G99" t="str">
        <f t="shared" ca="1" si="4"/>
        <v>Not coming events</v>
      </c>
      <c r="H99">
        <f t="shared" si="5"/>
        <v>5</v>
      </c>
      <c r="I99" t="str">
        <f t="shared" si="6"/>
        <v>Dec</v>
      </c>
      <c r="J99" t="str">
        <f t="shared" si="7"/>
        <v>Client Presentation-V. Nair</v>
      </c>
    </row>
    <row r="100" spans="1:10" x14ac:dyDescent="0.4">
      <c r="A100" s="2" t="s">
        <v>1385</v>
      </c>
      <c r="B100" s="2" t="s">
        <v>1288</v>
      </c>
      <c r="C100" s="3">
        <v>45442</v>
      </c>
      <c r="D100" s="3">
        <v>45446</v>
      </c>
      <c r="E100" s="2">
        <v>4</v>
      </c>
      <c r="F100" s="2" t="s">
        <v>21</v>
      </c>
      <c r="G100" t="str">
        <f t="shared" ca="1" si="4"/>
        <v>Not coming events</v>
      </c>
      <c r="H100">
        <f t="shared" si="5"/>
        <v>4</v>
      </c>
      <c r="I100" t="str">
        <f t="shared" si="6"/>
        <v>May</v>
      </c>
      <c r="J100" t="str">
        <f t="shared" si="7"/>
        <v>Team Meeting-R. Patel</v>
      </c>
    </row>
    <row r="101" spans="1:10" x14ac:dyDescent="0.4">
      <c r="A101" s="2" t="s">
        <v>1386</v>
      </c>
      <c r="B101" s="2" t="s">
        <v>1286</v>
      </c>
      <c r="C101" s="3">
        <v>45599</v>
      </c>
      <c r="D101" s="3">
        <v>45602</v>
      </c>
      <c r="E101" s="2">
        <v>3</v>
      </c>
      <c r="F101" s="2" t="s">
        <v>28</v>
      </c>
      <c r="G101" t="str">
        <f t="shared" ca="1" si="4"/>
        <v>Not coming events</v>
      </c>
      <c r="H101">
        <f t="shared" si="5"/>
        <v>3</v>
      </c>
      <c r="I101" t="str">
        <f t="shared" si="6"/>
        <v>Nov</v>
      </c>
      <c r="J101" t="str">
        <f t="shared" si="7"/>
        <v>Product Launch-A. Sharma</v>
      </c>
    </row>
    <row r="102" spans="1:10" x14ac:dyDescent="0.4">
      <c r="A102" s="2" t="s">
        <v>1387</v>
      </c>
      <c r="B102" s="2" t="s">
        <v>1301</v>
      </c>
      <c r="C102" s="3">
        <v>45477</v>
      </c>
      <c r="D102" s="3">
        <v>45481</v>
      </c>
      <c r="E102" s="2">
        <v>4</v>
      </c>
      <c r="F102" s="2" t="s">
        <v>21</v>
      </c>
      <c r="G102" t="str">
        <f t="shared" ca="1" si="4"/>
        <v>Not coming events</v>
      </c>
      <c r="H102">
        <f t="shared" si="5"/>
        <v>4</v>
      </c>
      <c r="I102" t="str">
        <f t="shared" si="6"/>
        <v>Jul</v>
      </c>
      <c r="J102" t="str">
        <f t="shared" si="7"/>
        <v>Training Session-R. Patel</v>
      </c>
    </row>
    <row r="103" spans="1:10" x14ac:dyDescent="0.4">
      <c r="A103" s="2" t="s">
        <v>1388</v>
      </c>
      <c r="B103" s="2" t="s">
        <v>1288</v>
      </c>
      <c r="C103" s="3">
        <v>45621</v>
      </c>
      <c r="D103" s="3">
        <v>45625</v>
      </c>
      <c r="E103" s="2">
        <v>4</v>
      </c>
      <c r="F103" s="2" t="s">
        <v>14</v>
      </c>
      <c r="G103" t="str">
        <f t="shared" ca="1" si="4"/>
        <v>Not coming events</v>
      </c>
      <c r="H103">
        <f t="shared" si="5"/>
        <v>4</v>
      </c>
      <c r="I103" t="str">
        <f t="shared" si="6"/>
        <v>Nov</v>
      </c>
      <c r="J103" t="str">
        <f t="shared" si="7"/>
        <v>Team Meeting-V. Nair</v>
      </c>
    </row>
    <row r="104" spans="1:10" x14ac:dyDescent="0.4">
      <c r="A104" s="2" t="s">
        <v>1389</v>
      </c>
      <c r="B104" s="2" t="s">
        <v>1286</v>
      </c>
      <c r="C104" s="3">
        <v>45426</v>
      </c>
      <c r="D104" s="3">
        <v>45428</v>
      </c>
      <c r="E104" s="2">
        <v>2</v>
      </c>
      <c r="F104" s="2" t="s">
        <v>64</v>
      </c>
      <c r="G104" t="str">
        <f t="shared" ca="1" si="4"/>
        <v>Not coming events</v>
      </c>
      <c r="H104">
        <f t="shared" si="5"/>
        <v>2</v>
      </c>
      <c r="I104" t="str">
        <f t="shared" si="6"/>
        <v>May</v>
      </c>
      <c r="J104" t="str">
        <f t="shared" si="7"/>
        <v>Product Launch-M. Khan</v>
      </c>
    </row>
    <row r="105" spans="1:10" x14ac:dyDescent="0.4">
      <c r="A105" s="2" t="s">
        <v>1390</v>
      </c>
      <c r="B105" s="2" t="s">
        <v>1284</v>
      </c>
      <c r="C105" s="3">
        <v>45509</v>
      </c>
      <c r="D105" s="3">
        <v>45510</v>
      </c>
      <c r="E105" s="2">
        <v>1</v>
      </c>
      <c r="F105" s="2" t="s">
        <v>64</v>
      </c>
      <c r="G105" t="str">
        <f t="shared" ca="1" si="4"/>
        <v>Not coming events</v>
      </c>
      <c r="H105">
        <f t="shared" si="5"/>
        <v>1</v>
      </c>
      <c r="I105" t="str">
        <f t="shared" si="6"/>
        <v>Aug</v>
      </c>
      <c r="J105" t="str">
        <f t="shared" si="7"/>
        <v>Workshop-M. Khan</v>
      </c>
    </row>
    <row r="106" spans="1:10" x14ac:dyDescent="0.4">
      <c r="A106" s="2" t="s">
        <v>1391</v>
      </c>
      <c r="B106" s="2" t="s">
        <v>1301</v>
      </c>
      <c r="C106" s="3">
        <v>45375</v>
      </c>
      <c r="D106" s="3">
        <v>45376</v>
      </c>
      <c r="E106" s="2">
        <v>1</v>
      </c>
      <c r="F106" s="2" t="s">
        <v>64</v>
      </c>
      <c r="G106" t="str">
        <f t="shared" ca="1" si="4"/>
        <v>Not coming events</v>
      </c>
      <c r="H106">
        <f t="shared" si="5"/>
        <v>1</v>
      </c>
      <c r="I106" t="str">
        <f t="shared" si="6"/>
        <v>Mar</v>
      </c>
      <c r="J106" t="str">
        <f t="shared" si="7"/>
        <v>Training Session-M. Khan</v>
      </c>
    </row>
    <row r="107" spans="1:10" x14ac:dyDescent="0.4">
      <c r="A107" s="2" t="s">
        <v>1392</v>
      </c>
      <c r="B107" s="2" t="s">
        <v>1301</v>
      </c>
      <c r="C107" s="3">
        <v>45400</v>
      </c>
      <c r="D107" s="3">
        <v>45403</v>
      </c>
      <c r="E107" s="2">
        <v>3</v>
      </c>
      <c r="F107" s="2" t="s">
        <v>55</v>
      </c>
      <c r="G107" t="str">
        <f t="shared" ca="1" si="4"/>
        <v>Not coming events</v>
      </c>
      <c r="H107">
        <f t="shared" si="5"/>
        <v>3</v>
      </c>
      <c r="I107" t="str">
        <f t="shared" si="6"/>
        <v>Apr</v>
      </c>
      <c r="J107" t="str">
        <f t="shared" si="7"/>
        <v>Training Session-S. Gupta</v>
      </c>
    </row>
    <row r="108" spans="1:10" x14ac:dyDescent="0.4">
      <c r="A108" s="2" t="s">
        <v>1393</v>
      </c>
      <c r="B108" s="2" t="s">
        <v>1284</v>
      </c>
      <c r="C108" s="3">
        <v>45480</v>
      </c>
      <c r="D108" s="3">
        <v>45484</v>
      </c>
      <c r="E108" s="2">
        <v>4</v>
      </c>
      <c r="F108" s="2" t="s">
        <v>64</v>
      </c>
      <c r="G108" t="str">
        <f t="shared" ca="1" si="4"/>
        <v>Not coming events</v>
      </c>
      <c r="H108">
        <f t="shared" si="5"/>
        <v>4</v>
      </c>
      <c r="I108" t="str">
        <f t="shared" si="6"/>
        <v>Jul</v>
      </c>
      <c r="J108" t="str">
        <f t="shared" si="7"/>
        <v>Workshop-M. Khan</v>
      </c>
    </row>
    <row r="109" spans="1:10" x14ac:dyDescent="0.4">
      <c r="A109" s="2" t="s">
        <v>1394</v>
      </c>
      <c r="B109" s="2" t="s">
        <v>1282</v>
      </c>
      <c r="C109" s="3">
        <v>45450</v>
      </c>
      <c r="D109" s="3">
        <v>45451</v>
      </c>
      <c r="E109" s="2">
        <v>1</v>
      </c>
      <c r="F109" s="2" t="s">
        <v>14</v>
      </c>
      <c r="G109" t="str">
        <f t="shared" ca="1" si="4"/>
        <v>Not coming events</v>
      </c>
      <c r="H109">
        <f t="shared" si="5"/>
        <v>1</v>
      </c>
      <c r="I109" t="str">
        <f t="shared" si="6"/>
        <v>Jun</v>
      </c>
      <c r="J109" t="str">
        <f t="shared" si="7"/>
        <v>Annual Review-V. Nair</v>
      </c>
    </row>
    <row r="110" spans="1:10" x14ac:dyDescent="0.4">
      <c r="A110" s="2" t="s">
        <v>1395</v>
      </c>
      <c r="B110" s="2" t="s">
        <v>1284</v>
      </c>
      <c r="C110" s="3">
        <v>45501</v>
      </c>
      <c r="D110" s="3">
        <v>45504</v>
      </c>
      <c r="E110" s="2">
        <v>3</v>
      </c>
      <c r="F110" s="2" t="s">
        <v>28</v>
      </c>
      <c r="G110" t="str">
        <f t="shared" ca="1" si="4"/>
        <v>Not coming events</v>
      </c>
      <c r="H110">
        <f t="shared" si="5"/>
        <v>3</v>
      </c>
      <c r="I110" t="str">
        <f t="shared" si="6"/>
        <v>Jul</v>
      </c>
      <c r="J110" t="str">
        <f t="shared" si="7"/>
        <v>Workshop-A. Sharma</v>
      </c>
    </row>
    <row r="111" spans="1:10" x14ac:dyDescent="0.4">
      <c r="A111" s="2" t="s">
        <v>1396</v>
      </c>
      <c r="B111" s="2" t="s">
        <v>1284</v>
      </c>
      <c r="C111" s="3">
        <v>45480</v>
      </c>
      <c r="D111" s="3">
        <v>45483</v>
      </c>
      <c r="E111" s="2">
        <v>3</v>
      </c>
      <c r="F111" s="2" t="s">
        <v>64</v>
      </c>
      <c r="G111" t="str">
        <f t="shared" ca="1" si="4"/>
        <v>Not coming events</v>
      </c>
      <c r="H111">
        <f t="shared" si="5"/>
        <v>3</v>
      </c>
      <c r="I111" t="str">
        <f t="shared" si="6"/>
        <v>Jul</v>
      </c>
      <c r="J111" t="str">
        <f t="shared" si="7"/>
        <v>Workshop-M. Khan</v>
      </c>
    </row>
    <row r="112" spans="1:10" x14ac:dyDescent="0.4">
      <c r="A112" s="2" t="s">
        <v>1397</v>
      </c>
      <c r="B112" s="2" t="s">
        <v>1288</v>
      </c>
      <c r="C112" s="3">
        <v>45611</v>
      </c>
      <c r="D112" s="3">
        <v>45614</v>
      </c>
      <c r="E112" s="2">
        <v>3</v>
      </c>
      <c r="F112" s="2" t="s">
        <v>64</v>
      </c>
      <c r="G112" t="str">
        <f t="shared" ca="1" si="4"/>
        <v>Not coming events</v>
      </c>
      <c r="H112">
        <f t="shared" si="5"/>
        <v>3</v>
      </c>
      <c r="I112" t="str">
        <f t="shared" si="6"/>
        <v>Nov</v>
      </c>
      <c r="J112" t="str">
        <f t="shared" si="7"/>
        <v>Team Meeting-M. Khan</v>
      </c>
    </row>
    <row r="113" spans="1:10" x14ac:dyDescent="0.4">
      <c r="A113" s="2" t="s">
        <v>1398</v>
      </c>
      <c r="B113" s="2" t="s">
        <v>1288</v>
      </c>
      <c r="C113" s="3">
        <v>45330</v>
      </c>
      <c r="D113" s="3">
        <v>45331</v>
      </c>
      <c r="E113" s="2">
        <v>1</v>
      </c>
      <c r="F113" s="2" t="s">
        <v>28</v>
      </c>
      <c r="G113" t="str">
        <f t="shared" ca="1" si="4"/>
        <v>Not coming events</v>
      </c>
      <c r="H113">
        <f t="shared" si="5"/>
        <v>1</v>
      </c>
      <c r="I113" t="str">
        <f t="shared" si="6"/>
        <v>Feb</v>
      </c>
      <c r="J113" t="str">
        <f t="shared" si="7"/>
        <v>Team Meeting-A. Sharma</v>
      </c>
    </row>
    <row r="114" spans="1:10" x14ac:dyDescent="0.4">
      <c r="A114" s="2" t="s">
        <v>1399</v>
      </c>
      <c r="B114" s="2" t="s">
        <v>1301</v>
      </c>
      <c r="C114" s="3">
        <v>45332</v>
      </c>
      <c r="D114" s="3">
        <v>45335</v>
      </c>
      <c r="E114" s="2">
        <v>3</v>
      </c>
      <c r="F114" s="2" t="s">
        <v>21</v>
      </c>
      <c r="G114" t="str">
        <f t="shared" ca="1" si="4"/>
        <v>Not coming events</v>
      </c>
      <c r="H114">
        <f t="shared" si="5"/>
        <v>3</v>
      </c>
      <c r="I114" t="str">
        <f t="shared" si="6"/>
        <v>Feb</v>
      </c>
      <c r="J114" t="str">
        <f t="shared" si="7"/>
        <v>Training Session-R. Patel</v>
      </c>
    </row>
    <row r="115" spans="1:10" x14ac:dyDescent="0.4">
      <c r="A115" s="2" t="s">
        <v>1400</v>
      </c>
      <c r="B115" s="2" t="s">
        <v>1301</v>
      </c>
      <c r="C115" s="3">
        <v>45498</v>
      </c>
      <c r="D115" s="3">
        <v>45502</v>
      </c>
      <c r="E115" s="2">
        <v>4</v>
      </c>
      <c r="F115" s="2" t="s">
        <v>21</v>
      </c>
      <c r="G115" t="str">
        <f t="shared" ca="1" si="4"/>
        <v>Not coming events</v>
      </c>
      <c r="H115">
        <f t="shared" si="5"/>
        <v>4</v>
      </c>
      <c r="I115" t="str">
        <f t="shared" si="6"/>
        <v>Jul</v>
      </c>
      <c r="J115" t="str">
        <f t="shared" si="7"/>
        <v>Training Session-R. Patel</v>
      </c>
    </row>
    <row r="116" spans="1:10" x14ac:dyDescent="0.4">
      <c r="A116" s="2" t="s">
        <v>1401</v>
      </c>
      <c r="B116" s="2" t="s">
        <v>1282</v>
      </c>
      <c r="C116" s="3">
        <v>45335</v>
      </c>
      <c r="D116" s="3">
        <v>45340</v>
      </c>
      <c r="E116" s="2">
        <v>5</v>
      </c>
      <c r="F116" s="2" t="s">
        <v>14</v>
      </c>
      <c r="G116" t="str">
        <f t="shared" ca="1" si="4"/>
        <v>Not coming events</v>
      </c>
      <c r="H116">
        <f t="shared" si="5"/>
        <v>5</v>
      </c>
      <c r="I116" t="str">
        <f t="shared" si="6"/>
        <v>Feb</v>
      </c>
      <c r="J116" t="str">
        <f t="shared" si="7"/>
        <v>Annual Review-V. Nair</v>
      </c>
    </row>
    <row r="117" spans="1:10" x14ac:dyDescent="0.4">
      <c r="A117" s="2" t="s">
        <v>1402</v>
      </c>
      <c r="B117" s="2" t="s">
        <v>1284</v>
      </c>
      <c r="C117" s="3">
        <v>45558</v>
      </c>
      <c r="D117" s="3">
        <v>45560</v>
      </c>
      <c r="E117" s="2">
        <v>2</v>
      </c>
      <c r="F117" s="2" t="s">
        <v>14</v>
      </c>
      <c r="G117" t="str">
        <f t="shared" ca="1" si="4"/>
        <v>Not coming events</v>
      </c>
      <c r="H117">
        <f t="shared" si="5"/>
        <v>2</v>
      </c>
      <c r="I117" t="str">
        <f t="shared" si="6"/>
        <v>Sep</v>
      </c>
      <c r="J117" t="str">
        <f t="shared" si="7"/>
        <v>Workshop-V. Nair</v>
      </c>
    </row>
    <row r="118" spans="1:10" x14ac:dyDescent="0.4">
      <c r="A118" s="2" t="s">
        <v>1403</v>
      </c>
      <c r="B118" s="2" t="s">
        <v>1301</v>
      </c>
      <c r="C118" s="3">
        <v>45492</v>
      </c>
      <c r="D118" s="3">
        <v>45494</v>
      </c>
      <c r="E118" s="2">
        <v>2</v>
      </c>
      <c r="F118" s="2" t="s">
        <v>14</v>
      </c>
      <c r="G118" t="str">
        <f t="shared" ca="1" si="4"/>
        <v>Not coming events</v>
      </c>
      <c r="H118">
        <f t="shared" si="5"/>
        <v>2</v>
      </c>
      <c r="I118" t="str">
        <f t="shared" si="6"/>
        <v>Jul</v>
      </c>
      <c r="J118" t="str">
        <f t="shared" si="7"/>
        <v>Training Session-V. Nair</v>
      </c>
    </row>
    <row r="119" spans="1:10" x14ac:dyDescent="0.4">
      <c r="A119" s="2" t="s">
        <v>1404</v>
      </c>
      <c r="B119" s="2" t="s">
        <v>1288</v>
      </c>
      <c r="C119" s="3">
        <v>45565</v>
      </c>
      <c r="D119" s="3">
        <v>45570</v>
      </c>
      <c r="E119" s="2">
        <v>5</v>
      </c>
      <c r="F119" s="2" t="s">
        <v>64</v>
      </c>
      <c r="G119" t="str">
        <f t="shared" ca="1" si="4"/>
        <v>Not coming events</v>
      </c>
      <c r="H119">
        <f t="shared" si="5"/>
        <v>5</v>
      </c>
      <c r="I119" t="str">
        <f t="shared" si="6"/>
        <v>Sep</v>
      </c>
      <c r="J119" t="str">
        <f t="shared" si="7"/>
        <v>Team Meeting-M. Khan</v>
      </c>
    </row>
    <row r="120" spans="1:10" x14ac:dyDescent="0.4">
      <c r="A120" s="2" t="s">
        <v>1405</v>
      </c>
      <c r="B120" s="2" t="s">
        <v>1296</v>
      </c>
      <c r="C120" s="3">
        <v>45657</v>
      </c>
      <c r="D120" s="3">
        <v>45658</v>
      </c>
      <c r="E120" s="2">
        <v>1</v>
      </c>
      <c r="F120" s="2" t="s">
        <v>55</v>
      </c>
      <c r="G120" t="str">
        <f t="shared" ca="1" si="4"/>
        <v>Not coming events</v>
      </c>
      <c r="H120">
        <f t="shared" si="5"/>
        <v>1</v>
      </c>
      <c r="I120" t="str">
        <f t="shared" si="6"/>
        <v>Dec</v>
      </c>
      <c r="J120" t="str">
        <f t="shared" si="7"/>
        <v>Client Presentation-S. Gupta</v>
      </c>
    </row>
    <row r="121" spans="1:10" x14ac:dyDescent="0.4">
      <c r="A121" s="2" t="s">
        <v>1406</v>
      </c>
      <c r="B121" s="2" t="s">
        <v>1282</v>
      </c>
      <c r="C121" s="3">
        <v>45415</v>
      </c>
      <c r="D121" s="3">
        <v>45418</v>
      </c>
      <c r="E121" s="2">
        <v>3</v>
      </c>
      <c r="F121" s="2" t="s">
        <v>28</v>
      </c>
      <c r="G121" t="str">
        <f t="shared" ca="1" si="4"/>
        <v>Not coming events</v>
      </c>
      <c r="H121">
        <f t="shared" si="5"/>
        <v>3</v>
      </c>
      <c r="I121" t="str">
        <f t="shared" si="6"/>
        <v>May</v>
      </c>
      <c r="J121" t="str">
        <f t="shared" si="7"/>
        <v>Annual Review-A. Sharma</v>
      </c>
    </row>
    <row r="122" spans="1:10" x14ac:dyDescent="0.4">
      <c r="A122" s="2" t="s">
        <v>1407</v>
      </c>
      <c r="B122" s="2" t="s">
        <v>1296</v>
      </c>
      <c r="C122" s="3">
        <v>45319</v>
      </c>
      <c r="D122" s="3">
        <v>45322</v>
      </c>
      <c r="E122" s="2">
        <v>3</v>
      </c>
      <c r="F122" s="2" t="s">
        <v>64</v>
      </c>
      <c r="G122" t="str">
        <f t="shared" ca="1" si="4"/>
        <v>Not coming events</v>
      </c>
      <c r="H122">
        <f t="shared" si="5"/>
        <v>3</v>
      </c>
      <c r="I122" t="str">
        <f t="shared" si="6"/>
        <v>Jan</v>
      </c>
      <c r="J122" t="str">
        <f t="shared" si="7"/>
        <v>Client Presentation-M. Khan</v>
      </c>
    </row>
    <row r="123" spans="1:10" x14ac:dyDescent="0.4">
      <c r="A123" s="2" t="s">
        <v>1408</v>
      </c>
      <c r="B123" s="2" t="s">
        <v>1282</v>
      </c>
      <c r="C123" s="3">
        <v>45398</v>
      </c>
      <c r="D123" s="3">
        <v>45401</v>
      </c>
      <c r="E123" s="2">
        <v>3</v>
      </c>
      <c r="F123" s="2" t="s">
        <v>55</v>
      </c>
      <c r="G123" t="str">
        <f t="shared" ca="1" si="4"/>
        <v>Not coming events</v>
      </c>
      <c r="H123">
        <f t="shared" si="5"/>
        <v>3</v>
      </c>
      <c r="I123" t="str">
        <f t="shared" si="6"/>
        <v>Apr</v>
      </c>
      <c r="J123" t="str">
        <f t="shared" si="7"/>
        <v>Annual Review-S. Gupta</v>
      </c>
    </row>
    <row r="124" spans="1:10" x14ac:dyDescent="0.4">
      <c r="A124" s="2" t="s">
        <v>1409</v>
      </c>
      <c r="B124" s="2" t="s">
        <v>1301</v>
      </c>
      <c r="C124" s="3">
        <v>45428</v>
      </c>
      <c r="D124" s="3">
        <v>45429</v>
      </c>
      <c r="E124" s="2">
        <v>1</v>
      </c>
      <c r="F124" s="2" t="s">
        <v>21</v>
      </c>
      <c r="G124" t="str">
        <f t="shared" ca="1" si="4"/>
        <v>Not coming events</v>
      </c>
      <c r="H124">
        <f t="shared" si="5"/>
        <v>1</v>
      </c>
      <c r="I124" t="str">
        <f t="shared" si="6"/>
        <v>May</v>
      </c>
      <c r="J124" t="str">
        <f t="shared" si="7"/>
        <v>Training Session-R. Patel</v>
      </c>
    </row>
    <row r="125" spans="1:10" x14ac:dyDescent="0.4">
      <c r="A125" s="2" t="s">
        <v>1410</v>
      </c>
      <c r="B125" s="2" t="s">
        <v>1296</v>
      </c>
      <c r="C125" s="3">
        <v>45639</v>
      </c>
      <c r="D125" s="3">
        <v>45641</v>
      </c>
      <c r="E125" s="2">
        <v>2</v>
      </c>
      <c r="F125" s="2" t="s">
        <v>55</v>
      </c>
      <c r="G125" t="str">
        <f t="shared" ca="1" si="4"/>
        <v>Not coming events</v>
      </c>
      <c r="H125">
        <f t="shared" si="5"/>
        <v>2</v>
      </c>
      <c r="I125" t="str">
        <f t="shared" si="6"/>
        <v>Dec</v>
      </c>
      <c r="J125" t="str">
        <f t="shared" si="7"/>
        <v>Client Presentation-S. Gupta</v>
      </c>
    </row>
    <row r="126" spans="1:10" x14ac:dyDescent="0.4">
      <c r="A126" s="2" t="s">
        <v>1411</v>
      </c>
      <c r="B126" s="2" t="s">
        <v>1288</v>
      </c>
      <c r="C126" s="3">
        <v>45460</v>
      </c>
      <c r="D126" s="3">
        <v>45462</v>
      </c>
      <c r="E126" s="2">
        <v>2</v>
      </c>
      <c r="F126" s="2" t="s">
        <v>64</v>
      </c>
      <c r="G126" t="str">
        <f t="shared" ca="1" si="4"/>
        <v>Not coming events</v>
      </c>
      <c r="H126">
        <f t="shared" si="5"/>
        <v>2</v>
      </c>
      <c r="I126" t="str">
        <f t="shared" si="6"/>
        <v>Jun</v>
      </c>
      <c r="J126" t="str">
        <f t="shared" si="7"/>
        <v>Team Meeting-M. Khan</v>
      </c>
    </row>
    <row r="127" spans="1:10" x14ac:dyDescent="0.4">
      <c r="A127" s="2" t="s">
        <v>1412</v>
      </c>
      <c r="B127" s="2" t="s">
        <v>1284</v>
      </c>
      <c r="C127" s="3">
        <v>45361</v>
      </c>
      <c r="D127" s="3">
        <v>45362</v>
      </c>
      <c r="E127" s="2">
        <v>1</v>
      </c>
      <c r="F127" s="2" t="s">
        <v>14</v>
      </c>
      <c r="G127" t="str">
        <f t="shared" ca="1" si="4"/>
        <v>Not coming events</v>
      </c>
      <c r="H127">
        <f t="shared" si="5"/>
        <v>1</v>
      </c>
      <c r="I127" t="str">
        <f t="shared" si="6"/>
        <v>Mar</v>
      </c>
      <c r="J127" t="str">
        <f t="shared" si="7"/>
        <v>Workshop-V. Nair</v>
      </c>
    </row>
    <row r="128" spans="1:10" x14ac:dyDescent="0.4">
      <c r="A128" s="2" t="s">
        <v>1413</v>
      </c>
      <c r="B128" s="2" t="s">
        <v>1282</v>
      </c>
      <c r="C128" s="3">
        <v>45570</v>
      </c>
      <c r="D128" s="3">
        <v>45574</v>
      </c>
      <c r="E128" s="2">
        <v>4</v>
      </c>
      <c r="F128" s="2" t="s">
        <v>21</v>
      </c>
      <c r="G128" t="str">
        <f t="shared" ca="1" si="4"/>
        <v>Not coming events</v>
      </c>
      <c r="H128">
        <f t="shared" si="5"/>
        <v>4</v>
      </c>
      <c r="I128" t="str">
        <f t="shared" si="6"/>
        <v>Oct</v>
      </c>
      <c r="J128" t="str">
        <f t="shared" si="7"/>
        <v>Annual Review-R. Patel</v>
      </c>
    </row>
    <row r="129" spans="1:10" x14ac:dyDescent="0.4">
      <c r="A129" s="2" t="s">
        <v>1414</v>
      </c>
      <c r="B129" s="2" t="s">
        <v>1288</v>
      </c>
      <c r="C129" s="3">
        <v>45364</v>
      </c>
      <c r="D129" s="3">
        <v>45369</v>
      </c>
      <c r="E129" s="2">
        <v>5</v>
      </c>
      <c r="F129" s="2" t="s">
        <v>55</v>
      </c>
      <c r="G129" t="str">
        <f t="shared" ca="1" si="4"/>
        <v>Not coming events</v>
      </c>
      <c r="H129">
        <f t="shared" si="5"/>
        <v>5</v>
      </c>
      <c r="I129" t="str">
        <f t="shared" si="6"/>
        <v>Mar</v>
      </c>
      <c r="J129" t="str">
        <f t="shared" si="7"/>
        <v>Team Meeting-S. Gupta</v>
      </c>
    </row>
    <row r="130" spans="1:10" x14ac:dyDescent="0.4">
      <c r="A130" s="2" t="s">
        <v>1415</v>
      </c>
      <c r="B130" s="2" t="s">
        <v>1301</v>
      </c>
      <c r="C130" s="3">
        <v>45519</v>
      </c>
      <c r="D130" s="3">
        <v>45520</v>
      </c>
      <c r="E130" s="2">
        <v>1</v>
      </c>
      <c r="F130" s="2" t="s">
        <v>55</v>
      </c>
      <c r="G130" t="str">
        <f t="shared" ca="1" si="4"/>
        <v>Not coming events</v>
      </c>
      <c r="H130">
        <f t="shared" si="5"/>
        <v>1</v>
      </c>
      <c r="I130" t="str">
        <f t="shared" si="6"/>
        <v>Aug</v>
      </c>
      <c r="J130" t="str">
        <f t="shared" si="7"/>
        <v>Training Session-S. Gupta</v>
      </c>
    </row>
    <row r="131" spans="1:10" x14ac:dyDescent="0.4">
      <c r="A131" s="2" t="s">
        <v>1416</v>
      </c>
      <c r="B131" s="2" t="s">
        <v>1288</v>
      </c>
      <c r="C131" s="3">
        <v>45595</v>
      </c>
      <c r="D131" s="3">
        <v>45597</v>
      </c>
      <c r="E131" s="2">
        <v>2</v>
      </c>
      <c r="F131" s="2" t="s">
        <v>14</v>
      </c>
      <c r="G131" t="str">
        <f t="shared" ref="G131:G194" ca="1" si="8">IF(AND(C131&lt;=TODAY()+30,D131&gt;=TODAY()),"Upcoming","Not coming events")</f>
        <v>Not coming events</v>
      </c>
      <c r="H131">
        <f t="shared" ref="H131:H194" si="9">DATEDIF(C131,D131,"d")</f>
        <v>2</v>
      </c>
      <c r="I131" t="str">
        <f t="shared" ref="I131:I194" si="10">TEXT(C131,"mmm")</f>
        <v>Oct</v>
      </c>
      <c r="J131" t="str">
        <f t="shared" ref="J131:J194" si="11">_xlfn.CONCAT(B131,"-",F131)</f>
        <v>Team Meeting-V. Nair</v>
      </c>
    </row>
    <row r="132" spans="1:10" x14ac:dyDescent="0.4">
      <c r="A132" s="2" t="s">
        <v>1417</v>
      </c>
      <c r="B132" s="2" t="s">
        <v>1284</v>
      </c>
      <c r="C132" s="3">
        <v>45529</v>
      </c>
      <c r="D132" s="3">
        <v>45534</v>
      </c>
      <c r="E132" s="2">
        <v>5</v>
      </c>
      <c r="F132" s="2" t="s">
        <v>55</v>
      </c>
      <c r="G132" t="str">
        <f t="shared" ca="1" si="8"/>
        <v>Not coming events</v>
      </c>
      <c r="H132">
        <f t="shared" si="9"/>
        <v>5</v>
      </c>
      <c r="I132" t="str">
        <f t="shared" si="10"/>
        <v>Aug</v>
      </c>
      <c r="J132" t="str">
        <f t="shared" si="11"/>
        <v>Workshop-S. Gupta</v>
      </c>
    </row>
    <row r="133" spans="1:10" x14ac:dyDescent="0.4">
      <c r="A133" s="2" t="s">
        <v>1418</v>
      </c>
      <c r="B133" s="2" t="s">
        <v>1296</v>
      </c>
      <c r="C133" s="3">
        <v>45479</v>
      </c>
      <c r="D133" s="3">
        <v>45480</v>
      </c>
      <c r="E133" s="2">
        <v>1</v>
      </c>
      <c r="F133" s="2" t="s">
        <v>28</v>
      </c>
      <c r="G133" t="str">
        <f t="shared" ca="1" si="8"/>
        <v>Not coming events</v>
      </c>
      <c r="H133">
        <f t="shared" si="9"/>
        <v>1</v>
      </c>
      <c r="I133" t="str">
        <f t="shared" si="10"/>
        <v>Jul</v>
      </c>
      <c r="J133" t="str">
        <f t="shared" si="11"/>
        <v>Client Presentation-A. Sharma</v>
      </c>
    </row>
    <row r="134" spans="1:10" x14ac:dyDescent="0.4">
      <c r="A134" s="2" t="s">
        <v>1419</v>
      </c>
      <c r="B134" s="2" t="s">
        <v>1301</v>
      </c>
      <c r="C134" s="3">
        <v>45561</v>
      </c>
      <c r="D134" s="3">
        <v>45563</v>
      </c>
      <c r="E134" s="2">
        <v>2</v>
      </c>
      <c r="F134" s="2" t="s">
        <v>28</v>
      </c>
      <c r="G134" t="str">
        <f t="shared" ca="1" si="8"/>
        <v>Not coming events</v>
      </c>
      <c r="H134">
        <f t="shared" si="9"/>
        <v>2</v>
      </c>
      <c r="I134" t="str">
        <f t="shared" si="10"/>
        <v>Sep</v>
      </c>
      <c r="J134" t="str">
        <f t="shared" si="11"/>
        <v>Training Session-A. Sharma</v>
      </c>
    </row>
    <row r="135" spans="1:10" x14ac:dyDescent="0.4">
      <c r="A135" s="2" t="s">
        <v>1420</v>
      </c>
      <c r="B135" s="2" t="s">
        <v>1301</v>
      </c>
      <c r="C135" s="3">
        <v>45623</v>
      </c>
      <c r="D135" s="3">
        <v>45627</v>
      </c>
      <c r="E135" s="2">
        <v>4</v>
      </c>
      <c r="F135" s="2" t="s">
        <v>64</v>
      </c>
      <c r="G135" t="str">
        <f t="shared" ca="1" si="8"/>
        <v>Not coming events</v>
      </c>
      <c r="H135">
        <f t="shared" si="9"/>
        <v>4</v>
      </c>
      <c r="I135" t="str">
        <f t="shared" si="10"/>
        <v>Nov</v>
      </c>
      <c r="J135" t="str">
        <f t="shared" si="11"/>
        <v>Training Session-M. Khan</v>
      </c>
    </row>
    <row r="136" spans="1:10" x14ac:dyDescent="0.4">
      <c r="A136" s="2" t="s">
        <v>1421</v>
      </c>
      <c r="B136" s="2" t="s">
        <v>1288</v>
      </c>
      <c r="C136" s="3">
        <v>45515</v>
      </c>
      <c r="D136" s="3">
        <v>45519</v>
      </c>
      <c r="E136" s="2">
        <v>4</v>
      </c>
      <c r="F136" s="2" t="s">
        <v>55</v>
      </c>
      <c r="G136" t="str">
        <f t="shared" ca="1" si="8"/>
        <v>Not coming events</v>
      </c>
      <c r="H136">
        <f t="shared" si="9"/>
        <v>4</v>
      </c>
      <c r="I136" t="str">
        <f t="shared" si="10"/>
        <v>Aug</v>
      </c>
      <c r="J136" t="str">
        <f t="shared" si="11"/>
        <v>Team Meeting-S. Gupta</v>
      </c>
    </row>
    <row r="137" spans="1:10" x14ac:dyDescent="0.4">
      <c r="A137" s="2" t="s">
        <v>1422</v>
      </c>
      <c r="B137" s="2" t="s">
        <v>1296</v>
      </c>
      <c r="C137" s="3">
        <v>45350</v>
      </c>
      <c r="D137" s="3">
        <v>45351</v>
      </c>
      <c r="E137" s="2">
        <v>1</v>
      </c>
      <c r="F137" s="2" t="s">
        <v>55</v>
      </c>
      <c r="G137" t="str">
        <f t="shared" ca="1" si="8"/>
        <v>Not coming events</v>
      </c>
      <c r="H137">
        <f t="shared" si="9"/>
        <v>1</v>
      </c>
      <c r="I137" t="str">
        <f t="shared" si="10"/>
        <v>Feb</v>
      </c>
      <c r="J137" t="str">
        <f t="shared" si="11"/>
        <v>Client Presentation-S. Gupta</v>
      </c>
    </row>
    <row r="138" spans="1:10" x14ac:dyDescent="0.4">
      <c r="A138" s="2" t="s">
        <v>1423</v>
      </c>
      <c r="B138" s="2" t="s">
        <v>1282</v>
      </c>
      <c r="C138" s="3">
        <v>45623</v>
      </c>
      <c r="D138" s="3">
        <v>45627</v>
      </c>
      <c r="E138" s="2">
        <v>4</v>
      </c>
      <c r="F138" s="2" t="s">
        <v>64</v>
      </c>
      <c r="G138" t="str">
        <f t="shared" ca="1" si="8"/>
        <v>Not coming events</v>
      </c>
      <c r="H138">
        <f t="shared" si="9"/>
        <v>4</v>
      </c>
      <c r="I138" t="str">
        <f t="shared" si="10"/>
        <v>Nov</v>
      </c>
      <c r="J138" t="str">
        <f t="shared" si="11"/>
        <v>Annual Review-M. Khan</v>
      </c>
    </row>
    <row r="139" spans="1:10" x14ac:dyDescent="0.4">
      <c r="A139" s="2" t="s">
        <v>1424</v>
      </c>
      <c r="B139" s="2" t="s">
        <v>1286</v>
      </c>
      <c r="C139" s="3">
        <v>45582</v>
      </c>
      <c r="D139" s="3">
        <v>45584</v>
      </c>
      <c r="E139" s="2">
        <v>2</v>
      </c>
      <c r="F139" s="2" t="s">
        <v>55</v>
      </c>
      <c r="G139" t="str">
        <f t="shared" ca="1" si="8"/>
        <v>Not coming events</v>
      </c>
      <c r="H139">
        <f t="shared" si="9"/>
        <v>2</v>
      </c>
      <c r="I139" t="str">
        <f t="shared" si="10"/>
        <v>Oct</v>
      </c>
      <c r="J139" t="str">
        <f t="shared" si="11"/>
        <v>Product Launch-S. Gupta</v>
      </c>
    </row>
    <row r="140" spans="1:10" x14ac:dyDescent="0.4">
      <c r="A140" s="2" t="s">
        <v>1425</v>
      </c>
      <c r="B140" s="2" t="s">
        <v>1296</v>
      </c>
      <c r="C140" s="3">
        <v>45654</v>
      </c>
      <c r="D140" s="3">
        <v>45659</v>
      </c>
      <c r="E140" s="2">
        <v>5</v>
      </c>
      <c r="F140" s="2" t="s">
        <v>14</v>
      </c>
      <c r="G140" t="str">
        <f t="shared" ca="1" si="8"/>
        <v>Not coming events</v>
      </c>
      <c r="H140">
        <f t="shared" si="9"/>
        <v>5</v>
      </c>
      <c r="I140" t="str">
        <f t="shared" si="10"/>
        <v>Dec</v>
      </c>
      <c r="J140" t="str">
        <f t="shared" si="11"/>
        <v>Client Presentation-V. Nair</v>
      </c>
    </row>
    <row r="141" spans="1:10" x14ac:dyDescent="0.4">
      <c r="A141" s="2" t="s">
        <v>1426</v>
      </c>
      <c r="B141" s="2" t="s">
        <v>1284</v>
      </c>
      <c r="C141" s="3">
        <v>45419</v>
      </c>
      <c r="D141" s="3">
        <v>45424</v>
      </c>
      <c r="E141" s="2">
        <v>5</v>
      </c>
      <c r="F141" s="2" t="s">
        <v>55</v>
      </c>
      <c r="G141" t="str">
        <f t="shared" ca="1" si="8"/>
        <v>Not coming events</v>
      </c>
      <c r="H141">
        <f t="shared" si="9"/>
        <v>5</v>
      </c>
      <c r="I141" t="str">
        <f t="shared" si="10"/>
        <v>May</v>
      </c>
      <c r="J141" t="str">
        <f t="shared" si="11"/>
        <v>Workshop-S. Gupta</v>
      </c>
    </row>
    <row r="142" spans="1:10" x14ac:dyDescent="0.4">
      <c r="A142" s="2" t="s">
        <v>1427</v>
      </c>
      <c r="B142" s="2" t="s">
        <v>1286</v>
      </c>
      <c r="C142" s="3">
        <v>45321</v>
      </c>
      <c r="D142" s="3">
        <v>45322</v>
      </c>
      <c r="E142" s="2">
        <v>1</v>
      </c>
      <c r="F142" s="2" t="s">
        <v>28</v>
      </c>
      <c r="G142" t="str">
        <f t="shared" ca="1" si="8"/>
        <v>Not coming events</v>
      </c>
      <c r="H142">
        <f t="shared" si="9"/>
        <v>1</v>
      </c>
      <c r="I142" t="str">
        <f t="shared" si="10"/>
        <v>Jan</v>
      </c>
      <c r="J142" t="str">
        <f t="shared" si="11"/>
        <v>Product Launch-A. Sharma</v>
      </c>
    </row>
    <row r="143" spans="1:10" x14ac:dyDescent="0.4">
      <c r="A143" s="2" t="s">
        <v>1428</v>
      </c>
      <c r="B143" s="2" t="s">
        <v>1301</v>
      </c>
      <c r="C143" s="3">
        <v>45416</v>
      </c>
      <c r="D143" s="3">
        <v>45419</v>
      </c>
      <c r="E143" s="2">
        <v>3</v>
      </c>
      <c r="F143" s="2" t="s">
        <v>55</v>
      </c>
      <c r="G143" t="str">
        <f t="shared" ca="1" si="8"/>
        <v>Not coming events</v>
      </c>
      <c r="H143">
        <f t="shared" si="9"/>
        <v>3</v>
      </c>
      <c r="I143" t="str">
        <f t="shared" si="10"/>
        <v>May</v>
      </c>
      <c r="J143" t="str">
        <f t="shared" si="11"/>
        <v>Training Session-S. Gupta</v>
      </c>
    </row>
    <row r="144" spans="1:10" x14ac:dyDescent="0.4">
      <c r="A144" s="2" t="s">
        <v>1429</v>
      </c>
      <c r="B144" s="2" t="s">
        <v>1301</v>
      </c>
      <c r="C144" s="3">
        <v>45521</v>
      </c>
      <c r="D144" s="3">
        <v>45525</v>
      </c>
      <c r="E144" s="2">
        <v>4</v>
      </c>
      <c r="F144" s="2" t="s">
        <v>55</v>
      </c>
      <c r="G144" t="str">
        <f t="shared" ca="1" si="8"/>
        <v>Not coming events</v>
      </c>
      <c r="H144">
        <f t="shared" si="9"/>
        <v>4</v>
      </c>
      <c r="I144" t="str">
        <f t="shared" si="10"/>
        <v>Aug</v>
      </c>
      <c r="J144" t="str">
        <f t="shared" si="11"/>
        <v>Training Session-S. Gupta</v>
      </c>
    </row>
    <row r="145" spans="1:10" x14ac:dyDescent="0.4">
      <c r="A145" s="2" t="s">
        <v>1430</v>
      </c>
      <c r="B145" s="2" t="s">
        <v>1282</v>
      </c>
      <c r="C145" s="3">
        <v>45540</v>
      </c>
      <c r="D145" s="3">
        <v>45543</v>
      </c>
      <c r="E145" s="2">
        <v>3</v>
      </c>
      <c r="F145" s="2" t="s">
        <v>64</v>
      </c>
      <c r="G145" t="str">
        <f t="shared" ca="1" si="8"/>
        <v>Not coming events</v>
      </c>
      <c r="H145">
        <f t="shared" si="9"/>
        <v>3</v>
      </c>
      <c r="I145" t="str">
        <f t="shared" si="10"/>
        <v>Sep</v>
      </c>
      <c r="J145" t="str">
        <f t="shared" si="11"/>
        <v>Annual Review-M. Khan</v>
      </c>
    </row>
    <row r="146" spans="1:10" x14ac:dyDescent="0.4">
      <c r="A146" s="2" t="s">
        <v>1431</v>
      </c>
      <c r="B146" s="2" t="s">
        <v>1288</v>
      </c>
      <c r="C146" s="3">
        <v>45312</v>
      </c>
      <c r="D146" s="3">
        <v>45316</v>
      </c>
      <c r="E146" s="2">
        <v>4</v>
      </c>
      <c r="F146" s="2" t="s">
        <v>55</v>
      </c>
      <c r="G146" t="str">
        <f t="shared" ca="1" si="8"/>
        <v>Not coming events</v>
      </c>
      <c r="H146">
        <f t="shared" si="9"/>
        <v>4</v>
      </c>
      <c r="I146" t="str">
        <f t="shared" si="10"/>
        <v>Jan</v>
      </c>
      <c r="J146" t="str">
        <f t="shared" si="11"/>
        <v>Team Meeting-S. Gupta</v>
      </c>
    </row>
    <row r="147" spans="1:10" x14ac:dyDescent="0.4">
      <c r="A147" s="2" t="s">
        <v>1432</v>
      </c>
      <c r="B147" s="2" t="s">
        <v>1296</v>
      </c>
      <c r="C147" s="3">
        <v>45445</v>
      </c>
      <c r="D147" s="3">
        <v>45448</v>
      </c>
      <c r="E147" s="2">
        <v>3</v>
      </c>
      <c r="F147" s="2" t="s">
        <v>64</v>
      </c>
      <c r="G147" t="str">
        <f t="shared" ca="1" si="8"/>
        <v>Not coming events</v>
      </c>
      <c r="H147">
        <f t="shared" si="9"/>
        <v>3</v>
      </c>
      <c r="I147" t="str">
        <f t="shared" si="10"/>
        <v>Jun</v>
      </c>
      <c r="J147" t="str">
        <f t="shared" si="11"/>
        <v>Client Presentation-M. Khan</v>
      </c>
    </row>
    <row r="148" spans="1:10" x14ac:dyDescent="0.4">
      <c r="A148" s="2" t="s">
        <v>1433</v>
      </c>
      <c r="B148" s="2" t="s">
        <v>1286</v>
      </c>
      <c r="C148" s="3">
        <v>45622</v>
      </c>
      <c r="D148" s="3">
        <v>45626</v>
      </c>
      <c r="E148" s="2">
        <v>4</v>
      </c>
      <c r="F148" s="2" t="s">
        <v>21</v>
      </c>
      <c r="G148" t="str">
        <f t="shared" ca="1" si="8"/>
        <v>Not coming events</v>
      </c>
      <c r="H148">
        <f t="shared" si="9"/>
        <v>4</v>
      </c>
      <c r="I148" t="str">
        <f t="shared" si="10"/>
        <v>Nov</v>
      </c>
      <c r="J148" t="str">
        <f t="shared" si="11"/>
        <v>Product Launch-R. Patel</v>
      </c>
    </row>
    <row r="149" spans="1:10" x14ac:dyDescent="0.4">
      <c r="A149" s="2" t="s">
        <v>1434</v>
      </c>
      <c r="B149" s="2" t="s">
        <v>1288</v>
      </c>
      <c r="C149" s="3">
        <v>45524</v>
      </c>
      <c r="D149" s="3">
        <v>45527</v>
      </c>
      <c r="E149" s="2">
        <v>3</v>
      </c>
      <c r="F149" s="2" t="s">
        <v>28</v>
      </c>
      <c r="G149" t="str">
        <f t="shared" ca="1" si="8"/>
        <v>Not coming events</v>
      </c>
      <c r="H149">
        <f t="shared" si="9"/>
        <v>3</v>
      </c>
      <c r="I149" t="str">
        <f t="shared" si="10"/>
        <v>Aug</v>
      </c>
      <c r="J149" t="str">
        <f t="shared" si="11"/>
        <v>Team Meeting-A. Sharma</v>
      </c>
    </row>
    <row r="150" spans="1:10" x14ac:dyDescent="0.4">
      <c r="A150" s="2" t="s">
        <v>1435</v>
      </c>
      <c r="B150" s="2" t="s">
        <v>1296</v>
      </c>
      <c r="C150" s="3">
        <v>45499</v>
      </c>
      <c r="D150" s="3">
        <v>45503</v>
      </c>
      <c r="E150" s="2">
        <v>4</v>
      </c>
      <c r="F150" s="2" t="s">
        <v>64</v>
      </c>
      <c r="G150" t="str">
        <f t="shared" ca="1" si="8"/>
        <v>Not coming events</v>
      </c>
      <c r="H150">
        <f t="shared" si="9"/>
        <v>4</v>
      </c>
      <c r="I150" t="str">
        <f t="shared" si="10"/>
        <v>Jul</v>
      </c>
      <c r="J150" t="str">
        <f t="shared" si="11"/>
        <v>Client Presentation-M. Khan</v>
      </c>
    </row>
    <row r="151" spans="1:10" x14ac:dyDescent="0.4">
      <c r="A151" s="2" t="s">
        <v>1436</v>
      </c>
      <c r="B151" s="2" t="s">
        <v>1286</v>
      </c>
      <c r="C151" s="3">
        <v>45654</v>
      </c>
      <c r="D151" s="3">
        <v>45655</v>
      </c>
      <c r="E151" s="2">
        <v>1</v>
      </c>
      <c r="F151" s="2" t="s">
        <v>14</v>
      </c>
      <c r="G151" t="str">
        <f t="shared" ca="1" si="8"/>
        <v>Not coming events</v>
      </c>
      <c r="H151">
        <f t="shared" si="9"/>
        <v>1</v>
      </c>
      <c r="I151" t="str">
        <f t="shared" si="10"/>
        <v>Dec</v>
      </c>
      <c r="J151" t="str">
        <f t="shared" si="11"/>
        <v>Product Launch-V. Nair</v>
      </c>
    </row>
    <row r="152" spans="1:10" x14ac:dyDescent="0.4">
      <c r="A152" s="2" t="s">
        <v>1437</v>
      </c>
      <c r="B152" s="2" t="s">
        <v>1282</v>
      </c>
      <c r="C152" s="3">
        <v>45503</v>
      </c>
      <c r="D152" s="3">
        <v>45506</v>
      </c>
      <c r="E152" s="2">
        <v>3</v>
      </c>
      <c r="F152" s="2" t="s">
        <v>55</v>
      </c>
      <c r="G152" t="str">
        <f t="shared" ca="1" si="8"/>
        <v>Not coming events</v>
      </c>
      <c r="H152">
        <f t="shared" si="9"/>
        <v>3</v>
      </c>
      <c r="I152" t="str">
        <f t="shared" si="10"/>
        <v>Jul</v>
      </c>
      <c r="J152" t="str">
        <f t="shared" si="11"/>
        <v>Annual Review-S. Gupta</v>
      </c>
    </row>
    <row r="153" spans="1:10" x14ac:dyDescent="0.4">
      <c r="A153" s="2" t="s">
        <v>1438</v>
      </c>
      <c r="B153" s="2" t="s">
        <v>1296</v>
      </c>
      <c r="C153" s="3">
        <v>45292</v>
      </c>
      <c r="D153" s="3">
        <v>45294</v>
      </c>
      <c r="E153" s="2">
        <v>2</v>
      </c>
      <c r="F153" s="2" t="s">
        <v>64</v>
      </c>
      <c r="G153" t="str">
        <f t="shared" ca="1" si="8"/>
        <v>Not coming events</v>
      </c>
      <c r="H153">
        <f t="shared" si="9"/>
        <v>2</v>
      </c>
      <c r="I153" t="str">
        <f t="shared" si="10"/>
        <v>Jan</v>
      </c>
      <c r="J153" t="str">
        <f t="shared" si="11"/>
        <v>Client Presentation-M. Khan</v>
      </c>
    </row>
    <row r="154" spans="1:10" x14ac:dyDescent="0.4">
      <c r="A154" s="2" t="s">
        <v>1439</v>
      </c>
      <c r="B154" s="2" t="s">
        <v>1284</v>
      </c>
      <c r="C154" s="3">
        <v>45565</v>
      </c>
      <c r="D154" s="3">
        <v>45566</v>
      </c>
      <c r="E154" s="2">
        <v>1</v>
      </c>
      <c r="F154" s="2" t="s">
        <v>14</v>
      </c>
      <c r="G154" t="str">
        <f t="shared" ca="1" si="8"/>
        <v>Not coming events</v>
      </c>
      <c r="H154">
        <f t="shared" si="9"/>
        <v>1</v>
      </c>
      <c r="I154" t="str">
        <f t="shared" si="10"/>
        <v>Sep</v>
      </c>
      <c r="J154" t="str">
        <f t="shared" si="11"/>
        <v>Workshop-V. Nair</v>
      </c>
    </row>
    <row r="155" spans="1:10" x14ac:dyDescent="0.4">
      <c r="A155" s="2" t="s">
        <v>1440</v>
      </c>
      <c r="B155" s="2" t="s">
        <v>1288</v>
      </c>
      <c r="C155" s="3">
        <v>45380</v>
      </c>
      <c r="D155" s="3">
        <v>45384</v>
      </c>
      <c r="E155" s="2">
        <v>4</v>
      </c>
      <c r="F155" s="2" t="s">
        <v>14</v>
      </c>
      <c r="G155" t="str">
        <f t="shared" ca="1" si="8"/>
        <v>Not coming events</v>
      </c>
      <c r="H155">
        <f t="shared" si="9"/>
        <v>4</v>
      </c>
      <c r="I155" t="str">
        <f t="shared" si="10"/>
        <v>Mar</v>
      </c>
      <c r="J155" t="str">
        <f t="shared" si="11"/>
        <v>Team Meeting-V. Nair</v>
      </c>
    </row>
    <row r="156" spans="1:10" x14ac:dyDescent="0.4">
      <c r="A156" s="2" t="s">
        <v>1441</v>
      </c>
      <c r="B156" s="2" t="s">
        <v>1284</v>
      </c>
      <c r="C156" s="3">
        <v>45356</v>
      </c>
      <c r="D156" s="3">
        <v>45358</v>
      </c>
      <c r="E156" s="2">
        <v>2</v>
      </c>
      <c r="F156" s="2" t="s">
        <v>28</v>
      </c>
      <c r="G156" t="str">
        <f t="shared" ca="1" si="8"/>
        <v>Not coming events</v>
      </c>
      <c r="H156">
        <f t="shared" si="9"/>
        <v>2</v>
      </c>
      <c r="I156" t="str">
        <f t="shared" si="10"/>
        <v>Mar</v>
      </c>
      <c r="J156" t="str">
        <f t="shared" si="11"/>
        <v>Workshop-A. Sharma</v>
      </c>
    </row>
    <row r="157" spans="1:10" x14ac:dyDescent="0.4">
      <c r="A157" s="2" t="s">
        <v>1442</v>
      </c>
      <c r="B157" s="2" t="s">
        <v>1288</v>
      </c>
      <c r="C157" s="3">
        <v>45383</v>
      </c>
      <c r="D157" s="3">
        <v>45388</v>
      </c>
      <c r="E157" s="2">
        <v>5</v>
      </c>
      <c r="F157" s="2" t="s">
        <v>64</v>
      </c>
      <c r="G157" t="str">
        <f t="shared" ca="1" si="8"/>
        <v>Not coming events</v>
      </c>
      <c r="H157">
        <f t="shared" si="9"/>
        <v>5</v>
      </c>
      <c r="I157" t="str">
        <f t="shared" si="10"/>
        <v>Apr</v>
      </c>
      <c r="J157" t="str">
        <f t="shared" si="11"/>
        <v>Team Meeting-M. Khan</v>
      </c>
    </row>
    <row r="158" spans="1:10" x14ac:dyDescent="0.4">
      <c r="A158" s="2" t="s">
        <v>1443</v>
      </c>
      <c r="B158" s="2" t="s">
        <v>1301</v>
      </c>
      <c r="C158" s="3">
        <v>45330</v>
      </c>
      <c r="D158" s="3">
        <v>45335</v>
      </c>
      <c r="E158" s="2">
        <v>5</v>
      </c>
      <c r="F158" s="2" t="s">
        <v>28</v>
      </c>
      <c r="G158" t="str">
        <f t="shared" ca="1" si="8"/>
        <v>Not coming events</v>
      </c>
      <c r="H158">
        <f t="shared" si="9"/>
        <v>5</v>
      </c>
      <c r="I158" t="str">
        <f t="shared" si="10"/>
        <v>Feb</v>
      </c>
      <c r="J158" t="str">
        <f t="shared" si="11"/>
        <v>Training Session-A. Sharma</v>
      </c>
    </row>
    <row r="159" spans="1:10" x14ac:dyDescent="0.4">
      <c r="A159" s="2" t="s">
        <v>1444</v>
      </c>
      <c r="B159" s="2" t="s">
        <v>1288</v>
      </c>
      <c r="C159" s="3">
        <v>45515</v>
      </c>
      <c r="D159" s="3">
        <v>45519</v>
      </c>
      <c r="E159" s="2">
        <v>4</v>
      </c>
      <c r="F159" s="2" t="s">
        <v>21</v>
      </c>
      <c r="G159" t="str">
        <f t="shared" ca="1" si="8"/>
        <v>Not coming events</v>
      </c>
      <c r="H159">
        <f t="shared" si="9"/>
        <v>4</v>
      </c>
      <c r="I159" t="str">
        <f t="shared" si="10"/>
        <v>Aug</v>
      </c>
      <c r="J159" t="str">
        <f t="shared" si="11"/>
        <v>Team Meeting-R. Patel</v>
      </c>
    </row>
    <row r="160" spans="1:10" x14ac:dyDescent="0.4">
      <c r="A160" s="2" t="s">
        <v>1445</v>
      </c>
      <c r="B160" s="2" t="s">
        <v>1286</v>
      </c>
      <c r="C160" s="3">
        <v>45317</v>
      </c>
      <c r="D160" s="3">
        <v>45321</v>
      </c>
      <c r="E160" s="2">
        <v>4</v>
      </c>
      <c r="F160" s="2" t="s">
        <v>55</v>
      </c>
      <c r="G160" t="str">
        <f t="shared" ca="1" si="8"/>
        <v>Not coming events</v>
      </c>
      <c r="H160">
        <f t="shared" si="9"/>
        <v>4</v>
      </c>
      <c r="I160" t="str">
        <f t="shared" si="10"/>
        <v>Jan</v>
      </c>
      <c r="J160" t="str">
        <f t="shared" si="11"/>
        <v>Product Launch-S. Gupta</v>
      </c>
    </row>
    <row r="161" spans="1:10" x14ac:dyDescent="0.4">
      <c r="A161" s="2" t="s">
        <v>1446</v>
      </c>
      <c r="B161" s="2" t="s">
        <v>1284</v>
      </c>
      <c r="C161" s="3">
        <v>45355</v>
      </c>
      <c r="D161" s="3">
        <v>45357</v>
      </c>
      <c r="E161" s="2">
        <v>2</v>
      </c>
      <c r="F161" s="2" t="s">
        <v>28</v>
      </c>
      <c r="G161" t="str">
        <f t="shared" ca="1" si="8"/>
        <v>Not coming events</v>
      </c>
      <c r="H161">
        <f t="shared" si="9"/>
        <v>2</v>
      </c>
      <c r="I161" t="str">
        <f t="shared" si="10"/>
        <v>Mar</v>
      </c>
      <c r="J161" t="str">
        <f t="shared" si="11"/>
        <v>Workshop-A. Sharma</v>
      </c>
    </row>
    <row r="162" spans="1:10" x14ac:dyDescent="0.4">
      <c r="A162" s="2" t="s">
        <v>1447</v>
      </c>
      <c r="B162" s="2" t="s">
        <v>1288</v>
      </c>
      <c r="C162" s="3">
        <v>45490</v>
      </c>
      <c r="D162" s="3">
        <v>45491</v>
      </c>
      <c r="E162" s="2">
        <v>1</v>
      </c>
      <c r="F162" s="2" t="s">
        <v>21</v>
      </c>
      <c r="G162" t="str">
        <f t="shared" ca="1" si="8"/>
        <v>Not coming events</v>
      </c>
      <c r="H162">
        <f t="shared" si="9"/>
        <v>1</v>
      </c>
      <c r="I162" t="str">
        <f t="shared" si="10"/>
        <v>Jul</v>
      </c>
      <c r="J162" t="str">
        <f t="shared" si="11"/>
        <v>Team Meeting-R. Patel</v>
      </c>
    </row>
    <row r="163" spans="1:10" x14ac:dyDescent="0.4">
      <c r="A163" s="2" t="s">
        <v>1448</v>
      </c>
      <c r="B163" s="2" t="s">
        <v>1284</v>
      </c>
      <c r="C163" s="3">
        <v>45462</v>
      </c>
      <c r="D163" s="3">
        <v>45466</v>
      </c>
      <c r="E163" s="2">
        <v>4</v>
      </c>
      <c r="F163" s="2" t="s">
        <v>55</v>
      </c>
      <c r="G163" t="str">
        <f t="shared" ca="1" si="8"/>
        <v>Not coming events</v>
      </c>
      <c r="H163">
        <f t="shared" si="9"/>
        <v>4</v>
      </c>
      <c r="I163" t="str">
        <f t="shared" si="10"/>
        <v>Jun</v>
      </c>
      <c r="J163" t="str">
        <f t="shared" si="11"/>
        <v>Workshop-S. Gupta</v>
      </c>
    </row>
    <row r="164" spans="1:10" x14ac:dyDescent="0.4">
      <c r="A164" s="2" t="s">
        <v>1449</v>
      </c>
      <c r="B164" s="2" t="s">
        <v>1301</v>
      </c>
      <c r="C164" s="3">
        <v>45577</v>
      </c>
      <c r="D164" s="3">
        <v>45582</v>
      </c>
      <c r="E164" s="2">
        <v>5</v>
      </c>
      <c r="F164" s="2" t="s">
        <v>28</v>
      </c>
      <c r="G164" t="str">
        <f t="shared" ca="1" si="8"/>
        <v>Not coming events</v>
      </c>
      <c r="H164">
        <f t="shared" si="9"/>
        <v>5</v>
      </c>
      <c r="I164" t="str">
        <f t="shared" si="10"/>
        <v>Oct</v>
      </c>
      <c r="J164" t="str">
        <f t="shared" si="11"/>
        <v>Training Session-A. Sharma</v>
      </c>
    </row>
    <row r="165" spans="1:10" x14ac:dyDescent="0.4">
      <c r="A165" s="2" t="s">
        <v>1450</v>
      </c>
      <c r="B165" s="2" t="s">
        <v>1288</v>
      </c>
      <c r="C165" s="3">
        <v>45607</v>
      </c>
      <c r="D165" s="3">
        <v>45612</v>
      </c>
      <c r="E165" s="2">
        <v>5</v>
      </c>
      <c r="F165" s="2" t="s">
        <v>64</v>
      </c>
      <c r="G165" t="str">
        <f t="shared" ca="1" si="8"/>
        <v>Not coming events</v>
      </c>
      <c r="H165">
        <f t="shared" si="9"/>
        <v>5</v>
      </c>
      <c r="I165" t="str">
        <f t="shared" si="10"/>
        <v>Nov</v>
      </c>
      <c r="J165" t="str">
        <f t="shared" si="11"/>
        <v>Team Meeting-M. Khan</v>
      </c>
    </row>
    <row r="166" spans="1:10" x14ac:dyDescent="0.4">
      <c r="A166" s="2" t="s">
        <v>1451</v>
      </c>
      <c r="B166" s="2" t="s">
        <v>1282</v>
      </c>
      <c r="C166" s="3">
        <v>45316</v>
      </c>
      <c r="D166" s="3">
        <v>45317</v>
      </c>
      <c r="E166" s="2">
        <v>1</v>
      </c>
      <c r="F166" s="2" t="s">
        <v>28</v>
      </c>
      <c r="G166" t="str">
        <f t="shared" ca="1" si="8"/>
        <v>Not coming events</v>
      </c>
      <c r="H166">
        <f t="shared" si="9"/>
        <v>1</v>
      </c>
      <c r="I166" t="str">
        <f t="shared" si="10"/>
        <v>Jan</v>
      </c>
      <c r="J166" t="str">
        <f t="shared" si="11"/>
        <v>Annual Review-A. Sharma</v>
      </c>
    </row>
    <row r="167" spans="1:10" x14ac:dyDescent="0.4">
      <c r="A167" s="2" t="s">
        <v>1452</v>
      </c>
      <c r="B167" s="2" t="s">
        <v>1296</v>
      </c>
      <c r="C167" s="3">
        <v>45297</v>
      </c>
      <c r="D167" s="3">
        <v>45300</v>
      </c>
      <c r="E167" s="2">
        <v>3</v>
      </c>
      <c r="F167" s="2" t="s">
        <v>21</v>
      </c>
      <c r="G167" t="str">
        <f t="shared" ca="1" si="8"/>
        <v>Not coming events</v>
      </c>
      <c r="H167">
        <f t="shared" si="9"/>
        <v>3</v>
      </c>
      <c r="I167" t="str">
        <f t="shared" si="10"/>
        <v>Jan</v>
      </c>
      <c r="J167" t="str">
        <f t="shared" si="11"/>
        <v>Client Presentation-R. Patel</v>
      </c>
    </row>
    <row r="168" spans="1:10" x14ac:dyDescent="0.4">
      <c r="A168" s="2" t="s">
        <v>1453</v>
      </c>
      <c r="B168" s="2" t="s">
        <v>1296</v>
      </c>
      <c r="C168" s="3">
        <v>45324</v>
      </c>
      <c r="D168" s="3">
        <v>45325</v>
      </c>
      <c r="E168" s="2">
        <v>1</v>
      </c>
      <c r="F168" s="2" t="s">
        <v>14</v>
      </c>
      <c r="G168" t="str">
        <f t="shared" ca="1" si="8"/>
        <v>Not coming events</v>
      </c>
      <c r="H168">
        <f t="shared" si="9"/>
        <v>1</v>
      </c>
      <c r="I168" t="str">
        <f t="shared" si="10"/>
        <v>Feb</v>
      </c>
      <c r="J168" t="str">
        <f t="shared" si="11"/>
        <v>Client Presentation-V. Nair</v>
      </c>
    </row>
    <row r="169" spans="1:10" x14ac:dyDescent="0.4">
      <c r="A169" s="2" t="s">
        <v>1454</v>
      </c>
      <c r="B169" s="2" t="s">
        <v>1282</v>
      </c>
      <c r="C169" s="3">
        <v>45301</v>
      </c>
      <c r="D169" s="3">
        <v>45306</v>
      </c>
      <c r="E169" s="2">
        <v>5</v>
      </c>
      <c r="F169" s="2" t="s">
        <v>55</v>
      </c>
      <c r="G169" t="str">
        <f t="shared" ca="1" si="8"/>
        <v>Not coming events</v>
      </c>
      <c r="H169">
        <f t="shared" si="9"/>
        <v>5</v>
      </c>
      <c r="I169" t="str">
        <f t="shared" si="10"/>
        <v>Jan</v>
      </c>
      <c r="J169" t="str">
        <f t="shared" si="11"/>
        <v>Annual Review-S. Gupta</v>
      </c>
    </row>
    <row r="170" spans="1:10" x14ac:dyDescent="0.4">
      <c r="A170" s="2" t="s">
        <v>1455</v>
      </c>
      <c r="B170" s="2" t="s">
        <v>1301</v>
      </c>
      <c r="C170" s="3">
        <v>45308</v>
      </c>
      <c r="D170" s="3">
        <v>45313</v>
      </c>
      <c r="E170" s="2">
        <v>5</v>
      </c>
      <c r="F170" s="2" t="s">
        <v>14</v>
      </c>
      <c r="G170" t="str">
        <f t="shared" ca="1" si="8"/>
        <v>Not coming events</v>
      </c>
      <c r="H170">
        <f t="shared" si="9"/>
        <v>5</v>
      </c>
      <c r="I170" t="str">
        <f t="shared" si="10"/>
        <v>Jan</v>
      </c>
      <c r="J170" t="str">
        <f t="shared" si="11"/>
        <v>Training Session-V. Nair</v>
      </c>
    </row>
    <row r="171" spans="1:10" x14ac:dyDescent="0.4">
      <c r="A171" s="2" t="s">
        <v>1456</v>
      </c>
      <c r="B171" s="2" t="s">
        <v>1288</v>
      </c>
      <c r="C171" s="3">
        <v>45643</v>
      </c>
      <c r="D171" s="3">
        <v>45647</v>
      </c>
      <c r="E171" s="2">
        <v>4</v>
      </c>
      <c r="F171" s="2" t="s">
        <v>28</v>
      </c>
      <c r="G171" t="str">
        <f t="shared" ca="1" si="8"/>
        <v>Not coming events</v>
      </c>
      <c r="H171">
        <f t="shared" si="9"/>
        <v>4</v>
      </c>
      <c r="I171" t="str">
        <f t="shared" si="10"/>
        <v>Dec</v>
      </c>
      <c r="J171" t="str">
        <f t="shared" si="11"/>
        <v>Team Meeting-A. Sharma</v>
      </c>
    </row>
    <row r="172" spans="1:10" x14ac:dyDescent="0.4">
      <c r="A172" s="2" t="s">
        <v>1457</v>
      </c>
      <c r="B172" s="2" t="s">
        <v>1282</v>
      </c>
      <c r="C172" s="3">
        <v>45525</v>
      </c>
      <c r="D172" s="3">
        <v>45526</v>
      </c>
      <c r="E172" s="2">
        <v>1</v>
      </c>
      <c r="F172" s="2" t="s">
        <v>21</v>
      </c>
      <c r="G172" t="str">
        <f t="shared" ca="1" si="8"/>
        <v>Not coming events</v>
      </c>
      <c r="H172">
        <f t="shared" si="9"/>
        <v>1</v>
      </c>
      <c r="I172" t="str">
        <f t="shared" si="10"/>
        <v>Aug</v>
      </c>
      <c r="J172" t="str">
        <f t="shared" si="11"/>
        <v>Annual Review-R. Patel</v>
      </c>
    </row>
    <row r="173" spans="1:10" x14ac:dyDescent="0.4">
      <c r="A173" s="2" t="s">
        <v>1458</v>
      </c>
      <c r="B173" s="2" t="s">
        <v>1284</v>
      </c>
      <c r="C173" s="3">
        <v>45421</v>
      </c>
      <c r="D173" s="3">
        <v>45426</v>
      </c>
      <c r="E173" s="2">
        <v>5</v>
      </c>
      <c r="F173" s="2" t="s">
        <v>64</v>
      </c>
      <c r="G173" t="str">
        <f t="shared" ca="1" si="8"/>
        <v>Not coming events</v>
      </c>
      <c r="H173">
        <f t="shared" si="9"/>
        <v>5</v>
      </c>
      <c r="I173" t="str">
        <f t="shared" si="10"/>
        <v>May</v>
      </c>
      <c r="J173" t="str">
        <f t="shared" si="11"/>
        <v>Workshop-M. Khan</v>
      </c>
    </row>
    <row r="174" spans="1:10" x14ac:dyDescent="0.4">
      <c r="A174" s="2" t="s">
        <v>1459</v>
      </c>
      <c r="B174" s="2" t="s">
        <v>1282</v>
      </c>
      <c r="C174" s="3">
        <v>45305</v>
      </c>
      <c r="D174" s="3">
        <v>45308</v>
      </c>
      <c r="E174" s="2">
        <v>3</v>
      </c>
      <c r="F174" s="2" t="s">
        <v>21</v>
      </c>
      <c r="G174" t="str">
        <f t="shared" ca="1" si="8"/>
        <v>Not coming events</v>
      </c>
      <c r="H174">
        <f t="shared" si="9"/>
        <v>3</v>
      </c>
      <c r="I174" t="str">
        <f t="shared" si="10"/>
        <v>Jan</v>
      </c>
      <c r="J174" t="str">
        <f t="shared" si="11"/>
        <v>Annual Review-R. Patel</v>
      </c>
    </row>
    <row r="175" spans="1:10" x14ac:dyDescent="0.4">
      <c r="A175" s="2" t="s">
        <v>1460</v>
      </c>
      <c r="B175" s="2" t="s">
        <v>1282</v>
      </c>
      <c r="C175" s="3">
        <v>45466</v>
      </c>
      <c r="D175" s="3">
        <v>45470</v>
      </c>
      <c r="E175" s="2">
        <v>4</v>
      </c>
      <c r="F175" s="2" t="s">
        <v>28</v>
      </c>
      <c r="G175" t="str">
        <f t="shared" ca="1" si="8"/>
        <v>Not coming events</v>
      </c>
      <c r="H175">
        <f t="shared" si="9"/>
        <v>4</v>
      </c>
      <c r="I175" t="str">
        <f t="shared" si="10"/>
        <v>Jun</v>
      </c>
      <c r="J175" t="str">
        <f t="shared" si="11"/>
        <v>Annual Review-A. Sharma</v>
      </c>
    </row>
    <row r="176" spans="1:10" x14ac:dyDescent="0.4">
      <c r="A176" s="2" t="s">
        <v>1461</v>
      </c>
      <c r="B176" s="2" t="s">
        <v>1288</v>
      </c>
      <c r="C176" s="3">
        <v>45431</v>
      </c>
      <c r="D176" s="3">
        <v>45433</v>
      </c>
      <c r="E176" s="2">
        <v>2</v>
      </c>
      <c r="F176" s="2" t="s">
        <v>21</v>
      </c>
      <c r="G176" t="str">
        <f t="shared" ca="1" si="8"/>
        <v>Not coming events</v>
      </c>
      <c r="H176">
        <f t="shared" si="9"/>
        <v>2</v>
      </c>
      <c r="I176" t="str">
        <f t="shared" si="10"/>
        <v>May</v>
      </c>
      <c r="J176" t="str">
        <f t="shared" si="11"/>
        <v>Team Meeting-R. Patel</v>
      </c>
    </row>
    <row r="177" spans="1:10" x14ac:dyDescent="0.4">
      <c r="A177" s="2" t="s">
        <v>1462</v>
      </c>
      <c r="B177" s="2" t="s">
        <v>1282</v>
      </c>
      <c r="C177" s="3">
        <v>45334</v>
      </c>
      <c r="D177" s="3">
        <v>45336</v>
      </c>
      <c r="E177" s="2">
        <v>2</v>
      </c>
      <c r="F177" s="2" t="s">
        <v>14</v>
      </c>
      <c r="G177" t="str">
        <f t="shared" ca="1" si="8"/>
        <v>Not coming events</v>
      </c>
      <c r="H177">
        <f t="shared" si="9"/>
        <v>2</v>
      </c>
      <c r="I177" t="str">
        <f t="shared" si="10"/>
        <v>Feb</v>
      </c>
      <c r="J177" t="str">
        <f t="shared" si="11"/>
        <v>Annual Review-V. Nair</v>
      </c>
    </row>
    <row r="178" spans="1:10" x14ac:dyDescent="0.4">
      <c r="A178" s="2" t="s">
        <v>1463</v>
      </c>
      <c r="B178" s="2" t="s">
        <v>1286</v>
      </c>
      <c r="C178" s="3">
        <v>45569</v>
      </c>
      <c r="D178" s="3">
        <v>45573</v>
      </c>
      <c r="E178" s="2">
        <v>4</v>
      </c>
      <c r="F178" s="2" t="s">
        <v>64</v>
      </c>
      <c r="G178" t="str">
        <f t="shared" ca="1" si="8"/>
        <v>Not coming events</v>
      </c>
      <c r="H178">
        <f t="shared" si="9"/>
        <v>4</v>
      </c>
      <c r="I178" t="str">
        <f t="shared" si="10"/>
        <v>Oct</v>
      </c>
      <c r="J178" t="str">
        <f t="shared" si="11"/>
        <v>Product Launch-M. Khan</v>
      </c>
    </row>
    <row r="179" spans="1:10" x14ac:dyDescent="0.4">
      <c r="A179" s="2" t="s">
        <v>1464</v>
      </c>
      <c r="B179" s="2" t="s">
        <v>1301</v>
      </c>
      <c r="C179" s="3">
        <v>45467</v>
      </c>
      <c r="D179" s="3">
        <v>45472</v>
      </c>
      <c r="E179" s="2">
        <v>5</v>
      </c>
      <c r="F179" s="2" t="s">
        <v>64</v>
      </c>
      <c r="G179" t="str">
        <f t="shared" ca="1" si="8"/>
        <v>Not coming events</v>
      </c>
      <c r="H179">
        <f t="shared" si="9"/>
        <v>5</v>
      </c>
      <c r="I179" t="str">
        <f t="shared" si="10"/>
        <v>Jun</v>
      </c>
      <c r="J179" t="str">
        <f t="shared" si="11"/>
        <v>Training Session-M. Khan</v>
      </c>
    </row>
    <row r="180" spans="1:10" x14ac:dyDescent="0.4">
      <c r="A180" s="2" t="s">
        <v>1465</v>
      </c>
      <c r="B180" s="2" t="s">
        <v>1301</v>
      </c>
      <c r="C180" s="3">
        <v>45640</v>
      </c>
      <c r="D180" s="3">
        <v>45643</v>
      </c>
      <c r="E180" s="2">
        <v>3</v>
      </c>
      <c r="F180" s="2" t="s">
        <v>21</v>
      </c>
      <c r="G180" t="str">
        <f t="shared" ca="1" si="8"/>
        <v>Not coming events</v>
      </c>
      <c r="H180">
        <f t="shared" si="9"/>
        <v>3</v>
      </c>
      <c r="I180" t="str">
        <f t="shared" si="10"/>
        <v>Dec</v>
      </c>
      <c r="J180" t="str">
        <f t="shared" si="11"/>
        <v>Training Session-R. Patel</v>
      </c>
    </row>
    <row r="181" spans="1:10" x14ac:dyDescent="0.4">
      <c r="A181" s="2" t="s">
        <v>1466</v>
      </c>
      <c r="B181" s="2" t="s">
        <v>1288</v>
      </c>
      <c r="C181" s="3">
        <v>45536</v>
      </c>
      <c r="D181" s="3">
        <v>45541</v>
      </c>
      <c r="E181" s="2">
        <v>5</v>
      </c>
      <c r="F181" s="2" t="s">
        <v>64</v>
      </c>
      <c r="G181" t="str">
        <f t="shared" ca="1" si="8"/>
        <v>Not coming events</v>
      </c>
      <c r="H181">
        <f t="shared" si="9"/>
        <v>5</v>
      </c>
      <c r="I181" t="str">
        <f t="shared" si="10"/>
        <v>Sep</v>
      </c>
      <c r="J181" t="str">
        <f t="shared" si="11"/>
        <v>Team Meeting-M. Khan</v>
      </c>
    </row>
    <row r="182" spans="1:10" x14ac:dyDescent="0.4">
      <c r="A182" s="2" t="s">
        <v>1467</v>
      </c>
      <c r="B182" s="2" t="s">
        <v>1296</v>
      </c>
      <c r="C182" s="3">
        <v>45479</v>
      </c>
      <c r="D182" s="3">
        <v>45480</v>
      </c>
      <c r="E182" s="2">
        <v>1</v>
      </c>
      <c r="F182" s="2" t="s">
        <v>64</v>
      </c>
      <c r="G182" t="str">
        <f t="shared" ca="1" si="8"/>
        <v>Not coming events</v>
      </c>
      <c r="H182">
        <f t="shared" si="9"/>
        <v>1</v>
      </c>
      <c r="I182" t="str">
        <f t="shared" si="10"/>
        <v>Jul</v>
      </c>
      <c r="J182" t="str">
        <f t="shared" si="11"/>
        <v>Client Presentation-M. Khan</v>
      </c>
    </row>
    <row r="183" spans="1:10" x14ac:dyDescent="0.4">
      <c r="A183" s="2" t="s">
        <v>1468</v>
      </c>
      <c r="B183" s="2" t="s">
        <v>1284</v>
      </c>
      <c r="C183" s="3">
        <v>45575</v>
      </c>
      <c r="D183" s="3">
        <v>45576</v>
      </c>
      <c r="E183" s="2">
        <v>1</v>
      </c>
      <c r="F183" s="2" t="s">
        <v>64</v>
      </c>
      <c r="G183" t="str">
        <f t="shared" ca="1" si="8"/>
        <v>Not coming events</v>
      </c>
      <c r="H183">
        <f t="shared" si="9"/>
        <v>1</v>
      </c>
      <c r="I183" t="str">
        <f t="shared" si="10"/>
        <v>Oct</v>
      </c>
      <c r="J183" t="str">
        <f t="shared" si="11"/>
        <v>Workshop-M. Khan</v>
      </c>
    </row>
    <row r="184" spans="1:10" x14ac:dyDescent="0.4">
      <c r="A184" s="2" t="s">
        <v>1469</v>
      </c>
      <c r="B184" s="2" t="s">
        <v>1284</v>
      </c>
      <c r="C184" s="3">
        <v>45579</v>
      </c>
      <c r="D184" s="3">
        <v>45584</v>
      </c>
      <c r="E184" s="2">
        <v>5</v>
      </c>
      <c r="F184" s="2" t="s">
        <v>55</v>
      </c>
      <c r="G184" t="str">
        <f t="shared" ca="1" si="8"/>
        <v>Not coming events</v>
      </c>
      <c r="H184">
        <f t="shared" si="9"/>
        <v>5</v>
      </c>
      <c r="I184" t="str">
        <f t="shared" si="10"/>
        <v>Oct</v>
      </c>
      <c r="J184" t="str">
        <f t="shared" si="11"/>
        <v>Workshop-S. Gupta</v>
      </c>
    </row>
    <row r="185" spans="1:10" x14ac:dyDescent="0.4">
      <c r="A185" s="2" t="s">
        <v>1470</v>
      </c>
      <c r="B185" s="2" t="s">
        <v>1288</v>
      </c>
      <c r="C185" s="3">
        <v>45645</v>
      </c>
      <c r="D185" s="3">
        <v>45646</v>
      </c>
      <c r="E185" s="2">
        <v>1</v>
      </c>
      <c r="F185" s="2" t="s">
        <v>21</v>
      </c>
      <c r="G185" t="str">
        <f t="shared" ca="1" si="8"/>
        <v>Not coming events</v>
      </c>
      <c r="H185">
        <f t="shared" si="9"/>
        <v>1</v>
      </c>
      <c r="I185" t="str">
        <f t="shared" si="10"/>
        <v>Dec</v>
      </c>
      <c r="J185" t="str">
        <f t="shared" si="11"/>
        <v>Team Meeting-R. Patel</v>
      </c>
    </row>
    <row r="186" spans="1:10" x14ac:dyDescent="0.4">
      <c r="A186" s="2" t="s">
        <v>1471</v>
      </c>
      <c r="B186" s="2" t="s">
        <v>1286</v>
      </c>
      <c r="C186" s="3">
        <v>45473</v>
      </c>
      <c r="D186" s="3">
        <v>45476</v>
      </c>
      <c r="E186" s="2">
        <v>3</v>
      </c>
      <c r="F186" s="2" t="s">
        <v>55</v>
      </c>
      <c r="G186" t="str">
        <f t="shared" ca="1" si="8"/>
        <v>Not coming events</v>
      </c>
      <c r="H186">
        <f t="shared" si="9"/>
        <v>3</v>
      </c>
      <c r="I186" t="str">
        <f t="shared" si="10"/>
        <v>Jun</v>
      </c>
      <c r="J186" t="str">
        <f t="shared" si="11"/>
        <v>Product Launch-S. Gupta</v>
      </c>
    </row>
    <row r="187" spans="1:10" x14ac:dyDescent="0.4">
      <c r="A187" s="2" t="s">
        <v>1472</v>
      </c>
      <c r="B187" s="2" t="s">
        <v>1296</v>
      </c>
      <c r="C187" s="3">
        <v>45621</v>
      </c>
      <c r="D187" s="3">
        <v>45623</v>
      </c>
      <c r="E187" s="2">
        <v>2</v>
      </c>
      <c r="F187" s="2" t="s">
        <v>55</v>
      </c>
      <c r="G187" t="str">
        <f t="shared" ca="1" si="8"/>
        <v>Not coming events</v>
      </c>
      <c r="H187">
        <f t="shared" si="9"/>
        <v>2</v>
      </c>
      <c r="I187" t="str">
        <f t="shared" si="10"/>
        <v>Nov</v>
      </c>
      <c r="J187" t="str">
        <f t="shared" si="11"/>
        <v>Client Presentation-S. Gupta</v>
      </c>
    </row>
    <row r="188" spans="1:10" x14ac:dyDescent="0.4">
      <c r="A188" s="2" t="s">
        <v>1473</v>
      </c>
      <c r="B188" s="2" t="s">
        <v>1282</v>
      </c>
      <c r="C188" s="3">
        <v>45505</v>
      </c>
      <c r="D188" s="3">
        <v>45506</v>
      </c>
      <c r="E188" s="2">
        <v>1</v>
      </c>
      <c r="F188" s="2" t="s">
        <v>55</v>
      </c>
      <c r="G188" t="str">
        <f t="shared" ca="1" si="8"/>
        <v>Not coming events</v>
      </c>
      <c r="H188">
        <f t="shared" si="9"/>
        <v>1</v>
      </c>
      <c r="I188" t="str">
        <f t="shared" si="10"/>
        <v>Aug</v>
      </c>
      <c r="J188" t="str">
        <f t="shared" si="11"/>
        <v>Annual Review-S. Gupta</v>
      </c>
    </row>
    <row r="189" spans="1:10" x14ac:dyDescent="0.4">
      <c r="A189" s="2" t="s">
        <v>1474</v>
      </c>
      <c r="B189" s="2" t="s">
        <v>1284</v>
      </c>
      <c r="C189" s="3">
        <v>45563</v>
      </c>
      <c r="D189" s="3">
        <v>45566</v>
      </c>
      <c r="E189" s="2">
        <v>3</v>
      </c>
      <c r="F189" s="2" t="s">
        <v>64</v>
      </c>
      <c r="G189" t="str">
        <f t="shared" ca="1" si="8"/>
        <v>Not coming events</v>
      </c>
      <c r="H189">
        <f t="shared" si="9"/>
        <v>3</v>
      </c>
      <c r="I189" t="str">
        <f t="shared" si="10"/>
        <v>Sep</v>
      </c>
      <c r="J189" t="str">
        <f t="shared" si="11"/>
        <v>Workshop-M. Khan</v>
      </c>
    </row>
    <row r="190" spans="1:10" x14ac:dyDescent="0.4">
      <c r="A190" s="2" t="s">
        <v>1475</v>
      </c>
      <c r="B190" s="2" t="s">
        <v>1282</v>
      </c>
      <c r="C190" s="3">
        <v>45566</v>
      </c>
      <c r="D190" s="3">
        <v>45568</v>
      </c>
      <c r="E190" s="2">
        <v>2</v>
      </c>
      <c r="F190" s="2" t="s">
        <v>28</v>
      </c>
      <c r="G190" t="str">
        <f t="shared" ca="1" si="8"/>
        <v>Not coming events</v>
      </c>
      <c r="H190">
        <f t="shared" si="9"/>
        <v>2</v>
      </c>
      <c r="I190" t="str">
        <f t="shared" si="10"/>
        <v>Oct</v>
      </c>
      <c r="J190" t="str">
        <f t="shared" si="11"/>
        <v>Annual Review-A. Sharma</v>
      </c>
    </row>
    <row r="191" spans="1:10" x14ac:dyDescent="0.4">
      <c r="A191" s="2" t="s">
        <v>1476</v>
      </c>
      <c r="B191" s="2" t="s">
        <v>1296</v>
      </c>
      <c r="C191" s="3">
        <v>45443</v>
      </c>
      <c r="D191" s="3">
        <v>45444</v>
      </c>
      <c r="E191" s="2">
        <v>1</v>
      </c>
      <c r="F191" s="2" t="s">
        <v>28</v>
      </c>
      <c r="G191" t="str">
        <f t="shared" ca="1" si="8"/>
        <v>Not coming events</v>
      </c>
      <c r="H191">
        <f t="shared" si="9"/>
        <v>1</v>
      </c>
      <c r="I191" t="str">
        <f t="shared" si="10"/>
        <v>May</v>
      </c>
      <c r="J191" t="str">
        <f t="shared" si="11"/>
        <v>Client Presentation-A. Sharma</v>
      </c>
    </row>
    <row r="192" spans="1:10" x14ac:dyDescent="0.4">
      <c r="A192" s="2" t="s">
        <v>1477</v>
      </c>
      <c r="B192" s="2" t="s">
        <v>1301</v>
      </c>
      <c r="C192" s="3">
        <v>45530</v>
      </c>
      <c r="D192" s="3">
        <v>45533</v>
      </c>
      <c r="E192" s="2">
        <v>3</v>
      </c>
      <c r="F192" s="2" t="s">
        <v>28</v>
      </c>
      <c r="G192" t="str">
        <f t="shared" ca="1" si="8"/>
        <v>Not coming events</v>
      </c>
      <c r="H192">
        <f t="shared" si="9"/>
        <v>3</v>
      </c>
      <c r="I192" t="str">
        <f t="shared" si="10"/>
        <v>Aug</v>
      </c>
      <c r="J192" t="str">
        <f t="shared" si="11"/>
        <v>Training Session-A. Sharma</v>
      </c>
    </row>
    <row r="193" spans="1:10" x14ac:dyDescent="0.4">
      <c r="A193" s="2" t="s">
        <v>1478</v>
      </c>
      <c r="B193" s="2" t="s">
        <v>1284</v>
      </c>
      <c r="C193" s="3">
        <v>45309</v>
      </c>
      <c r="D193" s="3">
        <v>45313</v>
      </c>
      <c r="E193" s="2">
        <v>4</v>
      </c>
      <c r="F193" s="2" t="s">
        <v>28</v>
      </c>
      <c r="G193" t="str">
        <f t="shared" ca="1" si="8"/>
        <v>Not coming events</v>
      </c>
      <c r="H193">
        <f t="shared" si="9"/>
        <v>4</v>
      </c>
      <c r="I193" t="str">
        <f t="shared" si="10"/>
        <v>Jan</v>
      </c>
      <c r="J193" t="str">
        <f t="shared" si="11"/>
        <v>Workshop-A. Sharma</v>
      </c>
    </row>
    <row r="194" spans="1:10" x14ac:dyDescent="0.4">
      <c r="A194" s="2" t="s">
        <v>1479</v>
      </c>
      <c r="B194" s="2" t="s">
        <v>1286</v>
      </c>
      <c r="C194" s="3">
        <v>45378</v>
      </c>
      <c r="D194" s="3">
        <v>45383</v>
      </c>
      <c r="E194" s="2">
        <v>5</v>
      </c>
      <c r="F194" s="2" t="s">
        <v>64</v>
      </c>
      <c r="G194" t="str">
        <f t="shared" ca="1" si="8"/>
        <v>Not coming events</v>
      </c>
      <c r="H194">
        <f t="shared" si="9"/>
        <v>5</v>
      </c>
      <c r="I194" t="str">
        <f t="shared" si="10"/>
        <v>Mar</v>
      </c>
      <c r="J194" t="str">
        <f t="shared" si="11"/>
        <v>Product Launch-M. Khan</v>
      </c>
    </row>
    <row r="195" spans="1:10" x14ac:dyDescent="0.4">
      <c r="A195" s="2" t="s">
        <v>1480</v>
      </c>
      <c r="B195" s="2" t="s">
        <v>1288</v>
      </c>
      <c r="C195" s="3">
        <v>45440</v>
      </c>
      <c r="D195" s="3">
        <v>45443</v>
      </c>
      <c r="E195" s="2">
        <v>3</v>
      </c>
      <c r="F195" s="2" t="s">
        <v>55</v>
      </c>
      <c r="G195" t="str">
        <f t="shared" ref="G195:G258" ca="1" si="12">IF(AND(C195&lt;=TODAY()+30,D195&gt;=TODAY()),"Upcoming","Not coming events")</f>
        <v>Not coming events</v>
      </c>
      <c r="H195">
        <f t="shared" ref="H195:H258" si="13">DATEDIF(C195,D195,"d")</f>
        <v>3</v>
      </c>
      <c r="I195" t="str">
        <f t="shared" ref="I195:I258" si="14">TEXT(C195,"mmm")</f>
        <v>May</v>
      </c>
      <c r="J195" t="str">
        <f t="shared" ref="J195:J258" si="15">_xlfn.CONCAT(B195,"-",F195)</f>
        <v>Team Meeting-S. Gupta</v>
      </c>
    </row>
    <row r="196" spans="1:10" x14ac:dyDescent="0.4">
      <c r="A196" s="2" t="s">
        <v>1481</v>
      </c>
      <c r="B196" s="2" t="s">
        <v>1296</v>
      </c>
      <c r="C196" s="3">
        <v>45541</v>
      </c>
      <c r="D196" s="3">
        <v>45544</v>
      </c>
      <c r="E196" s="2">
        <v>3</v>
      </c>
      <c r="F196" s="2" t="s">
        <v>14</v>
      </c>
      <c r="G196" t="str">
        <f t="shared" ca="1" si="12"/>
        <v>Not coming events</v>
      </c>
      <c r="H196">
        <f t="shared" si="13"/>
        <v>3</v>
      </c>
      <c r="I196" t="str">
        <f t="shared" si="14"/>
        <v>Sep</v>
      </c>
      <c r="J196" t="str">
        <f t="shared" si="15"/>
        <v>Client Presentation-V. Nair</v>
      </c>
    </row>
    <row r="197" spans="1:10" x14ac:dyDescent="0.4">
      <c r="A197" s="2" t="s">
        <v>1482</v>
      </c>
      <c r="B197" s="2" t="s">
        <v>1301</v>
      </c>
      <c r="C197" s="3">
        <v>45400</v>
      </c>
      <c r="D197" s="3">
        <v>45402</v>
      </c>
      <c r="E197" s="2">
        <v>2</v>
      </c>
      <c r="F197" s="2" t="s">
        <v>14</v>
      </c>
      <c r="G197" t="str">
        <f t="shared" ca="1" si="12"/>
        <v>Not coming events</v>
      </c>
      <c r="H197">
        <f t="shared" si="13"/>
        <v>2</v>
      </c>
      <c r="I197" t="str">
        <f t="shared" si="14"/>
        <v>Apr</v>
      </c>
      <c r="J197" t="str">
        <f t="shared" si="15"/>
        <v>Training Session-V. Nair</v>
      </c>
    </row>
    <row r="198" spans="1:10" x14ac:dyDescent="0.4">
      <c r="A198" s="2" t="s">
        <v>1483</v>
      </c>
      <c r="B198" s="2" t="s">
        <v>1288</v>
      </c>
      <c r="C198" s="3">
        <v>45597</v>
      </c>
      <c r="D198" s="3">
        <v>45602</v>
      </c>
      <c r="E198" s="2">
        <v>5</v>
      </c>
      <c r="F198" s="2" t="s">
        <v>28</v>
      </c>
      <c r="G198" t="str">
        <f t="shared" ca="1" si="12"/>
        <v>Not coming events</v>
      </c>
      <c r="H198">
        <f t="shared" si="13"/>
        <v>5</v>
      </c>
      <c r="I198" t="str">
        <f t="shared" si="14"/>
        <v>Nov</v>
      </c>
      <c r="J198" t="str">
        <f t="shared" si="15"/>
        <v>Team Meeting-A. Sharma</v>
      </c>
    </row>
    <row r="199" spans="1:10" x14ac:dyDescent="0.4">
      <c r="A199" s="2" t="s">
        <v>1484</v>
      </c>
      <c r="B199" s="2" t="s">
        <v>1288</v>
      </c>
      <c r="C199" s="3">
        <v>45415</v>
      </c>
      <c r="D199" s="3">
        <v>45418</v>
      </c>
      <c r="E199" s="2">
        <v>3</v>
      </c>
      <c r="F199" s="2" t="s">
        <v>14</v>
      </c>
      <c r="G199" t="str">
        <f t="shared" ca="1" si="12"/>
        <v>Not coming events</v>
      </c>
      <c r="H199">
        <f t="shared" si="13"/>
        <v>3</v>
      </c>
      <c r="I199" t="str">
        <f t="shared" si="14"/>
        <v>May</v>
      </c>
      <c r="J199" t="str">
        <f t="shared" si="15"/>
        <v>Team Meeting-V. Nair</v>
      </c>
    </row>
    <row r="200" spans="1:10" x14ac:dyDescent="0.4">
      <c r="A200" s="2" t="s">
        <v>1485</v>
      </c>
      <c r="B200" s="2" t="s">
        <v>1288</v>
      </c>
      <c r="C200" s="3">
        <v>45595</v>
      </c>
      <c r="D200" s="3">
        <v>45596</v>
      </c>
      <c r="E200" s="2">
        <v>1</v>
      </c>
      <c r="F200" s="2" t="s">
        <v>14</v>
      </c>
      <c r="G200" t="str">
        <f t="shared" ca="1" si="12"/>
        <v>Not coming events</v>
      </c>
      <c r="H200">
        <f t="shared" si="13"/>
        <v>1</v>
      </c>
      <c r="I200" t="str">
        <f t="shared" si="14"/>
        <v>Oct</v>
      </c>
      <c r="J200" t="str">
        <f t="shared" si="15"/>
        <v>Team Meeting-V. Nair</v>
      </c>
    </row>
    <row r="201" spans="1:10" x14ac:dyDescent="0.4">
      <c r="A201" s="2" t="s">
        <v>1486</v>
      </c>
      <c r="B201" s="2" t="s">
        <v>1282</v>
      </c>
      <c r="C201" s="3">
        <v>45387</v>
      </c>
      <c r="D201" s="3">
        <v>45391</v>
      </c>
      <c r="E201" s="2">
        <v>4</v>
      </c>
      <c r="F201" s="2" t="s">
        <v>14</v>
      </c>
      <c r="G201" t="str">
        <f t="shared" ca="1" si="12"/>
        <v>Not coming events</v>
      </c>
      <c r="H201">
        <f t="shared" si="13"/>
        <v>4</v>
      </c>
      <c r="I201" t="str">
        <f t="shared" si="14"/>
        <v>Apr</v>
      </c>
      <c r="J201" t="str">
        <f t="shared" si="15"/>
        <v>Annual Review-V. Nair</v>
      </c>
    </row>
    <row r="202" spans="1:10" x14ac:dyDescent="0.4">
      <c r="A202" s="2" t="s">
        <v>1487</v>
      </c>
      <c r="B202" s="2" t="s">
        <v>1282</v>
      </c>
      <c r="C202" s="3">
        <v>45581</v>
      </c>
      <c r="D202" s="3">
        <v>45582</v>
      </c>
      <c r="E202" s="2">
        <v>1</v>
      </c>
      <c r="F202" s="2" t="s">
        <v>64</v>
      </c>
      <c r="G202" t="str">
        <f t="shared" ca="1" si="12"/>
        <v>Not coming events</v>
      </c>
      <c r="H202">
        <f t="shared" si="13"/>
        <v>1</v>
      </c>
      <c r="I202" t="str">
        <f t="shared" si="14"/>
        <v>Oct</v>
      </c>
      <c r="J202" t="str">
        <f t="shared" si="15"/>
        <v>Annual Review-M. Khan</v>
      </c>
    </row>
    <row r="203" spans="1:10" x14ac:dyDescent="0.4">
      <c r="A203" s="2" t="s">
        <v>1488</v>
      </c>
      <c r="B203" s="2" t="s">
        <v>1296</v>
      </c>
      <c r="C203" s="3">
        <v>45446</v>
      </c>
      <c r="D203" s="3">
        <v>45447</v>
      </c>
      <c r="E203" s="2">
        <v>1</v>
      </c>
      <c r="F203" s="2" t="s">
        <v>55</v>
      </c>
      <c r="G203" t="str">
        <f t="shared" ca="1" si="12"/>
        <v>Not coming events</v>
      </c>
      <c r="H203">
        <f t="shared" si="13"/>
        <v>1</v>
      </c>
      <c r="I203" t="str">
        <f t="shared" si="14"/>
        <v>Jun</v>
      </c>
      <c r="J203" t="str">
        <f t="shared" si="15"/>
        <v>Client Presentation-S. Gupta</v>
      </c>
    </row>
    <row r="204" spans="1:10" x14ac:dyDescent="0.4">
      <c r="A204" s="2" t="s">
        <v>1489</v>
      </c>
      <c r="B204" s="2" t="s">
        <v>1286</v>
      </c>
      <c r="C204" s="3">
        <v>45415</v>
      </c>
      <c r="D204" s="3">
        <v>45417</v>
      </c>
      <c r="E204" s="2">
        <v>2</v>
      </c>
      <c r="F204" s="2" t="s">
        <v>21</v>
      </c>
      <c r="G204" t="str">
        <f t="shared" ca="1" si="12"/>
        <v>Not coming events</v>
      </c>
      <c r="H204">
        <f t="shared" si="13"/>
        <v>2</v>
      </c>
      <c r="I204" t="str">
        <f t="shared" si="14"/>
        <v>May</v>
      </c>
      <c r="J204" t="str">
        <f t="shared" si="15"/>
        <v>Product Launch-R. Patel</v>
      </c>
    </row>
    <row r="205" spans="1:10" x14ac:dyDescent="0.4">
      <c r="A205" s="2" t="s">
        <v>1490</v>
      </c>
      <c r="B205" s="2" t="s">
        <v>1286</v>
      </c>
      <c r="C205" s="3">
        <v>45551</v>
      </c>
      <c r="D205" s="3">
        <v>45554</v>
      </c>
      <c r="E205" s="2">
        <v>3</v>
      </c>
      <c r="F205" s="2" t="s">
        <v>55</v>
      </c>
      <c r="G205" t="str">
        <f t="shared" ca="1" si="12"/>
        <v>Not coming events</v>
      </c>
      <c r="H205">
        <f t="shared" si="13"/>
        <v>3</v>
      </c>
      <c r="I205" t="str">
        <f t="shared" si="14"/>
        <v>Sep</v>
      </c>
      <c r="J205" t="str">
        <f t="shared" si="15"/>
        <v>Product Launch-S. Gupta</v>
      </c>
    </row>
    <row r="206" spans="1:10" x14ac:dyDescent="0.4">
      <c r="A206" s="2" t="s">
        <v>1491</v>
      </c>
      <c r="B206" s="2" t="s">
        <v>1296</v>
      </c>
      <c r="C206" s="3">
        <v>45498</v>
      </c>
      <c r="D206" s="3">
        <v>45501</v>
      </c>
      <c r="E206" s="2">
        <v>3</v>
      </c>
      <c r="F206" s="2" t="s">
        <v>21</v>
      </c>
      <c r="G206" t="str">
        <f t="shared" ca="1" si="12"/>
        <v>Not coming events</v>
      </c>
      <c r="H206">
        <f t="shared" si="13"/>
        <v>3</v>
      </c>
      <c r="I206" t="str">
        <f t="shared" si="14"/>
        <v>Jul</v>
      </c>
      <c r="J206" t="str">
        <f t="shared" si="15"/>
        <v>Client Presentation-R. Patel</v>
      </c>
    </row>
    <row r="207" spans="1:10" x14ac:dyDescent="0.4">
      <c r="A207" s="2" t="s">
        <v>1492</v>
      </c>
      <c r="B207" s="2" t="s">
        <v>1296</v>
      </c>
      <c r="C207" s="3">
        <v>45363</v>
      </c>
      <c r="D207" s="3">
        <v>45366</v>
      </c>
      <c r="E207" s="2">
        <v>3</v>
      </c>
      <c r="F207" s="2" t="s">
        <v>21</v>
      </c>
      <c r="G207" t="str">
        <f t="shared" ca="1" si="12"/>
        <v>Not coming events</v>
      </c>
      <c r="H207">
        <f t="shared" si="13"/>
        <v>3</v>
      </c>
      <c r="I207" t="str">
        <f t="shared" si="14"/>
        <v>Mar</v>
      </c>
      <c r="J207" t="str">
        <f t="shared" si="15"/>
        <v>Client Presentation-R. Patel</v>
      </c>
    </row>
    <row r="208" spans="1:10" x14ac:dyDescent="0.4">
      <c r="A208" s="2" t="s">
        <v>1493</v>
      </c>
      <c r="B208" s="2" t="s">
        <v>1286</v>
      </c>
      <c r="C208" s="3">
        <v>45332</v>
      </c>
      <c r="D208" s="3">
        <v>45334</v>
      </c>
      <c r="E208" s="2">
        <v>2</v>
      </c>
      <c r="F208" s="2" t="s">
        <v>14</v>
      </c>
      <c r="G208" t="str">
        <f t="shared" ca="1" si="12"/>
        <v>Not coming events</v>
      </c>
      <c r="H208">
        <f t="shared" si="13"/>
        <v>2</v>
      </c>
      <c r="I208" t="str">
        <f t="shared" si="14"/>
        <v>Feb</v>
      </c>
      <c r="J208" t="str">
        <f t="shared" si="15"/>
        <v>Product Launch-V. Nair</v>
      </c>
    </row>
    <row r="209" spans="1:10" x14ac:dyDescent="0.4">
      <c r="A209" s="2" t="s">
        <v>1494</v>
      </c>
      <c r="B209" s="2" t="s">
        <v>1301</v>
      </c>
      <c r="C209" s="3">
        <v>45391</v>
      </c>
      <c r="D209" s="3">
        <v>45393</v>
      </c>
      <c r="E209" s="2">
        <v>2</v>
      </c>
      <c r="F209" s="2" t="s">
        <v>21</v>
      </c>
      <c r="G209" t="str">
        <f t="shared" ca="1" si="12"/>
        <v>Not coming events</v>
      </c>
      <c r="H209">
        <f t="shared" si="13"/>
        <v>2</v>
      </c>
      <c r="I209" t="str">
        <f t="shared" si="14"/>
        <v>Apr</v>
      </c>
      <c r="J209" t="str">
        <f t="shared" si="15"/>
        <v>Training Session-R. Patel</v>
      </c>
    </row>
    <row r="210" spans="1:10" x14ac:dyDescent="0.4">
      <c r="A210" s="2" t="s">
        <v>1495</v>
      </c>
      <c r="B210" s="2" t="s">
        <v>1301</v>
      </c>
      <c r="C210" s="3">
        <v>45472</v>
      </c>
      <c r="D210" s="3">
        <v>45475</v>
      </c>
      <c r="E210" s="2">
        <v>3</v>
      </c>
      <c r="F210" s="2" t="s">
        <v>14</v>
      </c>
      <c r="G210" t="str">
        <f t="shared" ca="1" si="12"/>
        <v>Not coming events</v>
      </c>
      <c r="H210">
        <f t="shared" si="13"/>
        <v>3</v>
      </c>
      <c r="I210" t="str">
        <f t="shared" si="14"/>
        <v>Jun</v>
      </c>
      <c r="J210" t="str">
        <f t="shared" si="15"/>
        <v>Training Session-V. Nair</v>
      </c>
    </row>
    <row r="211" spans="1:10" x14ac:dyDescent="0.4">
      <c r="A211" s="2" t="s">
        <v>1496</v>
      </c>
      <c r="B211" s="2" t="s">
        <v>1282</v>
      </c>
      <c r="C211" s="3">
        <v>45589</v>
      </c>
      <c r="D211" s="3">
        <v>45593</v>
      </c>
      <c r="E211" s="2">
        <v>4</v>
      </c>
      <c r="F211" s="2" t="s">
        <v>64</v>
      </c>
      <c r="G211" t="str">
        <f t="shared" ca="1" si="12"/>
        <v>Not coming events</v>
      </c>
      <c r="H211">
        <f t="shared" si="13"/>
        <v>4</v>
      </c>
      <c r="I211" t="str">
        <f t="shared" si="14"/>
        <v>Oct</v>
      </c>
      <c r="J211" t="str">
        <f t="shared" si="15"/>
        <v>Annual Review-M. Khan</v>
      </c>
    </row>
    <row r="212" spans="1:10" x14ac:dyDescent="0.4">
      <c r="A212" s="2" t="s">
        <v>1497</v>
      </c>
      <c r="B212" s="2" t="s">
        <v>1284</v>
      </c>
      <c r="C212" s="3">
        <v>45305</v>
      </c>
      <c r="D212" s="3">
        <v>45307</v>
      </c>
      <c r="E212" s="2">
        <v>2</v>
      </c>
      <c r="F212" s="2" t="s">
        <v>64</v>
      </c>
      <c r="G212" t="str">
        <f t="shared" ca="1" si="12"/>
        <v>Not coming events</v>
      </c>
      <c r="H212">
        <f t="shared" si="13"/>
        <v>2</v>
      </c>
      <c r="I212" t="str">
        <f t="shared" si="14"/>
        <v>Jan</v>
      </c>
      <c r="J212" t="str">
        <f t="shared" si="15"/>
        <v>Workshop-M. Khan</v>
      </c>
    </row>
    <row r="213" spans="1:10" x14ac:dyDescent="0.4">
      <c r="A213" s="2" t="s">
        <v>1498</v>
      </c>
      <c r="B213" s="2" t="s">
        <v>1296</v>
      </c>
      <c r="C213" s="3">
        <v>45537</v>
      </c>
      <c r="D213" s="3">
        <v>45541</v>
      </c>
      <c r="E213" s="2">
        <v>4</v>
      </c>
      <c r="F213" s="2" t="s">
        <v>64</v>
      </c>
      <c r="G213" t="str">
        <f t="shared" ca="1" si="12"/>
        <v>Not coming events</v>
      </c>
      <c r="H213">
        <f t="shared" si="13"/>
        <v>4</v>
      </c>
      <c r="I213" t="str">
        <f t="shared" si="14"/>
        <v>Sep</v>
      </c>
      <c r="J213" t="str">
        <f t="shared" si="15"/>
        <v>Client Presentation-M. Khan</v>
      </c>
    </row>
    <row r="214" spans="1:10" x14ac:dyDescent="0.4">
      <c r="A214" s="2" t="s">
        <v>1499</v>
      </c>
      <c r="B214" s="2" t="s">
        <v>1296</v>
      </c>
      <c r="C214" s="3">
        <v>45381</v>
      </c>
      <c r="D214" s="3">
        <v>45385</v>
      </c>
      <c r="E214" s="2">
        <v>4</v>
      </c>
      <c r="F214" s="2" t="s">
        <v>55</v>
      </c>
      <c r="G214" t="str">
        <f t="shared" ca="1" si="12"/>
        <v>Not coming events</v>
      </c>
      <c r="H214">
        <f t="shared" si="13"/>
        <v>4</v>
      </c>
      <c r="I214" t="str">
        <f t="shared" si="14"/>
        <v>Mar</v>
      </c>
      <c r="J214" t="str">
        <f t="shared" si="15"/>
        <v>Client Presentation-S. Gupta</v>
      </c>
    </row>
    <row r="215" spans="1:10" x14ac:dyDescent="0.4">
      <c r="A215" s="2" t="s">
        <v>1500</v>
      </c>
      <c r="B215" s="2" t="s">
        <v>1282</v>
      </c>
      <c r="C215" s="3">
        <v>45583</v>
      </c>
      <c r="D215" s="3">
        <v>45586</v>
      </c>
      <c r="E215" s="2">
        <v>3</v>
      </c>
      <c r="F215" s="2" t="s">
        <v>14</v>
      </c>
      <c r="G215" t="str">
        <f t="shared" ca="1" si="12"/>
        <v>Not coming events</v>
      </c>
      <c r="H215">
        <f t="shared" si="13"/>
        <v>3</v>
      </c>
      <c r="I215" t="str">
        <f t="shared" si="14"/>
        <v>Oct</v>
      </c>
      <c r="J215" t="str">
        <f t="shared" si="15"/>
        <v>Annual Review-V. Nair</v>
      </c>
    </row>
    <row r="216" spans="1:10" x14ac:dyDescent="0.4">
      <c r="A216" s="2" t="s">
        <v>1501</v>
      </c>
      <c r="B216" s="2" t="s">
        <v>1296</v>
      </c>
      <c r="C216" s="3">
        <v>45334</v>
      </c>
      <c r="D216" s="3">
        <v>45335</v>
      </c>
      <c r="E216" s="2">
        <v>1</v>
      </c>
      <c r="F216" s="2" t="s">
        <v>14</v>
      </c>
      <c r="G216" t="str">
        <f t="shared" ca="1" si="12"/>
        <v>Not coming events</v>
      </c>
      <c r="H216">
        <f t="shared" si="13"/>
        <v>1</v>
      </c>
      <c r="I216" t="str">
        <f t="shared" si="14"/>
        <v>Feb</v>
      </c>
      <c r="J216" t="str">
        <f t="shared" si="15"/>
        <v>Client Presentation-V. Nair</v>
      </c>
    </row>
    <row r="217" spans="1:10" x14ac:dyDescent="0.4">
      <c r="A217" s="2" t="s">
        <v>1502</v>
      </c>
      <c r="B217" s="2" t="s">
        <v>1284</v>
      </c>
      <c r="C217" s="3">
        <v>45459</v>
      </c>
      <c r="D217" s="3">
        <v>45463</v>
      </c>
      <c r="E217" s="2">
        <v>4</v>
      </c>
      <c r="F217" s="2" t="s">
        <v>64</v>
      </c>
      <c r="G217" t="str">
        <f t="shared" ca="1" si="12"/>
        <v>Not coming events</v>
      </c>
      <c r="H217">
        <f t="shared" si="13"/>
        <v>4</v>
      </c>
      <c r="I217" t="str">
        <f t="shared" si="14"/>
        <v>Jun</v>
      </c>
      <c r="J217" t="str">
        <f t="shared" si="15"/>
        <v>Workshop-M. Khan</v>
      </c>
    </row>
    <row r="218" spans="1:10" x14ac:dyDescent="0.4">
      <c r="A218" s="2" t="s">
        <v>1503</v>
      </c>
      <c r="B218" s="2" t="s">
        <v>1286</v>
      </c>
      <c r="C218" s="3">
        <v>45365</v>
      </c>
      <c r="D218" s="3">
        <v>45368</v>
      </c>
      <c r="E218" s="2">
        <v>3</v>
      </c>
      <c r="F218" s="2" t="s">
        <v>64</v>
      </c>
      <c r="G218" t="str">
        <f t="shared" ca="1" si="12"/>
        <v>Not coming events</v>
      </c>
      <c r="H218">
        <f t="shared" si="13"/>
        <v>3</v>
      </c>
      <c r="I218" t="str">
        <f t="shared" si="14"/>
        <v>Mar</v>
      </c>
      <c r="J218" t="str">
        <f t="shared" si="15"/>
        <v>Product Launch-M. Khan</v>
      </c>
    </row>
    <row r="219" spans="1:10" x14ac:dyDescent="0.4">
      <c r="A219" s="2" t="s">
        <v>1504</v>
      </c>
      <c r="B219" s="2" t="s">
        <v>1282</v>
      </c>
      <c r="C219" s="3">
        <v>45515</v>
      </c>
      <c r="D219" s="3">
        <v>45517</v>
      </c>
      <c r="E219" s="2">
        <v>2</v>
      </c>
      <c r="F219" s="2" t="s">
        <v>55</v>
      </c>
      <c r="G219" t="str">
        <f t="shared" ca="1" si="12"/>
        <v>Not coming events</v>
      </c>
      <c r="H219">
        <f t="shared" si="13"/>
        <v>2</v>
      </c>
      <c r="I219" t="str">
        <f t="shared" si="14"/>
        <v>Aug</v>
      </c>
      <c r="J219" t="str">
        <f t="shared" si="15"/>
        <v>Annual Review-S. Gupta</v>
      </c>
    </row>
    <row r="220" spans="1:10" x14ac:dyDescent="0.4">
      <c r="A220" s="2" t="s">
        <v>1505</v>
      </c>
      <c r="B220" s="2" t="s">
        <v>1284</v>
      </c>
      <c r="C220" s="3">
        <v>45355</v>
      </c>
      <c r="D220" s="3">
        <v>45360</v>
      </c>
      <c r="E220" s="2">
        <v>5</v>
      </c>
      <c r="F220" s="2" t="s">
        <v>21</v>
      </c>
      <c r="G220" t="str">
        <f t="shared" ca="1" si="12"/>
        <v>Not coming events</v>
      </c>
      <c r="H220">
        <f t="shared" si="13"/>
        <v>5</v>
      </c>
      <c r="I220" t="str">
        <f t="shared" si="14"/>
        <v>Mar</v>
      </c>
      <c r="J220" t="str">
        <f t="shared" si="15"/>
        <v>Workshop-R. Patel</v>
      </c>
    </row>
    <row r="221" spans="1:10" x14ac:dyDescent="0.4">
      <c r="A221" s="2" t="s">
        <v>1506</v>
      </c>
      <c r="B221" s="2" t="s">
        <v>1296</v>
      </c>
      <c r="C221" s="3">
        <v>45558</v>
      </c>
      <c r="D221" s="3">
        <v>45559</v>
      </c>
      <c r="E221" s="2">
        <v>1</v>
      </c>
      <c r="F221" s="2" t="s">
        <v>64</v>
      </c>
      <c r="G221" t="str">
        <f t="shared" ca="1" si="12"/>
        <v>Not coming events</v>
      </c>
      <c r="H221">
        <f t="shared" si="13"/>
        <v>1</v>
      </c>
      <c r="I221" t="str">
        <f t="shared" si="14"/>
        <v>Sep</v>
      </c>
      <c r="J221" t="str">
        <f t="shared" si="15"/>
        <v>Client Presentation-M. Khan</v>
      </c>
    </row>
    <row r="222" spans="1:10" x14ac:dyDescent="0.4">
      <c r="A222" s="2" t="s">
        <v>1507</v>
      </c>
      <c r="B222" s="2" t="s">
        <v>1286</v>
      </c>
      <c r="C222" s="3">
        <v>45539</v>
      </c>
      <c r="D222" s="3">
        <v>45540</v>
      </c>
      <c r="E222" s="2">
        <v>1</v>
      </c>
      <c r="F222" s="2" t="s">
        <v>21</v>
      </c>
      <c r="G222" t="str">
        <f t="shared" ca="1" si="12"/>
        <v>Not coming events</v>
      </c>
      <c r="H222">
        <f t="shared" si="13"/>
        <v>1</v>
      </c>
      <c r="I222" t="str">
        <f t="shared" si="14"/>
        <v>Sep</v>
      </c>
      <c r="J222" t="str">
        <f t="shared" si="15"/>
        <v>Product Launch-R. Patel</v>
      </c>
    </row>
    <row r="223" spans="1:10" x14ac:dyDescent="0.4">
      <c r="A223" s="2" t="s">
        <v>1508</v>
      </c>
      <c r="B223" s="2" t="s">
        <v>1288</v>
      </c>
      <c r="C223" s="3">
        <v>45389</v>
      </c>
      <c r="D223" s="3">
        <v>45394</v>
      </c>
      <c r="E223" s="2">
        <v>5</v>
      </c>
      <c r="F223" s="2" t="s">
        <v>64</v>
      </c>
      <c r="G223" t="str">
        <f t="shared" ca="1" si="12"/>
        <v>Not coming events</v>
      </c>
      <c r="H223">
        <f t="shared" si="13"/>
        <v>5</v>
      </c>
      <c r="I223" t="str">
        <f t="shared" si="14"/>
        <v>Apr</v>
      </c>
      <c r="J223" t="str">
        <f t="shared" si="15"/>
        <v>Team Meeting-M. Khan</v>
      </c>
    </row>
    <row r="224" spans="1:10" x14ac:dyDescent="0.4">
      <c r="A224" s="2" t="s">
        <v>1509</v>
      </c>
      <c r="B224" s="2" t="s">
        <v>1286</v>
      </c>
      <c r="C224" s="3">
        <v>45302</v>
      </c>
      <c r="D224" s="3">
        <v>45303</v>
      </c>
      <c r="E224" s="2">
        <v>1</v>
      </c>
      <c r="F224" s="2" t="s">
        <v>55</v>
      </c>
      <c r="G224" t="str">
        <f t="shared" ca="1" si="12"/>
        <v>Not coming events</v>
      </c>
      <c r="H224">
        <f t="shared" si="13"/>
        <v>1</v>
      </c>
      <c r="I224" t="str">
        <f t="shared" si="14"/>
        <v>Jan</v>
      </c>
      <c r="J224" t="str">
        <f t="shared" si="15"/>
        <v>Product Launch-S. Gupta</v>
      </c>
    </row>
    <row r="225" spans="1:10" x14ac:dyDescent="0.4">
      <c r="A225" s="2" t="s">
        <v>1510</v>
      </c>
      <c r="B225" s="2" t="s">
        <v>1296</v>
      </c>
      <c r="C225" s="3">
        <v>45432</v>
      </c>
      <c r="D225" s="3">
        <v>45434</v>
      </c>
      <c r="E225" s="2">
        <v>2</v>
      </c>
      <c r="F225" s="2" t="s">
        <v>55</v>
      </c>
      <c r="G225" t="str">
        <f t="shared" ca="1" si="12"/>
        <v>Not coming events</v>
      </c>
      <c r="H225">
        <f t="shared" si="13"/>
        <v>2</v>
      </c>
      <c r="I225" t="str">
        <f t="shared" si="14"/>
        <v>May</v>
      </c>
      <c r="J225" t="str">
        <f t="shared" si="15"/>
        <v>Client Presentation-S. Gupta</v>
      </c>
    </row>
    <row r="226" spans="1:10" x14ac:dyDescent="0.4">
      <c r="A226" s="2" t="s">
        <v>1511</v>
      </c>
      <c r="B226" s="2" t="s">
        <v>1286</v>
      </c>
      <c r="C226" s="3">
        <v>45630</v>
      </c>
      <c r="D226" s="3">
        <v>45635</v>
      </c>
      <c r="E226" s="2">
        <v>5</v>
      </c>
      <c r="F226" s="2" t="s">
        <v>64</v>
      </c>
      <c r="G226" t="str">
        <f t="shared" ca="1" si="12"/>
        <v>Not coming events</v>
      </c>
      <c r="H226">
        <f t="shared" si="13"/>
        <v>5</v>
      </c>
      <c r="I226" t="str">
        <f t="shared" si="14"/>
        <v>Dec</v>
      </c>
      <c r="J226" t="str">
        <f t="shared" si="15"/>
        <v>Product Launch-M. Khan</v>
      </c>
    </row>
    <row r="227" spans="1:10" x14ac:dyDescent="0.4">
      <c r="A227" s="2" t="s">
        <v>1512</v>
      </c>
      <c r="B227" s="2" t="s">
        <v>1296</v>
      </c>
      <c r="C227" s="3">
        <v>45609</v>
      </c>
      <c r="D227" s="3">
        <v>45612</v>
      </c>
      <c r="E227" s="2">
        <v>3</v>
      </c>
      <c r="F227" s="2" t="s">
        <v>28</v>
      </c>
      <c r="G227" t="str">
        <f t="shared" ca="1" si="12"/>
        <v>Not coming events</v>
      </c>
      <c r="H227">
        <f t="shared" si="13"/>
        <v>3</v>
      </c>
      <c r="I227" t="str">
        <f t="shared" si="14"/>
        <v>Nov</v>
      </c>
      <c r="J227" t="str">
        <f t="shared" si="15"/>
        <v>Client Presentation-A. Sharma</v>
      </c>
    </row>
    <row r="228" spans="1:10" x14ac:dyDescent="0.4">
      <c r="A228" s="2" t="s">
        <v>1513</v>
      </c>
      <c r="B228" s="2" t="s">
        <v>1288</v>
      </c>
      <c r="C228" s="3">
        <v>45632</v>
      </c>
      <c r="D228" s="3">
        <v>45636</v>
      </c>
      <c r="E228" s="2">
        <v>4</v>
      </c>
      <c r="F228" s="2" t="s">
        <v>64</v>
      </c>
      <c r="G228" t="str">
        <f t="shared" ca="1" si="12"/>
        <v>Not coming events</v>
      </c>
      <c r="H228">
        <f t="shared" si="13"/>
        <v>4</v>
      </c>
      <c r="I228" t="str">
        <f t="shared" si="14"/>
        <v>Dec</v>
      </c>
      <c r="J228" t="str">
        <f t="shared" si="15"/>
        <v>Team Meeting-M. Khan</v>
      </c>
    </row>
    <row r="229" spans="1:10" x14ac:dyDescent="0.4">
      <c r="A229" s="2" t="s">
        <v>1514</v>
      </c>
      <c r="B229" s="2" t="s">
        <v>1284</v>
      </c>
      <c r="C229" s="3">
        <v>45301</v>
      </c>
      <c r="D229" s="3">
        <v>45304</v>
      </c>
      <c r="E229" s="2">
        <v>3</v>
      </c>
      <c r="F229" s="2" t="s">
        <v>55</v>
      </c>
      <c r="G229" t="str">
        <f t="shared" ca="1" si="12"/>
        <v>Not coming events</v>
      </c>
      <c r="H229">
        <f t="shared" si="13"/>
        <v>3</v>
      </c>
      <c r="I229" t="str">
        <f t="shared" si="14"/>
        <v>Jan</v>
      </c>
      <c r="J229" t="str">
        <f t="shared" si="15"/>
        <v>Workshop-S. Gupta</v>
      </c>
    </row>
    <row r="230" spans="1:10" x14ac:dyDescent="0.4">
      <c r="A230" s="2" t="s">
        <v>1515</v>
      </c>
      <c r="B230" s="2" t="s">
        <v>1282</v>
      </c>
      <c r="C230" s="3">
        <v>45310</v>
      </c>
      <c r="D230" s="3">
        <v>45315</v>
      </c>
      <c r="E230" s="2">
        <v>5</v>
      </c>
      <c r="F230" s="2" t="s">
        <v>28</v>
      </c>
      <c r="G230" t="str">
        <f t="shared" ca="1" si="12"/>
        <v>Not coming events</v>
      </c>
      <c r="H230">
        <f t="shared" si="13"/>
        <v>5</v>
      </c>
      <c r="I230" t="str">
        <f t="shared" si="14"/>
        <v>Jan</v>
      </c>
      <c r="J230" t="str">
        <f t="shared" si="15"/>
        <v>Annual Review-A. Sharma</v>
      </c>
    </row>
    <row r="231" spans="1:10" x14ac:dyDescent="0.4">
      <c r="A231" s="2" t="s">
        <v>1516</v>
      </c>
      <c r="B231" s="2" t="s">
        <v>1296</v>
      </c>
      <c r="C231" s="3">
        <v>45469</v>
      </c>
      <c r="D231" s="3">
        <v>45472</v>
      </c>
      <c r="E231" s="2">
        <v>3</v>
      </c>
      <c r="F231" s="2" t="s">
        <v>14</v>
      </c>
      <c r="G231" t="str">
        <f t="shared" ca="1" si="12"/>
        <v>Not coming events</v>
      </c>
      <c r="H231">
        <f t="shared" si="13"/>
        <v>3</v>
      </c>
      <c r="I231" t="str">
        <f t="shared" si="14"/>
        <v>Jun</v>
      </c>
      <c r="J231" t="str">
        <f t="shared" si="15"/>
        <v>Client Presentation-V. Nair</v>
      </c>
    </row>
    <row r="232" spans="1:10" x14ac:dyDescent="0.4">
      <c r="A232" s="2" t="s">
        <v>1517</v>
      </c>
      <c r="B232" s="2" t="s">
        <v>1282</v>
      </c>
      <c r="C232" s="3">
        <v>45504</v>
      </c>
      <c r="D232" s="3">
        <v>45509</v>
      </c>
      <c r="E232" s="2">
        <v>5</v>
      </c>
      <c r="F232" s="2" t="s">
        <v>14</v>
      </c>
      <c r="G232" t="str">
        <f t="shared" ca="1" si="12"/>
        <v>Not coming events</v>
      </c>
      <c r="H232">
        <f t="shared" si="13"/>
        <v>5</v>
      </c>
      <c r="I232" t="str">
        <f t="shared" si="14"/>
        <v>Jul</v>
      </c>
      <c r="J232" t="str">
        <f t="shared" si="15"/>
        <v>Annual Review-V. Nair</v>
      </c>
    </row>
    <row r="233" spans="1:10" x14ac:dyDescent="0.4">
      <c r="A233" s="2" t="s">
        <v>1518</v>
      </c>
      <c r="B233" s="2" t="s">
        <v>1301</v>
      </c>
      <c r="C233" s="3">
        <v>45509</v>
      </c>
      <c r="D233" s="3">
        <v>45510</v>
      </c>
      <c r="E233" s="2">
        <v>1</v>
      </c>
      <c r="F233" s="2" t="s">
        <v>21</v>
      </c>
      <c r="G233" t="str">
        <f t="shared" ca="1" si="12"/>
        <v>Not coming events</v>
      </c>
      <c r="H233">
        <f t="shared" si="13"/>
        <v>1</v>
      </c>
      <c r="I233" t="str">
        <f t="shared" si="14"/>
        <v>Aug</v>
      </c>
      <c r="J233" t="str">
        <f t="shared" si="15"/>
        <v>Training Session-R. Patel</v>
      </c>
    </row>
    <row r="234" spans="1:10" x14ac:dyDescent="0.4">
      <c r="A234" s="2" t="s">
        <v>1519</v>
      </c>
      <c r="B234" s="2" t="s">
        <v>1284</v>
      </c>
      <c r="C234" s="3">
        <v>45579</v>
      </c>
      <c r="D234" s="3">
        <v>45580</v>
      </c>
      <c r="E234" s="2">
        <v>1</v>
      </c>
      <c r="F234" s="2" t="s">
        <v>64</v>
      </c>
      <c r="G234" t="str">
        <f t="shared" ca="1" si="12"/>
        <v>Not coming events</v>
      </c>
      <c r="H234">
        <f t="shared" si="13"/>
        <v>1</v>
      </c>
      <c r="I234" t="str">
        <f t="shared" si="14"/>
        <v>Oct</v>
      </c>
      <c r="J234" t="str">
        <f t="shared" si="15"/>
        <v>Workshop-M. Khan</v>
      </c>
    </row>
    <row r="235" spans="1:10" x14ac:dyDescent="0.4">
      <c r="A235" s="2" t="s">
        <v>1520</v>
      </c>
      <c r="B235" s="2" t="s">
        <v>1284</v>
      </c>
      <c r="C235" s="3">
        <v>45455</v>
      </c>
      <c r="D235" s="3">
        <v>45459</v>
      </c>
      <c r="E235" s="2">
        <v>4</v>
      </c>
      <c r="F235" s="2" t="s">
        <v>55</v>
      </c>
      <c r="G235" t="str">
        <f t="shared" ca="1" si="12"/>
        <v>Not coming events</v>
      </c>
      <c r="H235">
        <f t="shared" si="13"/>
        <v>4</v>
      </c>
      <c r="I235" t="str">
        <f t="shared" si="14"/>
        <v>Jun</v>
      </c>
      <c r="J235" t="str">
        <f t="shared" si="15"/>
        <v>Workshop-S. Gupta</v>
      </c>
    </row>
    <row r="236" spans="1:10" x14ac:dyDescent="0.4">
      <c r="A236" s="2" t="s">
        <v>1521</v>
      </c>
      <c r="B236" s="2" t="s">
        <v>1284</v>
      </c>
      <c r="C236" s="3">
        <v>45600</v>
      </c>
      <c r="D236" s="3">
        <v>45601</v>
      </c>
      <c r="E236" s="2">
        <v>1</v>
      </c>
      <c r="F236" s="2" t="s">
        <v>14</v>
      </c>
      <c r="G236" t="str">
        <f t="shared" ca="1" si="12"/>
        <v>Not coming events</v>
      </c>
      <c r="H236">
        <f t="shared" si="13"/>
        <v>1</v>
      </c>
      <c r="I236" t="str">
        <f t="shared" si="14"/>
        <v>Nov</v>
      </c>
      <c r="J236" t="str">
        <f t="shared" si="15"/>
        <v>Workshop-V. Nair</v>
      </c>
    </row>
    <row r="237" spans="1:10" x14ac:dyDescent="0.4">
      <c r="A237" s="2" t="s">
        <v>1522</v>
      </c>
      <c r="B237" s="2" t="s">
        <v>1301</v>
      </c>
      <c r="C237" s="3">
        <v>45584</v>
      </c>
      <c r="D237" s="3">
        <v>45587</v>
      </c>
      <c r="E237" s="2">
        <v>3</v>
      </c>
      <c r="F237" s="2" t="s">
        <v>21</v>
      </c>
      <c r="G237" t="str">
        <f t="shared" ca="1" si="12"/>
        <v>Not coming events</v>
      </c>
      <c r="H237">
        <f t="shared" si="13"/>
        <v>3</v>
      </c>
      <c r="I237" t="str">
        <f t="shared" si="14"/>
        <v>Oct</v>
      </c>
      <c r="J237" t="str">
        <f t="shared" si="15"/>
        <v>Training Session-R. Patel</v>
      </c>
    </row>
    <row r="238" spans="1:10" x14ac:dyDescent="0.4">
      <c r="A238" s="2" t="s">
        <v>1523</v>
      </c>
      <c r="B238" s="2" t="s">
        <v>1288</v>
      </c>
      <c r="C238" s="3">
        <v>45583</v>
      </c>
      <c r="D238" s="3">
        <v>45586</v>
      </c>
      <c r="E238" s="2">
        <v>3</v>
      </c>
      <c r="F238" s="2" t="s">
        <v>64</v>
      </c>
      <c r="G238" t="str">
        <f t="shared" ca="1" si="12"/>
        <v>Not coming events</v>
      </c>
      <c r="H238">
        <f t="shared" si="13"/>
        <v>3</v>
      </c>
      <c r="I238" t="str">
        <f t="shared" si="14"/>
        <v>Oct</v>
      </c>
      <c r="J238" t="str">
        <f t="shared" si="15"/>
        <v>Team Meeting-M. Khan</v>
      </c>
    </row>
    <row r="239" spans="1:10" x14ac:dyDescent="0.4">
      <c r="A239" s="2" t="s">
        <v>1524</v>
      </c>
      <c r="B239" s="2" t="s">
        <v>1286</v>
      </c>
      <c r="C239" s="3">
        <v>45566</v>
      </c>
      <c r="D239" s="3">
        <v>45571</v>
      </c>
      <c r="E239" s="2">
        <v>5</v>
      </c>
      <c r="F239" s="2" t="s">
        <v>14</v>
      </c>
      <c r="G239" t="str">
        <f t="shared" ca="1" si="12"/>
        <v>Not coming events</v>
      </c>
      <c r="H239">
        <f t="shared" si="13"/>
        <v>5</v>
      </c>
      <c r="I239" t="str">
        <f t="shared" si="14"/>
        <v>Oct</v>
      </c>
      <c r="J239" t="str">
        <f t="shared" si="15"/>
        <v>Product Launch-V. Nair</v>
      </c>
    </row>
    <row r="240" spans="1:10" x14ac:dyDescent="0.4">
      <c r="A240" s="2" t="s">
        <v>1525</v>
      </c>
      <c r="B240" s="2" t="s">
        <v>1301</v>
      </c>
      <c r="C240" s="3">
        <v>45298</v>
      </c>
      <c r="D240" s="3">
        <v>45303</v>
      </c>
      <c r="E240" s="2">
        <v>5</v>
      </c>
      <c r="F240" s="2" t="s">
        <v>28</v>
      </c>
      <c r="G240" t="str">
        <f t="shared" ca="1" si="12"/>
        <v>Not coming events</v>
      </c>
      <c r="H240">
        <f t="shared" si="13"/>
        <v>5</v>
      </c>
      <c r="I240" t="str">
        <f t="shared" si="14"/>
        <v>Jan</v>
      </c>
      <c r="J240" t="str">
        <f t="shared" si="15"/>
        <v>Training Session-A. Sharma</v>
      </c>
    </row>
    <row r="241" spans="1:10" x14ac:dyDescent="0.4">
      <c r="A241" s="2" t="s">
        <v>1526</v>
      </c>
      <c r="B241" s="2" t="s">
        <v>1296</v>
      </c>
      <c r="C241" s="3">
        <v>45645</v>
      </c>
      <c r="D241" s="3">
        <v>45647</v>
      </c>
      <c r="E241" s="2">
        <v>2</v>
      </c>
      <c r="F241" s="2" t="s">
        <v>28</v>
      </c>
      <c r="G241" t="str">
        <f t="shared" ca="1" si="12"/>
        <v>Not coming events</v>
      </c>
      <c r="H241">
        <f t="shared" si="13"/>
        <v>2</v>
      </c>
      <c r="I241" t="str">
        <f t="shared" si="14"/>
        <v>Dec</v>
      </c>
      <c r="J241" t="str">
        <f t="shared" si="15"/>
        <v>Client Presentation-A. Sharma</v>
      </c>
    </row>
    <row r="242" spans="1:10" x14ac:dyDescent="0.4">
      <c r="A242" s="2" t="s">
        <v>1527</v>
      </c>
      <c r="B242" s="2" t="s">
        <v>1296</v>
      </c>
      <c r="C242" s="3">
        <v>45592</v>
      </c>
      <c r="D242" s="3">
        <v>45597</v>
      </c>
      <c r="E242" s="2">
        <v>5</v>
      </c>
      <c r="F242" s="2" t="s">
        <v>64</v>
      </c>
      <c r="G242" t="str">
        <f t="shared" ca="1" si="12"/>
        <v>Not coming events</v>
      </c>
      <c r="H242">
        <f t="shared" si="13"/>
        <v>5</v>
      </c>
      <c r="I242" t="str">
        <f t="shared" si="14"/>
        <v>Oct</v>
      </c>
      <c r="J242" t="str">
        <f t="shared" si="15"/>
        <v>Client Presentation-M. Khan</v>
      </c>
    </row>
    <row r="243" spans="1:10" x14ac:dyDescent="0.4">
      <c r="A243" s="2" t="s">
        <v>1528</v>
      </c>
      <c r="B243" s="2" t="s">
        <v>1288</v>
      </c>
      <c r="C243" s="3">
        <v>45352</v>
      </c>
      <c r="D243" s="3">
        <v>45356</v>
      </c>
      <c r="E243" s="2">
        <v>4</v>
      </c>
      <c r="F243" s="2" t="s">
        <v>64</v>
      </c>
      <c r="G243" t="str">
        <f t="shared" ca="1" si="12"/>
        <v>Not coming events</v>
      </c>
      <c r="H243">
        <f t="shared" si="13"/>
        <v>4</v>
      </c>
      <c r="I243" t="str">
        <f t="shared" si="14"/>
        <v>Mar</v>
      </c>
      <c r="J243" t="str">
        <f t="shared" si="15"/>
        <v>Team Meeting-M. Khan</v>
      </c>
    </row>
    <row r="244" spans="1:10" x14ac:dyDescent="0.4">
      <c r="A244" s="2" t="s">
        <v>1529</v>
      </c>
      <c r="B244" s="2" t="s">
        <v>1286</v>
      </c>
      <c r="C244" s="3">
        <v>45442</v>
      </c>
      <c r="D244" s="3">
        <v>45445</v>
      </c>
      <c r="E244" s="2">
        <v>3</v>
      </c>
      <c r="F244" s="2" t="s">
        <v>14</v>
      </c>
      <c r="G244" t="str">
        <f t="shared" ca="1" si="12"/>
        <v>Not coming events</v>
      </c>
      <c r="H244">
        <f t="shared" si="13"/>
        <v>3</v>
      </c>
      <c r="I244" t="str">
        <f t="shared" si="14"/>
        <v>May</v>
      </c>
      <c r="J244" t="str">
        <f t="shared" si="15"/>
        <v>Product Launch-V. Nair</v>
      </c>
    </row>
    <row r="245" spans="1:10" x14ac:dyDescent="0.4">
      <c r="A245" s="2" t="s">
        <v>1530</v>
      </c>
      <c r="B245" s="2" t="s">
        <v>1296</v>
      </c>
      <c r="C245" s="3">
        <v>45462</v>
      </c>
      <c r="D245" s="3">
        <v>45466</v>
      </c>
      <c r="E245" s="2">
        <v>4</v>
      </c>
      <c r="F245" s="2" t="s">
        <v>64</v>
      </c>
      <c r="G245" t="str">
        <f t="shared" ca="1" si="12"/>
        <v>Not coming events</v>
      </c>
      <c r="H245">
        <f t="shared" si="13"/>
        <v>4</v>
      </c>
      <c r="I245" t="str">
        <f t="shared" si="14"/>
        <v>Jun</v>
      </c>
      <c r="J245" t="str">
        <f t="shared" si="15"/>
        <v>Client Presentation-M. Khan</v>
      </c>
    </row>
    <row r="246" spans="1:10" x14ac:dyDescent="0.4">
      <c r="A246" s="2" t="s">
        <v>1531</v>
      </c>
      <c r="B246" s="2" t="s">
        <v>1296</v>
      </c>
      <c r="C246" s="3">
        <v>45353</v>
      </c>
      <c r="D246" s="3">
        <v>45355</v>
      </c>
      <c r="E246" s="2">
        <v>2</v>
      </c>
      <c r="F246" s="2" t="s">
        <v>55</v>
      </c>
      <c r="G246" t="str">
        <f t="shared" ca="1" si="12"/>
        <v>Not coming events</v>
      </c>
      <c r="H246">
        <f t="shared" si="13"/>
        <v>2</v>
      </c>
      <c r="I246" t="str">
        <f t="shared" si="14"/>
        <v>Mar</v>
      </c>
      <c r="J246" t="str">
        <f t="shared" si="15"/>
        <v>Client Presentation-S. Gupta</v>
      </c>
    </row>
    <row r="247" spans="1:10" x14ac:dyDescent="0.4">
      <c r="A247" s="2" t="s">
        <v>1532</v>
      </c>
      <c r="B247" s="2" t="s">
        <v>1282</v>
      </c>
      <c r="C247" s="3">
        <v>45608</v>
      </c>
      <c r="D247" s="3">
        <v>45609</v>
      </c>
      <c r="E247" s="2">
        <v>1</v>
      </c>
      <c r="F247" s="2" t="s">
        <v>55</v>
      </c>
      <c r="G247" t="str">
        <f t="shared" ca="1" si="12"/>
        <v>Not coming events</v>
      </c>
      <c r="H247">
        <f t="shared" si="13"/>
        <v>1</v>
      </c>
      <c r="I247" t="str">
        <f t="shared" si="14"/>
        <v>Nov</v>
      </c>
      <c r="J247" t="str">
        <f t="shared" si="15"/>
        <v>Annual Review-S. Gupta</v>
      </c>
    </row>
    <row r="248" spans="1:10" x14ac:dyDescent="0.4">
      <c r="A248" s="2" t="s">
        <v>1533</v>
      </c>
      <c r="B248" s="2" t="s">
        <v>1288</v>
      </c>
      <c r="C248" s="3">
        <v>45524</v>
      </c>
      <c r="D248" s="3">
        <v>45528</v>
      </c>
      <c r="E248" s="2">
        <v>4</v>
      </c>
      <c r="F248" s="2" t="s">
        <v>28</v>
      </c>
      <c r="G248" t="str">
        <f t="shared" ca="1" si="12"/>
        <v>Not coming events</v>
      </c>
      <c r="H248">
        <f t="shared" si="13"/>
        <v>4</v>
      </c>
      <c r="I248" t="str">
        <f t="shared" si="14"/>
        <v>Aug</v>
      </c>
      <c r="J248" t="str">
        <f t="shared" si="15"/>
        <v>Team Meeting-A. Sharma</v>
      </c>
    </row>
    <row r="249" spans="1:10" x14ac:dyDescent="0.4">
      <c r="A249" s="2" t="s">
        <v>1534</v>
      </c>
      <c r="B249" s="2" t="s">
        <v>1301</v>
      </c>
      <c r="C249" s="3">
        <v>45470</v>
      </c>
      <c r="D249" s="3">
        <v>45471</v>
      </c>
      <c r="E249" s="2">
        <v>1</v>
      </c>
      <c r="F249" s="2" t="s">
        <v>21</v>
      </c>
      <c r="G249" t="str">
        <f t="shared" ca="1" si="12"/>
        <v>Not coming events</v>
      </c>
      <c r="H249">
        <f t="shared" si="13"/>
        <v>1</v>
      </c>
      <c r="I249" t="str">
        <f t="shared" si="14"/>
        <v>Jun</v>
      </c>
      <c r="J249" t="str">
        <f t="shared" si="15"/>
        <v>Training Session-R. Patel</v>
      </c>
    </row>
    <row r="250" spans="1:10" x14ac:dyDescent="0.4">
      <c r="A250" s="2" t="s">
        <v>1535</v>
      </c>
      <c r="B250" s="2" t="s">
        <v>1282</v>
      </c>
      <c r="C250" s="3">
        <v>45301</v>
      </c>
      <c r="D250" s="3">
        <v>45302</v>
      </c>
      <c r="E250" s="2">
        <v>1</v>
      </c>
      <c r="F250" s="2" t="s">
        <v>55</v>
      </c>
      <c r="G250" t="str">
        <f t="shared" ca="1" si="12"/>
        <v>Not coming events</v>
      </c>
      <c r="H250">
        <f t="shared" si="13"/>
        <v>1</v>
      </c>
      <c r="I250" t="str">
        <f t="shared" si="14"/>
        <v>Jan</v>
      </c>
      <c r="J250" t="str">
        <f t="shared" si="15"/>
        <v>Annual Review-S. Gupta</v>
      </c>
    </row>
    <row r="251" spans="1:10" x14ac:dyDescent="0.4">
      <c r="A251" s="2" t="s">
        <v>1536</v>
      </c>
      <c r="B251" s="2" t="s">
        <v>1286</v>
      </c>
      <c r="C251" s="3">
        <v>45294</v>
      </c>
      <c r="D251" s="3">
        <v>45297</v>
      </c>
      <c r="E251" s="2">
        <v>3</v>
      </c>
      <c r="F251" s="2" t="s">
        <v>28</v>
      </c>
      <c r="G251" t="str">
        <f t="shared" ca="1" si="12"/>
        <v>Not coming events</v>
      </c>
      <c r="H251">
        <f t="shared" si="13"/>
        <v>3</v>
      </c>
      <c r="I251" t="str">
        <f t="shared" si="14"/>
        <v>Jan</v>
      </c>
      <c r="J251" t="str">
        <f t="shared" si="15"/>
        <v>Product Launch-A. Sharma</v>
      </c>
    </row>
    <row r="252" spans="1:10" x14ac:dyDescent="0.4">
      <c r="A252" s="2" t="s">
        <v>1537</v>
      </c>
      <c r="B252" s="2" t="s">
        <v>1284</v>
      </c>
      <c r="C252" s="3">
        <v>45378</v>
      </c>
      <c r="D252" s="3">
        <v>45382</v>
      </c>
      <c r="E252" s="2">
        <v>4</v>
      </c>
      <c r="F252" s="2" t="s">
        <v>55</v>
      </c>
      <c r="G252" t="str">
        <f t="shared" ca="1" si="12"/>
        <v>Not coming events</v>
      </c>
      <c r="H252">
        <f t="shared" si="13"/>
        <v>4</v>
      </c>
      <c r="I252" t="str">
        <f t="shared" si="14"/>
        <v>Mar</v>
      </c>
      <c r="J252" t="str">
        <f t="shared" si="15"/>
        <v>Workshop-S. Gupta</v>
      </c>
    </row>
    <row r="253" spans="1:10" x14ac:dyDescent="0.4">
      <c r="A253" s="2" t="s">
        <v>1538</v>
      </c>
      <c r="B253" s="2" t="s">
        <v>1282</v>
      </c>
      <c r="C253" s="3">
        <v>45584</v>
      </c>
      <c r="D253" s="3">
        <v>45587</v>
      </c>
      <c r="E253" s="2">
        <v>3</v>
      </c>
      <c r="F253" s="2" t="s">
        <v>64</v>
      </c>
      <c r="G253" t="str">
        <f t="shared" ca="1" si="12"/>
        <v>Not coming events</v>
      </c>
      <c r="H253">
        <f t="shared" si="13"/>
        <v>3</v>
      </c>
      <c r="I253" t="str">
        <f t="shared" si="14"/>
        <v>Oct</v>
      </c>
      <c r="J253" t="str">
        <f t="shared" si="15"/>
        <v>Annual Review-M. Khan</v>
      </c>
    </row>
    <row r="254" spans="1:10" x14ac:dyDescent="0.4">
      <c r="A254" s="2" t="s">
        <v>1539</v>
      </c>
      <c r="B254" s="2" t="s">
        <v>1301</v>
      </c>
      <c r="C254" s="3">
        <v>45506</v>
      </c>
      <c r="D254" s="3">
        <v>45509</v>
      </c>
      <c r="E254" s="2">
        <v>3</v>
      </c>
      <c r="F254" s="2" t="s">
        <v>64</v>
      </c>
      <c r="G254" t="str">
        <f t="shared" ca="1" si="12"/>
        <v>Not coming events</v>
      </c>
      <c r="H254">
        <f t="shared" si="13"/>
        <v>3</v>
      </c>
      <c r="I254" t="str">
        <f t="shared" si="14"/>
        <v>Aug</v>
      </c>
      <c r="J254" t="str">
        <f t="shared" si="15"/>
        <v>Training Session-M. Khan</v>
      </c>
    </row>
    <row r="255" spans="1:10" x14ac:dyDescent="0.4">
      <c r="A255" s="2" t="s">
        <v>1540</v>
      </c>
      <c r="B255" s="2" t="s">
        <v>1284</v>
      </c>
      <c r="C255" s="3">
        <v>45579</v>
      </c>
      <c r="D255" s="3">
        <v>45580</v>
      </c>
      <c r="E255" s="2">
        <v>1</v>
      </c>
      <c r="F255" s="2" t="s">
        <v>28</v>
      </c>
      <c r="G255" t="str">
        <f t="shared" ca="1" si="12"/>
        <v>Not coming events</v>
      </c>
      <c r="H255">
        <f t="shared" si="13"/>
        <v>1</v>
      </c>
      <c r="I255" t="str">
        <f t="shared" si="14"/>
        <v>Oct</v>
      </c>
      <c r="J255" t="str">
        <f t="shared" si="15"/>
        <v>Workshop-A. Sharma</v>
      </c>
    </row>
    <row r="256" spans="1:10" x14ac:dyDescent="0.4">
      <c r="A256" s="2" t="s">
        <v>1541</v>
      </c>
      <c r="B256" s="2" t="s">
        <v>1284</v>
      </c>
      <c r="C256" s="3">
        <v>45293</v>
      </c>
      <c r="D256" s="3">
        <v>45298</v>
      </c>
      <c r="E256" s="2">
        <v>5</v>
      </c>
      <c r="F256" s="2" t="s">
        <v>64</v>
      </c>
      <c r="G256" t="str">
        <f t="shared" ca="1" si="12"/>
        <v>Not coming events</v>
      </c>
      <c r="H256">
        <f t="shared" si="13"/>
        <v>5</v>
      </c>
      <c r="I256" t="str">
        <f t="shared" si="14"/>
        <v>Jan</v>
      </c>
      <c r="J256" t="str">
        <f t="shared" si="15"/>
        <v>Workshop-M. Khan</v>
      </c>
    </row>
    <row r="257" spans="1:10" x14ac:dyDescent="0.4">
      <c r="A257" s="2" t="s">
        <v>1542</v>
      </c>
      <c r="B257" s="2" t="s">
        <v>1282</v>
      </c>
      <c r="C257" s="3">
        <v>45351</v>
      </c>
      <c r="D257" s="3">
        <v>45353</v>
      </c>
      <c r="E257" s="2">
        <v>2</v>
      </c>
      <c r="F257" s="2" t="s">
        <v>21</v>
      </c>
      <c r="G257" t="str">
        <f t="shared" ca="1" si="12"/>
        <v>Not coming events</v>
      </c>
      <c r="H257">
        <f t="shared" si="13"/>
        <v>2</v>
      </c>
      <c r="I257" t="str">
        <f t="shared" si="14"/>
        <v>Feb</v>
      </c>
      <c r="J257" t="str">
        <f t="shared" si="15"/>
        <v>Annual Review-R. Patel</v>
      </c>
    </row>
    <row r="258" spans="1:10" x14ac:dyDescent="0.4">
      <c r="A258" s="2" t="s">
        <v>1543</v>
      </c>
      <c r="B258" s="2" t="s">
        <v>1284</v>
      </c>
      <c r="C258" s="3">
        <v>45469</v>
      </c>
      <c r="D258" s="3">
        <v>45474</v>
      </c>
      <c r="E258" s="2">
        <v>5</v>
      </c>
      <c r="F258" s="2" t="s">
        <v>14</v>
      </c>
      <c r="G258" t="str">
        <f t="shared" ca="1" si="12"/>
        <v>Not coming events</v>
      </c>
      <c r="H258">
        <f t="shared" si="13"/>
        <v>5</v>
      </c>
      <c r="I258" t="str">
        <f t="shared" si="14"/>
        <v>Jun</v>
      </c>
      <c r="J258" t="str">
        <f t="shared" si="15"/>
        <v>Workshop-V. Nair</v>
      </c>
    </row>
    <row r="259" spans="1:10" x14ac:dyDescent="0.4">
      <c r="A259" s="2" t="s">
        <v>1544</v>
      </c>
      <c r="B259" s="2" t="s">
        <v>1284</v>
      </c>
      <c r="C259" s="3">
        <v>45592</v>
      </c>
      <c r="D259" s="3">
        <v>45597</v>
      </c>
      <c r="E259" s="2">
        <v>5</v>
      </c>
      <c r="F259" s="2" t="s">
        <v>55</v>
      </c>
      <c r="G259" t="str">
        <f t="shared" ref="G259:G322" ca="1" si="16">IF(AND(C259&lt;=TODAY()+30,D259&gt;=TODAY()),"Upcoming","Not coming events")</f>
        <v>Not coming events</v>
      </c>
      <c r="H259">
        <f t="shared" ref="H259:H322" si="17">DATEDIF(C259,D259,"d")</f>
        <v>5</v>
      </c>
      <c r="I259" t="str">
        <f t="shared" ref="I259:I322" si="18">TEXT(C259,"mmm")</f>
        <v>Oct</v>
      </c>
      <c r="J259" t="str">
        <f t="shared" ref="J259:J322" si="19">_xlfn.CONCAT(B259,"-",F259)</f>
        <v>Workshop-S. Gupta</v>
      </c>
    </row>
    <row r="260" spans="1:10" x14ac:dyDescent="0.4">
      <c r="A260" s="2" t="s">
        <v>1545</v>
      </c>
      <c r="B260" s="2" t="s">
        <v>1284</v>
      </c>
      <c r="C260" s="3">
        <v>45494</v>
      </c>
      <c r="D260" s="3">
        <v>45496</v>
      </c>
      <c r="E260" s="2">
        <v>2</v>
      </c>
      <c r="F260" s="2" t="s">
        <v>21</v>
      </c>
      <c r="G260" t="str">
        <f t="shared" ca="1" si="16"/>
        <v>Not coming events</v>
      </c>
      <c r="H260">
        <f t="shared" si="17"/>
        <v>2</v>
      </c>
      <c r="I260" t="str">
        <f t="shared" si="18"/>
        <v>Jul</v>
      </c>
      <c r="J260" t="str">
        <f t="shared" si="19"/>
        <v>Workshop-R. Patel</v>
      </c>
    </row>
    <row r="261" spans="1:10" x14ac:dyDescent="0.4">
      <c r="A261" s="2" t="s">
        <v>1546</v>
      </c>
      <c r="B261" s="2" t="s">
        <v>1284</v>
      </c>
      <c r="C261" s="3">
        <v>45300</v>
      </c>
      <c r="D261" s="3">
        <v>45304</v>
      </c>
      <c r="E261" s="2">
        <v>4</v>
      </c>
      <c r="F261" s="2" t="s">
        <v>64</v>
      </c>
      <c r="G261" t="str">
        <f t="shared" ca="1" si="16"/>
        <v>Not coming events</v>
      </c>
      <c r="H261">
        <f t="shared" si="17"/>
        <v>4</v>
      </c>
      <c r="I261" t="str">
        <f t="shared" si="18"/>
        <v>Jan</v>
      </c>
      <c r="J261" t="str">
        <f t="shared" si="19"/>
        <v>Workshop-M. Khan</v>
      </c>
    </row>
    <row r="262" spans="1:10" x14ac:dyDescent="0.4">
      <c r="A262" s="2" t="s">
        <v>1547</v>
      </c>
      <c r="B262" s="2" t="s">
        <v>1296</v>
      </c>
      <c r="C262" s="3">
        <v>45357</v>
      </c>
      <c r="D262" s="3">
        <v>45358</v>
      </c>
      <c r="E262" s="2">
        <v>1</v>
      </c>
      <c r="F262" s="2" t="s">
        <v>14</v>
      </c>
      <c r="G262" t="str">
        <f t="shared" ca="1" si="16"/>
        <v>Not coming events</v>
      </c>
      <c r="H262">
        <f t="shared" si="17"/>
        <v>1</v>
      </c>
      <c r="I262" t="str">
        <f t="shared" si="18"/>
        <v>Mar</v>
      </c>
      <c r="J262" t="str">
        <f t="shared" si="19"/>
        <v>Client Presentation-V. Nair</v>
      </c>
    </row>
    <row r="263" spans="1:10" x14ac:dyDescent="0.4">
      <c r="A263" s="2" t="s">
        <v>1548</v>
      </c>
      <c r="B263" s="2" t="s">
        <v>1286</v>
      </c>
      <c r="C263" s="3">
        <v>45435</v>
      </c>
      <c r="D263" s="3">
        <v>45438</v>
      </c>
      <c r="E263" s="2">
        <v>3</v>
      </c>
      <c r="F263" s="2" t="s">
        <v>64</v>
      </c>
      <c r="G263" t="str">
        <f t="shared" ca="1" si="16"/>
        <v>Not coming events</v>
      </c>
      <c r="H263">
        <f t="shared" si="17"/>
        <v>3</v>
      </c>
      <c r="I263" t="str">
        <f t="shared" si="18"/>
        <v>May</v>
      </c>
      <c r="J263" t="str">
        <f t="shared" si="19"/>
        <v>Product Launch-M. Khan</v>
      </c>
    </row>
    <row r="264" spans="1:10" x14ac:dyDescent="0.4">
      <c r="A264" s="2" t="s">
        <v>1549</v>
      </c>
      <c r="B264" s="2" t="s">
        <v>1286</v>
      </c>
      <c r="C264" s="3">
        <v>45321</v>
      </c>
      <c r="D264" s="3">
        <v>45326</v>
      </c>
      <c r="E264" s="2">
        <v>5</v>
      </c>
      <c r="F264" s="2" t="s">
        <v>64</v>
      </c>
      <c r="G264" t="str">
        <f t="shared" ca="1" si="16"/>
        <v>Not coming events</v>
      </c>
      <c r="H264">
        <f t="shared" si="17"/>
        <v>5</v>
      </c>
      <c r="I264" t="str">
        <f t="shared" si="18"/>
        <v>Jan</v>
      </c>
      <c r="J264" t="str">
        <f t="shared" si="19"/>
        <v>Product Launch-M. Khan</v>
      </c>
    </row>
    <row r="265" spans="1:10" x14ac:dyDescent="0.4">
      <c r="A265" s="2" t="s">
        <v>1550</v>
      </c>
      <c r="B265" s="2" t="s">
        <v>1288</v>
      </c>
      <c r="C265" s="3">
        <v>45347</v>
      </c>
      <c r="D265" s="3">
        <v>45350</v>
      </c>
      <c r="E265" s="2">
        <v>3</v>
      </c>
      <c r="F265" s="2" t="s">
        <v>28</v>
      </c>
      <c r="G265" t="str">
        <f t="shared" ca="1" si="16"/>
        <v>Not coming events</v>
      </c>
      <c r="H265">
        <f t="shared" si="17"/>
        <v>3</v>
      </c>
      <c r="I265" t="str">
        <f t="shared" si="18"/>
        <v>Feb</v>
      </c>
      <c r="J265" t="str">
        <f t="shared" si="19"/>
        <v>Team Meeting-A. Sharma</v>
      </c>
    </row>
    <row r="266" spans="1:10" x14ac:dyDescent="0.4">
      <c r="A266" s="2" t="s">
        <v>1551</v>
      </c>
      <c r="B266" s="2" t="s">
        <v>1296</v>
      </c>
      <c r="C266" s="3">
        <v>45313</v>
      </c>
      <c r="D266" s="3">
        <v>45316</v>
      </c>
      <c r="E266" s="2">
        <v>3</v>
      </c>
      <c r="F266" s="2" t="s">
        <v>21</v>
      </c>
      <c r="G266" t="str">
        <f t="shared" ca="1" si="16"/>
        <v>Not coming events</v>
      </c>
      <c r="H266">
        <f t="shared" si="17"/>
        <v>3</v>
      </c>
      <c r="I266" t="str">
        <f t="shared" si="18"/>
        <v>Jan</v>
      </c>
      <c r="J266" t="str">
        <f t="shared" si="19"/>
        <v>Client Presentation-R. Patel</v>
      </c>
    </row>
    <row r="267" spans="1:10" x14ac:dyDescent="0.4">
      <c r="A267" s="2" t="s">
        <v>1552</v>
      </c>
      <c r="B267" s="2" t="s">
        <v>1296</v>
      </c>
      <c r="C267" s="3">
        <v>45635</v>
      </c>
      <c r="D267" s="3">
        <v>45636</v>
      </c>
      <c r="E267" s="2">
        <v>1</v>
      </c>
      <c r="F267" s="2" t="s">
        <v>28</v>
      </c>
      <c r="G267" t="str">
        <f t="shared" ca="1" si="16"/>
        <v>Not coming events</v>
      </c>
      <c r="H267">
        <f t="shared" si="17"/>
        <v>1</v>
      </c>
      <c r="I267" t="str">
        <f t="shared" si="18"/>
        <v>Dec</v>
      </c>
      <c r="J267" t="str">
        <f t="shared" si="19"/>
        <v>Client Presentation-A. Sharma</v>
      </c>
    </row>
    <row r="268" spans="1:10" x14ac:dyDescent="0.4">
      <c r="A268" s="2" t="s">
        <v>1553</v>
      </c>
      <c r="B268" s="2" t="s">
        <v>1284</v>
      </c>
      <c r="C268" s="3">
        <v>45499</v>
      </c>
      <c r="D268" s="3">
        <v>45501</v>
      </c>
      <c r="E268" s="2">
        <v>2</v>
      </c>
      <c r="F268" s="2" t="s">
        <v>28</v>
      </c>
      <c r="G268" t="str">
        <f t="shared" ca="1" si="16"/>
        <v>Not coming events</v>
      </c>
      <c r="H268">
        <f t="shared" si="17"/>
        <v>2</v>
      </c>
      <c r="I268" t="str">
        <f t="shared" si="18"/>
        <v>Jul</v>
      </c>
      <c r="J268" t="str">
        <f t="shared" si="19"/>
        <v>Workshop-A. Sharma</v>
      </c>
    </row>
    <row r="269" spans="1:10" x14ac:dyDescent="0.4">
      <c r="A269" s="2" t="s">
        <v>1554</v>
      </c>
      <c r="B269" s="2" t="s">
        <v>1301</v>
      </c>
      <c r="C269" s="3">
        <v>45575</v>
      </c>
      <c r="D269" s="3">
        <v>45576</v>
      </c>
      <c r="E269" s="2">
        <v>1</v>
      </c>
      <c r="F269" s="2" t="s">
        <v>64</v>
      </c>
      <c r="G269" t="str">
        <f t="shared" ca="1" si="16"/>
        <v>Not coming events</v>
      </c>
      <c r="H269">
        <f t="shared" si="17"/>
        <v>1</v>
      </c>
      <c r="I269" t="str">
        <f t="shared" si="18"/>
        <v>Oct</v>
      </c>
      <c r="J269" t="str">
        <f t="shared" si="19"/>
        <v>Training Session-M. Khan</v>
      </c>
    </row>
    <row r="270" spans="1:10" x14ac:dyDescent="0.4">
      <c r="A270" s="2" t="s">
        <v>1555</v>
      </c>
      <c r="B270" s="2" t="s">
        <v>1286</v>
      </c>
      <c r="C270" s="3">
        <v>45655</v>
      </c>
      <c r="D270" s="3">
        <v>45656</v>
      </c>
      <c r="E270" s="2">
        <v>1</v>
      </c>
      <c r="F270" s="2" t="s">
        <v>55</v>
      </c>
      <c r="G270" t="str">
        <f t="shared" ca="1" si="16"/>
        <v>Not coming events</v>
      </c>
      <c r="H270">
        <f t="shared" si="17"/>
        <v>1</v>
      </c>
      <c r="I270" t="str">
        <f t="shared" si="18"/>
        <v>Dec</v>
      </c>
      <c r="J270" t="str">
        <f t="shared" si="19"/>
        <v>Product Launch-S. Gupta</v>
      </c>
    </row>
    <row r="271" spans="1:10" x14ac:dyDescent="0.4">
      <c r="A271" s="2" t="s">
        <v>1556</v>
      </c>
      <c r="B271" s="2" t="s">
        <v>1286</v>
      </c>
      <c r="C271" s="3">
        <v>45500</v>
      </c>
      <c r="D271" s="3">
        <v>45501</v>
      </c>
      <c r="E271" s="2">
        <v>1</v>
      </c>
      <c r="F271" s="2" t="s">
        <v>21</v>
      </c>
      <c r="G271" t="str">
        <f t="shared" ca="1" si="16"/>
        <v>Not coming events</v>
      </c>
      <c r="H271">
        <f t="shared" si="17"/>
        <v>1</v>
      </c>
      <c r="I271" t="str">
        <f t="shared" si="18"/>
        <v>Jul</v>
      </c>
      <c r="J271" t="str">
        <f t="shared" si="19"/>
        <v>Product Launch-R. Patel</v>
      </c>
    </row>
    <row r="272" spans="1:10" x14ac:dyDescent="0.4">
      <c r="A272" s="2" t="s">
        <v>1557</v>
      </c>
      <c r="B272" s="2" t="s">
        <v>1301</v>
      </c>
      <c r="C272" s="3">
        <v>45371</v>
      </c>
      <c r="D272" s="3">
        <v>45376</v>
      </c>
      <c r="E272" s="2">
        <v>5</v>
      </c>
      <c r="F272" s="2" t="s">
        <v>28</v>
      </c>
      <c r="G272" t="str">
        <f t="shared" ca="1" si="16"/>
        <v>Not coming events</v>
      </c>
      <c r="H272">
        <f t="shared" si="17"/>
        <v>5</v>
      </c>
      <c r="I272" t="str">
        <f t="shared" si="18"/>
        <v>Mar</v>
      </c>
      <c r="J272" t="str">
        <f t="shared" si="19"/>
        <v>Training Session-A. Sharma</v>
      </c>
    </row>
    <row r="273" spans="1:10" x14ac:dyDescent="0.4">
      <c r="A273" s="2" t="s">
        <v>1558</v>
      </c>
      <c r="B273" s="2" t="s">
        <v>1286</v>
      </c>
      <c r="C273" s="3">
        <v>45644</v>
      </c>
      <c r="D273" s="3">
        <v>45649</v>
      </c>
      <c r="E273" s="2">
        <v>5</v>
      </c>
      <c r="F273" s="2" t="s">
        <v>28</v>
      </c>
      <c r="G273" t="str">
        <f t="shared" ca="1" si="16"/>
        <v>Not coming events</v>
      </c>
      <c r="H273">
        <f t="shared" si="17"/>
        <v>5</v>
      </c>
      <c r="I273" t="str">
        <f t="shared" si="18"/>
        <v>Dec</v>
      </c>
      <c r="J273" t="str">
        <f t="shared" si="19"/>
        <v>Product Launch-A. Sharma</v>
      </c>
    </row>
    <row r="274" spans="1:10" x14ac:dyDescent="0.4">
      <c r="A274" s="2" t="s">
        <v>1559</v>
      </c>
      <c r="B274" s="2" t="s">
        <v>1286</v>
      </c>
      <c r="C274" s="3">
        <v>45446</v>
      </c>
      <c r="D274" s="3">
        <v>45451</v>
      </c>
      <c r="E274" s="2">
        <v>5</v>
      </c>
      <c r="F274" s="2" t="s">
        <v>14</v>
      </c>
      <c r="G274" t="str">
        <f t="shared" ca="1" si="16"/>
        <v>Not coming events</v>
      </c>
      <c r="H274">
        <f t="shared" si="17"/>
        <v>5</v>
      </c>
      <c r="I274" t="str">
        <f t="shared" si="18"/>
        <v>Jun</v>
      </c>
      <c r="J274" t="str">
        <f t="shared" si="19"/>
        <v>Product Launch-V. Nair</v>
      </c>
    </row>
    <row r="275" spans="1:10" x14ac:dyDescent="0.4">
      <c r="A275" s="2" t="s">
        <v>1560</v>
      </c>
      <c r="B275" s="2" t="s">
        <v>1282</v>
      </c>
      <c r="C275" s="3">
        <v>45343</v>
      </c>
      <c r="D275" s="3">
        <v>45348</v>
      </c>
      <c r="E275" s="2">
        <v>5</v>
      </c>
      <c r="F275" s="2" t="s">
        <v>28</v>
      </c>
      <c r="G275" t="str">
        <f t="shared" ca="1" si="16"/>
        <v>Not coming events</v>
      </c>
      <c r="H275">
        <f t="shared" si="17"/>
        <v>5</v>
      </c>
      <c r="I275" t="str">
        <f t="shared" si="18"/>
        <v>Feb</v>
      </c>
      <c r="J275" t="str">
        <f t="shared" si="19"/>
        <v>Annual Review-A. Sharma</v>
      </c>
    </row>
    <row r="276" spans="1:10" x14ac:dyDescent="0.4">
      <c r="A276" s="2" t="s">
        <v>1561</v>
      </c>
      <c r="B276" s="2" t="s">
        <v>1296</v>
      </c>
      <c r="C276" s="3">
        <v>45380</v>
      </c>
      <c r="D276" s="3">
        <v>45384</v>
      </c>
      <c r="E276" s="2">
        <v>4</v>
      </c>
      <c r="F276" s="2" t="s">
        <v>64</v>
      </c>
      <c r="G276" t="str">
        <f t="shared" ca="1" si="16"/>
        <v>Not coming events</v>
      </c>
      <c r="H276">
        <f t="shared" si="17"/>
        <v>4</v>
      </c>
      <c r="I276" t="str">
        <f t="shared" si="18"/>
        <v>Mar</v>
      </c>
      <c r="J276" t="str">
        <f t="shared" si="19"/>
        <v>Client Presentation-M. Khan</v>
      </c>
    </row>
    <row r="277" spans="1:10" x14ac:dyDescent="0.4">
      <c r="A277" s="2" t="s">
        <v>1562</v>
      </c>
      <c r="B277" s="2" t="s">
        <v>1301</v>
      </c>
      <c r="C277" s="3">
        <v>45545</v>
      </c>
      <c r="D277" s="3">
        <v>45546</v>
      </c>
      <c r="E277" s="2">
        <v>1</v>
      </c>
      <c r="F277" s="2" t="s">
        <v>55</v>
      </c>
      <c r="G277" t="str">
        <f t="shared" ca="1" si="16"/>
        <v>Not coming events</v>
      </c>
      <c r="H277">
        <f t="shared" si="17"/>
        <v>1</v>
      </c>
      <c r="I277" t="str">
        <f t="shared" si="18"/>
        <v>Sep</v>
      </c>
      <c r="J277" t="str">
        <f t="shared" si="19"/>
        <v>Training Session-S. Gupta</v>
      </c>
    </row>
    <row r="278" spans="1:10" x14ac:dyDescent="0.4">
      <c r="A278" s="2" t="s">
        <v>1563</v>
      </c>
      <c r="B278" s="2" t="s">
        <v>1284</v>
      </c>
      <c r="C278" s="3">
        <v>45459</v>
      </c>
      <c r="D278" s="3">
        <v>45463</v>
      </c>
      <c r="E278" s="2">
        <v>4</v>
      </c>
      <c r="F278" s="2" t="s">
        <v>28</v>
      </c>
      <c r="G278" t="str">
        <f t="shared" ca="1" si="16"/>
        <v>Not coming events</v>
      </c>
      <c r="H278">
        <f t="shared" si="17"/>
        <v>4</v>
      </c>
      <c r="I278" t="str">
        <f t="shared" si="18"/>
        <v>Jun</v>
      </c>
      <c r="J278" t="str">
        <f t="shared" si="19"/>
        <v>Workshop-A. Sharma</v>
      </c>
    </row>
    <row r="279" spans="1:10" x14ac:dyDescent="0.4">
      <c r="A279" s="2" t="s">
        <v>1564</v>
      </c>
      <c r="B279" s="2" t="s">
        <v>1288</v>
      </c>
      <c r="C279" s="3">
        <v>45346</v>
      </c>
      <c r="D279" s="3">
        <v>45350</v>
      </c>
      <c r="E279" s="2">
        <v>4</v>
      </c>
      <c r="F279" s="2" t="s">
        <v>14</v>
      </c>
      <c r="G279" t="str">
        <f t="shared" ca="1" si="16"/>
        <v>Not coming events</v>
      </c>
      <c r="H279">
        <f t="shared" si="17"/>
        <v>4</v>
      </c>
      <c r="I279" t="str">
        <f t="shared" si="18"/>
        <v>Feb</v>
      </c>
      <c r="J279" t="str">
        <f t="shared" si="19"/>
        <v>Team Meeting-V. Nair</v>
      </c>
    </row>
    <row r="280" spans="1:10" x14ac:dyDescent="0.4">
      <c r="A280" s="2" t="s">
        <v>1565</v>
      </c>
      <c r="B280" s="2" t="s">
        <v>1286</v>
      </c>
      <c r="C280" s="3">
        <v>45503</v>
      </c>
      <c r="D280" s="3">
        <v>45505</v>
      </c>
      <c r="E280" s="2">
        <v>2</v>
      </c>
      <c r="F280" s="2" t="s">
        <v>21</v>
      </c>
      <c r="G280" t="str">
        <f t="shared" ca="1" si="16"/>
        <v>Not coming events</v>
      </c>
      <c r="H280">
        <f t="shared" si="17"/>
        <v>2</v>
      </c>
      <c r="I280" t="str">
        <f t="shared" si="18"/>
        <v>Jul</v>
      </c>
      <c r="J280" t="str">
        <f t="shared" si="19"/>
        <v>Product Launch-R. Patel</v>
      </c>
    </row>
    <row r="281" spans="1:10" x14ac:dyDescent="0.4">
      <c r="A281" s="2" t="s">
        <v>1566</v>
      </c>
      <c r="B281" s="2" t="s">
        <v>1286</v>
      </c>
      <c r="C281" s="3">
        <v>45474</v>
      </c>
      <c r="D281" s="3">
        <v>45475</v>
      </c>
      <c r="E281" s="2">
        <v>1</v>
      </c>
      <c r="F281" s="2" t="s">
        <v>14</v>
      </c>
      <c r="G281" t="str">
        <f t="shared" ca="1" si="16"/>
        <v>Not coming events</v>
      </c>
      <c r="H281">
        <f t="shared" si="17"/>
        <v>1</v>
      </c>
      <c r="I281" t="str">
        <f t="shared" si="18"/>
        <v>Jul</v>
      </c>
      <c r="J281" t="str">
        <f t="shared" si="19"/>
        <v>Product Launch-V. Nair</v>
      </c>
    </row>
    <row r="282" spans="1:10" x14ac:dyDescent="0.4">
      <c r="A282" s="2" t="s">
        <v>1567</v>
      </c>
      <c r="B282" s="2" t="s">
        <v>1301</v>
      </c>
      <c r="C282" s="3">
        <v>45639</v>
      </c>
      <c r="D282" s="3">
        <v>45643</v>
      </c>
      <c r="E282" s="2">
        <v>4</v>
      </c>
      <c r="F282" s="2" t="s">
        <v>14</v>
      </c>
      <c r="G282" t="str">
        <f t="shared" ca="1" si="16"/>
        <v>Not coming events</v>
      </c>
      <c r="H282">
        <f t="shared" si="17"/>
        <v>4</v>
      </c>
      <c r="I282" t="str">
        <f t="shared" si="18"/>
        <v>Dec</v>
      </c>
      <c r="J282" t="str">
        <f t="shared" si="19"/>
        <v>Training Session-V. Nair</v>
      </c>
    </row>
    <row r="283" spans="1:10" x14ac:dyDescent="0.4">
      <c r="A283" s="2" t="s">
        <v>1568</v>
      </c>
      <c r="B283" s="2" t="s">
        <v>1301</v>
      </c>
      <c r="C283" s="3">
        <v>45380</v>
      </c>
      <c r="D283" s="3">
        <v>45384</v>
      </c>
      <c r="E283" s="2">
        <v>4</v>
      </c>
      <c r="F283" s="2" t="s">
        <v>14</v>
      </c>
      <c r="G283" t="str">
        <f t="shared" ca="1" si="16"/>
        <v>Not coming events</v>
      </c>
      <c r="H283">
        <f t="shared" si="17"/>
        <v>4</v>
      </c>
      <c r="I283" t="str">
        <f t="shared" si="18"/>
        <v>Mar</v>
      </c>
      <c r="J283" t="str">
        <f t="shared" si="19"/>
        <v>Training Session-V. Nair</v>
      </c>
    </row>
    <row r="284" spans="1:10" x14ac:dyDescent="0.4">
      <c r="A284" s="2" t="s">
        <v>1569</v>
      </c>
      <c r="B284" s="2" t="s">
        <v>1288</v>
      </c>
      <c r="C284" s="3">
        <v>45467</v>
      </c>
      <c r="D284" s="3">
        <v>45469</v>
      </c>
      <c r="E284" s="2">
        <v>2</v>
      </c>
      <c r="F284" s="2" t="s">
        <v>28</v>
      </c>
      <c r="G284" t="str">
        <f t="shared" ca="1" si="16"/>
        <v>Not coming events</v>
      </c>
      <c r="H284">
        <f t="shared" si="17"/>
        <v>2</v>
      </c>
      <c r="I284" t="str">
        <f t="shared" si="18"/>
        <v>Jun</v>
      </c>
      <c r="J284" t="str">
        <f t="shared" si="19"/>
        <v>Team Meeting-A. Sharma</v>
      </c>
    </row>
    <row r="285" spans="1:10" x14ac:dyDescent="0.4">
      <c r="A285" s="2" t="s">
        <v>1570</v>
      </c>
      <c r="B285" s="2" t="s">
        <v>1296</v>
      </c>
      <c r="C285" s="3">
        <v>45543</v>
      </c>
      <c r="D285" s="3">
        <v>45548</v>
      </c>
      <c r="E285" s="2">
        <v>5</v>
      </c>
      <c r="F285" s="2" t="s">
        <v>14</v>
      </c>
      <c r="G285" t="str">
        <f t="shared" ca="1" si="16"/>
        <v>Not coming events</v>
      </c>
      <c r="H285">
        <f t="shared" si="17"/>
        <v>5</v>
      </c>
      <c r="I285" t="str">
        <f t="shared" si="18"/>
        <v>Sep</v>
      </c>
      <c r="J285" t="str">
        <f t="shared" si="19"/>
        <v>Client Presentation-V. Nair</v>
      </c>
    </row>
    <row r="286" spans="1:10" x14ac:dyDescent="0.4">
      <c r="A286" s="2" t="s">
        <v>1571</v>
      </c>
      <c r="B286" s="2" t="s">
        <v>1301</v>
      </c>
      <c r="C286" s="3">
        <v>45474</v>
      </c>
      <c r="D286" s="3">
        <v>45479</v>
      </c>
      <c r="E286" s="2">
        <v>5</v>
      </c>
      <c r="F286" s="2" t="s">
        <v>21</v>
      </c>
      <c r="G286" t="str">
        <f t="shared" ca="1" si="16"/>
        <v>Not coming events</v>
      </c>
      <c r="H286">
        <f t="shared" si="17"/>
        <v>5</v>
      </c>
      <c r="I286" t="str">
        <f t="shared" si="18"/>
        <v>Jul</v>
      </c>
      <c r="J286" t="str">
        <f t="shared" si="19"/>
        <v>Training Session-R. Patel</v>
      </c>
    </row>
    <row r="287" spans="1:10" x14ac:dyDescent="0.4">
      <c r="A287" s="2" t="s">
        <v>1572</v>
      </c>
      <c r="B287" s="2" t="s">
        <v>1288</v>
      </c>
      <c r="C287" s="3">
        <v>45418</v>
      </c>
      <c r="D287" s="3">
        <v>45423</v>
      </c>
      <c r="E287" s="2">
        <v>5</v>
      </c>
      <c r="F287" s="2" t="s">
        <v>14</v>
      </c>
      <c r="G287" t="str">
        <f t="shared" ca="1" si="16"/>
        <v>Not coming events</v>
      </c>
      <c r="H287">
        <f t="shared" si="17"/>
        <v>5</v>
      </c>
      <c r="I287" t="str">
        <f t="shared" si="18"/>
        <v>May</v>
      </c>
      <c r="J287" t="str">
        <f t="shared" si="19"/>
        <v>Team Meeting-V. Nair</v>
      </c>
    </row>
    <row r="288" spans="1:10" x14ac:dyDescent="0.4">
      <c r="A288" s="2" t="s">
        <v>1573</v>
      </c>
      <c r="B288" s="2" t="s">
        <v>1288</v>
      </c>
      <c r="C288" s="3">
        <v>45341</v>
      </c>
      <c r="D288" s="3">
        <v>45345</v>
      </c>
      <c r="E288" s="2">
        <v>4</v>
      </c>
      <c r="F288" s="2" t="s">
        <v>14</v>
      </c>
      <c r="G288" t="str">
        <f t="shared" ca="1" si="16"/>
        <v>Not coming events</v>
      </c>
      <c r="H288">
        <f t="shared" si="17"/>
        <v>4</v>
      </c>
      <c r="I288" t="str">
        <f t="shared" si="18"/>
        <v>Feb</v>
      </c>
      <c r="J288" t="str">
        <f t="shared" si="19"/>
        <v>Team Meeting-V. Nair</v>
      </c>
    </row>
    <row r="289" spans="1:10" x14ac:dyDescent="0.4">
      <c r="A289" s="2" t="s">
        <v>1574</v>
      </c>
      <c r="B289" s="2" t="s">
        <v>1284</v>
      </c>
      <c r="C289" s="3">
        <v>45423</v>
      </c>
      <c r="D289" s="3">
        <v>45427</v>
      </c>
      <c r="E289" s="2">
        <v>4</v>
      </c>
      <c r="F289" s="2" t="s">
        <v>28</v>
      </c>
      <c r="G289" t="str">
        <f t="shared" ca="1" si="16"/>
        <v>Not coming events</v>
      </c>
      <c r="H289">
        <f t="shared" si="17"/>
        <v>4</v>
      </c>
      <c r="I289" t="str">
        <f t="shared" si="18"/>
        <v>May</v>
      </c>
      <c r="J289" t="str">
        <f t="shared" si="19"/>
        <v>Workshop-A. Sharma</v>
      </c>
    </row>
    <row r="290" spans="1:10" x14ac:dyDescent="0.4">
      <c r="A290" s="2" t="s">
        <v>1575</v>
      </c>
      <c r="B290" s="2" t="s">
        <v>1284</v>
      </c>
      <c r="C290" s="3">
        <v>45414</v>
      </c>
      <c r="D290" s="3">
        <v>45418</v>
      </c>
      <c r="E290" s="2">
        <v>4</v>
      </c>
      <c r="F290" s="2" t="s">
        <v>55</v>
      </c>
      <c r="G290" t="str">
        <f t="shared" ca="1" si="16"/>
        <v>Not coming events</v>
      </c>
      <c r="H290">
        <f t="shared" si="17"/>
        <v>4</v>
      </c>
      <c r="I290" t="str">
        <f t="shared" si="18"/>
        <v>May</v>
      </c>
      <c r="J290" t="str">
        <f t="shared" si="19"/>
        <v>Workshop-S. Gupta</v>
      </c>
    </row>
    <row r="291" spans="1:10" x14ac:dyDescent="0.4">
      <c r="A291" s="2" t="s">
        <v>1576</v>
      </c>
      <c r="B291" s="2" t="s">
        <v>1288</v>
      </c>
      <c r="C291" s="3">
        <v>45373</v>
      </c>
      <c r="D291" s="3">
        <v>45375</v>
      </c>
      <c r="E291" s="2">
        <v>2</v>
      </c>
      <c r="F291" s="2" t="s">
        <v>55</v>
      </c>
      <c r="G291" t="str">
        <f t="shared" ca="1" si="16"/>
        <v>Not coming events</v>
      </c>
      <c r="H291">
        <f t="shared" si="17"/>
        <v>2</v>
      </c>
      <c r="I291" t="str">
        <f t="shared" si="18"/>
        <v>Mar</v>
      </c>
      <c r="J291" t="str">
        <f t="shared" si="19"/>
        <v>Team Meeting-S. Gupta</v>
      </c>
    </row>
    <row r="292" spans="1:10" x14ac:dyDescent="0.4">
      <c r="A292" s="2" t="s">
        <v>1577</v>
      </c>
      <c r="B292" s="2" t="s">
        <v>1282</v>
      </c>
      <c r="C292" s="3">
        <v>45573</v>
      </c>
      <c r="D292" s="3">
        <v>45574</v>
      </c>
      <c r="E292" s="2">
        <v>1</v>
      </c>
      <c r="F292" s="2" t="s">
        <v>28</v>
      </c>
      <c r="G292" t="str">
        <f t="shared" ca="1" si="16"/>
        <v>Not coming events</v>
      </c>
      <c r="H292">
        <f t="shared" si="17"/>
        <v>1</v>
      </c>
      <c r="I292" t="str">
        <f t="shared" si="18"/>
        <v>Oct</v>
      </c>
      <c r="J292" t="str">
        <f t="shared" si="19"/>
        <v>Annual Review-A. Sharma</v>
      </c>
    </row>
    <row r="293" spans="1:10" x14ac:dyDescent="0.4">
      <c r="A293" s="2" t="s">
        <v>1578</v>
      </c>
      <c r="B293" s="2" t="s">
        <v>1282</v>
      </c>
      <c r="C293" s="3">
        <v>45468</v>
      </c>
      <c r="D293" s="3">
        <v>45470</v>
      </c>
      <c r="E293" s="2">
        <v>2</v>
      </c>
      <c r="F293" s="2" t="s">
        <v>28</v>
      </c>
      <c r="G293" t="str">
        <f t="shared" ca="1" si="16"/>
        <v>Not coming events</v>
      </c>
      <c r="H293">
        <f t="shared" si="17"/>
        <v>2</v>
      </c>
      <c r="I293" t="str">
        <f t="shared" si="18"/>
        <v>Jun</v>
      </c>
      <c r="J293" t="str">
        <f t="shared" si="19"/>
        <v>Annual Review-A. Sharma</v>
      </c>
    </row>
    <row r="294" spans="1:10" x14ac:dyDescent="0.4">
      <c r="A294" s="2" t="s">
        <v>1579</v>
      </c>
      <c r="B294" s="2" t="s">
        <v>1282</v>
      </c>
      <c r="C294" s="3">
        <v>45602</v>
      </c>
      <c r="D294" s="3">
        <v>45603</v>
      </c>
      <c r="E294" s="2">
        <v>1</v>
      </c>
      <c r="F294" s="2" t="s">
        <v>21</v>
      </c>
      <c r="G294" t="str">
        <f t="shared" ca="1" si="16"/>
        <v>Not coming events</v>
      </c>
      <c r="H294">
        <f t="shared" si="17"/>
        <v>1</v>
      </c>
      <c r="I294" t="str">
        <f t="shared" si="18"/>
        <v>Nov</v>
      </c>
      <c r="J294" t="str">
        <f t="shared" si="19"/>
        <v>Annual Review-R. Patel</v>
      </c>
    </row>
    <row r="295" spans="1:10" x14ac:dyDescent="0.4">
      <c r="A295" s="2" t="s">
        <v>1580</v>
      </c>
      <c r="B295" s="2" t="s">
        <v>1296</v>
      </c>
      <c r="C295" s="3">
        <v>45630</v>
      </c>
      <c r="D295" s="3">
        <v>45631</v>
      </c>
      <c r="E295" s="2">
        <v>1</v>
      </c>
      <c r="F295" s="2" t="s">
        <v>64</v>
      </c>
      <c r="G295" t="str">
        <f t="shared" ca="1" si="16"/>
        <v>Not coming events</v>
      </c>
      <c r="H295">
        <f t="shared" si="17"/>
        <v>1</v>
      </c>
      <c r="I295" t="str">
        <f t="shared" si="18"/>
        <v>Dec</v>
      </c>
      <c r="J295" t="str">
        <f t="shared" si="19"/>
        <v>Client Presentation-M. Khan</v>
      </c>
    </row>
    <row r="296" spans="1:10" x14ac:dyDescent="0.4">
      <c r="A296" s="2" t="s">
        <v>1581</v>
      </c>
      <c r="B296" s="2" t="s">
        <v>1282</v>
      </c>
      <c r="C296" s="3">
        <v>45315</v>
      </c>
      <c r="D296" s="3">
        <v>45320</v>
      </c>
      <c r="E296" s="2">
        <v>5</v>
      </c>
      <c r="F296" s="2" t="s">
        <v>55</v>
      </c>
      <c r="G296" t="str">
        <f t="shared" ca="1" si="16"/>
        <v>Not coming events</v>
      </c>
      <c r="H296">
        <f t="shared" si="17"/>
        <v>5</v>
      </c>
      <c r="I296" t="str">
        <f t="shared" si="18"/>
        <v>Jan</v>
      </c>
      <c r="J296" t="str">
        <f t="shared" si="19"/>
        <v>Annual Review-S. Gupta</v>
      </c>
    </row>
    <row r="297" spans="1:10" x14ac:dyDescent="0.4">
      <c r="A297" s="2" t="s">
        <v>1582</v>
      </c>
      <c r="B297" s="2" t="s">
        <v>1282</v>
      </c>
      <c r="C297" s="3">
        <v>45454</v>
      </c>
      <c r="D297" s="3">
        <v>45455</v>
      </c>
      <c r="E297" s="2">
        <v>1</v>
      </c>
      <c r="F297" s="2" t="s">
        <v>64</v>
      </c>
      <c r="G297" t="str">
        <f t="shared" ca="1" si="16"/>
        <v>Not coming events</v>
      </c>
      <c r="H297">
        <f t="shared" si="17"/>
        <v>1</v>
      </c>
      <c r="I297" t="str">
        <f t="shared" si="18"/>
        <v>Jun</v>
      </c>
      <c r="J297" t="str">
        <f t="shared" si="19"/>
        <v>Annual Review-M. Khan</v>
      </c>
    </row>
    <row r="298" spans="1:10" x14ac:dyDescent="0.4">
      <c r="A298" s="2" t="s">
        <v>1583</v>
      </c>
      <c r="B298" s="2" t="s">
        <v>1301</v>
      </c>
      <c r="C298" s="3">
        <v>45484</v>
      </c>
      <c r="D298" s="3">
        <v>45487</v>
      </c>
      <c r="E298" s="2">
        <v>3</v>
      </c>
      <c r="F298" s="2" t="s">
        <v>28</v>
      </c>
      <c r="G298" t="str">
        <f t="shared" ca="1" si="16"/>
        <v>Not coming events</v>
      </c>
      <c r="H298">
        <f t="shared" si="17"/>
        <v>3</v>
      </c>
      <c r="I298" t="str">
        <f t="shared" si="18"/>
        <v>Jul</v>
      </c>
      <c r="J298" t="str">
        <f t="shared" si="19"/>
        <v>Training Session-A. Sharma</v>
      </c>
    </row>
    <row r="299" spans="1:10" x14ac:dyDescent="0.4">
      <c r="A299" s="2" t="s">
        <v>1584</v>
      </c>
      <c r="B299" s="2" t="s">
        <v>1288</v>
      </c>
      <c r="C299" s="3">
        <v>45308</v>
      </c>
      <c r="D299" s="3">
        <v>45312</v>
      </c>
      <c r="E299" s="2">
        <v>4</v>
      </c>
      <c r="F299" s="2" t="s">
        <v>64</v>
      </c>
      <c r="G299" t="str">
        <f t="shared" ca="1" si="16"/>
        <v>Not coming events</v>
      </c>
      <c r="H299">
        <f t="shared" si="17"/>
        <v>4</v>
      </c>
      <c r="I299" t="str">
        <f t="shared" si="18"/>
        <v>Jan</v>
      </c>
      <c r="J299" t="str">
        <f t="shared" si="19"/>
        <v>Team Meeting-M. Khan</v>
      </c>
    </row>
    <row r="300" spans="1:10" x14ac:dyDescent="0.4">
      <c r="A300" s="2" t="s">
        <v>1585</v>
      </c>
      <c r="B300" s="2" t="s">
        <v>1282</v>
      </c>
      <c r="C300" s="3">
        <v>45598</v>
      </c>
      <c r="D300" s="3">
        <v>45603</v>
      </c>
      <c r="E300" s="2">
        <v>5</v>
      </c>
      <c r="F300" s="2" t="s">
        <v>55</v>
      </c>
      <c r="G300" t="str">
        <f t="shared" ca="1" si="16"/>
        <v>Not coming events</v>
      </c>
      <c r="H300">
        <f t="shared" si="17"/>
        <v>5</v>
      </c>
      <c r="I300" t="str">
        <f t="shared" si="18"/>
        <v>Nov</v>
      </c>
      <c r="J300" t="str">
        <f t="shared" si="19"/>
        <v>Annual Review-S. Gupta</v>
      </c>
    </row>
    <row r="301" spans="1:10" x14ac:dyDescent="0.4">
      <c r="A301" s="2" t="s">
        <v>1586</v>
      </c>
      <c r="B301" s="2" t="s">
        <v>1282</v>
      </c>
      <c r="C301" s="3">
        <v>45533</v>
      </c>
      <c r="D301" s="3">
        <v>45537</v>
      </c>
      <c r="E301" s="2">
        <v>4</v>
      </c>
      <c r="F301" s="2" t="s">
        <v>21</v>
      </c>
      <c r="G301" t="str">
        <f t="shared" ca="1" si="16"/>
        <v>Not coming events</v>
      </c>
      <c r="H301">
        <f t="shared" si="17"/>
        <v>4</v>
      </c>
      <c r="I301" t="str">
        <f t="shared" si="18"/>
        <v>Aug</v>
      </c>
      <c r="J301" t="str">
        <f t="shared" si="19"/>
        <v>Annual Review-R. Patel</v>
      </c>
    </row>
    <row r="302" spans="1:10" x14ac:dyDescent="0.4">
      <c r="A302" s="2" t="s">
        <v>1587</v>
      </c>
      <c r="B302" s="2" t="s">
        <v>1301</v>
      </c>
      <c r="C302" s="3">
        <v>45364</v>
      </c>
      <c r="D302" s="3">
        <v>45369</v>
      </c>
      <c r="E302" s="2">
        <v>5</v>
      </c>
      <c r="F302" s="2" t="s">
        <v>28</v>
      </c>
      <c r="G302" t="str">
        <f t="shared" ca="1" si="16"/>
        <v>Not coming events</v>
      </c>
      <c r="H302">
        <f t="shared" si="17"/>
        <v>5</v>
      </c>
      <c r="I302" t="str">
        <f t="shared" si="18"/>
        <v>Mar</v>
      </c>
      <c r="J302" t="str">
        <f t="shared" si="19"/>
        <v>Training Session-A. Sharma</v>
      </c>
    </row>
    <row r="303" spans="1:10" x14ac:dyDescent="0.4">
      <c r="A303" s="2" t="s">
        <v>1588</v>
      </c>
      <c r="B303" s="2" t="s">
        <v>1284</v>
      </c>
      <c r="C303" s="3">
        <v>45479</v>
      </c>
      <c r="D303" s="3">
        <v>45481</v>
      </c>
      <c r="E303" s="2">
        <v>2</v>
      </c>
      <c r="F303" s="2" t="s">
        <v>28</v>
      </c>
      <c r="G303" t="str">
        <f t="shared" ca="1" si="16"/>
        <v>Not coming events</v>
      </c>
      <c r="H303">
        <f t="shared" si="17"/>
        <v>2</v>
      </c>
      <c r="I303" t="str">
        <f t="shared" si="18"/>
        <v>Jul</v>
      </c>
      <c r="J303" t="str">
        <f t="shared" si="19"/>
        <v>Workshop-A. Sharma</v>
      </c>
    </row>
    <row r="304" spans="1:10" x14ac:dyDescent="0.4">
      <c r="A304" s="2" t="s">
        <v>1589</v>
      </c>
      <c r="B304" s="2" t="s">
        <v>1286</v>
      </c>
      <c r="C304" s="3">
        <v>45295</v>
      </c>
      <c r="D304" s="3">
        <v>45300</v>
      </c>
      <c r="E304" s="2">
        <v>5</v>
      </c>
      <c r="F304" s="2" t="s">
        <v>55</v>
      </c>
      <c r="G304" t="str">
        <f t="shared" ca="1" si="16"/>
        <v>Not coming events</v>
      </c>
      <c r="H304">
        <f t="shared" si="17"/>
        <v>5</v>
      </c>
      <c r="I304" t="str">
        <f t="shared" si="18"/>
        <v>Jan</v>
      </c>
      <c r="J304" t="str">
        <f t="shared" si="19"/>
        <v>Product Launch-S. Gupta</v>
      </c>
    </row>
    <row r="305" spans="1:10" x14ac:dyDescent="0.4">
      <c r="A305" s="2" t="s">
        <v>1590</v>
      </c>
      <c r="B305" s="2" t="s">
        <v>1301</v>
      </c>
      <c r="C305" s="3">
        <v>45559</v>
      </c>
      <c r="D305" s="3">
        <v>45560</v>
      </c>
      <c r="E305" s="2">
        <v>1</v>
      </c>
      <c r="F305" s="2" t="s">
        <v>14</v>
      </c>
      <c r="G305" t="str">
        <f t="shared" ca="1" si="16"/>
        <v>Not coming events</v>
      </c>
      <c r="H305">
        <f t="shared" si="17"/>
        <v>1</v>
      </c>
      <c r="I305" t="str">
        <f t="shared" si="18"/>
        <v>Sep</v>
      </c>
      <c r="J305" t="str">
        <f t="shared" si="19"/>
        <v>Training Session-V. Nair</v>
      </c>
    </row>
    <row r="306" spans="1:10" x14ac:dyDescent="0.4">
      <c r="A306" s="2" t="s">
        <v>1591</v>
      </c>
      <c r="B306" s="2" t="s">
        <v>1301</v>
      </c>
      <c r="C306" s="3">
        <v>45376</v>
      </c>
      <c r="D306" s="3">
        <v>45379</v>
      </c>
      <c r="E306" s="2">
        <v>3</v>
      </c>
      <c r="F306" s="2" t="s">
        <v>21</v>
      </c>
      <c r="G306" t="str">
        <f t="shared" ca="1" si="16"/>
        <v>Not coming events</v>
      </c>
      <c r="H306">
        <f t="shared" si="17"/>
        <v>3</v>
      </c>
      <c r="I306" t="str">
        <f t="shared" si="18"/>
        <v>Mar</v>
      </c>
      <c r="J306" t="str">
        <f t="shared" si="19"/>
        <v>Training Session-R. Patel</v>
      </c>
    </row>
    <row r="307" spans="1:10" x14ac:dyDescent="0.4">
      <c r="A307" s="2" t="s">
        <v>1592</v>
      </c>
      <c r="B307" s="2" t="s">
        <v>1288</v>
      </c>
      <c r="C307" s="3">
        <v>45428</v>
      </c>
      <c r="D307" s="3">
        <v>45432</v>
      </c>
      <c r="E307" s="2">
        <v>4</v>
      </c>
      <c r="F307" s="2" t="s">
        <v>64</v>
      </c>
      <c r="G307" t="str">
        <f t="shared" ca="1" si="16"/>
        <v>Not coming events</v>
      </c>
      <c r="H307">
        <f t="shared" si="17"/>
        <v>4</v>
      </c>
      <c r="I307" t="str">
        <f t="shared" si="18"/>
        <v>May</v>
      </c>
      <c r="J307" t="str">
        <f t="shared" si="19"/>
        <v>Team Meeting-M. Khan</v>
      </c>
    </row>
    <row r="308" spans="1:10" x14ac:dyDescent="0.4">
      <c r="A308" s="2" t="s">
        <v>1593</v>
      </c>
      <c r="B308" s="2" t="s">
        <v>1288</v>
      </c>
      <c r="C308" s="3">
        <v>45444</v>
      </c>
      <c r="D308" s="3">
        <v>45448</v>
      </c>
      <c r="E308" s="2">
        <v>4</v>
      </c>
      <c r="F308" s="2" t="s">
        <v>28</v>
      </c>
      <c r="G308" t="str">
        <f t="shared" ca="1" si="16"/>
        <v>Not coming events</v>
      </c>
      <c r="H308">
        <f t="shared" si="17"/>
        <v>4</v>
      </c>
      <c r="I308" t="str">
        <f t="shared" si="18"/>
        <v>Jun</v>
      </c>
      <c r="J308" t="str">
        <f t="shared" si="19"/>
        <v>Team Meeting-A. Sharma</v>
      </c>
    </row>
    <row r="309" spans="1:10" x14ac:dyDescent="0.4">
      <c r="A309" s="2" t="s">
        <v>1594</v>
      </c>
      <c r="B309" s="2" t="s">
        <v>1284</v>
      </c>
      <c r="C309" s="3">
        <v>45639</v>
      </c>
      <c r="D309" s="3">
        <v>45640</v>
      </c>
      <c r="E309" s="2">
        <v>1</v>
      </c>
      <c r="F309" s="2" t="s">
        <v>14</v>
      </c>
      <c r="G309" t="str">
        <f t="shared" ca="1" si="16"/>
        <v>Not coming events</v>
      </c>
      <c r="H309">
        <f t="shared" si="17"/>
        <v>1</v>
      </c>
      <c r="I309" t="str">
        <f t="shared" si="18"/>
        <v>Dec</v>
      </c>
      <c r="J309" t="str">
        <f t="shared" si="19"/>
        <v>Workshop-V. Nair</v>
      </c>
    </row>
    <row r="310" spans="1:10" x14ac:dyDescent="0.4">
      <c r="A310" s="2" t="s">
        <v>1595</v>
      </c>
      <c r="B310" s="2" t="s">
        <v>1286</v>
      </c>
      <c r="C310" s="3">
        <v>45443</v>
      </c>
      <c r="D310" s="3">
        <v>45446</v>
      </c>
      <c r="E310" s="2">
        <v>3</v>
      </c>
      <c r="F310" s="2" t="s">
        <v>55</v>
      </c>
      <c r="G310" t="str">
        <f t="shared" ca="1" si="16"/>
        <v>Not coming events</v>
      </c>
      <c r="H310">
        <f t="shared" si="17"/>
        <v>3</v>
      </c>
      <c r="I310" t="str">
        <f t="shared" si="18"/>
        <v>May</v>
      </c>
      <c r="J310" t="str">
        <f t="shared" si="19"/>
        <v>Product Launch-S. Gupta</v>
      </c>
    </row>
    <row r="311" spans="1:10" x14ac:dyDescent="0.4">
      <c r="A311" s="2" t="s">
        <v>1596</v>
      </c>
      <c r="B311" s="2" t="s">
        <v>1288</v>
      </c>
      <c r="C311" s="3">
        <v>45549</v>
      </c>
      <c r="D311" s="3">
        <v>45554</v>
      </c>
      <c r="E311" s="2">
        <v>5</v>
      </c>
      <c r="F311" s="2" t="s">
        <v>28</v>
      </c>
      <c r="G311" t="str">
        <f t="shared" ca="1" si="16"/>
        <v>Not coming events</v>
      </c>
      <c r="H311">
        <f t="shared" si="17"/>
        <v>5</v>
      </c>
      <c r="I311" t="str">
        <f t="shared" si="18"/>
        <v>Sep</v>
      </c>
      <c r="J311" t="str">
        <f t="shared" si="19"/>
        <v>Team Meeting-A. Sharma</v>
      </c>
    </row>
    <row r="312" spans="1:10" x14ac:dyDescent="0.4">
      <c r="A312" s="2" t="s">
        <v>1597</v>
      </c>
      <c r="B312" s="2" t="s">
        <v>1286</v>
      </c>
      <c r="C312" s="3">
        <v>45445</v>
      </c>
      <c r="D312" s="3">
        <v>45449</v>
      </c>
      <c r="E312" s="2">
        <v>4</v>
      </c>
      <c r="F312" s="2" t="s">
        <v>28</v>
      </c>
      <c r="G312" t="str">
        <f t="shared" ca="1" si="16"/>
        <v>Not coming events</v>
      </c>
      <c r="H312">
        <f t="shared" si="17"/>
        <v>4</v>
      </c>
      <c r="I312" t="str">
        <f t="shared" si="18"/>
        <v>Jun</v>
      </c>
      <c r="J312" t="str">
        <f t="shared" si="19"/>
        <v>Product Launch-A. Sharma</v>
      </c>
    </row>
    <row r="313" spans="1:10" x14ac:dyDescent="0.4">
      <c r="A313" s="2" t="s">
        <v>1598</v>
      </c>
      <c r="B313" s="2" t="s">
        <v>1301</v>
      </c>
      <c r="C313" s="3">
        <v>45626</v>
      </c>
      <c r="D313" s="3">
        <v>45630</v>
      </c>
      <c r="E313" s="2">
        <v>4</v>
      </c>
      <c r="F313" s="2" t="s">
        <v>21</v>
      </c>
      <c r="G313" t="str">
        <f t="shared" ca="1" si="16"/>
        <v>Not coming events</v>
      </c>
      <c r="H313">
        <f t="shared" si="17"/>
        <v>4</v>
      </c>
      <c r="I313" t="str">
        <f t="shared" si="18"/>
        <v>Nov</v>
      </c>
      <c r="J313" t="str">
        <f t="shared" si="19"/>
        <v>Training Session-R. Patel</v>
      </c>
    </row>
    <row r="314" spans="1:10" x14ac:dyDescent="0.4">
      <c r="A314" s="2" t="s">
        <v>1599</v>
      </c>
      <c r="B314" s="2" t="s">
        <v>1301</v>
      </c>
      <c r="C314" s="3">
        <v>45464</v>
      </c>
      <c r="D314" s="3">
        <v>45466</v>
      </c>
      <c r="E314" s="2">
        <v>2</v>
      </c>
      <c r="F314" s="2" t="s">
        <v>28</v>
      </c>
      <c r="G314" t="str">
        <f t="shared" ca="1" si="16"/>
        <v>Not coming events</v>
      </c>
      <c r="H314">
        <f t="shared" si="17"/>
        <v>2</v>
      </c>
      <c r="I314" t="str">
        <f t="shared" si="18"/>
        <v>Jun</v>
      </c>
      <c r="J314" t="str">
        <f t="shared" si="19"/>
        <v>Training Session-A. Sharma</v>
      </c>
    </row>
    <row r="315" spans="1:10" x14ac:dyDescent="0.4">
      <c r="A315" s="2" t="s">
        <v>1600</v>
      </c>
      <c r="B315" s="2" t="s">
        <v>1286</v>
      </c>
      <c r="C315" s="3">
        <v>45325</v>
      </c>
      <c r="D315" s="3">
        <v>45327</v>
      </c>
      <c r="E315" s="2">
        <v>2</v>
      </c>
      <c r="F315" s="2" t="s">
        <v>28</v>
      </c>
      <c r="G315" t="str">
        <f t="shared" ca="1" si="16"/>
        <v>Not coming events</v>
      </c>
      <c r="H315">
        <f t="shared" si="17"/>
        <v>2</v>
      </c>
      <c r="I315" t="str">
        <f t="shared" si="18"/>
        <v>Feb</v>
      </c>
      <c r="J315" t="str">
        <f t="shared" si="19"/>
        <v>Product Launch-A. Sharma</v>
      </c>
    </row>
    <row r="316" spans="1:10" x14ac:dyDescent="0.4">
      <c r="A316" s="2" t="s">
        <v>1601</v>
      </c>
      <c r="B316" s="2" t="s">
        <v>1296</v>
      </c>
      <c r="C316" s="3">
        <v>45455</v>
      </c>
      <c r="D316" s="3">
        <v>45460</v>
      </c>
      <c r="E316" s="2">
        <v>5</v>
      </c>
      <c r="F316" s="2" t="s">
        <v>55</v>
      </c>
      <c r="G316" t="str">
        <f t="shared" ca="1" si="16"/>
        <v>Not coming events</v>
      </c>
      <c r="H316">
        <f t="shared" si="17"/>
        <v>5</v>
      </c>
      <c r="I316" t="str">
        <f t="shared" si="18"/>
        <v>Jun</v>
      </c>
      <c r="J316" t="str">
        <f t="shared" si="19"/>
        <v>Client Presentation-S. Gupta</v>
      </c>
    </row>
    <row r="317" spans="1:10" x14ac:dyDescent="0.4">
      <c r="A317" s="2" t="s">
        <v>1602</v>
      </c>
      <c r="B317" s="2" t="s">
        <v>1288</v>
      </c>
      <c r="C317" s="3">
        <v>45307</v>
      </c>
      <c r="D317" s="3">
        <v>45312</v>
      </c>
      <c r="E317" s="2">
        <v>5</v>
      </c>
      <c r="F317" s="2" t="s">
        <v>21</v>
      </c>
      <c r="G317" t="str">
        <f t="shared" ca="1" si="16"/>
        <v>Not coming events</v>
      </c>
      <c r="H317">
        <f t="shared" si="17"/>
        <v>5</v>
      </c>
      <c r="I317" t="str">
        <f t="shared" si="18"/>
        <v>Jan</v>
      </c>
      <c r="J317" t="str">
        <f t="shared" si="19"/>
        <v>Team Meeting-R. Patel</v>
      </c>
    </row>
    <row r="318" spans="1:10" x14ac:dyDescent="0.4">
      <c r="A318" s="2" t="s">
        <v>1603</v>
      </c>
      <c r="B318" s="2" t="s">
        <v>1288</v>
      </c>
      <c r="C318" s="3">
        <v>45378</v>
      </c>
      <c r="D318" s="3">
        <v>45379</v>
      </c>
      <c r="E318" s="2">
        <v>1</v>
      </c>
      <c r="F318" s="2" t="s">
        <v>14</v>
      </c>
      <c r="G318" t="str">
        <f t="shared" ca="1" si="16"/>
        <v>Not coming events</v>
      </c>
      <c r="H318">
        <f t="shared" si="17"/>
        <v>1</v>
      </c>
      <c r="I318" t="str">
        <f t="shared" si="18"/>
        <v>Mar</v>
      </c>
      <c r="J318" t="str">
        <f t="shared" si="19"/>
        <v>Team Meeting-V. Nair</v>
      </c>
    </row>
    <row r="319" spans="1:10" x14ac:dyDescent="0.4">
      <c r="A319" s="2" t="s">
        <v>1604</v>
      </c>
      <c r="B319" s="2" t="s">
        <v>1284</v>
      </c>
      <c r="C319" s="3">
        <v>45299</v>
      </c>
      <c r="D319" s="3">
        <v>45301</v>
      </c>
      <c r="E319" s="2">
        <v>2</v>
      </c>
      <c r="F319" s="2" t="s">
        <v>55</v>
      </c>
      <c r="G319" t="str">
        <f t="shared" ca="1" si="16"/>
        <v>Not coming events</v>
      </c>
      <c r="H319">
        <f t="shared" si="17"/>
        <v>2</v>
      </c>
      <c r="I319" t="str">
        <f t="shared" si="18"/>
        <v>Jan</v>
      </c>
      <c r="J319" t="str">
        <f t="shared" si="19"/>
        <v>Workshop-S. Gupta</v>
      </c>
    </row>
    <row r="320" spans="1:10" x14ac:dyDescent="0.4">
      <c r="A320" s="2" t="s">
        <v>1605</v>
      </c>
      <c r="B320" s="2" t="s">
        <v>1301</v>
      </c>
      <c r="C320" s="3">
        <v>45309</v>
      </c>
      <c r="D320" s="3">
        <v>45311</v>
      </c>
      <c r="E320" s="2">
        <v>2</v>
      </c>
      <c r="F320" s="2" t="s">
        <v>64</v>
      </c>
      <c r="G320" t="str">
        <f t="shared" ca="1" si="16"/>
        <v>Not coming events</v>
      </c>
      <c r="H320">
        <f t="shared" si="17"/>
        <v>2</v>
      </c>
      <c r="I320" t="str">
        <f t="shared" si="18"/>
        <v>Jan</v>
      </c>
      <c r="J320" t="str">
        <f t="shared" si="19"/>
        <v>Training Session-M. Khan</v>
      </c>
    </row>
    <row r="321" spans="1:10" x14ac:dyDescent="0.4">
      <c r="A321" s="2" t="s">
        <v>1606</v>
      </c>
      <c r="B321" s="2" t="s">
        <v>1284</v>
      </c>
      <c r="C321" s="3">
        <v>45337</v>
      </c>
      <c r="D321" s="3">
        <v>45340</v>
      </c>
      <c r="E321" s="2">
        <v>3</v>
      </c>
      <c r="F321" s="2" t="s">
        <v>28</v>
      </c>
      <c r="G321" t="str">
        <f t="shared" ca="1" si="16"/>
        <v>Not coming events</v>
      </c>
      <c r="H321">
        <f t="shared" si="17"/>
        <v>3</v>
      </c>
      <c r="I321" t="str">
        <f t="shared" si="18"/>
        <v>Feb</v>
      </c>
      <c r="J321" t="str">
        <f t="shared" si="19"/>
        <v>Workshop-A. Sharma</v>
      </c>
    </row>
    <row r="322" spans="1:10" x14ac:dyDescent="0.4">
      <c r="A322" s="2" t="s">
        <v>1607</v>
      </c>
      <c r="B322" s="2" t="s">
        <v>1282</v>
      </c>
      <c r="C322" s="3">
        <v>45644</v>
      </c>
      <c r="D322" s="3">
        <v>45647</v>
      </c>
      <c r="E322" s="2">
        <v>3</v>
      </c>
      <c r="F322" s="2" t="s">
        <v>28</v>
      </c>
      <c r="G322" t="str">
        <f t="shared" ca="1" si="16"/>
        <v>Not coming events</v>
      </c>
      <c r="H322">
        <f t="shared" si="17"/>
        <v>3</v>
      </c>
      <c r="I322" t="str">
        <f t="shared" si="18"/>
        <v>Dec</v>
      </c>
      <c r="J322" t="str">
        <f t="shared" si="19"/>
        <v>Annual Review-A. Sharma</v>
      </c>
    </row>
    <row r="323" spans="1:10" x14ac:dyDescent="0.4">
      <c r="A323" s="2" t="s">
        <v>1608</v>
      </c>
      <c r="B323" s="2" t="s">
        <v>1296</v>
      </c>
      <c r="C323" s="3">
        <v>45344</v>
      </c>
      <c r="D323" s="3">
        <v>45348</v>
      </c>
      <c r="E323" s="2">
        <v>4</v>
      </c>
      <c r="F323" s="2" t="s">
        <v>55</v>
      </c>
      <c r="G323" t="str">
        <f t="shared" ref="G323:G386" ca="1" si="20">IF(AND(C323&lt;=TODAY()+30,D323&gt;=TODAY()),"Upcoming","Not coming events")</f>
        <v>Not coming events</v>
      </c>
      <c r="H323">
        <f t="shared" ref="H323:H386" si="21">DATEDIF(C323,D323,"d")</f>
        <v>4</v>
      </c>
      <c r="I323" t="str">
        <f t="shared" ref="I323:I386" si="22">TEXT(C323,"mmm")</f>
        <v>Feb</v>
      </c>
      <c r="J323" t="str">
        <f t="shared" ref="J323:J386" si="23">_xlfn.CONCAT(B323,"-",F323)</f>
        <v>Client Presentation-S. Gupta</v>
      </c>
    </row>
    <row r="324" spans="1:10" x14ac:dyDescent="0.4">
      <c r="A324" s="2" t="s">
        <v>1609</v>
      </c>
      <c r="B324" s="2" t="s">
        <v>1282</v>
      </c>
      <c r="C324" s="3">
        <v>45493</v>
      </c>
      <c r="D324" s="3">
        <v>45495</v>
      </c>
      <c r="E324" s="2">
        <v>2</v>
      </c>
      <c r="F324" s="2" t="s">
        <v>21</v>
      </c>
      <c r="G324" t="str">
        <f t="shared" ca="1" si="20"/>
        <v>Not coming events</v>
      </c>
      <c r="H324">
        <f t="shared" si="21"/>
        <v>2</v>
      </c>
      <c r="I324" t="str">
        <f t="shared" si="22"/>
        <v>Jul</v>
      </c>
      <c r="J324" t="str">
        <f t="shared" si="23"/>
        <v>Annual Review-R. Patel</v>
      </c>
    </row>
    <row r="325" spans="1:10" x14ac:dyDescent="0.4">
      <c r="A325" s="2" t="s">
        <v>1610</v>
      </c>
      <c r="B325" s="2" t="s">
        <v>1286</v>
      </c>
      <c r="C325" s="3">
        <v>45535</v>
      </c>
      <c r="D325" s="3">
        <v>45540</v>
      </c>
      <c r="E325" s="2">
        <v>5</v>
      </c>
      <c r="F325" s="2" t="s">
        <v>14</v>
      </c>
      <c r="G325" t="str">
        <f t="shared" ca="1" si="20"/>
        <v>Not coming events</v>
      </c>
      <c r="H325">
        <f t="shared" si="21"/>
        <v>5</v>
      </c>
      <c r="I325" t="str">
        <f t="shared" si="22"/>
        <v>Aug</v>
      </c>
      <c r="J325" t="str">
        <f t="shared" si="23"/>
        <v>Product Launch-V. Nair</v>
      </c>
    </row>
    <row r="326" spans="1:10" x14ac:dyDescent="0.4">
      <c r="A326" s="2" t="s">
        <v>1611</v>
      </c>
      <c r="B326" s="2" t="s">
        <v>1282</v>
      </c>
      <c r="C326" s="3">
        <v>45528</v>
      </c>
      <c r="D326" s="3">
        <v>45532</v>
      </c>
      <c r="E326" s="2">
        <v>4</v>
      </c>
      <c r="F326" s="2" t="s">
        <v>64</v>
      </c>
      <c r="G326" t="str">
        <f t="shared" ca="1" si="20"/>
        <v>Not coming events</v>
      </c>
      <c r="H326">
        <f t="shared" si="21"/>
        <v>4</v>
      </c>
      <c r="I326" t="str">
        <f t="shared" si="22"/>
        <v>Aug</v>
      </c>
      <c r="J326" t="str">
        <f t="shared" si="23"/>
        <v>Annual Review-M. Khan</v>
      </c>
    </row>
    <row r="327" spans="1:10" x14ac:dyDescent="0.4">
      <c r="A327" s="2" t="s">
        <v>1612</v>
      </c>
      <c r="B327" s="2" t="s">
        <v>1296</v>
      </c>
      <c r="C327" s="3">
        <v>45386</v>
      </c>
      <c r="D327" s="3">
        <v>45387</v>
      </c>
      <c r="E327" s="2">
        <v>1</v>
      </c>
      <c r="F327" s="2" t="s">
        <v>28</v>
      </c>
      <c r="G327" t="str">
        <f t="shared" ca="1" si="20"/>
        <v>Not coming events</v>
      </c>
      <c r="H327">
        <f t="shared" si="21"/>
        <v>1</v>
      </c>
      <c r="I327" t="str">
        <f t="shared" si="22"/>
        <v>Apr</v>
      </c>
      <c r="J327" t="str">
        <f t="shared" si="23"/>
        <v>Client Presentation-A. Sharma</v>
      </c>
    </row>
    <row r="328" spans="1:10" x14ac:dyDescent="0.4">
      <c r="A328" s="2" t="s">
        <v>1613</v>
      </c>
      <c r="B328" s="2" t="s">
        <v>1301</v>
      </c>
      <c r="C328" s="3">
        <v>45603</v>
      </c>
      <c r="D328" s="3">
        <v>45607</v>
      </c>
      <c r="E328" s="2">
        <v>4</v>
      </c>
      <c r="F328" s="2" t="s">
        <v>55</v>
      </c>
      <c r="G328" t="str">
        <f t="shared" ca="1" si="20"/>
        <v>Not coming events</v>
      </c>
      <c r="H328">
        <f t="shared" si="21"/>
        <v>4</v>
      </c>
      <c r="I328" t="str">
        <f t="shared" si="22"/>
        <v>Nov</v>
      </c>
      <c r="J328" t="str">
        <f t="shared" si="23"/>
        <v>Training Session-S. Gupta</v>
      </c>
    </row>
    <row r="329" spans="1:10" x14ac:dyDescent="0.4">
      <c r="A329" s="2" t="s">
        <v>1614</v>
      </c>
      <c r="B329" s="2" t="s">
        <v>1301</v>
      </c>
      <c r="C329" s="3">
        <v>45628</v>
      </c>
      <c r="D329" s="3">
        <v>45630</v>
      </c>
      <c r="E329" s="2">
        <v>2</v>
      </c>
      <c r="F329" s="2" t="s">
        <v>28</v>
      </c>
      <c r="G329" t="str">
        <f t="shared" ca="1" si="20"/>
        <v>Not coming events</v>
      </c>
      <c r="H329">
        <f t="shared" si="21"/>
        <v>2</v>
      </c>
      <c r="I329" t="str">
        <f t="shared" si="22"/>
        <v>Dec</v>
      </c>
      <c r="J329" t="str">
        <f t="shared" si="23"/>
        <v>Training Session-A. Sharma</v>
      </c>
    </row>
    <row r="330" spans="1:10" x14ac:dyDescent="0.4">
      <c r="A330" s="2" t="s">
        <v>1615</v>
      </c>
      <c r="B330" s="2" t="s">
        <v>1296</v>
      </c>
      <c r="C330" s="3">
        <v>45412</v>
      </c>
      <c r="D330" s="3">
        <v>45415</v>
      </c>
      <c r="E330" s="2">
        <v>3</v>
      </c>
      <c r="F330" s="2" t="s">
        <v>55</v>
      </c>
      <c r="G330" t="str">
        <f t="shared" ca="1" si="20"/>
        <v>Not coming events</v>
      </c>
      <c r="H330">
        <f t="shared" si="21"/>
        <v>3</v>
      </c>
      <c r="I330" t="str">
        <f t="shared" si="22"/>
        <v>Apr</v>
      </c>
      <c r="J330" t="str">
        <f t="shared" si="23"/>
        <v>Client Presentation-S. Gupta</v>
      </c>
    </row>
    <row r="331" spans="1:10" x14ac:dyDescent="0.4">
      <c r="A331" s="2" t="s">
        <v>1616</v>
      </c>
      <c r="B331" s="2" t="s">
        <v>1301</v>
      </c>
      <c r="C331" s="3">
        <v>45566</v>
      </c>
      <c r="D331" s="3">
        <v>45567</v>
      </c>
      <c r="E331" s="2">
        <v>1</v>
      </c>
      <c r="F331" s="2" t="s">
        <v>64</v>
      </c>
      <c r="G331" t="str">
        <f t="shared" ca="1" si="20"/>
        <v>Not coming events</v>
      </c>
      <c r="H331">
        <f t="shared" si="21"/>
        <v>1</v>
      </c>
      <c r="I331" t="str">
        <f t="shared" si="22"/>
        <v>Oct</v>
      </c>
      <c r="J331" t="str">
        <f t="shared" si="23"/>
        <v>Training Session-M. Khan</v>
      </c>
    </row>
    <row r="332" spans="1:10" x14ac:dyDescent="0.4">
      <c r="A332" s="2" t="s">
        <v>1617</v>
      </c>
      <c r="B332" s="2" t="s">
        <v>1296</v>
      </c>
      <c r="C332" s="3">
        <v>45437</v>
      </c>
      <c r="D332" s="3">
        <v>45439</v>
      </c>
      <c r="E332" s="2">
        <v>2</v>
      </c>
      <c r="F332" s="2" t="s">
        <v>28</v>
      </c>
      <c r="G332" t="str">
        <f t="shared" ca="1" si="20"/>
        <v>Not coming events</v>
      </c>
      <c r="H332">
        <f t="shared" si="21"/>
        <v>2</v>
      </c>
      <c r="I332" t="str">
        <f t="shared" si="22"/>
        <v>May</v>
      </c>
      <c r="J332" t="str">
        <f t="shared" si="23"/>
        <v>Client Presentation-A. Sharma</v>
      </c>
    </row>
    <row r="333" spans="1:10" x14ac:dyDescent="0.4">
      <c r="A333" s="2" t="s">
        <v>1618</v>
      </c>
      <c r="B333" s="2" t="s">
        <v>1284</v>
      </c>
      <c r="C333" s="3">
        <v>45379</v>
      </c>
      <c r="D333" s="3">
        <v>45380</v>
      </c>
      <c r="E333" s="2">
        <v>1</v>
      </c>
      <c r="F333" s="2" t="s">
        <v>64</v>
      </c>
      <c r="G333" t="str">
        <f t="shared" ca="1" si="20"/>
        <v>Not coming events</v>
      </c>
      <c r="H333">
        <f t="shared" si="21"/>
        <v>1</v>
      </c>
      <c r="I333" t="str">
        <f t="shared" si="22"/>
        <v>Mar</v>
      </c>
      <c r="J333" t="str">
        <f t="shared" si="23"/>
        <v>Workshop-M. Khan</v>
      </c>
    </row>
    <row r="334" spans="1:10" x14ac:dyDescent="0.4">
      <c r="A334" s="2" t="s">
        <v>1619</v>
      </c>
      <c r="B334" s="2" t="s">
        <v>1284</v>
      </c>
      <c r="C334" s="3">
        <v>45572</v>
      </c>
      <c r="D334" s="3">
        <v>45574</v>
      </c>
      <c r="E334" s="2">
        <v>2</v>
      </c>
      <c r="F334" s="2" t="s">
        <v>28</v>
      </c>
      <c r="G334" t="str">
        <f t="shared" ca="1" si="20"/>
        <v>Not coming events</v>
      </c>
      <c r="H334">
        <f t="shared" si="21"/>
        <v>2</v>
      </c>
      <c r="I334" t="str">
        <f t="shared" si="22"/>
        <v>Oct</v>
      </c>
      <c r="J334" t="str">
        <f t="shared" si="23"/>
        <v>Workshop-A. Sharma</v>
      </c>
    </row>
    <row r="335" spans="1:10" x14ac:dyDescent="0.4">
      <c r="A335" s="2" t="s">
        <v>1620</v>
      </c>
      <c r="B335" s="2" t="s">
        <v>1284</v>
      </c>
      <c r="C335" s="3">
        <v>45331</v>
      </c>
      <c r="D335" s="3">
        <v>45336</v>
      </c>
      <c r="E335" s="2">
        <v>5</v>
      </c>
      <c r="F335" s="2" t="s">
        <v>14</v>
      </c>
      <c r="G335" t="str">
        <f t="shared" ca="1" si="20"/>
        <v>Not coming events</v>
      </c>
      <c r="H335">
        <f t="shared" si="21"/>
        <v>5</v>
      </c>
      <c r="I335" t="str">
        <f t="shared" si="22"/>
        <v>Feb</v>
      </c>
      <c r="J335" t="str">
        <f t="shared" si="23"/>
        <v>Workshop-V. Nair</v>
      </c>
    </row>
    <row r="336" spans="1:10" x14ac:dyDescent="0.4">
      <c r="A336" s="2" t="s">
        <v>1621</v>
      </c>
      <c r="B336" s="2" t="s">
        <v>1296</v>
      </c>
      <c r="C336" s="3">
        <v>45475</v>
      </c>
      <c r="D336" s="3">
        <v>45478</v>
      </c>
      <c r="E336" s="2">
        <v>3</v>
      </c>
      <c r="F336" s="2" t="s">
        <v>21</v>
      </c>
      <c r="G336" t="str">
        <f t="shared" ca="1" si="20"/>
        <v>Not coming events</v>
      </c>
      <c r="H336">
        <f t="shared" si="21"/>
        <v>3</v>
      </c>
      <c r="I336" t="str">
        <f t="shared" si="22"/>
        <v>Jul</v>
      </c>
      <c r="J336" t="str">
        <f t="shared" si="23"/>
        <v>Client Presentation-R. Patel</v>
      </c>
    </row>
    <row r="337" spans="1:10" x14ac:dyDescent="0.4">
      <c r="A337" s="2" t="s">
        <v>1622</v>
      </c>
      <c r="B337" s="2" t="s">
        <v>1282</v>
      </c>
      <c r="C337" s="3">
        <v>45335</v>
      </c>
      <c r="D337" s="3">
        <v>45338</v>
      </c>
      <c r="E337" s="2">
        <v>3</v>
      </c>
      <c r="F337" s="2" t="s">
        <v>28</v>
      </c>
      <c r="G337" t="str">
        <f t="shared" ca="1" si="20"/>
        <v>Not coming events</v>
      </c>
      <c r="H337">
        <f t="shared" si="21"/>
        <v>3</v>
      </c>
      <c r="I337" t="str">
        <f t="shared" si="22"/>
        <v>Feb</v>
      </c>
      <c r="J337" t="str">
        <f t="shared" si="23"/>
        <v>Annual Review-A. Sharma</v>
      </c>
    </row>
    <row r="338" spans="1:10" x14ac:dyDescent="0.4">
      <c r="A338" s="2" t="s">
        <v>1623</v>
      </c>
      <c r="B338" s="2" t="s">
        <v>1286</v>
      </c>
      <c r="C338" s="3">
        <v>45342</v>
      </c>
      <c r="D338" s="3">
        <v>45343</v>
      </c>
      <c r="E338" s="2">
        <v>1</v>
      </c>
      <c r="F338" s="2" t="s">
        <v>55</v>
      </c>
      <c r="G338" t="str">
        <f t="shared" ca="1" si="20"/>
        <v>Not coming events</v>
      </c>
      <c r="H338">
        <f t="shared" si="21"/>
        <v>1</v>
      </c>
      <c r="I338" t="str">
        <f t="shared" si="22"/>
        <v>Feb</v>
      </c>
      <c r="J338" t="str">
        <f t="shared" si="23"/>
        <v>Product Launch-S. Gupta</v>
      </c>
    </row>
    <row r="339" spans="1:10" x14ac:dyDescent="0.4">
      <c r="A339" s="2" t="s">
        <v>1624</v>
      </c>
      <c r="B339" s="2" t="s">
        <v>1301</v>
      </c>
      <c r="C339" s="3">
        <v>45501</v>
      </c>
      <c r="D339" s="3">
        <v>45505</v>
      </c>
      <c r="E339" s="2">
        <v>4</v>
      </c>
      <c r="F339" s="2" t="s">
        <v>21</v>
      </c>
      <c r="G339" t="str">
        <f t="shared" ca="1" si="20"/>
        <v>Not coming events</v>
      </c>
      <c r="H339">
        <f t="shared" si="21"/>
        <v>4</v>
      </c>
      <c r="I339" t="str">
        <f t="shared" si="22"/>
        <v>Jul</v>
      </c>
      <c r="J339" t="str">
        <f t="shared" si="23"/>
        <v>Training Session-R. Patel</v>
      </c>
    </row>
    <row r="340" spans="1:10" x14ac:dyDescent="0.4">
      <c r="A340" s="2" t="s">
        <v>1625</v>
      </c>
      <c r="B340" s="2" t="s">
        <v>1286</v>
      </c>
      <c r="C340" s="3">
        <v>45390</v>
      </c>
      <c r="D340" s="3">
        <v>45393</v>
      </c>
      <c r="E340" s="2">
        <v>3</v>
      </c>
      <c r="F340" s="2" t="s">
        <v>55</v>
      </c>
      <c r="G340" t="str">
        <f t="shared" ca="1" si="20"/>
        <v>Not coming events</v>
      </c>
      <c r="H340">
        <f t="shared" si="21"/>
        <v>3</v>
      </c>
      <c r="I340" t="str">
        <f t="shared" si="22"/>
        <v>Apr</v>
      </c>
      <c r="J340" t="str">
        <f t="shared" si="23"/>
        <v>Product Launch-S. Gupta</v>
      </c>
    </row>
    <row r="341" spans="1:10" x14ac:dyDescent="0.4">
      <c r="A341" s="2" t="s">
        <v>1626</v>
      </c>
      <c r="B341" s="2" t="s">
        <v>1286</v>
      </c>
      <c r="C341" s="3">
        <v>45309</v>
      </c>
      <c r="D341" s="3">
        <v>45314</v>
      </c>
      <c r="E341" s="2">
        <v>5</v>
      </c>
      <c r="F341" s="2" t="s">
        <v>28</v>
      </c>
      <c r="G341" t="str">
        <f t="shared" ca="1" si="20"/>
        <v>Not coming events</v>
      </c>
      <c r="H341">
        <f t="shared" si="21"/>
        <v>5</v>
      </c>
      <c r="I341" t="str">
        <f t="shared" si="22"/>
        <v>Jan</v>
      </c>
      <c r="J341" t="str">
        <f t="shared" si="23"/>
        <v>Product Launch-A. Sharma</v>
      </c>
    </row>
    <row r="342" spans="1:10" x14ac:dyDescent="0.4">
      <c r="A342" s="2" t="s">
        <v>1627</v>
      </c>
      <c r="B342" s="2" t="s">
        <v>1286</v>
      </c>
      <c r="C342" s="3">
        <v>45638</v>
      </c>
      <c r="D342" s="3">
        <v>45643</v>
      </c>
      <c r="E342" s="2">
        <v>5</v>
      </c>
      <c r="F342" s="2" t="s">
        <v>55</v>
      </c>
      <c r="G342" t="str">
        <f t="shared" ca="1" si="20"/>
        <v>Not coming events</v>
      </c>
      <c r="H342">
        <f t="shared" si="21"/>
        <v>5</v>
      </c>
      <c r="I342" t="str">
        <f t="shared" si="22"/>
        <v>Dec</v>
      </c>
      <c r="J342" t="str">
        <f t="shared" si="23"/>
        <v>Product Launch-S. Gupta</v>
      </c>
    </row>
    <row r="343" spans="1:10" x14ac:dyDescent="0.4">
      <c r="A343" s="2" t="s">
        <v>1628</v>
      </c>
      <c r="B343" s="2" t="s">
        <v>1288</v>
      </c>
      <c r="C343" s="3">
        <v>45515</v>
      </c>
      <c r="D343" s="3">
        <v>45516</v>
      </c>
      <c r="E343" s="2">
        <v>1</v>
      </c>
      <c r="F343" s="2" t="s">
        <v>55</v>
      </c>
      <c r="G343" t="str">
        <f t="shared" ca="1" si="20"/>
        <v>Not coming events</v>
      </c>
      <c r="H343">
        <f t="shared" si="21"/>
        <v>1</v>
      </c>
      <c r="I343" t="str">
        <f t="shared" si="22"/>
        <v>Aug</v>
      </c>
      <c r="J343" t="str">
        <f t="shared" si="23"/>
        <v>Team Meeting-S. Gupta</v>
      </c>
    </row>
    <row r="344" spans="1:10" x14ac:dyDescent="0.4">
      <c r="A344" s="2" t="s">
        <v>1629</v>
      </c>
      <c r="B344" s="2" t="s">
        <v>1282</v>
      </c>
      <c r="C344" s="3">
        <v>45307</v>
      </c>
      <c r="D344" s="3">
        <v>45312</v>
      </c>
      <c r="E344" s="2">
        <v>5</v>
      </c>
      <c r="F344" s="2" t="s">
        <v>28</v>
      </c>
      <c r="G344" t="str">
        <f t="shared" ca="1" si="20"/>
        <v>Not coming events</v>
      </c>
      <c r="H344">
        <f t="shared" si="21"/>
        <v>5</v>
      </c>
      <c r="I344" t="str">
        <f t="shared" si="22"/>
        <v>Jan</v>
      </c>
      <c r="J344" t="str">
        <f t="shared" si="23"/>
        <v>Annual Review-A. Sharma</v>
      </c>
    </row>
    <row r="345" spans="1:10" x14ac:dyDescent="0.4">
      <c r="A345" s="2" t="s">
        <v>1630</v>
      </c>
      <c r="B345" s="2" t="s">
        <v>1284</v>
      </c>
      <c r="C345" s="3">
        <v>45537</v>
      </c>
      <c r="D345" s="3">
        <v>45540</v>
      </c>
      <c r="E345" s="2">
        <v>3</v>
      </c>
      <c r="F345" s="2" t="s">
        <v>64</v>
      </c>
      <c r="G345" t="str">
        <f t="shared" ca="1" si="20"/>
        <v>Not coming events</v>
      </c>
      <c r="H345">
        <f t="shared" si="21"/>
        <v>3</v>
      </c>
      <c r="I345" t="str">
        <f t="shared" si="22"/>
        <v>Sep</v>
      </c>
      <c r="J345" t="str">
        <f t="shared" si="23"/>
        <v>Workshop-M. Khan</v>
      </c>
    </row>
    <row r="346" spans="1:10" x14ac:dyDescent="0.4">
      <c r="A346" s="2" t="s">
        <v>1631</v>
      </c>
      <c r="B346" s="2" t="s">
        <v>1282</v>
      </c>
      <c r="C346" s="3">
        <v>45314</v>
      </c>
      <c r="D346" s="3">
        <v>45316</v>
      </c>
      <c r="E346" s="2">
        <v>2</v>
      </c>
      <c r="F346" s="2" t="s">
        <v>28</v>
      </c>
      <c r="G346" t="str">
        <f t="shared" ca="1" si="20"/>
        <v>Not coming events</v>
      </c>
      <c r="H346">
        <f t="shared" si="21"/>
        <v>2</v>
      </c>
      <c r="I346" t="str">
        <f t="shared" si="22"/>
        <v>Jan</v>
      </c>
      <c r="J346" t="str">
        <f t="shared" si="23"/>
        <v>Annual Review-A. Sharma</v>
      </c>
    </row>
    <row r="347" spans="1:10" x14ac:dyDescent="0.4">
      <c r="A347" s="2" t="s">
        <v>1632</v>
      </c>
      <c r="B347" s="2" t="s">
        <v>1296</v>
      </c>
      <c r="C347" s="3">
        <v>45381</v>
      </c>
      <c r="D347" s="3">
        <v>45385</v>
      </c>
      <c r="E347" s="2">
        <v>4</v>
      </c>
      <c r="F347" s="2" t="s">
        <v>28</v>
      </c>
      <c r="G347" t="str">
        <f t="shared" ca="1" si="20"/>
        <v>Not coming events</v>
      </c>
      <c r="H347">
        <f t="shared" si="21"/>
        <v>4</v>
      </c>
      <c r="I347" t="str">
        <f t="shared" si="22"/>
        <v>Mar</v>
      </c>
      <c r="J347" t="str">
        <f t="shared" si="23"/>
        <v>Client Presentation-A. Sharma</v>
      </c>
    </row>
    <row r="348" spans="1:10" x14ac:dyDescent="0.4">
      <c r="A348" s="2" t="s">
        <v>1633</v>
      </c>
      <c r="B348" s="2" t="s">
        <v>1284</v>
      </c>
      <c r="C348" s="3">
        <v>45598</v>
      </c>
      <c r="D348" s="3">
        <v>45599</v>
      </c>
      <c r="E348" s="2">
        <v>1</v>
      </c>
      <c r="F348" s="2" t="s">
        <v>14</v>
      </c>
      <c r="G348" t="str">
        <f t="shared" ca="1" si="20"/>
        <v>Not coming events</v>
      </c>
      <c r="H348">
        <f t="shared" si="21"/>
        <v>1</v>
      </c>
      <c r="I348" t="str">
        <f t="shared" si="22"/>
        <v>Nov</v>
      </c>
      <c r="J348" t="str">
        <f t="shared" si="23"/>
        <v>Workshop-V. Nair</v>
      </c>
    </row>
    <row r="349" spans="1:10" x14ac:dyDescent="0.4">
      <c r="A349" s="2" t="s">
        <v>1634</v>
      </c>
      <c r="B349" s="2" t="s">
        <v>1288</v>
      </c>
      <c r="C349" s="3">
        <v>45609</v>
      </c>
      <c r="D349" s="3">
        <v>45612</v>
      </c>
      <c r="E349" s="2">
        <v>3</v>
      </c>
      <c r="F349" s="2" t="s">
        <v>28</v>
      </c>
      <c r="G349" t="str">
        <f t="shared" ca="1" si="20"/>
        <v>Not coming events</v>
      </c>
      <c r="H349">
        <f t="shared" si="21"/>
        <v>3</v>
      </c>
      <c r="I349" t="str">
        <f t="shared" si="22"/>
        <v>Nov</v>
      </c>
      <c r="J349" t="str">
        <f t="shared" si="23"/>
        <v>Team Meeting-A. Sharma</v>
      </c>
    </row>
    <row r="350" spans="1:10" x14ac:dyDescent="0.4">
      <c r="A350" s="2" t="s">
        <v>1635</v>
      </c>
      <c r="B350" s="2" t="s">
        <v>1282</v>
      </c>
      <c r="C350" s="3">
        <v>45297</v>
      </c>
      <c r="D350" s="3">
        <v>45298</v>
      </c>
      <c r="E350" s="2">
        <v>1</v>
      </c>
      <c r="F350" s="2" t="s">
        <v>21</v>
      </c>
      <c r="G350" t="str">
        <f t="shared" ca="1" si="20"/>
        <v>Not coming events</v>
      </c>
      <c r="H350">
        <f t="shared" si="21"/>
        <v>1</v>
      </c>
      <c r="I350" t="str">
        <f t="shared" si="22"/>
        <v>Jan</v>
      </c>
      <c r="J350" t="str">
        <f t="shared" si="23"/>
        <v>Annual Review-R. Patel</v>
      </c>
    </row>
    <row r="351" spans="1:10" x14ac:dyDescent="0.4">
      <c r="A351" s="2" t="s">
        <v>1636</v>
      </c>
      <c r="B351" s="2" t="s">
        <v>1288</v>
      </c>
      <c r="C351" s="3">
        <v>45615</v>
      </c>
      <c r="D351" s="3">
        <v>45617</v>
      </c>
      <c r="E351" s="2">
        <v>2</v>
      </c>
      <c r="F351" s="2" t="s">
        <v>21</v>
      </c>
      <c r="G351" t="str">
        <f t="shared" ca="1" si="20"/>
        <v>Not coming events</v>
      </c>
      <c r="H351">
        <f t="shared" si="21"/>
        <v>2</v>
      </c>
      <c r="I351" t="str">
        <f t="shared" si="22"/>
        <v>Nov</v>
      </c>
      <c r="J351" t="str">
        <f t="shared" si="23"/>
        <v>Team Meeting-R. Patel</v>
      </c>
    </row>
    <row r="352" spans="1:10" x14ac:dyDescent="0.4">
      <c r="A352" s="2" t="s">
        <v>1637</v>
      </c>
      <c r="B352" s="2" t="s">
        <v>1282</v>
      </c>
      <c r="C352" s="3">
        <v>45305</v>
      </c>
      <c r="D352" s="3">
        <v>45307</v>
      </c>
      <c r="E352" s="2">
        <v>2</v>
      </c>
      <c r="F352" s="2" t="s">
        <v>21</v>
      </c>
      <c r="G352" t="str">
        <f t="shared" ca="1" si="20"/>
        <v>Not coming events</v>
      </c>
      <c r="H352">
        <f t="shared" si="21"/>
        <v>2</v>
      </c>
      <c r="I352" t="str">
        <f t="shared" si="22"/>
        <v>Jan</v>
      </c>
      <c r="J352" t="str">
        <f t="shared" si="23"/>
        <v>Annual Review-R. Patel</v>
      </c>
    </row>
    <row r="353" spans="1:10" x14ac:dyDescent="0.4">
      <c r="A353" s="2" t="s">
        <v>1638</v>
      </c>
      <c r="B353" s="2" t="s">
        <v>1284</v>
      </c>
      <c r="C353" s="3">
        <v>45434</v>
      </c>
      <c r="D353" s="3">
        <v>45438</v>
      </c>
      <c r="E353" s="2">
        <v>4</v>
      </c>
      <c r="F353" s="2" t="s">
        <v>28</v>
      </c>
      <c r="G353" t="str">
        <f t="shared" ca="1" si="20"/>
        <v>Not coming events</v>
      </c>
      <c r="H353">
        <f t="shared" si="21"/>
        <v>4</v>
      </c>
      <c r="I353" t="str">
        <f t="shared" si="22"/>
        <v>May</v>
      </c>
      <c r="J353" t="str">
        <f t="shared" si="23"/>
        <v>Workshop-A. Sharma</v>
      </c>
    </row>
    <row r="354" spans="1:10" x14ac:dyDescent="0.4">
      <c r="A354" s="2" t="s">
        <v>1639</v>
      </c>
      <c r="B354" s="2" t="s">
        <v>1286</v>
      </c>
      <c r="C354" s="3">
        <v>45517</v>
      </c>
      <c r="D354" s="3">
        <v>45519</v>
      </c>
      <c r="E354" s="2">
        <v>2</v>
      </c>
      <c r="F354" s="2" t="s">
        <v>21</v>
      </c>
      <c r="G354" t="str">
        <f t="shared" ca="1" si="20"/>
        <v>Not coming events</v>
      </c>
      <c r="H354">
        <f t="shared" si="21"/>
        <v>2</v>
      </c>
      <c r="I354" t="str">
        <f t="shared" si="22"/>
        <v>Aug</v>
      </c>
      <c r="J354" t="str">
        <f t="shared" si="23"/>
        <v>Product Launch-R. Patel</v>
      </c>
    </row>
    <row r="355" spans="1:10" x14ac:dyDescent="0.4">
      <c r="A355" s="2" t="s">
        <v>1640</v>
      </c>
      <c r="B355" s="2" t="s">
        <v>1296</v>
      </c>
      <c r="C355" s="3">
        <v>45370</v>
      </c>
      <c r="D355" s="3">
        <v>45375</v>
      </c>
      <c r="E355" s="2">
        <v>5</v>
      </c>
      <c r="F355" s="2" t="s">
        <v>21</v>
      </c>
      <c r="G355" t="str">
        <f t="shared" ca="1" si="20"/>
        <v>Not coming events</v>
      </c>
      <c r="H355">
        <f t="shared" si="21"/>
        <v>5</v>
      </c>
      <c r="I355" t="str">
        <f t="shared" si="22"/>
        <v>Mar</v>
      </c>
      <c r="J355" t="str">
        <f t="shared" si="23"/>
        <v>Client Presentation-R. Patel</v>
      </c>
    </row>
    <row r="356" spans="1:10" x14ac:dyDescent="0.4">
      <c r="A356" s="2" t="s">
        <v>1641</v>
      </c>
      <c r="B356" s="2" t="s">
        <v>1301</v>
      </c>
      <c r="C356" s="3">
        <v>45576</v>
      </c>
      <c r="D356" s="3">
        <v>45581</v>
      </c>
      <c r="E356" s="2">
        <v>5</v>
      </c>
      <c r="F356" s="2" t="s">
        <v>64</v>
      </c>
      <c r="G356" t="str">
        <f t="shared" ca="1" si="20"/>
        <v>Not coming events</v>
      </c>
      <c r="H356">
        <f t="shared" si="21"/>
        <v>5</v>
      </c>
      <c r="I356" t="str">
        <f t="shared" si="22"/>
        <v>Oct</v>
      </c>
      <c r="J356" t="str">
        <f t="shared" si="23"/>
        <v>Training Session-M. Khan</v>
      </c>
    </row>
    <row r="357" spans="1:10" x14ac:dyDescent="0.4">
      <c r="A357" s="2" t="s">
        <v>1642</v>
      </c>
      <c r="B357" s="2" t="s">
        <v>1286</v>
      </c>
      <c r="C357" s="3">
        <v>45630</v>
      </c>
      <c r="D357" s="3">
        <v>45635</v>
      </c>
      <c r="E357" s="2">
        <v>5</v>
      </c>
      <c r="F357" s="2" t="s">
        <v>28</v>
      </c>
      <c r="G357" t="str">
        <f t="shared" ca="1" si="20"/>
        <v>Not coming events</v>
      </c>
      <c r="H357">
        <f t="shared" si="21"/>
        <v>5</v>
      </c>
      <c r="I357" t="str">
        <f t="shared" si="22"/>
        <v>Dec</v>
      </c>
      <c r="J357" t="str">
        <f t="shared" si="23"/>
        <v>Product Launch-A. Sharma</v>
      </c>
    </row>
    <row r="358" spans="1:10" x14ac:dyDescent="0.4">
      <c r="A358" s="2" t="s">
        <v>1643</v>
      </c>
      <c r="B358" s="2" t="s">
        <v>1301</v>
      </c>
      <c r="C358" s="3">
        <v>45371</v>
      </c>
      <c r="D358" s="3">
        <v>45374</v>
      </c>
      <c r="E358" s="2">
        <v>3</v>
      </c>
      <c r="F358" s="2" t="s">
        <v>14</v>
      </c>
      <c r="G358" t="str">
        <f t="shared" ca="1" si="20"/>
        <v>Not coming events</v>
      </c>
      <c r="H358">
        <f t="shared" si="21"/>
        <v>3</v>
      </c>
      <c r="I358" t="str">
        <f t="shared" si="22"/>
        <v>Mar</v>
      </c>
      <c r="J358" t="str">
        <f t="shared" si="23"/>
        <v>Training Session-V. Nair</v>
      </c>
    </row>
    <row r="359" spans="1:10" x14ac:dyDescent="0.4">
      <c r="A359" s="2" t="s">
        <v>1644</v>
      </c>
      <c r="B359" s="2" t="s">
        <v>1296</v>
      </c>
      <c r="C359" s="3">
        <v>45301</v>
      </c>
      <c r="D359" s="3">
        <v>45303</v>
      </c>
      <c r="E359" s="2">
        <v>2</v>
      </c>
      <c r="F359" s="2" t="s">
        <v>14</v>
      </c>
      <c r="G359" t="str">
        <f t="shared" ca="1" si="20"/>
        <v>Not coming events</v>
      </c>
      <c r="H359">
        <f t="shared" si="21"/>
        <v>2</v>
      </c>
      <c r="I359" t="str">
        <f t="shared" si="22"/>
        <v>Jan</v>
      </c>
      <c r="J359" t="str">
        <f t="shared" si="23"/>
        <v>Client Presentation-V. Nair</v>
      </c>
    </row>
    <row r="360" spans="1:10" x14ac:dyDescent="0.4">
      <c r="A360" s="2" t="s">
        <v>1645</v>
      </c>
      <c r="B360" s="2" t="s">
        <v>1286</v>
      </c>
      <c r="C360" s="3">
        <v>45451</v>
      </c>
      <c r="D360" s="3">
        <v>45454</v>
      </c>
      <c r="E360" s="2">
        <v>3</v>
      </c>
      <c r="F360" s="2" t="s">
        <v>64</v>
      </c>
      <c r="G360" t="str">
        <f t="shared" ca="1" si="20"/>
        <v>Not coming events</v>
      </c>
      <c r="H360">
        <f t="shared" si="21"/>
        <v>3</v>
      </c>
      <c r="I360" t="str">
        <f t="shared" si="22"/>
        <v>Jun</v>
      </c>
      <c r="J360" t="str">
        <f t="shared" si="23"/>
        <v>Product Launch-M. Khan</v>
      </c>
    </row>
    <row r="361" spans="1:10" x14ac:dyDescent="0.4">
      <c r="A361" s="2" t="s">
        <v>1646</v>
      </c>
      <c r="B361" s="2" t="s">
        <v>1282</v>
      </c>
      <c r="C361" s="3">
        <v>45638</v>
      </c>
      <c r="D361" s="3">
        <v>45643</v>
      </c>
      <c r="E361" s="2">
        <v>5</v>
      </c>
      <c r="F361" s="2" t="s">
        <v>21</v>
      </c>
      <c r="G361" t="str">
        <f t="shared" ca="1" si="20"/>
        <v>Not coming events</v>
      </c>
      <c r="H361">
        <f t="shared" si="21"/>
        <v>5</v>
      </c>
      <c r="I361" t="str">
        <f t="shared" si="22"/>
        <v>Dec</v>
      </c>
      <c r="J361" t="str">
        <f t="shared" si="23"/>
        <v>Annual Review-R. Patel</v>
      </c>
    </row>
    <row r="362" spans="1:10" x14ac:dyDescent="0.4">
      <c r="A362" s="2" t="s">
        <v>1647</v>
      </c>
      <c r="B362" s="2" t="s">
        <v>1286</v>
      </c>
      <c r="C362" s="3">
        <v>45345</v>
      </c>
      <c r="D362" s="3">
        <v>45349</v>
      </c>
      <c r="E362" s="2">
        <v>4</v>
      </c>
      <c r="F362" s="2" t="s">
        <v>21</v>
      </c>
      <c r="G362" t="str">
        <f t="shared" ca="1" si="20"/>
        <v>Not coming events</v>
      </c>
      <c r="H362">
        <f t="shared" si="21"/>
        <v>4</v>
      </c>
      <c r="I362" t="str">
        <f t="shared" si="22"/>
        <v>Feb</v>
      </c>
      <c r="J362" t="str">
        <f t="shared" si="23"/>
        <v>Product Launch-R. Patel</v>
      </c>
    </row>
    <row r="363" spans="1:10" x14ac:dyDescent="0.4">
      <c r="A363" s="2" t="s">
        <v>1648</v>
      </c>
      <c r="B363" s="2" t="s">
        <v>1288</v>
      </c>
      <c r="C363" s="3">
        <v>45400</v>
      </c>
      <c r="D363" s="3">
        <v>45402</v>
      </c>
      <c r="E363" s="2">
        <v>2</v>
      </c>
      <c r="F363" s="2" t="s">
        <v>14</v>
      </c>
      <c r="G363" t="str">
        <f t="shared" ca="1" si="20"/>
        <v>Not coming events</v>
      </c>
      <c r="H363">
        <f t="shared" si="21"/>
        <v>2</v>
      </c>
      <c r="I363" t="str">
        <f t="shared" si="22"/>
        <v>Apr</v>
      </c>
      <c r="J363" t="str">
        <f t="shared" si="23"/>
        <v>Team Meeting-V. Nair</v>
      </c>
    </row>
    <row r="364" spans="1:10" x14ac:dyDescent="0.4">
      <c r="A364" s="2" t="s">
        <v>1649</v>
      </c>
      <c r="B364" s="2" t="s">
        <v>1284</v>
      </c>
      <c r="C364" s="3">
        <v>45626</v>
      </c>
      <c r="D364" s="3">
        <v>45629</v>
      </c>
      <c r="E364" s="2">
        <v>3</v>
      </c>
      <c r="F364" s="2" t="s">
        <v>21</v>
      </c>
      <c r="G364" t="str">
        <f t="shared" ca="1" si="20"/>
        <v>Not coming events</v>
      </c>
      <c r="H364">
        <f t="shared" si="21"/>
        <v>3</v>
      </c>
      <c r="I364" t="str">
        <f t="shared" si="22"/>
        <v>Nov</v>
      </c>
      <c r="J364" t="str">
        <f t="shared" si="23"/>
        <v>Workshop-R. Patel</v>
      </c>
    </row>
    <row r="365" spans="1:10" x14ac:dyDescent="0.4">
      <c r="A365" s="2" t="s">
        <v>1650</v>
      </c>
      <c r="B365" s="2" t="s">
        <v>1282</v>
      </c>
      <c r="C365" s="3">
        <v>45298</v>
      </c>
      <c r="D365" s="3">
        <v>45301</v>
      </c>
      <c r="E365" s="2">
        <v>3</v>
      </c>
      <c r="F365" s="2" t="s">
        <v>28</v>
      </c>
      <c r="G365" t="str">
        <f t="shared" ca="1" si="20"/>
        <v>Not coming events</v>
      </c>
      <c r="H365">
        <f t="shared" si="21"/>
        <v>3</v>
      </c>
      <c r="I365" t="str">
        <f t="shared" si="22"/>
        <v>Jan</v>
      </c>
      <c r="J365" t="str">
        <f t="shared" si="23"/>
        <v>Annual Review-A. Sharma</v>
      </c>
    </row>
    <row r="366" spans="1:10" x14ac:dyDescent="0.4">
      <c r="A366" s="2" t="s">
        <v>1651</v>
      </c>
      <c r="B366" s="2" t="s">
        <v>1286</v>
      </c>
      <c r="C366" s="3">
        <v>45372</v>
      </c>
      <c r="D366" s="3">
        <v>45376</v>
      </c>
      <c r="E366" s="2">
        <v>4</v>
      </c>
      <c r="F366" s="2" t="s">
        <v>21</v>
      </c>
      <c r="G366" t="str">
        <f t="shared" ca="1" si="20"/>
        <v>Not coming events</v>
      </c>
      <c r="H366">
        <f t="shared" si="21"/>
        <v>4</v>
      </c>
      <c r="I366" t="str">
        <f t="shared" si="22"/>
        <v>Mar</v>
      </c>
      <c r="J366" t="str">
        <f t="shared" si="23"/>
        <v>Product Launch-R. Patel</v>
      </c>
    </row>
    <row r="367" spans="1:10" x14ac:dyDescent="0.4">
      <c r="A367" s="2" t="s">
        <v>1652</v>
      </c>
      <c r="B367" s="2" t="s">
        <v>1282</v>
      </c>
      <c r="C367" s="3">
        <v>45447</v>
      </c>
      <c r="D367" s="3">
        <v>45451</v>
      </c>
      <c r="E367" s="2">
        <v>4</v>
      </c>
      <c r="F367" s="2" t="s">
        <v>28</v>
      </c>
      <c r="G367" t="str">
        <f t="shared" ca="1" si="20"/>
        <v>Not coming events</v>
      </c>
      <c r="H367">
        <f t="shared" si="21"/>
        <v>4</v>
      </c>
      <c r="I367" t="str">
        <f t="shared" si="22"/>
        <v>Jun</v>
      </c>
      <c r="J367" t="str">
        <f t="shared" si="23"/>
        <v>Annual Review-A. Sharma</v>
      </c>
    </row>
    <row r="368" spans="1:10" x14ac:dyDescent="0.4">
      <c r="A368" s="2" t="s">
        <v>1653</v>
      </c>
      <c r="B368" s="2" t="s">
        <v>1286</v>
      </c>
      <c r="C368" s="3">
        <v>45652</v>
      </c>
      <c r="D368" s="3">
        <v>45657</v>
      </c>
      <c r="E368" s="2">
        <v>5</v>
      </c>
      <c r="F368" s="2" t="s">
        <v>28</v>
      </c>
      <c r="G368" t="str">
        <f t="shared" ca="1" si="20"/>
        <v>Not coming events</v>
      </c>
      <c r="H368">
        <f t="shared" si="21"/>
        <v>5</v>
      </c>
      <c r="I368" t="str">
        <f t="shared" si="22"/>
        <v>Dec</v>
      </c>
      <c r="J368" t="str">
        <f t="shared" si="23"/>
        <v>Product Launch-A. Sharma</v>
      </c>
    </row>
    <row r="369" spans="1:10" x14ac:dyDescent="0.4">
      <c r="A369" s="2" t="s">
        <v>1654</v>
      </c>
      <c r="B369" s="2" t="s">
        <v>1282</v>
      </c>
      <c r="C369" s="3">
        <v>45359</v>
      </c>
      <c r="D369" s="3">
        <v>45363</v>
      </c>
      <c r="E369" s="2">
        <v>4</v>
      </c>
      <c r="F369" s="2" t="s">
        <v>21</v>
      </c>
      <c r="G369" t="str">
        <f t="shared" ca="1" si="20"/>
        <v>Not coming events</v>
      </c>
      <c r="H369">
        <f t="shared" si="21"/>
        <v>4</v>
      </c>
      <c r="I369" t="str">
        <f t="shared" si="22"/>
        <v>Mar</v>
      </c>
      <c r="J369" t="str">
        <f t="shared" si="23"/>
        <v>Annual Review-R. Patel</v>
      </c>
    </row>
    <row r="370" spans="1:10" x14ac:dyDescent="0.4">
      <c r="A370" s="2" t="s">
        <v>1655</v>
      </c>
      <c r="B370" s="2" t="s">
        <v>1284</v>
      </c>
      <c r="C370" s="3">
        <v>45595</v>
      </c>
      <c r="D370" s="3">
        <v>45600</v>
      </c>
      <c r="E370" s="2">
        <v>5</v>
      </c>
      <c r="F370" s="2" t="s">
        <v>21</v>
      </c>
      <c r="G370" t="str">
        <f t="shared" ca="1" si="20"/>
        <v>Not coming events</v>
      </c>
      <c r="H370">
        <f t="shared" si="21"/>
        <v>5</v>
      </c>
      <c r="I370" t="str">
        <f t="shared" si="22"/>
        <v>Oct</v>
      </c>
      <c r="J370" t="str">
        <f t="shared" si="23"/>
        <v>Workshop-R. Patel</v>
      </c>
    </row>
    <row r="371" spans="1:10" x14ac:dyDescent="0.4">
      <c r="A371" s="2" t="s">
        <v>1656</v>
      </c>
      <c r="B371" s="2" t="s">
        <v>1284</v>
      </c>
      <c r="C371" s="3">
        <v>45316</v>
      </c>
      <c r="D371" s="3">
        <v>45319</v>
      </c>
      <c r="E371" s="2">
        <v>3</v>
      </c>
      <c r="F371" s="2" t="s">
        <v>55</v>
      </c>
      <c r="G371" t="str">
        <f t="shared" ca="1" si="20"/>
        <v>Not coming events</v>
      </c>
      <c r="H371">
        <f t="shared" si="21"/>
        <v>3</v>
      </c>
      <c r="I371" t="str">
        <f t="shared" si="22"/>
        <v>Jan</v>
      </c>
      <c r="J371" t="str">
        <f t="shared" si="23"/>
        <v>Workshop-S. Gupta</v>
      </c>
    </row>
    <row r="372" spans="1:10" x14ac:dyDescent="0.4">
      <c r="A372" s="2" t="s">
        <v>1657</v>
      </c>
      <c r="B372" s="2" t="s">
        <v>1288</v>
      </c>
      <c r="C372" s="3">
        <v>45388</v>
      </c>
      <c r="D372" s="3">
        <v>45393</v>
      </c>
      <c r="E372" s="2">
        <v>5</v>
      </c>
      <c r="F372" s="2" t="s">
        <v>64</v>
      </c>
      <c r="G372" t="str">
        <f t="shared" ca="1" si="20"/>
        <v>Not coming events</v>
      </c>
      <c r="H372">
        <f t="shared" si="21"/>
        <v>5</v>
      </c>
      <c r="I372" t="str">
        <f t="shared" si="22"/>
        <v>Apr</v>
      </c>
      <c r="J372" t="str">
        <f t="shared" si="23"/>
        <v>Team Meeting-M. Khan</v>
      </c>
    </row>
    <row r="373" spans="1:10" x14ac:dyDescent="0.4">
      <c r="A373" s="2" t="s">
        <v>1658</v>
      </c>
      <c r="B373" s="2" t="s">
        <v>1288</v>
      </c>
      <c r="C373" s="3">
        <v>45475</v>
      </c>
      <c r="D373" s="3">
        <v>45480</v>
      </c>
      <c r="E373" s="2">
        <v>5</v>
      </c>
      <c r="F373" s="2" t="s">
        <v>28</v>
      </c>
      <c r="G373" t="str">
        <f t="shared" ca="1" si="20"/>
        <v>Not coming events</v>
      </c>
      <c r="H373">
        <f t="shared" si="21"/>
        <v>5</v>
      </c>
      <c r="I373" t="str">
        <f t="shared" si="22"/>
        <v>Jul</v>
      </c>
      <c r="J373" t="str">
        <f t="shared" si="23"/>
        <v>Team Meeting-A. Sharma</v>
      </c>
    </row>
    <row r="374" spans="1:10" x14ac:dyDescent="0.4">
      <c r="A374" s="2" t="s">
        <v>1659</v>
      </c>
      <c r="B374" s="2" t="s">
        <v>1286</v>
      </c>
      <c r="C374" s="3">
        <v>45361</v>
      </c>
      <c r="D374" s="3">
        <v>45363</v>
      </c>
      <c r="E374" s="2">
        <v>2</v>
      </c>
      <c r="F374" s="2" t="s">
        <v>21</v>
      </c>
      <c r="G374" t="str">
        <f t="shared" ca="1" si="20"/>
        <v>Not coming events</v>
      </c>
      <c r="H374">
        <f t="shared" si="21"/>
        <v>2</v>
      </c>
      <c r="I374" t="str">
        <f t="shared" si="22"/>
        <v>Mar</v>
      </c>
      <c r="J374" t="str">
        <f t="shared" si="23"/>
        <v>Product Launch-R. Patel</v>
      </c>
    </row>
    <row r="375" spans="1:10" x14ac:dyDescent="0.4">
      <c r="A375" s="2" t="s">
        <v>1660</v>
      </c>
      <c r="B375" s="2" t="s">
        <v>1301</v>
      </c>
      <c r="C375" s="3">
        <v>45336</v>
      </c>
      <c r="D375" s="3">
        <v>45341</v>
      </c>
      <c r="E375" s="2">
        <v>5</v>
      </c>
      <c r="F375" s="2" t="s">
        <v>21</v>
      </c>
      <c r="G375" t="str">
        <f t="shared" ca="1" si="20"/>
        <v>Not coming events</v>
      </c>
      <c r="H375">
        <f t="shared" si="21"/>
        <v>5</v>
      </c>
      <c r="I375" t="str">
        <f t="shared" si="22"/>
        <v>Feb</v>
      </c>
      <c r="J375" t="str">
        <f t="shared" si="23"/>
        <v>Training Session-R. Patel</v>
      </c>
    </row>
    <row r="376" spans="1:10" x14ac:dyDescent="0.4">
      <c r="A376" s="2" t="s">
        <v>1661</v>
      </c>
      <c r="B376" s="2" t="s">
        <v>1301</v>
      </c>
      <c r="C376" s="3">
        <v>45312</v>
      </c>
      <c r="D376" s="3">
        <v>45316</v>
      </c>
      <c r="E376" s="2">
        <v>4</v>
      </c>
      <c r="F376" s="2" t="s">
        <v>21</v>
      </c>
      <c r="G376" t="str">
        <f t="shared" ca="1" si="20"/>
        <v>Not coming events</v>
      </c>
      <c r="H376">
        <f t="shared" si="21"/>
        <v>4</v>
      </c>
      <c r="I376" t="str">
        <f t="shared" si="22"/>
        <v>Jan</v>
      </c>
      <c r="J376" t="str">
        <f t="shared" si="23"/>
        <v>Training Session-R. Patel</v>
      </c>
    </row>
    <row r="377" spans="1:10" x14ac:dyDescent="0.4">
      <c r="A377" s="2" t="s">
        <v>1662</v>
      </c>
      <c r="B377" s="2" t="s">
        <v>1301</v>
      </c>
      <c r="C377" s="3">
        <v>45541</v>
      </c>
      <c r="D377" s="3">
        <v>45545</v>
      </c>
      <c r="E377" s="2">
        <v>4</v>
      </c>
      <c r="F377" s="2" t="s">
        <v>55</v>
      </c>
      <c r="G377" t="str">
        <f t="shared" ca="1" si="20"/>
        <v>Not coming events</v>
      </c>
      <c r="H377">
        <f t="shared" si="21"/>
        <v>4</v>
      </c>
      <c r="I377" t="str">
        <f t="shared" si="22"/>
        <v>Sep</v>
      </c>
      <c r="J377" t="str">
        <f t="shared" si="23"/>
        <v>Training Session-S. Gupta</v>
      </c>
    </row>
    <row r="378" spans="1:10" x14ac:dyDescent="0.4">
      <c r="A378" s="2" t="s">
        <v>1663</v>
      </c>
      <c r="B378" s="2" t="s">
        <v>1284</v>
      </c>
      <c r="C378" s="3">
        <v>45335</v>
      </c>
      <c r="D378" s="3">
        <v>45340</v>
      </c>
      <c r="E378" s="2">
        <v>5</v>
      </c>
      <c r="F378" s="2" t="s">
        <v>55</v>
      </c>
      <c r="G378" t="str">
        <f t="shared" ca="1" si="20"/>
        <v>Not coming events</v>
      </c>
      <c r="H378">
        <f t="shared" si="21"/>
        <v>5</v>
      </c>
      <c r="I378" t="str">
        <f t="shared" si="22"/>
        <v>Feb</v>
      </c>
      <c r="J378" t="str">
        <f t="shared" si="23"/>
        <v>Workshop-S. Gupta</v>
      </c>
    </row>
    <row r="379" spans="1:10" x14ac:dyDescent="0.4">
      <c r="A379" s="2" t="s">
        <v>1664</v>
      </c>
      <c r="B379" s="2" t="s">
        <v>1301</v>
      </c>
      <c r="C379" s="3">
        <v>45632</v>
      </c>
      <c r="D379" s="3">
        <v>45634</v>
      </c>
      <c r="E379" s="2">
        <v>2</v>
      </c>
      <c r="F379" s="2" t="s">
        <v>21</v>
      </c>
      <c r="G379" t="str">
        <f t="shared" ca="1" si="20"/>
        <v>Not coming events</v>
      </c>
      <c r="H379">
        <f t="shared" si="21"/>
        <v>2</v>
      </c>
      <c r="I379" t="str">
        <f t="shared" si="22"/>
        <v>Dec</v>
      </c>
      <c r="J379" t="str">
        <f t="shared" si="23"/>
        <v>Training Session-R. Patel</v>
      </c>
    </row>
    <row r="380" spans="1:10" x14ac:dyDescent="0.4">
      <c r="A380" s="2" t="s">
        <v>1665</v>
      </c>
      <c r="B380" s="2" t="s">
        <v>1301</v>
      </c>
      <c r="C380" s="3">
        <v>45302</v>
      </c>
      <c r="D380" s="3">
        <v>45306</v>
      </c>
      <c r="E380" s="2">
        <v>4</v>
      </c>
      <c r="F380" s="2" t="s">
        <v>55</v>
      </c>
      <c r="G380" t="str">
        <f t="shared" ca="1" si="20"/>
        <v>Not coming events</v>
      </c>
      <c r="H380">
        <f t="shared" si="21"/>
        <v>4</v>
      </c>
      <c r="I380" t="str">
        <f t="shared" si="22"/>
        <v>Jan</v>
      </c>
      <c r="J380" t="str">
        <f t="shared" si="23"/>
        <v>Training Session-S. Gupta</v>
      </c>
    </row>
    <row r="381" spans="1:10" x14ac:dyDescent="0.4">
      <c r="A381" s="2" t="s">
        <v>1666</v>
      </c>
      <c r="B381" s="2" t="s">
        <v>1286</v>
      </c>
      <c r="C381" s="3">
        <v>45423</v>
      </c>
      <c r="D381" s="3">
        <v>45426</v>
      </c>
      <c r="E381" s="2">
        <v>3</v>
      </c>
      <c r="F381" s="2" t="s">
        <v>64</v>
      </c>
      <c r="G381" t="str">
        <f t="shared" ca="1" si="20"/>
        <v>Not coming events</v>
      </c>
      <c r="H381">
        <f t="shared" si="21"/>
        <v>3</v>
      </c>
      <c r="I381" t="str">
        <f t="shared" si="22"/>
        <v>May</v>
      </c>
      <c r="J381" t="str">
        <f t="shared" si="23"/>
        <v>Product Launch-M. Khan</v>
      </c>
    </row>
    <row r="382" spans="1:10" x14ac:dyDescent="0.4">
      <c r="A382" s="2" t="s">
        <v>1667</v>
      </c>
      <c r="B382" s="2" t="s">
        <v>1284</v>
      </c>
      <c r="C382" s="3">
        <v>45299</v>
      </c>
      <c r="D382" s="3">
        <v>45303</v>
      </c>
      <c r="E382" s="2">
        <v>4</v>
      </c>
      <c r="F382" s="2" t="s">
        <v>21</v>
      </c>
      <c r="G382" t="str">
        <f t="shared" ca="1" si="20"/>
        <v>Not coming events</v>
      </c>
      <c r="H382">
        <f t="shared" si="21"/>
        <v>4</v>
      </c>
      <c r="I382" t="str">
        <f t="shared" si="22"/>
        <v>Jan</v>
      </c>
      <c r="J382" t="str">
        <f t="shared" si="23"/>
        <v>Workshop-R. Patel</v>
      </c>
    </row>
    <row r="383" spans="1:10" x14ac:dyDescent="0.4">
      <c r="A383" s="2" t="s">
        <v>1668</v>
      </c>
      <c r="B383" s="2" t="s">
        <v>1301</v>
      </c>
      <c r="C383" s="3">
        <v>45478</v>
      </c>
      <c r="D383" s="3">
        <v>45480</v>
      </c>
      <c r="E383" s="2">
        <v>2</v>
      </c>
      <c r="F383" s="2" t="s">
        <v>55</v>
      </c>
      <c r="G383" t="str">
        <f t="shared" ca="1" si="20"/>
        <v>Not coming events</v>
      </c>
      <c r="H383">
        <f t="shared" si="21"/>
        <v>2</v>
      </c>
      <c r="I383" t="str">
        <f t="shared" si="22"/>
        <v>Jul</v>
      </c>
      <c r="J383" t="str">
        <f t="shared" si="23"/>
        <v>Training Session-S. Gupta</v>
      </c>
    </row>
    <row r="384" spans="1:10" x14ac:dyDescent="0.4">
      <c r="A384" s="2" t="s">
        <v>1669</v>
      </c>
      <c r="B384" s="2" t="s">
        <v>1288</v>
      </c>
      <c r="C384" s="3">
        <v>45395</v>
      </c>
      <c r="D384" s="3">
        <v>45399</v>
      </c>
      <c r="E384" s="2">
        <v>4</v>
      </c>
      <c r="F384" s="2" t="s">
        <v>14</v>
      </c>
      <c r="G384" t="str">
        <f t="shared" ca="1" si="20"/>
        <v>Not coming events</v>
      </c>
      <c r="H384">
        <f t="shared" si="21"/>
        <v>4</v>
      </c>
      <c r="I384" t="str">
        <f t="shared" si="22"/>
        <v>Apr</v>
      </c>
      <c r="J384" t="str">
        <f t="shared" si="23"/>
        <v>Team Meeting-V. Nair</v>
      </c>
    </row>
    <row r="385" spans="1:10" x14ac:dyDescent="0.4">
      <c r="A385" s="2" t="s">
        <v>1670</v>
      </c>
      <c r="B385" s="2" t="s">
        <v>1288</v>
      </c>
      <c r="C385" s="3">
        <v>45635</v>
      </c>
      <c r="D385" s="3">
        <v>45638</v>
      </c>
      <c r="E385" s="2">
        <v>3</v>
      </c>
      <c r="F385" s="2" t="s">
        <v>64</v>
      </c>
      <c r="G385" t="str">
        <f t="shared" ca="1" si="20"/>
        <v>Not coming events</v>
      </c>
      <c r="H385">
        <f t="shared" si="21"/>
        <v>3</v>
      </c>
      <c r="I385" t="str">
        <f t="shared" si="22"/>
        <v>Dec</v>
      </c>
      <c r="J385" t="str">
        <f t="shared" si="23"/>
        <v>Team Meeting-M. Khan</v>
      </c>
    </row>
    <row r="386" spans="1:10" x14ac:dyDescent="0.4">
      <c r="A386" s="2" t="s">
        <v>1671</v>
      </c>
      <c r="B386" s="2" t="s">
        <v>1296</v>
      </c>
      <c r="C386" s="3">
        <v>45560</v>
      </c>
      <c r="D386" s="3">
        <v>45562</v>
      </c>
      <c r="E386" s="2">
        <v>2</v>
      </c>
      <c r="F386" s="2" t="s">
        <v>55</v>
      </c>
      <c r="G386" t="str">
        <f t="shared" ca="1" si="20"/>
        <v>Not coming events</v>
      </c>
      <c r="H386">
        <f t="shared" si="21"/>
        <v>2</v>
      </c>
      <c r="I386" t="str">
        <f t="shared" si="22"/>
        <v>Sep</v>
      </c>
      <c r="J386" t="str">
        <f t="shared" si="23"/>
        <v>Client Presentation-S. Gupta</v>
      </c>
    </row>
    <row r="387" spans="1:10" x14ac:dyDescent="0.4">
      <c r="A387" s="2" t="s">
        <v>1672</v>
      </c>
      <c r="B387" s="2" t="s">
        <v>1296</v>
      </c>
      <c r="C387" s="3">
        <v>45613</v>
      </c>
      <c r="D387" s="3">
        <v>45617</v>
      </c>
      <c r="E387" s="2">
        <v>4</v>
      </c>
      <c r="F387" s="2" t="s">
        <v>55</v>
      </c>
      <c r="G387" t="str">
        <f t="shared" ref="G387:G450" ca="1" si="24">IF(AND(C387&lt;=TODAY()+30,D387&gt;=TODAY()),"Upcoming","Not coming events")</f>
        <v>Not coming events</v>
      </c>
      <c r="H387">
        <f t="shared" ref="H387:H450" si="25">DATEDIF(C387,D387,"d")</f>
        <v>4</v>
      </c>
      <c r="I387" t="str">
        <f t="shared" ref="I387:I450" si="26">TEXT(C387,"mmm")</f>
        <v>Nov</v>
      </c>
      <c r="J387" t="str">
        <f t="shared" ref="J387:J450" si="27">_xlfn.CONCAT(B387,"-",F387)</f>
        <v>Client Presentation-S. Gupta</v>
      </c>
    </row>
    <row r="388" spans="1:10" x14ac:dyDescent="0.4">
      <c r="A388" s="2" t="s">
        <v>1673</v>
      </c>
      <c r="B388" s="2" t="s">
        <v>1301</v>
      </c>
      <c r="C388" s="3">
        <v>45469</v>
      </c>
      <c r="D388" s="3">
        <v>45474</v>
      </c>
      <c r="E388" s="2">
        <v>5</v>
      </c>
      <c r="F388" s="2" t="s">
        <v>14</v>
      </c>
      <c r="G388" t="str">
        <f t="shared" ca="1" si="24"/>
        <v>Not coming events</v>
      </c>
      <c r="H388">
        <f t="shared" si="25"/>
        <v>5</v>
      </c>
      <c r="I388" t="str">
        <f t="shared" si="26"/>
        <v>Jun</v>
      </c>
      <c r="J388" t="str">
        <f t="shared" si="27"/>
        <v>Training Session-V. Nair</v>
      </c>
    </row>
    <row r="389" spans="1:10" x14ac:dyDescent="0.4">
      <c r="A389" s="2" t="s">
        <v>1674</v>
      </c>
      <c r="B389" s="2" t="s">
        <v>1286</v>
      </c>
      <c r="C389" s="3">
        <v>45325</v>
      </c>
      <c r="D389" s="3">
        <v>45329</v>
      </c>
      <c r="E389" s="2">
        <v>4</v>
      </c>
      <c r="F389" s="2" t="s">
        <v>55</v>
      </c>
      <c r="G389" t="str">
        <f t="shared" ca="1" si="24"/>
        <v>Not coming events</v>
      </c>
      <c r="H389">
        <f t="shared" si="25"/>
        <v>4</v>
      </c>
      <c r="I389" t="str">
        <f t="shared" si="26"/>
        <v>Feb</v>
      </c>
      <c r="J389" t="str">
        <f t="shared" si="27"/>
        <v>Product Launch-S. Gupta</v>
      </c>
    </row>
    <row r="390" spans="1:10" x14ac:dyDescent="0.4">
      <c r="A390" s="2" t="s">
        <v>1675</v>
      </c>
      <c r="B390" s="2" t="s">
        <v>1301</v>
      </c>
      <c r="C390" s="3">
        <v>45341</v>
      </c>
      <c r="D390" s="3">
        <v>45344</v>
      </c>
      <c r="E390" s="2">
        <v>3</v>
      </c>
      <c r="F390" s="2" t="s">
        <v>21</v>
      </c>
      <c r="G390" t="str">
        <f t="shared" ca="1" si="24"/>
        <v>Not coming events</v>
      </c>
      <c r="H390">
        <f t="shared" si="25"/>
        <v>3</v>
      </c>
      <c r="I390" t="str">
        <f t="shared" si="26"/>
        <v>Feb</v>
      </c>
      <c r="J390" t="str">
        <f t="shared" si="27"/>
        <v>Training Session-R. Patel</v>
      </c>
    </row>
    <row r="391" spans="1:10" x14ac:dyDescent="0.4">
      <c r="A391" s="2" t="s">
        <v>1676</v>
      </c>
      <c r="B391" s="2" t="s">
        <v>1286</v>
      </c>
      <c r="C391" s="3">
        <v>45333</v>
      </c>
      <c r="D391" s="3">
        <v>45336</v>
      </c>
      <c r="E391" s="2">
        <v>3</v>
      </c>
      <c r="F391" s="2" t="s">
        <v>55</v>
      </c>
      <c r="G391" t="str">
        <f t="shared" ca="1" si="24"/>
        <v>Not coming events</v>
      </c>
      <c r="H391">
        <f t="shared" si="25"/>
        <v>3</v>
      </c>
      <c r="I391" t="str">
        <f t="shared" si="26"/>
        <v>Feb</v>
      </c>
      <c r="J391" t="str">
        <f t="shared" si="27"/>
        <v>Product Launch-S. Gupta</v>
      </c>
    </row>
    <row r="392" spans="1:10" x14ac:dyDescent="0.4">
      <c r="A392" s="2" t="s">
        <v>1677</v>
      </c>
      <c r="B392" s="2" t="s">
        <v>1284</v>
      </c>
      <c r="C392" s="3">
        <v>45650</v>
      </c>
      <c r="D392" s="3">
        <v>45653</v>
      </c>
      <c r="E392" s="2">
        <v>3</v>
      </c>
      <c r="F392" s="2" t="s">
        <v>64</v>
      </c>
      <c r="G392" t="str">
        <f t="shared" ca="1" si="24"/>
        <v>Not coming events</v>
      </c>
      <c r="H392">
        <f t="shared" si="25"/>
        <v>3</v>
      </c>
      <c r="I392" t="str">
        <f t="shared" si="26"/>
        <v>Dec</v>
      </c>
      <c r="J392" t="str">
        <f t="shared" si="27"/>
        <v>Workshop-M. Khan</v>
      </c>
    </row>
    <row r="393" spans="1:10" x14ac:dyDescent="0.4">
      <c r="A393" s="2" t="s">
        <v>1678</v>
      </c>
      <c r="B393" s="2" t="s">
        <v>1282</v>
      </c>
      <c r="C393" s="3">
        <v>45595</v>
      </c>
      <c r="D393" s="3">
        <v>45596</v>
      </c>
      <c r="E393" s="2">
        <v>1</v>
      </c>
      <c r="F393" s="2" t="s">
        <v>55</v>
      </c>
      <c r="G393" t="str">
        <f t="shared" ca="1" si="24"/>
        <v>Not coming events</v>
      </c>
      <c r="H393">
        <f t="shared" si="25"/>
        <v>1</v>
      </c>
      <c r="I393" t="str">
        <f t="shared" si="26"/>
        <v>Oct</v>
      </c>
      <c r="J393" t="str">
        <f t="shared" si="27"/>
        <v>Annual Review-S. Gupta</v>
      </c>
    </row>
    <row r="394" spans="1:10" x14ac:dyDescent="0.4">
      <c r="A394" s="2" t="s">
        <v>1679</v>
      </c>
      <c r="B394" s="2" t="s">
        <v>1286</v>
      </c>
      <c r="C394" s="3">
        <v>45538</v>
      </c>
      <c r="D394" s="3">
        <v>45540</v>
      </c>
      <c r="E394" s="2">
        <v>2</v>
      </c>
      <c r="F394" s="2" t="s">
        <v>55</v>
      </c>
      <c r="G394" t="str">
        <f t="shared" ca="1" si="24"/>
        <v>Not coming events</v>
      </c>
      <c r="H394">
        <f t="shared" si="25"/>
        <v>2</v>
      </c>
      <c r="I394" t="str">
        <f t="shared" si="26"/>
        <v>Sep</v>
      </c>
      <c r="J394" t="str">
        <f t="shared" si="27"/>
        <v>Product Launch-S. Gupta</v>
      </c>
    </row>
    <row r="395" spans="1:10" x14ac:dyDescent="0.4">
      <c r="A395" s="2" t="s">
        <v>1680</v>
      </c>
      <c r="B395" s="2" t="s">
        <v>1296</v>
      </c>
      <c r="C395" s="3">
        <v>45467</v>
      </c>
      <c r="D395" s="3">
        <v>45472</v>
      </c>
      <c r="E395" s="2">
        <v>5</v>
      </c>
      <c r="F395" s="2" t="s">
        <v>55</v>
      </c>
      <c r="G395" t="str">
        <f t="shared" ca="1" si="24"/>
        <v>Not coming events</v>
      </c>
      <c r="H395">
        <f t="shared" si="25"/>
        <v>5</v>
      </c>
      <c r="I395" t="str">
        <f t="shared" si="26"/>
        <v>Jun</v>
      </c>
      <c r="J395" t="str">
        <f t="shared" si="27"/>
        <v>Client Presentation-S. Gupta</v>
      </c>
    </row>
    <row r="396" spans="1:10" x14ac:dyDescent="0.4">
      <c r="A396" s="2" t="s">
        <v>1681</v>
      </c>
      <c r="B396" s="2" t="s">
        <v>1282</v>
      </c>
      <c r="C396" s="3">
        <v>45356</v>
      </c>
      <c r="D396" s="3">
        <v>45360</v>
      </c>
      <c r="E396" s="2">
        <v>4</v>
      </c>
      <c r="F396" s="2" t="s">
        <v>21</v>
      </c>
      <c r="G396" t="str">
        <f t="shared" ca="1" si="24"/>
        <v>Not coming events</v>
      </c>
      <c r="H396">
        <f t="shared" si="25"/>
        <v>4</v>
      </c>
      <c r="I396" t="str">
        <f t="shared" si="26"/>
        <v>Mar</v>
      </c>
      <c r="J396" t="str">
        <f t="shared" si="27"/>
        <v>Annual Review-R. Patel</v>
      </c>
    </row>
    <row r="397" spans="1:10" x14ac:dyDescent="0.4">
      <c r="A397" s="2" t="s">
        <v>1682</v>
      </c>
      <c r="B397" s="2" t="s">
        <v>1301</v>
      </c>
      <c r="C397" s="3">
        <v>45547</v>
      </c>
      <c r="D397" s="3">
        <v>45549</v>
      </c>
      <c r="E397" s="2">
        <v>2</v>
      </c>
      <c r="F397" s="2" t="s">
        <v>21</v>
      </c>
      <c r="G397" t="str">
        <f t="shared" ca="1" si="24"/>
        <v>Not coming events</v>
      </c>
      <c r="H397">
        <f t="shared" si="25"/>
        <v>2</v>
      </c>
      <c r="I397" t="str">
        <f t="shared" si="26"/>
        <v>Sep</v>
      </c>
      <c r="J397" t="str">
        <f t="shared" si="27"/>
        <v>Training Session-R. Patel</v>
      </c>
    </row>
    <row r="398" spans="1:10" x14ac:dyDescent="0.4">
      <c r="A398" s="2" t="s">
        <v>1683</v>
      </c>
      <c r="B398" s="2" t="s">
        <v>1288</v>
      </c>
      <c r="C398" s="3">
        <v>45298</v>
      </c>
      <c r="D398" s="3">
        <v>45300</v>
      </c>
      <c r="E398" s="2">
        <v>2</v>
      </c>
      <c r="F398" s="2" t="s">
        <v>64</v>
      </c>
      <c r="G398" t="str">
        <f t="shared" ca="1" si="24"/>
        <v>Not coming events</v>
      </c>
      <c r="H398">
        <f t="shared" si="25"/>
        <v>2</v>
      </c>
      <c r="I398" t="str">
        <f t="shared" si="26"/>
        <v>Jan</v>
      </c>
      <c r="J398" t="str">
        <f t="shared" si="27"/>
        <v>Team Meeting-M. Khan</v>
      </c>
    </row>
    <row r="399" spans="1:10" x14ac:dyDescent="0.4">
      <c r="A399" s="2" t="s">
        <v>1684</v>
      </c>
      <c r="B399" s="2" t="s">
        <v>1296</v>
      </c>
      <c r="C399" s="3">
        <v>45479</v>
      </c>
      <c r="D399" s="3">
        <v>45484</v>
      </c>
      <c r="E399" s="2">
        <v>5</v>
      </c>
      <c r="F399" s="2" t="s">
        <v>55</v>
      </c>
      <c r="G399" t="str">
        <f t="shared" ca="1" si="24"/>
        <v>Not coming events</v>
      </c>
      <c r="H399">
        <f t="shared" si="25"/>
        <v>5</v>
      </c>
      <c r="I399" t="str">
        <f t="shared" si="26"/>
        <v>Jul</v>
      </c>
      <c r="J399" t="str">
        <f t="shared" si="27"/>
        <v>Client Presentation-S. Gupta</v>
      </c>
    </row>
    <row r="400" spans="1:10" x14ac:dyDescent="0.4">
      <c r="A400" s="2" t="s">
        <v>1685</v>
      </c>
      <c r="B400" s="2" t="s">
        <v>1284</v>
      </c>
      <c r="C400" s="3">
        <v>45487</v>
      </c>
      <c r="D400" s="3">
        <v>45490</v>
      </c>
      <c r="E400" s="2">
        <v>3</v>
      </c>
      <c r="F400" s="2" t="s">
        <v>28</v>
      </c>
      <c r="G400" t="str">
        <f t="shared" ca="1" si="24"/>
        <v>Not coming events</v>
      </c>
      <c r="H400">
        <f t="shared" si="25"/>
        <v>3</v>
      </c>
      <c r="I400" t="str">
        <f t="shared" si="26"/>
        <v>Jul</v>
      </c>
      <c r="J400" t="str">
        <f t="shared" si="27"/>
        <v>Workshop-A. Sharma</v>
      </c>
    </row>
    <row r="401" spans="1:10" x14ac:dyDescent="0.4">
      <c r="A401" s="2" t="s">
        <v>1686</v>
      </c>
      <c r="B401" s="2" t="s">
        <v>1286</v>
      </c>
      <c r="C401" s="3">
        <v>45644</v>
      </c>
      <c r="D401" s="3">
        <v>45646</v>
      </c>
      <c r="E401" s="2">
        <v>2</v>
      </c>
      <c r="F401" s="2" t="s">
        <v>28</v>
      </c>
      <c r="G401" t="str">
        <f t="shared" ca="1" si="24"/>
        <v>Not coming events</v>
      </c>
      <c r="H401">
        <f t="shared" si="25"/>
        <v>2</v>
      </c>
      <c r="I401" t="str">
        <f t="shared" si="26"/>
        <v>Dec</v>
      </c>
      <c r="J401" t="str">
        <f t="shared" si="27"/>
        <v>Product Launch-A. Sharma</v>
      </c>
    </row>
    <row r="402" spans="1:10" x14ac:dyDescent="0.4">
      <c r="A402" s="2" t="s">
        <v>1687</v>
      </c>
      <c r="B402" s="2" t="s">
        <v>1282</v>
      </c>
      <c r="C402" s="3">
        <v>45468</v>
      </c>
      <c r="D402" s="3">
        <v>45470</v>
      </c>
      <c r="E402" s="2">
        <v>2</v>
      </c>
      <c r="F402" s="2" t="s">
        <v>14</v>
      </c>
      <c r="G402" t="str">
        <f t="shared" ca="1" si="24"/>
        <v>Not coming events</v>
      </c>
      <c r="H402">
        <f t="shared" si="25"/>
        <v>2</v>
      </c>
      <c r="I402" t="str">
        <f t="shared" si="26"/>
        <v>Jun</v>
      </c>
      <c r="J402" t="str">
        <f t="shared" si="27"/>
        <v>Annual Review-V. Nair</v>
      </c>
    </row>
    <row r="403" spans="1:10" x14ac:dyDescent="0.4">
      <c r="A403" s="2" t="s">
        <v>1688</v>
      </c>
      <c r="B403" s="2" t="s">
        <v>1286</v>
      </c>
      <c r="C403" s="3">
        <v>45482</v>
      </c>
      <c r="D403" s="3">
        <v>45486</v>
      </c>
      <c r="E403" s="2">
        <v>4</v>
      </c>
      <c r="F403" s="2" t="s">
        <v>28</v>
      </c>
      <c r="G403" t="str">
        <f t="shared" ca="1" si="24"/>
        <v>Not coming events</v>
      </c>
      <c r="H403">
        <f t="shared" si="25"/>
        <v>4</v>
      </c>
      <c r="I403" t="str">
        <f t="shared" si="26"/>
        <v>Jul</v>
      </c>
      <c r="J403" t="str">
        <f t="shared" si="27"/>
        <v>Product Launch-A. Sharma</v>
      </c>
    </row>
    <row r="404" spans="1:10" x14ac:dyDescent="0.4">
      <c r="A404" s="2" t="s">
        <v>1689</v>
      </c>
      <c r="B404" s="2" t="s">
        <v>1296</v>
      </c>
      <c r="C404" s="3">
        <v>45449</v>
      </c>
      <c r="D404" s="3">
        <v>45453</v>
      </c>
      <c r="E404" s="2">
        <v>4</v>
      </c>
      <c r="F404" s="2" t="s">
        <v>21</v>
      </c>
      <c r="G404" t="str">
        <f t="shared" ca="1" si="24"/>
        <v>Not coming events</v>
      </c>
      <c r="H404">
        <f t="shared" si="25"/>
        <v>4</v>
      </c>
      <c r="I404" t="str">
        <f t="shared" si="26"/>
        <v>Jun</v>
      </c>
      <c r="J404" t="str">
        <f t="shared" si="27"/>
        <v>Client Presentation-R. Patel</v>
      </c>
    </row>
    <row r="405" spans="1:10" x14ac:dyDescent="0.4">
      <c r="A405" s="2" t="s">
        <v>1690</v>
      </c>
      <c r="B405" s="2" t="s">
        <v>1296</v>
      </c>
      <c r="C405" s="3">
        <v>45311</v>
      </c>
      <c r="D405" s="3">
        <v>45312</v>
      </c>
      <c r="E405" s="2">
        <v>1</v>
      </c>
      <c r="F405" s="2" t="s">
        <v>14</v>
      </c>
      <c r="G405" t="str">
        <f t="shared" ca="1" si="24"/>
        <v>Not coming events</v>
      </c>
      <c r="H405">
        <f t="shared" si="25"/>
        <v>1</v>
      </c>
      <c r="I405" t="str">
        <f t="shared" si="26"/>
        <v>Jan</v>
      </c>
      <c r="J405" t="str">
        <f t="shared" si="27"/>
        <v>Client Presentation-V. Nair</v>
      </c>
    </row>
    <row r="406" spans="1:10" x14ac:dyDescent="0.4">
      <c r="A406" s="2" t="s">
        <v>1691</v>
      </c>
      <c r="B406" s="2" t="s">
        <v>1282</v>
      </c>
      <c r="C406" s="3">
        <v>45306</v>
      </c>
      <c r="D406" s="3">
        <v>45308</v>
      </c>
      <c r="E406" s="2">
        <v>2</v>
      </c>
      <c r="F406" s="2" t="s">
        <v>64</v>
      </c>
      <c r="G406" t="str">
        <f t="shared" ca="1" si="24"/>
        <v>Not coming events</v>
      </c>
      <c r="H406">
        <f t="shared" si="25"/>
        <v>2</v>
      </c>
      <c r="I406" t="str">
        <f t="shared" si="26"/>
        <v>Jan</v>
      </c>
      <c r="J406" t="str">
        <f t="shared" si="27"/>
        <v>Annual Review-M. Khan</v>
      </c>
    </row>
    <row r="407" spans="1:10" x14ac:dyDescent="0.4">
      <c r="A407" s="2" t="s">
        <v>1692</v>
      </c>
      <c r="B407" s="2" t="s">
        <v>1301</v>
      </c>
      <c r="C407" s="3">
        <v>45553</v>
      </c>
      <c r="D407" s="3">
        <v>45557</v>
      </c>
      <c r="E407" s="2">
        <v>4</v>
      </c>
      <c r="F407" s="2" t="s">
        <v>21</v>
      </c>
      <c r="G407" t="str">
        <f t="shared" ca="1" si="24"/>
        <v>Not coming events</v>
      </c>
      <c r="H407">
        <f t="shared" si="25"/>
        <v>4</v>
      </c>
      <c r="I407" t="str">
        <f t="shared" si="26"/>
        <v>Sep</v>
      </c>
      <c r="J407" t="str">
        <f t="shared" si="27"/>
        <v>Training Session-R. Patel</v>
      </c>
    </row>
    <row r="408" spans="1:10" x14ac:dyDescent="0.4">
      <c r="A408" s="2" t="s">
        <v>1693</v>
      </c>
      <c r="B408" s="2" t="s">
        <v>1282</v>
      </c>
      <c r="C408" s="3">
        <v>45567</v>
      </c>
      <c r="D408" s="3">
        <v>45572</v>
      </c>
      <c r="E408" s="2">
        <v>5</v>
      </c>
      <c r="F408" s="2" t="s">
        <v>55</v>
      </c>
      <c r="G408" t="str">
        <f t="shared" ca="1" si="24"/>
        <v>Not coming events</v>
      </c>
      <c r="H408">
        <f t="shared" si="25"/>
        <v>5</v>
      </c>
      <c r="I408" t="str">
        <f t="shared" si="26"/>
        <v>Oct</v>
      </c>
      <c r="J408" t="str">
        <f t="shared" si="27"/>
        <v>Annual Review-S. Gupta</v>
      </c>
    </row>
    <row r="409" spans="1:10" x14ac:dyDescent="0.4">
      <c r="A409" s="2" t="s">
        <v>1694</v>
      </c>
      <c r="B409" s="2" t="s">
        <v>1296</v>
      </c>
      <c r="C409" s="3">
        <v>45383</v>
      </c>
      <c r="D409" s="3">
        <v>45387</v>
      </c>
      <c r="E409" s="2">
        <v>4</v>
      </c>
      <c r="F409" s="2" t="s">
        <v>14</v>
      </c>
      <c r="G409" t="str">
        <f t="shared" ca="1" si="24"/>
        <v>Not coming events</v>
      </c>
      <c r="H409">
        <f t="shared" si="25"/>
        <v>4</v>
      </c>
      <c r="I409" t="str">
        <f t="shared" si="26"/>
        <v>Apr</v>
      </c>
      <c r="J409" t="str">
        <f t="shared" si="27"/>
        <v>Client Presentation-V. Nair</v>
      </c>
    </row>
    <row r="410" spans="1:10" x14ac:dyDescent="0.4">
      <c r="A410" s="2" t="s">
        <v>1695</v>
      </c>
      <c r="B410" s="2" t="s">
        <v>1282</v>
      </c>
      <c r="C410" s="3">
        <v>45408</v>
      </c>
      <c r="D410" s="3">
        <v>45412</v>
      </c>
      <c r="E410" s="2">
        <v>4</v>
      </c>
      <c r="F410" s="2" t="s">
        <v>55</v>
      </c>
      <c r="G410" t="str">
        <f t="shared" ca="1" si="24"/>
        <v>Not coming events</v>
      </c>
      <c r="H410">
        <f t="shared" si="25"/>
        <v>4</v>
      </c>
      <c r="I410" t="str">
        <f t="shared" si="26"/>
        <v>Apr</v>
      </c>
      <c r="J410" t="str">
        <f t="shared" si="27"/>
        <v>Annual Review-S. Gupta</v>
      </c>
    </row>
    <row r="411" spans="1:10" x14ac:dyDescent="0.4">
      <c r="A411" s="2" t="s">
        <v>1696</v>
      </c>
      <c r="B411" s="2" t="s">
        <v>1284</v>
      </c>
      <c r="C411" s="3">
        <v>45563</v>
      </c>
      <c r="D411" s="3">
        <v>45568</v>
      </c>
      <c r="E411" s="2">
        <v>5</v>
      </c>
      <c r="F411" s="2" t="s">
        <v>64</v>
      </c>
      <c r="G411" t="str">
        <f t="shared" ca="1" si="24"/>
        <v>Not coming events</v>
      </c>
      <c r="H411">
        <f t="shared" si="25"/>
        <v>5</v>
      </c>
      <c r="I411" t="str">
        <f t="shared" si="26"/>
        <v>Sep</v>
      </c>
      <c r="J411" t="str">
        <f t="shared" si="27"/>
        <v>Workshop-M. Khan</v>
      </c>
    </row>
    <row r="412" spans="1:10" x14ac:dyDescent="0.4">
      <c r="A412" s="2" t="s">
        <v>1697</v>
      </c>
      <c r="B412" s="2" t="s">
        <v>1282</v>
      </c>
      <c r="C412" s="3">
        <v>45326</v>
      </c>
      <c r="D412" s="3">
        <v>45327</v>
      </c>
      <c r="E412" s="2">
        <v>1</v>
      </c>
      <c r="F412" s="2" t="s">
        <v>28</v>
      </c>
      <c r="G412" t="str">
        <f t="shared" ca="1" si="24"/>
        <v>Not coming events</v>
      </c>
      <c r="H412">
        <f t="shared" si="25"/>
        <v>1</v>
      </c>
      <c r="I412" t="str">
        <f t="shared" si="26"/>
        <v>Feb</v>
      </c>
      <c r="J412" t="str">
        <f t="shared" si="27"/>
        <v>Annual Review-A. Sharma</v>
      </c>
    </row>
    <row r="413" spans="1:10" x14ac:dyDescent="0.4">
      <c r="A413" s="2" t="s">
        <v>1698</v>
      </c>
      <c r="B413" s="2" t="s">
        <v>1282</v>
      </c>
      <c r="C413" s="3">
        <v>45358</v>
      </c>
      <c r="D413" s="3">
        <v>45361</v>
      </c>
      <c r="E413" s="2">
        <v>3</v>
      </c>
      <c r="F413" s="2" t="s">
        <v>64</v>
      </c>
      <c r="G413" t="str">
        <f t="shared" ca="1" si="24"/>
        <v>Not coming events</v>
      </c>
      <c r="H413">
        <f t="shared" si="25"/>
        <v>3</v>
      </c>
      <c r="I413" t="str">
        <f t="shared" si="26"/>
        <v>Mar</v>
      </c>
      <c r="J413" t="str">
        <f t="shared" si="27"/>
        <v>Annual Review-M. Khan</v>
      </c>
    </row>
    <row r="414" spans="1:10" x14ac:dyDescent="0.4">
      <c r="A414" s="2" t="s">
        <v>1699</v>
      </c>
      <c r="B414" s="2" t="s">
        <v>1288</v>
      </c>
      <c r="C414" s="3">
        <v>45333</v>
      </c>
      <c r="D414" s="3">
        <v>45337</v>
      </c>
      <c r="E414" s="2">
        <v>4</v>
      </c>
      <c r="F414" s="2" t="s">
        <v>21</v>
      </c>
      <c r="G414" t="str">
        <f t="shared" ca="1" si="24"/>
        <v>Not coming events</v>
      </c>
      <c r="H414">
        <f t="shared" si="25"/>
        <v>4</v>
      </c>
      <c r="I414" t="str">
        <f t="shared" si="26"/>
        <v>Feb</v>
      </c>
      <c r="J414" t="str">
        <f t="shared" si="27"/>
        <v>Team Meeting-R. Patel</v>
      </c>
    </row>
    <row r="415" spans="1:10" x14ac:dyDescent="0.4">
      <c r="A415" s="2" t="s">
        <v>1700</v>
      </c>
      <c r="B415" s="2" t="s">
        <v>1288</v>
      </c>
      <c r="C415" s="3">
        <v>45473</v>
      </c>
      <c r="D415" s="3">
        <v>45477</v>
      </c>
      <c r="E415" s="2">
        <v>4</v>
      </c>
      <c r="F415" s="2" t="s">
        <v>21</v>
      </c>
      <c r="G415" t="str">
        <f t="shared" ca="1" si="24"/>
        <v>Not coming events</v>
      </c>
      <c r="H415">
        <f t="shared" si="25"/>
        <v>4</v>
      </c>
      <c r="I415" t="str">
        <f t="shared" si="26"/>
        <v>Jun</v>
      </c>
      <c r="J415" t="str">
        <f t="shared" si="27"/>
        <v>Team Meeting-R. Patel</v>
      </c>
    </row>
    <row r="416" spans="1:10" x14ac:dyDescent="0.4">
      <c r="A416" s="2" t="s">
        <v>1701</v>
      </c>
      <c r="B416" s="2" t="s">
        <v>1296</v>
      </c>
      <c r="C416" s="3">
        <v>45494</v>
      </c>
      <c r="D416" s="3">
        <v>45497</v>
      </c>
      <c r="E416" s="2">
        <v>3</v>
      </c>
      <c r="F416" s="2" t="s">
        <v>21</v>
      </c>
      <c r="G416" t="str">
        <f t="shared" ca="1" si="24"/>
        <v>Not coming events</v>
      </c>
      <c r="H416">
        <f t="shared" si="25"/>
        <v>3</v>
      </c>
      <c r="I416" t="str">
        <f t="shared" si="26"/>
        <v>Jul</v>
      </c>
      <c r="J416" t="str">
        <f t="shared" si="27"/>
        <v>Client Presentation-R. Patel</v>
      </c>
    </row>
    <row r="417" spans="1:10" x14ac:dyDescent="0.4">
      <c r="A417" s="2" t="s">
        <v>1702</v>
      </c>
      <c r="B417" s="2" t="s">
        <v>1288</v>
      </c>
      <c r="C417" s="3">
        <v>45591</v>
      </c>
      <c r="D417" s="3">
        <v>45595</v>
      </c>
      <c r="E417" s="2">
        <v>4</v>
      </c>
      <c r="F417" s="2" t="s">
        <v>64</v>
      </c>
      <c r="G417" t="str">
        <f t="shared" ca="1" si="24"/>
        <v>Not coming events</v>
      </c>
      <c r="H417">
        <f t="shared" si="25"/>
        <v>4</v>
      </c>
      <c r="I417" t="str">
        <f t="shared" si="26"/>
        <v>Oct</v>
      </c>
      <c r="J417" t="str">
        <f t="shared" si="27"/>
        <v>Team Meeting-M. Khan</v>
      </c>
    </row>
    <row r="418" spans="1:10" x14ac:dyDescent="0.4">
      <c r="A418" s="2" t="s">
        <v>1703</v>
      </c>
      <c r="B418" s="2" t="s">
        <v>1286</v>
      </c>
      <c r="C418" s="3">
        <v>45346</v>
      </c>
      <c r="D418" s="3">
        <v>45350</v>
      </c>
      <c r="E418" s="2">
        <v>4</v>
      </c>
      <c r="F418" s="2" t="s">
        <v>14</v>
      </c>
      <c r="G418" t="str">
        <f t="shared" ca="1" si="24"/>
        <v>Not coming events</v>
      </c>
      <c r="H418">
        <f t="shared" si="25"/>
        <v>4</v>
      </c>
      <c r="I418" t="str">
        <f t="shared" si="26"/>
        <v>Feb</v>
      </c>
      <c r="J418" t="str">
        <f t="shared" si="27"/>
        <v>Product Launch-V. Nair</v>
      </c>
    </row>
    <row r="419" spans="1:10" x14ac:dyDescent="0.4">
      <c r="A419" s="2" t="s">
        <v>1704</v>
      </c>
      <c r="B419" s="2" t="s">
        <v>1284</v>
      </c>
      <c r="C419" s="3">
        <v>45525</v>
      </c>
      <c r="D419" s="3">
        <v>45529</v>
      </c>
      <c r="E419" s="2">
        <v>4</v>
      </c>
      <c r="F419" s="2" t="s">
        <v>28</v>
      </c>
      <c r="G419" t="str">
        <f t="shared" ca="1" si="24"/>
        <v>Not coming events</v>
      </c>
      <c r="H419">
        <f t="shared" si="25"/>
        <v>4</v>
      </c>
      <c r="I419" t="str">
        <f t="shared" si="26"/>
        <v>Aug</v>
      </c>
      <c r="J419" t="str">
        <f t="shared" si="27"/>
        <v>Workshop-A. Sharma</v>
      </c>
    </row>
    <row r="420" spans="1:10" x14ac:dyDescent="0.4">
      <c r="A420" s="2" t="s">
        <v>1705</v>
      </c>
      <c r="B420" s="2" t="s">
        <v>1284</v>
      </c>
      <c r="C420" s="3">
        <v>45584</v>
      </c>
      <c r="D420" s="3">
        <v>45586</v>
      </c>
      <c r="E420" s="2">
        <v>2</v>
      </c>
      <c r="F420" s="2" t="s">
        <v>64</v>
      </c>
      <c r="G420" t="str">
        <f t="shared" ca="1" si="24"/>
        <v>Not coming events</v>
      </c>
      <c r="H420">
        <f t="shared" si="25"/>
        <v>2</v>
      </c>
      <c r="I420" t="str">
        <f t="shared" si="26"/>
        <v>Oct</v>
      </c>
      <c r="J420" t="str">
        <f t="shared" si="27"/>
        <v>Workshop-M. Khan</v>
      </c>
    </row>
    <row r="421" spans="1:10" x14ac:dyDescent="0.4">
      <c r="A421" s="2" t="s">
        <v>1706</v>
      </c>
      <c r="B421" s="2" t="s">
        <v>1286</v>
      </c>
      <c r="C421" s="3">
        <v>45382</v>
      </c>
      <c r="D421" s="3">
        <v>45384</v>
      </c>
      <c r="E421" s="2">
        <v>2</v>
      </c>
      <c r="F421" s="2" t="s">
        <v>55</v>
      </c>
      <c r="G421" t="str">
        <f t="shared" ca="1" si="24"/>
        <v>Not coming events</v>
      </c>
      <c r="H421">
        <f t="shared" si="25"/>
        <v>2</v>
      </c>
      <c r="I421" t="str">
        <f t="shared" si="26"/>
        <v>Mar</v>
      </c>
      <c r="J421" t="str">
        <f t="shared" si="27"/>
        <v>Product Launch-S. Gupta</v>
      </c>
    </row>
    <row r="422" spans="1:10" x14ac:dyDescent="0.4">
      <c r="A422" s="2" t="s">
        <v>1707</v>
      </c>
      <c r="B422" s="2" t="s">
        <v>1282</v>
      </c>
      <c r="C422" s="3">
        <v>45350</v>
      </c>
      <c r="D422" s="3">
        <v>45351</v>
      </c>
      <c r="E422" s="2">
        <v>1</v>
      </c>
      <c r="F422" s="2" t="s">
        <v>14</v>
      </c>
      <c r="G422" t="str">
        <f t="shared" ca="1" si="24"/>
        <v>Not coming events</v>
      </c>
      <c r="H422">
        <f t="shared" si="25"/>
        <v>1</v>
      </c>
      <c r="I422" t="str">
        <f t="shared" si="26"/>
        <v>Feb</v>
      </c>
      <c r="J422" t="str">
        <f t="shared" si="27"/>
        <v>Annual Review-V. Nair</v>
      </c>
    </row>
    <row r="423" spans="1:10" x14ac:dyDescent="0.4">
      <c r="A423" s="2" t="s">
        <v>1708</v>
      </c>
      <c r="B423" s="2" t="s">
        <v>1286</v>
      </c>
      <c r="C423" s="3">
        <v>45532</v>
      </c>
      <c r="D423" s="3">
        <v>45534</v>
      </c>
      <c r="E423" s="2">
        <v>2</v>
      </c>
      <c r="F423" s="2" t="s">
        <v>21</v>
      </c>
      <c r="G423" t="str">
        <f t="shared" ca="1" si="24"/>
        <v>Not coming events</v>
      </c>
      <c r="H423">
        <f t="shared" si="25"/>
        <v>2</v>
      </c>
      <c r="I423" t="str">
        <f t="shared" si="26"/>
        <v>Aug</v>
      </c>
      <c r="J423" t="str">
        <f t="shared" si="27"/>
        <v>Product Launch-R. Patel</v>
      </c>
    </row>
    <row r="424" spans="1:10" x14ac:dyDescent="0.4">
      <c r="A424" s="2" t="s">
        <v>1709</v>
      </c>
      <c r="B424" s="2" t="s">
        <v>1286</v>
      </c>
      <c r="C424" s="3">
        <v>45623</v>
      </c>
      <c r="D424" s="3">
        <v>45624</v>
      </c>
      <c r="E424" s="2">
        <v>1</v>
      </c>
      <c r="F424" s="2" t="s">
        <v>28</v>
      </c>
      <c r="G424" t="str">
        <f t="shared" ca="1" si="24"/>
        <v>Not coming events</v>
      </c>
      <c r="H424">
        <f t="shared" si="25"/>
        <v>1</v>
      </c>
      <c r="I424" t="str">
        <f t="shared" si="26"/>
        <v>Nov</v>
      </c>
      <c r="J424" t="str">
        <f t="shared" si="27"/>
        <v>Product Launch-A. Sharma</v>
      </c>
    </row>
    <row r="425" spans="1:10" x14ac:dyDescent="0.4">
      <c r="A425" s="2" t="s">
        <v>1710</v>
      </c>
      <c r="B425" s="2" t="s">
        <v>1284</v>
      </c>
      <c r="C425" s="3">
        <v>45619</v>
      </c>
      <c r="D425" s="3">
        <v>45620</v>
      </c>
      <c r="E425" s="2">
        <v>1</v>
      </c>
      <c r="F425" s="2" t="s">
        <v>21</v>
      </c>
      <c r="G425" t="str">
        <f t="shared" ca="1" si="24"/>
        <v>Not coming events</v>
      </c>
      <c r="H425">
        <f t="shared" si="25"/>
        <v>1</v>
      </c>
      <c r="I425" t="str">
        <f t="shared" si="26"/>
        <v>Nov</v>
      </c>
      <c r="J425" t="str">
        <f t="shared" si="27"/>
        <v>Workshop-R. Patel</v>
      </c>
    </row>
    <row r="426" spans="1:10" x14ac:dyDescent="0.4">
      <c r="A426" s="2" t="s">
        <v>1711</v>
      </c>
      <c r="B426" s="2" t="s">
        <v>1301</v>
      </c>
      <c r="C426" s="3">
        <v>45646</v>
      </c>
      <c r="D426" s="3">
        <v>45651</v>
      </c>
      <c r="E426" s="2">
        <v>5</v>
      </c>
      <c r="F426" s="2" t="s">
        <v>21</v>
      </c>
      <c r="G426" t="str">
        <f t="shared" ca="1" si="24"/>
        <v>Not coming events</v>
      </c>
      <c r="H426">
        <f t="shared" si="25"/>
        <v>5</v>
      </c>
      <c r="I426" t="str">
        <f t="shared" si="26"/>
        <v>Dec</v>
      </c>
      <c r="J426" t="str">
        <f t="shared" si="27"/>
        <v>Training Session-R. Patel</v>
      </c>
    </row>
    <row r="427" spans="1:10" x14ac:dyDescent="0.4">
      <c r="A427" s="2" t="s">
        <v>1712</v>
      </c>
      <c r="B427" s="2" t="s">
        <v>1286</v>
      </c>
      <c r="C427" s="3">
        <v>45436</v>
      </c>
      <c r="D427" s="3">
        <v>45439</v>
      </c>
      <c r="E427" s="2">
        <v>3</v>
      </c>
      <c r="F427" s="2" t="s">
        <v>64</v>
      </c>
      <c r="G427" t="str">
        <f t="shared" ca="1" si="24"/>
        <v>Not coming events</v>
      </c>
      <c r="H427">
        <f t="shared" si="25"/>
        <v>3</v>
      </c>
      <c r="I427" t="str">
        <f t="shared" si="26"/>
        <v>May</v>
      </c>
      <c r="J427" t="str">
        <f t="shared" si="27"/>
        <v>Product Launch-M. Khan</v>
      </c>
    </row>
    <row r="428" spans="1:10" x14ac:dyDescent="0.4">
      <c r="A428" s="2" t="s">
        <v>1713</v>
      </c>
      <c r="B428" s="2" t="s">
        <v>1296</v>
      </c>
      <c r="C428" s="3">
        <v>45516</v>
      </c>
      <c r="D428" s="3">
        <v>45517</v>
      </c>
      <c r="E428" s="2">
        <v>1</v>
      </c>
      <c r="F428" s="2" t="s">
        <v>28</v>
      </c>
      <c r="G428" t="str">
        <f t="shared" ca="1" si="24"/>
        <v>Not coming events</v>
      </c>
      <c r="H428">
        <f t="shared" si="25"/>
        <v>1</v>
      </c>
      <c r="I428" t="str">
        <f t="shared" si="26"/>
        <v>Aug</v>
      </c>
      <c r="J428" t="str">
        <f t="shared" si="27"/>
        <v>Client Presentation-A. Sharma</v>
      </c>
    </row>
    <row r="429" spans="1:10" x14ac:dyDescent="0.4">
      <c r="A429" s="2" t="s">
        <v>1714</v>
      </c>
      <c r="B429" s="2" t="s">
        <v>1288</v>
      </c>
      <c r="C429" s="3">
        <v>45591</v>
      </c>
      <c r="D429" s="3">
        <v>45593</v>
      </c>
      <c r="E429" s="2">
        <v>2</v>
      </c>
      <c r="F429" s="2" t="s">
        <v>21</v>
      </c>
      <c r="G429" t="str">
        <f t="shared" ca="1" si="24"/>
        <v>Not coming events</v>
      </c>
      <c r="H429">
        <f t="shared" si="25"/>
        <v>2</v>
      </c>
      <c r="I429" t="str">
        <f t="shared" si="26"/>
        <v>Oct</v>
      </c>
      <c r="J429" t="str">
        <f t="shared" si="27"/>
        <v>Team Meeting-R. Patel</v>
      </c>
    </row>
    <row r="430" spans="1:10" x14ac:dyDescent="0.4">
      <c r="A430" s="2" t="s">
        <v>1715</v>
      </c>
      <c r="B430" s="2" t="s">
        <v>1282</v>
      </c>
      <c r="C430" s="3">
        <v>45343</v>
      </c>
      <c r="D430" s="3">
        <v>45348</v>
      </c>
      <c r="E430" s="2">
        <v>5</v>
      </c>
      <c r="F430" s="2" t="s">
        <v>64</v>
      </c>
      <c r="G430" t="str">
        <f t="shared" ca="1" si="24"/>
        <v>Not coming events</v>
      </c>
      <c r="H430">
        <f t="shared" si="25"/>
        <v>5</v>
      </c>
      <c r="I430" t="str">
        <f t="shared" si="26"/>
        <v>Feb</v>
      </c>
      <c r="J430" t="str">
        <f t="shared" si="27"/>
        <v>Annual Review-M. Khan</v>
      </c>
    </row>
    <row r="431" spans="1:10" x14ac:dyDescent="0.4">
      <c r="A431" s="2" t="s">
        <v>1716</v>
      </c>
      <c r="B431" s="2" t="s">
        <v>1284</v>
      </c>
      <c r="C431" s="3">
        <v>45585</v>
      </c>
      <c r="D431" s="3">
        <v>45586</v>
      </c>
      <c r="E431" s="2">
        <v>1</v>
      </c>
      <c r="F431" s="2" t="s">
        <v>64</v>
      </c>
      <c r="G431" t="str">
        <f t="shared" ca="1" si="24"/>
        <v>Not coming events</v>
      </c>
      <c r="H431">
        <f t="shared" si="25"/>
        <v>1</v>
      </c>
      <c r="I431" t="str">
        <f t="shared" si="26"/>
        <v>Oct</v>
      </c>
      <c r="J431" t="str">
        <f t="shared" si="27"/>
        <v>Workshop-M. Khan</v>
      </c>
    </row>
    <row r="432" spans="1:10" x14ac:dyDescent="0.4">
      <c r="A432" s="2" t="s">
        <v>1717</v>
      </c>
      <c r="B432" s="2" t="s">
        <v>1286</v>
      </c>
      <c r="C432" s="3">
        <v>45489</v>
      </c>
      <c r="D432" s="3">
        <v>45491</v>
      </c>
      <c r="E432" s="2">
        <v>2</v>
      </c>
      <c r="F432" s="2" t="s">
        <v>55</v>
      </c>
      <c r="G432" t="str">
        <f t="shared" ca="1" si="24"/>
        <v>Not coming events</v>
      </c>
      <c r="H432">
        <f t="shared" si="25"/>
        <v>2</v>
      </c>
      <c r="I432" t="str">
        <f t="shared" si="26"/>
        <v>Jul</v>
      </c>
      <c r="J432" t="str">
        <f t="shared" si="27"/>
        <v>Product Launch-S. Gupta</v>
      </c>
    </row>
    <row r="433" spans="1:10" x14ac:dyDescent="0.4">
      <c r="A433" s="2" t="s">
        <v>1718</v>
      </c>
      <c r="B433" s="2" t="s">
        <v>1301</v>
      </c>
      <c r="C433" s="3">
        <v>45447</v>
      </c>
      <c r="D433" s="3">
        <v>45450</v>
      </c>
      <c r="E433" s="2">
        <v>3</v>
      </c>
      <c r="F433" s="2" t="s">
        <v>28</v>
      </c>
      <c r="G433" t="str">
        <f t="shared" ca="1" si="24"/>
        <v>Not coming events</v>
      </c>
      <c r="H433">
        <f t="shared" si="25"/>
        <v>3</v>
      </c>
      <c r="I433" t="str">
        <f t="shared" si="26"/>
        <v>Jun</v>
      </c>
      <c r="J433" t="str">
        <f t="shared" si="27"/>
        <v>Training Session-A. Sharma</v>
      </c>
    </row>
    <row r="434" spans="1:10" x14ac:dyDescent="0.4">
      <c r="A434" s="2" t="s">
        <v>1719</v>
      </c>
      <c r="B434" s="2" t="s">
        <v>1284</v>
      </c>
      <c r="C434" s="3">
        <v>45535</v>
      </c>
      <c r="D434" s="3">
        <v>45540</v>
      </c>
      <c r="E434" s="2">
        <v>5</v>
      </c>
      <c r="F434" s="2" t="s">
        <v>64</v>
      </c>
      <c r="G434" t="str">
        <f t="shared" ca="1" si="24"/>
        <v>Not coming events</v>
      </c>
      <c r="H434">
        <f t="shared" si="25"/>
        <v>5</v>
      </c>
      <c r="I434" t="str">
        <f t="shared" si="26"/>
        <v>Aug</v>
      </c>
      <c r="J434" t="str">
        <f t="shared" si="27"/>
        <v>Workshop-M. Khan</v>
      </c>
    </row>
    <row r="435" spans="1:10" x14ac:dyDescent="0.4">
      <c r="A435" s="2" t="s">
        <v>1720</v>
      </c>
      <c r="B435" s="2" t="s">
        <v>1288</v>
      </c>
      <c r="C435" s="3">
        <v>45317</v>
      </c>
      <c r="D435" s="3">
        <v>45322</v>
      </c>
      <c r="E435" s="2">
        <v>5</v>
      </c>
      <c r="F435" s="2" t="s">
        <v>64</v>
      </c>
      <c r="G435" t="str">
        <f t="shared" ca="1" si="24"/>
        <v>Not coming events</v>
      </c>
      <c r="H435">
        <f t="shared" si="25"/>
        <v>5</v>
      </c>
      <c r="I435" t="str">
        <f t="shared" si="26"/>
        <v>Jan</v>
      </c>
      <c r="J435" t="str">
        <f t="shared" si="27"/>
        <v>Team Meeting-M. Khan</v>
      </c>
    </row>
    <row r="436" spans="1:10" x14ac:dyDescent="0.4">
      <c r="A436" s="2" t="s">
        <v>1721</v>
      </c>
      <c r="B436" s="2" t="s">
        <v>1284</v>
      </c>
      <c r="C436" s="3">
        <v>45536</v>
      </c>
      <c r="D436" s="3">
        <v>45541</v>
      </c>
      <c r="E436" s="2">
        <v>5</v>
      </c>
      <c r="F436" s="2" t="s">
        <v>64</v>
      </c>
      <c r="G436" t="str">
        <f t="shared" ca="1" si="24"/>
        <v>Not coming events</v>
      </c>
      <c r="H436">
        <f t="shared" si="25"/>
        <v>5</v>
      </c>
      <c r="I436" t="str">
        <f t="shared" si="26"/>
        <v>Sep</v>
      </c>
      <c r="J436" t="str">
        <f t="shared" si="27"/>
        <v>Workshop-M. Khan</v>
      </c>
    </row>
    <row r="437" spans="1:10" x14ac:dyDescent="0.4">
      <c r="A437" s="2" t="s">
        <v>1722</v>
      </c>
      <c r="B437" s="2" t="s">
        <v>1284</v>
      </c>
      <c r="C437" s="3">
        <v>45631</v>
      </c>
      <c r="D437" s="3">
        <v>45635</v>
      </c>
      <c r="E437" s="2">
        <v>4</v>
      </c>
      <c r="F437" s="2" t="s">
        <v>14</v>
      </c>
      <c r="G437" t="str">
        <f t="shared" ca="1" si="24"/>
        <v>Not coming events</v>
      </c>
      <c r="H437">
        <f t="shared" si="25"/>
        <v>4</v>
      </c>
      <c r="I437" t="str">
        <f t="shared" si="26"/>
        <v>Dec</v>
      </c>
      <c r="J437" t="str">
        <f t="shared" si="27"/>
        <v>Workshop-V. Nair</v>
      </c>
    </row>
    <row r="438" spans="1:10" x14ac:dyDescent="0.4">
      <c r="A438" s="2" t="s">
        <v>1723</v>
      </c>
      <c r="B438" s="2" t="s">
        <v>1296</v>
      </c>
      <c r="C438" s="3">
        <v>45566</v>
      </c>
      <c r="D438" s="3">
        <v>45568</v>
      </c>
      <c r="E438" s="2">
        <v>2</v>
      </c>
      <c r="F438" s="2" t="s">
        <v>64</v>
      </c>
      <c r="G438" t="str">
        <f t="shared" ca="1" si="24"/>
        <v>Not coming events</v>
      </c>
      <c r="H438">
        <f t="shared" si="25"/>
        <v>2</v>
      </c>
      <c r="I438" t="str">
        <f t="shared" si="26"/>
        <v>Oct</v>
      </c>
      <c r="J438" t="str">
        <f t="shared" si="27"/>
        <v>Client Presentation-M. Khan</v>
      </c>
    </row>
    <row r="439" spans="1:10" x14ac:dyDescent="0.4">
      <c r="A439" s="2" t="s">
        <v>1724</v>
      </c>
      <c r="B439" s="2" t="s">
        <v>1286</v>
      </c>
      <c r="C439" s="3">
        <v>45475</v>
      </c>
      <c r="D439" s="3">
        <v>45477</v>
      </c>
      <c r="E439" s="2">
        <v>2</v>
      </c>
      <c r="F439" s="2" t="s">
        <v>28</v>
      </c>
      <c r="G439" t="str">
        <f t="shared" ca="1" si="24"/>
        <v>Not coming events</v>
      </c>
      <c r="H439">
        <f t="shared" si="25"/>
        <v>2</v>
      </c>
      <c r="I439" t="str">
        <f t="shared" si="26"/>
        <v>Jul</v>
      </c>
      <c r="J439" t="str">
        <f t="shared" si="27"/>
        <v>Product Launch-A. Sharma</v>
      </c>
    </row>
    <row r="440" spans="1:10" x14ac:dyDescent="0.4">
      <c r="A440" s="2" t="s">
        <v>1725</v>
      </c>
      <c r="B440" s="2" t="s">
        <v>1288</v>
      </c>
      <c r="C440" s="3">
        <v>45557</v>
      </c>
      <c r="D440" s="3">
        <v>45562</v>
      </c>
      <c r="E440" s="2">
        <v>5</v>
      </c>
      <c r="F440" s="2" t="s">
        <v>14</v>
      </c>
      <c r="G440" t="str">
        <f t="shared" ca="1" si="24"/>
        <v>Not coming events</v>
      </c>
      <c r="H440">
        <f t="shared" si="25"/>
        <v>5</v>
      </c>
      <c r="I440" t="str">
        <f t="shared" si="26"/>
        <v>Sep</v>
      </c>
      <c r="J440" t="str">
        <f t="shared" si="27"/>
        <v>Team Meeting-V. Nair</v>
      </c>
    </row>
    <row r="441" spans="1:10" x14ac:dyDescent="0.4">
      <c r="A441" s="2" t="s">
        <v>1726</v>
      </c>
      <c r="B441" s="2" t="s">
        <v>1284</v>
      </c>
      <c r="C441" s="3">
        <v>45511</v>
      </c>
      <c r="D441" s="3">
        <v>45513</v>
      </c>
      <c r="E441" s="2">
        <v>2</v>
      </c>
      <c r="F441" s="2" t="s">
        <v>55</v>
      </c>
      <c r="G441" t="str">
        <f t="shared" ca="1" si="24"/>
        <v>Not coming events</v>
      </c>
      <c r="H441">
        <f t="shared" si="25"/>
        <v>2</v>
      </c>
      <c r="I441" t="str">
        <f t="shared" si="26"/>
        <v>Aug</v>
      </c>
      <c r="J441" t="str">
        <f t="shared" si="27"/>
        <v>Workshop-S. Gupta</v>
      </c>
    </row>
    <row r="442" spans="1:10" x14ac:dyDescent="0.4">
      <c r="A442" s="2" t="s">
        <v>1727</v>
      </c>
      <c r="B442" s="2" t="s">
        <v>1296</v>
      </c>
      <c r="C442" s="3">
        <v>45607</v>
      </c>
      <c r="D442" s="3">
        <v>45609</v>
      </c>
      <c r="E442" s="2">
        <v>2</v>
      </c>
      <c r="F442" s="2" t="s">
        <v>55</v>
      </c>
      <c r="G442" t="str">
        <f t="shared" ca="1" si="24"/>
        <v>Not coming events</v>
      </c>
      <c r="H442">
        <f t="shared" si="25"/>
        <v>2</v>
      </c>
      <c r="I442" t="str">
        <f t="shared" si="26"/>
        <v>Nov</v>
      </c>
      <c r="J442" t="str">
        <f t="shared" si="27"/>
        <v>Client Presentation-S. Gupta</v>
      </c>
    </row>
    <row r="443" spans="1:10" x14ac:dyDescent="0.4">
      <c r="A443" s="2" t="s">
        <v>1728</v>
      </c>
      <c r="B443" s="2" t="s">
        <v>1301</v>
      </c>
      <c r="C443" s="3">
        <v>45575</v>
      </c>
      <c r="D443" s="3">
        <v>45580</v>
      </c>
      <c r="E443" s="2">
        <v>5</v>
      </c>
      <c r="F443" s="2" t="s">
        <v>28</v>
      </c>
      <c r="G443" t="str">
        <f t="shared" ca="1" si="24"/>
        <v>Not coming events</v>
      </c>
      <c r="H443">
        <f t="shared" si="25"/>
        <v>5</v>
      </c>
      <c r="I443" t="str">
        <f t="shared" si="26"/>
        <v>Oct</v>
      </c>
      <c r="J443" t="str">
        <f t="shared" si="27"/>
        <v>Training Session-A. Sharma</v>
      </c>
    </row>
    <row r="444" spans="1:10" x14ac:dyDescent="0.4">
      <c r="A444" s="2" t="s">
        <v>1729</v>
      </c>
      <c r="B444" s="2" t="s">
        <v>1288</v>
      </c>
      <c r="C444" s="3">
        <v>45441</v>
      </c>
      <c r="D444" s="3">
        <v>45444</v>
      </c>
      <c r="E444" s="2">
        <v>3</v>
      </c>
      <c r="F444" s="2" t="s">
        <v>14</v>
      </c>
      <c r="G444" t="str">
        <f t="shared" ca="1" si="24"/>
        <v>Not coming events</v>
      </c>
      <c r="H444">
        <f t="shared" si="25"/>
        <v>3</v>
      </c>
      <c r="I444" t="str">
        <f t="shared" si="26"/>
        <v>May</v>
      </c>
      <c r="J444" t="str">
        <f t="shared" si="27"/>
        <v>Team Meeting-V. Nair</v>
      </c>
    </row>
    <row r="445" spans="1:10" x14ac:dyDescent="0.4">
      <c r="A445" s="2" t="s">
        <v>1730</v>
      </c>
      <c r="B445" s="2" t="s">
        <v>1296</v>
      </c>
      <c r="C445" s="3">
        <v>45530</v>
      </c>
      <c r="D445" s="3">
        <v>45534</v>
      </c>
      <c r="E445" s="2">
        <v>4</v>
      </c>
      <c r="F445" s="2" t="s">
        <v>28</v>
      </c>
      <c r="G445" t="str">
        <f t="shared" ca="1" si="24"/>
        <v>Not coming events</v>
      </c>
      <c r="H445">
        <f t="shared" si="25"/>
        <v>4</v>
      </c>
      <c r="I445" t="str">
        <f t="shared" si="26"/>
        <v>Aug</v>
      </c>
      <c r="J445" t="str">
        <f t="shared" si="27"/>
        <v>Client Presentation-A. Sharma</v>
      </c>
    </row>
    <row r="446" spans="1:10" x14ac:dyDescent="0.4">
      <c r="A446" s="2" t="s">
        <v>1731</v>
      </c>
      <c r="B446" s="2" t="s">
        <v>1301</v>
      </c>
      <c r="C446" s="3">
        <v>45593</v>
      </c>
      <c r="D446" s="3">
        <v>45595</v>
      </c>
      <c r="E446" s="2">
        <v>2</v>
      </c>
      <c r="F446" s="2" t="s">
        <v>64</v>
      </c>
      <c r="G446" t="str">
        <f t="shared" ca="1" si="24"/>
        <v>Not coming events</v>
      </c>
      <c r="H446">
        <f t="shared" si="25"/>
        <v>2</v>
      </c>
      <c r="I446" t="str">
        <f t="shared" si="26"/>
        <v>Oct</v>
      </c>
      <c r="J446" t="str">
        <f t="shared" si="27"/>
        <v>Training Session-M. Khan</v>
      </c>
    </row>
    <row r="447" spans="1:10" x14ac:dyDescent="0.4">
      <c r="A447" s="2" t="s">
        <v>1732</v>
      </c>
      <c r="B447" s="2" t="s">
        <v>1284</v>
      </c>
      <c r="C447" s="3">
        <v>45492</v>
      </c>
      <c r="D447" s="3">
        <v>45493</v>
      </c>
      <c r="E447" s="2">
        <v>1</v>
      </c>
      <c r="F447" s="2" t="s">
        <v>55</v>
      </c>
      <c r="G447" t="str">
        <f t="shared" ca="1" si="24"/>
        <v>Not coming events</v>
      </c>
      <c r="H447">
        <f t="shared" si="25"/>
        <v>1</v>
      </c>
      <c r="I447" t="str">
        <f t="shared" si="26"/>
        <v>Jul</v>
      </c>
      <c r="J447" t="str">
        <f t="shared" si="27"/>
        <v>Workshop-S. Gupta</v>
      </c>
    </row>
    <row r="448" spans="1:10" x14ac:dyDescent="0.4">
      <c r="A448" s="2" t="s">
        <v>1733</v>
      </c>
      <c r="B448" s="2" t="s">
        <v>1282</v>
      </c>
      <c r="C448" s="3">
        <v>45535</v>
      </c>
      <c r="D448" s="3">
        <v>45537</v>
      </c>
      <c r="E448" s="2">
        <v>2</v>
      </c>
      <c r="F448" s="2" t="s">
        <v>28</v>
      </c>
      <c r="G448" t="str">
        <f t="shared" ca="1" si="24"/>
        <v>Not coming events</v>
      </c>
      <c r="H448">
        <f t="shared" si="25"/>
        <v>2</v>
      </c>
      <c r="I448" t="str">
        <f t="shared" si="26"/>
        <v>Aug</v>
      </c>
      <c r="J448" t="str">
        <f t="shared" si="27"/>
        <v>Annual Review-A. Sharma</v>
      </c>
    </row>
    <row r="449" spans="1:10" x14ac:dyDescent="0.4">
      <c r="A449" s="2" t="s">
        <v>1734</v>
      </c>
      <c r="B449" s="2" t="s">
        <v>1296</v>
      </c>
      <c r="C449" s="3">
        <v>45510</v>
      </c>
      <c r="D449" s="3">
        <v>45514</v>
      </c>
      <c r="E449" s="2">
        <v>4</v>
      </c>
      <c r="F449" s="2" t="s">
        <v>21</v>
      </c>
      <c r="G449" t="str">
        <f t="shared" ca="1" si="24"/>
        <v>Not coming events</v>
      </c>
      <c r="H449">
        <f t="shared" si="25"/>
        <v>4</v>
      </c>
      <c r="I449" t="str">
        <f t="shared" si="26"/>
        <v>Aug</v>
      </c>
      <c r="J449" t="str">
        <f t="shared" si="27"/>
        <v>Client Presentation-R. Patel</v>
      </c>
    </row>
    <row r="450" spans="1:10" x14ac:dyDescent="0.4">
      <c r="A450" s="2" t="s">
        <v>1735</v>
      </c>
      <c r="B450" s="2" t="s">
        <v>1286</v>
      </c>
      <c r="C450" s="3">
        <v>45650</v>
      </c>
      <c r="D450" s="3">
        <v>45653</v>
      </c>
      <c r="E450" s="2">
        <v>3</v>
      </c>
      <c r="F450" s="2" t="s">
        <v>55</v>
      </c>
      <c r="G450" t="str">
        <f t="shared" ca="1" si="24"/>
        <v>Not coming events</v>
      </c>
      <c r="H450">
        <f t="shared" si="25"/>
        <v>3</v>
      </c>
      <c r="I450" t="str">
        <f t="shared" si="26"/>
        <v>Dec</v>
      </c>
      <c r="J450" t="str">
        <f t="shared" si="27"/>
        <v>Product Launch-S. Gupta</v>
      </c>
    </row>
    <row r="451" spans="1:10" x14ac:dyDescent="0.4">
      <c r="A451" s="2" t="s">
        <v>1736</v>
      </c>
      <c r="B451" s="2" t="s">
        <v>1301</v>
      </c>
      <c r="C451" s="3">
        <v>45370</v>
      </c>
      <c r="D451" s="3">
        <v>45374</v>
      </c>
      <c r="E451" s="2">
        <v>4</v>
      </c>
      <c r="F451" s="2" t="s">
        <v>55</v>
      </c>
      <c r="G451" t="str">
        <f t="shared" ref="G451:G501" ca="1" si="28">IF(AND(C451&lt;=TODAY()+30,D451&gt;=TODAY()),"Upcoming","Not coming events")</f>
        <v>Not coming events</v>
      </c>
      <c r="H451">
        <f t="shared" ref="H451:H501" si="29">DATEDIF(C451,D451,"d")</f>
        <v>4</v>
      </c>
      <c r="I451" t="str">
        <f t="shared" ref="I451:I501" si="30">TEXT(C451,"mmm")</f>
        <v>Mar</v>
      </c>
      <c r="J451" t="str">
        <f t="shared" ref="J451:J501" si="31">_xlfn.CONCAT(B451,"-",F451)</f>
        <v>Training Session-S. Gupta</v>
      </c>
    </row>
    <row r="452" spans="1:10" x14ac:dyDescent="0.4">
      <c r="A452" s="2" t="s">
        <v>1737</v>
      </c>
      <c r="B452" s="2" t="s">
        <v>1284</v>
      </c>
      <c r="C452" s="3">
        <v>45489</v>
      </c>
      <c r="D452" s="3">
        <v>45493</v>
      </c>
      <c r="E452" s="2">
        <v>4</v>
      </c>
      <c r="F452" s="2" t="s">
        <v>55</v>
      </c>
      <c r="G452" t="str">
        <f t="shared" ca="1" si="28"/>
        <v>Not coming events</v>
      </c>
      <c r="H452">
        <f t="shared" si="29"/>
        <v>4</v>
      </c>
      <c r="I452" t="str">
        <f t="shared" si="30"/>
        <v>Jul</v>
      </c>
      <c r="J452" t="str">
        <f t="shared" si="31"/>
        <v>Workshop-S. Gupta</v>
      </c>
    </row>
    <row r="453" spans="1:10" x14ac:dyDescent="0.4">
      <c r="A453" s="2" t="s">
        <v>1738</v>
      </c>
      <c r="B453" s="2" t="s">
        <v>1282</v>
      </c>
      <c r="C453" s="3">
        <v>45636</v>
      </c>
      <c r="D453" s="3">
        <v>45641</v>
      </c>
      <c r="E453" s="2">
        <v>5</v>
      </c>
      <c r="F453" s="2" t="s">
        <v>55</v>
      </c>
      <c r="G453" t="str">
        <f t="shared" ca="1" si="28"/>
        <v>Not coming events</v>
      </c>
      <c r="H453">
        <f t="shared" si="29"/>
        <v>5</v>
      </c>
      <c r="I453" t="str">
        <f t="shared" si="30"/>
        <v>Dec</v>
      </c>
      <c r="J453" t="str">
        <f t="shared" si="31"/>
        <v>Annual Review-S. Gupta</v>
      </c>
    </row>
    <row r="454" spans="1:10" x14ac:dyDescent="0.4">
      <c r="A454" s="2" t="s">
        <v>1739</v>
      </c>
      <c r="B454" s="2" t="s">
        <v>1301</v>
      </c>
      <c r="C454" s="3">
        <v>45334</v>
      </c>
      <c r="D454" s="3">
        <v>45335</v>
      </c>
      <c r="E454" s="2">
        <v>1</v>
      </c>
      <c r="F454" s="2" t="s">
        <v>55</v>
      </c>
      <c r="G454" t="str">
        <f t="shared" ca="1" si="28"/>
        <v>Not coming events</v>
      </c>
      <c r="H454">
        <f t="shared" si="29"/>
        <v>1</v>
      </c>
      <c r="I454" t="str">
        <f t="shared" si="30"/>
        <v>Feb</v>
      </c>
      <c r="J454" t="str">
        <f t="shared" si="31"/>
        <v>Training Session-S. Gupta</v>
      </c>
    </row>
    <row r="455" spans="1:10" x14ac:dyDescent="0.4">
      <c r="A455" s="2" t="s">
        <v>1740</v>
      </c>
      <c r="B455" s="2" t="s">
        <v>1284</v>
      </c>
      <c r="C455" s="3">
        <v>45361</v>
      </c>
      <c r="D455" s="3">
        <v>45364</v>
      </c>
      <c r="E455" s="2">
        <v>3</v>
      </c>
      <c r="F455" s="2" t="s">
        <v>64</v>
      </c>
      <c r="G455" t="str">
        <f t="shared" ca="1" si="28"/>
        <v>Not coming events</v>
      </c>
      <c r="H455">
        <f t="shared" si="29"/>
        <v>3</v>
      </c>
      <c r="I455" t="str">
        <f t="shared" si="30"/>
        <v>Mar</v>
      </c>
      <c r="J455" t="str">
        <f t="shared" si="31"/>
        <v>Workshop-M. Khan</v>
      </c>
    </row>
    <row r="456" spans="1:10" x14ac:dyDescent="0.4">
      <c r="A456" s="2" t="s">
        <v>1741</v>
      </c>
      <c r="B456" s="2" t="s">
        <v>1286</v>
      </c>
      <c r="C456" s="3">
        <v>45432</v>
      </c>
      <c r="D456" s="3">
        <v>45435</v>
      </c>
      <c r="E456" s="2">
        <v>3</v>
      </c>
      <c r="F456" s="2" t="s">
        <v>21</v>
      </c>
      <c r="G456" t="str">
        <f t="shared" ca="1" si="28"/>
        <v>Not coming events</v>
      </c>
      <c r="H456">
        <f t="shared" si="29"/>
        <v>3</v>
      </c>
      <c r="I456" t="str">
        <f t="shared" si="30"/>
        <v>May</v>
      </c>
      <c r="J456" t="str">
        <f t="shared" si="31"/>
        <v>Product Launch-R. Patel</v>
      </c>
    </row>
    <row r="457" spans="1:10" x14ac:dyDescent="0.4">
      <c r="A457" s="2" t="s">
        <v>1742</v>
      </c>
      <c r="B457" s="2" t="s">
        <v>1296</v>
      </c>
      <c r="C457" s="3">
        <v>45369</v>
      </c>
      <c r="D457" s="3">
        <v>45373</v>
      </c>
      <c r="E457" s="2">
        <v>4</v>
      </c>
      <c r="F457" s="2" t="s">
        <v>14</v>
      </c>
      <c r="G457" t="str">
        <f t="shared" ca="1" si="28"/>
        <v>Not coming events</v>
      </c>
      <c r="H457">
        <f t="shared" si="29"/>
        <v>4</v>
      </c>
      <c r="I457" t="str">
        <f t="shared" si="30"/>
        <v>Mar</v>
      </c>
      <c r="J457" t="str">
        <f t="shared" si="31"/>
        <v>Client Presentation-V. Nair</v>
      </c>
    </row>
    <row r="458" spans="1:10" x14ac:dyDescent="0.4">
      <c r="A458" s="2" t="s">
        <v>1743</v>
      </c>
      <c r="B458" s="2" t="s">
        <v>1284</v>
      </c>
      <c r="C458" s="3">
        <v>45311</v>
      </c>
      <c r="D458" s="3">
        <v>45313</v>
      </c>
      <c r="E458" s="2">
        <v>2</v>
      </c>
      <c r="F458" s="2" t="s">
        <v>64</v>
      </c>
      <c r="G458" t="str">
        <f t="shared" ca="1" si="28"/>
        <v>Not coming events</v>
      </c>
      <c r="H458">
        <f t="shared" si="29"/>
        <v>2</v>
      </c>
      <c r="I458" t="str">
        <f t="shared" si="30"/>
        <v>Jan</v>
      </c>
      <c r="J458" t="str">
        <f t="shared" si="31"/>
        <v>Workshop-M. Khan</v>
      </c>
    </row>
    <row r="459" spans="1:10" x14ac:dyDescent="0.4">
      <c r="A459" s="2" t="s">
        <v>1744</v>
      </c>
      <c r="B459" s="2" t="s">
        <v>1284</v>
      </c>
      <c r="C459" s="3">
        <v>45409</v>
      </c>
      <c r="D459" s="3">
        <v>45414</v>
      </c>
      <c r="E459" s="2">
        <v>5</v>
      </c>
      <c r="F459" s="2" t="s">
        <v>55</v>
      </c>
      <c r="G459" t="str">
        <f t="shared" ca="1" si="28"/>
        <v>Not coming events</v>
      </c>
      <c r="H459">
        <f t="shared" si="29"/>
        <v>5</v>
      </c>
      <c r="I459" t="str">
        <f t="shared" si="30"/>
        <v>Apr</v>
      </c>
      <c r="J459" t="str">
        <f t="shared" si="31"/>
        <v>Workshop-S. Gupta</v>
      </c>
    </row>
    <row r="460" spans="1:10" x14ac:dyDescent="0.4">
      <c r="A460" s="2" t="s">
        <v>1745</v>
      </c>
      <c r="B460" s="2" t="s">
        <v>1284</v>
      </c>
      <c r="C460" s="3">
        <v>45557</v>
      </c>
      <c r="D460" s="3">
        <v>45558</v>
      </c>
      <c r="E460" s="2">
        <v>1</v>
      </c>
      <c r="F460" s="2" t="s">
        <v>55</v>
      </c>
      <c r="G460" t="str">
        <f t="shared" ca="1" si="28"/>
        <v>Not coming events</v>
      </c>
      <c r="H460">
        <f t="shared" si="29"/>
        <v>1</v>
      </c>
      <c r="I460" t="str">
        <f t="shared" si="30"/>
        <v>Sep</v>
      </c>
      <c r="J460" t="str">
        <f t="shared" si="31"/>
        <v>Workshop-S. Gupta</v>
      </c>
    </row>
    <row r="461" spans="1:10" x14ac:dyDescent="0.4">
      <c r="A461" s="2" t="s">
        <v>1746</v>
      </c>
      <c r="B461" s="2" t="s">
        <v>1286</v>
      </c>
      <c r="C461" s="3">
        <v>45513</v>
      </c>
      <c r="D461" s="3">
        <v>45518</v>
      </c>
      <c r="E461" s="2">
        <v>5</v>
      </c>
      <c r="F461" s="2" t="s">
        <v>21</v>
      </c>
      <c r="G461" t="str">
        <f t="shared" ca="1" si="28"/>
        <v>Not coming events</v>
      </c>
      <c r="H461">
        <f t="shared" si="29"/>
        <v>5</v>
      </c>
      <c r="I461" t="str">
        <f t="shared" si="30"/>
        <v>Aug</v>
      </c>
      <c r="J461" t="str">
        <f t="shared" si="31"/>
        <v>Product Launch-R. Patel</v>
      </c>
    </row>
    <row r="462" spans="1:10" x14ac:dyDescent="0.4">
      <c r="A462" s="2" t="s">
        <v>1747</v>
      </c>
      <c r="B462" s="2" t="s">
        <v>1284</v>
      </c>
      <c r="C462" s="3">
        <v>45624</v>
      </c>
      <c r="D462" s="3">
        <v>45625</v>
      </c>
      <c r="E462" s="2">
        <v>1</v>
      </c>
      <c r="F462" s="2" t="s">
        <v>28</v>
      </c>
      <c r="G462" t="str">
        <f t="shared" ca="1" si="28"/>
        <v>Not coming events</v>
      </c>
      <c r="H462">
        <f t="shared" si="29"/>
        <v>1</v>
      </c>
      <c r="I462" t="str">
        <f t="shared" si="30"/>
        <v>Nov</v>
      </c>
      <c r="J462" t="str">
        <f t="shared" si="31"/>
        <v>Workshop-A. Sharma</v>
      </c>
    </row>
    <row r="463" spans="1:10" x14ac:dyDescent="0.4">
      <c r="A463" s="2" t="s">
        <v>1748</v>
      </c>
      <c r="B463" s="2" t="s">
        <v>1286</v>
      </c>
      <c r="C463" s="3">
        <v>45401</v>
      </c>
      <c r="D463" s="3">
        <v>45404</v>
      </c>
      <c r="E463" s="2">
        <v>3</v>
      </c>
      <c r="F463" s="2" t="s">
        <v>14</v>
      </c>
      <c r="G463" t="str">
        <f t="shared" ca="1" si="28"/>
        <v>Not coming events</v>
      </c>
      <c r="H463">
        <f t="shared" si="29"/>
        <v>3</v>
      </c>
      <c r="I463" t="str">
        <f t="shared" si="30"/>
        <v>Apr</v>
      </c>
      <c r="J463" t="str">
        <f t="shared" si="31"/>
        <v>Product Launch-V. Nair</v>
      </c>
    </row>
    <row r="464" spans="1:10" x14ac:dyDescent="0.4">
      <c r="A464" s="2" t="s">
        <v>1749</v>
      </c>
      <c r="B464" s="2" t="s">
        <v>1284</v>
      </c>
      <c r="C464" s="3">
        <v>45573</v>
      </c>
      <c r="D464" s="3">
        <v>45577</v>
      </c>
      <c r="E464" s="2">
        <v>4</v>
      </c>
      <c r="F464" s="2" t="s">
        <v>55</v>
      </c>
      <c r="G464" t="str">
        <f t="shared" ca="1" si="28"/>
        <v>Not coming events</v>
      </c>
      <c r="H464">
        <f t="shared" si="29"/>
        <v>4</v>
      </c>
      <c r="I464" t="str">
        <f t="shared" si="30"/>
        <v>Oct</v>
      </c>
      <c r="J464" t="str">
        <f t="shared" si="31"/>
        <v>Workshop-S. Gupta</v>
      </c>
    </row>
    <row r="465" spans="1:10" x14ac:dyDescent="0.4">
      <c r="A465" s="2" t="s">
        <v>1750</v>
      </c>
      <c r="B465" s="2" t="s">
        <v>1301</v>
      </c>
      <c r="C465" s="3">
        <v>45563</v>
      </c>
      <c r="D465" s="3">
        <v>45564</v>
      </c>
      <c r="E465" s="2">
        <v>1</v>
      </c>
      <c r="F465" s="2" t="s">
        <v>55</v>
      </c>
      <c r="G465" t="str">
        <f t="shared" ca="1" si="28"/>
        <v>Not coming events</v>
      </c>
      <c r="H465">
        <f t="shared" si="29"/>
        <v>1</v>
      </c>
      <c r="I465" t="str">
        <f t="shared" si="30"/>
        <v>Sep</v>
      </c>
      <c r="J465" t="str">
        <f t="shared" si="31"/>
        <v>Training Session-S. Gupta</v>
      </c>
    </row>
    <row r="466" spans="1:10" x14ac:dyDescent="0.4">
      <c r="A466" s="2" t="s">
        <v>1751</v>
      </c>
      <c r="B466" s="2" t="s">
        <v>1288</v>
      </c>
      <c r="C466" s="3">
        <v>45335</v>
      </c>
      <c r="D466" s="3">
        <v>45336</v>
      </c>
      <c r="E466" s="2">
        <v>1</v>
      </c>
      <c r="F466" s="2" t="s">
        <v>64</v>
      </c>
      <c r="G466" t="str">
        <f t="shared" ca="1" si="28"/>
        <v>Not coming events</v>
      </c>
      <c r="H466">
        <f t="shared" si="29"/>
        <v>1</v>
      </c>
      <c r="I466" t="str">
        <f t="shared" si="30"/>
        <v>Feb</v>
      </c>
      <c r="J466" t="str">
        <f t="shared" si="31"/>
        <v>Team Meeting-M. Khan</v>
      </c>
    </row>
    <row r="467" spans="1:10" x14ac:dyDescent="0.4">
      <c r="A467" s="2" t="s">
        <v>1752</v>
      </c>
      <c r="B467" s="2" t="s">
        <v>1284</v>
      </c>
      <c r="C467" s="3">
        <v>45375</v>
      </c>
      <c r="D467" s="3">
        <v>45378</v>
      </c>
      <c r="E467" s="2">
        <v>3</v>
      </c>
      <c r="F467" s="2" t="s">
        <v>21</v>
      </c>
      <c r="G467" t="str">
        <f t="shared" ca="1" si="28"/>
        <v>Not coming events</v>
      </c>
      <c r="H467">
        <f t="shared" si="29"/>
        <v>3</v>
      </c>
      <c r="I467" t="str">
        <f t="shared" si="30"/>
        <v>Mar</v>
      </c>
      <c r="J467" t="str">
        <f t="shared" si="31"/>
        <v>Workshop-R. Patel</v>
      </c>
    </row>
    <row r="468" spans="1:10" x14ac:dyDescent="0.4">
      <c r="A468" s="2" t="s">
        <v>1753</v>
      </c>
      <c r="B468" s="2" t="s">
        <v>1284</v>
      </c>
      <c r="C468" s="3">
        <v>45425</v>
      </c>
      <c r="D468" s="3">
        <v>45428</v>
      </c>
      <c r="E468" s="2">
        <v>3</v>
      </c>
      <c r="F468" s="2" t="s">
        <v>21</v>
      </c>
      <c r="G468" t="str">
        <f t="shared" ca="1" si="28"/>
        <v>Not coming events</v>
      </c>
      <c r="H468">
        <f t="shared" si="29"/>
        <v>3</v>
      </c>
      <c r="I468" t="str">
        <f t="shared" si="30"/>
        <v>May</v>
      </c>
      <c r="J468" t="str">
        <f t="shared" si="31"/>
        <v>Workshop-R. Patel</v>
      </c>
    </row>
    <row r="469" spans="1:10" x14ac:dyDescent="0.4">
      <c r="A469" s="2" t="s">
        <v>1754</v>
      </c>
      <c r="B469" s="2" t="s">
        <v>1286</v>
      </c>
      <c r="C469" s="3">
        <v>45542</v>
      </c>
      <c r="D469" s="3">
        <v>45547</v>
      </c>
      <c r="E469" s="2">
        <v>5</v>
      </c>
      <c r="F469" s="2" t="s">
        <v>21</v>
      </c>
      <c r="G469" t="str">
        <f t="shared" ca="1" si="28"/>
        <v>Not coming events</v>
      </c>
      <c r="H469">
        <f t="shared" si="29"/>
        <v>5</v>
      </c>
      <c r="I469" t="str">
        <f t="shared" si="30"/>
        <v>Sep</v>
      </c>
      <c r="J469" t="str">
        <f t="shared" si="31"/>
        <v>Product Launch-R. Patel</v>
      </c>
    </row>
    <row r="470" spans="1:10" x14ac:dyDescent="0.4">
      <c r="A470" s="2" t="s">
        <v>1755</v>
      </c>
      <c r="B470" s="2" t="s">
        <v>1286</v>
      </c>
      <c r="C470" s="3">
        <v>45522</v>
      </c>
      <c r="D470" s="3">
        <v>45527</v>
      </c>
      <c r="E470" s="2">
        <v>5</v>
      </c>
      <c r="F470" s="2" t="s">
        <v>21</v>
      </c>
      <c r="G470" t="str">
        <f t="shared" ca="1" si="28"/>
        <v>Not coming events</v>
      </c>
      <c r="H470">
        <f t="shared" si="29"/>
        <v>5</v>
      </c>
      <c r="I470" t="str">
        <f t="shared" si="30"/>
        <v>Aug</v>
      </c>
      <c r="J470" t="str">
        <f t="shared" si="31"/>
        <v>Product Launch-R. Patel</v>
      </c>
    </row>
    <row r="471" spans="1:10" x14ac:dyDescent="0.4">
      <c r="A471" s="2" t="s">
        <v>1756</v>
      </c>
      <c r="B471" s="2" t="s">
        <v>1286</v>
      </c>
      <c r="C471" s="3">
        <v>45578</v>
      </c>
      <c r="D471" s="3">
        <v>45583</v>
      </c>
      <c r="E471" s="2">
        <v>5</v>
      </c>
      <c r="F471" s="2" t="s">
        <v>21</v>
      </c>
      <c r="G471" t="str">
        <f t="shared" ca="1" si="28"/>
        <v>Not coming events</v>
      </c>
      <c r="H471">
        <f t="shared" si="29"/>
        <v>5</v>
      </c>
      <c r="I471" t="str">
        <f t="shared" si="30"/>
        <v>Oct</v>
      </c>
      <c r="J471" t="str">
        <f t="shared" si="31"/>
        <v>Product Launch-R. Patel</v>
      </c>
    </row>
    <row r="472" spans="1:10" x14ac:dyDescent="0.4">
      <c r="A472" s="2" t="s">
        <v>1757</v>
      </c>
      <c r="B472" s="2" t="s">
        <v>1282</v>
      </c>
      <c r="C472" s="3">
        <v>45410</v>
      </c>
      <c r="D472" s="3">
        <v>45413</v>
      </c>
      <c r="E472" s="2">
        <v>3</v>
      </c>
      <c r="F472" s="2" t="s">
        <v>28</v>
      </c>
      <c r="G472" t="str">
        <f t="shared" ca="1" si="28"/>
        <v>Not coming events</v>
      </c>
      <c r="H472">
        <f t="shared" si="29"/>
        <v>3</v>
      </c>
      <c r="I472" t="str">
        <f t="shared" si="30"/>
        <v>Apr</v>
      </c>
      <c r="J472" t="str">
        <f t="shared" si="31"/>
        <v>Annual Review-A. Sharma</v>
      </c>
    </row>
    <row r="473" spans="1:10" x14ac:dyDescent="0.4">
      <c r="A473" s="2" t="s">
        <v>1758</v>
      </c>
      <c r="B473" s="2" t="s">
        <v>1288</v>
      </c>
      <c r="C473" s="3">
        <v>45306</v>
      </c>
      <c r="D473" s="3">
        <v>45308</v>
      </c>
      <c r="E473" s="2">
        <v>2</v>
      </c>
      <c r="F473" s="2" t="s">
        <v>21</v>
      </c>
      <c r="G473" t="str">
        <f t="shared" ca="1" si="28"/>
        <v>Not coming events</v>
      </c>
      <c r="H473">
        <f t="shared" si="29"/>
        <v>2</v>
      </c>
      <c r="I473" t="str">
        <f t="shared" si="30"/>
        <v>Jan</v>
      </c>
      <c r="J473" t="str">
        <f t="shared" si="31"/>
        <v>Team Meeting-R. Patel</v>
      </c>
    </row>
    <row r="474" spans="1:10" x14ac:dyDescent="0.4">
      <c r="A474" s="2" t="s">
        <v>1759</v>
      </c>
      <c r="B474" s="2" t="s">
        <v>1296</v>
      </c>
      <c r="C474" s="3">
        <v>45657</v>
      </c>
      <c r="D474" s="3">
        <v>45660</v>
      </c>
      <c r="E474" s="2">
        <v>3</v>
      </c>
      <c r="F474" s="2" t="s">
        <v>14</v>
      </c>
      <c r="G474" t="str">
        <f t="shared" ca="1" si="28"/>
        <v>Not coming events</v>
      </c>
      <c r="H474">
        <f t="shared" si="29"/>
        <v>3</v>
      </c>
      <c r="I474" t="str">
        <f t="shared" si="30"/>
        <v>Dec</v>
      </c>
      <c r="J474" t="str">
        <f t="shared" si="31"/>
        <v>Client Presentation-V. Nair</v>
      </c>
    </row>
    <row r="475" spans="1:10" x14ac:dyDescent="0.4">
      <c r="A475" s="2" t="s">
        <v>1760</v>
      </c>
      <c r="B475" s="2" t="s">
        <v>1288</v>
      </c>
      <c r="C475" s="3">
        <v>45589</v>
      </c>
      <c r="D475" s="3">
        <v>45591</v>
      </c>
      <c r="E475" s="2">
        <v>2</v>
      </c>
      <c r="F475" s="2" t="s">
        <v>64</v>
      </c>
      <c r="G475" t="str">
        <f t="shared" ca="1" si="28"/>
        <v>Not coming events</v>
      </c>
      <c r="H475">
        <f t="shared" si="29"/>
        <v>2</v>
      </c>
      <c r="I475" t="str">
        <f t="shared" si="30"/>
        <v>Oct</v>
      </c>
      <c r="J475" t="str">
        <f t="shared" si="31"/>
        <v>Team Meeting-M. Khan</v>
      </c>
    </row>
    <row r="476" spans="1:10" x14ac:dyDescent="0.4">
      <c r="A476" s="2" t="s">
        <v>1761</v>
      </c>
      <c r="B476" s="2" t="s">
        <v>1286</v>
      </c>
      <c r="C476" s="3">
        <v>45628</v>
      </c>
      <c r="D476" s="3">
        <v>45629</v>
      </c>
      <c r="E476" s="2">
        <v>1</v>
      </c>
      <c r="F476" s="2" t="s">
        <v>14</v>
      </c>
      <c r="G476" t="str">
        <f t="shared" ca="1" si="28"/>
        <v>Not coming events</v>
      </c>
      <c r="H476">
        <f t="shared" si="29"/>
        <v>1</v>
      </c>
      <c r="I476" t="str">
        <f t="shared" si="30"/>
        <v>Dec</v>
      </c>
      <c r="J476" t="str">
        <f t="shared" si="31"/>
        <v>Product Launch-V. Nair</v>
      </c>
    </row>
    <row r="477" spans="1:10" x14ac:dyDescent="0.4">
      <c r="A477" s="2" t="s">
        <v>1762</v>
      </c>
      <c r="B477" s="2" t="s">
        <v>1301</v>
      </c>
      <c r="C477" s="3">
        <v>45530</v>
      </c>
      <c r="D477" s="3">
        <v>45535</v>
      </c>
      <c r="E477" s="2">
        <v>5</v>
      </c>
      <c r="F477" s="2" t="s">
        <v>64</v>
      </c>
      <c r="G477" t="str">
        <f t="shared" ca="1" si="28"/>
        <v>Not coming events</v>
      </c>
      <c r="H477">
        <f t="shared" si="29"/>
        <v>5</v>
      </c>
      <c r="I477" t="str">
        <f t="shared" si="30"/>
        <v>Aug</v>
      </c>
      <c r="J477" t="str">
        <f t="shared" si="31"/>
        <v>Training Session-M. Khan</v>
      </c>
    </row>
    <row r="478" spans="1:10" x14ac:dyDescent="0.4">
      <c r="A478" s="2" t="s">
        <v>1763</v>
      </c>
      <c r="B478" s="2" t="s">
        <v>1286</v>
      </c>
      <c r="C478" s="3">
        <v>45317</v>
      </c>
      <c r="D478" s="3">
        <v>45321</v>
      </c>
      <c r="E478" s="2">
        <v>4</v>
      </c>
      <c r="F478" s="2" t="s">
        <v>14</v>
      </c>
      <c r="G478" t="str">
        <f t="shared" ca="1" si="28"/>
        <v>Not coming events</v>
      </c>
      <c r="H478">
        <f t="shared" si="29"/>
        <v>4</v>
      </c>
      <c r="I478" t="str">
        <f t="shared" si="30"/>
        <v>Jan</v>
      </c>
      <c r="J478" t="str">
        <f t="shared" si="31"/>
        <v>Product Launch-V. Nair</v>
      </c>
    </row>
    <row r="479" spans="1:10" x14ac:dyDescent="0.4">
      <c r="A479" s="2" t="s">
        <v>1764</v>
      </c>
      <c r="B479" s="2" t="s">
        <v>1301</v>
      </c>
      <c r="C479" s="3">
        <v>45553</v>
      </c>
      <c r="D479" s="3">
        <v>45556</v>
      </c>
      <c r="E479" s="2">
        <v>3</v>
      </c>
      <c r="F479" s="2" t="s">
        <v>21</v>
      </c>
      <c r="G479" t="str">
        <f t="shared" ca="1" si="28"/>
        <v>Not coming events</v>
      </c>
      <c r="H479">
        <f t="shared" si="29"/>
        <v>3</v>
      </c>
      <c r="I479" t="str">
        <f t="shared" si="30"/>
        <v>Sep</v>
      </c>
      <c r="J479" t="str">
        <f t="shared" si="31"/>
        <v>Training Session-R. Patel</v>
      </c>
    </row>
    <row r="480" spans="1:10" x14ac:dyDescent="0.4">
      <c r="A480" s="2" t="s">
        <v>1765</v>
      </c>
      <c r="B480" s="2" t="s">
        <v>1284</v>
      </c>
      <c r="C480" s="3">
        <v>45316</v>
      </c>
      <c r="D480" s="3">
        <v>45319</v>
      </c>
      <c r="E480" s="2">
        <v>3</v>
      </c>
      <c r="F480" s="2" t="s">
        <v>55</v>
      </c>
      <c r="G480" t="str">
        <f t="shared" ca="1" si="28"/>
        <v>Not coming events</v>
      </c>
      <c r="H480">
        <f t="shared" si="29"/>
        <v>3</v>
      </c>
      <c r="I480" t="str">
        <f t="shared" si="30"/>
        <v>Jan</v>
      </c>
      <c r="J480" t="str">
        <f t="shared" si="31"/>
        <v>Workshop-S. Gupta</v>
      </c>
    </row>
    <row r="481" spans="1:10" x14ac:dyDescent="0.4">
      <c r="A481" s="2" t="s">
        <v>1766</v>
      </c>
      <c r="B481" s="2" t="s">
        <v>1282</v>
      </c>
      <c r="C481" s="3">
        <v>45573</v>
      </c>
      <c r="D481" s="3">
        <v>45575</v>
      </c>
      <c r="E481" s="2">
        <v>2</v>
      </c>
      <c r="F481" s="2" t="s">
        <v>55</v>
      </c>
      <c r="G481" t="str">
        <f t="shared" ca="1" si="28"/>
        <v>Not coming events</v>
      </c>
      <c r="H481">
        <f t="shared" si="29"/>
        <v>2</v>
      </c>
      <c r="I481" t="str">
        <f t="shared" si="30"/>
        <v>Oct</v>
      </c>
      <c r="J481" t="str">
        <f t="shared" si="31"/>
        <v>Annual Review-S. Gupta</v>
      </c>
    </row>
    <row r="482" spans="1:10" x14ac:dyDescent="0.4">
      <c r="A482" s="2" t="s">
        <v>1767</v>
      </c>
      <c r="B482" s="2" t="s">
        <v>1284</v>
      </c>
      <c r="C482" s="3">
        <v>45295</v>
      </c>
      <c r="D482" s="3">
        <v>45299</v>
      </c>
      <c r="E482" s="2">
        <v>4</v>
      </c>
      <c r="F482" s="2" t="s">
        <v>21</v>
      </c>
      <c r="G482" t="str">
        <f t="shared" ca="1" si="28"/>
        <v>Not coming events</v>
      </c>
      <c r="H482">
        <f t="shared" si="29"/>
        <v>4</v>
      </c>
      <c r="I482" t="str">
        <f t="shared" si="30"/>
        <v>Jan</v>
      </c>
      <c r="J482" t="str">
        <f t="shared" si="31"/>
        <v>Workshop-R. Patel</v>
      </c>
    </row>
    <row r="483" spans="1:10" x14ac:dyDescent="0.4">
      <c r="A483" s="2" t="s">
        <v>1768</v>
      </c>
      <c r="B483" s="2" t="s">
        <v>1284</v>
      </c>
      <c r="C483" s="3">
        <v>45322</v>
      </c>
      <c r="D483" s="3">
        <v>45323</v>
      </c>
      <c r="E483" s="2">
        <v>1</v>
      </c>
      <c r="F483" s="2" t="s">
        <v>64</v>
      </c>
      <c r="G483" t="str">
        <f t="shared" ca="1" si="28"/>
        <v>Not coming events</v>
      </c>
      <c r="H483">
        <f t="shared" si="29"/>
        <v>1</v>
      </c>
      <c r="I483" t="str">
        <f t="shared" si="30"/>
        <v>Jan</v>
      </c>
      <c r="J483" t="str">
        <f t="shared" si="31"/>
        <v>Workshop-M. Khan</v>
      </c>
    </row>
    <row r="484" spans="1:10" x14ac:dyDescent="0.4">
      <c r="A484" s="2" t="s">
        <v>1769</v>
      </c>
      <c r="B484" s="2" t="s">
        <v>1288</v>
      </c>
      <c r="C484" s="3">
        <v>45558</v>
      </c>
      <c r="D484" s="3">
        <v>45563</v>
      </c>
      <c r="E484" s="2">
        <v>5</v>
      </c>
      <c r="F484" s="2" t="s">
        <v>21</v>
      </c>
      <c r="G484" t="str">
        <f t="shared" ca="1" si="28"/>
        <v>Not coming events</v>
      </c>
      <c r="H484">
        <f t="shared" si="29"/>
        <v>5</v>
      </c>
      <c r="I484" t="str">
        <f t="shared" si="30"/>
        <v>Sep</v>
      </c>
      <c r="J484" t="str">
        <f t="shared" si="31"/>
        <v>Team Meeting-R. Patel</v>
      </c>
    </row>
    <row r="485" spans="1:10" x14ac:dyDescent="0.4">
      <c r="A485" s="2" t="s">
        <v>1770</v>
      </c>
      <c r="B485" s="2" t="s">
        <v>1301</v>
      </c>
      <c r="C485" s="3">
        <v>45574</v>
      </c>
      <c r="D485" s="3">
        <v>45576</v>
      </c>
      <c r="E485" s="2">
        <v>2</v>
      </c>
      <c r="F485" s="2" t="s">
        <v>28</v>
      </c>
      <c r="G485" t="str">
        <f t="shared" ca="1" si="28"/>
        <v>Not coming events</v>
      </c>
      <c r="H485">
        <f t="shared" si="29"/>
        <v>2</v>
      </c>
      <c r="I485" t="str">
        <f t="shared" si="30"/>
        <v>Oct</v>
      </c>
      <c r="J485" t="str">
        <f t="shared" si="31"/>
        <v>Training Session-A. Sharma</v>
      </c>
    </row>
    <row r="486" spans="1:10" x14ac:dyDescent="0.4">
      <c r="A486" s="2" t="s">
        <v>1771</v>
      </c>
      <c r="B486" s="2" t="s">
        <v>1284</v>
      </c>
      <c r="C486" s="3">
        <v>45615</v>
      </c>
      <c r="D486" s="3">
        <v>45619</v>
      </c>
      <c r="E486" s="2">
        <v>4</v>
      </c>
      <c r="F486" s="2" t="s">
        <v>55</v>
      </c>
      <c r="G486" t="str">
        <f t="shared" ca="1" si="28"/>
        <v>Not coming events</v>
      </c>
      <c r="H486">
        <f t="shared" si="29"/>
        <v>4</v>
      </c>
      <c r="I486" t="str">
        <f t="shared" si="30"/>
        <v>Nov</v>
      </c>
      <c r="J486" t="str">
        <f t="shared" si="31"/>
        <v>Workshop-S. Gupta</v>
      </c>
    </row>
    <row r="487" spans="1:10" x14ac:dyDescent="0.4">
      <c r="A487" s="2" t="s">
        <v>1772</v>
      </c>
      <c r="B487" s="2" t="s">
        <v>1301</v>
      </c>
      <c r="C487" s="3">
        <v>45315</v>
      </c>
      <c r="D487" s="3">
        <v>45318</v>
      </c>
      <c r="E487" s="2">
        <v>3</v>
      </c>
      <c r="F487" s="2" t="s">
        <v>14</v>
      </c>
      <c r="G487" t="str">
        <f t="shared" ca="1" si="28"/>
        <v>Not coming events</v>
      </c>
      <c r="H487">
        <f t="shared" si="29"/>
        <v>3</v>
      </c>
      <c r="I487" t="str">
        <f t="shared" si="30"/>
        <v>Jan</v>
      </c>
      <c r="J487" t="str">
        <f t="shared" si="31"/>
        <v>Training Session-V. Nair</v>
      </c>
    </row>
    <row r="488" spans="1:10" x14ac:dyDescent="0.4">
      <c r="A488" s="2" t="s">
        <v>1773</v>
      </c>
      <c r="B488" s="2" t="s">
        <v>1284</v>
      </c>
      <c r="C488" s="3">
        <v>45551</v>
      </c>
      <c r="D488" s="3">
        <v>45555</v>
      </c>
      <c r="E488" s="2">
        <v>4</v>
      </c>
      <c r="F488" s="2" t="s">
        <v>28</v>
      </c>
      <c r="G488" t="str">
        <f t="shared" ca="1" si="28"/>
        <v>Not coming events</v>
      </c>
      <c r="H488">
        <f t="shared" si="29"/>
        <v>4</v>
      </c>
      <c r="I488" t="str">
        <f t="shared" si="30"/>
        <v>Sep</v>
      </c>
      <c r="J488" t="str">
        <f t="shared" si="31"/>
        <v>Workshop-A. Sharma</v>
      </c>
    </row>
    <row r="489" spans="1:10" x14ac:dyDescent="0.4">
      <c r="A489" s="2" t="s">
        <v>1774</v>
      </c>
      <c r="B489" s="2" t="s">
        <v>1288</v>
      </c>
      <c r="C489" s="3">
        <v>45304</v>
      </c>
      <c r="D489" s="3">
        <v>45307</v>
      </c>
      <c r="E489" s="2">
        <v>3</v>
      </c>
      <c r="F489" s="2" t="s">
        <v>64</v>
      </c>
      <c r="G489" t="str">
        <f t="shared" ca="1" si="28"/>
        <v>Not coming events</v>
      </c>
      <c r="H489">
        <f t="shared" si="29"/>
        <v>3</v>
      </c>
      <c r="I489" t="str">
        <f t="shared" si="30"/>
        <v>Jan</v>
      </c>
      <c r="J489" t="str">
        <f t="shared" si="31"/>
        <v>Team Meeting-M. Khan</v>
      </c>
    </row>
    <row r="490" spans="1:10" x14ac:dyDescent="0.4">
      <c r="A490" s="2" t="s">
        <v>1775</v>
      </c>
      <c r="B490" s="2" t="s">
        <v>1284</v>
      </c>
      <c r="C490" s="3">
        <v>45466</v>
      </c>
      <c r="D490" s="3">
        <v>45470</v>
      </c>
      <c r="E490" s="2">
        <v>4</v>
      </c>
      <c r="F490" s="2" t="s">
        <v>21</v>
      </c>
      <c r="G490" t="str">
        <f t="shared" ca="1" si="28"/>
        <v>Not coming events</v>
      </c>
      <c r="H490">
        <f t="shared" si="29"/>
        <v>4</v>
      </c>
      <c r="I490" t="str">
        <f t="shared" si="30"/>
        <v>Jun</v>
      </c>
      <c r="J490" t="str">
        <f t="shared" si="31"/>
        <v>Workshop-R. Patel</v>
      </c>
    </row>
    <row r="491" spans="1:10" x14ac:dyDescent="0.4">
      <c r="A491" s="2" t="s">
        <v>1776</v>
      </c>
      <c r="B491" s="2" t="s">
        <v>1284</v>
      </c>
      <c r="C491" s="3">
        <v>45309</v>
      </c>
      <c r="D491" s="3">
        <v>45313</v>
      </c>
      <c r="E491" s="2">
        <v>4</v>
      </c>
      <c r="F491" s="2" t="s">
        <v>14</v>
      </c>
      <c r="G491" t="str">
        <f t="shared" ca="1" si="28"/>
        <v>Not coming events</v>
      </c>
      <c r="H491">
        <f t="shared" si="29"/>
        <v>4</v>
      </c>
      <c r="I491" t="str">
        <f t="shared" si="30"/>
        <v>Jan</v>
      </c>
      <c r="J491" t="str">
        <f t="shared" si="31"/>
        <v>Workshop-V. Nair</v>
      </c>
    </row>
    <row r="492" spans="1:10" x14ac:dyDescent="0.4">
      <c r="A492" s="2" t="s">
        <v>1777</v>
      </c>
      <c r="B492" s="2" t="s">
        <v>1288</v>
      </c>
      <c r="C492" s="3">
        <v>45477</v>
      </c>
      <c r="D492" s="3">
        <v>45482</v>
      </c>
      <c r="E492" s="2">
        <v>5</v>
      </c>
      <c r="F492" s="2" t="s">
        <v>21</v>
      </c>
      <c r="G492" t="str">
        <f t="shared" ca="1" si="28"/>
        <v>Not coming events</v>
      </c>
      <c r="H492">
        <f t="shared" si="29"/>
        <v>5</v>
      </c>
      <c r="I492" t="str">
        <f t="shared" si="30"/>
        <v>Jul</v>
      </c>
      <c r="J492" t="str">
        <f t="shared" si="31"/>
        <v>Team Meeting-R. Patel</v>
      </c>
    </row>
    <row r="493" spans="1:10" x14ac:dyDescent="0.4">
      <c r="A493" s="2" t="s">
        <v>1778</v>
      </c>
      <c r="B493" s="2" t="s">
        <v>1284</v>
      </c>
      <c r="C493" s="3">
        <v>45550</v>
      </c>
      <c r="D493" s="3">
        <v>45555</v>
      </c>
      <c r="E493" s="2">
        <v>5</v>
      </c>
      <c r="F493" s="2" t="s">
        <v>64</v>
      </c>
      <c r="G493" t="str">
        <f t="shared" ca="1" si="28"/>
        <v>Not coming events</v>
      </c>
      <c r="H493">
        <f t="shared" si="29"/>
        <v>5</v>
      </c>
      <c r="I493" t="str">
        <f t="shared" si="30"/>
        <v>Sep</v>
      </c>
      <c r="J493" t="str">
        <f t="shared" si="31"/>
        <v>Workshop-M. Khan</v>
      </c>
    </row>
    <row r="494" spans="1:10" x14ac:dyDescent="0.4">
      <c r="A494" s="2" t="s">
        <v>1779</v>
      </c>
      <c r="B494" s="2" t="s">
        <v>1301</v>
      </c>
      <c r="C494" s="3">
        <v>45387</v>
      </c>
      <c r="D494" s="3">
        <v>45388</v>
      </c>
      <c r="E494" s="2">
        <v>1</v>
      </c>
      <c r="F494" s="2" t="s">
        <v>55</v>
      </c>
      <c r="G494" t="str">
        <f t="shared" ca="1" si="28"/>
        <v>Not coming events</v>
      </c>
      <c r="H494">
        <f t="shared" si="29"/>
        <v>1</v>
      </c>
      <c r="I494" t="str">
        <f t="shared" si="30"/>
        <v>Apr</v>
      </c>
      <c r="J494" t="str">
        <f t="shared" si="31"/>
        <v>Training Session-S. Gupta</v>
      </c>
    </row>
    <row r="495" spans="1:10" x14ac:dyDescent="0.4">
      <c r="A495" s="2" t="s">
        <v>1780</v>
      </c>
      <c r="B495" s="2" t="s">
        <v>1301</v>
      </c>
      <c r="C495" s="3">
        <v>45464</v>
      </c>
      <c r="D495" s="3">
        <v>45466</v>
      </c>
      <c r="E495" s="2">
        <v>2</v>
      </c>
      <c r="F495" s="2" t="s">
        <v>28</v>
      </c>
      <c r="G495" t="str">
        <f t="shared" ca="1" si="28"/>
        <v>Not coming events</v>
      </c>
      <c r="H495">
        <f t="shared" si="29"/>
        <v>2</v>
      </c>
      <c r="I495" t="str">
        <f t="shared" si="30"/>
        <v>Jun</v>
      </c>
      <c r="J495" t="str">
        <f t="shared" si="31"/>
        <v>Training Session-A. Sharma</v>
      </c>
    </row>
    <row r="496" spans="1:10" x14ac:dyDescent="0.4">
      <c r="A496" s="2" t="s">
        <v>1781</v>
      </c>
      <c r="B496" s="2" t="s">
        <v>1296</v>
      </c>
      <c r="C496" s="3">
        <v>45419</v>
      </c>
      <c r="D496" s="3">
        <v>45423</v>
      </c>
      <c r="E496" s="2">
        <v>4</v>
      </c>
      <c r="F496" s="2" t="s">
        <v>14</v>
      </c>
      <c r="G496" t="str">
        <f t="shared" ca="1" si="28"/>
        <v>Not coming events</v>
      </c>
      <c r="H496">
        <f t="shared" si="29"/>
        <v>4</v>
      </c>
      <c r="I496" t="str">
        <f t="shared" si="30"/>
        <v>May</v>
      </c>
      <c r="J496" t="str">
        <f t="shared" si="31"/>
        <v>Client Presentation-V. Nair</v>
      </c>
    </row>
    <row r="497" spans="1:10" x14ac:dyDescent="0.4">
      <c r="A497" s="2" t="s">
        <v>1782</v>
      </c>
      <c r="B497" s="2" t="s">
        <v>1286</v>
      </c>
      <c r="C497" s="3">
        <v>45577</v>
      </c>
      <c r="D497" s="3">
        <v>45579</v>
      </c>
      <c r="E497" s="2">
        <v>2</v>
      </c>
      <c r="F497" s="2" t="s">
        <v>64</v>
      </c>
      <c r="G497" t="str">
        <f t="shared" ca="1" si="28"/>
        <v>Not coming events</v>
      </c>
      <c r="H497">
        <f t="shared" si="29"/>
        <v>2</v>
      </c>
      <c r="I497" t="str">
        <f t="shared" si="30"/>
        <v>Oct</v>
      </c>
      <c r="J497" t="str">
        <f t="shared" si="31"/>
        <v>Product Launch-M. Khan</v>
      </c>
    </row>
    <row r="498" spans="1:10" x14ac:dyDescent="0.4">
      <c r="A498" s="2" t="s">
        <v>1783</v>
      </c>
      <c r="B498" s="2" t="s">
        <v>1284</v>
      </c>
      <c r="C498" s="3">
        <v>45628</v>
      </c>
      <c r="D498" s="3">
        <v>45631</v>
      </c>
      <c r="E498" s="2">
        <v>3</v>
      </c>
      <c r="F498" s="2" t="s">
        <v>14</v>
      </c>
      <c r="G498" t="str">
        <f t="shared" ca="1" si="28"/>
        <v>Not coming events</v>
      </c>
      <c r="H498">
        <f t="shared" si="29"/>
        <v>3</v>
      </c>
      <c r="I498" t="str">
        <f t="shared" si="30"/>
        <v>Dec</v>
      </c>
      <c r="J498" t="str">
        <f t="shared" si="31"/>
        <v>Workshop-V. Nair</v>
      </c>
    </row>
    <row r="499" spans="1:10" x14ac:dyDescent="0.4">
      <c r="A499" s="2" t="s">
        <v>1784</v>
      </c>
      <c r="B499" s="2" t="s">
        <v>1301</v>
      </c>
      <c r="C499" s="3">
        <v>45417</v>
      </c>
      <c r="D499" s="3">
        <v>45421</v>
      </c>
      <c r="E499" s="2">
        <v>4</v>
      </c>
      <c r="F499" s="2" t="s">
        <v>64</v>
      </c>
      <c r="G499" t="str">
        <f t="shared" ca="1" si="28"/>
        <v>Not coming events</v>
      </c>
      <c r="H499">
        <f t="shared" si="29"/>
        <v>4</v>
      </c>
      <c r="I499" t="str">
        <f t="shared" si="30"/>
        <v>May</v>
      </c>
      <c r="J499" t="str">
        <f t="shared" si="31"/>
        <v>Training Session-M. Khan</v>
      </c>
    </row>
    <row r="500" spans="1:10" x14ac:dyDescent="0.4">
      <c r="A500" s="2" t="s">
        <v>1785</v>
      </c>
      <c r="B500" s="2" t="s">
        <v>1282</v>
      </c>
      <c r="C500" s="3">
        <v>45585</v>
      </c>
      <c r="D500" s="3">
        <v>45586</v>
      </c>
      <c r="E500" s="2">
        <v>1</v>
      </c>
      <c r="F500" s="2" t="s">
        <v>21</v>
      </c>
      <c r="G500" t="str">
        <f t="shared" ca="1" si="28"/>
        <v>Not coming events</v>
      </c>
      <c r="H500">
        <f t="shared" si="29"/>
        <v>1</v>
      </c>
      <c r="I500" t="str">
        <f t="shared" si="30"/>
        <v>Oct</v>
      </c>
      <c r="J500" t="str">
        <f t="shared" si="31"/>
        <v>Annual Review-R. Patel</v>
      </c>
    </row>
    <row r="501" spans="1:10" x14ac:dyDescent="0.4">
      <c r="A501" s="2" t="s">
        <v>1786</v>
      </c>
      <c r="B501" s="2" t="s">
        <v>1286</v>
      </c>
      <c r="C501" s="3">
        <v>45632</v>
      </c>
      <c r="D501" s="3">
        <v>45635</v>
      </c>
      <c r="E501" s="2">
        <v>3</v>
      </c>
      <c r="F501" s="2" t="s">
        <v>21</v>
      </c>
      <c r="G501" t="str">
        <f t="shared" ca="1" si="28"/>
        <v>Not coming events</v>
      </c>
      <c r="H501">
        <f t="shared" si="29"/>
        <v>3</v>
      </c>
      <c r="I501" t="str">
        <f t="shared" si="30"/>
        <v>Dec</v>
      </c>
      <c r="J501" t="str">
        <f t="shared" si="31"/>
        <v>Product Launch-R. Patel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Employee_Data</vt:lpstr>
      <vt:lpstr>Attendance_Log</vt:lpstr>
      <vt:lpstr>Customer_Feedback</vt:lpstr>
      <vt:lpstr>Questions_Sheet</vt:lpstr>
      <vt:lpstr>Event_Schedule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2025-11-05T13:43:02Z</dcterms:created>
  <dcterms:modified xsi:type="dcterms:W3CDTF">2026-10-23T17:43:34Z</dcterms:modified>
</cp:coreProperties>
</file>