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dmin\Desktop\Excel-Sales-Functions-Practice\"/>
    </mc:Choice>
  </mc:AlternateContent>
  <xr:revisionPtr revIDLastSave="0" documentId="8_{71629635-BDCE-4A45-ADD2-B45B64CFCA82}" xr6:coauthVersionLast="47" xr6:coauthVersionMax="47" xr10:uidLastSave="{00000000-0000-0000-0000-000000000000}"/>
  <bookViews>
    <workbookView xWindow="-103" yWindow="-103" windowWidth="16663" windowHeight="8863" firstSheet="1" activeTab="5" xr2:uid="{00000000-000D-0000-FFFF-FFFF00000000}"/>
  </bookViews>
  <sheets>
    <sheet name="Sheet1" sheetId="4" r:id="rId1"/>
    <sheet name="Sales_Data" sheetId="1" r:id="rId2"/>
    <sheet name="Dashboard_Blueprint" sheetId="2" r:id="rId3"/>
    <sheet name="Data_Dictionary" sheetId="3" r:id="rId4"/>
    <sheet name="Sheet2" sheetId="5" r:id="rId5"/>
    <sheet name="Sheet3" sheetId="6" r:id="rId6"/>
    <sheet name="Sheet4" sheetId="7" r:id="rId7"/>
  </sheets>
  <definedNames>
    <definedName name="Slicer_Customer_Segment">#N/A</definedName>
    <definedName name="Slicer_Order_Priority">#N/A</definedName>
    <definedName name="Slicer_Product_Category">#N/A</definedName>
    <definedName name="Slicer_Region">#N/A</definedName>
    <definedName name="Slicer_Sales_Channel">#N/A</definedName>
  </definedNames>
  <calcPr calcId="191029"/>
  <pivotCaches>
    <pivotCache cacheId="4" r:id="rId8"/>
    <pivotCache cacheId="5" r:id="rId9"/>
    <pivotCache cacheId="6"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1295" i="1" l="1"/>
  <c r="W1343" i="1"/>
  <c r="W1359" i="1"/>
  <c r="W1399" i="1"/>
  <c r="W1403" i="1"/>
  <c r="W1415" i="1"/>
  <c r="W1419" i="1"/>
  <c r="W1431" i="1"/>
  <c r="W1435" i="1"/>
  <c r="W1447" i="1"/>
  <c r="W1451" i="1"/>
  <c r="W1463" i="1"/>
  <c r="W1467" i="1"/>
  <c r="W1479" i="1"/>
  <c r="W1483" i="1"/>
  <c r="W1495" i="1"/>
  <c r="W1499" i="1"/>
  <c r="X7" i="1"/>
  <c r="Y7" i="1"/>
  <c r="X3" i="1"/>
  <c r="V2" i="1"/>
  <c r="V1501" i="1"/>
  <c r="T1501" i="1"/>
  <c r="W1501" i="1" s="1"/>
  <c r="V1500" i="1"/>
  <c r="T1500" i="1"/>
  <c r="W1500" i="1" s="1"/>
  <c r="V1499" i="1"/>
  <c r="T1499" i="1"/>
  <c r="V1498" i="1"/>
  <c r="T1498" i="1"/>
  <c r="W1498" i="1" s="1"/>
  <c r="V1497" i="1"/>
  <c r="T1497" i="1"/>
  <c r="W1497" i="1" s="1"/>
  <c r="V1496" i="1"/>
  <c r="T1496" i="1"/>
  <c r="W1496" i="1" s="1"/>
  <c r="V1495" i="1"/>
  <c r="T1495" i="1"/>
  <c r="V1494" i="1"/>
  <c r="T1494" i="1"/>
  <c r="W1494" i="1" s="1"/>
  <c r="V1493" i="1"/>
  <c r="T1493" i="1"/>
  <c r="W1493" i="1" s="1"/>
  <c r="V1492" i="1"/>
  <c r="T1492" i="1"/>
  <c r="W1492" i="1" s="1"/>
  <c r="V1491" i="1"/>
  <c r="T1491" i="1"/>
  <c r="W1491" i="1" s="1"/>
  <c r="V1490" i="1"/>
  <c r="T1490" i="1"/>
  <c r="W1490" i="1" s="1"/>
  <c r="V1489" i="1"/>
  <c r="T1489" i="1"/>
  <c r="W1489" i="1" s="1"/>
  <c r="V1488" i="1"/>
  <c r="T1488" i="1"/>
  <c r="W1488" i="1" s="1"/>
  <c r="V1487" i="1"/>
  <c r="T1487" i="1"/>
  <c r="W1487" i="1" s="1"/>
  <c r="V1486" i="1"/>
  <c r="T1486" i="1"/>
  <c r="W1486" i="1" s="1"/>
  <c r="V1485" i="1"/>
  <c r="T1485" i="1"/>
  <c r="W1485" i="1" s="1"/>
  <c r="V1484" i="1"/>
  <c r="T1484" i="1"/>
  <c r="W1484" i="1" s="1"/>
  <c r="V1483" i="1"/>
  <c r="T1483" i="1"/>
  <c r="V1482" i="1"/>
  <c r="T1482" i="1"/>
  <c r="W1482" i="1" s="1"/>
  <c r="V1481" i="1"/>
  <c r="T1481" i="1"/>
  <c r="W1481" i="1" s="1"/>
  <c r="V1480" i="1"/>
  <c r="T1480" i="1"/>
  <c r="W1480" i="1" s="1"/>
  <c r="V1479" i="1"/>
  <c r="T1479" i="1"/>
  <c r="V1478" i="1"/>
  <c r="T1478" i="1"/>
  <c r="W1478" i="1" s="1"/>
  <c r="V1477" i="1"/>
  <c r="T1477" i="1"/>
  <c r="W1477" i="1" s="1"/>
  <c r="V1476" i="1"/>
  <c r="T1476" i="1"/>
  <c r="W1476" i="1" s="1"/>
  <c r="V1475" i="1"/>
  <c r="T1475" i="1"/>
  <c r="W1475" i="1" s="1"/>
  <c r="V1474" i="1"/>
  <c r="T1474" i="1"/>
  <c r="W1474" i="1" s="1"/>
  <c r="V1473" i="1"/>
  <c r="T1473" i="1"/>
  <c r="W1473" i="1" s="1"/>
  <c r="V1472" i="1"/>
  <c r="T1472" i="1"/>
  <c r="W1472" i="1" s="1"/>
  <c r="V1471" i="1"/>
  <c r="T1471" i="1"/>
  <c r="W1471" i="1" s="1"/>
  <c r="V1470" i="1"/>
  <c r="T1470" i="1"/>
  <c r="W1470" i="1" s="1"/>
  <c r="V1469" i="1"/>
  <c r="T1469" i="1"/>
  <c r="W1469" i="1" s="1"/>
  <c r="V1468" i="1"/>
  <c r="T1468" i="1"/>
  <c r="W1468" i="1" s="1"/>
  <c r="V1467" i="1"/>
  <c r="T1467" i="1"/>
  <c r="V1466" i="1"/>
  <c r="T1466" i="1"/>
  <c r="W1466" i="1" s="1"/>
  <c r="V1465" i="1"/>
  <c r="T1465" i="1"/>
  <c r="W1465" i="1" s="1"/>
  <c r="V1464" i="1"/>
  <c r="T1464" i="1"/>
  <c r="W1464" i="1" s="1"/>
  <c r="V1463" i="1"/>
  <c r="T1463" i="1"/>
  <c r="V1462" i="1"/>
  <c r="T1462" i="1"/>
  <c r="W1462" i="1" s="1"/>
  <c r="V1461" i="1"/>
  <c r="T1461" i="1"/>
  <c r="W1461" i="1" s="1"/>
  <c r="V1460" i="1"/>
  <c r="T1460" i="1"/>
  <c r="W1460" i="1" s="1"/>
  <c r="V1459" i="1"/>
  <c r="T1459" i="1"/>
  <c r="W1459" i="1" s="1"/>
  <c r="V1458" i="1"/>
  <c r="T1458" i="1"/>
  <c r="W1458" i="1" s="1"/>
  <c r="V1457" i="1"/>
  <c r="T1457" i="1"/>
  <c r="W1457" i="1" s="1"/>
  <c r="V1456" i="1"/>
  <c r="T1456" i="1"/>
  <c r="W1456" i="1" s="1"/>
  <c r="V1455" i="1"/>
  <c r="T1455" i="1"/>
  <c r="W1455" i="1" s="1"/>
  <c r="V1454" i="1"/>
  <c r="T1454" i="1"/>
  <c r="W1454" i="1" s="1"/>
  <c r="V1453" i="1"/>
  <c r="T1453" i="1"/>
  <c r="W1453" i="1" s="1"/>
  <c r="V1452" i="1"/>
  <c r="T1452" i="1"/>
  <c r="W1452" i="1" s="1"/>
  <c r="V1451" i="1"/>
  <c r="T1451" i="1"/>
  <c r="V1450" i="1"/>
  <c r="T1450" i="1"/>
  <c r="W1450" i="1" s="1"/>
  <c r="V1449" i="1"/>
  <c r="T1449" i="1"/>
  <c r="W1449" i="1" s="1"/>
  <c r="V1448" i="1"/>
  <c r="T1448" i="1"/>
  <c r="W1448" i="1" s="1"/>
  <c r="V1447" i="1"/>
  <c r="T1447" i="1"/>
  <c r="V1446" i="1"/>
  <c r="T1446" i="1"/>
  <c r="W1446" i="1" s="1"/>
  <c r="V1445" i="1"/>
  <c r="T1445" i="1"/>
  <c r="W1445" i="1" s="1"/>
  <c r="V1444" i="1"/>
  <c r="T1444" i="1"/>
  <c r="W1444" i="1" s="1"/>
  <c r="V1443" i="1"/>
  <c r="T1443" i="1"/>
  <c r="W1443" i="1" s="1"/>
  <c r="V1442" i="1"/>
  <c r="T1442" i="1"/>
  <c r="W1442" i="1" s="1"/>
  <c r="V1441" i="1"/>
  <c r="T1441" i="1"/>
  <c r="W1441" i="1" s="1"/>
  <c r="V1440" i="1"/>
  <c r="T1440" i="1"/>
  <c r="W1440" i="1" s="1"/>
  <c r="V1439" i="1"/>
  <c r="T1439" i="1"/>
  <c r="W1439" i="1" s="1"/>
  <c r="V1438" i="1"/>
  <c r="T1438" i="1"/>
  <c r="W1438" i="1" s="1"/>
  <c r="V1437" i="1"/>
  <c r="T1437" i="1"/>
  <c r="W1437" i="1" s="1"/>
  <c r="V1436" i="1"/>
  <c r="T1436" i="1"/>
  <c r="W1436" i="1" s="1"/>
  <c r="V1435" i="1"/>
  <c r="T1435" i="1"/>
  <c r="V1434" i="1"/>
  <c r="T1434" i="1"/>
  <c r="W1434" i="1" s="1"/>
  <c r="V1433" i="1"/>
  <c r="T1433" i="1"/>
  <c r="W1433" i="1" s="1"/>
  <c r="V1432" i="1"/>
  <c r="T1432" i="1"/>
  <c r="W1432" i="1" s="1"/>
  <c r="V1431" i="1"/>
  <c r="T1431" i="1"/>
  <c r="V1430" i="1"/>
  <c r="T1430" i="1"/>
  <c r="W1430" i="1" s="1"/>
  <c r="V1429" i="1"/>
  <c r="T1429" i="1"/>
  <c r="W1429" i="1" s="1"/>
  <c r="V1428" i="1"/>
  <c r="T1428" i="1"/>
  <c r="W1428" i="1" s="1"/>
  <c r="V1427" i="1"/>
  <c r="T1427" i="1"/>
  <c r="W1427" i="1" s="1"/>
  <c r="V1426" i="1"/>
  <c r="T1426" i="1"/>
  <c r="W1426" i="1" s="1"/>
  <c r="V1425" i="1"/>
  <c r="T1425" i="1"/>
  <c r="W1425" i="1" s="1"/>
  <c r="V1424" i="1"/>
  <c r="T1424" i="1"/>
  <c r="W1424" i="1" s="1"/>
  <c r="V1423" i="1"/>
  <c r="T1423" i="1"/>
  <c r="W1423" i="1" s="1"/>
  <c r="V1422" i="1"/>
  <c r="T1422" i="1"/>
  <c r="W1422" i="1" s="1"/>
  <c r="V1421" i="1"/>
  <c r="T1421" i="1"/>
  <c r="W1421" i="1" s="1"/>
  <c r="V1420" i="1"/>
  <c r="T1420" i="1"/>
  <c r="W1420" i="1" s="1"/>
  <c r="V1419" i="1"/>
  <c r="T1419" i="1"/>
  <c r="V1418" i="1"/>
  <c r="T1418" i="1"/>
  <c r="W1418" i="1" s="1"/>
  <c r="V1417" i="1"/>
  <c r="T1417" i="1"/>
  <c r="W1417" i="1" s="1"/>
  <c r="V1416" i="1"/>
  <c r="T1416" i="1"/>
  <c r="W1416" i="1" s="1"/>
  <c r="V1415" i="1"/>
  <c r="T1415" i="1"/>
  <c r="V1414" i="1"/>
  <c r="T1414" i="1"/>
  <c r="W1414" i="1" s="1"/>
  <c r="V1413" i="1"/>
  <c r="T1413" i="1"/>
  <c r="W1413" i="1" s="1"/>
  <c r="V1412" i="1"/>
  <c r="T1412" i="1"/>
  <c r="W1412" i="1" s="1"/>
  <c r="V1411" i="1"/>
  <c r="T1411" i="1"/>
  <c r="W1411" i="1" s="1"/>
  <c r="V1410" i="1"/>
  <c r="T1410" i="1"/>
  <c r="W1410" i="1" s="1"/>
  <c r="V1409" i="1"/>
  <c r="T1409" i="1"/>
  <c r="W1409" i="1" s="1"/>
  <c r="V1408" i="1"/>
  <c r="T1408" i="1"/>
  <c r="W1408" i="1" s="1"/>
  <c r="V1407" i="1"/>
  <c r="T1407" i="1"/>
  <c r="W1407" i="1" s="1"/>
  <c r="V1406" i="1"/>
  <c r="T1406" i="1"/>
  <c r="W1406" i="1" s="1"/>
  <c r="V1405" i="1"/>
  <c r="T1405" i="1"/>
  <c r="W1405" i="1" s="1"/>
  <c r="V1404" i="1"/>
  <c r="T1404" i="1"/>
  <c r="W1404" i="1" s="1"/>
  <c r="V1403" i="1"/>
  <c r="T1403" i="1"/>
  <c r="V1402" i="1"/>
  <c r="T1402" i="1"/>
  <c r="W1402" i="1" s="1"/>
  <c r="V1401" i="1"/>
  <c r="T1401" i="1"/>
  <c r="W1401" i="1" s="1"/>
  <c r="V1400" i="1"/>
  <c r="T1400" i="1"/>
  <c r="W1400" i="1" s="1"/>
  <c r="V1399" i="1"/>
  <c r="T1399" i="1"/>
  <c r="V1398" i="1"/>
  <c r="T1398" i="1"/>
  <c r="W1398" i="1" s="1"/>
  <c r="V1397" i="1"/>
  <c r="T1397" i="1"/>
  <c r="W1397" i="1" s="1"/>
  <c r="V1396" i="1"/>
  <c r="T1396" i="1"/>
  <c r="W1396" i="1" s="1"/>
  <c r="V1395" i="1"/>
  <c r="T1395" i="1"/>
  <c r="W1395" i="1" s="1"/>
  <c r="V1394" i="1"/>
  <c r="T1394" i="1"/>
  <c r="W1394" i="1" s="1"/>
  <c r="V1393" i="1"/>
  <c r="T1393" i="1"/>
  <c r="W1393" i="1" s="1"/>
  <c r="V1392" i="1"/>
  <c r="T1392" i="1"/>
  <c r="W1392" i="1" s="1"/>
  <c r="V1391" i="1"/>
  <c r="T1391" i="1"/>
  <c r="W1391" i="1" s="1"/>
  <c r="V1390" i="1"/>
  <c r="T1390" i="1"/>
  <c r="W1390" i="1" s="1"/>
  <c r="V1389" i="1"/>
  <c r="T1389" i="1"/>
  <c r="W1389" i="1" s="1"/>
  <c r="V1388" i="1"/>
  <c r="T1388" i="1"/>
  <c r="W1388" i="1" s="1"/>
  <c r="V1387" i="1"/>
  <c r="T1387" i="1"/>
  <c r="W1387" i="1" s="1"/>
  <c r="V1386" i="1"/>
  <c r="T1386" i="1"/>
  <c r="W1386" i="1" s="1"/>
  <c r="V1385" i="1"/>
  <c r="T1385" i="1"/>
  <c r="W1385" i="1" s="1"/>
  <c r="V1384" i="1"/>
  <c r="T1384" i="1"/>
  <c r="W1384" i="1" s="1"/>
  <c r="V1383" i="1"/>
  <c r="T1383" i="1"/>
  <c r="W1383" i="1" s="1"/>
  <c r="V1382" i="1"/>
  <c r="T1382" i="1"/>
  <c r="W1382" i="1" s="1"/>
  <c r="V1381" i="1"/>
  <c r="T1381" i="1"/>
  <c r="W1381" i="1" s="1"/>
  <c r="V1380" i="1"/>
  <c r="T1380" i="1"/>
  <c r="W1380" i="1" s="1"/>
  <c r="V1379" i="1"/>
  <c r="T1379" i="1"/>
  <c r="W1379" i="1" s="1"/>
  <c r="V1378" i="1"/>
  <c r="T1378" i="1"/>
  <c r="W1378" i="1" s="1"/>
  <c r="V1377" i="1"/>
  <c r="T1377" i="1"/>
  <c r="W1377" i="1" s="1"/>
  <c r="V1376" i="1"/>
  <c r="T1376" i="1"/>
  <c r="W1376" i="1" s="1"/>
  <c r="V1375" i="1"/>
  <c r="T1375" i="1"/>
  <c r="W1375" i="1" s="1"/>
  <c r="V1374" i="1"/>
  <c r="T1374" i="1"/>
  <c r="W1374" i="1" s="1"/>
  <c r="V1373" i="1"/>
  <c r="T1373" i="1"/>
  <c r="W1373" i="1" s="1"/>
  <c r="V1372" i="1"/>
  <c r="T1372" i="1"/>
  <c r="W1372" i="1" s="1"/>
  <c r="V1371" i="1"/>
  <c r="T1371" i="1"/>
  <c r="W1371" i="1" s="1"/>
  <c r="V1370" i="1"/>
  <c r="T1370" i="1"/>
  <c r="W1370" i="1" s="1"/>
  <c r="V1369" i="1"/>
  <c r="T1369" i="1"/>
  <c r="W1369" i="1" s="1"/>
  <c r="V1368" i="1"/>
  <c r="T1368" i="1"/>
  <c r="W1368" i="1" s="1"/>
  <c r="V1367" i="1"/>
  <c r="T1367" i="1"/>
  <c r="W1367" i="1" s="1"/>
  <c r="V1366" i="1"/>
  <c r="T1366" i="1"/>
  <c r="W1366" i="1" s="1"/>
  <c r="V1365" i="1"/>
  <c r="T1365" i="1"/>
  <c r="W1365" i="1" s="1"/>
  <c r="V1364" i="1"/>
  <c r="T1364" i="1"/>
  <c r="W1364" i="1" s="1"/>
  <c r="V1363" i="1"/>
  <c r="T1363" i="1"/>
  <c r="W1363" i="1" s="1"/>
  <c r="V1362" i="1"/>
  <c r="T1362" i="1"/>
  <c r="W1362" i="1" s="1"/>
  <c r="V1361" i="1"/>
  <c r="T1361" i="1"/>
  <c r="W1361" i="1" s="1"/>
  <c r="V1360" i="1"/>
  <c r="T1360" i="1"/>
  <c r="W1360" i="1" s="1"/>
  <c r="V1359" i="1"/>
  <c r="T1359" i="1"/>
  <c r="V1358" i="1"/>
  <c r="T1358" i="1"/>
  <c r="W1358" i="1" s="1"/>
  <c r="V1357" i="1"/>
  <c r="T1357" i="1"/>
  <c r="W1357" i="1" s="1"/>
  <c r="V1356" i="1"/>
  <c r="T1356" i="1"/>
  <c r="W1356" i="1" s="1"/>
  <c r="V1355" i="1"/>
  <c r="T1355" i="1"/>
  <c r="W1355" i="1" s="1"/>
  <c r="V1354" i="1"/>
  <c r="T1354" i="1"/>
  <c r="W1354" i="1" s="1"/>
  <c r="V1353" i="1"/>
  <c r="T1353" i="1"/>
  <c r="W1353" i="1" s="1"/>
  <c r="V1352" i="1"/>
  <c r="T1352" i="1"/>
  <c r="W1352" i="1" s="1"/>
  <c r="V1351" i="1"/>
  <c r="T1351" i="1"/>
  <c r="W1351" i="1" s="1"/>
  <c r="V1350" i="1"/>
  <c r="T1350" i="1"/>
  <c r="W1350" i="1" s="1"/>
  <c r="V1349" i="1"/>
  <c r="T1349" i="1"/>
  <c r="W1349" i="1" s="1"/>
  <c r="V1348" i="1"/>
  <c r="T1348" i="1"/>
  <c r="W1348" i="1" s="1"/>
  <c r="V1347" i="1"/>
  <c r="T1347" i="1"/>
  <c r="W1347" i="1" s="1"/>
  <c r="V1346" i="1"/>
  <c r="T1346" i="1"/>
  <c r="W1346" i="1" s="1"/>
  <c r="V1345" i="1"/>
  <c r="T1345" i="1"/>
  <c r="W1345" i="1" s="1"/>
  <c r="V1344" i="1"/>
  <c r="T1344" i="1"/>
  <c r="W1344" i="1" s="1"/>
  <c r="V1343" i="1"/>
  <c r="T1343" i="1"/>
  <c r="V1342" i="1"/>
  <c r="T1342" i="1"/>
  <c r="W1342" i="1" s="1"/>
  <c r="V1341" i="1"/>
  <c r="T1341" i="1"/>
  <c r="W1341" i="1" s="1"/>
  <c r="V1340" i="1"/>
  <c r="T1340" i="1"/>
  <c r="W1340" i="1" s="1"/>
  <c r="V1339" i="1"/>
  <c r="T1339" i="1"/>
  <c r="W1339" i="1" s="1"/>
  <c r="V1338" i="1"/>
  <c r="T1338" i="1"/>
  <c r="W1338" i="1" s="1"/>
  <c r="V1337" i="1"/>
  <c r="T1337" i="1"/>
  <c r="W1337" i="1" s="1"/>
  <c r="V1336" i="1"/>
  <c r="T1336" i="1"/>
  <c r="W1336" i="1" s="1"/>
  <c r="V1335" i="1"/>
  <c r="T1335" i="1"/>
  <c r="W1335" i="1" s="1"/>
  <c r="V1334" i="1"/>
  <c r="T1334" i="1"/>
  <c r="W1334" i="1" s="1"/>
  <c r="V1333" i="1"/>
  <c r="T1333" i="1"/>
  <c r="W1333" i="1" s="1"/>
  <c r="V1332" i="1"/>
  <c r="T1332" i="1"/>
  <c r="W1332" i="1" s="1"/>
  <c r="V1331" i="1"/>
  <c r="T1331" i="1"/>
  <c r="W1331" i="1" s="1"/>
  <c r="V1330" i="1"/>
  <c r="T1330" i="1"/>
  <c r="W1330" i="1" s="1"/>
  <c r="V1329" i="1"/>
  <c r="T1329" i="1"/>
  <c r="W1329" i="1" s="1"/>
  <c r="V1328" i="1"/>
  <c r="T1328" i="1"/>
  <c r="W1328" i="1" s="1"/>
  <c r="V1327" i="1"/>
  <c r="T1327" i="1"/>
  <c r="W1327" i="1" s="1"/>
  <c r="V1326" i="1"/>
  <c r="T1326" i="1"/>
  <c r="W1326" i="1" s="1"/>
  <c r="V1325" i="1"/>
  <c r="T1325" i="1"/>
  <c r="W1325" i="1" s="1"/>
  <c r="V1324" i="1"/>
  <c r="T1324" i="1"/>
  <c r="W1324" i="1" s="1"/>
  <c r="V1323" i="1"/>
  <c r="T1323" i="1"/>
  <c r="W1323" i="1" s="1"/>
  <c r="V1322" i="1"/>
  <c r="T1322" i="1"/>
  <c r="W1322" i="1" s="1"/>
  <c r="V1321" i="1"/>
  <c r="T1321" i="1"/>
  <c r="W1321" i="1" s="1"/>
  <c r="V1320" i="1"/>
  <c r="T1320" i="1"/>
  <c r="W1320" i="1" s="1"/>
  <c r="V1319" i="1"/>
  <c r="T1319" i="1"/>
  <c r="W1319" i="1" s="1"/>
  <c r="V1318" i="1"/>
  <c r="T1318" i="1"/>
  <c r="W1318" i="1" s="1"/>
  <c r="V1317" i="1"/>
  <c r="T1317" i="1"/>
  <c r="W1317" i="1" s="1"/>
  <c r="V1316" i="1"/>
  <c r="T1316" i="1"/>
  <c r="W1316" i="1" s="1"/>
  <c r="V1315" i="1"/>
  <c r="T1315" i="1"/>
  <c r="W1315" i="1" s="1"/>
  <c r="V1314" i="1"/>
  <c r="T1314" i="1"/>
  <c r="W1314" i="1" s="1"/>
  <c r="V1313" i="1"/>
  <c r="T1313" i="1"/>
  <c r="W1313" i="1" s="1"/>
  <c r="V1312" i="1"/>
  <c r="T1312" i="1"/>
  <c r="W1312" i="1" s="1"/>
  <c r="V1311" i="1"/>
  <c r="T1311" i="1"/>
  <c r="W1311" i="1" s="1"/>
  <c r="V1310" i="1"/>
  <c r="T1310" i="1"/>
  <c r="W1310" i="1" s="1"/>
  <c r="V1309" i="1"/>
  <c r="T1309" i="1"/>
  <c r="W1309" i="1" s="1"/>
  <c r="V1308" i="1"/>
  <c r="T1308" i="1"/>
  <c r="W1308" i="1" s="1"/>
  <c r="V1307" i="1"/>
  <c r="T1307" i="1"/>
  <c r="W1307" i="1" s="1"/>
  <c r="V1306" i="1"/>
  <c r="T1306" i="1"/>
  <c r="W1306" i="1" s="1"/>
  <c r="V1305" i="1"/>
  <c r="T1305" i="1"/>
  <c r="W1305" i="1" s="1"/>
  <c r="V1304" i="1"/>
  <c r="T1304" i="1"/>
  <c r="W1304" i="1" s="1"/>
  <c r="V1303" i="1"/>
  <c r="T1303" i="1"/>
  <c r="W1303" i="1" s="1"/>
  <c r="V1302" i="1"/>
  <c r="T1302" i="1"/>
  <c r="W1302" i="1" s="1"/>
  <c r="V1301" i="1"/>
  <c r="T1301" i="1"/>
  <c r="W1301" i="1" s="1"/>
  <c r="V1300" i="1"/>
  <c r="T1300" i="1"/>
  <c r="W1300" i="1" s="1"/>
  <c r="V1299" i="1"/>
  <c r="T1299" i="1"/>
  <c r="W1299" i="1" s="1"/>
  <c r="V1298" i="1"/>
  <c r="T1298" i="1"/>
  <c r="W1298" i="1" s="1"/>
  <c r="V1297" i="1"/>
  <c r="T1297" i="1"/>
  <c r="W1297" i="1" s="1"/>
  <c r="V1296" i="1"/>
  <c r="T1296" i="1"/>
  <c r="W1296" i="1" s="1"/>
  <c r="V1295" i="1"/>
  <c r="T1295" i="1"/>
  <c r="V1294" i="1"/>
  <c r="T1294" i="1"/>
  <c r="W1294" i="1" s="1"/>
  <c r="V1293" i="1"/>
  <c r="T1293" i="1"/>
  <c r="W1293" i="1" s="1"/>
  <c r="V1292" i="1"/>
  <c r="T1292" i="1"/>
  <c r="W1292" i="1" s="1"/>
  <c r="V1291" i="1"/>
  <c r="T1291" i="1"/>
  <c r="W1291" i="1" s="1"/>
  <c r="V1290" i="1"/>
  <c r="T1290" i="1"/>
  <c r="W1290" i="1" s="1"/>
  <c r="V1289" i="1"/>
  <c r="T1289" i="1"/>
  <c r="W1289" i="1" s="1"/>
  <c r="V1288" i="1"/>
  <c r="T1288" i="1"/>
  <c r="W1288" i="1" s="1"/>
  <c r="V1287" i="1"/>
  <c r="T1287" i="1"/>
  <c r="W1287" i="1" s="1"/>
  <c r="V1286" i="1"/>
  <c r="T1286" i="1"/>
  <c r="W1286" i="1" s="1"/>
  <c r="V1285" i="1"/>
  <c r="T1285" i="1"/>
  <c r="W1285" i="1" s="1"/>
  <c r="V1284" i="1"/>
  <c r="T1284" i="1"/>
  <c r="W1284" i="1" s="1"/>
  <c r="V1283" i="1"/>
  <c r="T1283" i="1"/>
  <c r="W1283" i="1" s="1"/>
  <c r="V1282" i="1"/>
  <c r="T1282" i="1"/>
  <c r="W1282" i="1" s="1"/>
  <c r="V1281" i="1"/>
  <c r="T1281" i="1"/>
  <c r="W1281" i="1" s="1"/>
  <c r="V1280" i="1"/>
  <c r="T1280" i="1"/>
  <c r="W1280" i="1" s="1"/>
  <c r="V1279" i="1"/>
  <c r="T1279" i="1"/>
  <c r="W1279" i="1" s="1"/>
  <c r="V1278" i="1"/>
  <c r="T1278" i="1"/>
  <c r="W1278" i="1" s="1"/>
  <c r="V1277" i="1"/>
  <c r="T1277" i="1"/>
  <c r="W1277" i="1" s="1"/>
  <c r="V1276" i="1"/>
  <c r="T1276" i="1"/>
  <c r="W1276" i="1" s="1"/>
  <c r="V1275" i="1"/>
  <c r="T1275" i="1"/>
  <c r="W1275" i="1" s="1"/>
  <c r="V1274" i="1"/>
  <c r="T1274" i="1"/>
  <c r="W1274" i="1" s="1"/>
  <c r="V1273" i="1"/>
  <c r="T1273" i="1"/>
  <c r="W1273" i="1" s="1"/>
  <c r="V1272" i="1"/>
  <c r="T1272" i="1"/>
  <c r="W1272" i="1" s="1"/>
  <c r="V1271" i="1"/>
  <c r="T1271" i="1"/>
  <c r="W1271" i="1" s="1"/>
  <c r="V1270" i="1"/>
  <c r="T1270" i="1"/>
  <c r="W1270" i="1" s="1"/>
  <c r="V1269" i="1"/>
  <c r="T1269" i="1"/>
  <c r="W1269" i="1" s="1"/>
  <c r="V1268" i="1"/>
  <c r="T1268" i="1"/>
  <c r="W1268" i="1" s="1"/>
  <c r="V1267" i="1"/>
  <c r="T1267" i="1"/>
  <c r="W1267" i="1" s="1"/>
  <c r="V1266" i="1"/>
  <c r="T1266" i="1"/>
  <c r="W1266" i="1" s="1"/>
  <c r="V1265" i="1"/>
  <c r="T1265" i="1"/>
  <c r="W1265" i="1" s="1"/>
  <c r="V1264" i="1"/>
  <c r="T1264" i="1"/>
  <c r="W1264" i="1" s="1"/>
  <c r="V1263" i="1"/>
  <c r="T1263" i="1"/>
  <c r="W1263" i="1" s="1"/>
  <c r="V1262" i="1"/>
  <c r="T1262" i="1"/>
  <c r="W1262" i="1" s="1"/>
  <c r="V1261" i="1"/>
  <c r="T1261" i="1"/>
  <c r="W1261" i="1" s="1"/>
  <c r="V1260" i="1"/>
  <c r="T1260" i="1"/>
  <c r="W1260" i="1" s="1"/>
  <c r="V1259" i="1"/>
  <c r="T1259" i="1"/>
  <c r="W1259" i="1" s="1"/>
  <c r="V1258" i="1"/>
  <c r="T1258" i="1"/>
  <c r="W1258" i="1" s="1"/>
  <c r="V1257" i="1"/>
  <c r="T1257" i="1"/>
  <c r="W1257" i="1" s="1"/>
  <c r="V1256" i="1"/>
  <c r="T1256" i="1"/>
  <c r="W1256" i="1" s="1"/>
  <c r="V1255" i="1"/>
  <c r="T1255" i="1"/>
  <c r="W1255" i="1" s="1"/>
  <c r="V1254" i="1"/>
  <c r="T1254" i="1"/>
  <c r="W1254" i="1" s="1"/>
  <c r="V1253" i="1"/>
  <c r="T1253" i="1"/>
  <c r="W1253" i="1" s="1"/>
  <c r="V1252" i="1"/>
  <c r="T1252" i="1"/>
  <c r="W1252" i="1" s="1"/>
  <c r="V1251" i="1"/>
  <c r="T1251" i="1"/>
  <c r="W1251" i="1" s="1"/>
  <c r="V1250" i="1"/>
  <c r="T1250" i="1"/>
  <c r="W1250" i="1" s="1"/>
  <c r="V1249" i="1"/>
  <c r="T1249" i="1"/>
  <c r="W1249" i="1" s="1"/>
  <c r="V1248" i="1"/>
  <c r="T1248" i="1"/>
  <c r="W1248" i="1" s="1"/>
  <c r="V1247" i="1"/>
  <c r="T1247" i="1"/>
  <c r="W1247" i="1" s="1"/>
  <c r="V1246" i="1"/>
  <c r="T1246" i="1"/>
  <c r="W1246" i="1" s="1"/>
  <c r="V1245" i="1"/>
  <c r="T1245" i="1"/>
  <c r="W1245" i="1" s="1"/>
  <c r="V1244" i="1"/>
  <c r="T1244" i="1"/>
  <c r="W1244" i="1" s="1"/>
  <c r="V1243" i="1"/>
  <c r="T1243" i="1"/>
  <c r="W1243" i="1" s="1"/>
  <c r="V1242" i="1"/>
  <c r="T1242" i="1"/>
  <c r="W1242" i="1" s="1"/>
  <c r="V1241" i="1"/>
  <c r="T1241" i="1"/>
  <c r="W1241" i="1" s="1"/>
  <c r="V1240" i="1"/>
  <c r="T1240" i="1"/>
  <c r="W1240" i="1" s="1"/>
  <c r="V1239" i="1"/>
  <c r="T1239" i="1"/>
  <c r="W1239" i="1" s="1"/>
  <c r="V1238" i="1"/>
  <c r="T1238" i="1"/>
  <c r="W1238" i="1" s="1"/>
  <c r="V1237" i="1"/>
  <c r="T1237" i="1"/>
  <c r="W1237" i="1" s="1"/>
  <c r="V1236" i="1"/>
  <c r="T1236" i="1"/>
  <c r="W1236" i="1" s="1"/>
  <c r="V1235" i="1"/>
  <c r="T1235" i="1"/>
  <c r="W1235" i="1" s="1"/>
  <c r="V1234" i="1"/>
  <c r="T1234" i="1"/>
  <c r="W1234" i="1" s="1"/>
  <c r="V1233" i="1"/>
  <c r="T1233" i="1"/>
  <c r="W1233" i="1" s="1"/>
  <c r="V1232" i="1"/>
  <c r="T1232" i="1"/>
  <c r="W1232" i="1" s="1"/>
  <c r="V1231" i="1"/>
  <c r="T1231" i="1"/>
  <c r="W1231" i="1" s="1"/>
  <c r="V1230" i="1"/>
  <c r="T1230" i="1"/>
  <c r="W1230" i="1" s="1"/>
  <c r="V1229" i="1"/>
  <c r="T1229" i="1"/>
  <c r="W1229" i="1" s="1"/>
  <c r="V1228" i="1"/>
  <c r="T1228" i="1"/>
  <c r="W1228" i="1" s="1"/>
  <c r="V1227" i="1"/>
  <c r="T1227" i="1"/>
  <c r="W1227" i="1" s="1"/>
  <c r="V1226" i="1"/>
  <c r="T1226" i="1"/>
  <c r="W1226" i="1" s="1"/>
  <c r="V1225" i="1"/>
  <c r="T1225" i="1"/>
  <c r="W1225" i="1" s="1"/>
  <c r="V1224" i="1"/>
  <c r="T1224" i="1"/>
  <c r="W1224" i="1" s="1"/>
  <c r="V1223" i="1"/>
  <c r="T1223" i="1"/>
  <c r="W1223" i="1" s="1"/>
  <c r="V1222" i="1"/>
  <c r="T1222" i="1"/>
  <c r="W1222" i="1" s="1"/>
  <c r="V1221" i="1"/>
  <c r="T1221" i="1"/>
  <c r="W1221" i="1" s="1"/>
  <c r="V1220" i="1"/>
  <c r="T1220" i="1"/>
  <c r="W1220" i="1" s="1"/>
  <c r="V1219" i="1"/>
  <c r="T1219" i="1"/>
  <c r="W1219" i="1" s="1"/>
  <c r="V1218" i="1"/>
  <c r="T1218" i="1"/>
  <c r="W1218" i="1" s="1"/>
  <c r="V1217" i="1"/>
  <c r="T1217" i="1"/>
  <c r="W1217" i="1" s="1"/>
  <c r="V1216" i="1"/>
  <c r="T1216" i="1"/>
  <c r="W1216" i="1" s="1"/>
  <c r="V1215" i="1"/>
  <c r="T1215" i="1"/>
  <c r="W1215" i="1" s="1"/>
  <c r="V1214" i="1"/>
  <c r="T1214" i="1"/>
  <c r="W1214" i="1" s="1"/>
  <c r="V1213" i="1"/>
  <c r="T1213" i="1"/>
  <c r="W1213" i="1" s="1"/>
  <c r="V1212" i="1"/>
  <c r="T1212" i="1"/>
  <c r="W1212" i="1" s="1"/>
  <c r="V1211" i="1"/>
  <c r="T1211" i="1"/>
  <c r="W1211" i="1" s="1"/>
  <c r="V1210" i="1"/>
  <c r="T1210" i="1"/>
  <c r="W1210" i="1" s="1"/>
  <c r="V1209" i="1"/>
  <c r="T1209" i="1"/>
  <c r="W1209" i="1" s="1"/>
  <c r="V1208" i="1"/>
  <c r="T1208" i="1"/>
  <c r="W1208" i="1" s="1"/>
  <c r="V1207" i="1"/>
  <c r="T1207" i="1"/>
  <c r="W1207" i="1" s="1"/>
  <c r="V1206" i="1"/>
  <c r="T1206" i="1"/>
  <c r="W1206" i="1" s="1"/>
  <c r="V1205" i="1"/>
  <c r="T1205" i="1"/>
  <c r="W1205" i="1" s="1"/>
  <c r="V1204" i="1"/>
  <c r="T1204" i="1"/>
  <c r="W1204" i="1" s="1"/>
  <c r="V1203" i="1"/>
  <c r="T1203" i="1"/>
  <c r="W1203" i="1" s="1"/>
  <c r="V1202" i="1"/>
  <c r="T1202" i="1"/>
  <c r="W1202" i="1" s="1"/>
  <c r="V1201" i="1"/>
  <c r="T1201" i="1"/>
  <c r="W1201" i="1" s="1"/>
  <c r="V1200" i="1"/>
  <c r="T1200" i="1"/>
  <c r="W1200" i="1" s="1"/>
  <c r="V1199" i="1"/>
  <c r="T1199" i="1"/>
  <c r="W1199" i="1" s="1"/>
  <c r="V1198" i="1"/>
  <c r="T1198" i="1"/>
  <c r="W1198" i="1" s="1"/>
  <c r="V1197" i="1"/>
  <c r="T1197" i="1"/>
  <c r="W1197" i="1" s="1"/>
  <c r="V1196" i="1"/>
  <c r="T1196" i="1"/>
  <c r="W1196" i="1" s="1"/>
  <c r="V1195" i="1"/>
  <c r="T1195" i="1"/>
  <c r="W1195" i="1" s="1"/>
  <c r="V1194" i="1"/>
  <c r="T1194" i="1"/>
  <c r="W1194" i="1" s="1"/>
  <c r="V1193" i="1"/>
  <c r="T1193" i="1"/>
  <c r="W1193" i="1" s="1"/>
  <c r="V1192" i="1"/>
  <c r="T1192" i="1"/>
  <c r="W1192" i="1" s="1"/>
  <c r="V1191" i="1"/>
  <c r="T1191" i="1"/>
  <c r="W1191" i="1" s="1"/>
  <c r="V1190" i="1"/>
  <c r="T1190" i="1"/>
  <c r="W1190" i="1" s="1"/>
  <c r="V1189" i="1"/>
  <c r="T1189" i="1"/>
  <c r="W1189" i="1" s="1"/>
  <c r="V1188" i="1"/>
  <c r="T1188" i="1"/>
  <c r="W1188" i="1" s="1"/>
  <c r="V1187" i="1"/>
  <c r="T1187" i="1"/>
  <c r="W1187" i="1" s="1"/>
  <c r="V1186" i="1"/>
  <c r="T1186" i="1"/>
  <c r="W1186" i="1" s="1"/>
  <c r="V1185" i="1"/>
  <c r="T1185" i="1"/>
  <c r="W1185" i="1" s="1"/>
  <c r="V1184" i="1"/>
  <c r="T1184" i="1"/>
  <c r="W1184" i="1" s="1"/>
  <c r="V1183" i="1"/>
  <c r="T1183" i="1"/>
  <c r="W1183" i="1" s="1"/>
  <c r="V1182" i="1"/>
  <c r="T1182" i="1"/>
  <c r="W1182" i="1" s="1"/>
  <c r="V1181" i="1"/>
  <c r="T1181" i="1"/>
  <c r="W1181" i="1" s="1"/>
  <c r="V1180" i="1"/>
  <c r="T1180" i="1"/>
  <c r="W1180" i="1" s="1"/>
  <c r="V1179" i="1"/>
  <c r="T1179" i="1"/>
  <c r="W1179" i="1" s="1"/>
  <c r="V1178" i="1"/>
  <c r="T1178" i="1"/>
  <c r="W1178" i="1" s="1"/>
  <c r="V1177" i="1"/>
  <c r="T1177" i="1"/>
  <c r="W1177" i="1" s="1"/>
  <c r="V1176" i="1"/>
  <c r="T1176" i="1"/>
  <c r="W1176" i="1" s="1"/>
  <c r="V1175" i="1"/>
  <c r="T1175" i="1"/>
  <c r="W1175" i="1" s="1"/>
  <c r="V1174" i="1"/>
  <c r="T1174" i="1"/>
  <c r="W1174" i="1" s="1"/>
  <c r="V1173" i="1"/>
  <c r="T1173" i="1"/>
  <c r="W1173" i="1" s="1"/>
  <c r="V1172" i="1"/>
  <c r="T1172" i="1"/>
  <c r="W1172" i="1" s="1"/>
  <c r="V1171" i="1"/>
  <c r="T1171" i="1"/>
  <c r="W1171" i="1" s="1"/>
  <c r="V1170" i="1"/>
  <c r="T1170" i="1"/>
  <c r="W1170" i="1" s="1"/>
  <c r="V1169" i="1"/>
  <c r="T1169" i="1"/>
  <c r="W1169" i="1" s="1"/>
  <c r="V1168" i="1"/>
  <c r="T1168" i="1"/>
  <c r="W1168" i="1" s="1"/>
  <c r="V1167" i="1"/>
  <c r="T1167" i="1"/>
  <c r="W1167" i="1" s="1"/>
  <c r="V1166" i="1"/>
  <c r="T1166" i="1"/>
  <c r="W1166" i="1" s="1"/>
  <c r="V1165" i="1"/>
  <c r="T1165" i="1"/>
  <c r="W1165" i="1" s="1"/>
  <c r="V1164" i="1"/>
  <c r="T1164" i="1"/>
  <c r="W1164" i="1" s="1"/>
  <c r="V1163" i="1"/>
  <c r="T1163" i="1"/>
  <c r="W1163" i="1" s="1"/>
  <c r="V1162" i="1"/>
  <c r="T1162" i="1"/>
  <c r="W1162" i="1" s="1"/>
  <c r="V1161" i="1"/>
  <c r="T1161" i="1"/>
  <c r="W1161" i="1" s="1"/>
  <c r="V1160" i="1"/>
  <c r="T1160" i="1"/>
  <c r="W1160" i="1" s="1"/>
  <c r="V1159" i="1"/>
  <c r="T1159" i="1"/>
  <c r="W1159" i="1" s="1"/>
  <c r="V1158" i="1"/>
  <c r="T1158" i="1"/>
  <c r="W1158" i="1" s="1"/>
  <c r="V1157" i="1"/>
  <c r="T1157" i="1"/>
  <c r="W1157" i="1" s="1"/>
  <c r="V1156" i="1"/>
  <c r="T1156" i="1"/>
  <c r="W1156" i="1" s="1"/>
  <c r="V1155" i="1"/>
  <c r="T1155" i="1"/>
  <c r="W1155" i="1" s="1"/>
  <c r="V1154" i="1"/>
  <c r="T1154" i="1"/>
  <c r="W1154" i="1" s="1"/>
  <c r="V1153" i="1"/>
  <c r="T1153" i="1"/>
  <c r="W1153" i="1" s="1"/>
  <c r="V1152" i="1"/>
  <c r="T1152" i="1"/>
  <c r="W1152" i="1" s="1"/>
  <c r="V1151" i="1"/>
  <c r="T1151" i="1"/>
  <c r="W1151" i="1" s="1"/>
  <c r="V1150" i="1"/>
  <c r="T1150" i="1"/>
  <c r="W1150" i="1" s="1"/>
  <c r="V1149" i="1"/>
  <c r="T1149" i="1"/>
  <c r="W1149" i="1" s="1"/>
  <c r="V1148" i="1"/>
  <c r="T1148" i="1"/>
  <c r="W1148" i="1" s="1"/>
  <c r="V1147" i="1"/>
  <c r="T1147" i="1"/>
  <c r="W1147" i="1" s="1"/>
  <c r="V1146" i="1"/>
  <c r="T1146" i="1"/>
  <c r="W1146" i="1" s="1"/>
  <c r="V1145" i="1"/>
  <c r="T1145" i="1"/>
  <c r="W1145" i="1" s="1"/>
  <c r="V1144" i="1"/>
  <c r="T1144" i="1"/>
  <c r="W1144" i="1" s="1"/>
  <c r="V1143" i="1"/>
  <c r="T1143" i="1"/>
  <c r="W1143" i="1" s="1"/>
  <c r="V1142" i="1"/>
  <c r="T1142" i="1"/>
  <c r="W1142" i="1" s="1"/>
  <c r="V1141" i="1"/>
  <c r="T1141" i="1"/>
  <c r="W1141" i="1" s="1"/>
  <c r="V1140" i="1"/>
  <c r="T1140" i="1"/>
  <c r="W1140" i="1" s="1"/>
  <c r="V1139" i="1"/>
  <c r="T1139" i="1"/>
  <c r="W1139" i="1" s="1"/>
  <c r="V1138" i="1"/>
  <c r="T1138" i="1"/>
  <c r="W1138" i="1" s="1"/>
  <c r="V1137" i="1"/>
  <c r="T1137" i="1"/>
  <c r="W1137" i="1" s="1"/>
  <c r="V1136" i="1"/>
  <c r="T1136" i="1"/>
  <c r="W1136" i="1" s="1"/>
  <c r="V1135" i="1"/>
  <c r="T1135" i="1"/>
  <c r="W1135" i="1" s="1"/>
  <c r="V1134" i="1"/>
  <c r="T1134" i="1"/>
  <c r="W1134" i="1" s="1"/>
  <c r="V1133" i="1"/>
  <c r="T1133" i="1"/>
  <c r="W1133" i="1" s="1"/>
  <c r="V1132" i="1"/>
  <c r="T1132" i="1"/>
  <c r="W1132" i="1" s="1"/>
  <c r="V1131" i="1"/>
  <c r="T1131" i="1"/>
  <c r="W1131" i="1" s="1"/>
  <c r="V1130" i="1"/>
  <c r="T1130" i="1"/>
  <c r="W1130" i="1" s="1"/>
  <c r="V1129" i="1"/>
  <c r="T1129" i="1"/>
  <c r="W1129" i="1" s="1"/>
  <c r="V1128" i="1"/>
  <c r="T1128" i="1"/>
  <c r="W1128" i="1" s="1"/>
  <c r="V1127" i="1"/>
  <c r="T1127" i="1"/>
  <c r="W1127" i="1" s="1"/>
  <c r="V1126" i="1"/>
  <c r="T1126" i="1"/>
  <c r="W1126" i="1" s="1"/>
  <c r="V1125" i="1"/>
  <c r="T1125" i="1"/>
  <c r="W1125" i="1" s="1"/>
  <c r="V1124" i="1"/>
  <c r="T1124" i="1"/>
  <c r="W1124" i="1" s="1"/>
  <c r="V1123" i="1"/>
  <c r="T1123" i="1"/>
  <c r="W1123" i="1" s="1"/>
  <c r="V1122" i="1"/>
  <c r="T1122" i="1"/>
  <c r="W1122" i="1" s="1"/>
  <c r="V1121" i="1"/>
  <c r="T1121" i="1"/>
  <c r="W1121" i="1" s="1"/>
  <c r="V1120" i="1"/>
  <c r="T1120" i="1"/>
  <c r="W1120" i="1" s="1"/>
  <c r="V1119" i="1"/>
  <c r="T1119" i="1"/>
  <c r="W1119" i="1" s="1"/>
  <c r="V1118" i="1"/>
  <c r="T1118" i="1"/>
  <c r="W1118" i="1" s="1"/>
  <c r="V1117" i="1"/>
  <c r="T1117" i="1"/>
  <c r="W1117" i="1" s="1"/>
  <c r="V1116" i="1"/>
  <c r="T1116" i="1"/>
  <c r="W1116" i="1" s="1"/>
  <c r="V1115" i="1"/>
  <c r="T1115" i="1"/>
  <c r="W1115" i="1" s="1"/>
  <c r="V1114" i="1"/>
  <c r="T1114" i="1"/>
  <c r="W1114" i="1" s="1"/>
  <c r="V1113" i="1"/>
  <c r="T1113" i="1"/>
  <c r="W1113" i="1" s="1"/>
  <c r="V1112" i="1"/>
  <c r="T1112" i="1"/>
  <c r="W1112" i="1" s="1"/>
  <c r="V1111" i="1"/>
  <c r="T1111" i="1"/>
  <c r="W1111" i="1" s="1"/>
  <c r="V1110" i="1"/>
  <c r="T1110" i="1"/>
  <c r="W1110" i="1" s="1"/>
  <c r="V1109" i="1"/>
  <c r="T1109" i="1"/>
  <c r="W1109" i="1" s="1"/>
  <c r="V1108" i="1"/>
  <c r="T1108" i="1"/>
  <c r="W1108" i="1" s="1"/>
  <c r="V1107" i="1"/>
  <c r="T1107" i="1"/>
  <c r="W1107" i="1" s="1"/>
  <c r="V1106" i="1"/>
  <c r="T1106" i="1"/>
  <c r="W1106" i="1" s="1"/>
  <c r="V1105" i="1"/>
  <c r="T1105" i="1"/>
  <c r="W1105" i="1" s="1"/>
  <c r="V1104" i="1"/>
  <c r="T1104" i="1"/>
  <c r="W1104" i="1" s="1"/>
  <c r="V1103" i="1"/>
  <c r="T1103" i="1"/>
  <c r="W1103" i="1" s="1"/>
  <c r="V1102" i="1"/>
  <c r="T1102" i="1"/>
  <c r="W1102" i="1" s="1"/>
  <c r="V1101" i="1"/>
  <c r="T1101" i="1"/>
  <c r="W1101" i="1" s="1"/>
  <c r="V1100" i="1"/>
  <c r="T1100" i="1"/>
  <c r="W1100" i="1" s="1"/>
  <c r="V1099" i="1"/>
  <c r="T1099" i="1"/>
  <c r="W1099" i="1" s="1"/>
  <c r="V1098" i="1"/>
  <c r="T1098" i="1"/>
  <c r="W1098" i="1" s="1"/>
  <c r="V1097" i="1"/>
  <c r="T1097" i="1"/>
  <c r="W1097" i="1" s="1"/>
  <c r="V1096" i="1"/>
  <c r="T1096" i="1"/>
  <c r="W1096" i="1" s="1"/>
  <c r="V1095" i="1"/>
  <c r="T1095" i="1"/>
  <c r="W1095" i="1" s="1"/>
  <c r="V1094" i="1"/>
  <c r="T1094" i="1"/>
  <c r="W1094" i="1" s="1"/>
  <c r="V1093" i="1"/>
  <c r="T1093" i="1"/>
  <c r="W1093" i="1" s="1"/>
  <c r="V1092" i="1"/>
  <c r="T1092" i="1"/>
  <c r="W1092" i="1" s="1"/>
  <c r="V1091" i="1"/>
  <c r="T1091" i="1"/>
  <c r="W1091" i="1" s="1"/>
  <c r="V1090" i="1"/>
  <c r="T1090" i="1"/>
  <c r="W1090" i="1" s="1"/>
  <c r="V1089" i="1"/>
  <c r="T1089" i="1"/>
  <c r="W1089" i="1" s="1"/>
  <c r="V1088" i="1"/>
  <c r="T1088" i="1"/>
  <c r="W1088" i="1" s="1"/>
  <c r="V1087" i="1"/>
  <c r="T1087" i="1"/>
  <c r="W1087" i="1" s="1"/>
  <c r="V1086" i="1"/>
  <c r="T1086" i="1"/>
  <c r="W1086" i="1" s="1"/>
  <c r="V1085" i="1"/>
  <c r="T1085" i="1"/>
  <c r="W1085" i="1" s="1"/>
  <c r="V1084" i="1"/>
  <c r="T1084" i="1"/>
  <c r="W1084" i="1" s="1"/>
  <c r="V1083" i="1"/>
  <c r="T1083" i="1"/>
  <c r="W1083" i="1" s="1"/>
  <c r="V1082" i="1"/>
  <c r="T1082" i="1"/>
  <c r="W1082" i="1" s="1"/>
  <c r="V1081" i="1"/>
  <c r="T1081" i="1"/>
  <c r="W1081" i="1" s="1"/>
  <c r="V1080" i="1"/>
  <c r="T1080" i="1"/>
  <c r="W1080" i="1" s="1"/>
  <c r="V1079" i="1"/>
  <c r="T1079" i="1"/>
  <c r="W1079" i="1" s="1"/>
  <c r="V1078" i="1"/>
  <c r="T1078" i="1"/>
  <c r="W1078" i="1" s="1"/>
  <c r="V1077" i="1"/>
  <c r="T1077" i="1"/>
  <c r="W1077" i="1" s="1"/>
  <c r="V1076" i="1"/>
  <c r="T1076" i="1"/>
  <c r="W1076" i="1" s="1"/>
  <c r="V1075" i="1"/>
  <c r="T1075" i="1"/>
  <c r="W1075" i="1" s="1"/>
  <c r="V1074" i="1"/>
  <c r="T1074" i="1"/>
  <c r="W1074" i="1" s="1"/>
  <c r="V1073" i="1"/>
  <c r="T1073" i="1"/>
  <c r="W1073" i="1" s="1"/>
  <c r="V1072" i="1"/>
  <c r="T1072" i="1"/>
  <c r="W1072" i="1" s="1"/>
  <c r="V1071" i="1"/>
  <c r="T1071" i="1"/>
  <c r="W1071" i="1" s="1"/>
  <c r="V1070" i="1"/>
  <c r="T1070" i="1"/>
  <c r="W1070" i="1" s="1"/>
  <c r="V1069" i="1"/>
  <c r="T1069" i="1"/>
  <c r="W1069" i="1" s="1"/>
  <c r="V1068" i="1"/>
  <c r="T1068" i="1"/>
  <c r="W1068" i="1" s="1"/>
  <c r="V1067" i="1"/>
  <c r="T1067" i="1"/>
  <c r="W1067" i="1" s="1"/>
  <c r="V1066" i="1"/>
  <c r="T1066" i="1"/>
  <c r="W1066" i="1" s="1"/>
  <c r="V1065" i="1"/>
  <c r="T1065" i="1"/>
  <c r="W1065" i="1" s="1"/>
  <c r="V1064" i="1"/>
  <c r="T1064" i="1"/>
  <c r="W1064" i="1" s="1"/>
  <c r="V1063" i="1"/>
  <c r="T1063" i="1"/>
  <c r="W1063" i="1" s="1"/>
  <c r="V1062" i="1"/>
  <c r="T1062" i="1"/>
  <c r="W1062" i="1" s="1"/>
  <c r="V1061" i="1"/>
  <c r="T1061" i="1"/>
  <c r="W1061" i="1" s="1"/>
  <c r="V1060" i="1"/>
  <c r="T1060" i="1"/>
  <c r="W1060" i="1" s="1"/>
  <c r="V1059" i="1"/>
  <c r="T1059" i="1"/>
  <c r="W1059" i="1" s="1"/>
  <c r="V1058" i="1"/>
  <c r="T1058" i="1"/>
  <c r="W1058" i="1" s="1"/>
  <c r="V1057" i="1"/>
  <c r="T1057" i="1"/>
  <c r="W1057" i="1" s="1"/>
  <c r="V1056" i="1"/>
  <c r="T1056" i="1"/>
  <c r="W1056" i="1" s="1"/>
  <c r="V1055" i="1"/>
  <c r="T1055" i="1"/>
  <c r="W1055" i="1" s="1"/>
  <c r="V1054" i="1"/>
  <c r="T1054" i="1"/>
  <c r="W1054" i="1" s="1"/>
  <c r="V1053" i="1"/>
  <c r="T1053" i="1"/>
  <c r="W1053" i="1" s="1"/>
  <c r="V1052" i="1"/>
  <c r="T1052" i="1"/>
  <c r="W1052" i="1" s="1"/>
  <c r="V1051" i="1"/>
  <c r="T1051" i="1"/>
  <c r="W1051" i="1" s="1"/>
  <c r="V1050" i="1"/>
  <c r="T1050" i="1"/>
  <c r="W1050" i="1" s="1"/>
  <c r="V1049" i="1"/>
  <c r="T1049" i="1"/>
  <c r="W1049" i="1" s="1"/>
  <c r="V1048" i="1"/>
  <c r="T1048" i="1"/>
  <c r="W1048" i="1" s="1"/>
  <c r="V1047" i="1"/>
  <c r="T1047" i="1"/>
  <c r="W1047" i="1" s="1"/>
  <c r="V1046" i="1"/>
  <c r="T1046" i="1"/>
  <c r="W1046" i="1" s="1"/>
  <c r="V1045" i="1"/>
  <c r="T1045" i="1"/>
  <c r="W1045" i="1" s="1"/>
  <c r="V1044" i="1"/>
  <c r="T1044" i="1"/>
  <c r="W1044" i="1" s="1"/>
  <c r="V1043" i="1"/>
  <c r="T1043" i="1"/>
  <c r="W1043" i="1" s="1"/>
  <c r="V1042" i="1"/>
  <c r="T1042" i="1"/>
  <c r="W1042" i="1" s="1"/>
  <c r="V1041" i="1"/>
  <c r="T1041" i="1"/>
  <c r="W1041" i="1" s="1"/>
  <c r="V1040" i="1"/>
  <c r="T1040" i="1"/>
  <c r="W1040" i="1" s="1"/>
  <c r="V1039" i="1"/>
  <c r="T1039" i="1"/>
  <c r="W1039" i="1" s="1"/>
  <c r="V1038" i="1"/>
  <c r="T1038" i="1"/>
  <c r="W1038" i="1" s="1"/>
  <c r="V1037" i="1"/>
  <c r="T1037" i="1"/>
  <c r="W1037" i="1" s="1"/>
  <c r="V1036" i="1"/>
  <c r="T1036" i="1"/>
  <c r="W1036" i="1" s="1"/>
  <c r="V1035" i="1"/>
  <c r="T1035" i="1"/>
  <c r="W1035" i="1" s="1"/>
  <c r="V1034" i="1"/>
  <c r="T1034" i="1"/>
  <c r="W1034" i="1" s="1"/>
  <c r="V1033" i="1"/>
  <c r="T1033" i="1"/>
  <c r="W1033" i="1" s="1"/>
  <c r="V1032" i="1"/>
  <c r="T1032" i="1"/>
  <c r="W1032" i="1" s="1"/>
  <c r="V1031" i="1"/>
  <c r="T1031" i="1"/>
  <c r="W1031" i="1" s="1"/>
  <c r="V1030" i="1"/>
  <c r="T1030" i="1"/>
  <c r="W1030" i="1" s="1"/>
  <c r="V1029" i="1"/>
  <c r="T1029" i="1"/>
  <c r="W1029" i="1" s="1"/>
  <c r="V1028" i="1"/>
  <c r="T1028" i="1"/>
  <c r="W1028" i="1" s="1"/>
  <c r="V1027" i="1"/>
  <c r="T1027" i="1"/>
  <c r="W1027" i="1" s="1"/>
  <c r="V1026" i="1"/>
  <c r="T1026" i="1"/>
  <c r="W1026" i="1" s="1"/>
  <c r="V1025" i="1"/>
  <c r="T1025" i="1"/>
  <c r="W1025" i="1" s="1"/>
  <c r="V1024" i="1"/>
  <c r="T1024" i="1"/>
  <c r="W1024" i="1" s="1"/>
  <c r="V1023" i="1"/>
  <c r="T1023" i="1"/>
  <c r="W1023" i="1" s="1"/>
  <c r="V1022" i="1"/>
  <c r="T1022" i="1"/>
  <c r="W1022" i="1" s="1"/>
  <c r="V1021" i="1"/>
  <c r="T1021" i="1"/>
  <c r="W1021" i="1" s="1"/>
  <c r="V1020" i="1"/>
  <c r="T1020" i="1"/>
  <c r="W1020" i="1" s="1"/>
  <c r="V1019" i="1"/>
  <c r="T1019" i="1"/>
  <c r="W1019" i="1" s="1"/>
  <c r="V1018" i="1"/>
  <c r="T1018" i="1"/>
  <c r="W1018" i="1" s="1"/>
  <c r="V1017" i="1"/>
  <c r="T1017" i="1"/>
  <c r="W1017" i="1" s="1"/>
  <c r="V1016" i="1"/>
  <c r="T1016" i="1"/>
  <c r="W1016" i="1" s="1"/>
  <c r="V1015" i="1"/>
  <c r="T1015" i="1"/>
  <c r="W1015" i="1" s="1"/>
  <c r="V1014" i="1"/>
  <c r="T1014" i="1"/>
  <c r="W1014" i="1" s="1"/>
  <c r="V1013" i="1"/>
  <c r="T1013" i="1"/>
  <c r="W1013" i="1" s="1"/>
  <c r="V1012" i="1"/>
  <c r="T1012" i="1"/>
  <c r="W1012" i="1" s="1"/>
  <c r="V1011" i="1"/>
  <c r="T1011" i="1"/>
  <c r="W1011" i="1" s="1"/>
  <c r="V1010" i="1"/>
  <c r="T1010" i="1"/>
  <c r="W1010" i="1" s="1"/>
  <c r="V1009" i="1"/>
  <c r="T1009" i="1"/>
  <c r="W1009" i="1" s="1"/>
  <c r="V1008" i="1"/>
  <c r="T1008" i="1"/>
  <c r="W1008" i="1" s="1"/>
  <c r="V1007" i="1"/>
  <c r="T1007" i="1"/>
  <c r="W1007" i="1" s="1"/>
  <c r="V1006" i="1"/>
  <c r="T1006" i="1"/>
  <c r="W1006" i="1" s="1"/>
  <c r="V1005" i="1"/>
  <c r="T1005" i="1"/>
  <c r="W1005" i="1" s="1"/>
  <c r="V1004" i="1"/>
  <c r="T1004" i="1"/>
  <c r="W1004" i="1" s="1"/>
  <c r="V1003" i="1"/>
  <c r="T1003" i="1"/>
  <c r="W1003" i="1" s="1"/>
  <c r="V1002" i="1"/>
  <c r="T1002" i="1"/>
  <c r="W1002" i="1" s="1"/>
  <c r="V1001" i="1"/>
  <c r="T1001" i="1"/>
  <c r="W1001" i="1" s="1"/>
  <c r="V1000" i="1"/>
  <c r="T1000" i="1"/>
  <c r="W1000" i="1" s="1"/>
  <c r="V999" i="1"/>
  <c r="T999" i="1"/>
  <c r="W999" i="1" s="1"/>
  <c r="V998" i="1"/>
  <c r="T998" i="1"/>
  <c r="W998" i="1" s="1"/>
  <c r="V997" i="1"/>
  <c r="T997" i="1"/>
  <c r="W997" i="1" s="1"/>
  <c r="V996" i="1"/>
  <c r="T996" i="1"/>
  <c r="W996" i="1" s="1"/>
  <c r="V995" i="1"/>
  <c r="T995" i="1"/>
  <c r="W995" i="1" s="1"/>
  <c r="V994" i="1"/>
  <c r="T994" i="1"/>
  <c r="W994" i="1" s="1"/>
  <c r="V993" i="1"/>
  <c r="T993" i="1"/>
  <c r="W993" i="1" s="1"/>
  <c r="V992" i="1"/>
  <c r="T992" i="1"/>
  <c r="W992" i="1" s="1"/>
  <c r="V991" i="1"/>
  <c r="T991" i="1"/>
  <c r="W991" i="1" s="1"/>
  <c r="V990" i="1"/>
  <c r="T990" i="1"/>
  <c r="W990" i="1" s="1"/>
  <c r="V989" i="1"/>
  <c r="T989" i="1"/>
  <c r="W989" i="1" s="1"/>
  <c r="V988" i="1"/>
  <c r="T988" i="1"/>
  <c r="W988" i="1" s="1"/>
  <c r="V987" i="1"/>
  <c r="T987" i="1"/>
  <c r="W987" i="1" s="1"/>
  <c r="V986" i="1"/>
  <c r="T986" i="1"/>
  <c r="W986" i="1" s="1"/>
  <c r="V985" i="1"/>
  <c r="T985" i="1"/>
  <c r="W985" i="1" s="1"/>
  <c r="V984" i="1"/>
  <c r="T984" i="1"/>
  <c r="W984" i="1" s="1"/>
  <c r="V983" i="1"/>
  <c r="T983" i="1"/>
  <c r="W983" i="1" s="1"/>
  <c r="V982" i="1"/>
  <c r="T982" i="1"/>
  <c r="W982" i="1" s="1"/>
  <c r="V981" i="1"/>
  <c r="T981" i="1"/>
  <c r="W981" i="1" s="1"/>
  <c r="V980" i="1"/>
  <c r="T980" i="1"/>
  <c r="W980" i="1" s="1"/>
  <c r="V979" i="1"/>
  <c r="T979" i="1"/>
  <c r="W979" i="1" s="1"/>
  <c r="V978" i="1"/>
  <c r="T978" i="1"/>
  <c r="W978" i="1" s="1"/>
  <c r="V977" i="1"/>
  <c r="T977" i="1"/>
  <c r="W977" i="1" s="1"/>
  <c r="V976" i="1"/>
  <c r="T976" i="1"/>
  <c r="W976" i="1" s="1"/>
  <c r="V975" i="1"/>
  <c r="T975" i="1"/>
  <c r="W975" i="1" s="1"/>
  <c r="V974" i="1"/>
  <c r="T974" i="1"/>
  <c r="W974" i="1" s="1"/>
  <c r="V973" i="1"/>
  <c r="T973" i="1"/>
  <c r="W973" i="1" s="1"/>
  <c r="V972" i="1"/>
  <c r="T972" i="1"/>
  <c r="W972" i="1" s="1"/>
  <c r="V971" i="1"/>
  <c r="T971" i="1"/>
  <c r="W971" i="1" s="1"/>
  <c r="V970" i="1"/>
  <c r="T970" i="1"/>
  <c r="W970" i="1" s="1"/>
  <c r="V969" i="1"/>
  <c r="T969" i="1"/>
  <c r="W969" i="1" s="1"/>
  <c r="V968" i="1"/>
  <c r="T968" i="1"/>
  <c r="W968" i="1" s="1"/>
  <c r="V967" i="1"/>
  <c r="T967" i="1"/>
  <c r="W967" i="1" s="1"/>
  <c r="V966" i="1"/>
  <c r="T966" i="1"/>
  <c r="W966" i="1" s="1"/>
  <c r="V965" i="1"/>
  <c r="T965" i="1"/>
  <c r="W965" i="1" s="1"/>
  <c r="V964" i="1"/>
  <c r="T964" i="1"/>
  <c r="W964" i="1" s="1"/>
  <c r="V963" i="1"/>
  <c r="T963" i="1"/>
  <c r="W963" i="1" s="1"/>
  <c r="V962" i="1"/>
  <c r="T962" i="1"/>
  <c r="W962" i="1" s="1"/>
  <c r="V961" i="1"/>
  <c r="T961" i="1"/>
  <c r="W961" i="1" s="1"/>
  <c r="V960" i="1"/>
  <c r="T960" i="1"/>
  <c r="W960" i="1" s="1"/>
  <c r="V959" i="1"/>
  <c r="T959" i="1"/>
  <c r="W959" i="1" s="1"/>
  <c r="V958" i="1"/>
  <c r="T958" i="1"/>
  <c r="W958" i="1" s="1"/>
  <c r="V957" i="1"/>
  <c r="T957" i="1"/>
  <c r="W957" i="1" s="1"/>
  <c r="V956" i="1"/>
  <c r="T956" i="1"/>
  <c r="W956" i="1" s="1"/>
  <c r="V955" i="1"/>
  <c r="T955" i="1"/>
  <c r="W955" i="1" s="1"/>
  <c r="V954" i="1"/>
  <c r="T954" i="1"/>
  <c r="W954" i="1" s="1"/>
  <c r="V953" i="1"/>
  <c r="T953" i="1"/>
  <c r="W953" i="1" s="1"/>
  <c r="V952" i="1"/>
  <c r="T952" i="1"/>
  <c r="W952" i="1" s="1"/>
  <c r="V951" i="1"/>
  <c r="T951" i="1"/>
  <c r="W951" i="1" s="1"/>
  <c r="V950" i="1"/>
  <c r="T950" i="1"/>
  <c r="W950" i="1" s="1"/>
  <c r="V949" i="1"/>
  <c r="T949" i="1"/>
  <c r="W949" i="1" s="1"/>
  <c r="V948" i="1"/>
  <c r="T948" i="1"/>
  <c r="W948" i="1" s="1"/>
  <c r="V947" i="1"/>
  <c r="T947" i="1"/>
  <c r="W947" i="1" s="1"/>
  <c r="V946" i="1"/>
  <c r="T946" i="1"/>
  <c r="W946" i="1" s="1"/>
  <c r="V945" i="1"/>
  <c r="T945" i="1"/>
  <c r="W945" i="1" s="1"/>
  <c r="V944" i="1"/>
  <c r="T944" i="1"/>
  <c r="W944" i="1" s="1"/>
  <c r="V943" i="1"/>
  <c r="T943" i="1"/>
  <c r="W943" i="1" s="1"/>
  <c r="V942" i="1"/>
  <c r="T942" i="1"/>
  <c r="W942" i="1" s="1"/>
  <c r="V941" i="1"/>
  <c r="T941" i="1"/>
  <c r="W941" i="1" s="1"/>
  <c r="V940" i="1"/>
  <c r="T940" i="1"/>
  <c r="W940" i="1" s="1"/>
  <c r="V939" i="1"/>
  <c r="T939" i="1"/>
  <c r="W939" i="1" s="1"/>
  <c r="V938" i="1"/>
  <c r="T938" i="1"/>
  <c r="W938" i="1" s="1"/>
  <c r="V937" i="1"/>
  <c r="T937" i="1"/>
  <c r="W937" i="1" s="1"/>
  <c r="V936" i="1"/>
  <c r="T936" i="1"/>
  <c r="W936" i="1" s="1"/>
  <c r="V935" i="1"/>
  <c r="T935" i="1"/>
  <c r="W935" i="1" s="1"/>
  <c r="V934" i="1"/>
  <c r="T934" i="1"/>
  <c r="W934" i="1" s="1"/>
  <c r="V933" i="1"/>
  <c r="T933" i="1"/>
  <c r="W933" i="1" s="1"/>
  <c r="V932" i="1"/>
  <c r="T932" i="1"/>
  <c r="W932" i="1" s="1"/>
  <c r="V931" i="1"/>
  <c r="T931" i="1"/>
  <c r="W931" i="1" s="1"/>
  <c r="V930" i="1"/>
  <c r="T930" i="1"/>
  <c r="W930" i="1" s="1"/>
  <c r="V929" i="1"/>
  <c r="T929" i="1"/>
  <c r="W929" i="1" s="1"/>
  <c r="V928" i="1"/>
  <c r="T928" i="1"/>
  <c r="W928" i="1" s="1"/>
  <c r="V927" i="1"/>
  <c r="T927" i="1"/>
  <c r="W927" i="1" s="1"/>
  <c r="V926" i="1"/>
  <c r="T926" i="1"/>
  <c r="W926" i="1" s="1"/>
  <c r="V925" i="1"/>
  <c r="T925" i="1"/>
  <c r="W925" i="1" s="1"/>
  <c r="V924" i="1"/>
  <c r="T924" i="1"/>
  <c r="W924" i="1" s="1"/>
  <c r="V923" i="1"/>
  <c r="T923" i="1"/>
  <c r="W923" i="1" s="1"/>
  <c r="V922" i="1"/>
  <c r="T922" i="1"/>
  <c r="W922" i="1" s="1"/>
  <c r="V921" i="1"/>
  <c r="T921" i="1"/>
  <c r="W921" i="1" s="1"/>
  <c r="V920" i="1"/>
  <c r="T920" i="1"/>
  <c r="W920" i="1" s="1"/>
  <c r="V919" i="1"/>
  <c r="T919" i="1"/>
  <c r="W919" i="1" s="1"/>
  <c r="V918" i="1"/>
  <c r="T918" i="1"/>
  <c r="W918" i="1" s="1"/>
  <c r="V917" i="1"/>
  <c r="T917" i="1"/>
  <c r="W917" i="1" s="1"/>
  <c r="V916" i="1"/>
  <c r="T916" i="1"/>
  <c r="W916" i="1" s="1"/>
  <c r="V915" i="1"/>
  <c r="T915" i="1"/>
  <c r="W915" i="1" s="1"/>
  <c r="V914" i="1"/>
  <c r="T914" i="1"/>
  <c r="W914" i="1" s="1"/>
  <c r="V913" i="1"/>
  <c r="T913" i="1"/>
  <c r="W913" i="1" s="1"/>
  <c r="V912" i="1"/>
  <c r="T912" i="1"/>
  <c r="W912" i="1" s="1"/>
  <c r="V911" i="1"/>
  <c r="T911" i="1"/>
  <c r="W911" i="1" s="1"/>
  <c r="V910" i="1"/>
  <c r="T910" i="1"/>
  <c r="W910" i="1" s="1"/>
  <c r="V909" i="1"/>
  <c r="T909" i="1"/>
  <c r="W909" i="1" s="1"/>
  <c r="V908" i="1"/>
  <c r="T908" i="1"/>
  <c r="W908" i="1" s="1"/>
  <c r="V907" i="1"/>
  <c r="T907" i="1"/>
  <c r="W907" i="1" s="1"/>
  <c r="V906" i="1"/>
  <c r="T906" i="1"/>
  <c r="W906" i="1" s="1"/>
  <c r="V905" i="1"/>
  <c r="T905" i="1"/>
  <c r="W905" i="1" s="1"/>
  <c r="V904" i="1"/>
  <c r="T904" i="1"/>
  <c r="W904" i="1" s="1"/>
  <c r="V903" i="1"/>
  <c r="T903" i="1"/>
  <c r="W903" i="1" s="1"/>
  <c r="V902" i="1"/>
  <c r="T902" i="1"/>
  <c r="W902" i="1" s="1"/>
  <c r="V901" i="1"/>
  <c r="T901" i="1"/>
  <c r="W901" i="1" s="1"/>
  <c r="V900" i="1"/>
  <c r="T900" i="1"/>
  <c r="W900" i="1" s="1"/>
  <c r="V899" i="1"/>
  <c r="T899" i="1"/>
  <c r="W899" i="1" s="1"/>
  <c r="V898" i="1"/>
  <c r="T898" i="1"/>
  <c r="W898" i="1" s="1"/>
  <c r="V897" i="1"/>
  <c r="T897" i="1"/>
  <c r="W897" i="1" s="1"/>
  <c r="V896" i="1"/>
  <c r="T896" i="1"/>
  <c r="W896" i="1" s="1"/>
  <c r="V895" i="1"/>
  <c r="T895" i="1"/>
  <c r="W895" i="1" s="1"/>
  <c r="V894" i="1"/>
  <c r="T894" i="1"/>
  <c r="W894" i="1" s="1"/>
  <c r="V893" i="1"/>
  <c r="T893" i="1"/>
  <c r="W893" i="1" s="1"/>
  <c r="V892" i="1"/>
  <c r="T892" i="1"/>
  <c r="W892" i="1" s="1"/>
  <c r="V891" i="1"/>
  <c r="T891" i="1"/>
  <c r="W891" i="1" s="1"/>
  <c r="V890" i="1"/>
  <c r="T890" i="1"/>
  <c r="W890" i="1" s="1"/>
  <c r="V889" i="1"/>
  <c r="T889" i="1"/>
  <c r="W889" i="1" s="1"/>
  <c r="V888" i="1"/>
  <c r="T888" i="1"/>
  <c r="W888" i="1" s="1"/>
  <c r="V887" i="1"/>
  <c r="T887" i="1"/>
  <c r="W887" i="1" s="1"/>
  <c r="V886" i="1"/>
  <c r="T886" i="1"/>
  <c r="W886" i="1" s="1"/>
  <c r="V885" i="1"/>
  <c r="T885" i="1"/>
  <c r="W885" i="1" s="1"/>
  <c r="V884" i="1"/>
  <c r="T884" i="1"/>
  <c r="W884" i="1" s="1"/>
  <c r="V883" i="1"/>
  <c r="T883" i="1"/>
  <c r="W883" i="1" s="1"/>
  <c r="V882" i="1"/>
  <c r="T882" i="1"/>
  <c r="W882" i="1" s="1"/>
  <c r="V881" i="1"/>
  <c r="T881" i="1"/>
  <c r="W881" i="1" s="1"/>
  <c r="V880" i="1"/>
  <c r="T880" i="1"/>
  <c r="W880" i="1" s="1"/>
  <c r="V879" i="1"/>
  <c r="T879" i="1"/>
  <c r="W879" i="1" s="1"/>
  <c r="V878" i="1"/>
  <c r="T878" i="1"/>
  <c r="W878" i="1" s="1"/>
  <c r="V877" i="1"/>
  <c r="T877" i="1"/>
  <c r="W877" i="1" s="1"/>
  <c r="V876" i="1"/>
  <c r="T876" i="1"/>
  <c r="W876" i="1" s="1"/>
  <c r="V875" i="1"/>
  <c r="T875" i="1"/>
  <c r="W875" i="1" s="1"/>
  <c r="V874" i="1"/>
  <c r="T874" i="1"/>
  <c r="W874" i="1" s="1"/>
  <c r="V873" i="1"/>
  <c r="T873" i="1"/>
  <c r="W873" i="1" s="1"/>
  <c r="V872" i="1"/>
  <c r="T872" i="1"/>
  <c r="W872" i="1" s="1"/>
  <c r="V871" i="1"/>
  <c r="T871" i="1"/>
  <c r="W871" i="1" s="1"/>
  <c r="V870" i="1"/>
  <c r="T870" i="1"/>
  <c r="W870" i="1" s="1"/>
  <c r="V869" i="1"/>
  <c r="T869" i="1"/>
  <c r="W869" i="1" s="1"/>
  <c r="V868" i="1"/>
  <c r="T868" i="1"/>
  <c r="W868" i="1" s="1"/>
  <c r="V867" i="1"/>
  <c r="T867" i="1"/>
  <c r="W867" i="1" s="1"/>
  <c r="V866" i="1"/>
  <c r="T866" i="1"/>
  <c r="W866" i="1" s="1"/>
  <c r="V865" i="1"/>
  <c r="T865" i="1"/>
  <c r="W865" i="1" s="1"/>
  <c r="V864" i="1"/>
  <c r="T864" i="1"/>
  <c r="W864" i="1" s="1"/>
  <c r="V863" i="1"/>
  <c r="T863" i="1"/>
  <c r="W863" i="1" s="1"/>
  <c r="V862" i="1"/>
  <c r="T862" i="1"/>
  <c r="W862" i="1" s="1"/>
  <c r="V861" i="1"/>
  <c r="T861" i="1"/>
  <c r="W861" i="1" s="1"/>
  <c r="V860" i="1"/>
  <c r="T860" i="1"/>
  <c r="W860" i="1" s="1"/>
  <c r="V859" i="1"/>
  <c r="T859" i="1"/>
  <c r="W859" i="1" s="1"/>
  <c r="V858" i="1"/>
  <c r="T858" i="1"/>
  <c r="W858" i="1" s="1"/>
  <c r="V857" i="1"/>
  <c r="T857" i="1"/>
  <c r="W857" i="1" s="1"/>
  <c r="V856" i="1"/>
  <c r="T856" i="1"/>
  <c r="W856" i="1" s="1"/>
  <c r="V855" i="1"/>
  <c r="T855" i="1"/>
  <c r="W855" i="1" s="1"/>
  <c r="V854" i="1"/>
  <c r="T854" i="1"/>
  <c r="W854" i="1" s="1"/>
  <c r="V853" i="1"/>
  <c r="T853" i="1"/>
  <c r="W853" i="1" s="1"/>
  <c r="V852" i="1"/>
  <c r="T852" i="1"/>
  <c r="W852" i="1" s="1"/>
  <c r="V851" i="1"/>
  <c r="T851" i="1"/>
  <c r="W851" i="1" s="1"/>
  <c r="V850" i="1"/>
  <c r="T850" i="1"/>
  <c r="W850" i="1" s="1"/>
  <c r="V849" i="1"/>
  <c r="T849" i="1"/>
  <c r="W849" i="1" s="1"/>
  <c r="V848" i="1"/>
  <c r="T848" i="1"/>
  <c r="W848" i="1" s="1"/>
  <c r="V847" i="1"/>
  <c r="T847" i="1"/>
  <c r="W847" i="1" s="1"/>
  <c r="V846" i="1"/>
  <c r="T846" i="1"/>
  <c r="W846" i="1" s="1"/>
  <c r="V845" i="1"/>
  <c r="T845" i="1"/>
  <c r="W845" i="1" s="1"/>
  <c r="V844" i="1"/>
  <c r="T844" i="1"/>
  <c r="W844" i="1" s="1"/>
  <c r="V843" i="1"/>
  <c r="T843" i="1"/>
  <c r="W843" i="1" s="1"/>
  <c r="V842" i="1"/>
  <c r="T842" i="1"/>
  <c r="W842" i="1" s="1"/>
  <c r="V841" i="1"/>
  <c r="T841" i="1"/>
  <c r="W841" i="1" s="1"/>
  <c r="V840" i="1"/>
  <c r="T840" i="1"/>
  <c r="W840" i="1" s="1"/>
  <c r="V839" i="1"/>
  <c r="T839" i="1"/>
  <c r="W839" i="1" s="1"/>
  <c r="V838" i="1"/>
  <c r="T838" i="1"/>
  <c r="W838" i="1" s="1"/>
  <c r="V837" i="1"/>
  <c r="T837" i="1"/>
  <c r="W837" i="1" s="1"/>
  <c r="V836" i="1"/>
  <c r="T836" i="1"/>
  <c r="W836" i="1" s="1"/>
  <c r="V835" i="1"/>
  <c r="T835" i="1"/>
  <c r="W835" i="1" s="1"/>
  <c r="V834" i="1"/>
  <c r="T834" i="1"/>
  <c r="W834" i="1" s="1"/>
  <c r="V833" i="1"/>
  <c r="T833" i="1"/>
  <c r="W833" i="1" s="1"/>
  <c r="V832" i="1"/>
  <c r="T832" i="1"/>
  <c r="W832" i="1" s="1"/>
  <c r="V831" i="1"/>
  <c r="T831" i="1"/>
  <c r="W831" i="1" s="1"/>
  <c r="V830" i="1"/>
  <c r="T830" i="1"/>
  <c r="W830" i="1" s="1"/>
  <c r="V829" i="1"/>
  <c r="T829" i="1"/>
  <c r="W829" i="1" s="1"/>
  <c r="V828" i="1"/>
  <c r="T828" i="1"/>
  <c r="W828" i="1" s="1"/>
  <c r="V827" i="1"/>
  <c r="T827" i="1"/>
  <c r="W827" i="1" s="1"/>
  <c r="V826" i="1"/>
  <c r="T826" i="1"/>
  <c r="W826" i="1" s="1"/>
  <c r="V825" i="1"/>
  <c r="T825" i="1"/>
  <c r="W825" i="1" s="1"/>
  <c r="V824" i="1"/>
  <c r="T824" i="1"/>
  <c r="W824" i="1" s="1"/>
  <c r="V823" i="1"/>
  <c r="T823" i="1"/>
  <c r="W823" i="1" s="1"/>
  <c r="V822" i="1"/>
  <c r="T822" i="1"/>
  <c r="W822" i="1" s="1"/>
  <c r="V821" i="1"/>
  <c r="T821" i="1"/>
  <c r="W821" i="1" s="1"/>
  <c r="V820" i="1"/>
  <c r="T820" i="1"/>
  <c r="W820" i="1" s="1"/>
  <c r="V819" i="1"/>
  <c r="T819" i="1"/>
  <c r="W819" i="1" s="1"/>
  <c r="V818" i="1"/>
  <c r="T818" i="1"/>
  <c r="W818" i="1" s="1"/>
  <c r="V817" i="1"/>
  <c r="T817" i="1"/>
  <c r="W817" i="1" s="1"/>
  <c r="V816" i="1"/>
  <c r="T816" i="1"/>
  <c r="W816" i="1" s="1"/>
  <c r="V815" i="1"/>
  <c r="T815" i="1"/>
  <c r="W815" i="1" s="1"/>
  <c r="V814" i="1"/>
  <c r="T814" i="1"/>
  <c r="W814" i="1" s="1"/>
  <c r="V813" i="1"/>
  <c r="T813" i="1"/>
  <c r="W813" i="1" s="1"/>
  <c r="V812" i="1"/>
  <c r="T812" i="1"/>
  <c r="W812" i="1" s="1"/>
  <c r="V811" i="1"/>
  <c r="T811" i="1"/>
  <c r="W811" i="1" s="1"/>
  <c r="V810" i="1"/>
  <c r="T810" i="1"/>
  <c r="W810" i="1" s="1"/>
  <c r="V809" i="1"/>
  <c r="T809" i="1"/>
  <c r="W809" i="1" s="1"/>
  <c r="V808" i="1"/>
  <c r="T808" i="1"/>
  <c r="W808" i="1" s="1"/>
  <c r="V807" i="1"/>
  <c r="T807" i="1"/>
  <c r="W807" i="1" s="1"/>
  <c r="V806" i="1"/>
  <c r="T806" i="1"/>
  <c r="W806" i="1" s="1"/>
  <c r="V805" i="1"/>
  <c r="T805" i="1"/>
  <c r="W805" i="1" s="1"/>
  <c r="V804" i="1"/>
  <c r="T804" i="1"/>
  <c r="W804" i="1" s="1"/>
  <c r="V803" i="1"/>
  <c r="T803" i="1"/>
  <c r="W803" i="1" s="1"/>
  <c r="V802" i="1"/>
  <c r="T802" i="1"/>
  <c r="W802" i="1" s="1"/>
  <c r="V801" i="1"/>
  <c r="T801" i="1"/>
  <c r="W801" i="1" s="1"/>
  <c r="V800" i="1"/>
  <c r="T800" i="1"/>
  <c r="W800" i="1" s="1"/>
  <c r="V799" i="1"/>
  <c r="T799" i="1"/>
  <c r="W799" i="1" s="1"/>
  <c r="V798" i="1"/>
  <c r="T798" i="1"/>
  <c r="W798" i="1" s="1"/>
  <c r="V797" i="1"/>
  <c r="T797" i="1"/>
  <c r="W797" i="1" s="1"/>
  <c r="V796" i="1"/>
  <c r="T796" i="1"/>
  <c r="W796" i="1" s="1"/>
  <c r="V795" i="1"/>
  <c r="T795" i="1"/>
  <c r="W795" i="1" s="1"/>
  <c r="V794" i="1"/>
  <c r="T794" i="1"/>
  <c r="W794" i="1" s="1"/>
  <c r="V793" i="1"/>
  <c r="T793" i="1"/>
  <c r="W793" i="1" s="1"/>
  <c r="V792" i="1"/>
  <c r="T792" i="1"/>
  <c r="W792" i="1" s="1"/>
  <c r="V791" i="1"/>
  <c r="T791" i="1"/>
  <c r="W791" i="1" s="1"/>
  <c r="V790" i="1"/>
  <c r="T790" i="1"/>
  <c r="W790" i="1" s="1"/>
  <c r="V789" i="1"/>
  <c r="T789" i="1"/>
  <c r="W789" i="1" s="1"/>
  <c r="V788" i="1"/>
  <c r="T788" i="1"/>
  <c r="W788" i="1" s="1"/>
  <c r="V787" i="1"/>
  <c r="T787" i="1"/>
  <c r="W787" i="1" s="1"/>
  <c r="V786" i="1"/>
  <c r="T786" i="1"/>
  <c r="W786" i="1" s="1"/>
  <c r="V785" i="1"/>
  <c r="T785" i="1"/>
  <c r="W785" i="1" s="1"/>
  <c r="V784" i="1"/>
  <c r="T784" i="1"/>
  <c r="W784" i="1" s="1"/>
  <c r="V783" i="1"/>
  <c r="T783" i="1"/>
  <c r="W783" i="1" s="1"/>
  <c r="V782" i="1"/>
  <c r="T782" i="1"/>
  <c r="W782" i="1" s="1"/>
  <c r="V781" i="1"/>
  <c r="T781" i="1"/>
  <c r="W781" i="1" s="1"/>
  <c r="V780" i="1"/>
  <c r="T780" i="1"/>
  <c r="W780" i="1" s="1"/>
  <c r="V779" i="1"/>
  <c r="T779" i="1"/>
  <c r="W779" i="1" s="1"/>
  <c r="V778" i="1"/>
  <c r="T778" i="1"/>
  <c r="W778" i="1" s="1"/>
  <c r="V777" i="1"/>
  <c r="T777" i="1"/>
  <c r="W777" i="1" s="1"/>
  <c r="V776" i="1"/>
  <c r="T776" i="1"/>
  <c r="W776" i="1" s="1"/>
  <c r="V775" i="1"/>
  <c r="T775" i="1"/>
  <c r="W775" i="1" s="1"/>
  <c r="V774" i="1"/>
  <c r="T774" i="1"/>
  <c r="W774" i="1" s="1"/>
  <c r="V773" i="1"/>
  <c r="T773" i="1"/>
  <c r="W773" i="1" s="1"/>
  <c r="V772" i="1"/>
  <c r="T772" i="1"/>
  <c r="W772" i="1" s="1"/>
  <c r="V771" i="1"/>
  <c r="T771" i="1"/>
  <c r="W771" i="1" s="1"/>
  <c r="V770" i="1"/>
  <c r="T770" i="1"/>
  <c r="W770" i="1" s="1"/>
  <c r="V769" i="1"/>
  <c r="T769" i="1"/>
  <c r="W769" i="1" s="1"/>
  <c r="V768" i="1"/>
  <c r="T768" i="1"/>
  <c r="W768" i="1" s="1"/>
  <c r="V767" i="1"/>
  <c r="T767" i="1"/>
  <c r="W767" i="1" s="1"/>
  <c r="V766" i="1"/>
  <c r="T766" i="1"/>
  <c r="W766" i="1" s="1"/>
  <c r="V765" i="1"/>
  <c r="T765" i="1"/>
  <c r="W765" i="1" s="1"/>
  <c r="V764" i="1"/>
  <c r="T764" i="1"/>
  <c r="W764" i="1" s="1"/>
  <c r="V763" i="1"/>
  <c r="T763" i="1"/>
  <c r="W763" i="1" s="1"/>
  <c r="V762" i="1"/>
  <c r="T762" i="1"/>
  <c r="W762" i="1" s="1"/>
  <c r="V761" i="1"/>
  <c r="T761" i="1"/>
  <c r="W761" i="1" s="1"/>
  <c r="V760" i="1"/>
  <c r="T760" i="1"/>
  <c r="W760" i="1" s="1"/>
  <c r="V759" i="1"/>
  <c r="T759" i="1"/>
  <c r="W759" i="1" s="1"/>
  <c r="V758" i="1"/>
  <c r="T758" i="1"/>
  <c r="W758" i="1" s="1"/>
  <c r="V757" i="1"/>
  <c r="T757" i="1"/>
  <c r="W757" i="1" s="1"/>
  <c r="V756" i="1"/>
  <c r="T756" i="1"/>
  <c r="W756" i="1" s="1"/>
  <c r="V755" i="1"/>
  <c r="T755" i="1"/>
  <c r="W755" i="1" s="1"/>
  <c r="V754" i="1"/>
  <c r="T754" i="1"/>
  <c r="W754" i="1" s="1"/>
  <c r="V753" i="1"/>
  <c r="T753" i="1"/>
  <c r="W753" i="1" s="1"/>
  <c r="V752" i="1"/>
  <c r="T752" i="1"/>
  <c r="W752" i="1" s="1"/>
  <c r="V751" i="1"/>
  <c r="T751" i="1"/>
  <c r="W751" i="1" s="1"/>
  <c r="V750" i="1"/>
  <c r="T750" i="1"/>
  <c r="W750" i="1" s="1"/>
  <c r="V749" i="1"/>
  <c r="T749" i="1"/>
  <c r="W749" i="1" s="1"/>
  <c r="V748" i="1"/>
  <c r="T748" i="1"/>
  <c r="W748" i="1" s="1"/>
  <c r="V747" i="1"/>
  <c r="T747" i="1"/>
  <c r="W747" i="1" s="1"/>
  <c r="V746" i="1"/>
  <c r="T746" i="1"/>
  <c r="W746" i="1" s="1"/>
  <c r="V745" i="1"/>
  <c r="T745" i="1"/>
  <c r="W745" i="1" s="1"/>
  <c r="V744" i="1"/>
  <c r="T744" i="1"/>
  <c r="W744" i="1" s="1"/>
  <c r="V743" i="1"/>
  <c r="T743" i="1"/>
  <c r="W743" i="1" s="1"/>
  <c r="V742" i="1"/>
  <c r="T742" i="1"/>
  <c r="W742" i="1" s="1"/>
  <c r="V741" i="1"/>
  <c r="T741" i="1"/>
  <c r="W741" i="1" s="1"/>
  <c r="V740" i="1"/>
  <c r="T740" i="1"/>
  <c r="W740" i="1" s="1"/>
  <c r="V739" i="1"/>
  <c r="T739" i="1"/>
  <c r="W739" i="1" s="1"/>
  <c r="V738" i="1"/>
  <c r="T738" i="1"/>
  <c r="W738" i="1" s="1"/>
  <c r="V737" i="1"/>
  <c r="T737" i="1"/>
  <c r="W737" i="1" s="1"/>
  <c r="V736" i="1"/>
  <c r="T736" i="1"/>
  <c r="W736" i="1" s="1"/>
  <c r="V735" i="1"/>
  <c r="T735" i="1"/>
  <c r="W735" i="1" s="1"/>
  <c r="V734" i="1"/>
  <c r="T734" i="1"/>
  <c r="W734" i="1" s="1"/>
  <c r="V733" i="1"/>
  <c r="T733" i="1"/>
  <c r="W733" i="1" s="1"/>
  <c r="V732" i="1"/>
  <c r="T732" i="1"/>
  <c r="W732" i="1" s="1"/>
  <c r="V731" i="1"/>
  <c r="T731" i="1"/>
  <c r="W731" i="1" s="1"/>
  <c r="V730" i="1"/>
  <c r="T730" i="1"/>
  <c r="W730" i="1" s="1"/>
  <c r="V729" i="1"/>
  <c r="T729" i="1"/>
  <c r="W729" i="1" s="1"/>
  <c r="V728" i="1"/>
  <c r="T728" i="1"/>
  <c r="W728" i="1" s="1"/>
  <c r="V727" i="1"/>
  <c r="T727" i="1"/>
  <c r="W727" i="1" s="1"/>
  <c r="V726" i="1"/>
  <c r="T726" i="1"/>
  <c r="W726" i="1" s="1"/>
  <c r="V725" i="1"/>
  <c r="T725" i="1"/>
  <c r="W725" i="1" s="1"/>
  <c r="V724" i="1"/>
  <c r="T724" i="1"/>
  <c r="W724" i="1" s="1"/>
  <c r="V723" i="1"/>
  <c r="T723" i="1"/>
  <c r="W723" i="1" s="1"/>
  <c r="V722" i="1"/>
  <c r="T722" i="1"/>
  <c r="W722" i="1" s="1"/>
  <c r="V721" i="1"/>
  <c r="T721" i="1"/>
  <c r="W721" i="1" s="1"/>
  <c r="V720" i="1"/>
  <c r="T720" i="1"/>
  <c r="W720" i="1" s="1"/>
  <c r="V719" i="1"/>
  <c r="T719" i="1"/>
  <c r="W719" i="1" s="1"/>
  <c r="V718" i="1"/>
  <c r="T718" i="1"/>
  <c r="W718" i="1" s="1"/>
  <c r="V717" i="1"/>
  <c r="T717" i="1"/>
  <c r="W717" i="1" s="1"/>
  <c r="V716" i="1"/>
  <c r="T716" i="1"/>
  <c r="W716" i="1" s="1"/>
  <c r="V715" i="1"/>
  <c r="T715" i="1"/>
  <c r="W715" i="1" s="1"/>
  <c r="V714" i="1"/>
  <c r="T714" i="1"/>
  <c r="W714" i="1" s="1"/>
  <c r="V713" i="1"/>
  <c r="T713" i="1"/>
  <c r="W713" i="1" s="1"/>
  <c r="V712" i="1"/>
  <c r="T712" i="1"/>
  <c r="W712" i="1" s="1"/>
  <c r="V711" i="1"/>
  <c r="T711" i="1"/>
  <c r="W711" i="1" s="1"/>
  <c r="V710" i="1"/>
  <c r="T710" i="1"/>
  <c r="W710" i="1" s="1"/>
  <c r="V709" i="1"/>
  <c r="T709" i="1"/>
  <c r="W709" i="1" s="1"/>
  <c r="V708" i="1"/>
  <c r="T708" i="1"/>
  <c r="W708" i="1" s="1"/>
  <c r="V707" i="1"/>
  <c r="T707" i="1"/>
  <c r="W707" i="1" s="1"/>
  <c r="V706" i="1"/>
  <c r="T706" i="1"/>
  <c r="W706" i="1" s="1"/>
  <c r="V705" i="1"/>
  <c r="T705" i="1"/>
  <c r="W705" i="1" s="1"/>
  <c r="V704" i="1"/>
  <c r="T704" i="1"/>
  <c r="W704" i="1" s="1"/>
  <c r="V703" i="1"/>
  <c r="T703" i="1"/>
  <c r="W703" i="1" s="1"/>
  <c r="V702" i="1"/>
  <c r="T702" i="1"/>
  <c r="W702" i="1" s="1"/>
  <c r="V701" i="1"/>
  <c r="T701" i="1"/>
  <c r="W701" i="1" s="1"/>
  <c r="V700" i="1"/>
  <c r="T700" i="1"/>
  <c r="W700" i="1" s="1"/>
  <c r="V699" i="1"/>
  <c r="T699" i="1"/>
  <c r="W699" i="1" s="1"/>
  <c r="V698" i="1"/>
  <c r="T698" i="1"/>
  <c r="W698" i="1" s="1"/>
  <c r="V697" i="1"/>
  <c r="T697" i="1"/>
  <c r="W697" i="1" s="1"/>
  <c r="V696" i="1"/>
  <c r="T696" i="1"/>
  <c r="W696" i="1" s="1"/>
  <c r="V695" i="1"/>
  <c r="T695" i="1"/>
  <c r="W695" i="1" s="1"/>
  <c r="V694" i="1"/>
  <c r="T694" i="1"/>
  <c r="W694" i="1" s="1"/>
  <c r="V693" i="1"/>
  <c r="T693" i="1"/>
  <c r="W693" i="1" s="1"/>
  <c r="V692" i="1"/>
  <c r="T692" i="1"/>
  <c r="W692" i="1" s="1"/>
  <c r="V691" i="1"/>
  <c r="T691" i="1"/>
  <c r="W691" i="1" s="1"/>
  <c r="V690" i="1"/>
  <c r="T690" i="1"/>
  <c r="W690" i="1" s="1"/>
  <c r="V689" i="1"/>
  <c r="T689" i="1"/>
  <c r="W689" i="1" s="1"/>
  <c r="V688" i="1"/>
  <c r="T688" i="1"/>
  <c r="W688" i="1" s="1"/>
  <c r="V687" i="1"/>
  <c r="T687" i="1"/>
  <c r="W687" i="1" s="1"/>
  <c r="V686" i="1"/>
  <c r="T686" i="1"/>
  <c r="W686" i="1" s="1"/>
  <c r="V685" i="1"/>
  <c r="T685" i="1"/>
  <c r="W685" i="1" s="1"/>
  <c r="V684" i="1"/>
  <c r="T684" i="1"/>
  <c r="W684" i="1" s="1"/>
  <c r="V683" i="1"/>
  <c r="T683" i="1"/>
  <c r="W683" i="1" s="1"/>
  <c r="V682" i="1"/>
  <c r="T682" i="1"/>
  <c r="W682" i="1" s="1"/>
  <c r="V681" i="1"/>
  <c r="T681" i="1"/>
  <c r="W681" i="1" s="1"/>
  <c r="V680" i="1"/>
  <c r="T680" i="1"/>
  <c r="W680" i="1" s="1"/>
  <c r="V679" i="1"/>
  <c r="T679" i="1"/>
  <c r="W679" i="1" s="1"/>
  <c r="V678" i="1"/>
  <c r="T678" i="1"/>
  <c r="W678" i="1" s="1"/>
  <c r="V677" i="1"/>
  <c r="T677" i="1"/>
  <c r="W677" i="1" s="1"/>
  <c r="V676" i="1"/>
  <c r="T676" i="1"/>
  <c r="W676" i="1" s="1"/>
  <c r="V675" i="1"/>
  <c r="T675" i="1"/>
  <c r="W675" i="1" s="1"/>
  <c r="V674" i="1"/>
  <c r="T674" i="1"/>
  <c r="W674" i="1" s="1"/>
  <c r="V673" i="1"/>
  <c r="T673" i="1"/>
  <c r="W673" i="1" s="1"/>
  <c r="V672" i="1"/>
  <c r="T672" i="1"/>
  <c r="W672" i="1" s="1"/>
  <c r="V671" i="1"/>
  <c r="T671" i="1"/>
  <c r="W671" i="1" s="1"/>
  <c r="V670" i="1"/>
  <c r="T670" i="1"/>
  <c r="W670" i="1" s="1"/>
  <c r="V669" i="1"/>
  <c r="T669" i="1"/>
  <c r="W669" i="1" s="1"/>
  <c r="V668" i="1"/>
  <c r="T668" i="1"/>
  <c r="W668" i="1" s="1"/>
  <c r="V667" i="1"/>
  <c r="T667" i="1"/>
  <c r="W667" i="1" s="1"/>
  <c r="V666" i="1"/>
  <c r="T666" i="1"/>
  <c r="W666" i="1" s="1"/>
  <c r="V665" i="1"/>
  <c r="T665" i="1"/>
  <c r="W665" i="1" s="1"/>
  <c r="V664" i="1"/>
  <c r="T664" i="1"/>
  <c r="W664" i="1" s="1"/>
  <c r="V663" i="1"/>
  <c r="T663" i="1"/>
  <c r="W663" i="1" s="1"/>
  <c r="V662" i="1"/>
  <c r="T662" i="1"/>
  <c r="W662" i="1" s="1"/>
  <c r="V661" i="1"/>
  <c r="T661" i="1"/>
  <c r="W661" i="1" s="1"/>
  <c r="V660" i="1"/>
  <c r="T660" i="1"/>
  <c r="W660" i="1" s="1"/>
  <c r="V659" i="1"/>
  <c r="T659" i="1"/>
  <c r="W659" i="1" s="1"/>
  <c r="V658" i="1"/>
  <c r="T658" i="1"/>
  <c r="W658" i="1" s="1"/>
  <c r="V657" i="1"/>
  <c r="T657" i="1"/>
  <c r="W657" i="1" s="1"/>
  <c r="V656" i="1"/>
  <c r="T656" i="1"/>
  <c r="W656" i="1" s="1"/>
  <c r="V655" i="1"/>
  <c r="T655" i="1"/>
  <c r="W655" i="1" s="1"/>
  <c r="V654" i="1"/>
  <c r="T654" i="1"/>
  <c r="W654" i="1" s="1"/>
  <c r="V653" i="1"/>
  <c r="T653" i="1"/>
  <c r="W653" i="1" s="1"/>
  <c r="V652" i="1"/>
  <c r="T652" i="1"/>
  <c r="W652" i="1" s="1"/>
  <c r="V651" i="1"/>
  <c r="T651" i="1"/>
  <c r="W651" i="1" s="1"/>
  <c r="V650" i="1"/>
  <c r="T650" i="1"/>
  <c r="W650" i="1" s="1"/>
  <c r="V649" i="1"/>
  <c r="T649" i="1"/>
  <c r="W649" i="1" s="1"/>
  <c r="V648" i="1"/>
  <c r="T648" i="1"/>
  <c r="W648" i="1" s="1"/>
  <c r="V647" i="1"/>
  <c r="T647" i="1"/>
  <c r="W647" i="1" s="1"/>
  <c r="V646" i="1"/>
  <c r="T646" i="1"/>
  <c r="W646" i="1" s="1"/>
  <c r="V645" i="1"/>
  <c r="T645" i="1"/>
  <c r="W645" i="1" s="1"/>
  <c r="V644" i="1"/>
  <c r="T644" i="1"/>
  <c r="W644" i="1" s="1"/>
  <c r="V643" i="1"/>
  <c r="T643" i="1"/>
  <c r="W643" i="1" s="1"/>
  <c r="V642" i="1"/>
  <c r="T642" i="1"/>
  <c r="W642" i="1" s="1"/>
  <c r="V641" i="1"/>
  <c r="T641" i="1"/>
  <c r="W641" i="1" s="1"/>
  <c r="V640" i="1"/>
  <c r="T640" i="1"/>
  <c r="W640" i="1" s="1"/>
  <c r="V639" i="1"/>
  <c r="T639" i="1"/>
  <c r="W639" i="1" s="1"/>
  <c r="V638" i="1"/>
  <c r="T638" i="1"/>
  <c r="W638" i="1" s="1"/>
  <c r="V637" i="1"/>
  <c r="T637" i="1"/>
  <c r="W637" i="1" s="1"/>
  <c r="V636" i="1"/>
  <c r="T636" i="1"/>
  <c r="W636" i="1" s="1"/>
  <c r="V635" i="1"/>
  <c r="T635" i="1"/>
  <c r="W635" i="1" s="1"/>
  <c r="V634" i="1"/>
  <c r="T634" i="1"/>
  <c r="W634" i="1" s="1"/>
  <c r="V633" i="1"/>
  <c r="T633" i="1"/>
  <c r="W633" i="1" s="1"/>
  <c r="V632" i="1"/>
  <c r="T632" i="1"/>
  <c r="W632" i="1" s="1"/>
  <c r="V631" i="1"/>
  <c r="T631" i="1"/>
  <c r="W631" i="1" s="1"/>
  <c r="V630" i="1"/>
  <c r="T630" i="1"/>
  <c r="W630" i="1" s="1"/>
  <c r="V629" i="1"/>
  <c r="T629" i="1"/>
  <c r="W629" i="1" s="1"/>
  <c r="V628" i="1"/>
  <c r="T628" i="1"/>
  <c r="W628" i="1" s="1"/>
  <c r="V627" i="1"/>
  <c r="T627" i="1"/>
  <c r="W627" i="1" s="1"/>
  <c r="V626" i="1"/>
  <c r="T626" i="1"/>
  <c r="W626" i="1" s="1"/>
  <c r="V625" i="1"/>
  <c r="T625" i="1"/>
  <c r="W625" i="1" s="1"/>
  <c r="V624" i="1"/>
  <c r="T624" i="1"/>
  <c r="W624" i="1" s="1"/>
  <c r="V623" i="1"/>
  <c r="T623" i="1"/>
  <c r="W623" i="1" s="1"/>
  <c r="V622" i="1"/>
  <c r="T622" i="1"/>
  <c r="W622" i="1" s="1"/>
  <c r="V621" i="1"/>
  <c r="T621" i="1"/>
  <c r="W621" i="1" s="1"/>
  <c r="V620" i="1"/>
  <c r="T620" i="1"/>
  <c r="W620" i="1" s="1"/>
  <c r="V619" i="1"/>
  <c r="T619" i="1"/>
  <c r="W619" i="1" s="1"/>
  <c r="V618" i="1"/>
  <c r="T618" i="1"/>
  <c r="W618" i="1" s="1"/>
  <c r="V617" i="1"/>
  <c r="T617" i="1"/>
  <c r="W617" i="1" s="1"/>
  <c r="V616" i="1"/>
  <c r="T616" i="1"/>
  <c r="W616" i="1" s="1"/>
  <c r="V615" i="1"/>
  <c r="T615" i="1"/>
  <c r="W615" i="1" s="1"/>
  <c r="V614" i="1"/>
  <c r="T614" i="1"/>
  <c r="W614" i="1" s="1"/>
  <c r="V613" i="1"/>
  <c r="T613" i="1"/>
  <c r="W613" i="1" s="1"/>
  <c r="V612" i="1"/>
  <c r="T612" i="1"/>
  <c r="W612" i="1" s="1"/>
  <c r="V611" i="1"/>
  <c r="T611" i="1"/>
  <c r="W611" i="1" s="1"/>
  <c r="V610" i="1"/>
  <c r="T610" i="1"/>
  <c r="W610" i="1" s="1"/>
  <c r="V609" i="1"/>
  <c r="T609" i="1"/>
  <c r="W609" i="1" s="1"/>
  <c r="V608" i="1"/>
  <c r="T608" i="1"/>
  <c r="W608" i="1" s="1"/>
  <c r="V607" i="1"/>
  <c r="T607" i="1"/>
  <c r="W607" i="1" s="1"/>
  <c r="V606" i="1"/>
  <c r="T606" i="1"/>
  <c r="W606" i="1" s="1"/>
  <c r="V605" i="1"/>
  <c r="T605" i="1"/>
  <c r="W605" i="1" s="1"/>
  <c r="V604" i="1"/>
  <c r="T604" i="1"/>
  <c r="W604" i="1" s="1"/>
  <c r="V603" i="1"/>
  <c r="T603" i="1"/>
  <c r="W603" i="1" s="1"/>
  <c r="V602" i="1"/>
  <c r="T602" i="1"/>
  <c r="W602" i="1" s="1"/>
  <c r="V601" i="1"/>
  <c r="T601" i="1"/>
  <c r="W601" i="1" s="1"/>
  <c r="V600" i="1"/>
  <c r="T600" i="1"/>
  <c r="W600" i="1" s="1"/>
  <c r="V599" i="1"/>
  <c r="T599" i="1"/>
  <c r="W599" i="1" s="1"/>
  <c r="V598" i="1"/>
  <c r="T598" i="1"/>
  <c r="W598" i="1" s="1"/>
  <c r="V597" i="1"/>
  <c r="T597" i="1"/>
  <c r="W597" i="1" s="1"/>
  <c r="V596" i="1"/>
  <c r="T596" i="1"/>
  <c r="W596" i="1" s="1"/>
  <c r="V595" i="1"/>
  <c r="T595" i="1"/>
  <c r="W595" i="1" s="1"/>
  <c r="V594" i="1"/>
  <c r="T594" i="1"/>
  <c r="W594" i="1" s="1"/>
  <c r="V593" i="1"/>
  <c r="T593" i="1"/>
  <c r="W593" i="1" s="1"/>
  <c r="V592" i="1"/>
  <c r="T592" i="1"/>
  <c r="W592" i="1" s="1"/>
  <c r="V591" i="1"/>
  <c r="T591" i="1"/>
  <c r="W591" i="1" s="1"/>
  <c r="V590" i="1"/>
  <c r="T590" i="1"/>
  <c r="W590" i="1" s="1"/>
  <c r="V589" i="1"/>
  <c r="T589" i="1"/>
  <c r="W589" i="1" s="1"/>
  <c r="V588" i="1"/>
  <c r="T588" i="1"/>
  <c r="W588" i="1" s="1"/>
  <c r="V587" i="1"/>
  <c r="T587" i="1"/>
  <c r="W587" i="1" s="1"/>
  <c r="V586" i="1"/>
  <c r="T586" i="1"/>
  <c r="W586" i="1" s="1"/>
  <c r="V585" i="1"/>
  <c r="T585" i="1"/>
  <c r="W585" i="1" s="1"/>
  <c r="V584" i="1"/>
  <c r="T584" i="1"/>
  <c r="W584" i="1" s="1"/>
  <c r="V583" i="1"/>
  <c r="T583" i="1"/>
  <c r="W583" i="1" s="1"/>
  <c r="V582" i="1"/>
  <c r="T582" i="1"/>
  <c r="W582" i="1" s="1"/>
  <c r="V581" i="1"/>
  <c r="T581" i="1"/>
  <c r="W581" i="1" s="1"/>
  <c r="V580" i="1"/>
  <c r="T580" i="1"/>
  <c r="W580" i="1" s="1"/>
  <c r="V579" i="1"/>
  <c r="T579" i="1"/>
  <c r="W579" i="1" s="1"/>
  <c r="V578" i="1"/>
  <c r="T578" i="1"/>
  <c r="W578" i="1" s="1"/>
  <c r="V577" i="1"/>
  <c r="T577" i="1"/>
  <c r="W577" i="1" s="1"/>
  <c r="V576" i="1"/>
  <c r="T576" i="1"/>
  <c r="W576" i="1" s="1"/>
  <c r="V575" i="1"/>
  <c r="T575" i="1"/>
  <c r="W575" i="1" s="1"/>
  <c r="V574" i="1"/>
  <c r="T574" i="1"/>
  <c r="W574" i="1" s="1"/>
  <c r="V573" i="1"/>
  <c r="T573" i="1"/>
  <c r="W573" i="1" s="1"/>
  <c r="V572" i="1"/>
  <c r="T572" i="1"/>
  <c r="W572" i="1" s="1"/>
  <c r="V571" i="1"/>
  <c r="T571" i="1"/>
  <c r="W571" i="1" s="1"/>
  <c r="V570" i="1"/>
  <c r="T570" i="1"/>
  <c r="W570" i="1" s="1"/>
  <c r="V569" i="1"/>
  <c r="T569" i="1"/>
  <c r="W569" i="1" s="1"/>
  <c r="V568" i="1"/>
  <c r="T568" i="1"/>
  <c r="W568" i="1" s="1"/>
  <c r="V567" i="1"/>
  <c r="T567" i="1"/>
  <c r="W567" i="1" s="1"/>
  <c r="V566" i="1"/>
  <c r="T566" i="1"/>
  <c r="W566" i="1" s="1"/>
  <c r="V565" i="1"/>
  <c r="T565" i="1"/>
  <c r="W565" i="1" s="1"/>
  <c r="V564" i="1"/>
  <c r="T564" i="1"/>
  <c r="W564" i="1" s="1"/>
  <c r="V563" i="1"/>
  <c r="T563" i="1"/>
  <c r="W563" i="1" s="1"/>
  <c r="V562" i="1"/>
  <c r="T562" i="1"/>
  <c r="W562" i="1" s="1"/>
  <c r="V561" i="1"/>
  <c r="T561" i="1"/>
  <c r="W561" i="1" s="1"/>
  <c r="V560" i="1"/>
  <c r="T560" i="1"/>
  <c r="W560" i="1" s="1"/>
  <c r="V559" i="1"/>
  <c r="T559" i="1"/>
  <c r="W559" i="1" s="1"/>
  <c r="V558" i="1"/>
  <c r="T558" i="1"/>
  <c r="W558" i="1" s="1"/>
  <c r="V557" i="1"/>
  <c r="T557" i="1"/>
  <c r="W557" i="1" s="1"/>
  <c r="V556" i="1"/>
  <c r="T556" i="1"/>
  <c r="W556" i="1" s="1"/>
  <c r="V555" i="1"/>
  <c r="T555" i="1"/>
  <c r="W555" i="1" s="1"/>
  <c r="V554" i="1"/>
  <c r="T554" i="1"/>
  <c r="W554" i="1" s="1"/>
  <c r="V553" i="1"/>
  <c r="T553" i="1"/>
  <c r="W553" i="1" s="1"/>
  <c r="V552" i="1"/>
  <c r="T552" i="1"/>
  <c r="W552" i="1" s="1"/>
  <c r="V551" i="1"/>
  <c r="T551" i="1"/>
  <c r="W551" i="1" s="1"/>
  <c r="V550" i="1"/>
  <c r="T550" i="1"/>
  <c r="W550" i="1" s="1"/>
  <c r="V549" i="1"/>
  <c r="T549" i="1"/>
  <c r="W549" i="1" s="1"/>
  <c r="V548" i="1"/>
  <c r="T548" i="1"/>
  <c r="W548" i="1" s="1"/>
  <c r="V547" i="1"/>
  <c r="T547" i="1"/>
  <c r="W547" i="1" s="1"/>
  <c r="V546" i="1"/>
  <c r="T546" i="1"/>
  <c r="W546" i="1" s="1"/>
  <c r="V545" i="1"/>
  <c r="T545" i="1"/>
  <c r="W545" i="1" s="1"/>
  <c r="V544" i="1"/>
  <c r="T544" i="1"/>
  <c r="W544" i="1" s="1"/>
  <c r="V543" i="1"/>
  <c r="T543" i="1"/>
  <c r="W543" i="1" s="1"/>
  <c r="V542" i="1"/>
  <c r="T542" i="1"/>
  <c r="W542" i="1" s="1"/>
  <c r="V541" i="1"/>
  <c r="T541" i="1"/>
  <c r="W541" i="1" s="1"/>
  <c r="V540" i="1"/>
  <c r="T540" i="1"/>
  <c r="W540" i="1" s="1"/>
  <c r="V539" i="1"/>
  <c r="T539" i="1"/>
  <c r="W539" i="1" s="1"/>
  <c r="V538" i="1"/>
  <c r="T538" i="1"/>
  <c r="W538" i="1" s="1"/>
  <c r="V537" i="1"/>
  <c r="T537" i="1"/>
  <c r="W537" i="1" s="1"/>
  <c r="V536" i="1"/>
  <c r="T536" i="1"/>
  <c r="W536" i="1" s="1"/>
  <c r="V535" i="1"/>
  <c r="T535" i="1"/>
  <c r="W535" i="1" s="1"/>
  <c r="V534" i="1"/>
  <c r="T534" i="1"/>
  <c r="W534" i="1" s="1"/>
  <c r="V533" i="1"/>
  <c r="T533" i="1"/>
  <c r="W533" i="1" s="1"/>
  <c r="V532" i="1"/>
  <c r="T532" i="1"/>
  <c r="W532" i="1" s="1"/>
  <c r="V531" i="1"/>
  <c r="T531" i="1"/>
  <c r="W531" i="1" s="1"/>
  <c r="V530" i="1"/>
  <c r="T530" i="1"/>
  <c r="W530" i="1" s="1"/>
  <c r="V529" i="1"/>
  <c r="T529" i="1"/>
  <c r="W529" i="1" s="1"/>
  <c r="V528" i="1"/>
  <c r="T528" i="1"/>
  <c r="W528" i="1" s="1"/>
  <c r="V527" i="1"/>
  <c r="T527" i="1"/>
  <c r="W527" i="1" s="1"/>
  <c r="V526" i="1"/>
  <c r="T526" i="1"/>
  <c r="W526" i="1" s="1"/>
  <c r="V525" i="1"/>
  <c r="T525" i="1"/>
  <c r="W525" i="1" s="1"/>
  <c r="V524" i="1"/>
  <c r="T524" i="1"/>
  <c r="W524" i="1" s="1"/>
  <c r="V523" i="1"/>
  <c r="T523" i="1"/>
  <c r="W523" i="1" s="1"/>
  <c r="V522" i="1"/>
  <c r="T522" i="1"/>
  <c r="W522" i="1" s="1"/>
  <c r="V521" i="1"/>
  <c r="T521" i="1"/>
  <c r="W521" i="1" s="1"/>
  <c r="V520" i="1"/>
  <c r="T520" i="1"/>
  <c r="W520" i="1" s="1"/>
  <c r="V519" i="1"/>
  <c r="T519" i="1"/>
  <c r="W519" i="1" s="1"/>
  <c r="V518" i="1"/>
  <c r="T518" i="1"/>
  <c r="W518" i="1" s="1"/>
  <c r="V517" i="1"/>
  <c r="T517" i="1"/>
  <c r="W517" i="1" s="1"/>
  <c r="V516" i="1"/>
  <c r="T516" i="1"/>
  <c r="W516" i="1" s="1"/>
  <c r="V515" i="1"/>
  <c r="T515" i="1"/>
  <c r="W515" i="1" s="1"/>
  <c r="V514" i="1"/>
  <c r="T514" i="1"/>
  <c r="W514" i="1" s="1"/>
  <c r="V513" i="1"/>
  <c r="T513" i="1"/>
  <c r="W513" i="1" s="1"/>
  <c r="V512" i="1"/>
  <c r="T512" i="1"/>
  <c r="W512" i="1" s="1"/>
  <c r="V511" i="1"/>
  <c r="T511" i="1"/>
  <c r="W511" i="1" s="1"/>
  <c r="V510" i="1"/>
  <c r="T510" i="1"/>
  <c r="W510" i="1" s="1"/>
  <c r="V509" i="1"/>
  <c r="T509" i="1"/>
  <c r="W509" i="1" s="1"/>
  <c r="V508" i="1"/>
  <c r="T508" i="1"/>
  <c r="W508" i="1" s="1"/>
  <c r="V507" i="1"/>
  <c r="T507" i="1"/>
  <c r="W507" i="1" s="1"/>
  <c r="V506" i="1"/>
  <c r="T506" i="1"/>
  <c r="W506" i="1" s="1"/>
  <c r="V505" i="1"/>
  <c r="T505" i="1"/>
  <c r="W505" i="1" s="1"/>
  <c r="V504" i="1"/>
  <c r="T504" i="1"/>
  <c r="W504" i="1" s="1"/>
  <c r="V503" i="1"/>
  <c r="T503" i="1"/>
  <c r="W503" i="1" s="1"/>
  <c r="V502" i="1"/>
  <c r="T502" i="1"/>
  <c r="W502" i="1" s="1"/>
  <c r="V501" i="1"/>
  <c r="T501" i="1"/>
  <c r="W501" i="1" s="1"/>
  <c r="V500" i="1"/>
  <c r="T500" i="1"/>
  <c r="W500" i="1" s="1"/>
  <c r="V499" i="1"/>
  <c r="T499" i="1"/>
  <c r="W499" i="1" s="1"/>
  <c r="V498" i="1"/>
  <c r="T498" i="1"/>
  <c r="W498" i="1" s="1"/>
  <c r="V497" i="1"/>
  <c r="T497" i="1"/>
  <c r="W497" i="1" s="1"/>
  <c r="V496" i="1"/>
  <c r="T496" i="1"/>
  <c r="W496" i="1" s="1"/>
  <c r="V495" i="1"/>
  <c r="T495" i="1"/>
  <c r="W495" i="1" s="1"/>
  <c r="V494" i="1"/>
  <c r="T494" i="1"/>
  <c r="W494" i="1" s="1"/>
  <c r="V493" i="1"/>
  <c r="T493" i="1"/>
  <c r="W493" i="1" s="1"/>
  <c r="V492" i="1"/>
  <c r="T492" i="1"/>
  <c r="W492" i="1" s="1"/>
  <c r="V491" i="1"/>
  <c r="T491" i="1"/>
  <c r="W491" i="1" s="1"/>
  <c r="V490" i="1"/>
  <c r="T490" i="1"/>
  <c r="W490" i="1" s="1"/>
  <c r="V489" i="1"/>
  <c r="T489" i="1"/>
  <c r="W489" i="1" s="1"/>
  <c r="V488" i="1"/>
  <c r="T488" i="1"/>
  <c r="W488" i="1" s="1"/>
  <c r="V487" i="1"/>
  <c r="T487" i="1"/>
  <c r="W487" i="1" s="1"/>
  <c r="V486" i="1"/>
  <c r="T486" i="1"/>
  <c r="W486" i="1" s="1"/>
  <c r="V485" i="1"/>
  <c r="T485" i="1"/>
  <c r="W485" i="1" s="1"/>
  <c r="V484" i="1"/>
  <c r="T484" i="1"/>
  <c r="W484" i="1" s="1"/>
  <c r="V483" i="1"/>
  <c r="T483" i="1"/>
  <c r="W483" i="1" s="1"/>
  <c r="V482" i="1"/>
  <c r="T482" i="1"/>
  <c r="W482" i="1" s="1"/>
  <c r="V481" i="1"/>
  <c r="T481" i="1"/>
  <c r="W481" i="1" s="1"/>
  <c r="V480" i="1"/>
  <c r="T480" i="1"/>
  <c r="W480" i="1" s="1"/>
  <c r="V479" i="1"/>
  <c r="T479" i="1"/>
  <c r="W479" i="1" s="1"/>
  <c r="V478" i="1"/>
  <c r="T478" i="1"/>
  <c r="W478" i="1" s="1"/>
  <c r="V477" i="1"/>
  <c r="T477" i="1"/>
  <c r="W477" i="1" s="1"/>
  <c r="V476" i="1"/>
  <c r="T476" i="1"/>
  <c r="W476" i="1" s="1"/>
  <c r="V475" i="1"/>
  <c r="T475" i="1"/>
  <c r="W475" i="1" s="1"/>
  <c r="V474" i="1"/>
  <c r="T474" i="1"/>
  <c r="W474" i="1" s="1"/>
  <c r="V473" i="1"/>
  <c r="T473" i="1"/>
  <c r="W473" i="1" s="1"/>
  <c r="V472" i="1"/>
  <c r="T472" i="1"/>
  <c r="W472" i="1" s="1"/>
  <c r="V471" i="1"/>
  <c r="T471" i="1"/>
  <c r="W471" i="1" s="1"/>
  <c r="V470" i="1"/>
  <c r="T470" i="1"/>
  <c r="W470" i="1" s="1"/>
  <c r="V469" i="1"/>
  <c r="T469" i="1"/>
  <c r="W469" i="1" s="1"/>
  <c r="V468" i="1"/>
  <c r="T468" i="1"/>
  <c r="W468" i="1" s="1"/>
  <c r="V467" i="1"/>
  <c r="T467" i="1"/>
  <c r="W467" i="1" s="1"/>
  <c r="V466" i="1"/>
  <c r="T466" i="1"/>
  <c r="W466" i="1" s="1"/>
  <c r="V465" i="1"/>
  <c r="T465" i="1"/>
  <c r="W465" i="1" s="1"/>
  <c r="V464" i="1"/>
  <c r="T464" i="1"/>
  <c r="W464" i="1" s="1"/>
  <c r="V463" i="1"/>
  <c r="T463" i="1"/>
  <c r="W463" i="1" s="1"/>
  <c r="V462" i="1"/>
  <c r="T462" i="1"/>
  <c r="W462" i="1" s="1"/>
  <c r="V461" i="1"/>
  <c r="T461" i="1"/>
  <c r="W461" i="1" s="1"/>
  <c r="V460" i="1"/>
  <c r="T460" i="1"/>
  <c r="W460" i="1" s="1"/>
  <c r="V459" i="1"/>
  <c r="T459" i="1"/>
  <c r="W459" i="1" s="1"/>
  <c r="V458" i="1"/>
  <c r="T458" i="1"/>
  <c r="W458" i="1" s="1"/>
  <c r="V457" i="1"/>
  <c r="T457" i="1"/>
  <c r="W457" i="1" s="1"/>
  <c r="V456" i="1"/>
  <c r="T456" i="1"/>
  <c r="W456" i="1" s="1"/>
  <c r="V455" i="1"/>
  <c r="T455" i="1"/>
  <c r="W455" i="1" s="1"/>
  <c r="V454" i="1"/>
  <c r="T454" i="1"/>
  <c r="W454" i="1" s="1"/>
  <c r="V453" i="1"/>
  <c r="T453" i="1"/>
  <c r="W453" i="1" s="1"/>
  <c r="V452" i="1"/>
  <c r="T452" i="1"/>
  <c r="W452" i="1" s="1"/>
  <c r="V451" i="1"/>
  <c r="T451" i="1"/>
  <c r="W451" i="1" s="1"/>
  <c r="V450" i="1"/>
  <c r="T450" i="1"/>
  <c r="W450" i="1" s="1"/>
  <c r="V449" i="1"/>
  <c r="T449" i="1"/>
  <c r="W449" i="1" s="1"/>
  <c r="V448" i="1"/>
  <c r="T448" i="1"/>
  <c r="W448" i="1" s="1"/>
  <c r="V447" i="1"/>
  <c r="T447" i="1"/>
  <c r="W447" i="1" s="1"/>
  <c r="V446" i="1"/>
  <c r="T446" i="1"/>
  <c r="W446" i="1" s="1"/>
  <c r="V445" i="1"/>
  <c r="T445" i="1"/>
  <c r="W445" i="1" s="1"/>
  <c r="V444" i="1"/>
  <c r="T444" i="1"/>
  <c r="W444" i="1" s="1"/>
  <c r="V443" i="1"/>
  <c r="T443" i="1"/>
  <c r="W443" i="1" s="1"/>
  <c r="V442" i="1"/>
  <c r="T442" i="1"/>
  <c r="W442" i="1" s="1"/>
  <c r="V441" i="1"/>
  <c r="T441" i="1"/>
  <c r="W441" i="1" s="1"/>
  <c r="V440" i="1"/>
  <c r="T440" i="1"/>
  <c r="W440" i="1" s="1"/>
  <c r="V439" i="1"/>
  <c r="T439" i="1"/>
  <c r="W439" i="1" s="1"/>
  <c r="V438" i="1"/>
  <c r="T438" i="1"/>
  <c r="W438" i="1" s="1"/>
  <c r="V437" i="1"/>
  <c r="T437" i="1"/>
  <c r="W437" i="1" s="1"/>
  <c r="V436" i="1"/>
  <c r="T436" i="1"/>
  <c r="W436" i="1" s="1"/>
  <c r="V435" i="1"/>
  <c r="T435" i="1"/>
  <c r="W435" i="1" s="1"/>
  <c r="V434" i="1"/>
  <c r="T434" i="1"/>
  <c r="W434" i="1" s="1"/>
  <c r="V433" i="1"/>
  <c r="T433" i="1"/>
  <c r="W433" i="1" s="1"/>
  <c r="V432" i="1"/>
  <c r="T432" i="1"/>
  <c r="W432" i="1" s="1"/>
  <c r="V431" i="1"/>
  <c r="T431" i="1"/>
  <c r="W431" i="1" s="1"/>
  <c r="V430" i="1"/>
  <c r="T430" i="1"/>
  <c r="W430" i="1" s="1"/>
  <c r="V429" i="1"/>
  <c r="T429" i="1"/>
  <c r="W429" i="1" s="1"/>
  <c r="V428" i="1"/>
  <c r="T428" i="1"/>
  <c r="W428" i="1" s="1"/>
  <c r="V427" i="1"/>
  <c r="T427" i="1"/>
  <c r="W427" i="1" s="1"/>
  <c r="V426" i="1"/>
  <c r="T426" i="1"/>
  <c r="W426" i="1" s="1"/>
  <c r="V425" i="1"/>
  <c r="T425" i="1"/>
  <c r="W425" i="1" s="1"/>
  <c r="V424" i="1"/>
  <c r="T424" i="1"/>
  <c r="W424" i="1" s="1"/>
  <c r="V423" i="1"/>
  <c r="T423" i="1"/>
  <c r="W423" i="1" s="1"/>
  <c r="V422" i="1"/>
  <c r="T422" i="1"/>
  <c r="W422" i="1" s="1"/>
  <c r="V421" i="1"/>
  <c r="T421" i="1"/>
  <c r="W421" i="1" s="1"/>
  <c r="V420" i="1"/>
  <c r="T420" i="1"/>
  <c r="W420" i="1" s="1"/>
  <c r="V419" i="1"/>
  <c r="T419" i="1"/>
  <c r="W419" i="1" s="1"/>
  <c r="V418" i="1"/>
  <c r="T418" i="1"/>
  <c r="W418" i="1" s="1"/>
  <c r="V417" i="1"/>
  <c r="T417" i="1"/>
  <c r="W417" i="1" s="1"/>
  <c r="V416" i="1"/>
  <c r="T416" i="1"/>
  <c r="W416" i="1" s="1"/>
  <c r="V415" i="1"/>
  <c r="T415" i="1"/>
  <c r="W415" i="1" s="1"/>
  <c r="V414" i="1"/>
  <c r="T414" i="1"/>
  <c r="W414" i="1" s="1"/>
  <c r="V413" i="1"/>
  <c r="T413" i="1"/>
  <c r="W413" i="1" s="1"/>
  <c r="V412" i="1"/>
  <c r="T412" i="1"/>
  <c r="W412" i="1" s="1"/>
  <c r="V411" i="1"/>
  <c r="T411" i="1"/>
  <c r="W411" i="1" s="1"/>
  <c r="V410" i="1"/>
  <c r="T410" i="1"/>
  <c r="W410" i="1" s="1"/>
  <c r="V409" i="1"/>
  <c r="T409" i="1"/>
  <c r="W409" i="1" s="1"/>
  <c r="V408" i="1"/>
  <c r="T408" i="1"/>
  <c r="W408" i="1" s="1"/>
  <c r="V407" i="1"/>
  <c r="T407" i="1"/>
  <c r="W407" i="1" s="1"/>
  <c r="V406" i="1"/>
  <c r="T406" i="1"/>
  <c r="W406" i="1" s="1"/>
  <c r="V405" i="1"/>
  <c r="T405" i="1"/>
  <c r="W405" i="1" s="1"/>
  <c r="V404" i="1"/>
  <c r="T404" i="1"/>
  <c r="W404" i="1" s="1"/>
  <c r="V403" i="1"/>
  <c r="T403" i="1"/>
  <c r="W403" i="1" s="1"/>
  <c r="V402" i="1"/>
  <c r="T402" i="1"/>
  <c r="W402" i="1" s="1"/>
  <c r="V401" i="1"/>
  <c r="T401" i="1"/>
  <c r="W401" i="1" s="1"/>
  <c r="V400" i="1"/>
  <c r="T400" i="1"/>
  <c r="W400" i="1" s="1"/>
  <c r="V399" i="1"/>
  <c r="T399" i="1"/>
  <c r="W399" i="1" s="1"/>
  <c r="V398" i="1"/>
  <c r="T398" i="1"/>
  <c r="W398" i="1" s="1"/>
  <c r="V397" i="1"/>
  <c r="T397" i="1"/>
  <c r="W397" i="1" s="1"/>
  <c r="V396" i="1"/>
  <c r="T396" i="1"/>
  <c r="W396" i="1" s="1"/>
  <c r="V395" i="1"/>
  <c r="T395" i="1"/>
  <c r="W395" i="1" s="1"/>
  <c r="V394" i="1"/>
  <c r="T394" i="1"/>
  <c r="W394" i="1" s="1"/>
  <c r="V393" i="1"/>
  <c r="T393" i="1"/>
  <c r="W393" i="1" s="1"/>
  <c r="V392" i="1"/>
  <c r="T392" i="1"/>
  <c r="W392" i="1" s="1"/>
  <c r="V391" i="1"/>
  <c r="T391" i="1"/>
  <c r="W391" i="1" s="1"/>
  <c r="V390" i="1"/>
  <c r="T390" i="1"/>
  <c r="W390" i="1" s="1"/>
  <c r="V389" i="1"/>
  <c r="T389" i="1"/>
  <c r="W389" i="1" s="1"/>
  <c r="V388" i="1"/>
  <c r="T388" i="1"/>
  <c r="W388" i="1" s="1"/>
  <c r="V387" i="1"/>
  <c r="T387" i="1"/>
  <c r="W387" i="1" s="1"/>
  <c r="V386" i="1"/>
  <c r="T386" i="1"/>
  <c r="W386" i="1" s="1"/>
  <c r="V385" i="1"/>
  <c r="T385" i="1"/>
  <c r="W385" i="1" s="1"/>
  <c r="V384" i="1"/>
  <c r="T384" i="1"/>
  <c r="W384" i="1" s="1"/>
  <c r="V383" i="1"/>
  <c r="T383" i="1"/>
  <c r="W383" i="1" s="1"/>
  <c r="V382" i="1"/>
  <c r="T382" i="1"/>
  <c r="W382" i="1" s="1"/>
  <c r="V381" i="1"/>
  <c r="T381" i="1"/>
  <c r="W381" i="1" s="1"/>
  <c r="V380" i="1"/>
  <c r="T380" i="1"/>
  <c r="W380" i="1" s="1"/>
  <c r="V379" i="1"/>
  <c r="T379" i="1"/>
  <c r="W379" i="1" s="1"/>
  <c r="V378" i="1"/>
  <c r="T378" i="1"/>
  <c r="W378" i="1" s="1"/>
  <c r="V377" i="1"/>
  <c r="T377" i="1"/>
  <c r="W377" i="1" s="1"/>
  <c r="V376" i="1"/>
  <c r="T376" i="1"/>
  <c r="W376" i="1" s="1"/>
  <c r="V375" i="1"/>
  <c r="T375" i="1"/>
  <c r="W375" i="1" s="1"/>
  <c r="V374" i="1"/>
  <c r="T374" i="1"/>
  <c r="W374" i="1" s="1"/>
  <c r="V373" i="1"/>
  <c r="T373" i="1"/>
  <c r="W373" i="1" s="1"/>
  <c r="V372" i="1"/>
  <c r="T372" i="1"/>
  <c r="W372" i="1" s="1"/>
  <c r="V371" i="1"/>
  <c r="T371" i="1"/>
  <c r="W371" i="1" s="1"/>
  <c r="V370" i="1"/>
  <c r="T370" i="1"/>
  <c r="W370" i="1" s="1"/>
  <c r="V369" i="1"/>
  <c r="T369" i="1"/>
  <c r="W369" i="1" s="1"/>
  <c r="V368" i="1"/>
  <c r="T368" i="1"/>
  <c r="W368" i="1" s="1"/>
  <c r="V367" i="1"/>
  <c r="T367" i="1"/>
  <c r="W367" i="1" s="1"/>
  <c r="V366" i="1"/>
  <c r="T366" i="1"/>
  <c r="W366" i="1" s="1"/>
  <c r="V365" i="1"/>
  <c r="T365" i="1"/>
  <c r="W365" i="1" s="1"/>
  <c r="V364" i="1"/>
  <c r="T364" i="1"/>
  <c r="W364" i="1" s="1"/>
  <c r="V363" i="1"/>
  <c r="T363" i="1"/>
  <c r="W363" i="1" s="1"/>
  <c r="V362" i="1"/>
  <c r="T362" i="1"/>
  <c r="W362" i="1" s="1"/>
  <c r="V361" i="1"/>
  <c r="T361" i="1"/>
  <c r="W361" i="1" s="1"/>
  <c r="V360" i="1"/>
  <c r="T360" i="1"/>
  <c r="W360" i="1" s="1"/>
  <c r="V359" i="1"/>
  <c r="T359" i="1"/>
  <c r="W359" i="1" s="1"/>
  <c r="V358" i="1"/>
  <c r="T358" i="1"/>
  <c r="W358" i="1" s="1"/>
  <c r="V357" i="1"/>
  <c r="T357" i="1"/>
  <c r="W357" i="1" s="1"/>
  <c r="V356" i="1"/>
  <c r="T356" i="1"/>
  <c r="W356" i="1" s="1"/>
  <c r="V355" i="1"/>
  <c r="T355" i="1"/>
  <c r="W355" i="1" s="1"/>
  <c r="V354" i="1"/>
  <c r="T354" i="1"/>
  <c r="W354" i="1" s="1"/>
  <c r="V353" i="1"/>
  <c r="T353" i="1"/>
  <c r="W353" i="1" s="1"/>
  <c r="V352" i="1"/>
  <c r="T352" i="1"/>
  <c r="W352" i="1" s="1"/>
  <c r="V351" i="1"/>
  <c r="T351" i="1"/>
  <c r="W351" i="1" s="1"/>
  <c r="V350" i="1"/>
  <c r="T350" i="1"/>
  <c r="W350" i="1" s="1"/>
  <c r="V349" i="1"/>
  <c r="T349" i="1"/>
  <c r="W349" i="1" s="1"/>
  <c r="V348" i="1"/>
  <c r="T348" i="1"/>
  <c r="W348" i="1" s="1"/>
  <c r="V347" i="1"/>
  <c r="T347" i="1"/>
  <c r="W347" i="1" s="1"/>
  <c r="V346" i="1"/>
  <c r="T346" i="1"/>
  <c r="W346" i="1" s="1"/>
  <c r="V345" i="1"/>
  <c r="T345" i="1"/>
  <c r="W345" i="1" s="1"/>
  <c r="V344" i="1"/>
  <c r="T344" i="1"/>
  <c r="W344" i="1" s="1"/>
  <c r="V343" i="1"/>
  <c r="T343" i="1"/>
  <c r="W343" i="1" s="1"/>
  <c r="V342" i="1"/>
  <c r="T342" i="1"/>
  <c r="W342" i="1" s="1"/>
  <c r="V341" i="1"/>
  <c r="T341" i="1"/>
  <c r="W341" i="1" s="1"/>
  <c r="V340" i="1"/>
  <c r="T340" i="1"/>
  <c r="W340" i="1" s="1"/>
  <c r="V339" i="1"/>
  <c r="T339" i="1"/>
  <c r="W339" i="1" s="1"/>
  <c r="V338" i="1"/>
  <c r="T338" i="1"/>
  <c r="W338" i="1" s="1"/>
  <c r="V337" i="1"/>
  <c r="T337" i="1"/>
  <c r="W337" i="1" s="1"/>
  <c r="V336" i="1"/>
  <c r="T336" i="1"/>
  <c r="W336" i="1" s="1"/>
  <c r="V335" i="1"/>
  <c r="T335" i="1"/>
  <c r="W335" i="1" s="1"/>
  <c r="V334" i="1"/>
  <c r="T334" i="1"/>
  <c r="W334" i="1" s="1"/>
  <c r="V333" i="1"/>
  <c r="T333" i="1"/>
  <c r="W333" i="1" s="1"/>
  <c r="V332" i="1"/>
  <c r="T332" i="1"/>
  <c r="W332" i="1" s="1"/>
  <c r="V331" i="1"/>
  <c r="T331" i="1"/>
  <c r="W331" i="1" s="1"/>
  <c r="V330" i="1"/>
  <c r="T330" i="1"/>
  <c r="W330" i="1" s="1"/>
  <c r="V329" i="1"/>
  <c r="T329" i="1"/>
  <c r="W329" i="1" s="1"/>
  <c r="V328" i="1"/>
  <c r="T328" i="1"/>
  <c r="W328" i="1" s="1"/>
  <c r="V327" i="1"/>
  <c r="T327" i="1"/>
  <c r="W327" i="1" s="1"/>
  <c r="V326" i="1"/>
  <c r="T326" i="1"/>
  <c r="W326" i="1" s="1"/>
  <c r="V325" i="1"/>
  <c r="T325" i="1"/>
  <c r="W325" i="1" s="1"/>
  <c r="V324" i="1"/>
  <c r="T324" i="1"/>
  <c r="W324" i="1" s="1"/>
  <c r="V323" i="1"/>
  <c r="T323" i="1"/>
  <c r="W323" i="1" s="1"/>
  <c r="V322" i="1"/>
  <c r="T322" i="1"/>
  <c r="W322" i="1" s="1"/>
  <c r="V321" i="1"/>
  <c r="T321" i="1"/>
  <c r="W321" i="1" s="1"/>
  <c r="V320" i="1"/>
  <c r="T320" i="1"/>
  <c r="W320" i="1" s="1"/>
  <c r="V319" i="1"/>
  <c r="T319" i="1"/>
  <c r="W319" i="1" s="1"/>
  <c r="V318" i="1"/>
  <c r="T318" i="1"/>
  <c r="W318" i="1" s="1"/>
  <c r="V317" i="1"/>
  <c r="T317" i="1"/>
  <c r="W317" i="1" s="1"/>
  <c r="V316" i="1"/>
  <c r="T316" i="1"/>
  <c r="W316" i="1" s="1"/>
  <c r="V315" i="1"/>
  <c r="T315" i="1"/>
  <c r="W315" i="1" s="1"/>
  <c r="V314" i="1"/>
  <c r="T314" i="1"/>
  <c r="W314" i="1" s="1"/>
  <c r="V313" i="1"/>
  <c r="T313" i="1"/>
  <c r="W313" i="1" s="1"/>
  <c r="V312" i="1"/>
  <c r="T312" i="1"/>
  <c r="W312" i="1" s="1"/>
  <c r="V311" i="1"/>
  <c r="T311" i="1"/>
  <c r="W311" i="1" s="1"/>
  <c r="V310" i="1"/>
  <c r="T310" i="1"/>
  <c r="W310" i="1" s="1"/>
  <c r="V309" i="1"/>
  <c r="T309" i="1"/>
  <c r="W309" i="1" s="1"/>
  <c r="V308" i="1"/>
  <c r="T308" i="1"/>
  <c r="W308" i="1" s="1"/>
  <c r="V307" i="1"/>
  <c r="T307" i="1"/>
  <c r="W307" i="1" s="1"/>
  <c r="V306" i="1"/>
  <c r="T306" i="1"/>
  <c r="W306" i="1" s="1"/>
  <c r="V305" i="1"/>
  <c r="T305" i="1"/>
  <c r="W305" i="1" s="1"/>
  <c r="V304" i="1"/>
  <c r="T304" i="1"/>
  <c r="W304" i="1" s="1"/>
  <c r="V303" i="1"/>
  <c r="T303" i="1"/>
  <c r="W303" i="1" s="1"/>
  <c r="V302" i="1"/>
  <c r="T302" i="1"/>
  <c r="W302" i="1" s="1"/>
  <c r="V301" i="1"/>
  <c r="T301" i="1"/>
  <c r="W301" i="1" s="1"/>
  <c r="V300" i="1"/>
  <c r="T300" i="1"/>
  <c r="W300" i="1" s="1"/>
  <c r="V299" i="1"/>
  <c r="T299" i="1"/>
  <c r="W299" i="1" s="1"/>
  <c r="V298" i="1"/>
  <c r="T298" i="1"/>
  <c r="W298" i="1" s="1"/>
  <c r="V297" i="1"/>
  <c r="T297" i="1"/>
  <c r="W297" i="1" s="1"/>
  <c r="V296" i="1"/>
  <c r="T296" i="1"/>
  <c r="W296" i="1" s="1"/>
  <c r="V295" i="1"/>
  <c r="T295" i="1"/>
  <c r="W295" i="1" s="1"/>
  <c r="V294" i="1"/>
  <c r="T294" i="1"/>
  <c r="W294" i="1" s="1"/>
  <c r="V293" i="1"/>
  <c r="T293" i="1"/>
  <c r="W293" i="1" s="1"/>
  <c r="V292" i="1"/>
  <c r="T292" i="1"/>
  <c r="W292" i="1" s="1"/>
  <c r="V291" i="1"/>
  <c r="T291" i="1"/>
  <c r="W291" i="1" s="1"/>
  <c r="V290" i="1"/>
  <c r="T290" i="1"/>
  <c r="W290" i="1" s="1"/>
  <c r="V289" i="1"/>
  <c r="T289" i="1"/>
  <c r="W289" i="1" s="1"/>
  <c r="V288" i="1"/>
  <c r="T288" i="1"/>
  <c r="W288" i="1" s="1"/>
  <c r="V287" i="1"/>
  <c r="T287" i="1"/>
  <c r="W287" i="1" s="1"/>
  <c r="V286" i="1"/>
  <c r="T286" i="1"/>
  <c r="W286" i="1" s="1"/>
  <c r="V285" i="1"/>
  <c r="T285" i="1"/>
  <c r="W285" i="1" s="1"/>
  <c r="V284" i="1"/>
  <c r="T284" i="1"/>
  <c r="W284" i="1" s="1"/>
  <c r="V283" i="1"/>
  <c r="T283" i="1"/>
  <c r="W283" i="1" s="1"/>
  <c r="V282" i="1"/>
  <c r="T282" i="1"/>
  <c r="W282" i="1" s="1"/>
  <c r="V281" i="1"/>
  <c r="T281" i="1"/>
  <c r="W281" i="1" s="1"/>
  <c r="V280" i="1"/>
  <c r="T280" i="1"/>
  <c r="W280" i="1" s="1"/>
  <c r="V279" i="1"/>
  <c r="T279" i="1"/>
  <c r="W279" i="1" s="1"/>
  <c r="V278" i="1"/>
  <c r="T278" i="1"/>
  <c r="W278" i="1" s="1"/>
  <c r="V277" i="1"/>
  <c r="T277" i="1"/>
  <c r="W277" i="1" s="1"/>
  <c r="V276" i="1"/>
  <c r="T276" i="1"/>
  <c r="W276" i="1" s="1"/>
  <c r="V275" i="1"/>
  <c r="T275" i="1"/>
  <c r="W275" i="1" s="1"/>
  <c r="V274" i="1"/>
  <c r="T274" i="1"/>
  <c r="W274" i="1" s="1"/>
  <c r="V273" i="1"/>
  <c r="T273" i="1"/>
  <c r="W273" i="1" s="1"/>
  <c r="V272" i="1"/>
  <c r="T272" i="1"/>
  <c r="W272" i="1" s="1"/>
  <c r="V271" i="1"/>
  <c r="T271" i="1"/>
  <c r="W271" i="1" s="1"/>
  <c r="V270" i="1"/>
  <c r="T270" i="1"/>
  <c r="W270" i="1" s="1"/>
  <c r="V269" i="1"/>
  <c r="T269" i="1"/>
  <c r="W269" i="1" s="1"/>
  <c r="V268" i="1"/>
  <c r="T268" i="1"/>
  <c r="W268" i="1" s="1"/>
  <c r="V267" i="1"/>
  <c r="T267" i="1"/>
  <c r="W267" i="1" s="1"/>
  <c r="V266" i="1"/>
  <c r="T266" i="1"/>
  <c r="W266" i="1" s="1"/>
  <c r="V265" i="1"/>
  <c r="T265" i="1"/>
  <c r="W265" i="1" s="1"/>
  <c r="V264" i="1"/>
  <c r="T264" i="1"/>
  <c r="W264" i="1" s="1"/>
  <c r="V263" i="1"/>
  <c r="T263" i="1"/>
  <c r="W263" i="1" s="1"/>
  <c r="V262" i="1"/>
  <c r="T262" i="1"/>
  <c r="W262" i="1" s="1"/>
  <c r="V261" i="1"/>
  <c r="T261" i="1"/>
  <c r="W261" i="1" s="1"/>
  <c r="V260" i="1"/>
  <c r="T260" i="1"/>
  <c r="W260" i="1" s="1"/>
  <c r="V259" i="1"/>
  <c r="T259" i="1"/>
  <c r="W259" i="1" s="1"/>
  <c r="V258" i="1"/>
  <c r="T258" i="1"/>
  <c r="W258" i="1" s="1"/>
  <c r="V257" i="1"/>
  <c r="T257" i="1"/>
  <c r="W257" i="1" s="1"/>
  <c r="V256" i="1"/>
  <c r="T256" i="1"/>
  <c r="W256" i="1" s="1"/>
  <c r="V255" i="1"/>
  <c r="T255" i="1"/>
  <c r="W255" i="1" s="1"/>
  <c r="V254" i="1"/>
  <c r="T254" i="1"/>
  <c r="W254" i="1" s="1"/>
  <c r="V253" i="1"/>
  <c r="T253" i="1"/>
  <c r="W253" i="1" s="1"/>
  <c r="V252" i="1"/>
  <c r="T252" i="1"/>
  <c r="W252" i="1" s="1"/>
  <c r="V251" i="1"/>
  <c r="T251" i="1"/>
  <c r="W251" i="1" s="1"/>
  <c r="V250" i="1"/>
  <c r="T250" i="1"/>
  <c r="W250" i="1" s="1"/>
  <c r="V249" i="1"/>
  <c r="T249" i="1"/>
  <c r="W249" i="1" s="1"/>
  <c r="V248" i="1"/>
  <c r="T248" i="1"/>
  <c r="W248" i="1" s="1"/>
  <c r="V247" i="1"/>
  <c r="T247" i="1"/>
  <c r="W247" i="1" s="1"/>
  <c r="V246" i="1"/>
  <c r="T246" i="1"/>
  <c r="W246" i="1" s="1"/>
  <c r="V245" i="1"/>
  <c r="T245" i="1"/>
  <c r="W245" i="1" s="1"/>
  <c r="V244" i="1"/>
  <c r="T244" i="1"/>
  <c r="W244" i="1" s="1"/>
  <c r="V243" i="1"/>
  <c r="T243" i="1"/>
  <c r="W243" i="1" s="1"/>
  <c r="V242" i="1"/>
  <c r="T242" i="1"/>
  <c r="W242" i="1" s="1"/>
  <c r="V241" i="1"/>
  <c r="T241" i="1"/>
  <c r="W241" i="1" s="1"/>
  <c r="V240" i="1"/>
  <c r="T240" i="1"/>
  <c r="W240" i="1" s="1"/>
  <c r="V239" i="1"/>
  <c r="T239" i="1"/>
  <c r="W239" i="1" s="1"/>
  <c r="V238" i="1"/>
  <c r="T238" i="1"/>
  <c r="W238" i="1" s="1"/>
  <c r="V237" i="1"/>
  <c r="T237" i="1"/>
  <c r="W237" i="1" s="1"/>
  <c r="V236" i="1"/>
  <c r="T236" i="1"/>
  <c r="W236" i="1" s="1"/>
  <c r="V235" i="1"/>
  <c r="T235" i="1"/>
  <c r="W235" i="1" s="1"/>
  <c r="V234" i="1"/>
  <c r="T234" i="1"/>
  <c r="W234" i="1" s="1"/>
  <c r="V233" i="1"/>
  <c r="T233" i="1"/>
  <c r="W233" i="1" s="1"/>
  <c r="V232" i="1"/>
  <c r="T232" i="1"/>
  <c r="W232" i="1" s="1"/>
  <c r="V231" i="1"/>
  <c r="T231" i="1"/>
  <c r="W231" i="1" s="1"/>
  <c r="V230" i="1"/>
  <c r="T230" i="1"/>
  <c r="W230" i="1" s="1"/>
  <c r="V229" i="1"/>
  <c r="T229" i="1"/>
  <c r="W229" i="1" s="1"/>
  <c r="V228" i="1"/>
  <c r="T228" i="1"/>
  <c r="W228" i="1" s="1"/>
  <c r="V227" i="1"/>
  <c r="T227" i="1"/>
  <c r="W227" i="1" s="1"/>
  <c r="V226" i="1"/>
  <c r="T226" i="1"/>
  <c r="W226" i="1" s="1"/>
  <c r="V225" i="1"/>
  <c r="T225" i="1"/>
  <c r="W225" i="1" s="1"/>
  <c r="V224" i="1"/>
  <c r="T224" i="1"/>
  <c r="W224" i="1" s="1"/>
  <c r="V223" i="1"/>
  <c r="T223" i="1"/>
  <c r="W223" i="1" s="1"/>
  <c r="V222" i="1"/>
  <c r="T222" i="1"/>
  <c r="W222" i="1" s="1"/>
  <c r="V221" i="1"/>
  <c r="T221" i="1"/>
  <c r="W221" i="1" s="1"/>
  <c r="V220" i="1"/>
  <c r="T220" i="1"/>
  <c r="W220" i="1" s="1"/>
  <c r="V219" i="1"/>
  <c r="T219" i="1"/>
  <c r="W219" i="1" s="1"/>
  <c r="V218" i="1"/>
  <c r="T218" i="1"/>
  <c r="W218" i="1" s="1"/>
  <c r="V217" i="1"/>
  <c r="T217" i="1"/>
  <c r="W217" i="1" s="1"/>
  <c r="V216" i="1"/>
  <c r="T216" i="1"/>
  <c r="W216" i="1" s="1"/>
  <c r="V215" i="1"/>
  <c r="T215" i="1"/>
  <c r="W215" i="1" s="1"/>
  <c r="V214" i="1"/>
  <c r="T214" i="1"/>
  <c r="W214" i="1" s="1"/>
  <c r="V213" i="1"/>
  <c r="T213" i="1"/>
  <c r="W213" i="1" s="1"/>
  <c r="V212" i="1"/>
  <c r="T212" i="1"/>
  <c r="W212" i="1" s="1"/>
  <c r="V211" i="1"/>
  <c r="T211" i="1"/>
  <c r="W211" i="1" s="1"/>
  <c r="V210" i="1"/>
  <c r="T210" i="1"/>
  <c r="W210" i="1" s="1"/>
  <c r="V209" i="1"/>
  <c r="T209" i="1"/>
  <c r="W209" i="1" s="1"/>
  <c r="V208" i="1"/>
  <c r="T208" i="1"/>
  <c r="W208" i="1" s="1"/>
  <c r="V207" i="1"/>
  <c r="T207" i="1"/>
  <c r="W207" i="1" s="1"/>
  <c r="V206" i="1"/>
  <c r="T206" i="1"/>
  <c r="W206" i="1" s="1"/>
  <c r="V205" i="1"/>
  <c r="T205" i="1"/>
  <c r="W205" i="1" s="1"/>
  <c r="V204" i="1"/>
  <c r="T204" i="1"/>
  <c r="W204" i="1" s="1"/>
  <c r="V203" i="1"/>
  <c r="T203" i="1"/>
  <c r="W203" i="1" s="1"/>
  <c r="V202" i="1"/>
  <c r="T202" i="1"/>
  <c r="W202" i="1" s="1"/>
  <c r="V201" i="1"/>
  <c r="T201" i="1"/>
  <c r="W201" i="1" s="1"/>
  <c r="V200" i="1"/>
  <c r="T200" i="1"/>
  <c r="W200" i="1" s="1"/>
  <c r="V199" i="1"/>
  <c r="T199" i="1"/>
  <c r="W199" i="1" s="1"/>
  <c r="V198" i="1"/>
  <c r="T198" i="1"/>
  <c r="W198" i="1" s="1"/>
  <c r="V197" i="1"/>
  <c r="T197" i="1"/>
  <c r="W197" i="1" s="1"/>
  <c r="V196" i="1"/>
  <c r="T196" i="1"/>
  <c r="W196" i="1" s="1"/>
  <c r="V195" i="1"/>
  <c r="T195" i="1"/>
  <c r="W195" i="1" s="1"/>
  <c r="V194" i="1"/>
  <c r="T194" i="1"/>
  <c r="W194" i="1" s="1"/>
  <c r="V193" i="1"/>
  <c r="T193" i="1"/>
  <c r="W193" i="1" s="1"/>
  <c r="V192" i="1"/>
  <c r="T192" i="1"/>
  <c r="W192" i="1" s="1"/>
  <c r="V191" i="1"/>
  <c r="T191" i="1"/>
  <c r="W191" i="1" s="1"/>
  <c r="V190" i="1"/>
  <c r="T190" i="1"/>
  <c r="W190" i="1" s="1"/>
  <c r="V189" i="1"/>
  <c r="T189" i="1"/>
  <c r="W189" i="1" s="1"/>
  <c r="V188" i="1"/>
  <c r="T188" i="1"/>
  <c r="W188" i="1" s="1"/>
  <c r="V187" i="1"/>
  <c r="T187" i="1"/>
  <c r="W187" i="1" s="1"/>
  <c r="V186" i="1"/>
  <c r="T186" i="1"/>
  <c r="W186" i="1" s="1"/>
  <c r="V185" i="1"/>
  <c r="T185" i="1"/>
  <c r="W185" i="1" s="1"/>
  <c r="V184" i="1"/>
  <c r="T184" i="1"/>
  <c r="W184" i="1" s="1"/>
  <c r="V183" i="1"/>
  <c r="T183" i="1"/>
  <c r="W183" i="1" s="1"/>
  <c r="V182" i="1"/>
  <c r="T182" i="1"/>
  <c r="W182" i="1" s="1"/>
  <c r="V181" i="1"/>
  <c r="T181" i="1"/>
  <c r="W181" i="1" s="1"/>
  <c r="V180" i="1"/>
  <c r="T180" i="1"/>
  <c r="W180" i="1" s="1"/>
  <c r="V179" i="1"/>
  <c r="T179" i="1"/>
  <c r="W179" i="1" s="1"/>
  <c r="V178" i="1"/>
  <c r="T178" i="1"/>
  <c r="W178" i="1" s="1"/>
  <c r="V177" i="1"/>
  <c r="T177" i="1"/>
  <c r="W177" i="1" s="1"/>
  <c r="V176" i="1"/>
  <c r="T176" i="1"/>
  <c r="W176" i="1" s="1"/>
  <c r="V175" i="1"/>
  <c r="T175" i="1"/>
  <c r="W175" i="1" s="1"/>
  <c r="V174" i="1"/>
  <c r="T174" i="1"/>
  <c r="W174" i="1" s="1"/>
  <c r="V173" i="1"/>
  <c r="T173" i="1"/>
  <c r="W173" i="1" s="1"/>
  <c r="V172" i="1"/>
  <c r="T172" i="1"/>
  <c r="W172" i="1" s="1"/>
  <c r="V171" i="1"/>
  <c r="T171" i="1"/>
  <c r="W171" i="1" s="1"/>
  <c r="V170" i="1"/>
  <c r="T170" i="1"/>
  <c r="W170" i="1" s="1"/>
  <c r="V169" i="1"/>
  <c r="T169" i="1"/>
  <c r="W169" i="1" s="1"/>
  <c r="V168" i="1"/>
  <c r="T168" i="1"/>
  <c r="W168" i="1" s="1"/>
  <c r="V167" i="1"/>
  <c r="T167" i="1"/>
  <c r="W167" i="1" s="1"/>
  <c r="V166" i="1"/>
  <c r="T166" i="1"/>
  <c r="W166" i="1" s="1"/>
  <c r="V165" i="1"/>
  <c r="T165" i="1"/>
  <c r="W165" i="1" s="1"/>
  <c r="V164" i="1"/>
  <c r="T164" i="1"/>
  <c r="W164" i="1" s="1"/>
  <c r="V163" i="1"/>
  <c r="T163" i="1"/>
  <c r="W163" i="1" s="1"/>
  <c r="V162" i="1"/>
  <c r="T162" i="1"/>
  <c r="W162" i="1" s="1"/>
  <c r="V161" i="1"/>
  <c r="T161" i="1"/>
  <c r="W161" i="1" s="1"/>
  <c r="V160" i="1"/>
  <c r="T160" i="1"/>
  <c r="W160" i="1" s="1"/>
  <c r="V159" i="1"/>
  <c r="T159" i="1"/>
  <c r="W159" i="1" s="1"/>
  <c r="V158" i="1"/>
  <c r="T158" i="1"/>
  <c r="W158" i="1" s="1"/>
  <c r="V157" i="1"/>
  <c r="T157" i="1"/>
  <c r="W157" i="1" s="1"/>
  <c r="V156" i="1"/>
  <c r="T156" i="1"/>
  <c r="W156" i="1" s="1"/>
  <c r="V155" i="1"/>
  <c r="T155" i="1"/>
  <c r="W155" i="1" s="1"/>
  <c r="V154" i="1"/>
  <c r="T154" i="1"/>
  <c r="W154" i="1" s="1"/>
  <c r="V153" i="1"/>
  <c r="T153" i="1"/>
  <c r="W153" i="1" s="1"/>
  <c r="V152" i="1"/>
  <c r="T152" i="1"/>
  <c r="W152" i="1" s="1"/>
  <c r="V151" i="1"/>
  <c r="T151" i="1"/>
  <c r="W151" i="1" s="1"/>
  <c r="V150" i="1"/>
  <c r="T150" i="1"/>
  <c r="W150" i="1" s="1"/>
  <c r="V149" i="1"/>
  <c r="T149" i="1"/>
  <c r="W149" i="1" s="1"/>
  <c r="V148" i="1"/>
  <c r="T148" i="1"/>
  <c r="W148" i="1" s="1"/>
  <c r="V147" i="1"/>
  <c r="T147" i="1"/>
  <c r="W147" i="1" s="1"/>
  <c r="V146" i="1"/>
  <c r="T146" i="1"/>
  <c r="W146" i="1" s="1"/>
  <c r="V145" i="1"/>
  <c r="T145" i="1"/>
  <c r="W145" i="1" s="1"/>
  <c r="V144" i="1"/>
  <c r="T144" i="1"/>
  <c r="W144" i="1" s="1"/>
  <c r="V143" i="1"/>
  <c r="T143" i="1"/>
  <c r="W143" i="1" s="1"/>
  <c r="V142" i="1"/>
  <c r="T142" i="1"/>
  <c r="W142" i="1" s="1"/>
  <c r="V141" i="1"/>
  <c r="T141" i="1"/>
  <c r="W141" i="1" s="1"/>
  <c r="V140" i="1"/>
  <c r="T140" i="1"/>
  <c r="W140" i="1" s="1"/>
  <c r="V139" i="1"/>
  <c r="T139" i="1"/>
  <c r="W139" i="1" s="1"/>
  <c r="V138" i="1"/>
  <c r="T138" i="1"/>
  <c r="W138" i="1" s="1"/>
  <c r="V137" i="1"/>
  <c r="T137" i="1"/>
  <c r="W137" i="1" s="1"/>
  <c r="V136" i="1"/>
  <c r="T136" i="1"/>
  <c r="W136" i="1" s="1"/>
  <c r="V135" i="1"/>
  <c r="T135" i="1"/>
  <c r="W135" i="1" s="1"/>
  <c r="V134" i="1"/>
  <c r="T134" i="1"/>
  <c r="W134" i="1" s="1"/>
  <c r="V133" i="1"/>
  <c r="T133" i="1"/>
  <c r="W133" i="1" s="1"/>
  <c r="V132" i="1"/>
  <c r="T132" i="1"/>
  <c r="W132" i="1" s="1"/>
  <c r="V131" i="1"/>
  <c r="T131" i="1"/>
  <c r="W131" i="1" s="1"/>
  <c r="V130" i="1"/>
  <c r="T130" i="1"/>
  <c r="W130" i="1" s="1"/>
  <c r="V129" i="1"/>
  <c r="T129" i="1"/>
  <c r="W129" i="1" s="1"/>
  <c r="V128" i="1"/>
  <c r="T128" i="1"/>
  <c r="W128" i="1" s="1"/>
  <c r="V127" i="1"/>
  <c r="T127" i="1"/>
  <c r="W127" i="1" s="1"/>
  <c r="V126" i="1"/>
  <c r="T126" i="1"/>
  <c r="W126" i="1" s="1"/>
  <c r="V125" i="1"/>
  <c r="T125" i="1"/>
  <c r="W125" i="1" s="1"/>
  <c r="V124" i="1"/>
  <c r="T124" i="1"/>
  <c r="W124" i="1" s="1"/>
  <c r="V123" i="1"/>
  <c r="T123" i="1"/>
  <c r="W123" i="1" s="1"/>
  <c r="V122" i="1"/>
  <c r="T122" i="1"/>
  <c r="W122" i="1" s="1"/>
  <c r="V121" i="1"/>
  <c r="T121" i="1"/>
  <c r="W121" i="1" s="1"/>
  <c r="V120" i="1"/>
  <c r="T120" i="1"/>
  <c r="W120" i="1" s="1"/>
  <c r="V119" i="1"/>
  <c r="T119" i="1"/>
  <c r="W119" i="1" s="1"/>
  <c r="V118" i="1"/>
  <c r="T118" i="1"/>
  <c r="W118" i="1" s="1"/>
  <c r="V117" i="1"/>
  <c r="T117" i="1"/>
  <c r="W117" i="1" s="1"/>
  <c r="V116" i="1"/>
  <c r="T116" i="1"/>
  <c r="W116" i="1" s="1"/>
  <c r="V115" i="1"/>
  <c r="T115" i="1"/>
  <c r="W115" i="1" s="1"/>
  <c r="V114" i="1"/>
  <c r="T114" i="1"/>
  <c r="W114" i="1" s="1"/>
  <c r="V113" i="1"/>
  <c r="T113" i="1"/>
  <c r="W113" i="1" s="1"/>
  <c r="V112" i="1"/>
  <c r="T112" i="1"/>
  <c r="W112" i="1" s="1"/>
  <c r="V111" i="1"/>
  <c r="T111" i="1"/>
  <c r="W111" i="1" s="1"/>
  <c r="V110" i="1"/>
  <c r="T110" i="1"/>
  <c r="W110" i="1" s="1"/>
  <c r="V109" i="1"/>
  <c r="T109" i="1"/>
  <c r="W109" i="1" s="1"/>
  <c r="V108" i="1"/>
  <c r="T108" i="1"/>
  <c r="W108" i="1" s="1"/>
  <c r="V107" i="1"/>
  <c r="T107" i="1"/>
  <c r="W107" i="1" s="1"/>
  <c r="V106" i="1"/>
  <c r="T106" i="1"/>
  <c r="W106" i="1" s="1"/>
  <c r="V105" i="1"/>
  <c r="T105" i="1"/>
  <c r="W105" i="1" s="1"/>
  <c r="V104" i="1"/>
  <c r="T104" i="1"/>
  <c r="W104" i="1" s="1"/>
  <c r="V103" i="1"/>
  <c r="T103" i="1"/>
  <c r="W103" i="1" s="1"/>
  <c r="V102" i="1"/>
  <c r="T102" i="1"/>
  <c r="W102" i="1" s="1"/>
  <c r="V101" i="1"/>
  <c r="T101" i="1"/>
  <c r="W101" i="1" s="1"/>
  <c r="V100" i="1"/>
  <c r="T100" i="1"/>
  <c r="W100" i="1" s="1"/>
  <c r="V99" i="1"/>
  <c r="T99" i="1"/>
  <c r="W99" i="1" s="1"/>
  <c r="V98" i="1"/>
  <c r="T98" i="1"/>
  <c r="W98" i="1" s="1"/>
  <c r="V97" i="1"/>
  <c r="T97" i="1"/>
  <c r="W97" i="1" s="1"/>
  <c r="V96" i="1"/>
  <c r="T96" i="1"/>
  <c r="W96" i="1" s="1"/>
  <c r="V95" i="1"/>
  <c r="T95" i="1"/>
  <c r="W95" i="1" s="1"/>
  <c r="V94" i="1"/>
  <c r="T94" i="1"/>
  <c r="W94" i="1" s="1"/>
  <c r="V93" i="1"/>
  <c r="T93" i="1"/>
  <c r="W93" i="1" s="1"/>
  <c r="V92" i="1"/>
  <c r="T92" i="1"/>
  <c r="W92" i="1" s="1"/>
  <c r="V91" i="1"/>
  <c r="T91" i="1"/>
  <c r="W91" i="1" s="1"/>
  <c r="V90" i="1"/>
  <c r="T90" i="1"/>
  <c r="W90" i="1" s="1"/>
  <c r="V89" i="1"/>
  <c r="T89" i="1"/>
  <c r="W89" i="1" s="1"/>
  <c r="V88" i="1"/>
  <c r="T88" i="1"/>
  <c r="W88" i="1" s="1"/>
  <c r="V87" i="1"/>
  <c r="T87" i="1"/>
  <c r="W87" i="1" s="1"/>
  <c r="V86" i="1"/>
  <c r="T86" i="1"/>
  <c r="W86" i="1" s="1"/>
  <c r="V85" i="1"/>
  <c r="T85" i="1"/>
  <c r="W85" i="1" s="1"/>
  <c r="V84" i="1"/>
  <c r="T84" i="1"/>
  <c r="W84" i="1" s="1"/>
  <c r="V83" i="1"/>
  <c r="T83" i="1"/>
  <c r="W83" i="1" s="1"/>
  <c r="V82" i="1"/>
  <c r="T82" i="1"/>
  <c r="W82" i="1" s="1"/>
  <c r="V81" i="1"/>
  <c r="T81" i="1"/>
  <c r="W81" i="1" s="1"/>
  <c r="V80" i="1"/>
  <c r="T80" i="1"/>
  <c r="W80" i="1" s="1"/>
  <c r="V79" i="1"/>
  <c r="T79" i="1"/>
  <c r="W79" i="1" s="1"/>
  <c r="V78" i="1"/>
  <c r="T78" i="1"/>
  <c r="W78" i="1" s="1"/>
  <c r="V77" i="1"/>
  <c r="T77" i="1"/>
  <c r="W77" i="1" s="1"/>
  <c r="V76" i="1"/>
  <c r="T76" i="1"/>
  <c r="W76" i="1" s="1"/>
  <c r="V75" i="1"/>
  <c r="T75" i="1"/>
  <c r="W75" i="1" s="1"/>
  <c r="V74" i="1"/>
  <c r="T74" i="1"/>
  <c r="W74" i="1" s="1"/>
  <c r="V73" i="1"/>
  <c r="T73" i="1"/>
  <c r="W73" i="1" s="1"/>
  <c r="V72" i="1"/>
  <c r="T72" i="1"/>
  <c r="W72" i="1" s="1"/>
  <c r="V71" i="1"/>
  <c r="T71" i="1"/>
  <c r="W71" i="1" s="1"/>
  <c r="V70" i="1"/>
  <c r="T70" i="1"/>
  <c r="W70" i="1" s="1"/>
  <c r="V69" i="1"/>
  <c r="T69" i="1"/>
  <c r="W69" i="1" s="1"/>
  <c r="V68" i="1"/>
  <c r="T68" i="1"/>
  <c r="W68" i="1" s="1"/>
  <c r="V67" i="1"/>
  <c r="T67" i="1"/>
  <c r="W67" i="1" s="1"/>
  <c r="V66" i="1"/>
  <c r="T66" i="1"/>
  <c r="W66" i="1" s="1"/>
  <c r="V65" i="1"/>
  <c r="T65" i="1"/>
  <c r="W65" i="1" s="1"/>
  <c r="V64" i="1"/>
  <c r="T64" i="1"/>
  <c r="W64" i="1" s="1"/>
  <c r="V63" i="1"/>
  <c r="T63" i="1"/>
  <c r="W63" i="1" s="1"/>
  <c r="V62" i="1"/>
  <c r="T62" i="1"/>
  <c r="W62" i="1" s="1"/>
  <c r="V61" i="1"/>
  <c r="T61" i="1"/>
  <c r="W61" i="1" s="1"/>
  <c r="V60" i="1"/>
  <c r="T60" i="1"/>
  <c r="W60" i="1" s="1"/>
  <c r="V59" i="1"/>
  <c r="T59" i="1"/>
  <c r="W59" i="1" s="1"/>
  <c r="V58" i="1"/>
  <c r="T58" i="1"/>
  <c r="W58" i="1" s="1"/>
  <c r="V57" i="1"/>
  <c r="T57" i="1"/>
  <c r="W57" i="1" s="1"/>
  <c r="V56" i="1"/>
  <c r="T56" i="1"/>
  <c r="W56" i="1" s="1"/>
  <c r="V55" i="1"/>
  <c r="T55" i="1"/>
  <c r="W55" i="1" s="1"/>
  <c r="V54" i="1"/>
  <c r="T54" i="1"/>
  <c r="W54" i="1" s="1"/>
  <c r="V53" i="1"/>
  <c r="T53" i="1"/>
  <c r="W53" i="1" s="1"/>
  <c r="V52" i="1"/>
  <c r="T52" i="1"/>
  <c r="W52" i="1" s="1"/>
  <c r="V51" i="1"/>
  <c r="T51" i="1"/>
  <c r="W51" i="1" s="1"/>
  <c r="V50" i="1"/>
  <c r="T50" i="1"/>
  <c r="W50" i="1" s="1"/>
  <c r="V49" i="1"/>
  <c r="T49" i="1"/>
  <c r="W49" i="1" s="1"/>
  <c r="V48" i="1"/>
  <c r="T48" i="1"/>
  <c r="W48" i="1" s="1"/>
  <c r="V47" i="1"/>
  <c r="T47" i="1"/>
  <c r="W47" i="1" s="1"/>
  <c r="V46" i="1"/>
  <c r="T46" i="1"/>
  <c r="W46" i="1" s="1"/>
  <c r="V45" i="1"/>
  <c r="T45" i="1"/>
  <c r="W45" i="1" s="1"/>
  <c r="V44" i="1"/>
  <c r="T44" i="1"/>
  <c r="W44" i="1" s="1"/>
  <c r="V43" i="1"/>
  <c r="T43" i="1"/>
  <c r="W43" i="1" s="1"/>
  <c r="V42" i="1"/>
  <c r="T42" i="1"/>
  <c r="W42" i="1" s="1"/>
  <c r="V41" i="1"/>
  <c r="T41" i="1"/>
  <c r="W41" i="1" s="1"/>
  <c r="V40" i="1"/>
  <c r="T40" i="1"/>
  <c r="W40" i="1" s="1"/>
  <c r="V39" i="1"/>
  <c r="T39" i="1"/>
  <c r="W39" i="1" s="1"/>
  <c r="V38" i="1"/>
  <c r="T38" i="1"/>
  <c r="W38" i="1" s="1"/>
  <c r="V37" i="1"/>
  <c r="T37" i="1"/>
  <c r="W37" i="1" s="1"/>
  <c r="V36" i="1"/>
  <c r="T36" i="1"/>
  <c r="W36" i="1" s="1"/>
  <c r="V35" i="1"/>
  <c r="T35" i="1"/>
  <c r="W35" i="1" s="1"/>
  <c r="V34" i="1"/>
  <c r="T34" i="1"/>
  <c r="W34" i="1" s="1"/>
  <c r="V33" i="1"/>
  <c r="T33" i="1"/>
  <c r="W33" i="1" s="1"/>
  <c r="V32" i="1"/>
  <c r="T32" i="1"/>
  <c r="W32" i="1" s="1"/>
  <c r="V31" i="1"/>
  <c r="T31" i="1"/>
  <c r="W31" i="1" s="1"/>
  <c r="V30" i="1"/>
  <c r="T30" i="1"/>
  <c r="W30" i="1" s="1"/>
  <c r="V29" i="1"/>
  <c r="T29" i="1"/>
  <c r="W29" i="1" s="1"/>
  <c r="V28" i="1"/>
  <c r="T28" i="1"/>
  <c r="W28" i="1" s="1"/>
  <c r="V27" i="1"/>
  <c r="T27" i="1"/>
  <c r="W27" i="1" s="1"/>
  <c r="V26" i="1"/>
  <c r="T26" i="1"/>
  <c r="W26" i="1" s="1"/>
  <c r="V25" i="1"/>
  <c r="T25" i="1"/>
  <c r="W25" i="1" s="1"/>
  <c r="V24" i="1"/>
  <c r="T24" i="1"/>
  <c r="W24" i="1" s="1"/>
  <c r="V23" i="1"/>
  <c r="T23" i="1"/>
  <c r="W23" i="1" s="1"/>
  <c r="V22" i="1"/>
  <c r="T22" i="1"/>
  <c r="W22" i="1" s="1"/>
  <c r="V21" i="1"/>
  <c r="T21" i="1"/>
  <c r="W21" i="1" s="1"/>
  <c r="V20" i="1"/>
  <c r="T20" i="1"/>
  <c r="W20" i="1" s="1"/>
  <c r="V19" i="1"/>
  <c r="T19" i="1"/>
  <c r="W19" i="1" s="1"/>
  <c r="V18" i="1"/>
  <c r="T18" i="1"/>
  <c r="W18" i="1" s="1"/>
  <c r="V17" i="1"/>
  <c r="T17" i="1"/>
  <c r="W17" i="1" s="1"/>
  <c r="V16" i="1"/>
  <c r="T16" i="1"/>
  <c r="W16" i="1" s="1"/>
  <c r="V15" i="1"/>
  <c r="T15" i="1"/>
  <c r="W15" i="1" s="1"/>
  <c r="V14" i="1"/>
  <c r="T14" i="1"/>
  <c r="W14" i="1" s="1"/>
  <c r="V13" i="1"/>
  <c r="T13" i="1"/>
  <c r="W13" i="1" s="1"/>
  <c r="V12" i="1"/>
  <c r="T12" i="1"/>
  <c r="W12" i="1" s="1"/>
  <c r="V11" i="1"/>
  <c r="T11" i="1"/>
  <c r="W11" i="1" s="1"/>
  <c r="V10" i="1"/>
  <c r="T10" i="1"/>
  <c r="W10" i="1" s="1"/>
  <c r="V9" i="1"/>
  <c r="T9" i="1"/>
  <c r="W9" i="1" s="1"/>
  <c r="V8" i="1"/>
  <c r="T8" i="1"/>
  <c r="W8" i="1" s="1"/>
  <c r="V7" i="1"/>
  <c r="T7" i="1"/>
  <c r="W7" i="1" s="1"/>
  <c r="V6" i="1"/>
  <c r="T6" i="1"/>
  <c r="W6" i="1" s="1"/>
  <c r="V5" i="1"/>
  <c r="T5" i="1"/>
  <c r="W5" i="1" s="1"/>
  <c r="V4" i="1"/>
  <c r="T4" i="1"/>
  <c r="W4" i="1" s="1"/>
  <c r="V3" i="1"/>
  <c r="T3" i="1"/>
  <c r="W3" i="1" s="1"/>
  <c r="T2" i="1"/>
  <c r="W2" i="1" s="1"/>
  <c r="X10" i="1" l="1"/>
  <c r="X9" i="1"/>
  <c r="X2" i="1"/>
</calcChain>
</file>

<file path=xl/sharedStrings.xml><?xml version="1.0" encoding="utf-8"?>
<sst xmlns="http://schemas.openxmlformats.org/spreadsheetml/2006/main" count="22662" uniqueCount="4006">
  <si>
    <t>Order_ID</t>
  </si>
  <si>
    <t>Order_Date</t>
  </si>
  <si>
    <t>Ship_Date</t>
  </si>
  <si>
    <t>Region</t>
  </si>
  <si>
    <t>Country</t>
  </si>
  <si>
    <t>State</t>
  </si>
  <si>
    <t>City</t>
  </si>
  <si>
    <t>Customer_ID</t>
  </si>
  <si>
    <t>Customer_Segment</t>
  </si>
  <si>
    <t>Product_Category</t>
  </si>
  <si>
    <t>Sub_Category</t>
  </si>
  <si>
    <t>Product_Name</t>
  </si>
  <si>
    <t>Sales_Rep</t>
  </si>
  <si>
    <t>Sales_Channel</t>
  </si>
  <si>
    <t>Payment_Mode</t>
  </si>
  <si>
    <t>Order_Priority</t>
  </si>
  <si>
    <t>Quantity</t>
  </si>
  <si>
    <t>Unit_Price</t>
  </si>
  <si>
    <t>Discount_Percent</t>
  </si>
  <si>
    <t>Profit</t>
  </si>
  <si>
    <t>ORD00001</t>
  </si>
  <si>
    <t>2023-03-10</t>
  </si>
  <si>
    <t>2023-03-18</t>
  </si>
  <si>
    <t>North</t>
  </si>
  <si>
    <t>India</t>
  </si>
  <si>
    <t>Gujarat</t>
  </si>
  <si>
    <t>Delhi</t>
  </si>
  <si>
    <t>CUST4440</t>
  </si>
  <si>
    <t>Consumer</t>
  </si>
  <si>
    <t>Office Supplies</t>
  </si>
  <si>
    <t>Laptop</t>
  </si>
  <si>
    <t>Product_71</t>
  </si>
  <si>
    <t>Priya</t>
  </si>
  <si>
    <t>Online</t>
  </si>
  <si>
    <t>UPI</t>
  </si>
  <si>
    <t>Critical</t>
  </si>
  <si>
    <t>ORD00002</t>
  </si>
  <si>
    <t>2024-03-05</t>
  </si>
  <si>
    <t>2024-03-11</t>
  </si>
  <si>
    <t>East</t>
  </si>
  <si>
    <t>Tamil Nadu</t>
  </si>
  <si>
    <t>Ahmedabad</t>
  </si>
  <si>
    <t>CUST8089</t>
  </si>
  <si>
    <t>Corporate</t>
  </si>
  <si>
    <t>Mobile</t>
  </si>
  <si>
    <t>Product_81</t>
  </si>
  <si>
    <t>Debit Card</t>
  </si>
  <si>
    <t>Low</t>
  </si>
  <si>
    <t>ORD00003</t>
  </si>
  <si>
    <t>2022-01-17</t>
  </si>
  <si>
    <t>2022-01-18</t>
  </si>
  <si>
    <t>CUST1835</t>
  </si>
  <si>
    <t>Product_67</t>
  </si>
  <si>
    <t>Neha</t>
  </si>
  <si>
    <t>Offline</t>
  </si>
  <si>
    <t>ORD00004</t>
  </si>
  <si>
    <t>2023-01-26</t>
  </si>
  <si>
    <t>2023-01-29</t>
  </si>
  <si>
    <t>Maharashtra</t>
  </si>
  <si>
    <t>Chennai</t>
  </si>
  <si>
    <t>CUST2941</t>
  </si>
  <si>
    <t>Home Office</t>
  </si>
  <si>
    <t>Furniture</t>
  </si>
  <si>
    <t>Printer</t>
  </si>
  <si>
    <t>Product_104</t>
  </si>
  <si>
    <t>Rahul</t>
  </si>
  <si>
    <t>Credit Card</t>
  </si>
  <si>
    <t>ORD00005</t>
  </si>
  <si>
    <t>2022-03-22</t>
  </si>
  <si>
    <t>2022-03-29</t>
  </si>
  <si>
    <t>Karnataka</t>
  </si>
  <si>
    <t>CUST2592</t>
  </si>
  <si>
    <t>Product_174</t>
  </si>
  <si>
    <t>Sneha</t>
  </si>
  <si>
    <t>Medium</t>
  </si>
  <si>
    <t>ORD00006</t>
  </si>
  <si>
    <t>2023-06-30</t>
  </si>
  <si>
    <t>2023-07-04</t>
  </si>
  <si>
    <t>CUST6138</t>
  </si>
  <si>
    <t>Electronics</t>
  </si>
  <si>
    <t>Product_26</t>
  </si>
  <si>
    <t>Amit</t>
  </si>
  <si>
    <t>Net Banking</t>
  </si>
  <si>
    <t>ORD00007</t>
  </si>
  <si>
    <t>2024-06-11</t>
  </si>
  <si>
    <t>CUST5599</t>
  </si>
  <si>
    <t>Table</t>
  </si>
  <si>
    <t>Product_45</t>
  </si>
  <si>
    <t>High</t>
  </si>
  <si>
    <t>ORD00008</t>
  </si>
  <si>
    <t>2023-01-23</t>
  </si>
  <si>
    <t>2023-02-02</t>
  </si>
  <si>
    <t>Mumbai</t>
  </si>
  <si>
    <t>CUST8187</t>
  </si>
  <si>
    <t>Product_41</t>
  </si>
  <si>
    <t>Karan</t>
  </si>
  <si>
    <t>ORD00009</t>
  </si>
  <si>
    <t>2023-11-04</t>
  </si>
  <si>
    <t>South</t>
  </si>
  <si>
    <t>Bangalore</t>
  </si>
  <si>
    <t>CUST7814</t>
  </si>
  <si>
    <t>Storage</t>
  </si>
  <si>
    <t>Product_191</t>
  </si>
  <si>
    <t>ORD00010</t>
  </si>
  <si>
    <t>2024-05-20</t>
  </si>
  <si>
    <t>CUST7670</t>
  </si>
  <si>
    <t>ORD00011</t>
  </si>
  <si>
    <t>2022-05-28</t>
  </si>
  <si>
    <t>2022-06-04</t>
  </si>
  <si>
    <t>CUST6915</t>
  </si>
  <si>
    <t>Product_121</t>
  </si>
  <si>
    <t>ORD00012</t>
  </si>
  <si>
    <t>2023-02-19</t>
  </si>
  <si>
    <t>CUST8342</t>
  </si>
  <si>
    <t>Product_21</t>
  </si>
  <si>
    <t>ORD00013</t>
  </si>
  <si>
    <t>2022-05-15</t>
  </si>
  <si>
    <t>2022-05-22</t>
  </si>
  <si>
    <t>CUST1354</t>
  </si>
  <si>
    <t>Product_38</t>
  </si>
  <si>
    <t>Cash</t>
  </si>
  <si>
    <t>ORD00014</t>
  </si>
  <si>
    <t>2022-02-12</t>
  </si>
  <si>
    <t>2022-02-22</t>
  </si>
  <si>
    <t>West</t>
  </si>
  <si>
    <t>CUST3362</t>
  </si>
  <si>
    <t>Product_189</t>
  </si>
  <si>
    <t>ORD00015</t>
  </si>
  <si>
    <t>2022-03-12</t>
  </si>
  <si>
    <t>2022-03-21</t>
  </si>
  <si>
    <t>CUST4065</t>
  </si>
  <si>
    <t>Product_171</t>
  </si>
  <si>
    <t>ORD00016</t>
  </si>
  <si>
    <t>2022-01-05</t>
  </si>
  <si>
    <t>CUST2455</t>
  </si>
  <si>
    <t>Product_162</t>
  </si>
  <si>
    <t>ORD00017</t>
  </si>
  <si>
    <t>2022-03-08</t>
  </si>
  <si>
    <t>CUST4464</t>
  </si>
  <si>
    <t>Product_53</t>
  </si>
  <si>
    <t>ORD00018</t>
  </si>
  <si>
    <t>2022-04-11</t>
  </si>
  <si>
    <t>2022-04-15</t>
  </si>
  <si>
    <t>CUST5173</t>
  </si>
  <si>
    <t>Product_110</t>
  </si>
  <si>
    <t>ORD00019</t>
  </si>
  <si>
    <t>2022-05-01</t>
  </si>
  <si>
    <t>2022-05-10</t>
  </si>
  <si>
    <t>CUST5329</t>
  </si>
  <si>
    <t>Product_96</t>
  </si>
  <si>
    <t>ORD00020</t>
  </si>
  <si>
    <t>2023-09-17</t>
  </si>
  <si>
    <t>CUST8954</t>
  </si>
  <si>
    <t>Chair</t>
  </si>
  <si>
    <t>Product_199</t>
  </si>
  <si>
    <t>ORD00021</t>
  </si>
  <si>
    <t>2023-08-17</t>
  </si>
  <si>
    <t>2023-08-23</t>
  </si>
  <si>
    <t>CUST8438</t>
  </si>
  <si>
    <t>Product_167</t>
  </si>
  <si>
    <t>ORD00022</t>
  </si>
  <si>
    <t>2022-04-04</t>
  </si>
  <si>
    <t>CUST1307</t>
  </si>
  <si>
    <t>Product_198</t>
  </si>
  <si>
    <t>ORD00023</t>
  </si>
  <si>
    <t>2024-04-07</t>
  </si>
  <si>
    <t>CUST2802</t>
  </si>
  <si>
    <t>Product_149</t>
  </si>
  <si>
    <t>ORD00024</t>
  </si>
  <si>
    <t>2022-08-25</t>
  </si>
  <si>
    <t>CUST8708</t>
  </si>
  <si>
    <t>Product_113</t>
  </si>
  <si>
    <t>ORD00025</t>
  </si>
  <si>
    <t>2022-09-05</t>
  </si>
  <si>
    <t>2022-09-14</t>
  </si>
  <si>
    <t>CUST2523</t>
  </si>
  <si>
    <t>Product_140</t>
  </si>
  <si>
    <t>ORD00026</t>
  </si>
  <si>
    <t>2022-04-09</t>
  </si>
  <si>
    <t>2022-04-19</t>
  </si>
  <si>
    <t>CUST3853</t>
  </si>
  <si>
    <t>Product_183</t>
  </si>
  <si>
    <t>ORD00027</t>
  </si>
  <si>
    <t>2023-12-04</t>
  </si>
  <si>
    <t>2023-12-07</t>
  </si>
  <si>
    <t>CUST1513</t>
  </si>
  <si>
    <t>Product_100</t>
  </si>
  <si>
    <t>ORD00028</t>
  </si>
  <si>
    <t>2024-03-22</t>
  </si>
  <si>
    <t>CUST8818</t>
  </si>
  <si>
    <t>Product_143</t>
  </si>
  <si>
    <t>ORD00029</t>
  </si>
  <si>
    <t>2023-01-31</t>
  </si>
  <si>
    <t>CUST6939</t>
  </si>
  <si>
    <t>Product_102</t>
  </si>
  <si>
    <t>ORD00030</t>
  </si>
  <si>
    <t>2022-10-19</t>
  </si>
  <si>
    <t>CUST2807</t>
  </si>
  <si>
    <t>Product_192</t>
  </si>
  <si>
    <t>ORD00031</t>
  </si>
  <si>
    <t>2024-06-10</t>
  </si>
  <si>
    <t>2024-06-15</t>
  </si>
  <si>
    <t>CUST1788</t>
  </si>
  <si>
    <t>Product_63</t>
  </si>
  <si>
    <t>ORD00032</t>
  </si>
  <si>
    <t>2023-01-11</t>
  </si>
  <si>
    <t>2023-01-13</t>
  </si>
  <si>
    <t>CUST2825</t>
  </si>
  <si>
    <t>Product_79</t>
  </si>
  <si>
    <t>ORD00033</t>
  </si>
  <si>
    <t>2024-05-26</t>
  </si>
  <si>
    <t>2024-06-03</t>
  </si>
  <si>
    <t>CUST6448</t>
  </si>
  <si>
    <t>Product_32</t>
  </si>
  <si>
    <t>ORD00034</t>
  </si>
  <si>
    <t>2024-03-04</t>
  </si>
  <si>
    <t>2024-03-09</t>
  </si>
  <si>
    <t>CUST7215</t>
  </si>
  <si>
    <t>Product_42</t>
  </si>
  <si>
    <t>ORD00035</t>
  </si>
  <si>
    <t>2023-08-10</t>
  </si>
  <si>
    <t>2023-08-13</t>
  </si>
  <si>
    <t>CUST7564</t>
  </si>
  <si>
    <t>Product_160</t>
  </si>
  <si>
    <t>ORD00036</t>
  </si>
  <si>
    <t>2023-04-15</t>
  </si>
  <si>
    <t>2023-04-21</t>
  </si>
  <si>
    <t>CUST5385</t>
  </si>
  <si>
    <t>Product_88</t>
  </si>
  <si>
    <t>ORD00037</t>
  </si>
  <si>
    <t>2022-09-30</t>
  </si>
  <si>
    <t>CUST8744</t>
  </si>
  <si>
    <t>Product_39</t>
  </si>
  <si>
    <t>ORD00038</t>
  </si>
  <si>
    <t>2023-05-03</t>
  </si>
  <si>
    <t>2023-05-13</t>
  </si>
  <si>
    <t>CUST7261</t>
  </si>
  <si>
    <t>Product_47</t>
  </si>
  <si>
    <t>ORD00039</t>
  </si>
  <si>
    <t>2024-02-21</t>
  </si>
  <si>
    <t>CUST7148</t>
  </si>
  <si>
    <t>Product_131</t>
  </si>
  <si>
    <t>ORD00040</t>
  </si>
  <si>
    <t>2023-04-09</t>
  </si>
  <si>
    <t>2023-04-11</t>
  </si>
  <si>
    <t>CUST6541</t>
  </si>
  <si>
    <t>Product_190</t>
  </si>
  <si>
    <t>ORD00041</t>
  </si>
  <si>
    <t>2024-04-30</t>
  </si>
  <si>
    <t>2024-05-09</t>
  </si>
  <si>
    <t>CUST9995</t>
  </si>
  <si>
    <t>Product_138</t>
  </si>
  <si>
    <t>ORD00042</t>
  </si>
  <si>
    <t>2023-12-03</t>
  </si>
  <si>
    <t>CUST5868</t>
  </si>
  <si>
    <t>ORD00043</t>
  </si>
  <si>
    <t>2023-06-20</t>
  </si>
  <si>
    <t>2023-06-22</t>
  </si>
  <si>
    <t>CUST5059</t>
  </si>
  <si>
    <t>Product_141</t>
  </si>
  <si>
    <t>ORD00044</t>
  </si>
  <si>
    <t>2022-08-13</t>
  </si>
  <si>
    <t>2022-08-21</t>
  </si>
  <si>
    <t>CUST9133</t>
  </si>
  <si>
    <t>Product_111</t>
  </si>
  <si>
    <t>ORD00045</t>
  </si>
  <si>
    <t>2022-07-18</t>
  </si>
  <si>
    <t>2022-07-20</t>
  </si>
  <si>
    <t>CUST9869</t>
  </si>
  <si>
    <t>ORD00046</t>
  </si>
  <si>
    <t>2022-08-12</t>
  </si>
  <si>
    <t>CUST7690</t>
  </si>
  <si>
    <t>Product_98</t>
  </si>
  <si>
    <t>ORD00047</t>
  </si>
  <si>
    <t>2022-05-26</t>
  </si>
  <si>
    <t>2022-06-05</t>
  </si>
  <si>
    <t>CUST6670</t>
  </si>
  <si>
    <t>Product_3</t>
  </si>
  <si>
    <t>ORD00048</t>
  </si>
  <si>
    <t>2024-07-27</t>
  </si>
  <si>
    <t>2024-08-03</t>
  </si>
  <si>
    <t>CUST8923</t>
  </si>
  <si>
    <t>Product_163</t>
  </si>
  <si>
    <t>ORD00049</t>
  </si>
  <si>
    <t>2023-04-22</t>
  </si>
  <si>
    <t>2023-05-02</t>
  </si>
  <si>
    <t>CUST9112</t>
  </si>
  <si>
    <t>Product_46</t>
  </si>
  <si>
    <t>ORD00050</t>
  </si>
  <si>
    <t>2023-07-10</t>
  </si>
  <si>
    <t>2023-07-19</t>
  </si>
  <si>
    <t>CUST6983</t>
  </si>
  <si>
    <t>ORD00051</t>
  </si>
  <si>
    <t>2022-07-09</t>
  </si>
  <si>
    <t>2022-07-13</t>
  </si>
  <si>
    <t>CUST5978</t>
  </si>
  <si>
    <t>Product_10</t>
  </si>
  <si>
    <t>ORD00052</t>
  </si>
  <si>
    <t>2024-07-07</t>
  </si>
  <si>
    <t>2024-07-11</t>
  </si>
  <si>
    <t>CUST6836</t>
  </si>
  <si>
    <t>Product_172</t>
  </si>
  <si>
    <t>ORD00053</t>
  </si>
  <si>
    <t>2023-12-05</t>
  </si>
  <si>
    <t>2023-12-10</t>
  </si>
  <si>
    <t>CUST9993</t>
  </si>
  <si>
    <t>Product_74</t>
  </si>
  <si>
    <t>ORD00054</t>
  </si>
  <si>
    <t>2022-01-30</t>
  </si>
  <si>
    <t>2022-01-31</t>
  </si>
  <si>
    <t>CUST6903</t>
  </si>
  <si>
    <t>Product_195</t>
  </si>
  <si>
    <t>ORD00055</t>
  </si>
  <si>
    <t>2024-09-12</t>
  </si>
  <si>
    <t>CUST5183</t>
  </si>
  <si>
    <t>Product_36</t>
  </si>
  <si>
    <t>ORD00056</t>
  </si>
  <si>
    <t>2023-01-08</t>
  </si>
  <si>
    <t>CUST2202</t>
  </si>
  <si>
    <t>Product_127</t>
  </si>
  <si>
    <t>ORD00057</t>
  </si>
  <si>
    <t>2024-05-02</t>
  </si>
  <si>
    <t>2024-05-12</t>
  </si>
  <si>
    <t>CUST5466</t>
  </si>
  <si>
    <t>Product_33</t>
  </si>
  <si>
    <t>ORD00058</t>
  </si>
  <si>
    <t>2022-12-01</t>
  </si>
  <si>
    <t>2022-12-09</t>
  </si>
  <si>
    <t>CUST5089</t>
  </si>
  <si>
    <t>Product_168</t>
  </si>
  <si>
    <t>ORD00059</t>
  </si>
  <si>
    <t>2024-08-12</t>
  </si>
  <si>
    <t>2024-08-21</t>
  </si>
  <si>
    <t>CUST7539</t>
  </si>
  <si>
    <t>Product_94</t>
  </si>
  <si>
    <t>ORD00060</t>
  </si>
  <si>
    <t>2024-04-21</t>
  </si>
  <si>
    <t>2024-04-24</t>
  </si>
  <si>
    <t>CUST7953</t>
  </si>
  <si>
    <t>Product_5</t>
  </si>
  <si>
    <t>ORD00061</t>
  </si>
  <si>
    <t>2024-08-06</t>
  </si>
  <si>
    <t>CUST7985</t>
  </si>
  <si>
    <t>Product_123</t>
  </si>
  <si>
    <t>ORD00062</t>
  </si>
  <si>
    <t>2023-02-15</t>
  </si>
  <si>
    <t>2023-02-18</t>
  </si>
  <si>
    <t>CUST2974</t>
  </si>
  <si>
    <t>Product_90</t>
  </si>
  <si>
    <t>ORD00063</t>
  </si>
  <si>
    <t>2022-08-11</t>
  </si>
  <si>
    <t>CUST8083</t>
  </si>
  <si>
    <t>Product_31</t>
  </si>
  <si>
    <t>ORD00064</t>
  </si>
  <si>
    <t>2022-11-01</t>
  </si>
  <si>
    <t>2022-11-09</t>
  </si>
  <si>
    <t>CUST9447</t>
  </si>
  <si>
    <t>ORD00065</t>
  </si>
  <si>
    <t>2022-04-28</t>
  </si>
  <si>
    <t>CUST8333</t>
  </si>
  <si>
    <t>ORD00066</t>
  </si>
  <si>
    <t>2024-03-19</t>
  </si>
  <si>
    <t>CUST1065</t>
  </si>
  <si>
    <t>ORD00067</t>
  </si>
  <si>
    <t>2024-01-14</t>
  </si>
  <si>
    <t>CUST7191</t>
  </si>
  <si>
    <t>ORD00068</t>
  </si>
  <si>
    <t>2023-03-29</t>
  </si>
  <si>
    <t>CUST6154</t>
  </si>
  <si>
    <t>Product_34</t>
  </si>
  <si>
    <t>ORD00069</t>
  </si>
  <si>
    <t>2024-01-15</t>
  </si>
  <si>
    <t>2024-01-18</t>
  </si>
  <si>
    <t>CUST7382</t>
  </si>
  <si>
    <t>ORD00070</t>
  </si>
  <si>
    <t>2022-10-16</t>
  </si>
  <si>
    <t>CUST3474</t>
  </si>
  <si>
    <t>Product_57</t>
  </si>
  <si>
    <t>ORD00071</t>
  </si>
  <si>
    <t>2022-04-20</t>
  </si>
  <si>
    <t>2022-04-29</t>
  </si>
  <si>
    <t>CUST8507</t>
  </si>
  <si>
    <t>Product_182</t>
  </si>
  <si>
    <t>ORD00072</t>
  </si>
  <si>
    <t>2022-07-01</t>
  </si>
  <si>
    <t>2022-07-07</t>
  </si>
  <si>
    <t>CUST7524</t>
  </si>
  <si>
    <t>ORD00073</t>
  </si>
  <si>
    <t>2023-08-24</t>
  </si>
  <si>
    <t>2023-08-27</t>
  </si>
  <si>
    <t>CUST6567</t>
  </si>
  <si>
    <t>Product_158</t>
  </si>
  <si>
    <t>ORD00074</t>
  </si>
  <si>
    <t>2023-03-13</t>
  </si>
  <si>
    <t>2023-03-16</t>
  </si>
  <si>
    <t>CUST3952</t>
  </si>
  <si>
    <t>Product_80</t>
  </si>
  <si>
    <t>ORD00075</t>
  </si>
  <si>
    <t>2022-06-28</t>
  </si>
  <si>
    <t>CUST9996</t>
  </si>
  <si>
    <t>ORD00076</t>
  </si>
  <si>
    <t>2022-11-06</t>
  </si>
  <si>
    <t>2022-11-16</t>
  </si>
  <si>
    <t>CUST9786</t>
  </si>
  <si>
    <t>Product_142</t>
  </si>
  <si>
    <t>ORD00077</t>
  </si>
  <si>
    <t>2022-03-26</t>
  </si>
  <si>
    <t>2022-03-28</t>
  </si>
  <si>
    <t>CUST5082</t>
  </si>
  <si>
    <t>ORD00078</t>
  </si>
  <si>
    <t>CUST8982</t>
  </si>
  <si>
    <t>ORD00079</t>
  </si>
  <si>
    <t>2023-04-17</t>
  </si>
  <si>
    <t>CUST5045</t>
  </si>
  <si>
    <t>Product_37</t>
  </si>
  <si>
    <t>ORD00080</t>
  </si>
  <si>
    <t>2023-07-06</t>
  </si>
  <si>
    <t>CUST4475</t>
  </si>
  <si>
    <t>Product_7</t>
  </si>
  <si>
    <t>ORD00081</t>
  </si>
  <si>
    <t>2024-07-01</t>
  </si>
  <si>
    <t>2024-07-05</t>
  </si>
  <si>
    <t>CUST5055</t>
  </si>
  <si>
    <t>Product_35</t>
  </si>
  <si>
    <t>ORD00082</t>
  </si>
  <si>
    <t>2023-03-01</t>
  </si>
  <si>
    <t>2023-03-05</t>
  </si>
  <si>
    <t>CUST6296</t>
  </si>
  <si>
    <t>ORD00083</t>
  </si>
  <si>
    <t>2023-01-14</t>
  </si>
  <si>
    <t>2023-01-19</t>
  </si>
  <si>
    <t>CUST9264</t>
  </si>
  <si>
    <t>Product_78</t>
  </si>
  <si>
    <t>ORD00084</t>
  </si>
  <si>
    <t>2024-08-09</t>
  </si>
  <si>
    <t>2024-08-17</t>
  </si>
  <si>
    <t>CUST9984</t>
  </si>
  <si>
    <t>ORD00085</t>
  </si>
  <si>
    <t>2022-06-26</t>
  </si>
  <si>
    <t>2022-07-02</t>
  </si>
  <si>
    <t>CUST6997</t>
  </si>
  <si>
    <t>Product_89</t>
  </si>
  <si>
    <t>ORD00086</t>
  </si>
  <si>
    <t>2022-07-16</t>
  </si>
  <si>
    <t>CUST5816</t>
  </si>
  <si>
    <t>ORD00087</t>
  </si>
  <si>
    <t>2023-07-07</t>
  </si>
  <si>
    <t>2023-07-08</t>
  </si>
  <si>
    <t>CUST5769</t>
  </si>
  <si>
    <t>ORD00088</t>
  </si>
  <si>
    <t>2023-03-17</t>
  </si>
  <si>
    <t>CUST7132</t>
  </si>
  <si>
    <t>Product_56</t>
  </si>
  <si>
    <t>ORD00089</t>
  </si>
  <si>
    <t>2024-07-14</t>
  </si>
  <si>
    <t>2024-07-21</t>
  </si>
  <si>
    <t>CUST8469</t>
  </si>
  <si>
    <t>Product_97</t>
  </si>
  <si>
    <t>ORD00090</t>
  </si>
  <si>
    <t>2024-01-04</t>
  </si>
  <si>
    <t>2024-01-06</t>
  </si>
  <si>
    <t>CUST1298</t>
  </si>
  <si>
    <t>ORD00091</t>
  </si>
  <si>
    <t>2023-03-21</t>
  </si>
  <si>
    <t>CUST8674</t>
  </si>
  <si>
    <t>ORD00092</t>
  </si>
  <si>
    <t>2022-10-08</t>
  </si>
  <si>
    <t>2022-10-10</t>
  </si>
  <si>
    <t>CUST2097</t>
  </si>
  <si>
    <t>ORD00093</t>
  </si>
  <si>
    <t>2022-09-15</t>
  </si>
  <si>
    <t>CUST1862</t>
  </si>
  <si>
    <t>Product_49</t>
  </si>
  <si>
    <t>ORD00094</t>
  </si>
  <si>
    <t>2022-04-02</t>
  </si>
  <si>
    <t>CUST6032</t>
  </si>
  <si>
    <t>Product_178</t>
  </si>
  <si>
    <t>ORD00095</t>
  </si>
  <si>
    <t>2023-03-28</t>
  </si>
  <si>
    <t>2023-04-04</t>
  </si>
  <si>
    <t>CUST3015</t>
  </si>
  <si>
    <t>Product_159</t>
  </si>
  <si>
    <t>ORD00096</t>
  </si>
  <si>
    <t>2022-01-21</t>
  </si>
  <si>
    <t>2022-01-22</t>
  </si>
  <si>
    <t>CUST4460</t>
  </si>
  <si>
    <t>Product_177</t>
  </si>
  <si>
    <t>ORD00097</t>
  </si>
  <si>
    <t>2023-02-28</t>
  </si>
  <si>
    <t>2023-03-08</t>
  </si>
  <si>
    <t>CUST6195</t>
  </si>
  <si>
    <t>Product_116</t>
  </si>
  <si>
    <t>ORD00098</t>
  </si>
  <si>
    <t>CUST2640</t>
  </si>
  <si>
    <t>Product_27</t>
  </si>
  <si>
    <t>ORD00099</t>
  </si>
  <si>
    <t>2022-01-10</t>
  </si>
  <si>
    <t>CUST5576</t>
  </si>
  <si>
    <t>ORD00100</t>
  </si>
  <si>
    <t>CUST7782</t>
  </si>
  <si>
    <t>Product_154</t>
  </si>
  <si>
    <t>ORD00101</t>
  </si>
  <si>
    <t>CUST8176</t>
  </si>
  <si>
    <t>Product_8</t>
  </si>
  <si>
    <t>ORD00102</t>
  </si>
  <si>
    <t>2023-05-08</t>
  </si>
  <si>
    <t>CUST6797</t>
  </si>
  <si>
    <t>Product_91</t>
  </si>
  <si>
    <t>ORD00103</t>
  </si>
  <si>
    <t>2022-05-03</t>
  </si>
  <si>
    <t>CUST9261</t>
  </si>
  <si>
    <t>Product_85</t>
  </si>
  <si>
    <t>ORD00104</t>
  </si>
  <si>
    <t>2022-09-07</t>
  </si>
  <si>
    <t>2022-09-09</t>
  </si>
  <si>
    <t>CUST8312</t>
  </si>
  <si>
    <t>ORD00105</t>
  </si>
  <si>
    <t>2023-03-09</t>
  </si>
  <si>
    <t>CUST1222</t>
  </si>
  <si>
    <t>ORD00106</t>
  </si>
  <si>
    <t>2023-10-14</t>
  </si>
  <si>
    <t>CUST1535</t>
  </si>
  <si>
    <t>ORD00107</t>
  </si>
  <si>
    <t>2023-05-21</t>
  </si>
  <si>
    <t>2023-05-23</t>
  </si>
  <si>
    <t>CUST1004</t>
  </si>
  <si>
    <t>ORD00108</t>
  </si>
  <si>
    <t>2023-09-04</t>
  </si>
  <si>
    <t>2023-09-06</t>
  </si>
  <si>
    <t>CUST9130</t>
  </si>
  <si>
    <t>Product_120</t>
  </si>
  <si>
    <t>ORD00109</t>
  </si>
  <si>
    <t>2024-05-14</t>
  </si>
  <si>
    <t>2024-05-17</t>
  </si>
  <si>
    <t>CUST6680</t>
  </si>
  <si>
    <t>Product_54</t>
  </si>
  <si>
    <t>ORD00110</t>
  </si>
  <si>
    <t>2023-06-14</t>
  </si>
  <si>
    <t>2023-06-16</t>
  </si>
  <si>
    <t>CUST9537</t>
  </si>
  <si>
    <t>ORD00111</t>
  </si>
  <si>
    <t>2023-09-27</t>
  </si>
  <si>
    <t>2023-09-30</t>
  </si>
  <si>
    <t>CUST4243</t>
  </si>
  <si>
    <t>Product_101</t>
  </si>
  <si>
    <t>ORD00112</t>
  </si>
  <si>
    <t>2024-04-06</t>
  </si>
  <si>
    <t>2024-04-08</t>
  </si>
  <si>
    <t>CUST8320</t>
  </si>
  <si>
    <t>ORD00113</t>
  </si>
  <si>
    <t>2024-05-22</t>
  </si>
  <si>
    <t>CUST9492</t>
  </si>
  <si>
    <t>Product_164</t>
  </si>
  <si>
    <t>ORD00114</t>
  </si>
  <si>
    <t>2024-07-09</t>
  </si>
  <si>
    <t>CUST6491</t>
  </si>
  <si>
    <t>ORD00115</t>
  </si>
  <si>
    <t>2022-01-13</t>
  </si>
  <si>
    <t>CUST4790</t>
  </si>
  <si>
    <t>Product_11</t>
  </si>
  <si>
    <t>ORD00116</t>
  </si>
  <si>
    <t>2024-05-13</t>
  </si>
  <si>
    <t>2024-05-16</t>
  </si>
  <si>
    <t>CUST2700</t>
  </si>
  <si>
    <t>Product_119</t>
  </si>
  <si>
    <t>ORD00117</t>
  </si>
  <si>
    <t>2023-04-18</t>
  </si>
  <si>
    <t>2023-04-24</t>
  </si>
  <si>
    <t>CUST3684</t>
  </si>
  <si>
    <t>Product_105</t>
  </si>
  <si>
    <t>ORD00118</t>
  </si>
  <si>
    <t>2024-02-10</t>
  </si>
  <si>
    <t>2024-02-18</t>
  </si>
  <si>
    <t>CUST6910</t>
  </si>
  <si>
    <t>Product_126</t>
  </si>
  <si>
    <t>ORD00119</t>
  </si>
  <si>
    <t>CUST3459</t>
  </si>
  <si>
    <t>ORD00120</t>
  </si>
  <si>
    <t>2022-06-29</t>
  </si>
  <si>
    <t>2022-07-05</t>
  </si>
  <si>
    <t>CUST8294</t>
  </si>
  <si>
    <t>ORD00121</t>
  </si>
  <si>
    <t>CUST5224</t>
  </si>
  <si>
    <t>Product_175</t>
  </si>
  <si>
    <t>ORD00122</t>
  </si>
  <si>
    <t>2023-09-29</t>
  </si>
  <si>
    <t>2023-10-09</t>
  </si>
  <si>
    <t>CUST7920</t>
  </si>
  <si>
    <t>Product_125</t>
  </si>
  <si>
    <t>ORD00123</t>
  </si>
  <si>
    <t>2022-04-05</t>
  </si>
  <si>
    <t>CUST5676</t>
  </si>
  <si>
    <t>Product_52</t>
  </si>
  <si>
    <t>ORD00124</t>
  </si>
  <si>
    <t>2023-12-22</t>
  </si>
  <si>
    <t>2023-12-30</t>
  </si>
  <si>
    <t>CUST6811</t>
  </si>
  <si>
    <t>Product_181</t>
  </si>
  <si>
    <t>ORD00125</t>
  </si>
  <si>
    <t>2023-04-19</t>
  </si>
  <si>
    <t>CUST2741</t>
  </si>
  <si>
    <t>Product_146</t>
  </si>
  <si>
    <t>ORD00126</t>
  </si>
  <si>
    <t>2023-02-10</t>
  </si>
  <si>
    <t>CUST5043</t>
  </si>
  <si>
    <t>Product_132</t>
  </si>
  <si>
    <t>ORD00127</t>
  </si>
  <si>
    <t>2024-03-06</t>
  </si>
  <si>
    <t>2024-03-08</t>
  </si>
  <si>
    <t>CUST9271</t>
  </si>
  <si>
    <t>Product_161</t>
  </si>
  <si>
    <t>ORD00128</t>
  </si>
  <si>
    <t>2022-04-13</t>
  </si>
  <si>
    <t>2022-04-18</t>
  </si>
  <si>
    <t>CUST7576</t>
  </si>
  <si>
    <t>ORD00129</t>
  </si>
  <si>
    <t>2024-02-04</t>
  </si>
  <si>
    <t>CUST9818</t>
  </si>
  <si>
    <t>Product_75</t>
  </si>
  <si>
    <t>ORD00130</t>
  </si>
  <si>
    <t>2022-05-29</t>
  </si>
  <si>
    <t>CUST6682</t>
  </si>
  <si>
    <t>Product_137</t>
  </si>
  <si>
    <t>ORD00131</t>
  </si>
  <si>
    <t>2023-08-26</t>
  </si>
  <si>
    <t>2023-09-02</t>
  </si>
  <si>
    <t>CUST4786</t>
  </si>
  <si>
    <t>Product_157</t>
  </si>
  <si>
    <t>ORD00132</t>
  </si>
  <si>
    <t>2024-09-06</t>
  </si>
  <si>
    <t>CUST7494</t>
  </si>
  <si>
    <t>Product_22</t>
  </si>
  <si>
    <t>ORD00133</t>
  </si>
  <si>
    <t>2023-06-07</t>
  </si>
  <si>
    <t>2023-06-11</t>
  </si>
  <si>
    <t>CUST5413</t>
  </si>
  <si>
    <t>Product_50</t>
  </si>
  <si>
    <t>ORD00134</t>
  </si>
  <si>
    <t>2023-12-17</t>
  </si>
  <si>
    <t>2023-12-18</t>
  </si>
  <si>
    <t>CUST1807</t>
  </si>
  <si>
    <t>Product_93</t>
  </si>
  <si>
    <t>ORD00135</t>
  </si>
  <si>
    <t>2023-03-06</t>
  </si>
  <si>
    <t>2023-03-11</t>
  </si>
  <si>
    <t>CUST2139</t>
  </si>
  <si>
    <t>ORD00136</t>
  </si>
  <si>
    <t>2022-06-24</t>
  </si>
  <si>
    <t>CUST1174</t>
  </si>
  <si>
    <t>ORD00137</t>
  </si>
  <si>
    <t>2023-04-29</t>
  </si>
  <si>
    <t>2023-05-07</t>
  </si>
  <si>
    <t>CUST6643</t>
  </si>
  <si>
    <t>ORD00138</t>
  </si>
  <si>
    <t>2023-03-30</t>
  </si>
  <si>
    <t>CUST7832</t>
  </si>
  <si>
    <t>ORD00139</t>
  </si>
  <si>
    <t>CUST6069</t>
  </si>
  <si>
    <t>ORD00140</t>
  </si>
  <si>
    <t>2022-06-18</t>
  </si>
  <si>
    <t>CUST2528</t>
  </si>
  <si>
    <t>Product_60</t>
  </si>
  <si>
    <t>ORD00141</t>
  </si>
  <si>
    <t>2023-09-23</t>
  </si>
  <si>
    <t>2023-10-03</t>
  </si>
  <si>
    <t>CUST7946</t>
  </si>
  <si>
    <t>Product_179</t>
  </si>
  <si>
    <t>ORD00142</t>
  </si>
  <si>
    <t>2022-03-16</t>
  </si>
  <si>
    <t>2022-03-23</t>
  </si>
  <si>
    <t>CUST5480</t>
  </si>
  <si>
    <t>Product_18</t>
  </si>
  <si>
    <t>ORD00143</t>
  </si>
  <si>
    <t>2024-08-15</t>
  </si>
  <si>
    <t>CUST4080</t>
  </si>
  <si>
    <t>Product_200</t>
  </si>
  <si>
    <t>ORD00144</t>
  </si>
  <si>
    <t>2024-06-22</t>
  </si>
  <si>
    <t>CUST3211</t>
  </si>
  <si>
    <t>ORD00145</t>
  </si>
  <si>
    <t>2024-04-23</t>
  </si>
  <si>
    <t>2024-04-26</t>
  </si>
  <si>
    <t>CUST2370</t>
  </si>
  <si>
    <t>ORD00146</t>
  </si>
  <si>
    <t>2023-08-05</t>
  </si>
  <si>
    <t>2023-08-15</t>
  </si>
  <si>
    <t>CUST3187</t>
  </si>
  <si>
    <t>Product_73</t>
  </si>
  <si>
    <t>ORD00147</t>
  </si>
  <si>
    <t>2023-10-18</t>
  </si>
  <si>
    <t>2023-10-21</t>
  </si>
  <si>
    <t>CUST2417</t>
  </si>
  <si>
    <t>ORD00148</t>
  </si>
  <si>
    <t>2022-10-18</t>
  </si>
  <si>
    <t>CUST1351</t>
  </si>
  <si>
    <t>Product_197</t>
  </si>
  <si>
    <t>ORD00149</t>
  </si>
  <si>
    <t>2024-03-25</t>
  </si>
  <si>
    <t>CUST7056</t>
  </si>
  <si>
    <t>Product_19</t>
  </si>
  <si>
    <t>ORD00150</t>
  </si>
  <si>
    <t>2024-04-03</t>
  </si>
  <si>
    <t>2024-04-09</t>
  </si>
  <si>
    <t>CUST5454</t>
  </si>
  <si>
    <t>Product_9</t>
  </si>
  <si>
    <t>ORD00151</t>
  </si>
  <si>
    <t>2023-03-20</t>
  </si>
  <si>
    <t>CUST5648</t>
  </si>
  <si>
    <t>Product_148</t>
  </si>
  <si>
    <t>ORD00152</t>
  </si>
  <si>
    <t>2022-05-08</t>
  </si>
  <si>
    <t>CUST8554</t>
  </si>
  <si>
    <t>ORD00153</t>
  </si>
  <si>
    <t>2023-07-27</t>
  </si>
  <si>
    <t>CUST3223</t>
  </si>
  <si>
    <t>ORD00154</t>
  </si>
  <si>
    <t>2023-04-27</t>
  </si>
  <si>
    <t>CUST2063</t>
  </si>
  <si>
    <t>Product_44</t>
  </si>
  <si>
    <t>ORD00155</t>
  </si>
  <si>
    <t>2022-08-05</t>
  </si>
  <si>
    <t>2022-08-15</t>
  </si>
  <si>
    <t>CUST1269</t>
  </si>
  <si>
    <t>Product_25</t>
  </si>
  <si>
    <t>ORD00156</t>
  </si>
  <si>
    <t>CUST3716</t>
  </si>
  <si>
    <t>ORD00157</t>
  </si>
  <si>
    <t>2022-06-22</t>
  </si>
  <si>
    <t>CUST3596</t>
  </si>
  <si>
    <t>Product_76</t>
  </si>
  <si>
    <t>ORD00158</t>
  </si>
  <si>
    <t>2022-12-14</t>
  </si>
  <si>
    <t>2022-12-21</t>
  </si>
  <si>
    <t>CUST2207</t>
  </si>
  <si>
    <t>ORD00159</t>
  </si>
  <si>
    <t>2023-10-06</t>
  </si>
  <si>
    <t>CUST7870</t>
  </si>
  <si>
    <t>ORD00160</t>
  </si>
  <si>
    <t>2022-01-29</t>
  </si>
  <si>
    <t>CUST1448</t>
  </si>
  <si>
    <t>Product_62</t>
  </si>
  <si>
    <t>ORD00161</t>
  </si>
  <si>
    <t>2023-12-31</t>
  </si>
  <si>
    <t>CUST5717</t>
  </si>
  <si>
    <t>ORD00162</t>
  </si>
  <si>
    <t>2022-06-03</t>
  </si>
  <si>
    <t>CUST2425</t>
  </si>
  <si>
    <t>ORD00163</t>
  </si>
  <si>
    <t>2023-11-29</t>
  </si>
  <si>
    <t>CUST9529</t>
  </si>
  <si>
    <t>ORD00164</t>
  </si>
  <si>
    <t>2023-04-01</t>
  </si>
  <si>
    <t>CUST7947</t>
  </si>
  <si>
    <t>Product_155</t>
  </si>
  <si>
    <t>ORD00165</t>
  </si>
  <si>
    <t>2022-05-20</t>
  </si>
  <si>
    <t>CUST8217</t>
  </si>
  <si>
    <t>Product_156</t>
  </si>
  <si>
    <t>ORD00166</t>
  </si>
  <si>
    <t>2022-09-11</t>
  </si>
  <si>
    <t>CUST2352</t>
  </si>
  <si>
    <t>ORD00167</t>
  </si>
  <si>
    <t>2023-09-26</t>
  </si>
  <si>
    <t>CUST2746</t>
  </si>
  <si>
    <t>Product_130</t>
  </si>
  <si>
    <t>ORD00168</t>
  </si>
  <si>
    <t>2023-06-09</t>
  </si>
  <si>
    <t>CUST7213</t>
  </si>
  <si>
    <t>ORD00169</t>
  </si>
  <si>
    <t>CUST2470</t>
  </si>
  <si>
    <t>Product_23</t>
  </si>
  <si>
    <t>ORD00170</t>
  </si>
  <si>
    <t>CUST4299</t>
  </si>
  <si>
    <t>ORD00171</t>
  </si>
  <si>
    <t>CUST4337</t>
  </si>
  <si>
    <t>Product_114</t>
  </si>
  <si>
    <t>ORD00172</t>
  </si>
  <si>
    <t>2022-05-13</t>
  </si>
  <si>
    <t>CUST7449</t>
  </si>
  <si>
    <t>ORD00173</t>
  </si>
  <si>
    <t>2023-06-25</t>
  </si>
  <si>
    <t>2023-06-28</t>
  </si>
  <si>
    <t>CUST7208</t>
  </si>
  <si>
    <t>ORD00174</t>
  </si>
  <si>
    <t>2024-05-25</t>
  </si>
  <si>
    <t>CUST4644</t>
  </si>
  <si>
    <t>ORD00175</t>
  </si>
  <si>
    <t>2022-12-31</t>
  </si>
  <si>
    <t>CUST6969</t>
  </si>
  <si>
    <t>ORD00176</t>
  </si>
  <si>
    <t>2023-09-24</t>
  </si>
  <si>
    <t>CUST6076</t>
  </si>
  <si>
    <t>Product_70</t>
  </si>
  <si>
    <t>ORD00177</t>
  </si>
  <si>
    <t>2024-06-05</t>
  </si>
  <si>
    <t>2024-06-07</t>
  </si>
  <si>
    <t>CUST4951</t>
  </si>
  <si>
    <t>ORD00178</t>
  </si>
  <si>
    <t>CUST7358</t>
  </si>
  <si>
    <t>ORD00179</t>
  </si>
  <si>
    <t>2022-04-17</t>
  </si>
  <si>
    <t>CUST9632</t>
  </si>
  <si>
    <t>ORD00180</t>
  </si>
  <si>
    <t>2023-10-15</t>
  </si>
  <si>
    <t>CUST3605</t>
  </si>
  <si>
    <t>Product_2</t>
  </si>
  <si>
    <t>ORD00181</t>
  </si>
  <si>
    <t>CUST9422</t>
  </si>
  <si>
    <t>Product_184</t>
  </si>
  <si>
    <t>ORD00182</t>
  </si>
  <si>
    <t>2024-05-10</t>
  </si>
  <si>
    <t>CUST7040</t>
  </si>
  <si>
    <t>Product_95</t>
  </si>
  <si>
    <t>ORD00183</t>
  </si>
  <si>
    <t>2024-09-07</t>
  </si>
  <si>
    <t>CUST3070</t>
  </si>
  <si>
    <t>ORD00184</t>
  </si>
  <si>
    <t>CUST1563</t>
  </si>
  <si>
    <t>ORD00185</t>
  </si>
  <si>
    <t>2022-07-17</t>
  </si>
  <si>
    <t>2022-07-22</t>
  </si>
  <si>
    <t>CUST6214</t>
  </si>
  <si>
    <t>Product_83</t>
  </si>
  <si>
    <t>ORD00186</t>
  </si>
  <si>
    <t>2022-03-30</t>
  </si>
  <si>
    <t>CUST7256</t>
  </si>
  <si>
    <t>Product_176</t>
  </si>
  <si>
    <t>ORD00187</t>
  </si>
  <si>
    <t>CUST1086</t>
  </si>
  <si>
    <t>ORD00188</t>
  </si>
  <si>
    <t>2022-05-16</t>
  </si>
  <si>
    <t>CUST6067</t>
  </si>
  <si>
    <t>ORD00189</t>
  </si>
  <si>
    <t>2024-01-20</t>
  </si>
  <si>
    <t>2024-01-23</t>
  </si>
  <si>
    <t>CUST2296</t>
  </si>
  <si>
    <t>ORD00190</t>
  </si>
  <si>
    <t>2024-04-11</t>
  </si>
  <si>
    <t>CUST5010</t>
  </si>
  <si>
    <t>Product_40</t>
  </si>
  <si>
    <t>ORD00191</t>
  </si>
  <si>
    <t>2022-12-08</t>
  </si>
  <si>
    <t>CUST5132</t>
  </si>
  <si>
    <t>Product_84</t>
  </si>
  <si>
    <t>ORD00192</t>
  </si>
  <si>
    <t>2024-01-01</t>
  </si>
  <si>
    <t>CUST3555</t>
  </si>
  <si>
    <t>ORD00193</t>
  </si>
  <si>
    <t>2023-04-03</t>
  </si>
  <si>
    <t>CUST4183</t>
  </si>
  <si>
    <t>Product_106</t>
  </si>
  <si>
    <t>ORD00194</t>
  </si>
  <si>
    <t>CUST8997</t>
  </si>
  <si>
    <t>ORD00195</t>
  </si>
  <si>
    <t>2022-01-06</t>
  </si>
  <si>
    <t>2022-01-09</t>
  </si>
  <si>
    <t>CUST5294</t>
  </si>
  <si>
    <t>ORD00196</t>
  </si>
  <si>
    <t>CUST5144</t>
  </si>
  <si>
    <t>ORD00197</t>
  </si>
  <si>
    <t>2024-01-09</t>
  </si>
  <si>
    <t>CUST8558</t>
  </si>
  <si>
    <t>Product_112</t>
  </si>
  <si>
    <t>ORD00198</t>
  </si>
  <si>
    <t>2023-04-08</t>
  </si>
  <si>
    <t>2023-04-10</t>
  </si>
  <si>
    <t>CUST5899</t>
  </si>
  <si>
    <t>Product_77</t>
  </si>
  <si>
    <t>ORD00199</t>
  </si>
  <si>
    <t>2024-03-07</t>
  </si>
  <si>
    <t>CUST8987</t>
  </si>
  <si>
    <t>Product_17</t>
  </si>
  <si>
    <t>ORD00200</t>
  </si>
  <si>
    <t>2022-12-29</t>
  </si>
  <si>
    <t>2023-01-01</t>
  </si>
  <si>
    <t>CUST8025</t>
  </si>
  <si>
    <t>ORD00201</t>
  </si>
  <si>
    <t>2024-01-03</t>
  </si>
  <si>
    <t>CUST3724</t>
  </si>
  <si>
    <t>ORD00202</t>
  </si>
  <si>
    <t>CUST9776</t>
  </si>
  <si>
    <t>Product_188</t>
  </si>
  <si>
    <t>ORD00203</t>
  </si>
  <si>
    <t>2023-09-20</t>
  </si>
  <si>
    <t>CUST1789</t>
  </si>
  <si>
    <t>Product_107</t>
  </si>
  <si>
    <t>ORD00204</t>
  </si>
  <si>
    <t>2022-04-06</t>
  </si>
  <si>
    <t>CUST6588</t>
  </si>
  <si>
    <t>Product_66</t>
  </si>
  <si>
    <t>ORD00205</t>
  </si>
  <si>
    <t>2022-09-13</t>
  </si>
  <si>
    <t>CUST3089</t>
  </si>
  <si>
    <t>ORD00206</t>
  </si>
  <si>
    <t>2022-05-24</t>
  </si>
  <si>
    <t>2022-05-27</t>
  </si>
  <si>
    <t>CUST3935</t>
  </si>
  <si>
    <t>ORD00207</t>
  </si>
  <si>
    <t>2022-09-04</t>
  </si>
  <si>
    <t>CUST7474</t>
  </si>
  <si>
    <t>Product_13</t>
  </si>
  <si>
    <t>ORD00208</t>
  </si>
  <si>
    <t>CUST6613</t>
  </si>
  <si>
    <t>ORD00209</t>
  </si>
  <si>
    <t>2024-09-10</t>
  </si>
  <si>
    <t>CUST4316</t>
  </si>
  <si>
    <t>Product_61</t>
  </si>
  <si>
    <t>ORD00210</t>
  </si>
  <si>
    <t>2023-01-09</t>
  </si>
  <si>
    <t>2023-01-12</t>
  </si>
  <si>
    <t>CUST4907</t>
  </si>
  <si>
    <t>ORD00211</t>
  </si>
  <si>
    <t>2024-03-24</t>
  </si>
  <si>
    <t>CUST1525</t>
  </si>
  <si>
    <t>ORD00212</t>
  </si>
  <si>
    <t>2024-04-15</t>
  </si>
  <si>
    <t>CUST8361</t>
  </si>
  <si>
    <t>Product_150</t>
  </si>
  <si>
    <t>ORD00213</t>
  </si>
  <si>
    <t>2022-08-19</t>
  </si>
  <si>
    <t>CUST7773</t>
  </si>
  <si>
    <t>ORD00214</t>
  </si>
  <si>
    <t>2022-12-27</t>
  </si>
  <si>
    <t>CUST1827</t>
  </si>
  <si>
    <t>ORD00215</t>
  </si>
  <si>
    <t>2022-05-02</t>
  </si>
  <si>
    <t>CUST5305</t>
  </si>
  <si>
    <t>ORD00216</t>
  </si>
  <si>
    <t>2023-02-04</t>
  </si>
  <si>
    <t>2023-02-11</t>
  </si>
  <si>
    <t>CUST4163</t>
  </si>
  <si>
    <t>ORD00217</t>
  </si>
  <si>
    <t>2022-08-08</t>
  </si>
  <si>
    <t>2022-08-09</t>
  </si>
  <si>
    <t>CUST3536</t>
  </si>
  <si>
    <t>ORD00218</t>
  </si>
  <si>
    <t>2023-05-24</t>
  </si>
  <si>
    <t>2023-05-30</t>
  </si>
  <si>
    <t>CUST8750</t>
  </si>
  <si>
    <t>Product_58</t>
  </si>
  <si>
    <t>ORD00219</t>
  </si>
  <si>
    <t>2024-07-28</t>
  </si>
  <si>
    <t>CUST8759</t>
  </si>
  <si>
    <t>ORD00220</t>
  </si>
  <si>
    <t>2023-05-20</t>
  </si>
  <si>
    <t>CUST5054</t>
  </si>
  <si>
    <t>ORD00221</t>
  </si>
  <si>
    <t>2023-02-23</t>
  </si>
  <si>
    <t>CUST4106</t>
  </si>
  <si>
    <t>Product_196</t>
  </si>
  <si>
    <t>ORD00222</t>
  </si>
  <si>
    <t>2022-10-02</t>
  </si>
  <si>
    <t>CUST5673</t>
  </si>
  <si>
    <t>ORD00223</t>
  </si>
  <si>
    <t>2024-02-12</t>
  </si>
  <si>
    <t>CUST9798</t>
  </si>
  <si>
    <t>Product_185</t>
  </si>
  <si>
    <t>ORD00224</t>
  </si>
  <si>
    <t>2022-08-27</t>
  </si>
  <si>
    <t>CUST1153</t>
  </si>
  <si>
    <t>Product_82</t>
  </si>
  <si>
    <t>ORD00225</t>
  </si>
  <si>
    <t>2023-05-12</t>
  </si>
  <si>
    <t>2023-05-15</t>
  </si>
  <si>
    <t>CUST3035</t>
  </si>
  <si>
    <t>ORD00226</t>
  </si>
  <si>
    <t>2023-12-20</t>
  </si>
  <si>
    <t>CUST4732</t>
  </si>
  <si>
    <t>ORD00227</t>
  </si>
  <si>
    <t>2023-05-22</t>
  </si>
  <si>
    <t>CUST5469</t>
  </si>
  <si>
    <t>ORD00228</t>
  </si>
  <si>
    <t>2024-06-29</t>
  </si>
  <si>
    <t>CUST9651</t>
  </si>
  <si>
    <t>ORD00229</t>
  </si>
  <si>
    <t>CUST9777</t>
  </si>
  <si>
    <t>Product_136</t>
  </si>
  <si>
    <t>ORD00230</t>
  </si>
  <si>
    <t>2023-12-12</t>
  </si>
  <si>
    <t>CUST9654</t>
  </si>
  <si>
    <t>Product_166</t>
  </si>
  <si>
    <t>ORD00231</t>
  </si>
  <si>
    <t>CUST6635</t>
  </si>
  <si>
    <t>ORD00232</t>
  </si>
  <si>
    <t>CUST6315</t>
  </si>
  <si>
    <t>ORD00233</t>
  </si>
  <si>
    <t>2024-08-18</t>
  </si>
  <si>
    <t>CUST7332</t>
  </si>
  <si>
    <t>ORD00234</t>
  </si>
  <si>
    <t>2024-02-08</t>
  </si>
  <si>
    <t>CUST5849</t>
  </si>
  <si>
    <t>ORD00235</t>
  </si>
  <si>
    <t>CUST5949</t>
  </si>
  <si>
    <t>Product_68</t>
  </si>
  <si>
    <t>ORD00236</t>
  </si>
  <si>
    <t>2022-02-23</t>
  </si>
  <si>
    <t>CUST6995</t>
  </si>
  <si>
    <t>ORD00237</t>
  </si>
  <si>
    <t>2022-11-04</t>
  </si>
  <si>
    <t>2022-11-10</t>
  </si>
  <si>
    <t>CUST3400</t>
  </si>
  <si>
    <t>Product_48</t>
  </si>
  <si>
    <t>ORD00238</t>
  </si>
  <si>
    <t>2024-06-08</t>
  </si>
  <si>
    <t>CUST6938</t>
  </si>
  <si>
    <t>Product_30</t>
  </si>
  <si>
    <t>ORD00239</t>
  </si>
  <si>
    <t>2022-08-07</t>
  </si>
  <si>
    <t>CUST7466</t>
  </si>
  <si>
    <t>Product_92</t>
  </si>
  <si>
    <t>ORD00240</t>
  </si>
  <si>
    <t>CUST6813</t>
  </si>
  <si>
    <t>ORD00241</t>
  </si>
  <si>
    <t>2024-09-20</t>
  </si>
  <si>
    <t>ORD00242</t>
  </si>
  <si>
    <t>2023-03-15</t>
  </si>
  <si>
    <t>CUST6828</t>
  </si>
  <si>
    <t>ORD00243</t>
  </si>
  <si>
    <t>CUST3518</t>
  </si>
  <si>
    <t>ORD00244</t>
  </si>
  <si>
    <t>CUST5125</t>
  </si>
  <si>
    <t>ORD00245</t>
  </si>
  <si>
    <t>2022-08-18</t>
  </si>
  <si>
    <t>CUST8552</t>
  </si>
  <si>
    <t>ORD00246</t>
  </si>
  <si>
    <t>CUST5404</t>
  </si>
  <si>
    <t>Product_65</t>
  </si>
  <si>
    <t>ORD00247</t>
  </si>
  <si>
    <t>2024-06-01</t>
  </si>
  <si>
    <t>2024-06-09</t>
  </si>
  <si>
    <t>CUST4632</t>
  </si>
  <si>
    <t>Product_86</t>
  </si>
  <si>
    <t>ORD00248</t>
  </si>
  <si>
    <t>CUST3779</t>
  </si>
  <si>
    <t>ORD00249</t>
  </si>
  <si>
    <t>CUST7465</t>
  </si>
  <si>
    <t>ORD00250</t>
  </si>
  <si>
    <t>2022-07-27</t>
  </si>
  <si>
    <t>2022-08-01</t>
  </si>
  <si>
    <t>CUST3703</t>
  </si>
  <si>
    <t>Product_134</t>
  </si>
  <si>
    <t>ORD00251</t>
  </si>
  <si>
    <t>2024-07-06</t>
  </si>
  <si>
    <t>CUST7091</t>
  </si>
  <si>
    <t>ORD00252</t>
  </si>
  <si>
    <t>2023-08-20</t>
  </si>
  <si>
    <t>2023-08-30</t>
  </si>
  <si>
    <t>CUST3059</t>
  </si>
  <si>
    <t>ORD00253</t>
  </si>
  <si>
    <t>2024-04-18</t>
  </si>
  <si>
    <t>2024-04-27</t>
  </si>
  <si>
    <t>CUST6972</t>
  </si>
  <si>
    <t>ORD00254</t>
  </si>
  <si>
    <t>2023-05-29</t>
  </si>
  <si>
    <t>CUST3713</t>
  </si>
  <si>
    <t>ORD00255</t>
  </si>
  <si>
    <t>2023-09-08</t>
  </si>
  <si>
    <t>CUST7921</t>
  </si>
  <si>
    <t>ORD00256</t>
  </si>
  <si>
    <t>CUST9911</t>
  </si>
  <si>
    <t>ORD00257</t>
  </si>
  <si>
    <t>CUST5774</t>
  </si>
  <si>
    <t>ORD00258</t>
  </si>
  <si>
    <t>2023-09-13</t>
  </si>
  <si>
    <t>CUST2510</t>
  </si>
  <si>
    <t>Product_170</t>
  </si>
  <si>
    <t>ORD00259</t>
  </si>
  <si>
    <t>2024-06-02</t>
  </si>
  <si>
    <t>CUST8149</t>
  </si>
  <si>
    <t>ORD00260</t>
  </si>
  <si>
    <t>CUST5387</t>
  </si>
  <si>
    <t>ORD00261</t>
  </si>
  <si>
    <t>2024-03-10</t>
  </si>
  <si>
    <t>CUST6814</t>
  </si>
  <si>
    <t>ORD00262</t>
  </si>
  <si>
    <t>2022-05-23</t>
  </si>
  <si>
    <t>2022-05-30</t>
  </si>
  <si>
    <t>CUST9394</t>
  </si>
  <si>
    <t>ORD00263</t>
  </si>
  <si>
    <t>2022-05-19</t>
  </si>
  <si>
    <t>CUST8922</t>
  </si>
  <si>
    <t>ORD00264</t>
  </si>
  <si>
    <t>CUST7657</t>
  </si>
  <si>
    <t>ORD00265</t>
  </si>
  <si>
    <t>2022-06-02</t>
  </si>
  <si>
    <t>CUST3619</t>
  </si>
  <si>
    <t>ORD00266</t>
  </si>
  <si>
    <t>2023-02-24</t>
  </si>
  <si>
    <t>CUST2604</t>
  </si>
  <si>
    <t>Product_15</t>
  </si>
  <si>
    <t>ORD00267</t>
  </si>
  <si>
    <t>2024-08-16</t>
  </si>
  <si>
    <t>2024-08-19</t>
  </si>
  <si>
    <t>CUST6277</t>
  </si>
  <si>
    <t>ORD00268</t>
  </si>
  <si>
    <t>2023-07-03</t>
  </si>
  <si>
    <t>2023-07-12</t>
  </si>
  <si>
    <t>CUST7691</t>
  </si>
  <si>
    <t>ORD00269</t>
  </si>
  <si>
    <t>2023-09-15</t>
  </si>
  <si>
    <t>2023-09-21</t>
  </si>
  <si>
    <t>CUST8216</t>
  </si>
  <si>
    <t>ORD00270</t>
  </si>
  <si>
    <t>2022-08-31</t>
  </si>
  <si>
    <t>2022-09-06</t>
  </si>
  <si>
    <t>CUST1674</t>
  </si>
  <si>
    <t>ORD00271</t>
  </si>
  <si>
    <t>2022-01-11</t>
  </si>
  <si>
    <t>2022-01-15</t>
  </si>
  <si>
    <t>CUST4734</t>
  </si>
  <si>
    <t>ORD00272</t>
  </si>
  <si>
    <t>2022-09-12</t>
  </si>
  <si>
    <t>CUST8272</t>
  </si>
  <si>
    <t>ORD00273</t>
  </si>
  <si>
    <t>CUST4697</t>
  </si>
  <si>
    <t>ORD00274</t>
  </si>
  <si>
    <t>2023-03-07</t>
  </si>
  <si>
    <t>CUST2155</t>
  </si>
  <si>
    <t>ORD00275</t>
  </si>
  <si>
    <t>2023-12-28</t>
  </si>
  <si>
    <t>2023-12-29</t>
  </si>
  <si>
    <t>CUST2117</t>
  </si>
  <si>
    <t>Product_152</t>
  </si>
  <si>
    <t>ORD00276</t>
  </si>
  <si>
    <t>CUST4867</t>
  </si>
  <si>
    <t>ORD00277</t>
  </si>
  <si>
    <t>2023-01-30</t>
  </si>
  <si>
    <t>CUST9540</t>
  </si>
  <si>
    <t>ORD00278</t>
  </si>
  <si>
    <t>2022-09-28</t>
  </si>
  <si>
    <t>2022-10-03</t>
  </si>
  <si>
    <t>CUST5947</t>
  </si>
  <si>
    <t>ORD00279</t>
  </si>
  <si>
    <t>2022-07-24</t>
  </si>
  <si>
    <t>2022-07-29</t>
  </si>
  <si>
    <t>CUST4618</t>
  </si>
  <si>
    <t>ORD00280</t>
  </si>
  <si>
    <t>CUST8249</t>
  </si>
  <si>
    <t>ORD00281</t>
  </si>
  <si>
    <t>2022-12-16</t>
  </si>
  <si>
    <t>CUST7203</t>
  </si>
  <si>
    <t>Product_108</t>
  </si>
  <si>
    <t>ORD00282</t>
  </si>
  <si>
    <t>CUST8854</t>
  </si>
  <si>
    <t>ORD00283</t>
  </si>
  <si>
    <t>CUST6664</t>
  </si>
  <si>
    <t>ORD00284</t>
  </si>
  <si>
    <t>CUST1743</t>
  </si>
  <si>
    <t>Product_194</t>
  </si>
  <si>
    <t>ORD00285</t>
  </si>
  <si>
    <t>2024-06-23</t>
  </si>
  <si>
    <t>CUST1253</t>
  </si>
  <si>
    <t>ORD00286</t>
  </si>
  <si>
    <t>2022-08-29</t>
  </si>
  <si>
    <t>CUST7678</t>
  </si>
  <si>
    <t>ORD00287</t>
  </si>
  <si>
    <t>2022-12-07</t>
  </si>
  <si>
    <t>2022-12-11</t>
  </si>
  <si>
    <t>CUST5500</t>
  </si>
  <si>
    <t>ORD00288</t>
  </si>
  <si>
    <t>2022-02-26</t>
  </si>
  <si>
    <t>CUST9194</t>
  </si>
  <si>
    <t>ORD00289</t>
  </si>
  <si>
    <t>2024-05-24</t>
  </si>
  <si>
    <t>2024-05-28</t>
  </si>
  <si>
    <t>CUST8331</t>
  </si>
  <si>
    <t>ORD00290</t>
  </si>
  <si>
    <t>2022-12-24</t>
  </si>
  <si>
    <t>CUST5165</t>
  </si>
  <si>
    <t>ORD00291</t>
  </si>
  <si>
    <t>2023-03-23</t>
  </si>
  <si>
    <t>2023-03-24</t>
  </si>
  <si>
    <t>CUST4015</t>
  </si>
  <si>
    <t>ORD00292</t>
  </si>
  <si>
    <t>2024-04-17</t>
  </si>
  <si>
    <t>ORD00293</t>
  </si>
  <si>
    <t>CUST2939</t>
  </si>
  <si>
    <t>ORD00294</t>
  </si>
  <si>
    <t>2023-06-01</t>
  </si>
  <si>
    <t>CUST4190</t>
  </si>
  <si>
    <t>ORD00295</t>
  </si>
  <si>
    <t>2022-12-15</t>
  </si>
  <si>
    <t>2022-12-25</t>
  </si>
  <si>
    <t>CUST9800</t>
  </si>
  <si>
    <t>Product_145</t>
  </si>
  <si>
    <t>ORD00296</t>
  </si>
  <si>
    <t>2023-01-18</t>
  </si>
  <si>
    <t>2023-01-25</t>
  </si>
  <si>
    <t>CUST4928</t>
  </si>
  <si>
    <t>ORD00297</t>
  </si>
  <si>
    <t>2024-02-09</t>
  </si>
  <si>
    <t>CUST9564</t>
  </si>
  <si>
    <t>ORD00298</t>
  </si>
  <si>
    <t>2022-02-27</t>
  </si>
  <si>
    <t>2022-03-09</t>
  </si>
  <si>
    <t>CUST1162</t>
  </si>
  <si>
    <t>ORD00299</t>
  </si>
  <si>
    <t>2024-09-22</t>
  </si>
  <si>
    <t>2024-09-26</t>
  </si>
  <si>
    <t>CUST2231</t>
  </si>
  <si>
    <t>ORD00300</t>
  </si>
  <si>
    <t>2023-06-05</t>
  </si>
  <si>
    <t>CUST6882</t>
  </si>
  <si>
    <t>ORD00301</t>
  </si>
  <si>
    <t>CUST3209</t>
  </si>
  <si>
    <t>ORD00302</t>
  </si>
  <si>
    <t>2023-11-16</t>
  </si>
  <si>
    <t>2023-11-24</t>
  </si>
  <si>
    <t>CUST9138</t>
  </si>
  <si>
    <t>ORD00303</t>
  </si>
  <si>
    <t>CUST5880</t>
  </si>
  <si>
    <t>ORD00304</t>
  </si>
  <si>
    <t>2023-04-02</t>
  </si>
  <si>
    <t>CUST1614</t>
  </si>
  <si>
    <t>Product_128</t>
  </si>
  <si>
    <t>ORD00305</t>
  </si>
  <si>
    <t>2023-05-06</t>
  </si>
  <si>
    <t>CUST3553</t>
  </si>
  <si>
    <t>ORD00306</t>
  </si>
  <si>
    <t>2023-08-08</t>
  </si>
  <si>
    <t>CUST8757</t>
  </si>
  <si>
    <t>ORD00307</t>
  </si>
  <si>
    <t>2023-07-09</t>
  </si>
  <si>
    <t>CUST4700</t>
  </si>
  <si>
    <t>ORD00308</t>
  </si>
  <si>
    <t>CUST1000</t>
  </si>
  <si>
    <t>Product_153</t>
  </si>
  <si>
    <t>ORD00309</t>
  </si>
  <si>
    <t>2022-10-09</t>
  </si>
  <si>
    <t>CUST2715</t>
  </si>
  <si>
    <t>ORD00310</t>
  </si>
  <si>
    <t>2023-03-12</t>
  </si>
  <si>
    <t>CUST1145</t>
  </si>
  <si>
    <t>ORD00311</t>
  </si>
  <si>
    <t>CUST4306</t>
  </si>
  <si>
    <t>ORD00312</t>
  </si>
  <si>
    <t>2022-06-19</t>
  </si>
  <si>
    <t>2022-06-27</t>
  </si>
  <si>
    <t>CUST9494</t>
  </si>
  <si>
    <t>ORD00313</t>
  </si>
  <si>
    <t>CUST1164</t>
  </si>
  <si>
    <t>ORD00314</t>
  </si>
  <si>
    <t>2022-07-10</t>
  </si>
  <si>
    <t>2022-07-12</t>
  </si>
  <si>
    <t>CUST1244</t>
  </si>
  <si>
    <t>ORD00315</t>
  </si>
  <si>
    <t>CUST8492</t>
  </si>
  <si>
    <t>ORD00316</t>
  </si>
  <si>
    <t>2023-01-15</t>
  </si>
  <si>
    <t>CUST3173</t>
  </si>
  <si>
    <t>ORD00317</t>
  </si>
  <si>
    <t>2022-11-13</t>
  </si>
  <si>
    <t>2022-11-20</t>
  </si>
  <si>
    <t>CUST6230</t>
  </si>
  <si>
    <t>Product_103</t>
  </si>
  <si>
    <t>ORD00318</t>
  </si>
  <si>
    <t>2022-01-19</t>
  </si>
  <si>
    <t>2022-01-23</t>
  </si>
  <si>
    <t>CUST1070</t>
  </si>
  <si>
    <t>ORD00319</t>
  </si>
  <si>
    <t>2022-09-26</t>
  </si>
  <si>
    <t>CUST8022</t>
  </si>
  <si>
    <t>ORD00320</t>
  </si>
  <si>
    <t>CUST7117</t>
  </si>
  <si>
    <t>ORD00321</t>
  </si>
  <si>
    <t>CUST9599</t>
  </si>
  <si>
    <t>ORD00322</t>
  </si>
  <si>
    <t>2022-04-24</t>
  </si>
  <si>
    <t>2022-04-25</t>
  </si>
  <si>
    <t>CUST4495</t>
  </si>
  <si>
    <t>Product_55</t>
  </si>
  <si>
    <t>ORD00323</t>
  </si>
  <si>
    <t>2023-02-07</t>
  </si>
  <si>
    <t>CUST9916</t>
  </si>
  <si>
    <t>ORD00324</t>
  </si>
  <si>
    <t>2022-09-18</t>
  </si>
  <si>
    <t>2022-09-23</t>
  </si>
  <si>
    <t>CUST2211</t>
  </si>
  <si>
    <t>Product_59</t>
  </si>
  <si>
    <t>ORD00325</t>
  </si>
  <si>
    <t>CUST3513</t>
  </si>
  <si>
    <t>ORD00326</t>
  </si>
  <si>
    <t>2023-12-21</t>
  </si>
  <si>
    <t>CUST1453</t>
  </si>
  <si>
    <t>ORD00327</t>
  </si>
  <si>
    <t>2024-01-28</t>
  </si>
  <si>
    <t>2024-02-03</t>
  </si>
  <si>
    <t>CUST4568</t>
  </si>
  <si>
    <t>ORD00328</t>
  </si>
  <si>
    <t>2024-05-06</t>
  </si>
  <si>
    <t>CUST4130</t>
  </si>
  <si>
    <t>ORD00329</t>
  </si>
  <si>
    <t>2024-09-04</t>
  </si>
  <si>
    <t>2024-09-13</t>
  </si>
  <si>
    <t>CUST3720</t>
  </si>
  <si>
    <t>ORD00330</t>
  </si>
  <si>
    <t>2022-04-22</t>
  </si>
  <si>
    <t>CUST8591</t>
  </si>
  <si>
    <t>ORD00331</t>
  </si>
  <si>
    <t>2024-02-26</t>
  </si>
  <si>
    <t>CUST8623</t>
  </si>
  <si>
    <t>ORD00332</t>
  </si>
  <si>
    <t>CUST3132</t>
  </si>
  <si>
    <t>ORD00333</t>
  </si>
  <si>
    <t>CUST9313</t>
  </si>
  <si>
    <t>ORD00334</t>
  </si>
  <si>
    <t>CUST2735</t>
  </si>
  <si>
    <t>ORD00335</t>
  </si>
  <si>
    <t>2023-07-01</t>
  </si>
  <si>
    <t>2023-07-11</t>
  </si>
  <si>
    <t>CUST1301</t>
  </si>
  <si>
    <t>Product_4</t>
  </si>
  <si>
    <t>ORD00336</t>
  </si>
  <si>
    <t>CUST6171</t>
  </si>
  <si>
    <t>ORD00337</t>
  </si>
  <si>
    <t>2023-10-04</t>
  </si>
  <si>
    <t>2023-10-11</t>
  </si>
  <si>
    <t>CUST9745</t>
  </si>
  <si>
    <t>ORD00338</t>
  </si>
  <si>
    <t>2024-06-25</t>
  </si>
  <si>
    <t>2024-06-30</t>
  </si>
  <si>
    <t>CUST4819</t>
  </si>
  <si>
    <t>Product_165</t>
  </si>
  <si>
    <t>ORD00339</t>
  </si>
  <si>
    <t>2024-01-25</t>
  </si>
  <si>
    <t>CUST2852</t>
  </si>
  <si>
    <t>ORD00340</t>
  </si>
  <si>
    <t>CUST3061</t>
  </si>
  <si>
    <t>ORD00341</t>
  </si>
  <si>
    <t>2023-09-12</t>
  </si>
  <si>
    <t>2023-09-22</t>
  </si>
  <si>
    <t>CUST3154</t>
  </si>
  <si>
    <t>ORD00342</t>
  </si>
  <si>
    <t>CUST3182</t>
  </si>
  <si>
    <t>ORD00343</t>
  </si>
  <si>
    <t>2022-11-21</t>
  </si>
  <si>
    <t>2022-11-25</t>
  </si>
  <si>
    <t>CUST2585</t>
  </si>
  <si>
    <t>ORD00344</t>
  </si>
  <si>
    <t>2024-07-04</t>
  </si>
  <si>
    <t>CUST2051</t>
  </si>
  <si>
    <t>ORD00345</t>
  </si>
  <si>
    <t>2023-06-03</t>
  </si>
  <si>
    <t>CUST5267</t>
  </si>
  <si>
    <t>ORD00346</t>
  </si>
  <si>
    <t>2023-07-18</t>
  </si>
  <si>
    <t>CUST9687</t>
  </si>
  <si>
    <t>ORD00347</t>
  </si>
  <si>
    <t>2023-07-05</t>
  </si>
  <si>
    <t>CUST4131</t>
  </si>
  <si>
    <t>Product_72</t>
  </si>
  <si>
    <t>ORD00348</t>
  </si>
  <si>
    <t>CUST5515</t>
  </si>
  <si>
    <t>Product_129</t>
  </si>
  <si>
    <t>ORD00349</t>
  </si>
  <si>
    <t>CUST1593</t>
  </si>
  <si>
    <t>ORD00350</t>
  </si>
  <si>
    <t>CUST4953</t>
  </si>
  <si>
    <t>ORD00351</t>
  </si>
  <si>
    <t>2022-05-11</t>
  </si>
  <si>
    <t>CUST4267</t>
  </si>
  <si>
    <t>ORD00352</t>
  </si>
  <si>
    <t>CUST4034</t>
  </si>
  <si>
    <t>ORD00353</t>
  </si>
  <si>
    <t>2023-09-10</t>
  </si>
  <si>
    <t>CUST4323</t>
  </si>
  <si>
    <t>ORD00354</t>
  </si>
  <si>
    <t>CUST4578</t>
  </si>
  <si>
    <t>Product_117</t>
  </si>
  <si>
    <t>ORD00355</t>
  </si>
  <si>
    <t>2023-03-27</t>
  </si>
  <si>
    <t>CUST5817</t>
  </si>
  <si>
    <t>ORD00356</t>
  </si>
  <si>
    <t>2023-05-14</t>
  </si>
  <si>
    <t>CUST9417</t>
  </si>
  <si>
    <t>ORD00357</t>
  </si>
  <si>
    <t>2024-07-25</t>
  </si>
  <si>
    <t>2024-08-04</t>
  </si>
  <si>
    <t>CUST3360</t>
  </si>
  <si>
    <t>ORD00358</t>
  </si>
  <si>
    <t>CUST9942</t>
  </si>
  <si>
    <t>ORD00359</t>
  </si>
  <si>
    <t>2022-11-15</t>
  </si>
  <si>
    <t>CUST1579</t>
  </si>
  <si>
    <t>ORD00360</t>
  </si>
  <si>
    <t>2023-02-08</t>
  </si>
  <si>
    <t>ORD00361</t>
  </si>
  <si>
    <t>2023-03-03</t>
  </si>
  <si>
    <t>CUST3104</t>
  </si>
  <si>
    <t>ORD00362</t>
  </si>
  <si>
    <t>CUST8169</t>
  </si>
  <si>
    <t>ORD00363</t>
  </si>
  <si>
    <t>CUST6586</t>
  </si>
  <si>
    <t>ORD00364</t>
  </si>
  <si>
    <t>CUST9107</t>
  </si>
  <si>
    <t>ORD00365</t>
  </si>
  <si>
    <t>2023-11-01</t>
  </si>
  <si>
    <t>CUST6361</t>
  </si>
  <si>
    <t>ORD00366</t>
  </si>
  <si>
    <t>CUST2431</t>
  </si>
  <si>
    <t>ORD00367</t>
  </si>
  <si>
    <t>2023-02-17</t>
  </si>
  <si>
    <t>CUST8800</t>
  </si>
  <si>
    <t>ORD00368</t>
  </si>
  <si>
    <t>2023-07-25</t>
  </si>
  <si>
    <t>CUST4411</t>
  </si>
  <si>
    <t>ORD00369</t>
  </si>
  <si>
    <t>2022-09-24</t>
  </si>
  <si>
    <t>CUST9505</t>
  </si>
  <si>
    <t>ORD00370</t>
  </si>
  <si>
    <t>2022-09-19</t>
  </si>
  <si>
    <t>CUST1287</t>
  </si>
  <si>
    <t>ORD00371</t>
  </si>
  <si>
    <t>2023-01-21</t>
  </si>
  <si>
    <t>CUST4767</t>
  </si>
  <si>
    <t>Product_115</t>
  </si>
  <si>
    <t>ORD00372</t>
  </si>
  <si>
    <t>2022-02-07</t>
  </si>
  <si>
    <t>CUST4641</t>
  </si>
  <si>
    <t>ORD00373</t>
  </si>
  <si>
    <t>CUST9586</t>
  </si>
  <si>
    <t>ORD00374</t>
  </si>
  <si>
    <t>2024-08-22</t>
  </si>
  <si>
    <t>CUST3747</t>
  </si>
  <si>
    <t>ORD00375</t>
  </si>
  <si>
    <t>CUST2911</t>
  </si>
  <si>
    <t>ORD00376</t>
  </si>
  <si>
    <t>2023-05-11</t>
  </si>
  <si>
    <t>CUST6405</t>
  </si>
  <si>
    <t>ORD00377</t>
  </si>
  <si>
    <t>2024-09-05</t>
  </si>
  <si>
    <t>2024-09-15</t>
  </si>
  <si>
    <t>CUST5918</t>
  </si>
  <si>
    <t>ORD00378</t>
  </si>
  <si>
    <t>2024-07-02</t>
  </si>
  <si>
    <t>2024-07-10</t>
  </si>
  <si>
    <t>CUST8473</t>
  </si>
  <si>
    <t>ORD00379</t>
  </si>
  <si>
    <t>2024-09-11</t>
  </si>
  <si>
    <t>CUST9093</t>
  </si>
  <si>
    <t>ORD00380</t>
  </si>
  <si>
    <t>2023-06-21</t>
  </si>
  <si>
    <t>2023-06-24</t>
  </si>
  <si>
    <t>ORD00381</t>
  </si>
  <si>
    <t>CUST3958</t>
  </si>
  <si>
    <t>ORD00382</t>
  </si>
  <si>
    <t>2022-10-21</t>
  </si>
  <si>
    <t>CUST8682</t>
  </si>
  <si>
    <t>ORD00383</t>
  </si>
  <si>
    <t>2024-07-29</t>
  </si>
  <si>
    <t>CUST1230</t>
  </si>
  <si>
    <t>ORD00384</t>
  </si>
  <si>
    <t>CUST7268</t>
  </si>
  <si>
    <t>Product_186</t>
  </si>
  <si>
    <t>ORD00385</t>
  </si>
  <si>
    <t>2023-11-27</t>
  </si>
  <si>
    <t>CUST2104</t>
  </si>
  <si>
    <t>Product_14</t>
  </si>
  <si>
    <t>ORD00386</t>
  </si>
  <si>
    <t>2023-06-26</t>
  </si>
  <si>
    <t>CUST1026</t>
  </si>
  <si>
    <t>ORD00387</t>
  </si>
  <si>
    <t>CUST9872</t>
  </si>
  <si>
    <t>ORD00388</t>
  </si>
  <si>
    <t>2023-09-28</t>
  </si>
  <si>
    <t>CUST1559</t>
  </si>
  <si>
    <t>ORD00389</t>
  </si>
  <si>
    <t>2022-02-28</t>
  </si>
  <si>
    <t>CUST3153</t>
  </si>
  <si>
    <t>ORD00390</t>
  </si>
  <si>
    <t>CUST2339</t>
  </si>
  <si>
    <t>ORD00391</t>
  </si>
  <si>
    <t>2023-11-14</t>
  </si>
  <si>
    <t>2023-11-19</t>
  </si>
  <si>
    <t>CUST2350</t>
  </si>
  <si>
    <t>ORD00392</t>
  </si>
  <si>
    <t>2023-10-19</t>
  </si>
  <si>
    <t>CUST5658</t>
  </si>
  <si>
    <t>ORD00393</t>
  </si>
  <si>
    <t>CUST5375</t>
  </si>
  <si>
    <t>ORD00394</t>
  </si>
  <si>
    <t>CUST1175</t>
  </si>
  <si>
    <t>Product_180</t>
  </si>
  <si>
    <t>ORD00395</t>
  </si>
  <si>
    <t>2023-07-22</t>
  </si>
  <si>
    <t>CUST2914</t>
  </si>
  <si>
    <t>Product_144</t>
  </si>
  <si>
    <t>ORD00396</t>
  </si>
  <si>
    <t>CUST8936</t>
  </si>
  <si>
    <t>ORD00397</t>
  </si>
  <si>
    <t>2023-02-16</t>
  </si>
  <si>
    <t>2023-02-22</t>
  </si>
  <si>
    <t>CUST9358</t>
  </si>
  <si>
    <t>ORD00398</t>
  </si>
  <si>
    <t>CUST3802</t>
  </si>
  <si>
    <t>ORD00399</t>
  </si>
  <si>
    <t>CUST3312</t>
  </si>
  <si>
    <t>ORD00400</t>
  </si>
  <si>
    <t>CUST9600</t>
  </si>
  <si>
    <t>ORD00401</t>
  </si>
  <si>
    <t>CUST1565</t>
  </si>
  <si>
    <t>ORD00402</t>
  </si>
  <si>
    <t>CUST5606</t>
  </si>
  <si>
    <t>ORD00403</t>
  </si>
  <si>
    <t>CUST2622</t>
  </si>
  <si>
    <t>ORD00404</t>
  </si>
  <si>
    <t>2023-10-23</t>
  </si>
  <si>
    <t>2023-10-30</t>
  </si>
  <si>
    <t>CUST9352</t>
  </si>
  <si>
    <t>Product_135</t>
  </si>
  <si>
    <t>ORD00405</t>
  </si>
  <si>
    <t>CUST7014</t>
  </si>
  <si>
    <t>ORD00406</t>
  </si>
  <si>
    <t>2022-12-06</t>
  </si>
  <si>
    <t>CUST5231</t>
  </si>
  <si>
    <t>ORD00407</t>
  </si>
  <si>
    <t>2022-12-26</t>
  </si>
  <si>
    <t>CUST8246</t>
  </si>
  <si>
    <t>ORD00408</t>
  </si>
  <si>
    <t>2024-08-05</t>
  </si>
  <si>
    <t>2024-08-13</t>
  </si>
  <si>
    <t>CUST9084</t>
  </si>
  <si>
    <t>ORD00409</t>
  </si>
  <si>
    <t>2024-05-23</t>
  </si>
  <si>
    <t>2024-05-30</t>
  </si>
  <si>
    <t>CUST2058</t>
  </si>
  <si>
    <t>ORD00410</t>
  </si>
  <si>
    <t>2022-11-14</t>
  </si>
  <si>
    <t>CUST6970</t>
  </si>
  <si>
    <t>ORD00411</t>
  </si>
  <si>
    <t>2022-06-06</t>
  </si>
  <si>
    <t>CUST4556</t>
  </si>
  <si>
    <t>ORD00412</t>
  </si>
  <si>
    <t>CUST4138</t>
  </si>
  <si>
    <t>ORD00413</t>
  </si>
  <si>
    <t>2023-12-08</t>
  </si>
  <si>
    <t>CUST6333</t>
  </si>
  <si>
    <t>ORD00414</t>
  </si>
  <si>
    <t>2023-06-27</t>
  </si>
  <si>
    <t>CUST8945</t>
  </si>
  <si>
    <t>ORD00415</t>
  </si>
  <si>
    <t>CUST4283</t>
  </si>
  <si>
    <t>ORD00416</t>
  </si>
  <si>
    <t>CUST1830</t>
  </si>
  <si>
    <t>ORD00417</t>
  </si>
  <si>
    <t>2023-06-19</t>
  </si>
  <si>
    <t>ORD00418</t>
  </si>
  <si>
    <t>2022-03-17</t>
  </si>
  <si>
    <t>2022-03-25</t>
  </si>
  <si>
    <t>CUST5354</t>
  </si>
  <si>
    <t>ORD00419</t>
  </si>
  <si>
    <t>2022-07-26</t>
  </si>
  <si>
    <t>2022-08-02</t>
  </si>
  <si>
    <t>CUST5114</t>
  </si>
  <si>
    <t>ORD00420</t>
  </si>
  <si>
    <t>2024-01-19</t>
  </si>
  <si>
    <t>CUST8764</t>
  </si>
  <si>
    <t>ORD00421</t>
  </si>
  <si>
    <t>2024-03-15</t>
  </si>
  <si>
    <t>CUST4585</t>
  </si>
  <si>
    <t>ORD00422</t>
  </si>
  <si>
    <t>2023-01-20</t>
  </si>
  <si>
    <t>CUST2728</t>
  </si>
  <si>
    <t>Product_169</t>
  </si>
  <si>
    <t>ORD00423</t>
  </si>
  <si>
    <t>2024-07-12</t>
  </si>
  <si>
    <t>CUST3836</t>
  </si>
  <si>
    <t>ORD00424</t>
  </si>
  <si>
    <t>2024-01-16</t>
  </si>
  <si>
    <t>2024-01-26</t>
  </si>
  <si>
    <t>CUST9899</t>
  </si>
  <si>
    <t>ORD00425</t>
  </si>
  <si>
    <t>CUST4204</t>
  </si>
  <si>
    <t>ORD00426</t>
  </si>
  <si>
    <t>2023-07-16</t>
  </si>
  <si>
    <t>2023-07-20</t>
  </si>
  <si>
    <t>CUST7931</t>
  </si>
  <si>
    <t>ORD00427</t>
  </si>
  <si>
    <t>2023-02-20</t>
  </si>
  <si>
    <t>2023-02-27</t>
  </si>
  <si>
    <t>CUST7225</t>
  </si>
  <si>
    <t>ORD00428</t>
  </si>
  <si>
    <t>CUST2664</t>
  </si>
  <si>
    <t>ORD00429</t>
  </si>
  <si>
    <t>2022-03-01</t>
  </si>
  <si>
    <t>CUST2574</t>
  </si>
  <si>
    <t>ORD00430</t>
  </si>
  <si>
    <t>CUST8101</t>
  </si>
  <si>
    <t>ORD00431</t>
  </si>
  <si>
    <t>CUST8913</t>
  </si>
  <si>
    <t>Product_122</t>
  </si>
  <si>
    <t>ORD00432</t>
  </si>
  <si>
    <t>CUST3922</t>
  </si>
  <si>
    <t>ORD00433</t>
  </si>
  <si>
    <t>CUST5866</t>
  </si>
  <si>
    <t>ORD00434</t>
  </si>
  <si>
    <t>2023-07-24</t>
  </si>
  <si>
    <t>2023-08-03</t>
  </si>
  <si>
    <t>CUST6486</t>
  </si>
  <si>
    <t>ORD00435</t>
  </si>
  <si>
    <t>2023-11-28</t>
  </si>
  <si>
    <t>CUST9102</t>
  </si>
  <si>
    <t>ORD00436</t>
  </si>
  <si>
    <t>2024-08-28</t>
  </si>
  <si>
    <t>CUST3044</t>
  </si>
  <si>
    <t>Product_29</t>
  </si>
  <si>
    <t>ORD00437</t>
  </si>
  <si>
    <t>2023-11-05</t>
  </si>
  <si>
    <t>CUST5442</t>
  </si>
  <si>
    <t>ORD00438</t>
  </si>
  <si>
    <t>2023-12-26</t>
  </si>
  <si>
    <t>CUST8042</t>
  </si>
  <si>
    <t>ORD00439</t>
  </si>
  <si>
    <t>2022-06-10</t>
  </si>
  <si>
    <t>2022-06-11</t>
  </si>
  <si>
    <t>CUST3449</t>
  </si>
  <si>
    <t>ORD00440</t>
  </si>
  <si>
    <t>2024-01-31</t>
  </si>
  <si>
    <t>CUST9123</t>
  </si>
  <si>
    <t>ORD00441</t>
  </si>
  <si>
    <t>2023-08-14</t>
  </si>
  <si>
    <t>CUST2526</t>
  </si>
  <si>
    <t>ORD00442</t>
  </si>
  <si>
    <t>CUST1414</t>
  </si>
  <si>
    <t>ORD00443</t>
  </si>
  <si>
    <t>2022-01-24</t>
  </si>
  <si>
    <t>2022-01-27</t>
  </si>
  <si>
    <t>CUST5685</t>
  </si>
  <si>
    <t>ORD00444</t>
  </si>
  <si>
    <t>CUST3121</t>
  </si>
  <si>
    <t>ORD00445</t>
  </si>
  <si>
    <t>2023-05-01</t>
  </si>
  <si>
    <t>CUST4886</t>
  </si>
  <si>
    <t>Product_87</t>
  </si>
  <si>
    <t>ORD00446</t>
  </si>
  <si>
    <t>CUST4018</t>
  </si>
  <si>
    <t>ORD00447</t>
  </si>
  <si>
    <t>CUST8344</t>
  </si>
  <si>
    <t>ORD00448</t>
  </si>
  <si>
    <t>CUST2473</t>
  </si>
  <si>
    <t>ORD00449</t>
  </si>
  <si>
    <t>2022-12-03</t>
  </si>
  <si>
    <t>2022-12-12</t>
  </si>
  <si>
    <t>CUST7176</t>
  </si>
  <si>
    <t>ORD00450</t>
  </si>
  <si>
    <t>2024-05-01</t>
  </si>
  <si>
    <t>CUST4980</t>
  </si>
  <si>
    <t>ORD00451</t>
  </si>
  <si>
    <t>2024-02-20</t>
  </si>
  <si>
    <t>CUST1761</t>
  </si>
  <si>
    <t>ORD00452</t>
  </si>
  <si>
    <t>2022-02-25</t>
  </si>
  <si>
    <t>2022-03-07</t>
  </si>
  <si>
    <t>CUST3816</t>
  </si>
  <si>
    <t>ORD00453</t>
  </si>
  <si>
    <t>2023-02-09</t>
  </si>
  <si>
    <t>CUST3058</t>
  </si>
  <si>
    <t>ORD00454</t>
  </si>
  <si>
    <t>2022-04-10</t>
  </si>
  <si>
    <t>CUST9958</t>
  </si>
  <si>
    <t>ORD00455</t>
  </si>
  <si>
    <t>ORD00456</t>
  </si>
  <si>
    <t>CUST4177</t>
  </si>
  <si>
    <t>ORD00457</t>
  </si>
  <si>
    <t>2023-01-27</t>
  </si>
  <si>
    <t>ORD00458</t>
  </si>
  <si>
    <t>CUST1692</t>
  </si>
  <si>
    <t>Product_173</t>
  </si>
  <si>
    <t>ORD00459</t>
  </si>
  <si>
    <t>2023-06-02</t>
  </si>
  <si>
    <t>2023-06-10</t>
  </si>
  <si>
    <t>CUST8056</t>
  </si>
  <si>
    <t>ORD00460</t>
  </si>
  <si>
    <t>2022-08-06</t>
  </si>
  <si>
    <t>CUST2567</t>
  </si>
  <si>
    <t>ORD00461</t>
  </si>
  <si>
    <t>CUST7184</t>
  </si>
  <si>
    <t>ORD00462</t>
  </si>
  <si>
    <t>CUST6581</t>
  </si>
  <si>
    <t>ORD00463</t>
  </si>
  <si>
    <t>2024-07-20</t>
  </si>
  <si>
    <t>CUST8815</t>
  </si>
  <si>
    <t>ORD00464</t>
  </si>
  <si>
    <t>2022-12-19</t>
  </si>
  <si>
    <t>CUST1824</t>
  </si>
  <si>
    <t>ORD00465</t>
  </si>
  <si>
    <t>2022-11-22</t>
  </si>
  <si>
    <t>CUST8155</t>
  </si>
  <si>
    <t>ORD00466</t>
  </si>
  <si>
    <t>2022-05-18</t>
  </si>
  <si>
    <t>CUST6031</t>
  </si>
  <si>
    <t>ORD00467</t>
  </si>
  <si>
    <t>2022-03-06</t>
  </si>
  <si>
    <t>CUST7938</t>
  </si>
  <si>
    <t>ORD00468</t>
  </si>
  <si>
    <t>2022-01-25</t>
  </si>
  <si>
    <t>2022-02-01</t>
  </si>
  <si>
    <t>CUST5409</t>
  </si>
  <si>
    <t>ORD00469</t>
  </si>
  <si>
    <t>2022-02-09</t>
  </si>
  <si>
    <t>CUST9882</t>
  </si>
  <si>
    <t>Product_64</t>
  </si>
  <si>
    <t>ORD00470</t>
  </si>
  <si>
    <t>2022-09-17</t>
  </si>
  <si>
    <t>2022-09-27</t>
  </si>
  <si>
    <t>CUST6981</t>
  </si>
  <si>
    <t>ORD00471</t>
  </si>
  <si>
    <t>2022-09-10</t>
  </si>
  <si>
    <t>CUST8543</t>
  </si>
  <si>
    <t>Product_16</t>
  </si>
  <si>
    <t>ORD00472</t>
  </si>
  <si>
    <t>CUST1252</t>
  </si>
  <si>
    <t>ORD00473</t>
  </si>
  <si>
    <t>2024-07-16</t>
  </si>
  <si>
    <t>CUST1345</t>
  </si>
  <si>
    <t>ORD00474</t>
  </si>
  <si>
    <t>2023-08-22</t>
  </si>
  <si>
    <t>CUST1996</t>
  </si>
  <si>
    <t>ORD00475</t>
  </si>
  <si>
    <t>2023-08-18</t>
  </si>
  <si>
    <t>CUST3721</t>
  </si>
  <si>
    <t>ORD00476</t>
  </si>
  <si>
    <t>CUST5875</t>
  </si>
  <si>
    <t>ORD00477</t>
  </si>
  <si>
    <t>CUST8791</t>
  </si>
  <si>
    <t>Product_28</t>
  </si>
  <si>
    <t>ORD00478</t>
  </si>
  <si>
    <t>CUST5696</t>
  </si>
  <si>
    <t>ORD00479</t>
  </si>
  <si>
    <t>2023-04-26</t>
  </si>
  <si>
    <t>CUST8690</t>
  </si>
  <si>
    <t>ORD00480</t>
  </si>
  <si>
    <t>2022-04-27</t>
  </si>
  <si>
    <t>CUST7217</t>
  </si>
  <si>
    <t>ORD00481</t>
  </si>
  <si>
    <t>2023-07-21</t>
  </si>
  <si>
    <t>CUST3870</t>
  </si>
  <si>
    <t>ORD00482</t>
  </si>
  <si>
    <t>2022-10-14</t>
  </si>
  <si>
    <t>2022-10-17</t>
  </si>
  <si>
    <t>CUST7543</t>
  </si>
  <si>
    <t>ORD00483</t>
  </si>
  <si>
    <t>CUST1646</t>
  </si>
  <si>
    <t>ORD00484</t>
  </si>
  <si>
    <t>2022-10-01</t>
  </si>
  <si>
    <t>CUST9576</t>
  </si>
  <si>
    <t>ORD00485</t>
  </si>
  <si>
    <t>CUST3957</t>
  </si>
  <si>
    <t>ORD00486</t>
  </si>
  <si>
    <t>CUST5029</t>
  </si>
  <si>
    <t>ORD00487</t>
  </si>
  <si>
    <t>2023-11-07</t>
  </si>
  <si>
    <t>2023-11-09</t>
  </si>
  <si>
    <t>CUST1081</t>
  </si>
  <si>
    <t>ORD00488</t>
  </si>
  <si>
    <t>2023-09-11</t>
  </si>
  <si>
    <t>CUST9989</t>
  </si>
  <si>
    <t>ORD00489</t>
  </si>
  <si>
    <t>2024-06-13</t>
  </si>
  <si>
    <t>CUST5522</t>
  </si>
  <si>
    <t>ORD00490</t>
  </si>
  <si>
    <t>CUST1008</t>
  </si>
  <si>
    <t>ORD00491</t>
  </si>
  <si>
    <t>CUST8250</t>
  </si>
  <si>
    <t>Product_51</t>
  </si>
  <si>
    <t>ORD00492</t>
  </si>
  <si>
    <t>CUST9720</t>
  </si>
  <si>
    <t>ORD00493</t>
  </si>
  <si>
    <t>2023-01-06</t>
  </si>
  <si>
    <t>CUST1645</t>
  </si>
  <si>
    <t>ORD00494</t>
  </si>
  <si>
    <t>CUST1216</t>
  </si>
  <si>
    <t>ORD00495</t>
  </si>
  <si>
    <t>2022-09-02</t>
  </si>
  <si>
    <t>CUST9615</t>
  </si>
  <si>
    <t>ORD00496</t>
  </si>
  <si>
    <t>CUST1906</t>
  </si>
  <si>
    <t>Product_139</t>
  </si>
  <si>
    <t>ORD00497</t>
  </si>
  <si>
    <t>CUST2407</t>
  </si>
  <si>
    <t>ORD00498</t>
  </si>
  <si>
    <t>CUST6657</t>
  </si>
  <si>
    <t>ORD00499</t>
  </si>
  <si>
    <t>2022-08-10</t>
  </si>
  <si>
    <t>CUST1363</t>
  </si>
  <si>
    <t>ORD00500</t>
  </si>
  <si>
    <t>CUST2784</t>
  </si>
  <si>
    <t>ORD00501</t>
  </si>
  <si>
    <t>CUST2294</t>
  </si>
  <si>
    <t>ORD00502</t>
  </si>
  <si>
    <t>CUST3630</t>
  </si>
  <si>
    <t>ORD00503</t>
  </si>
  <si>
    <t>2024-07-19</t>
  </si>
  <si>
    <t>CUST7561</t>
  </si>
  <si>
    <t>ORD00504</t>
  </si>
  <si>
    <t>CUST9997</t>
  </si>
  <si>
    <t>ORD00505</t>
  </si>
  <si>
    <t>2022-01-12</t>
  </si>
  <si>
    <t>CUST5084</t>
  </si>
  <si>
    <t>ORD00506</t>
  </si>
  <si>
    <t>2023-01-28</t>
  </si>
  <si>
    <t>CUST9223</t>
  </si>
  <si>
    <t>ORD00507</t>
  </si>
  <si>
    <t>CUST5371</t>
  </si>
  <si>
    <t>ORD00508</t>
  </si>
  <si>
    <t>2022-10-12</t>
  </si>
  <si>
    <t>CUST7471</t>
  </si>
  <si>
    <t>ORD00509</t>
  </si>
  <si>
    <t>CUST8278</t>
  </si>
  <si>
    <t>ORD00510</t>
  </si>
  <si>
    <t>2024-08-02</t>
  </si>
  <si>
    <t>CUST6090</t>
  </si>
  <si>
    <t>Product_69</t>
  </si>
  <si>
    <t>ORD00511</t>
  </si>
  <si>
    <t>CUST2517</t>
  </si>
  <si>
    <t>ORD00512</t>
  </si>
  <si>
    <t>2024-02-02</t>
  </si>
  <si>
    <t>CUST4856</t>
  </si>
  <si>
    <t>ORD00513</t>
  </si>
  <si>
    <t>CUST6641</t>
  </si>
  <si>
    <t>ORD00514</t>
  </si>
  <si>
    <t>CUST5342</t>
  </si>
  <si>
    <t>Product_193</t>
  </si>
  <si>
    <t>ORD00515</t>
  </si>
  <si>
    <t>2024-03-12</t>
  </si>
  <si>
    <t>CUST5589</t>
  </si>
  <si>
    <t>ORD00516</t>
  </si>
  <si>
    <t>2024-08-23</t>
  </si>
  <si>
    <t>CUST3242</t>
  </si>
  <si>
    <t>Product_147</t>
  </si>
  <si>
    <t>ORD00517</t>
  </si>
  <si>
    <t>2022-04-23</t>
  </si>
  <si>
    <t>CUST3809</t>
  </si>
  <si>
    <t>ORD00518</t>
  </si>
  <si>
    <t>ORD00519</t>
  </si>
  <si>
    <t>2022-03-11</t>
  </si>
  <si>
    <t>2022-03-13</t>
  </si>
  <si>
    <t>CUST6721</t>
  </si>
  <si>
    <t>ORD00520</t>
  </si>
  <si>
    <t>CUST9626</t>
  </si>
  <si>
    <t>ORD00521</t>
  </si>
  <si>
    <t>CUST7510</t>
  </si>
  <si>
    <t>ORD00522</t>
  </si>
  <si>
    <t>CUST7611</t>
  </si>
  <si>
    <t>ORD00523</t>
  </si>
  <si>
    <t>CUST7666</t>
  </si>
  <si>
    <t>ORD00524</t>
  </si>
  <si>
    <t>2022-03-02</t>
  </si>
  <si>
    <t>CUST1747</t>
  </si>
  <si>
    <t>ORD00525</t>
  </si>
  <si>
    <t>2023-04-13</t>
  </si>
  <si>
    <t>CUST7634</t>
  </si>
  <si>
    <t>ORD00526</t>
  </si>
  <si>
    <t>2023-11-25</t>
  </si>
  <si>
    <t>CUST3247</t>
  </si>
  <si>
    <t>ORD00527</t>
  </si>
  <si>
    <t>2022-10-06</t>
  </si>
  <si>
    <t>CUST8113</t>
  </si>
  <si>
    <t>ORD00528</t>
  </si>
  <si>
    <t>2023-03-19</t>
  </si>
  <si>
    <t>CUST2399</t>
  </si>
  <si>
    <t>ORD00529</t>
  </si>
  <si>
    <t>2024-06-06</t>
  </si>
  <si>
    <t>CUST6637</t>
  </si>
  <si>
    <t>ORD00530</t>
  </si>
  <si>
    <t>2022-06-09</t>
  </si>
  <si>
    <t>CUST3428</t>
  </si>
  <si>
    <t>ORD00531</t>
  </si>
  <si>
    <t>2022-07-30</t>
  </si>
  <si>
    <t>2022-07-31</t>
  </si>
  <si>
    <t>CUST9507</t>
  </si>
  <si>
    <t>ORD00532</t>
  </si>
  <si>
    <t>CUST1970</t>
  </si>
  <si>
    <t>ORD00533</t>
  </si>
  <si>
    <t>2022-11-03</t>
  </si>
  <si>
    <t>CUST7260</t>
  </si>
  <si>
    <t>ORD00534</t>
  </si>
  <si>
    <t>2022-04-03</t>
  </si>
  <si>
    <t>CUST8986</t>
  </si>
  <si>
    <t>ORD00535</t>
  </si>
  <si>
    <t>2024-01-30</t>
  </si>
  <si>
    <t>CUST3626</t>
  </si>
  <si>
    <t>ORD00536</t>
  </si>
  <si>
    <t>CUST1458</t>
  </si>
  <si>
    <t>ORD00537</t>
  </si>
  <si>
    <t>2024-05-05</t>
  </si>
  <si>
    <t>ORD00538</t>
  </si>
  <si>
    <t>CUST4390</t>
  </si>
  <si>
    <t>ORD00539</t>
  </si>
  <si>
    <t>2024-01-07</t>
  </si>
  <si>
    <t>CUST9037</t>
  </si>
  <si>
    <t>ORD00540</t>
  </si>
  <si>
    <t>CUST6528</t>
  </si>
  <si>
    <t>ORD00541</t>
  </si>
  <si>
    <t>2024-06-18</t>
  </si>
  <si>
    <t>2024-06-19</t>
  </si>
  <si>
    <t>CUST2271</t>
  </si>
  <si>
    <t>ORD00542</t>
  </si>
  <si>
    <t>CUST6017</t>
  </si>
  <si>
    <t>ORD00543</t>
  </si>
  <si>
    <t>ORD00544</t>
  </si>
  <si>
    <t>CUST9583</t>
  </si>
  <si>
    <t>ORD00545</t>
  </si>
  <si>
    <t>2023-10-05</t>
  </si>
  <si>
    <t>CUST4637</t>
  </si>
  <si>
    <t>ORD00546</t>
  </si>
  <si>
    <t>2022-12-30</t>
  </si>
  <si>
    <t>2023-01-05</t>
  </si>
  <si>
    <t>CUST9589</t>
  </si>
  <si>
    <t>ORD00547</t>
  </si>
  <si>
    <t>2023-05-18</t>
  </si>
  <si>
    <t>ORD00548</t>
  </si>
  <si>
    <t>2022-06-14</t>
  </si>
  <si>
    <t>CUST9700</t>
  </si>
  <si>
    <t>ORD00549</t>
  </si>
  <si>
    <t>CUST5406</t>
  </si>
  <si>
    <t>ORD00550</t>
  </si>
  <si>
    <t>CUST1072</t>
  </si>
  <si>
    <t>ORD00551</t>
  </si>
  <si>
    <t>2024-07-30</t>
  </si>
  <si>
    <t>CUST5834</t>
  </si>
  <si>
    <t>Product_43</t>
  </si>
  <si>
    <t>ORD00552</t>
  </si>
  <si>
    <t>2022-01-07</t>
  </si>
  <si>
    <t>CUST7518</t>
  </si>
  <si>
    <t>ORD00553</t>
  </si>
  <si>
    <t>CUST7623</t>
  </si>
  <si>
    <t>ORD00554</t>
  </si>
  <si>
    <t>CUST4587</t>
  </si>
  <si>
    <t>ORD00555</t>
  </si>
  <si>
    <t>CUST6841</t>
  </si>
  <si>
    <t>ORD00556</t>
  </si>
  <si>
    <t>CUST7557</t>
  </si>
  <si>
    <t>ORD00557</t>
  </si>
  <si>
    <t>ORD00558</t>
  </si>
  <si>
    <t>2023-10-24</t>
  </si>
  <si>
    <t>CUST9046</t>
  </si>
  <si>
    <t>ORD00559</t>
  </si>
  <si>
    <t>ORD00560</t>
  </si>
  <si>
    <t>2022-12-04</t>
  </si>
  <si>
    <t>CUST7287</t>
  </si>
  <si>
    <t>ORD00561</t>
  </si>
  <si>
    <t>2022-02-05</t>
  </si>
  <si>
    <t>CUST2836</t>
  </si>
  <si>
    <t>ORD00562</t>
  </si>
  <si>
    <t>2023-02-13</t>
  </si>
  <si>
    <t>CUST6693</t>
  </si>
  <si>
    <t>ORD00563</t>
  </si>
  <si>
    <t>CUST9880</t>
  </si>
  <si>
    <t>ORD00564</t>
  </si>
  <si>
    <t>2023-01-16</t>
  </si>
  <si>
    <t>2023-01-22</t>
  </si>
  <si>
    <t>CUST4627</t>
  </si>
  <si>
    <t>ORD00565</t>
  </si>
  <si>
    <t>CUST8148</t>
  </si>
  <si>
    <t>ORD00566</t>
  </si>
  <si>
    <t>2023-06-12</t>
  </si>
  <si>
    <t>CUST7755</t>
  </si>
  <si>
    <t>ORD00567</t>
  </si>
  <si>
    <t>CUST2261</t>
  </si>
  <si>
    <t>ORD00568</t>
  </si>
  <si>
    <t>CUST6398</t>
  </si>
  <si>
    <t>ORD00569</t>
  </si>
  <si>
    <t>2022-12-17</t>
  </si>
  <si>
    <t>CUST9668</t>
  </si>
  <si>
    <t>ORD00570</t>
  </si>
  <si>
    <t>CUST4648</t>
  </si>
  <si>
    <t>ORD00571</t>
  </si>
  <si>
    <t>2023-02-12</t>
  </si>
  <si>
    <t>CUST7582</t>
  </si>
  <si>
    <t>ORD00572</t>
  </si>
  <si>
    <t>2023-11-21</t>
  </si>
  <si>
    <t>2023-11-22</t>
  </si>
  <si>
    <t>CUST3006</t>
  </si>
  <si>
    <t>ORD00573</t>
  </si>
  <si>
    <t>CUST5689</t>
  </si>
  <si>
    <t>ORD00574</t>
  </si>
  <si>
    <t>2022-02-04</t>
  </si>
  <si>
    <t>CUST5069</t>
  </si>
  <si>
    <t>ORD00575</t>
  </si>
  <si>
    <t>CUST4263</t>
  </si>
  <si>
    <t>ORD00576</t>
  </si>
  <si>
    <t>CUST6791</t>
  </si>
  <si>
    <t>ORD00577</t>
  </si>
  <si>
    <t>CUST7802</t>
  </si>
  <si>
    <t>ORD00578</t>
  </si>
  <si>
    <t>CUST7453</t>
  </si>
  <si>
    <t>ORD00579</t>
  </si>
  <si>
    <t>CUST8772</t>
  </si>
  <si>
    <t>ORD00580</t>
  </si>
  <si>
    <t>2022-02-13</t>
  </si>
  <si>
    <t>CUST5350</t>
  </si>
  <si>
    <t>ORD00581</t>
  </si>
  <si>
    <t>2022-06-16</t>
  </si>
  <si>
    <t>CUST1328</t>
  </si>
  <si>
    <t>ORD00582</t>
  </si>
  <si>
    <t>CUST8054</t>
  </si>
  <si>
    <t>ORD00583</t>
  </si>
  <si>
    <t>2024-03-17</t>
  </si>
  <si>
    <t>CUST1725</t>
  </si>
  <si>
    <t>ORD00584</t>
  </si>
  <si>
    <t>2024-09-18</t>
  </si>
  <si>
    <t>CUST5330</t>
  </si>
  <si>
    <t>ORD00585</t>
  </si>
  <si>
    <t>CUST9582</t>
  </si>
  <si>
    <t>ORD00586</t>
  </si>
  <si>
    <t>CUST7840</t>
  </si>
  <si>
    <t>ORD00587</t>
  </si>
  <si>
    <t>2024-01-21</t>
  </si>
  <si>
    <t>CUST2062</t>
  </si>
  <si>
    <t>ORD00588</t>
  </si>
  <si>
    <t>CUST7592</t>
  </si>
  <si>
    <t>ORD00589</t>
  </si>
  <si>
    <t>CUST8093</t>
  </si>
  <si>
    <t>ORD00590</t>
  </si>
  <si>
    <t>2022-11-23</t>
  </si>
  <si>
    <t>2022-12-02</t>
  </si>
  <si>
    <t>CUST1737</t>
  </si>
  <si>
    <t>ORD00591</t>
  </si>
  <si>
    <t>2024-08-29</t>
  </si>
  <si>
    <t>CUST8225</t>
  </si>
  <si>
    <t>ORD00592</t>
  </si>
  <si>
    <t>2023-06-13</t>
  </si>
  <si>
    <t>CUST3302</t>
  </si>
  <si>
    <t>ORD00593</t>
  </si>
  <si>
    <t>CUST2785</t>
  </si>
  <si>
    <t>ORD00594</t>
  </si>
  <si>
    <t>2023-10-26</t>
  </si>
  <si>
    <t>CUST1564</t>
  </si>
  <si>
    <t>ORD00595</t>
  </si>
  <si>
    <t>CUST8747</t>
  </si>
  <si>
    <t>ORD00596</t>
  </si>
  <si>
    <t>2022-06-23</t>
  </si>
  <si>
    <t>CUST6974</t>
  </si>
  <si>
    <t>Product_118</t>
  </si>
  <si>
    <t>ORD00597</t>
  </si>
  <si>
    <t>2022-10-11</t>
  </si>
  <si>
    <t>CUST3999</t>
  </si>
  <si>
    <t>ORD00598</t>
  </si>
  <si>
    <t>2022-05-25</t>
  </si>
  <si>
    <t>CUST4075</t>
  </si>
  <si>
    <t>ORD00599</t>
  </si>
  <si>
    <t>CUST4954</t>
  </si>
  <si>
    <t>ORD00600</t>
  </si>
  <si>
    <t>2023-05-04</t>
  </si>
  <si>
    <t>2023-05-09</t>
  </si>
  <si>
    <t>CUST4593</t>
  </si>
  <si>
    <t>ORD00601</t>
  </si>
  <si>
    <t>2023-06-29</t>
  </si>
  <si>
    <t>CUST2790</t>
  </si>
  <si>
    <t>ORD00602</t>
  </si>
  <si>
    <t>2022-06-12</t>
  </si>
  <si>
    <t>CUST9407</t>
  </si>
  <si>
    <t>ORD00603</t>
  </si>
  <si>
    <t>2023-03-04</t>
  </si>
  <si>
    <t>CUST1160</t>
  </si>
  <si>
    <t>ORD00604</t>
  </si>
  <si>
    <t>Product_124</t>
  </si>
  <si>
    <t>ORD00605</t>
  </si>
  <si>
    <t>2023-12-09</t>
  </si>
  <si>
    <t>CUST2568</t>
  </si>
  <si>
    <t>ORD00606</t>
  </si>
  <si>
    <t>CUST2684</t>
  </si>
  <si>
    <t>ORD00607</t>
  </si>
  <si>
    <t>2023-10-01</t>
  </si>
  <si>
    <t>CUST5992</t>
  </si>
  <si>
    <t>ORD00608</t>
  </si>
  <si>
    <t>CUST3841</t>
  </si>
  <si>
    <t>ORD00609</t>
  </si>
  <si>
    <t>2023-04-16</t>
  </si>
  <si>
    <t>CUST3031</t>
  </si>
  <si>
    <t>ORD00610</t>
  </si>
  <si>
    <t>2023-09-14</t>
  </si>
  <si>
    <t>CUST5357</t>
  </si>
  <si>
    <t>ORD00611</t>
  </si>
  <si>
    <t>CUST9428</t>
  </si>
  <si>
    <t>ORD00612</t>
  </si>
  <si>
    <t>2024-07-22</t>
  </si>
  <si>
    <t>2024-08-01</t>
  </si>
  <si>
    <t>ORD00613</t>
  </si>
  <si>
    <t>2022-11-17</t>
  </si>
  <si>
    <t>CUST1801</t>
  </si>
  <si>
    <t>ORD00614</t>
  </si>
  <si>
    <t>CUST6515</t>
  </si>
  <si>
    <t>Product_1</t>
  </si>
  <si>
    <t>ORD00615</t>
  </si>
  <si>
    <t>CUST6163</t>
  </si>
  <si>
    <t>ORD00616</t>
  </si>
  <si>
    <t>CUST3381</t>
  </si>
  <si>
    <t>ORD00617</t>
  </si>
  <si>
    <t>CUST1445</t>
  </si>
  <si>
    <t>ORD00618</t>
  </si>
  <si>
    <t>CUST8213</t>
  </si>
  <si>
    <t>ORD00619</t>
  </si>
  <si>
    <t>ORD00620</t>
  </si>
  <si>
    <t>2024-01-02</t>
  </si>
  <si>
    <t>CUST3445</t>
  </si>
  <si>
    <t>ORD00621</t>
  </si>
  <si>
    <t>2023-04-30</t>
  </si>
  <si>
    <t>CUST3161</t>
  </si>
  <si>
    <t>ORD00622</t>
  </si>
  <si>
    <t>CUST9359</t>
  </si>
  <si>
    <t>ORD00623</t>
  </si>
  <si>
    <t>2022-02-08</t>
  </si>
  <si>
    <t>CUST4626</t>
  </si>
  <si>
    <t>ORD00624</t>
  </si>
  <si>
    <t>2023-01-02</t>
  </si>
  <si>
    <t>CUST4102</t>
  </si>
  <si>
    <t>ORD00625</t>
  </si>
  <si>
    <t>CUST7620</t>
  </si>
  <si>
    <t>ORD00626</t>
  </si>
  <si>
    <t>2023-09-07</t>
  </si>
  <si>
    <t>CUST2189</t>
  </si>
  <si>
    <t>ORD00627</t>
  </si>
  <si>
    <t>2024-05-19</t>
  </si>
  <si>
    <t>CUST3541</t>
  </si>
  <si>
    <t>ORD00628</t>
  </si>
  <si>
    <t>CUST9350</t>
  </si>
  <si>
    <t>ORD00629</t>
  </si>
  <si>
    <t>2022-11-26</t>
  </si>
  <si>
    <t>CUST2152</t>
  </si>
  <si>
    <t>ORD00630</t>
  </si>
  <si>
    <t>2023-07-02</t>
  </si>
  <si>
    <t>CUST1021</t>
  </si>
  <si>
    <t>ORD00631</t>
  </si>
  <si>
    <t>2022-01-08</t>
  </si>
  <si>
    <t>CUST9328</t>
  </si>
  <si>
    <t>ORD00632</t>
  </si>
  <si>
    <t>CUST4394</t>
  </si>
  <si>
    <t>ORD00633</t>
  </si>
  <si>
    <t>2024-04-28</t>
  </si>
  <si>
    <t>CUST4044</t>
  </si>
  <si>
    <t>ORD00634</t>
  </si>
  <si>
    <t>CUST3039</t>
  </si>
  <si>
    <t>ORD00635</t>
  </si>
  <si>
    <t>2022-06-25</t>
  </si>
  <si>
    <t>CUST7435</t>
  </si>
  <si>
    <t>ORD00636</t>
  </si>
  <si>
    <t>CUST4378</t>
  </si>
  <si>
    <t>Product_6</t>
  </si>
  <si>
    <t>ORD00637</t>
  </si>
  <si>
    <t>CUST7796</t>
  </si>
  <si>
    <t>ORD00638</t>
  </si>
  <si>
    <t>CUST5760</t>
  </si>
  <si>
    <t>ORD00639</t>
  </si>
  <si>
    <t>2023-01-17</t>
  </si>
  <si>
    <t>CUST9614</t>
  </si>
  <si>
    <t>ORD00640</t>
  </si>
  <si>
    <t>CUST1401</t>
  </si>
  <si>
    <t>ORD00641</t>
  </si>
  <si>
    <t>2022-05-05</t>
  </si>
  <si>
    <t>ORD00642</t>
  </si>
  <si>
    <t>CUST9481</t>
  </si>
  <si>
    <t>ORD00643</t>
  </si>
  <si>
    <t>ORD00644</t>
  </si>
  <si>
    <t>CUST9478</t>
  </si>
  <si>
    <t>ORD00645</t>
  </si>
  <si>
    <t>2024-03-14</t>
  </si>
  <si>
    <t>2024-03-21</t>
  </si>
  <si>
    <t>CUST9838</t>
  </si>
  <si>
    <t>ORD00646</t>
  </si>
  <si>
    <t>CUST3447</t>
  </si>
  <si>
    <t>ORD00647</t>
  </si>
  <si>
    <t>CUST7145</t>
  </si>
  <si>
    <t>ORD00648</t>
  </si>
  <si>
    <t>2023-04-23</t>
  </si>
  <si>
    <t>CUST1277</t>
  </si>
  <si>
    <t>ORD00649</t>
  </si>
  <si>
    <t>CUST4574</t>
  </si>
  <si>
    <t>ORD00650</t>
  </si>
  <si>
    <t>CUST4150</t>
  </si>
  <si>
    <t>ORD00651</t>
  </si>
  <si>
    <t>CUST2458</t>
  </si>
  <si>
    <t>ORD00652</t>
  </si>
  <si>
    <t>CUST4321</t>
  </si>
  <si>
    <t>ORD00653</t>
  </si>
  <si>
    <t>2022-04-21</t>
  </si>
  <si>
    <t>CUST7475</t>
  </si>
  <si>
    <t>ORD00654</t>
  </si>
  <si>
    <t>ORD00655</t>
  </si>
  <si>
    <t>CUST9266</t>
  </si>
  <si>
    <t>ORD00656</t>
  </si>
  <si>
    <t>2024-01-10</t>
  </si>
  <si>
    <t>CUST8542</t>
  </si>
  <si>
    <t>ORD00657</t>
  </si>
  <si>
    <t>CUST2634</t>
  </si>
  <si>
    <t>ORD00658</t>
  </si>
  <si>
    <t>2023-03-31</t>
  </si>
  <si>
    <t>CUST1152</t>
  </si>
  <si>
    <t>ORD00659</t>
  </si>
  <si>
    <t>CUST9708</t>
  </si>
  <si>
    <t>ORD00660</t>
  </si>
  <si>
    <t>2023-03-02</t>
  </si>
  <si>
    <t>CUST1082</t>
  </si>
  <si>
    <t>ORD00661</t>
  </si>
  <si>
    <t>2024-09-19</t>
  </si>
  <si>
    <t>CUST7882</t>
  </si>
  <si>
    <t>ORD00662</t>
  </si>
  <si>
    <t>CUST6855</t>
  </si>
  <si>
    <t>ORD00663</t>
  </si>
  <si>
    <t>CUST8191</t>
  </si>
  <si>
    <t>ORD00664</t>
  </si>
  <si>
    <t>CUST3900</t>
  </si>
  <si>
    <t>Product_24</t>
  </si>
  <si>
    <t>ORD00665</t>
  </si>
  <si>
    <t>CUST5671</t>
  </si>
  <si>
    <t>ORD00666</t>
  </si>
  <si>
    <t>CUST5562</t>
  </si>
  <si>
    <t>ORD00667</t>
  </si>
  <si>
    <t>2023-07-17</t>
  </si>
  <si>
    <t>2023-07-23</t>
  </si>
  <si>
    <t>ORD00668</t>
  </si>
  <si>
    <t>CUST5213</t>
  </si>
  <si>
    <t>ORD00669</t>
  </si>
  <si>
    <t>2023-09-03</t>
  </si>
  <si>
    <t>CUST7990</t>
  </si>
  <si>
    <t>ORD00670</t>
  </si>
  <si>
    <t>2024-09-01</t>
  </si>
  <si>
    <t>ORD00671</t>
  </si>
  <si>
    <t>CUST4112</t>
  </si>
  <si>
    <t>ORD00672</t>
  </si>
  <si>
    <t>CUST1195</t>
  </si>
  <si>
    <t>ORD00673</t>
  </si>
  <si>
    <t>2022-11-24</t>
  </si>
  <si>
    <t>CUST6460</t>
  </si>
  <si>
    <t>ORD00674</t>
  </si>
  <si>
    <t>CUST4841</t>
  </si>
  <si>
    <t>ORD00675</t>
  </si>
  <si>
    <t>2023-10-20</t>
  </si>
  <si>
    <t>CUST7926</t>
  </si>
  <si>
    <t>ORD00676</t>
  </si>
  <si>
    <t>CUST9287</t>
  </si>
  <si>
    <t>ORD00677</t>
  </si>
  <si>
    <t>CUST6783</t>
  </si>
  <si>
    <t>ORD00678</t>
  </si>
  <si>
    <t>CUST7601</t>
  </si>
  <si>
    <t>ORD00679</t>
  </si>
  <si>
    <t>CUST4292</t>
  </si>
  <si>
    <t>ORD00680</t>
  </si>
  <si>
    <t>2022-10-05</t>
  </si>
  <si>
    <t>CUST9751</t>
  </si>
  <si>
    <t>ORD00681</t>
  </si>
  <si>
    <t>2022-03-24</t>
  </si>
  <si>
    <t>2022-04-01</t>
  </si>
  <si>
    <t>CUST1482</t>
  </si>
  <si>
    <t>ORD00682</t>
  </si>
  <si>
    <t>CUST6530</t>
  </si>
  <si>
    <t>ORD00683</t>
  </si>
  <si>
    <t>CUST4073</t>
  </si>
  <si>
    <t>ORD00684</t>
  </si>
  <si>
    <t>2023-01-03</t>
  </si>
  <si>
    <t>CUST6294</t>
  </si>
  <si>
    <t>Product_133</t>
  </si>
  <si>
    <t>ORD00685</t>
  </si>
  <si>
    <t>2022-10-22</t>
  </si>
  <si>
    <t>CUST3905</t>
  </si>
  <si>
    <t>ORD00686</t>
  </si>
  <si>
    <t>CUST4835</t>
  </si>
  <si>
    <t>ORD00687</t>
  </si>
  <si>
    <t>2024-02-07</t>
  </si>
  <si>
    <t>CUST2101</t>
  </si>
  <si>
    <t>ORD00688</t>
  </si>
  <si>
    <t>CUST3107</t>
  </si>
  <si>
    <t>ORD00689</t>
  </si>
  <si>
    <t>2024-08-11</t>
  </si>
  <si>
    <t>CUST6656</t>
  </si>
  <si>
    <t>ORD00690</t>
  </si>
  <si>
    <t>CUST9791</t>
  </si>
  <si>
    <t>ORD00691</t>
  </si>
  <si>
    <t>CUST6055</t>
  </si>
  <si>
    <t>ORD00692</t>
  </si>
  <si>
    <t>2023-09-09</t>
  </si>
  <si>
    <t>CUST8053</t>
  </si>
  <si>
    <t>ORD00693</t>
  </si>
  <si>
    <t>2023-05-31</t>
  </si>
  <si>
    <t>CUST9709</t>
  </si>
  <si>
    <t>ORD00694</t>
  </si>
  <si>
    <t>CUST6177</t>
  </si>
  <si>
    <t>ORD00695</t>
  </si>
  <si>
    <t>CUST8833</t>
  </si>
  <si>
    <t>ORD00696</t>
  </si>
  <si>
    <t>CUST1123</t>
  </si>
  <si>
    <t>ORD00697</t>
  </si>
  <si>
    <t>2024-06-04</t>
  </si>
  <si>
    <t>CUST2461</t>
  </si>
  <si>
    <t>ORD00698</t>
  </si>
  <si>
    <t>CUST9988</t>
  </si>
  <si>
    <t>ORD00699</t>
  </si>
  <si>
    <t>2024-06-20</t>
  </si>
  <si>
    <t>CUST6502</t>
  </si>
  <si>
    <t>ORD00700</t>
  </si>
  <si>
    <t>CUST9062</t>
  </si>
  <si>
    <t>ORD00701</t>
  </si>
  <si>
    <t>2024-03-01</t>
  </si>
  <si>
    <t>CUST8817</t>
  </si>
  <si>
    <t>ORD00702</t>
  </si>
  <si>
    <t>CUST7509</t>
  </si>
  <si>
    <t>ORD00703</t>
  </si>
  <si>
    <t>CUST2411</t>
  </si>
  <si>
    <t>ORD00704</t>
  </si>
  <si>
    <t>2022-03-31</t>
  </si>
  <si>
    <t>CUST7861</t>
  </si>
  <si>
    <t>ORD00705</t>
  </si>
  <si>
    <t>CUST3885</t>
  </si>
  <si>
    <t>ORD00706</t>
  </si>
  <si>
    <t>CUST1892</t>
  </si>
  <si>
    <t>ORD00707</t>
  </si>
  <si>
    <t>CUST3522</t>
  </si>
  <si>
    <t>ORD00708</t>
  </si>
  <si>
    <t>CUST7581</t>
  </si>
  <si>
    <t>ORD00709</t>
  </si>
  <si>
    <t>CUST7834</t>
  </si>
  <si>
    <t>ORD00710</t>
  </si>
  <si>
    <t>ORD00711</t>
  </si>
  <si>
    <t>ORD00712</t>
  </si>
  <si>
    <t>CUST8537</t>
  </si>
  <si>
    <t>ORD00713</t>
  </si>
  <si>
    <t>2022-03-04</t>
  </si>
  <si>
    <t>CUST6223</t>
  </si>
  <si>
    <t>ORD00714</t>
  </si>
  <si>
    <t>CUST5444</t>
  </si>
  <si>
    <t>ORD00715</t>
  </si>
  <si>
    <t>CUST5405</t>
  </si>
  <si>
    <t>ORD00716</t>
  </si>
  <si>
    <t>CUST4612</t>
  </si>
  <si>
    <t>ORD00717</t>
  </si>
  <si>
    <t>CUST1325</t>
  </si>
  <si>
    <t>ORD00718</t>
  </si>
  <si>
    <t>2022-12-13</t>
  </si>
  <si>
    <t>CUST6544</t>
  </si>
  <si>
    <t>ORD00719</t>
  </si>
  <si>
    <t>CUST6952</t>
  </si>
  <si>
    <t>ORD00720</t>
  </si>
  <si>
    <t>CUST1157</t>
  </si>
  <si>
    <t>ORD00721</t>
  </si>
  <si>
    <t>CUST8228</t>
  </si>
  <si>
    <t>ORD00722</t>
  </si>
  <si>
    <t>CUST6236</t>
  </si>
  <si>
    <t>ORD00723</t>
  </si>
  <si>
    <t>CUST9705</t>
  </si>
  <si>
    <t>ORD00724</t>
  </si>
  <si>
    <t>CUST2875</t>
  </si>
  <si>
    <t>ORD00725</t>
  </si>
  <si>
    <t>CUST8616</t>
  </si>
  <si>
    <t>ORD00726</t>
  </si>
  <si>
    <t>CUST4198</t>
  </si>
  <si>
    <t>ORD00727</t>
  </si>
  <si>
    <t>CUST2032</t>
  </si>
  <si>
    <t>ORD00728</t>
  </si>
  <si>
    <t>CUST9581</t>
  </si>
  <si>
    <t>ORD00729</t>
  </si>
  <si>
    <t>2023-12-25</t>
  </si>
  <si>
    <t>CUST2423</t>
  </si>
  <si>
    <t>ORD00730</t>
  </si>
  <si>
    <t>ORD00731</t>
  </si>
  <si>
    <t>CUST6617</t>
  </si>
  <si>
    <t>ORD00732</t>
  </si>
  <si>
    <t>CUST7874</t>
  </si>
  <si>
    <t>ORD00733</t>
  </si>
  <si>
    <t>CUST2819</t>
  </si>
  <si>
    <t>ORD00734</t>
  </si>
  <si>
    <t>2023-02-03</t>
  </si>
  <si>
    <t>CUST2812</t>
  </si>
  <si>
    <t>ORD00735</t>
  </si>
  <si>
    <t>CUST9878</t>
  </si>
  <si>
    <t>ORD00736</t>
  </si>
  <si>
    <t>CUST8858</t>
  </si>
  <si>
    <t>ORD00737</t>
  </si>
  <si>
    <t>CUST6785</t>
  </si>
  <si>
    <t>ORD00738</t>
  </si>
  <si>
    <t>CUST9535</t>
  </si>
  <si>
    <t>ORD00739</t>
  </si>
  <si>
    <t>CUST7356</t>
  </si>
  <si>
    <t>Product_12</t>
  </si>
  <si>
    <t>ORD00740</t>
  </si>
  <si>
    <t>2023-01-04</t>
  </si>
  <si>
    <t>CUST2892</t>
  </si>
  <si>
    <t>ORD00741</t>
  </si>
  <si>
    <t>2024-02-01</t>
  </si>
  <si>
    <t>CUST9503</t>
  </si>
  <si>
    <t>Product_109</t>
  </si>
  <si>
    <t>ORD00742</t>
  </si>
  <si>
    <t>ORD00743</t>
  </si>
  <si>
    <t>CUST7596</t>
  </si>
  <si>
    <t>ORD00744</t>
  </si>
  <si>
    <t>CUST8371</t>
  </si>
  <si>
    <t>ORD00745</t>
  </si>
  <si>
    <t>CUST6638</t>
  </si>
  <si>
    <t>ORD00746</t>
  </si>
  <si>
    <t>CUST4113</t>
  </si>
  <si>
    <t>ORD00747</t>
  </si>
  <si>
    <t>CUST9588</t>
  </si>
  <si>
    <t>ORD00748</t>
  </si>
  <si>
    <t>2022-05-14</t>
  </si>
  <si>
    <t>CUST6689</t>
  </si>
  <si>
    <t>ORD00749</t>
  </si>
  <si>
    <t>ORD00750</t>
  </si>
  <si>
    <t>CUST4750</t>
  </si>
  <si>
    <t>ORD00751</t>
  </si>
  <si>
    <t>CUST5147</t>
  </si>
  <si>
    <t>ORD00752</t>
  </si>
  <si>
    <t>ORD00753</t>
  </si>
  <si>
    <t>2022-01-26</t>
  </si>
  <si>
    <t>CUST5675</t>
  </si>
  <si>
    <t>ORD00754</t>
  </si>
  <si>
    <t>CUST1087</t>
  </si>
  <si>
    <t>ORD00755</t>
  </si>
  <si>
    <t>CUST8143</t>
  </si>
  <si>
    <t>ORD00756</t>
  </si>
  <si>
    <t>CUST3007</t>
  </si>
  <si>
    <t>ORD00757</t>
  </si>
  <si>
    <t>2022-01-01</t>
  </si>
  <si>
    <t>CUST3430</t>
  </si>
  <si>
    <t>ORD00758</t>
  </si>
  <si>
    <t>CUST8190</t>
  </si>
  <si>
    <t>ORD00759</t>
  </si>
  <si>
    <t>CUST9440</t>
  </si>
  <si>
    <t>ORD00760</t>
  </si>
  <si>
    <t>CUST5614</t>
  </si>
  <si>
    <t>ORD00761</t>
  </si>
  <si>
    <t>CUST6810</t>
  </si>
  <si>
    <t>ORD00762</t>
  </si>
  <si>
    <t>2023-05-16</t>
  </si>
  <si>
    <t>CUST2039</t>
  </si>
  <si>
    <t>ORD00763</t>
  </si>
  <si>
    <t>2024-02-23</t>
  </si>
  <si>
    <t>2024-03-02</t>
  </si>
  <si>
    <t>ORD00764</t>
  </si>
  <si>
    <t>CUST6843</t>
  </si>
  <si>
    <t>ORD00765</t>
  </si>
  <si>
    <t>2023-11-02</t>
  </si>
  <si>
    <t>CUST1643</t>
  </si>
  <si>
    <t>ORD00766</t>
  </si>
  <si>
    <t>Product_20</t>
  </si>
  <si>
    <t>ORD00767</t>
  </si>
  <si>
    <t>2022-05-09</t>
  </si>
  <si>
    <t>CUST9039</t>
  </si>
  <si>
    <t>ORD00768</t>
  </si>
  <si>
    <t>2023-01-24</t>
  </si>
  <si>
    <t>CUST4662</t>
  </si>
  <si>
    <t>ORD00769</t>
  </si>
  <si>
    <t>CUST7650</t>
  </si>
  <si>
    <t>ORD00770</t>
  </si>
  <si>
    <t>CUST6550</t>
  </si>
  <si>
    <t>ORD00771</t>
  </si>
  <si>
    <t>CUST7212</t>
  </si>
  <si>
    <t>ORD00772</t>
  </si>
  <si>
    <t>CUST8059</t>
  </si>
  <si>
    <t>ORD00773</t>
  </si>
  <si>
    <t>CUST9438</t>
  </si>
  <si>
    <t>ORD00774</t>
  </si>
  <si>
    <t>CUST9969</t>
  </si>
  <si>
    <t>ORD00775</t>
  </si>
  <si>
    <t>CUST9935</t>
  </si>
  <si>
    <t>ORD00776</t>
  </si>
  <si>
    <t>CUST4650</t>
  </si>
  <si>
    <t>ORD00777</t>
  </si>
  <si>
    <t>CUST8539</t>
  </si>
  <si>
    <t>ORD00778</t>
  </si>
  <si>
    <t>2024-05-04</t>
  </si>
  <si>
    <t>CUST1429</t>
  </si>
  <si>
    <t>ORD00779</t>
  </si>
  <si>
    <t>CUST8516</t>
  </si>
  <si>
    <t>ORD00780</t>
  </si>
  <si>
    <t>CUST7614</t>
  </si>
  <si>
    <t>ORD00781</t>
  </si>
  <si>
    <t>CUST5961</t>
  </si>
  <si>
    <t>ORD00782</t>
  </si>
  <si>
    <t>2024-08-10</t>
  </si>
  <si>
    <t>CUST6543</t>
  </si>
  <si>
    <t>Product_151</t>
  </si>
  <si>
    <t>ORD00783</t>
  </si>
  <si>
    <t>ORD00784</t>
  </si>
  <si>
    <t>CUST9235</t>
  </si>
  <si>
    <t>ORD00785</t>
  </si>
  <si>
    <t>CUST6094</t>
  </si>
  <si>
    <t>ORD00786</t>
  </si>
  <si>
    <t>CUST9135</t>
  </si>
  <si>
    <t>ORD00787</t>
  </si>
  <si>
    <t>CUST8928</t>
  </si>
  <si>
    <t>ORD00788</t>
  </si>
  <si>
    <t>CUST9334</t>
  </si>
  <si>
    <t>ORD00789</t>
  </si>
  <si>
    <t>CUST1666</t>
  </si>
  <si>
    <t>ORD00790</t>
  </si>
  <si>
    <t>CUST4630</t>
  </si>
  <si>
    <t>ORD00791</t>
  </si>
  <si>
    <t>CUST5092</t>
  </si>
  <si>
    <t>ORD00792</t>
  </si>
  <si>
    <t>2022-05-31</t>
  </si>
  <si>
    <t>CUST5791</t>
  </si>
  <si>
    <t>ORD00793</t>
  </si>
  <si>
    <t>ORD00794</t>
  </si>
  <si>
    <t>CUST7357</t>
  </si>
  <si>
    <t>ORD00795</t>
  </si>
  <si>
    <t>ORD00796</t>
  </si>
  <si>
    <t>2023-06-18</t>
  </si>
  <si>
    <t>CUST7439</t>
  </si>
  <si>
    <t>ORD00797</t>
  </si>
  <si>
    <t>CUST7791</t>
  </si>
  <si>
    <t>ORD00798</t>
  </si>
  <si>
    <t>2022-10-26</t>
  </si>
  <si>
    <t>CUST5088</t>
  </si>
  <si>
    <t>ORD00799</t>
  </si>
  <si>
    <t>CUST2279</t>
  </si>
  <si>
    <t>ORD00800</t>
  </si>
  <si>
    <t>2024-09-09</t>
  </si>
  <si>
    <t>ORD00801</t>
  </si>
  <si>
    <t>CUST6540</t>
  </si>
  <si>
    <t>ORD00802</t>
  </si>
  <si>
    <t>CUST7899</t>
  </si>
  <si>
    <t>ORD00803</t>
  </si>
  <si>
    <t>CUST5847</t>
  </si>
  <si>
    <t>ORD00804</t>
  </si>
  <si>
    <t>CUST1194</t>
  </si>
  <si>
    <t>ORD00805</t>
  </si>
  <si>
    <t>ORD00806</t>
  </si>
  <si>
    <t>CUST8654</t>
  </si>
  <si>
    <t>ORD00807</t>
  </si>
  <si>
    <t>2022-07-08</t>
  </si>
  <si>
    <t>CUST4206</t>
  </si>
  <si>
    <t>ORD00808</t>
  </si>
  <si>
    <t>ORD00809</t>
  </si>
  <si>
    <t>2024-01-27</t>
  </si>
  <si>
    <t>CUST5345</t>
  </si>
  <si>
    <t>ORD00810</t>
  </si>
  <si>
    <t>CUST1616</t>
  </si>
  <si>
    <t>ORD00811</t>
  </si>
  <si>
    <t>CUST3672</t>
  </si>
  <si>
    <t>ORD00812</t>
  </si>
  <si>
    <t>CUST1612</t>
  </si>
  <si>
    <t>ORD00813</t>
  </si>
  <si>
    <t>CUST2755</t>
  </si>
  <si>
    <t>Product_187</t>
  </si>
  <si>
    <t>ORD00814</t>
  </si>
  <si>
    <t>CUST2420</t>
  </si>
  <si>
    <t>ORD00815</t>
  </si>
  <si>
    <t>CUST1332</t>
  </si>
  <si>
    <t>ORD00816</t>
  </si>
  <si>
    <t>CUST8665</t>
  </si>
  <si>
    <t>ORD00817</t>
  </si>
  <si>
    <t>CUST5641</t>
  </si>
  <si>
    <t>ORD00818</t>
  </si>
  <si>
    <t>CUST6577</t>
  </si>
  <si>
    <t>ORD00819</t>
  </si>
  <si>
    <t>CUST2061</t>
  </si>
  <si>
    <t>ORD00820</t>
  </si>
  <si>
    <t>CUST5772</t>
  </si>
  <si>
    <t>ORD00821</t>
  </si>
  <si>
    <t>CUST7264</t>
  </si>
  <si>
    <t>ORD00822</t>
  </si>
  <si>
    <t>2024-05-08</t>
  </si>
  <si>
    <t>2024-05-18</t>
  </si>
  <si>
    <t>CUST9124</t>
  </si>
  <si>
    <t>ORD00823</t>
  </si>
  <si>
    <t>2022-04-16</t>
  </si>
  <si>
    <t>CUST7806</t>
  </si>
  <si>
    <t>ORD00824</t>
  </si>
  <si>
    <t>CUST3279</t>
  </si>
  <si>
    <t>ORD00825</t>
  </si>
  <si>
    <t>2022-12-22</t>
  </si>
  <si>
    <t>CUST3480</t>
  </si>
  <si>
    <t>ORD00826</t>
  </si>
  <si>
    <t>CUST6920</t>
  </si>
  <si>
    <t>ORD00827</t>
  </si>
  <si>
    <t>CUST1948</t>
  </si>
  <si>
    <t>ORD00828</t>
  </si>
  <si>
    <t>CUST8767</t>
  </si>
  <si>
    <t>ORD00829</t>
  </si>
  <si>
    <t>2022-04-12</t>
  </si>
  <si>
    <t>CUST9484</t>
  </si>
  <si>
    <t>ORD00830</t>
  </si>
  <si>
    <t>CUST5236</t>
  </si>
  <si>
    <t>ORD00831</t>
  </si>
  <si>
    <t>2022-01-02</t>
  </si>
  <si>
    <t>CUST1442</t>
  </si>
  <si>
    <t>ORD00832</t>
  </si>
  <si>
    <t>CUST9930</t>
  </si>
  <si>
    <t>ORD00833</t>
  </si>
  <si>
    <t>CUST2834</t>
  </si>
  <si>
    <t>ORD00834</t>
  </si>
  <si>
    <t>CUST3600</t>
  </si>
  <si>
    <t>ORD00835</t>
  </si>
  <si>
    <t>CUST2631</t>
  </si>
  <si>
    <t>ORD00836</t>
  </si>
  <si>
    <t>CUST6957</t>
  </si>
  <si>
    <t>ORD00837</t>
  </si>
  <si>
    <t>CUST4862</t>
  </si>
  <si>
    <t>ORD00838</t>
  </si>
  <si>
    <t>CUST3160</t>
  </si>
  <si>
    <t>ORD00839</t>
  </si>
  <si>
    <t>CUST1920</t>
  </si>
  <si>
    <t>ORD00840</t>
  </si>
  <si>
    <t>2024-07-17</t>
  </si>
  <si>
    <t>CUST8058</t>
  </si>
  <si>
    <t>ORD00841</t>
  </si>
  <si>
    <t>CUST4285</t>
  </si>
  <si>
    <t>ORD00842</t>
  </si>
  <si>
    <t>CUST6786</t>
  </si>
  <si>
    <t>ORD00843</t>
  </si>
  <si>
    <t>2023-06-15</t>
  </si>
  <si>
    <t>CUST7073</t>
  </si>
  <si>
    <t>ORD00844</t>
  </si>
  <si>
    <t>CUST8465</t>
  </si>
  <si>
    <t>ORD00845</t>
  </si>
  <si>
    <t>2022-08-17</t>
  </si>
  <si>
    <t>CUST1463</t>
  </si>
  <si>
    <t>ORD00846</t>
  </si>
  <si>
    <t>2023-06-23</t>
  </si>
  <si>
    <t>CUST9103</t>
  </si>
  <si>
    <t>ORD00847</t>
  </si>
  <si>
    <t>CUST4961</t>
  </si>
  <si>
    <t>ORD00848</t>
  </si>
  <si>
    <t>CUST8794</t>
  </si>
  <si>
    <t>ORD00849</t>
  </si>
  <si>
    <t>CUST1028</t>
  </si>
  <si>
    <t>ORD00850</t>
  </si>
  <si>
    <t>CUST3866</t>
  </si>
  <si>
    <t>ORD00851</t>
  </si>
  <si>
    <t>CUST8489</t>
  </si>
  <si>
    <t>ORD00852</t>
  </si>
  <si>
    <t>2022-04-07</t>
  </si>
  <si>
    <t>CUST7515</t>
  </si>
  <si>
    <t>ORD00853</t>
  </si>
  <si>
    <t>2024-04-10</t>
  </si>
  <si>
    <t>CUST3313</t>
  </si>
  <si>
    <t>ORD00854</t>
  </si>
  <si>
    <t>CUST6142</t>
  </si>
  <si>
    <t>ORD00855</t>
  </si>
  <si>
    <t>CUST6301</t>
  </si>
  <si>
    <t>ORD00856</t>
  </si>
  <si>
    <t>CUST6787</t>
  </si>
  <si>
    <t>ORD00857</t>
  </si>
  <si>
    <t>CUST6314</t>
  </si>
  <si>
    <t>ORD00858</t>
  </si>
  <si>
    <t>CUST5811</t>
  </si>
  <si>
    <t>ORD00859</t>
  </si>
  <si>
    <t>CUST2553</t>
  </si>
  <si>
    <t>ORD00860</t>
  </si>
  <si>
    <t>CUST5993</t>
  </si>
  <si>
    <t>ORD00861</t>
  </si>
  <si>
    <t>CUST3783</t>
  </si>
  <si>
    <t>ORD00862</t>
  </si>
  <si>
    <t>CUST2398</t>
  </si>
  <si>
    <t>ORD00863</t>
  </si>
  <si>
    <t>CUST5136</t>
  </si>
  <si>
    <t>ORD00864</t>
  </si>
  <si>
    <t>CUST4543</t>
  </si>
  <si>
    <t>ORD00865</t>
  </si>
  <si>
    <t>CUST7740</t>
  </si>
  <si>
    <t>ORD00866</t>
  </si>
  <si>
    <t>CUST1084</t>
  </si>
  <si>
    <t>ORD00867</t>
  </si>
  <si>
    <t>CUST3248</t>
  </si>
  <si>
    <t>ORD00868</t>
  </si>
  <si>
    <t>CUST5621</t>
  </si>
  <si>
    <t>ORD00869</t>
  </si>
  <si>
    <t>CUST6429</t>
  </si>
  <si>
    <t>ORD00870</t>
  </si>
  <si>
    <t>CUST2753</t>
  </si>
  <si>
    <t>ORD00871</t>
  </si>
  <si>
    <t>2024-04-13</t>
  </si>
  <si>
    <t>ORD00872</t>
  </si>
  <si>
    <t>CUST3395</t>
  </si>
  <si>
    <t>ORD00873</t>
  </si>
  <si>
    <t>ORD00874</t>
  </si>
  <si>
    <t>CUST4482</t>
  </si>
  <si>
    <t>ORD00875</t>
  </si>
  <si>
    <t>ORD00876</t>
  </si>
  <si>
    <t>2024-01-29</t>
  </si>
  <si>
    <t>CUST9487</t>
  </si>
  <si>
    <t>ORD00877</t>
  </si>
  <si>
    <t>CUST4252</t>
  </si>
  <si>
    <t>ORD00878</t>
  </si>
  <si>
    <t>CUST8188</t>
  </si>
  <si>
    <t>ORD00879</t>
  </si>
  <si>
    <t>CUST1819</t>
  </si>
  <si>
    <t>ORD00880</t>
  </si>
  <si>
    <t>CUST1940</t>
  </si>
  <si>
    <t>ORD00881</t>
  </si>
  <si>
    <t>CUST9041</t>
  </si>
  <si>
    <t>ORD00882</t>
  </si>
  <si>
    <t>CUST2418</t>
  </si>
  <si>
    <t>ORD00883</t>
  </si>
  <si>
    <t>CUST8628</t>
  </si>
  <si>
    <t>ORD00884</t>
  </si>
  <si>
    <t>2023-11-23</t>
  </si>
  <si>
    <t>2023-11-26</t>
  </si>
  <si>
    <t>ORD00885</t>
  </si>
  <si>
    <t>CUST8286</t>
  </si>
  <si>
    <t>ORD00886</t>
  </si>
  <si>
    <t>2023-11-03</t>
  </si>
  <si>
    <t>CUST6929</t>
  </si>
  <si>
    <t>ORD00887</t>
  </si>
  <si>
    <t>ORD00888</t>
  </si>
  <si>
    <t>CUST7530</t>
  </si>
  <si>
    <t>ORD00889</t>
  </si>
  <si>
    <t>CUST5752</t>
  </si>
  <si>
    <t>ORD00890</t>
  </si>
  <si>
    <t>CUST6388</t>
  </si>
  <si>
    <t>ORD00891</t>
  </si>
  <si>
    <t>2022-09-21</t>
  </si>
  <si>
    <t>2022-09-29</t>
  </si>
  <si>
    <t>CUST5601</t>
  </si>
  <si>
    <t>ORD00892</t>
  </si>
  <si>
    <t>CUST7363</t>
  </si>
  <si>
    <t>ORD00893</t>
  </si>
  <si>
    <t>ORD00894</t>
  </si>
  <si>
    <t>CUST3411</t>
  </si>
  <si>
    <t>ORD00895</t>
  </si>
  <si>
    <t>CUST1183</t>
  </si>
  <si>
    <t>ORD00896</t>
  </si>
  <si>
    <t>CUST8711</t>
  </si>
  <si>
    <t>ORD00897</t>
  </si>
  <si>
    <t>CUST1515</t>
  </si>
  <si>
    <t>ORD00898</t>
  </si>
  <si>
    <t>CUST7570</t>
  </si>
  <si>
    <t>ORD00899</t>
  </si>
  <si>
    <t>CUST7361</t>
  </si>
  <si>
    <t>ORD00900</t>
  </si>
  <si>
    <t>CUST6831</t>
  </si>
  <si>
    <t>ORD00901</t>
  </si>
  <si>
    <t>ORD00902</t>
  </si>
  <si>
    <t>CUST7640</t>
  </si>
  <si>
    <t>ORD00903</t>
  </si>
  <si>
    <t>CUST2187</t>
  </si>
  <si>
    <t>ORD00904</t>
  </si>
  <si>
    <t>2022-10-07</t>
  </si>
  <si>
    <t>CUST4070</t>
  </si>
  <si>
    <t>ORD00905</t>
  </si>
  <si>
    <t>CUST7142</t>
  </si>
  <si>
    <t>ORD00906</t>
  </si>
  <si>
    <t>2023-04-12</t>
  </si>
  <si>
    <t>CUST4041</t>
  </si>
  <si>
    <t>ORD00907</t>
  </si>
  <si>
    <t>CUST5864</t>
  </si>
  <si>
    <t>ORD00908</t>
  </si>
  <si>
    <t>CUST5814</t>
  </si>
  <si>
    <t>ORD00909</t>
  </si>
  <si>
    <t>CUST4785</t>
  </si>
  <si>
    <t>ORD00910</t>
  </si>
  <si>
    <t>CUST5074</t>
  </si>
  <si>
    <t>ORD00911</t>
  </si>
  <si>
    <t>ORD00912</t>
  </si>
  <si>
    <t>CUST3275</t>
  </si>
  <si>
    <t>ORD00913</t>
  </si>
  <si>
    <t>CUST5412</t>
  </si>
  <si>
    <t>ORD00914</t>
  </si>
  <si>
    <t>CUST2325</t>
  </si>
  <si>
    <t>ORD00915</t>
  </si>
  <si>
    <t>CUST8454</t>
  </si>
  <si>
    <t>ORD00916</t>
  </si>
  <si>
    <t>2023-11-10</t>
  </si>
  <si>
    <t>CUST5624</t>
  </si>
  <si>
    <t>ORD00917</t>
  </si>
  <si>
    <t>CUST3766</t>
  </si>
  <si>
    <t>ORD00918</t>
  </si>
  <si>
    <t>CUST5670</t>
  </si>
  <si>
    <t>ORD00919</t>
  </si>
  <si>
    <t>CUST5940</t>
  </si>
  <si>
    <t>ORD00920</t>
  </si>
  <si>
    <t>CUST9392</t>
  </si>
  <si>
    <t>ORD00921</t>
  </si>
  <si>
    <t>CUST2984</t>
  </si>
  <si>
    <t>ORD00922</t>
  </si>
  <si>
    <t>CUST1101</t>
  </si>
  <si>
    <t>ORD00923</t>
  </si>
  <si>
    <t>CUST7210</t>
  </si>
  <si>
    <t>ORD00924</t>
  </si>
  <si>
    <t>CUST3318</t>
  </si>
  <si>
    <t>ORD00925</t>
  </si>
  <si>
    <t>CUST8299</t>
  </si>
  <si>
    <t>ORD00926</t>
  </si>
  <si>
    <t>ORD00927</t>
  </si>
  <si>
    <t>2022-02-02</t>
  </si>
  <si>
    <t>ORD00928</t>
  </si>
  <si>
    <t>CUST2217</t>
  </si>
  <si>
    <t>ORD00929</t>
  </si>
  <si>
    <t>CUST3789</t>
  </si>
  <si>
    <t>ORD00930</t>
  </si>
  <si>
    <t>2022-08-16</t>
  </si>
  <si>
    <t>CUST7760</t>
  </si>
  <si>
    <t>ORD00931</t>
  </si>
  <si>
    <t>CUST2830</t>
  </si>
  <si>
    <t>ORD00932</t>
  </si>
  <si>
    <t>CUST5831</t>
  </si>
  <si>
    <t>ORD00933</t>
  </si>
  <si>
    <t>2022-09-01</t>
  </si>
  <si>
    <t>ORD00934</t>
  </si>
  <si>
    <t>CUST6902</t>
  </si>
  <si>
    <t>ORD00935</t>
  </si>
  <si>
    <t>CUST1736</t>
  </si>
  <si>
    <t>ORD00936</t>
  </si>
  <si>
    <t>CUST7317</t>
  </si>
  <si>
    <t>ORD00937</t>
  </si>
  <si>
    <t>CUST8358</t>
  </si>
  <si>
    <t>ORD00938</t>
  </si>
  <si>
    <t>CUST2451</t>
  </si>
  <si>
    <t>ORD00939</t>
  </si>
  <si>
    <t>CUST5904</t>
  </si>
  <si>
    <t>ORD00940</t>
  </si>
  <si>
    <t>CUST4702</t>
  </si>
  <si>
    <t>ORD00941</t>
  </si>
  <si>
    <t>CUST4884</t>
  </si>
  <si>
    <t>ORD00942</t>
  </si>
  <si>
    <t>CUST2066</t>
  </si>
  <si>
    <t>ORD00943</t>
  </si>
  <si>
    <t>2022-08-28</t>
  </si>
  <si>
    <t>CUST8811</t>
  </si>
  <si>
    <t>ORD00944</t>
  </si>
  <si>
    <t>CUST6337</t>
  </si>
  <si>
    <t>ORD00945</t>
  </si>
  <si>
    <t>CUST9662</t>
  </si>
  <si>
    <t>ORD00946</t>
  </si>
  <si>
    <t>CUST1554</t>
  </si>
  <si>
    <t>ORD00947</t>
  </si>
  <si>
    <t>CUST6387</t>
  </si>
  <si>
    <t>ORD00948</t>
  </si>
  <si>
    <t>2024-05-07</t>
  </si>
  <si>
    <t>CUST8866</t>
  </si>
  <si>
    <t>ORD00949</t>
  </si>
  <si>
    <t>CUST6564</t>
  </si>
  <si>
    <t>Product_99</t>
  </si>
  <si>
    <t>ORD00950</t>
  </si>
  <si>
    <t>CUST2011</t>
  </si>
  <si>
    <t>ORD00951</t>
  </si>
  <si>
    <t>CUST3138</t>
  </si>
  <si>
    <t>ORD00952</t>
  </si>
  <si>
    <t>2022-12-28</t>
  </si>
  <si>
    <t>CUST6942</t>
  </si>
  <si>
    <t>ORD00953</t>
  </si>
  <si>
    <t>CUST1439</t>
  </si>
  <si>
    <t>ORD00954</t>
  </si>
  <si>
    <t>CUST9222</t>
  </si>
  <si>
    <t>ORD00955</t>
  </si>
  <si>
    <t>CUST1814</t>
  </si>
  <si>
    <t>ORD00956</t>
  </si>
  <si>
    <t>CUST1916</t>
  </si>
  <si>
    <t>ORD00957</t>
  </si>
  <si>
    <t>CUST9649</t>
  </si>
  <si>
    <t>ORD00958</t>
  </si>
  <si>
    <t>CUST8956</t>
  </si>
  <si>
    <t>ORD00959</t>
  </si>
  <si>
    <t>CUST7101</t>
  </si>
  <si>
    <t>ORD00960</t>
  </si>
  <si>
    <t>2024-05-29</t>
  </si>
  <si>
    <t>CUST9732</t>
  </si>
  <si>
    <t>ORD00961</t>
  </si>
  <si>
    <t>CUST5642</t>
  </si>
  <si>
    <t>ORD00962</t>
  </si>
  <si>
    <t>CUST3848</t>
  </si>
  <si>
    <t>ORD00963</t>
  </si>
  <si>
    <t>CUST3777</t>
  </si>
  <si>
    <t>ORD00964</t>
  </si>
  <si>
    <t>ORD00965</t>
  </si>
  <si>
    <t>CUST6806</t>
  </si>
  <si>
    <t>ORD00966</t>
  </si>
  <si>
    <t>CUST4412</t>
  </si>
  <si>
    <t>ORD00967</t>
  </si>
  <si>
    <t>CUST6845</t>
  </si>
  <si>
    <t>ORD00968</t>
  </si>
  <si>
    <t>CUST6137</t>
  </si>
  <si>
    <t>ORD00969</t>
  </si>
  <si>
    <t>CUST1396</t>
  </si>
  <si>
    <t>ORD00970</t>
  </si>
  <si>
    <t>CUST3502</t>
  </si>
  <si>
    <t>ORD00971</t>
  </si>
  <si>
    <t>CUST3091</t>
  </si>
  <si>
    <t>ORD00972</t>
  </si>
  <si>
    <t>CUST4969</t>
  </si>
  <si>
    <t>ORD00973</t>
  </si>
  <si>
    <t>CUST8327</t>
  </si>
  <si>
    <t>ORD00974</t>
  </si>
  <si>
    <t>CUST5837</t>
  </si>
  <si>
    <t>ORD00975</t>
  </si>
  <si>
    <t>CUST7016</t>
  </si>
  <si>
    <t>ORD00976</t>
  </si>
  <si>
    <t>2022-08-22</t>
  </si>
  <si>
    <t>CUST1577</t>
  </si>
  <si>
    <t>ORD00977</t>
  </si>
  <si>
    <t>2023-11-11</t>
  </si>
  <si>
    <t>CUST7177</t>
  </si>
  <si>
    <t>ORD00978</t>
  </si>
  <si>
    <t>ORD00979</t>
  </si>
  <si>
    <t>2022-07-21</t>
  </si>
  <si>
    <t>CUST6203</t>
  </si>
  <si>
    <t>ORD00980</t>
  </si>
  <si>
    <t>CUST2191</t>
  </si>
  <si>
    <t>ORD00981</t>
  </si>
  <si>
    <t>CUST7722</t>
  </si>
  <si>
    <t>ORD00982</t>
  </si>
  <si>
    <t>CUST4660</t>
  </si>
  <si>
    <t>ORD00983</t>
  </si>
  <si>
    <t>CUST5554</t>
  </si>
  <si>
    <t>ORD00984</t>
  </si>
  <si>
    <t>2024-08-20</t>
  </si>
  <si>
    <t>2024-08-25</t>
  </si>
  <si>
    <t>CUST1943</t>
  </si>
  <si>
    <t>ORD00985</t>
  </si>
  <si>
    <t>CUST9322</t>
  </si>
  <si>
    <t>ORD00986</t>
  </si>
  <si>
    <t>CUST1768</t>
  </si>
  <si>
    <t>ORD00987</t>
  </si>
  <si>
    <t>CUST5655</t>
  </si>
  <si>
    <t>ORD00988</t>
  </si>
  <si>
    <t>CUST2193</t>
  </si>
  <si>
    <t>ORD00989</t>
  </si>
  <si>
    <t>ORD00990</t>
  </si>
  <si>
    <t>CUST5516</t>
  </si>
  <si>
    <t>ORD00991</t>
  </si>
  <si>
    <t>CUST1006</t>
  </si>
  <si>
    <t>ORD00992</t>
  </si>
  <si>
    <t>CUST8934</t>
  </si>
  <si>
    <t>ORD00993</t>
  </si>
  <si>
    <t>2024-03-28</t>
  </si>
  <si>
    <t>2024-03-29</t>
  </si>
  <si>
    <t>CUST8185</t>
  </si>
  <si>
    <t>ORD00994</t>
  </si>
  <si>
    <t>CUST9517</t>
  </si>
  <si>
    <t>ORD00995</t>
  </si>
  <si>
    <t>2023-08-02</t>
  </si>
  <si>
    <t>ORD00996</t>
  </si>
  <si>
    <t>ORD00997</t>
  </si>
  <si>
    <t>2022-07-23</t>
  </si>
  <si>
    <t>ORD00998</t>
  </si>
  <si>
    <t>CUST7366</t>
  </si>
  <si>
    <t>ORD00999</t>
  </si>
  <si>
    <t>CUST2769</t>
  </si>
  <si>
    <t>ORD01000</t>
  </si>
  <si>
    <t>CUST5186</t>
  </si>
  <si>
    <t>ORD01001</t>
  </si>
  <si>
    <t>CUST2410</t>
  </si>
  <si>
    <t>ORD01002</t>
  </si>
  <si>
    <t>CUST7240</t>
  </si>
  <si>
    <t>ORD01003</t>
  </si>
  <si>
    <t>CUST5540</t>
  </si>
  <si>
    <t>ORD01004</t>
  </si>
  <si>
    <t>CUST5856</t>
  </si>
  <si>
    <t>ORD01005</t>
  </si>
  <si>
    <t>CUST2559</t>
  </si>
  <si>
    <t>ORD01006</t>
  </si>
  <si>
    <t>2022-11-18</t>
  </si>
  <si>
    <t>ORD01007</t>
  </si>
  <si>
    <t>CUST7734</t>
  </si>
  <si>
    <t>ORD01008</t>
  </si>
  <si>
    <t>CUST2004</t>
  </si>
  <si>
    <t>ORD01009</t>
  </si>
  <si>
    <t>CUST2928</t>
  </si>
  <si>
    <t>ORD01010</t>
  </si>
  <si>
    <t>2023-05-17</t>
  </si>
  <si>
    <t>ORD01011</t>
  </si>
  <si>
    <t>CUST7082</t>
  </si>
  <si>
    <t>ORD01012</t>
  </si>
  <si>
    <t>CUST5160</t>
  </si>
  <si>
    <t>ORD01013</t>
  </si>
  <si>
    <t>CUST7902</t>
  </si>
  <si>
    <t>ORD01014</t>
  </si>
  <si>
    <t>ORD01015</t>
  </si>
  <si>
    <t>2022-03-19</t>
  </si>
  <si>
    <t>ORD01016</t>
  </si>
  <si>
    <t>CUST1213</t>
  </si>
  <si>
    <t>ORD01017</t>
  </si>
  <si>
    <t>ORD01018</t>
  </si>
  <si>
    <t>2022-04-30</t>
  </si>
  <si>
    <t>CUST7579</t>
  </si>
  <si>
    <t>ORD01019</t>
  </si>
  <si>
    <t>CUST1837</t>
  </si>
  <si>
    <t>ORD01020</t>
  </si>
  <si>
    <t>ORD01021</t>
  </si>
  <si>
    <t>CUST5040</t>
  </si>
  <si>
    <t>ORD01022</t>
  </si>
  <si>
    <t>CUST9154</t>
  </si>
  <si>
    <t>ORD01023</t>
  </si>
  <si>
    <t>CUST7837</t>
  </si>
  <si>
    <t>ORD01024</t>
  </si>
  <si>
    <t>CUST2933</t>
  </si>
  <si>
    <t>ORD01025</t>
  </si>
  <si>
    <t>CUST5484</t>
  </si>
  <si>
    <t>ORD01026</t>
  </si>
  <si>
    <t>CUST1671</t>
  </si>
  <si>
    <t>ORD01027</t>
  </si>
  <si>
    <t>CUST8696</t>
  </si>
  <si>
    <t>ORD01028</t>
  </si>
  <si>
    <t>CUST2365</t>
  </si>
  <si>
    <t>ORD01029</t>
  </si>
  <si>
    <t>CUST8242</t>
  </si>
  <si>
    <t>ORD01030</t>
  </si>
  <si>
    <t>CUST9944</t>
  </si>
  <si>
    <t>ORD01031</t>
  </si>
  <si>
    <t>CUST1243</t>
  </si>
  <si>
    <t>ORD01032</t>
  </si>
  <si>
    <t>2023-01-07</t>
  </si>
  <si>
    <t>ORD01033</t>
  </si>
  <si>
    <t>CUST5602</t>
  </si>
  <si>
    <t>ORD01034</t>
  </si>
  <si>
    <t>CUST1604</t>
  </si>
  <si>
    <t>ORD01035</t>
  </si>
  <si>
    <t>2024-04-12</t>
  </si>
  <si>
    <t>CUST1552</t>
  </si>
  <si>
    <t>ORD01036</t>
  </si>
  <si>
    <t>2022-10-29</t>
  </si>
  <si>
    <t>2022-10-31</t>
  </si>
  <si>
    <t>CUST8929</t>
  </si>
  <si>
    <t>ORD01037</t>
  </si>
  <si>
    <t>CUST5176</t>
  </si>
  <si>
    <t>ORD01038</t>
  </si>
  <si>
    <t>CUST3128</t>
  </si>
  <si>
    <t>ORD01039</t>
  </si>
  <si>
    <t>CUST4139</t>
  </si>
  <si>
    <t>ORD01040</t>
  </si>
  <si>
    <t>CUST9449</t>
  </si>
  <si>
    <t>ORD01041</t>
  </si>
  <si>
    <t>ORD01042</t>
  </si>
  <si>
    <t>CUST9323</t>
  </si>
  <si>
    <t>ORD01043</t>
  </si>
  <si>
    <t>CUST5979</t>
  </si>
  <si>
    <t>ORD01044</t>
  </si>
  <si>
    <t>2023-11-08</t>
  </si>
  <si>
    <t>CUST9605</t>
  </si>
  <si>
    <t>ORD01045</t>
  </si>
  <si>
    <t>CUST2122</t>
  </si>
  <si>
    <t>ORD01046</t>
  </si>
  <si>
    <t>ORD01047</t>
  </si>
  <si>
    <t>CUST9566</t>
  </si>
  <si>
    <t>ORD01048</t>
  </si>
  <si>
    <t>CUST7159</t>
  </si>
  <si>
    <t>ORD01049</t>
  </si>
  <si>
    <t>2022-03-18</t>
  </si>
  <si>
    <t>CUST7211</t>
  </si>
  <si>
    <t>ORD01050</t>
  </si>
  <si>
    <t>CUST1708</t>
  </si>
  <si>
    <t>ORD01051</t>
  </si>
  <si>
    <t>2022-01-28</t>
  </si>
  <si>
    <t>CUST7454</t>
  </si>
  <si>
    <t>ORD01052</t>
  </si>
  <si>
    <t>2023-08-28</t>
  </si>
  <si>
    <t>2023-09-05</t>
  </si>
  <si>
    <t>CUST9952</t>
  </si>
  <si>
    <t>ORD01053</t>
  </si>
  <si>
    <t>ORD01054</t>
  </si>
  <si>
    <t>2022-10-23</t>
  </si>
  <si>
    <t>CUST6358</t>
  </si>
  <si>
    <t>ORD01055</t>
  </si>
  <si>
    <t>ORD01056</t>
  </si>
  <si>
    <t>ORD01057</t>
  </si>
  <si>
    <t>CUST7252</t>
  </si>
  <si>
    <t>ORD01058</t>
  </si>
  <si>
    <t>CUST1010</t>
  </si>
  <si>
    <t>ORD01059</t>
  </si>
  <si>
    <t>CUST8305</t>
  </si>
  <si>
    <t>ORD01060</t>
  </si>
  <si>
    <t>CUST6951</t>
  </si>
  <si>
    <t>ORD01061</t>
  </si>
  <si>
    <t>CUST8128</t>
  </si>
  <si>
    <t>ORD01062</t>
  </si>
  <si>
    <t>2022-07-15</t>
  </si>
  <si>
    <t>CUST4302</t>
  </si>
  <si>
    <t>ORD01063</t>
  </si>
  <si>
    <t>CUST6459</t>
  </si>
  <si>
    <t>ORD01064</t>
  </si>
  <si>
    <t>2022-06-17</t>
  </si>
  <si>
    <t>CUST7230</t>
  </si>
  <si>
    <t>ORD01065</t>
  </si>
  <si>
    <t>CUST2443</t>
  </si>
  <si>
    <t>ORD01066</t>
  </si>
  <si>
    <t>CUST5269</t>
  </si>
  <si>
    <t>ORD01067</t>
  </si>
  <si>
    <t>2022-07-04</t>
  </si>
  <si>
    <t>ORD01068</t>
  </si>
  <si>
    <t>CUST4318</t>
  </si>
  <si>
    <t>ORD01069</t>
  </si>
  <si>
    <t>CUST8485</t>
  </si>
  <si>
    <t>ORD01070</t>
  </si>
  <si>
    <t>CUST6654</t>
  </si>
  <si>
    <t>ORD01071</t>
  </si>
  <si>
    <t>CUST2760</t>
  </si>
  <si>
    <t>ORD01072</t>
  </si>
  <si>
    <t>CUST7525</t>
  </si>
  <si>
    <t>ORD01073</t>
  </si>
  <si>
    <t>CUST4191</t>
  </si>
  <si>
    <t>ORD01074</t>
  </si>
  <si>
    <t>CUST8574</t>
  </si>
  <si>
    <t>ORD01075</t>
  </si>
  <si>
    <t>CUST7150</t>
  </si>
  <si>
    <t>ORD01076</t>
  </si>
  <si>
    <t>CUST9653</t>
  </si>
  <si>
    <t>ORD01077</t>
  </si>
  <si>
    <t>CUST2926</t>
  </si>
  <si>
    <t>ORD01078</t>
  </si>
  <si>
    <t>CUST4366</t>
  </si>
  <si>
    <t>ORD01079</t>
  </si>
  <si>
    <t>CUST2806</t>
  </si>
  <si>
    <t>ORD01080</t>
  </si>
  <si>
    <t>CUST3018</t>
  </si>
  <si>
    <t>ORD01081</t>
  </si>
  <si>
    <t>CUST5292</t>
  </si>
  <si>
    <t>ORD01082</t>
  </si>
  <si>
    <t>CUST3584</t>
  </si>
  <si>
    <t>ORD01083</t>
  </si>
  <si>
    <t>CUST7681</t>
  </si>
  <si>
    <t>ORD01084</t>
  </si>
  <si>
    <t>CUST3965</t>
  </si>
  <si>
    <t>ORD01085</t>
  </si>
  <si>
    <t>CUST8078</t>
  </si>
  <si>
    <t>ORD01086</t>
  </si>
  <si>
    <t>CUST3481</t>
  </si>
  <si>
    <t>ORD01087</t>
  </si>
  <si>
    <t>CUST3632</t>
  </si>
  <si>
    <t>ORD01088</t>
  </si>
  <si>
    <t>CUST5216</t>
  </si>
  <si>
    <t>ORD01089</t>
  </si>
  <si>
    <t>2024-08-14</t>
  </si>
  <si>
    <t>CUST5295</t>
  </si>
  <si>
    <t>ORD01090</t>
  </si>
  <si>
    <t>CUST6842</t>
  </si>
  <si>
    <t>ORD01091</t>
  </si>
  <si>
    <t>CUST5526</t>
  </si>
  <si>
    <t>ORD01092</t>
  </si>
  <si>
    <t>CUST2789</t>
  </si>
  <si>
    <t>ORD01093</t>
  </si>
  <si>
    <t>CUST3609</t>
  </si>
  <si>
    <t>ORD01094</t>
  </si>
  <si>
    <t>CUST9758</t>
  </si>
  <si>
    <t>ORD01095</t>
  </si>
  <si>
    <t>CUST9555</t>
  </si>
  <si>
    <t>ORD01096</t>
  </si>
  <si>
    <t>CUST8566</t>
  </si>
  <si>
    <t>ORD01097</t>
  </si>
  <si>
    <t>CUST3306</t>
  </si>
  <si>
    <t>ORD01098</t>
  </si>
  <si>
    <t>CUST4890</t>
  </si>
  <si>
    <t>ORD01099</t>
  </si>
  <si>
    <t>2024-03-26</t>
  </si>
  <si>
    <t>CUST2556</t>
  </si>
  <si>
    <t>ORD01100</t>
  </si>
  <si>
    <t>2022-05-07</t>
  </si>
  <si>
    <t>CUST7444</t>
  </si>
  <si>
    <t>ORD01101</t>
  </si>
  <si>
    <t>CUST2659</t>
  </si>
  <si>
    <t>ORD01102</t>
  </si>
  <si>
    <t>CUST6056</t>
  </si>
  <si>
    <t>ORD01103</t>
  </si>
  <si>
    <t>CUST8951</t>
  </si>
  <si>
    <t>ORD01104</t>
  </si>
  <si>
    <t>CUST3119</t>
  </si>
  <si>
    <t>ORD01105</t>
  </si>
  <si>
    <t>CUST3820</t>
  </si>
  <si>
    <t>ORD01106</t>
  </si>
  <si>
    <t>ORD01107</t>
  </si>
  <si>
    <t>CUST4038</t>
  </si>
  <si>
    <t>ORD01108</t>
  </si>
  <si>
    <t>CUST5799</t>
  </si>
  <si>
    <t>ORD01109</t>
  </si>
  <si>
    <t>CUST7593</t>
  </si>
  <si>
    <t>ORD01110</t>
  </si>
  <si>
    <t>CUST1452</t>
  </si>
  <si>
    <t>ORD01111</t>
  </si>
  <si>
    <t>CUST9932</t>
  </si>
  <si>
    <t>ORD01112</t>
  </si>
  <si>
    <t>ORD01113</t>
  </si>
  <si>
    <t>CUST8769</t>
  </si>
  <si>
    <t>ORD01114</t>
  </si>
  <si>
    <t>ORD01115</t>
  </si>
  <si>
    <t>CUST5426</t>
  </si>
  <si>
    <t>ORD01116</t>
  </si>
  <si>
    <t>2024-03-16</t>
  </si>
  <si>
    <t>CUST4950</t>
  </si>
  <si>
    <t>ORD01117</t>
  </si>
  <si>
    <t>CUST7981</t>
  </si>
  <si>
    <t>ORD01118</t>
  </si>
  <si>
    <t>CUST4681</t>
  </si>
  <si>
    <t>ORD01119</t>
  </si>
  <si>
    <t>CUST9280</t>
  </si>
  <si>
    <t>ORD01120</t>
  </si>
  <si>
    <t>CUST8808</t>
  </si>
  <si>
    <t>ORD01121</t>
  </si>
  <si>
    <t>CUST6249</t>
  </si>
  <si>
    <t>ORD01122</t>
  </si>
  <si>
    <t>2023-10-13</t>
  </si>
  <si>
    <t>CUST3427</t>
  </si>
  <si>
    <t>ORD01123</t>
  </si>
  <si>
    <t>CUST9015</t>
  </si>
  <si>
    <t>ORD01124</t>
  </si>
  <si>
    <t>ORD01125</t>
  </si>
  <si>
    <t>CUST9238</t>
  </si>
  <si>
    <t>ORD01126</t>
  </si>
  <si>
    <t>CUST1361</t>
  </si>
  <si>
    <t>ORD01127</t>
  </si>
  <si>
    <t>ORD01128</t>
  </si>
  <si>
    <t>ORD01129</t>
  </si>
  <si>
    <t>CUST4026</t>
  </si>
  <si>
    <t>ORD01130</t>
  </si>
  <si>
    <t>CUST5085</t>
  </si>
  <si>
    <t>ORD01131</t>
  </si>
  <si>
    <t>CUST5704</t>
  </si>
  <si>
    <t>ORD01132</t>
  </si>
  <si>
    <t>CUST8477</t>
  </si>
  <si>
    <t>ORD01133</t>
  </si>
  <si>
    <t>CUST8613</t>
  </si>
  <si>
    <t>ORD01134</t>
  </si>
  <si>
    <t>CUST5888</t>
  </si>
  <si>
    <t>ORD01135</t>
  </si>
  <si>
    <t>CUST7789</t>
  </si>
  <si>
    <t>ORD01136</t>
  </si>
  <si>
    <t>CUST7867</t>
  </si>
  <si>
    <t>ORD01137</t>
  </si>
  <si>
    <t>CUST8437</t>
  </si>
  <si>
    <t>ORD01138</t>
  </si>
  <si>
    <t>ORD01139</t>
  </si>
  <si>
    <t>CUST1327</t>
  </si>
  <si>
    <t>ORD01140</t>
  </si>
  <si>
    <t>CUST9063</t>
  </si>
  <si>
    <t>ORD01141</t>
  </si>
  <si>
    <t>2023-10-07</t>
  </si>
  <si>
    <t>CUST2530</t>
  </si>
  <si>
    <t>ORD01142</t>
  </si>
  <si>
    <t>CUST1228</t>
  </si>
  <si>
    <t>ORD01143</t>
  </si>
  <si>
    <t>CUST5383</t>
  </si>
  <si>
    <t>ORD01144</t>
  </si>
  <si>
    <t>CUST2400</t>
  </si>
  <si>
    <t>ORD01145</t>
  </si>
  <si>
    <t>CUST8706</t>
  </si>
  <si>
    <t>ORD01146</t>
  </si>
  <si>
    <t>CUST2267</t>
  </si>
  <si>
    <t>ORD01147</t>
  </si>
  <si>
    <t>CUST6686</t>
  </si>
  <si>
    <t>ORD01148</t>
  </si>
  <si>
    <t>CUST4933</t>
  </si>
  <si>
    <t>ORD01149</t>
  </si>
  <si>
    <t>CUST7087</t>
  </si>
  <si>
    <t>ORD01150</t>
  </si>
  <si>
    <t>CUST7917</t>
  </si>
  <si>
    <t>ORD01151</t>
  </si>
  <si>
    <t>CUST6925</t>
  </si>
  <si>
    <t>ORD01152</t>
  </si>
  <si>
    <t>ORD01153</t>
  </si>
  <si>
    <t>CUST4207</t>
  </si>
  <si>
    <t>ORD01154</t>
  </si>
  <si>
    <t>CUST6701</t>
  </si>
  <si>
    <t>ORD01155</t>
  </si>
  <si>
    <t>ORD01156</t>
  </si>
  <si>
    <t>2023-02-21</t>
  </si>
  <si>
    <t>CUST6987</t>
  </si>
  <si>
    <t>ORD01157</t>
  </si>
  <si>
    <t>CUST9912</t>
  </si>
  <si>
    <t>ORD01158</t>
  </si>
  <si>
    <t>CUST5779</t>
  </si>
  <si>
    <t>ORD01159</t>
  </si>
  <si>
    <t>CUST6212</t>
  </si>
  <si>
    <t>ORD01160</t>
  </si>
  <si>
    <t>2023-08-21</t>
  </si>
  <si>
    <t>CUST8931</t>
  </si>
  <si>
    <t>ORD01161</t>
  </si>
  <si>
    <t>CUST4985</t>
  </si>
  <si>
    <t>ORD01162</t>
  </si>
  <si>
    <t>CUST5805</t>
  </si>
  <si>
    <t>ORD01163</t>
  </si>
  <si>
    <t>CUST5091</t>
  </si>
  <si>
    <t>ORD01164</t>
  </si>
  <si>
    <t>CUST1074</t>
  </si>
  <si>
    <t>ORD01165</t>
  </si>
  <si>
    <t>CUST4976</t>
  </si>
  <si>
    <t>ORD01166</t>
  </si>
  <si>
    <t>2022-09-22</t>
  </si>
  <si>
    <t>CUST8219</t>
  </si>
  <si>
    <t>ORD01167</t>
  </si>
  <si>
    <t>CUST9306</t>
  </si>
  <si>
    <t>ORD01168</t>
  </si>
  <si>
    <t>2024-01-17</t>
  </si>
  <si>
    <t>CUST1803</t>
  </si>
  <si>
    <t>ORD01169</t>
  </si>
  <si>
    <t>CUST3256</t>
  </si>
  <si>
    <t>ORD01170</t>
  </si>
  <si>
    <t>CUST8914</t>
  </si>
  <si>
    <t>ORD01171</t>
  </si>
  <si>
    <t>2024-04-02</t>
  </si>
  <si>
    <t>CUST4249</t>
  </si>
  <si>
    <t>ORD01172</t>
  </si>
  <si>
    <t>CUST2587</t>
  </si>
  <si>
    <t>ORD01173</t>
  </si>
  <si>
    <t>CUST3096</t>
  </si>
  <si>
    <t>ORD01174</t>
  </si>
  <si>
    <t>CUST2173</t>
  </si>
  <si>
    <t>ORD01175</t>
  </si>
  <si>
    <t>CUST4692</t>
  </si>
  <si>
    <t>ORD01176</t>
  </si>
  <si>
    <t>CUST6430</t>
  </si>
  <si>
    <t>ORD01177</t>
  </si>
  <si>
    <t>CUST3621</t>
  </si>
  <si>
    <t>ORD01178</t>
  </si>
  <si>
    <t>CUST7374</t>
  </si>
  <si>
    <t>ORD01179</t>
  </si>
  <si>
    <t>2022-01-04</t>
  </si>
  <si>
    <t>CUST6582</t>
  </si>
  <si>
    <t>ORD01180</t>
  </si>
  <si>
    <t>CUST8167</t>
  </si>
  <si>
    <t>ORD01181</t>
  </si>
  <si>
    <t>CUST1731</t>
  </si>
  <si>
    <t>ORD01182</t>
  </si>
  <si>
    <t>2023-02-06</t>
  </si>
  <si>
    <t>CUST6048</t>
  </si>
  <si>
    <t>ORD01183</t>
  </si>
  <si>
    <t>CUST8354</t>
  </si>
  <si>
    <t>ORD01184</t>
  </si>
  <si>
    <t>CUST7068</t>
  </si>
  <si>
    <t>ORD01185</t>
  </si>
  <si>
    <t>CUST2266</t>
  </si>
  <si>
    <t>ORD01186</t>
  </si>
  <si>
    <t>2022-10-25</t>
  </si>
  <si>
    <t>CUST2216</t>
  </si>
  <si>
    <t>ORD01187</t>
  </si>
  <si>
    <t>CUST3192</t>
  </si>
  <si>
    <t>ORD01188</t>
  </si>
  <si>
    <t>CUST2511</t>
  </si>
  <si>
    <t>ORD01189</t>
  </si>
  <si>
    <t>CUST7346</t>
  </si>
  <si>
    <t>ORD01190</t>
  </si>
  <si>
    <t>CUST8081</t>
  </si>
  <si>
    <t>ORD01191</t>
  </si>
  <si>
    <t>2022-11-28</t>
  </si>
  <si>
    <t>CUST4089</t>
  </si>
  <si>
    <t>ORD01192</t>
  </si>
  <si>
    <t>CUST2383</t>
  </si>
  <si>
    <t>ORD01193</t>
  </si>
  <si>
    <t>CUST3770</t>
  </si>
  <si>
    <t>ORD01194</t>
  </si>
  <si>
    <t>CUST2751</t>
  </si>
  <si>
    <t>ORD01195</t>
  </si>
  <si>
    <t>CUST5797</t>
  </si>
  <si>
    <t>ORD01196</t>
  </si>
  <si>
    <t>CUST3085</t>
  </si>
  <si>
    <t>ORD01197</t>
  </si>
  <si>
    <t>CUST9861</t>
  </si>
  <si>
    <t>ORD01198</t>
  </si>
  <si>
    <t>2023-11-15</t>
  </si>
  <si>
    <t>CUST8629</t>
  </si>
  <si>
    <t>ORD01199</t>
  </si>
  <si>
    <t>CUST8415</t>
  </si>
  <si>
    <t>ORD01200</t>
  </si>
  <si>
    <t>CUST8252</t>
  </si>
  <si>
    <t>ORD01201</t>
  </si>
  <si>
    <t>CUST5840</t>
  </si>
  <si>
    <t>ORD01202</t>
  </si>
  <si>
    <t>CUST1654</t>
  </si>
  <si>
    <t>ORD01203</t>
  </si>
  <si>
    <t>CUST5467</t>
  </si>
  <si>
    <t>ORD01204</t>
  </si>
  <si>
    <t>ORD01205</t>
  </si>
  <si>
    <t>2023-05-25</t>
  </si>
  <si>
    <t>CUST8364</t>
  </si>
  <si>
    <t>ORD01206</t>
  </si>
  <si>
    <t>ORD01207</t>
  </si>
  <si>
    <t>CUST5560</t>
  </si>
  <si>
    <t>ORD01208</t>
  </si>
  <si>
    <t>CUST9402</t>
  </si>
  <si>
    <t>ORD01209</t>
  </si>
  <si>
    <t>CUST1702</t>
  </si>
  <si>
    <t>ORD01210</t>
  </si>
  <si>
    <t>CUST3071</t>
  </si>
  <si>
    <t>ORD01211</t>
  </si>
  <si>
    <t>CUST2690</t>
  </si>
  <si>
    <t>ORD01212</t>
  </si>
  <si>
    <t>CUST4544</t>
  </si>
  <si>
    <t>ORD01213</t>
  </si>
  <si>
    <t>ORD01214</t>
  </si>
  <si>
    <t>CUST9715</t>
  </si>
  <si>
    <t>ORD01215</t>
  </si>
  <si>
    <t>CUST7815</t>
  </si>
  <si>
    <t>ORD01216</t>
  </si>
  <si>
    <t>CUST4426</t>
  </si>
  <si>
    <t>ORD01217</t>
  </si>
  <si>
    <t>2023-08-29</t>
  </si>
  <si>
    <t>CUST5991</t>
  </si>
  <si>
    <t>ORD01218</t>
  </si>
  <si>
    <t>CUST8528</t>
  </si>
  <si>
    <t>ORD01219</t>
  </si>
  <si>
    <t>2023-08-04</t>
  </si>
  <si>
    <t>CUST6834</t>
  </si>
  <si>
    <t>ORD01220</t>
  </si>
  <si>
    <t>CUST9384</t>
  </si>
  <si>
    <t>ORD01221</t>
  </si>
  <si>
    <t>CUST6198</t>
  </si>
  <si>
    <t>ORD01222</t>
  </si>
  <si>
    <t>CUST3008</t>
  </si>
  <si>
    <t>ORD01223</t>
  </si>
  <si>
    <t>CUST4705</t>
  </si>
  <si>
    <t>ORD01224</t>
  </si>
  <si>
    <t>CUST9774</t>
  </si>
  <si>
    <t>ORD01225</t>
  </si>
  <si>
    <t>CUST9761</t>
  </si>
  <si>
    <t>ORD01226</t>
  </si>
  <si>
    <t>CUST5064</t>
  </si>
  <si>
    <t>ORD01227</t>
  </si>
  <si>
    <t>CUST1637</t>
  </si>
  <si>
    <t>ORD01228</t>
  </si>
  <si>
    <t>CUST1939</t>
  </si>
  <si>
    <t>ORD01229</t>
  </si>
  <si>
    <t>CUST9279</t>
  </si>
  <si>
    <t>ORD01230</t>
  </si>
  <si>
    <t>2023-05-05</t>
  </si>
  <si>
    <t>CUST8435</t>
  </si>
  <si>
    <t>ORD01231</t>
  </si>
  <si>
    <t>2023-02-14</t>
  </si>
  <si>
    <t>ORD01232</t>
  </si>
  <si>
    <t>CUST4877</t>
  </si>
  <si>
    <t>ORD01233</t>
  </si>
  <si>
    <t>CUST2469</t>
  </si>
  <si>
    <t>ORD01234</t>
  </si>
  <si>
    <t>ORD01235</t>
  </si>
  <si>
    <t>CUST6039</t>
  </si>
  <si>
    <t>ORD01236</t>
  </si>
  <si>
    <t>2023-12-19</t>
  </si>
  <si>
    <t>CUST6272</t>
  </si>
  <si>
    <t>ORD01237</t>
  </si>
  <si>
    <t>CUST1934</t>
  </si>
  <si>
    <t>ORD01238</t>
  </si>
  <si>
    <t>CUST9640</t>
  </si>
  <si>
    <t>ORD01239</t>
  </si>
  <si>
    <t>CUST2522</t>
  </si>
  <si>
    <t>ORD01240</t>
  </si>
  <si>
    <t>CUST9150</t>
  </si>
  <si>
    <t>ORD01241</t>
  </si>
  <si>
    <t>CUST9151</t>
  </si>
  <si>
    <t>ORD01242</t>
  </si>
  <si>
    <t>CUST7594</t>
  </si>
  <si>
    <t>ORD01243</t>
  </si>
  <si>
    <t>CUST6193</t>
  </si>
  <si>
    <t>ORD01244</t>
  </si>
  <si>
    <t>CUST3875</t>
  </si>
  <si>
    <t>ORD01245</t>
  </si>
  <si>
    <t>CUST6027</t>
  </si>
  <si>
    <t>ORD01246</t>
  </si>
  <si>
    <t>CUST5000</t>
  </si>
  <si>
    <t>ORD01247</t>
  </si>
  <si>
    <t>CUST5712</t>
  </si>
  <si>
    <t>ORD01248</t>
  </si>
  <si>
    <t>CUST2377</t>
  </si>
  <si>
    <t>ORD01249</t>
  </si>
  <si>
    <t>CUST3065</t>
  </si>
  <si>
    <t>ORD01250</t>
  </si>
  <si>
    <t>CUST4513</t>
  </si>
  <si>
    <t>ORD01251</t>
  </si>
  <si>
    <t>CUST9572</t>
  </si>
  <si>
    <t>ORD01252</t>
  </si>
  <si>
    <t>ORD01253</t>
  </si>
  <si>
    <t>CUST9393</t>
  </si>
  <si>
    <t>ORD01254</t>
  </si>
  <si>
    <t>ORD01255</t>
  </si>
  <si>
    <t>CUST4564</t>
  </si>
  <si>
    <t>ORD01256</t>
  </si>
  <si>
    <t>CUST1389</t>
  </si>
  <si>
    <t>ORD01257</t>
  </si>
  <si>
    <t>CUST4335</t>
  </si>
  <si>
    <t>ORD01258</t>
  </si>
  <si>
    <t>CUST4405</t>
  </si>
  <si>
    <t>ORD01259</t>
  </si>
  <si>
    <t>2022-09-03</t>
  </si>
  <si>
    <t>CUST1180</t>
  </si>
  <si>
    <t>ORD01260</t>
  </si>
  <si>
    <t>CUST1266</t>
  </si>
  <si>
    <t>ORD01261</t>
  </si>
  <si>
    <t>2022-02-20</t>
  </si>
  <si>
    <t>CUST5502</t>
  </si>
  <si>
    <t>ORD01262</t>
  </si>
  <si>
    <t>ORD01263</t>
  </si>
  <si>
    <t>CUST8889</t>
  </si>
  <si>
    <t>ORD01264</t>
  </si>
  <si>
    <t>2023-11-12</t>
  </si>
  <si>
    <t>CUST4156</t>
  </si>
  <si>
    <t>ORD01265</t>
  </si>
  <si>
    <t>ORD01266</t>
  </si>
  <si>
    <t>CUST5617</t>
  </si>
  <si>
    <t>ORD01267</t>
  </si>
  <si>
    <t>CUST5820</t>
  </si>
  <si>
    <t>ORD01268</t>
  </si>
  <si>
    <t>CUST8264</t>
  </si>
  <si>
    <t>ORD01269</t>
  </si>
  <si>
    <t>CUST7328</t>
  </si>
  <si>
    <t>ORD01270</t>
  </si>
  <si>
    <t>CUST7569</t>
  </si>
  <si>
    <t>ORD01271</t>
  </si>
  <si>
    <t>ORD01272</t>
  </si>
  <si>
    <t>CUST4270</t>
  </si>
  <si>
    <t>ORD01273</t>
  </si>
  <si>
    <t>CUST4647</t>
  </si>
  <si>
    <t>ORD01274</t>
  </si>
  <si>
    <t>CUST3637</t>
  </si>
  <si>
    <t>ORD01275</t>
  </si>
  <si>
    <t>CUST5313</t>
  </si>
  <si>
    <t>ORD01276</t>
  </si>
  <si>
    <t>CUST3815</t>
  </si>
  <si>
    <t>ORD01277</t>
  </si>
  <si>
    <t>CUST3699</t>
  </si>
  <si>
    <t>ORD01278</t>
  </si>
  <si>
    <t>CUST6077</t>
  </si>
  <si>
    <t>ORD01279</t>
  </si>
  <si>
    <t>CUST9256</t>
  </si>
  <si>
    <t>ORD01280</t>
  </si>
  <si>
    <t>CUST6778</t>
  </si>
  <si>
    <t>ORD01281</t>
  </si>
  <si>
    <t>2022-11-19</t>
  </si>
  <si>
    <t>CUST3172</t>
  </si>
  <si>
    <t>ORD01282</t>
  </si>
  <si>
    <t>CUST9172</t>
  </si>
  <si>
    <t>ORD01283</t>
  </si>
  <si>
    <t>CUST6150</t>
  </si>
  <si>
    <t>ORD01284</t>
  </si>
  <si>
    <t>ORD01285</t>
  </si>
  <si>
    <t>CUST6715</t>
  </si>
  <si>
    <t>ORD01286</t>
  </si>
  <si>
    <t>CUST8955</t>
  </si>
  <si>
    <t>ORD01287</t>
  </si>
  <si>
    <t>CUST8183</t>
  </si>
  <si>
    <t>ORD01288</t>
  </si>
  <si>
    <t>CUST7061</t>
  </si>
  <si>
    <t>ORD01289</t>
  </si>
  <si>
    <t>CUST8289</t>
  </si>
  <si>
    <t>ORD01290</t>
  </si>
  <si>
    <t>CUST2996</t>
  </si>
  <si>
    <t>ORD01291</t>
  </si>
  <si>
    <t>2024-04-05</t>
  </si>
  <si>
    <t>CUST2905</t>
  </si>
  <si>
    <t>ORD01292</t>
  </si>
  <si>
    <t>CUST8901</t>
  </si>
  <si>
    <t>ORD01293</t>
  </si>
  <si>
    <t>CUST1534</t>
  </si>
  <si>
    <t>ORD01294</t>
  </si>
  <si>
    <t>CUST2811</t>
  </si>
  <si>
    <t>ORD01295</t>
  </si>
  <si>
    <t>CUST2668</t>
  </si>
  <si>
    <t>ORD01296</t>
  </si>
  <si>
    <t>CUST6164</t>
  </si>
  <si>
    <t>ORD01297</t>
  </si>
  <si>
    <t>CUST9557</t>
  </si>
  <si>
    <t>ORD01298</t>
  </si>
  <si>
    <t>CUST5225</t>
  </si>
  <si>
    <t>ORD01299</t>
  </si>
  <si>
    <t>CUST9128</t>
  </si>
  <si>
    <t>ORD01300</t>
  </si>
  <si>
    <t>CUST8326</t>
  </si>
  <si>
    <t>ORD01301</t>
  </si>
  <si>
    <t>2024-05-03</t>
  </si>
  <si>
    <t>CUST8635</t>
  </si>
  <si>
    <t>ORD01302</t>
  </si>
  <si>
    <t>CUST9202</t>
  </si>
  <si>
    <t>ORD01303</t>
  </si>
  <si>
    <t>CUST5024</t>
  </si>
  <si>
    <t>ORD01304</t>
  </si>
  <si>
    <t>CUST1566</t>
  </si>
  <si>
    <t>ORD01305</t>
  </si>
  <si>
    <t>CUST6960</t>
  </si>
  <si>
    <t>ORD01306</t>
  </si>
  <si>
    <t>CUST3425</t>
  </si>
  <si>
    <t>ORD01307</t>
  </si>
  <si>
    <t>CUST4792</t>
  </si>
  <si>
    <t>ORD01308</t>
  </si>
  <si>
    <t>2022-12-18</t>
  </si>
  <si>
    <t>ORD01309</t>
  </si>
  <si>
    <t>CUST9388</t>
  </si>
  <si>
    <t>ORD01310</t>
  </si>
  <si>
    <t>CUST4349</t>
  </si>
  <si>
    <t>ORD01311</t>
  </si>
  <si>
    <t>CUST2554</t>
  </si>
  <si>
    <t>ORD01312</t>
  </si>
  <si>
    <t>CUST8297</t>
  </si>
  <si>
    <t>ORD01313</t>
  </si>
  <si>
    <t>CUST4506</t>
  </si>
  <si>
    <t>ORD01314</t>
  </si>
  <si>
    <t>CUST9208</t>
  </si>
  <si>
    <t>ORD01315</t>
  </si>
  <si>
    <t>CUST1875</t>
  </si>
  <si>
    <t>ORD01316</t>
  </si>
  <si>
    <t>CUST7032</t>
  </si>
  <si>
    <t>ORD01317</t>
  </si>
  <si>
    <t>CUST1663</t>
  </si>
  <si>
    <t>ORD01318</t>
  </si>
  <si>
    <t>2022-08-20</t>
  </si>
  <si>
    <t>CUST7566</t>
  </si>
  <si>
    <t>ORD01319</t>
  </si>
  <si>
    <t>2023-04-28</t>
  </si>
  <si>
    <t>CUST7024</t>
  </si>
  <si>
    <t>ORD01320</t>
  </si>
  <si>
    <t>CUST4429</t>
  </si>
  <si>
    <t>ORD01321</t>
  </si>
  <si>
    <t>ORD01322</t>
  </si>
  <si>
    <t>CUST8010</t>
  </si>
  <si>
    <t>ORD01323</t>
  </si>
  <si>
    <t>CUST3226</t>
  </si>
  <si>
    <t>ORD01324</t>
  </si>
  <si>
    <t>CUST4617</t>
  </si>
  <si>
    <t>ORD01325</t>
  </si>
  <si>
    <t>CUST8841</t>
  </si>
  <si>
    <t>ORD01326</t>
  </si>
  <si>
    <t>CUST4020</t>
  </si>
  <si>
    <t>ORD01327</t>
  </si>
  <si>
    <t>CUST7664</t>
  </si>
  <si>
    <t>ORD01328</t>
  </si>
  <si>
    <t>CUST4646</t>
  </si>
  <si>
    <t>ORD01329</t>
  </si>
  <si>
    <t>CUST5434</t>
  </si>
  <si>
    <t>ORD01330</t>
  </si>
  <si>
    <t>CUST1695</t>
  </si>
  <si>
    <t>ORD01331</t>
  </si>
  <si>
    <t>CUST6322</t>
  </si>
  <si>
    <t>ORD01332</t>
  </si>
  <si>
    <t>CUST6311</t>
  </si>
  <si>
    <t>ORD01333</t>
  </si>
  <si>
    <t>CUST6297</t>
  </si>
  <si>
    <t>ORD01334</t>
  </si>
  <si>
    <t>CUST7694</t>
  </si>
  <si>
    <t>ORD01335</t>
  </si>
  <si>
    <t>CUST2920</t>
  </si>
  <si>
    <t>ORD01336</t>
  </si>
  <si>
    <t>2022-07-25</t>
  </si>
  <si>
    <t>CUST7391</t>
  </si>
  <si>
    <t>ORD01337</t>
  </si>
  <si>
    <t>CUST9023</t>
  </si>
  <si>
    <t>ORD01338</t>
  </si>
  <si>
    <t>CUST5437</t>
  </si>
  <si>
    <t>ORD01339</t>
  </si>
  <si>
    <t>CUST1733</t>
  </si>
  <si>
    <t>ORD01340</t>
  </si>
  <si>
    <t>CUST4882</t>
  </si>
  <si>
    <t>ORD01341</t>
  </si>
  <si>
    <t>CUST4416</t>
  </si>
  <si>
    <t>ORD01342</t>
  </si>
  <si>
    <t>CUST3343</t>
  </si>
  <si>
    <t>ORD01343</t>
  </si>
  <si>
    <t>2023-09-01</t>
  </si>
  <si>
    <t>CUST7493</t>
  </si>
  <si>
    <t>ORD01344</t>
  </si>
  <si>
    <t>ORD01345</t>
  </si>
  <si>
    <t>ORD01346</t>
  </si>
  <si>
    <t>CUST1283</t>
  </si>
  <si>
    <t>ORD01347</t>
  </si>
  <si>
    <t>CUST6117</t>
  </si>
  <si>
    <t>ORD01348</t>
  </si>
  <si>
    <t>CUST3732</t>
  </si>
  <si>
    <t>ORD01349</t>
  </si>
  <si>
    <t>CUST4860</t>
  </si>
  <si>
    <t>ORD01350</t>
  </si>
  <si>
    <t>CUST6616</t>
  </si>
  <si>
    <t>ORD01351</t>
  </si>
  <si>
    <t>CUST1980</t>
  </si>
  <si>
    <t>ORD01352</t>
  </si>
  <si>
    <t>ORD01353</t>
  </si>
  <si>
    <t>ORD01354</t>
  </si>
  <si>
    <t>CUST6354</t>
  </si>
  <si>
    <t>ORD01355</t>
  </si>
  <si>
    <t>CUST6589</t>
  </si>
  <si>
    <t>ORD01356</t>
  </si>
  <si>
    <t>CUST9200</t>
  </si>
  <si>
    <t>ORD01357</t>
  </si>
  <si>
    <t>CUST5530</t>
  </si>
  <si>
    <t>ORD01358</t>
  </si>
  <si>
    <t>CUST4523</t>
  </si>
  <si>
    <t>ORD01359</t>
  </si>
  <si>
    <t>CUST1938</t>
  </si>
  <si>
    <t>ORD01360</t>
  </si>
  <si>
    <t>CUST4202</t>
  </si>
  <si>
    <t>ORD01361</t>
  </si>
  <si>
    <t>CUST8403</t>
  </si>
  <si>
    <t>ORD01362</t>
  </si>
  <si>
    <t>CUST3420</t>
  </si>
  <si>
    <t>ORD01363</t>
  </si>
  <si>
    <t>CUST2958</t>
  </si>
  <si>
    <t>ORD01364</t>
  </si>
  <si>
    <t>CUST1344</t>
  </si>
  <si>
    <t>ORD01365</t>
  </si>
  <si>
    <t>CUST5652</t>
  </si>
  <si>
    <t>ORD01366</t>
  </si>
  <si>
    <t>CUST1841</t>
  </si>
  <si>
    <t>ORD01367</t>
  </si>
  <si>
    <t>ORD01368</t>
  </si>
  <si>
    <t>CUST3775</t>
  </si>
  <si>
    <t>ORD01369</t>
  </si>
  <si>
    <t>CUST9445</t>
  </si>
  <si>
    <t>ORD01370</t>
  </si>
  <si>
    <t>CUST7943</t>
  </si>
  <si>
    <t>ORD01371</t>
  </si>
  <si>
    <t>ORD01372</t>
  </si>
  <si>
    <t>CUST3260</t>
  </si>
  <si>
    <t>ORD01373</t>
  </si>
  <si>
    <t>2022-08-14</t>
  </si>
  <si>
    <t>CUST1500</t>
  </si>
  <si>
    <t>ORD01374</t>
  </si>
  <si>
    <t>ORD01375</t>
  </si>
  <si>
    <t>CUST7895</t>
  </si>
  <si>
    <t>ORD01376</t>
  </si>
  <si>
    <t>CUST4179</t>
  </si>
  <si>
    <t>ORD01377</t>
  </si>
  <si>
    <t>CUST5686</t>
  </si>
  <si>
    <t>ORD01378</t>
  </si>
  <si>
    <t>2023-12-02</t>
  </si>
  <si>
    <t>CUST4381</t>
  </si>
  <si>
    <t>ORD01379</t>
  </si>
  <si>
    <t>CUST2128</t>
  </si>
  <si>
    <t>ORD01380</t>
  </si>
  <si>
    <t>ORD01381</t>
  </si>
  <si>
    <t>CUST5392</t>
  </si>
  <si>
    <t>ORD01382</t>
  </si>
  <si>
    <t>CUST5974</t>
  </si>
  <si>
    <t>ORD01383</t>
  </si>
  <si>
    <t>ORD01384</t>
  </si>
  <si>
    <t>CUST1829</t>
  </si>
  <si>
    <t>ORD01385</t>
  </si>
  <si>
    <t>CUST4840</t>
  </si>
  <si>
    <t>ORD01386</t>
  </si>
  <si>
    <t>CUST1914</t>
  </si>
  <si>
    <t>ORD01387</t>
  </si>
  <si>
    <t>2023-08-09</t>
  </si>
  <si>
    <t>CUST9158</t>
  </si>
  <si>
    <t>ORD01388</t>
  </si>
  <si>
    <t>CUST5073</t>
  </si>
  <si>
    <t>ORD01389</t>
  </si>
  <si>
    <t>CUST9604</t>
  </si>
  <si>
    <t>ORD01390</t>
  </si>
  <si>
    <t>ORD01391</t>
  </si>
  <si>
    <t>2023-11-30</t>
  </si>
  <si>
    <t>CUST4609</t>
  </si>
  <si>
    <t>ORD01392</t>
  </si>
  <si>
    <t>CUST3472</t>
  </si>
  <si>
    <t>ORD01393</t>
  </si>
  <si>
    <t>CUST9826</t>
  </si>
  <si>
    <t>ORD01394</t>
  </si>
  <si>
    <t>ORD01395</t>
  </si>
  <si>
    <t>CUST8844</t>
  </si>
  <si>
    <t>ORD01396</t>
  </si>
  <si>
    <t>CUST3691</t>
  </si>
  <si>
    <t>ORD01397</t>
  </si>
  <si>
    <t>CUST6437</t>
  </si>
  <si>
    <t>ORD01398</t>
  </si>
  <si>
    <t>CUST9691</t>
  </si>
  <si>
    <t>ORD01399</t>
  </si>
  <si>
    <t>CUST6860</t>
  </si>
  <si>
    <t>ORD01400</t>
  </si>
  <si>
    <t>2024-09-17</t>
  </si>
  <si>
    <t>CUST9244</t>
  </si>
  <si>
    <t>ORD01401</t>
  </si>
  <si>
    <t>CUST6846</t>
  </si>
  <si>
    <t>ORD01402</t>
  </si>
  <si>
    <t>CUST2072</t>
  </si>
  <si>
    <t>ORD01403</t>
  </si>
  <si>
    <t>ORD01404</t>
  </si>
  <si>
    <t>CUST2213</t>
  </si>
  <si>
    <t>ORD01405</t>
  </si>
  <si>
    <t>CUST7572</t>
  </si>
  <si>
    <t>ORD01406</t>
  </si>
  <si>
    <t>CUST3923</t>
  </si>
  <si>
    <t>ORD01407</t>
  </si>
  <si>
    <t>CUST5737</t>
  </si>
  <si>
    <t>ORD01408</t>
  </si>
  <si>
    <t>2022-11-11</t>
  </si>
  <si>
    <t>CUST3013</t>
  </si>
  <si>
    <t>ORD01409</t>
  </si>
  <si>
    <t>CUST2615</t>
  </si>
  <si>
    <t>ORD01410</t>
  </si>
  <si>
    <t>CUST6853</t>
  </si>
  <si>
    <t>ORD01411</t>
  </si>
  <si>
    <t>CUST2633</t>
  </si>
  <si>
    <t>ORD01412</t>
  </si>
  <si>
    <t>CUST3871</t>
  </si>
  <si>
    <t>ORD01413</t>
  </si>
  <si>
    <t>CUST2731</t>
  </si>
  <si>
    <t>ORD01414</t>
  </si>
  <si>
    <t>CUST9948</t>
  </si>
  <si>
    <t>ORD01415</t>
  </si>
  <si>
    <t>CUST6064</t>
  </si>
  <si>
    <t>ORD01416</t>
  </si>
  <si>
    <t>CUST5669</t>
  </si>
  <si>
    <t>ORD01417</t>
  </si>
  <si>
    <t>CUST6597</t>
  </si>
  <si>
    <t>ORD01418</t>
  </si>
  <si>
    <t>CUST5528</t>
  </si>
  <si>
    <t>ORD01419</t>
  </si>
  <si>
    <t>CUST2762</t>
  </si>
  <si>
    <t>ORD01420</t>
  </si>
  <si>
    <t>2023-08-16</t>
  </si>
  <si>
    <t>CUST8912</t>
  </si>
  <si>
    <t>ORD01421</t>
  </si>
  <si>
    <t>CUST9897</t>
  </si>
  <si>
    <t>ORD01422</t>
  </si>
  <si>
    <t>ORD01423</t>
  </si>
  <si>
    <t>2024-07-31</t>
  </si>
  <si>
    <t>CUST6373</t>
  </si>
  <si>
    <t>ORD01424</t>
  </si>
  <si>
    <t>CUST1727</t>
  </si>
  <si>
    <t>ORD01425</t>
  </si>
  <si>
    <t>CUST1879</t>
  </si>
  <si>
    <t>ORD01426</t>
  </si>
  <si>
    <t>CUST1730</t>
  </si>
  <si>
    <t>ORD01427</t>
  </si>
  <si>
    <t>CUST2419</t>
  </si>
  <si>
    <t>ORD01428</t>
  </si>
  <si>
    <t>ORD01429</t>
  </si>
  <si>
    <t>CUST4388</t>
  </si>
  <si>
    <t>ORD01430</t>
  </si>
  <si>
    <t>CUST3159</t>
  </si>
  <si>
    <t>ORD01431</t>
  </si>
  <si>
    <t>CUST9760</t>
  </si>
  <si>
    <t>ORD01432</t>
  </si>
  <si>
    <t>CUST8620</t>
  </si>
  <si>
    <t>ORD01433</t>
  </si>
  <si>
    <t>CUST1776</t>
  </si>
  <si>
    <t>ORD01434</t>
  </si>
  <si>
    <t>CUST8418</t>
  </si>
  <si>
    <t>ORD01435</t>
  </si>
  <si>
    <t>CUST7181</t>
  </si>
  <si>
    <t>ORD01436</t>
  </si>
  <si>
    <t>CUST1121</t>
  </si>
  <si>
    <t>ORD01437</t>
  </si>
  <si>
    <t>CUST5214</t>
  </si>
  <si>
    <t>ORD01438</t>
  </si>
  <si>
    <t>CUST7726</t>
  </si>
  <si>
    <t>ORD01439</t>
  </si>
  <si>
    <t>ORD01440</t>
  </si>
  <si>
    <t>CUST8787</t>
  </si>
  <si>
    <t>ORD01441</t>
  </si>
  <si>
    <t>CUST1979</t>
  </si>
  <si>
    <t>ORD01442</t>
  </si>
  <si>
    <t>ORD01443</t>
  </si>
  <si>
    <t>CUST1373</t>
  </si>
  <si>
    <t>ORD01444</t>
  </si>
  <si>
    <t>CUST2205</t>
  </si>
  <si>
    <t>ORD01445</t>
  </si>
  <si>
    <t>CUST3795</t>
  </si>
  <si>
    <t>ORD01446</t>
  </si>
  <si>
    <t>CUST9840</t>
  </si>
  <si>
    <t>ORD01447</t>
  </si>
  <si>
    <t>CUST7918</t>
  </si>
  <si>
    <t>ORD01448</t>
  </si>
  <si>
    <t>CUST2024</t>
  </si>
  <si>
    <t>ORD01449</t>
  </si>
  <si>
    <t>2022-02-19</t>
  </si>
  <si>
    <t>CUST5844</t>
  </si>
  <si>
    <t>ORD01450</t>
  </si>
  <si>
    <t>ORD01451</t>
  </si>
  <si>
    <t>2024-06-26</t>
  </si>
  <si>
    <t>ORD01452</t>
  </si>
  <si>
    <t>CUST7901</t>
  </si>
  <si>
    <t>ORD01453</t>
  </si>
  <si>
    <t>CUST5494</t>
  </si>
  <si>
    <t>ORD01454</t>
  </si>
  <si>
    <t>ORD01455</t>
  </si>
  <si>
    <t>ORD01456</t>
  </si>
  <si>
    <t>2024-02-19</t>
  </si>
  <si>
    <t>CUST3623</t>
  </si>
  <si>
    <t>ORD01457</t>
  </si>
  <si>
    <t>CUST5217</t>
  </si>
  <si>
    <t>ORD01458</t>
  </si>
  <si>
    <t>ORD01459</t>
  </si>
  <si>
    <t>CUST2326</t>
  </si>
  <si>
    <t>ORD01460</t>
  </si>
  <si>
    <t>2023-12-11</t>
  </si>
  <si>
    <t>CUST6210</t>
  </si>
  <si>
    <t>ORD01461</t>
  </si>
  <si>
    <t>CUST6497</t>
  </si>
  <si>
    <t>ORD01462</t>
  </si>
  <si>
    <t>CUST7830</t>
  </si>
  <si>
    <t>ORD01463</t>
  </si>
  <si>
    <t>CUST1337</t>
  </si>
  <si>
    <t>ORD01464</t>
  </si>
  <si>
    <t>2023-08-01</t>
  </si>
  <si>
    <t>CUST3199</t>
  </si>
  <si>
    <t>ORD01465</t>
  </si>
  <si>
    <t>2023-10-08</t>
  </si>
  <si>
    <t>CUST1902</t>
  </si>
  <si>
    <t>ORD01466</t>
  </si>
  <si>
    <t>CUST9730</t>
  </si>
  <si>
    <t>ORD01467</t>
  </si>
  <si>
    <t>CUST3376</t>
  </si>
  <si>
    <t>ORD01468</t>
  </si>
  <si>
    <t>CUST5395</t>
  </si>
  <si>
    <t>ORD01469</t>
  </si>
  <si>
    <t>CUST7216</t>
  </si>
  <si>
    <t>ORD01470</t>
  </si>
  <si>
    <t>CUST4445</t>
  </si>
  <si>
    <t>ORD01471</t>
  </si>
  <si>
    <t>CUST2515</t>
  </si>
  <si>
    <t>ORD01472</t>
  </si>
  <si>
    <t>CUST3042</t>
  </si>
  <si>
    <t>ORD01473</t>
  </si>
  <si>
    <t>CUST5723</t>
  </si>
  <si>
    <t>ORD01474</t>
  </si>
  <si>
    <t>CUST9362</t>
  </si>
  <si>
    <t>ORD01475</t>
  </si>
  <si>
    <t>CUST9666</t>
  </si>
  <si>
    <t>ORD01476</t>
  </si>
  <si>
    <t>ORD01477</t>
  </si>
  <si>
    <t>2024-02-25</t>
  </si>
  <si>
    <t>CUST7062</t>
  </si>
  <si>
    <t>ORD01478</t>
  </si>
  <si>
    <t>ORD01479</t>
  </si>
  <si>
    <t>CUST6103</t>
  </si>
  <si>
    <t>ORD01480</t>
  </si>
  <si>
    <t>CUST4736</t>
  </si>
  <si>
    <t>ORD01481</t>
  </si>
  <si>
    <t>CUST9593</t>
  </si>
  <si>
    <t>ORD01482</t>
  </si>
  <si>
    <t>CUST6335</t>
  </si>
  <si>
    <t>ORD01483</t>
  </si>
  <si>
    <t>ORD01484</t>
  </si>
  <si>
    <t>CUST4728</t>
  </si>
  <si>
    <t>ORD01485</t>
  </si>
  <si>
    <t>CUST8139</t>
  </si>
  <si>
    <t>ORD01486</t>
  </si>
  <si>
    <t>CUST9190</t>
  </si>
  <si>
    <t>ORD01487</t>
  </si>
  <si>
    <t>CUST1097</t>
  </si>
  <si>
    <t>ORD01488</t>
  </si>
  <si>
    <t>CUST4595</t>
  </si>
  <si>
    <t>ORD01489</t>
  </si>
  <si>
    <t>CUST2688</t>
  </si>
  <si>
    <t>ORD01490</t>
  </si>
  <si>
    <t>CUST1758</t>
  </si>
  <si>
    <t>ORD01491</t>
  </si>
  <si>
    <t>CUST2070</t>
  </si>
  <si>
    <t>ORD01492</t>
  </si>
  <si>
    <t>CUST9946</t>
  </si>
  <si>
    <t>ORD01493</t>
  </si>
  <si>
    <t>ORD01494</t>
  </si>
  <si>
    <t>CUST8522</t>
  </si>
  <si>
    <t>ORD01495</t>
  </si>
  <si>
    <t>2023-08-31</t>
  </si>
  <si>
    <t>CUST4975</t>
  </si>
  <si>
    <t>ORD01496</t>
  </si>
  <si>
    <t>ORD01497</t>
  </si>
  <si>
    <t>CUST8112</t>
  </si>
  <si>
    <t>ORD01498</t>
  </si>
  <si>
    <t>ORD01499</t>
  </si>
  <si>
    <t>CUST7804</t>
  </si>
  <si>
    <t>ORD01500</t>
  </si>
  <si>
    <t>CUST9444</t>
  </si>
  <si>
    <t>EXCEL DASHBOARD PROJECT BLUEPRINT</t>
  </si>
  <si>
    <t>OBJECTIVE:</t>
  </si>
  <si>
    <t>Create an Interactive Sales Performance Dashboard.</t>
  </si>
  <si>
    <t>KEY KPIs (Top Section):</t>
  </si>
  <si>
    <t>1. Total Sales</t>
  </si>
  <si>
    <t>2. Total Profit</t>
  </si>
  <si>
    <t>3. Total Orders</t>
  </si>
  <si>
    <t>4. Average Discount</t>
  </si>
  <si>
    <t>5. Profit Margin (%)</t>
  </si>
  <si>
    <t>CHARTS REQUIRED:</t>
  </si>
  <si>
    <t>1. Sales by Region (Clustered Column Chart)</t>
  </si>
  <si>
    <t>2. Sales by Category (Donut Chart)</t>
  </si>
  <si>
    <t>3. Monthly Sales Trend (Line Chart)</t>
  </si>
  <si>
    <t>4. Profit by Sales Rep (Bar Chart)</t>
  </si>
  <si>
    <t>5. Sales Channel Contribution (Pie Chart)</t>
  </si>
  <si>
    <t>SLICERS / FILTERS REQUIRED:</t>
  </si>
  <si>
    <t>1. Region</t>
  </si>
  <si>
    <t>2. Customer Segment</t>
  </si>
  <si>
    <t>3. Product Category</t>
  </si>
  <si>
    <t>4. Sales Channel</t>
  </si>
  <si>
    <t>5. Order Priority</t>
  </si>
  <si>
    <t>ADVANCED FEATURES TO IMPLEMENT:</t>
  </si>
  <si>
    <t>1. Pivot Tables for backend calculations</t>
  </si>
  <si>
    <t>2. Use SUMIFS / COUNTIFS for KPI cards</t>
  </si>
  <si>
    <t>3. Conditional Formatting for top/bottom performers</t>
  </si>
  <si>
    <t>4. Dynamic Titles based on slicer selection</t>
  </si>
  <si>
    <t>5. Create separate Dashboard Sheet (no raw data visible)</t>
  </si>
  <si>
    <t>LAYOUT SUGGESTION:</t>
  </si>
  <si>
    <t>Top Row → KPI Cards</t>
  </si>
  <si>
    <t>Middle Section → Charts</t>
  </si>
  <si>
    <t>Left Side → Slicers</t>
  </si>
  <si>
    <t>Bottom → Monthly Trend Analysis</t>
  </si>
  <si>
    <t>Column Name</t>
  </si>
  <si>
    <t>Description</t>
  </si>
  <si>
    <t>Unique order identifier</t>
  </si>
  <si>
    <t>Date when order was placed</t>
  </si>
  <si>
    <t>Date when order was shipped</t>
  </si>
  <si>
    <t>Geographical sales region</t>
  </si>
  <si>
    <t>Country of sale</t>
  </si>
  <si>
    <t>State of customer</t>
  </si>
  <si>
    <t>City of customer</t>
  </si>
  <si>
    <t>Unique customer identifier</t>
  </si>
  <si>
    <t>Customer classification</t>
  </si>
  <si>
    <t>Main product category</t>
  </si>
  <si>
    <t>Sub product category</t>
  </si>
  <si>
    <t>Product name</t>
  </si>
  <si>
    <t>Sales representative name</t>
  </si>
  <si>
    <t>Online or Offline</t>
  </si>
  <si>
    <t>Mode of payment used</t>
  </si>
  <si>
    <t>Order urgency level</t>
  </si>
  <si>
    <t>Number of units sold</t>
  </si>
  <si>
    <t>Price per unit</t>
  </si>
  <si>
    <t>Discount applied (%)</t>
  </si>
  <si>
    <t>Calculated profit after discount</t>
  </si>
  <si>
    <t>Revenue</t>
  </si>
  <si>
    <t>Sum of Revenue</t>
  </si>
  <si>
    <t>Row Labels</t>
  </si>
  <si>
    <t>Grand Total</t>
  </si>
  <si>
    <t>Month</t>
  </si>
  <si>
    <t>Jan</t>
  </si>
  <si>
    <t>Feb</t>
  </si>
  <si>
    <t>Mar</t>
  </si>
  <si>
    <t>Apr</t>
  </si>
  <si>
    <t>May</t>
  </si>
  <si>
    <t>Jun</t>
  </si>
  <si>
    <t>Jul</t>
  </si>
  <si>
    <t>Aug</t>
  </si>
  <si>
    <t>Sep</t>
  </si>
  <si>
    <t>Oct</t>
  </si>
  <si>
    <t>Nov</t>
  </si>
  <si>
    <t>Dec</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</si>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</sst>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00"/>
  </numFmts>
  <fonts count="6" x14ac:knownFonts="1">
    <font>
      <sz val="11"/>
      <color theme="1"/>
      <name val="Calibri"/>
      <family val="2"/>
      <scheme val="minor"/>
    </font>
    <font>
      <b/>
      <sz val="11"/>
      <name val="Calibri"/>
    </font>
    <font>
      <b/>
      <sz val="14"/>
      <name val="Calibri"/>
    </font>
    <font>
      <sz val="11"/>
      <color theme="1"/>
      <name val="Calibri"/>
      <family val="2"/>
      <scheme val="minor"/>
    </font>
    <font>
      <b/>
      <sz val="11"/>
      <name val="Calibri"/>
      <family val="2"/>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2">
    <xf numFmtId="0" fontId="0" fillId="0" borderId="0"/>
    <xf numFmtId="9" fontId="3" fillId="0" borderId="0" applyFont="0" applyFill="0" applyBorder="0" applyAlignment="0" applyProtection="0"/>
  </cellStyleXfs>
  <cellXfs count="20">
    <xf numFmtId="0" fontId="0" fillId="0" borderId="0" xfId="0"/>
    <xf numFmtId="0" fontId="1" fillId="0" borderId="0" xfId="0" applyFont="1"/>
    <xf numFmtId="0" fontId="2" fillId="0" borderId="0" xfId="0" applyFont="1"/>
    <xf numFmtId="0" fontId="1" fillId="0" borderId="1" xfId="0" applyFont="1" applyBorder="1"/>
    <xf numFmtId="0" fontId="0" fillId="0" borderId="1" xfId="0" applyBorder="1"/>
    <xf numFmtId="2" fontId="0" fillId="0" borderId="1" xfId="0" applyNumberFormat="1" applyBorder="1"/>
    <xf numFmtId="2" fontId="0" fillId="0" borderId="1" xfId="1" applyNumberFormat="1" applyFont="1" applyBorder="1"/>
    <xf numFmtId="2" fontId="0" fillId="0" borderId="0" xfId="0" applyNumberFormat="1"/>
    <xf numFmtId="0" fontId="0" fillId="0" borderId="0" xfId="0" pivotButton="1"/>
    <xf numFmtId="0" fontId="0" fillId="0" borderId="0" xfId="0" applyAlignment="1">
      <alignment horizontal="left"/>
    </xf>
    <xf numFmtId="164" fontId="1" fillId="0" borderId="1" xfId="0" applyNumberFormat="1" applyFont="1" applyBorder="1"/>
    <xf numFmtId="164" fontId="0" fillId="0" borderId="1" xfId="0" applyNumberFormat="1" applyBorder="1"/>
    <xf numFmtId="164" fontId="0" fillId="0" borderId="0" xfId="0" applyNumberFormat="1"/>
    <xf numFmtId="0" fontId="4" fillId="0" borderId="0" xfId="0" applyFont="1"/>
    <xf numFmtId="2" fontId="5" fillId="2" borderId="2" xfId="0" applyNumberFormat="1" applyFont="1" applyFill="1" applyBorder="1"/>
    <xf numFmtId="10" fontId="0" fillId="0" borderId="0" xfId="0" applyNumberFormat="1"/>
    <xf numFmtId="9" fontId="0" fillId="0" borderId="0" xfId="1" applyFont="1"/>
    <xf numFmtId="0" fontId="0" fillId="0" borderId="1" xfId="1" applyNumberFormat="1" applyFont="1" applyBorder="1"/>
    <xf numFmtId="10" fontId="0" fillId="0" borderId="0" xfId="1" applyNumberFormat="1" applyFont="1"/>
    <xf numFmtId="165" fontId="0" fillId="0" borderId="0" xfId="0" applyNumberForma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by Region</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East</c:v>
                </c:pt>
              </c:strCache>
            </c:strRef>
          </c:cat>
          <c:val>
            <c:numRef>
              <c:f>Sheet2!$B$4:$B$5</c:f>
              <c:numCache>
                <c:formatCode>0.00</c:formatCode>
                <c:ptCount val="1"/>
                <c:pt idx="0">
                  <c:v>654336.30000000005</c:v>
                </c:pt>
              </c:numCache>
            </c:numRef>
          </c:val>
          <c:extLst>
            <c:ext xmlns:c16="http://schemas.microsoft.com/office/drawing/2014/chart" uri="{C3380CC4-5D6E-409C-BE32-E72D297353CC}">
              <c16:uniqueId val="{00000000-F69F-4522-8241-7834DE739E71}"/>
            </c:ext>
          </c:extLst>
        </c:ser>
        <c:dLbls>
          <c:showLegendKey val="0"/>
          <c:showVal val="0"/>
          <c:showCatName val="0"/>
          <c:showSerName val="0"/>
          <c:showPercent val="0"/>
          <c:showBubbleSize val="0"/>
        </c:dLbls>
        <c:gapWidth val="219"/>
        <c:overlap val="-27"/>
        <c:axId val="648787023"/>
        <c:axId val="648795663"/>
      </c:barChart>
      <c:catAx>
        <c:axId val="648787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95663"/>
        <c:crosses val="autoZero"/>
        <c:auto val="1"/>
        <c:lblAlgn val="ctr"/>
        <c:lblOffset val="100"/>
        <c:noMultiLvlLbl val="0"/>
      </c:catAx>
      <c:valAx>
        <c:axId val="648795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by Category</c:name>
    <c:fmtId val="1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Sheet2!$I$3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14-44DF-9720-2AFE34E387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14-44DF-9720-2AFE34E387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14-44DF-9720-2AFE34E387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14-44DF-9720-2AFE34E387F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Sheet2!$H$4:$H$5</c:f>
              <c:strCache>
                <c:ptCount val="1"/>
                <c:pt idx="0">
                  <c:v>East</c:v>
                </c:pt>
              </c:strCache>
            </c:strRef>
          </c:cat>
          <c:val>
            <c:numRef>
              <c:f>Sheet2!$I$4:$I$5</c:f>
              <c:numCache>
                <c:formatCode>0.00</c:formatCode>
                <c:ptCount val="1"/>
                <c:pt idx="0">
                  <c:v>25021215.299999993</c:v>
                </c:pt>
              </c:numCache>
            </c:numRef>
          </c:val>
          <c:extLst>
            <c:ext xmlns:c16="http://schemas.microsoft.com/office/drawing/2014/chart" uri="{C3380CC4-5D6E-409C-BE32-E72D297353CC}">
              <c16:uniqueId val="{00000000-A2D7-4DA4-A2FD-8C47704C22D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[Excel-Sales-Performance-Dashboard.xlsx]Sheet2!Monthly Sales Trend</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Sheet2!$N$3</c:f>
              <c:strCache>
                <c:ptCount val="1"/>
                <c:pt idx="0">
                  <c:v>Total</c:v>
                </c:pt>
              </c:strCache>
            </c:strRef>
          </c:tx>
          <c:spPr>
            <a:ln w="28575" cap="rnd">
              <a:solidFill>
                <a:schemeClr val="accent1"/>
              </a:solidFill>
              <a:round/>
            </a:ln>
            <a:effectLst/>
          </c:spPr>
          <c:marker>
            <c:symbol val="none"/>
          </c:marker>
          <c:cat>
            <c:strRef>
              <c:f>Sheet2!$M$4:$M$16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Sheet2!$N$4:$N$16</c:f>
              <c:numCache>
                <c:formatCode>General</c:formatCode>
                <c:ptCount val="12"/>
                <c:pt idx="0">
                  <c:v>22875588.950000018</c:v>
                </c:pt>
                <c:pt idx="1">
                  <c:v>14649321.149999997</c:v>
                </c:pt>
                <c:pt idx="2">
                  <c:v>20177342.349999994</c:v>
                </c:pt>
                <c:pt idx="3">
                  <c:v>16885740.150000002</c:v>
                </c:pt>
                <c:pt idx="4">
                  <c:v>20270879.350000001</c:v>
                </c:pt>
                <c:pt idx="5">
                  <c:v>15670243.199999996</c:v>
                </c:pt>
                <c:pt idx="6">
                  <c:v>16404350.200000005</c:v>
                </c:pt>
                <c:pt idx="7">
                  <c:v>16521777.050000004</c:v>
                </c:pt>
                <c:pt idx="8">
                  <c:v>16812898.449999999</c:v>
                </c:pt>
                <c:pt idx="9">
                  <c:v>10147232.050000001</c:v>
                </c:pt>
                <c:pt idx="10">
                  <c:v>8811380.2999999989</c:v>
                </c:pt>
                <c:pt idx="11">
                  <c:v>11396807.15</c:v>
                </c:pt>
              </c:numCache>
            </c:numRef>
          </c:val>
          <c:smooth val="0"/>
          <c:extLst>
            <c:ext xmlns:c16="http://schemas.microsoft.com/office/drawing/2014/chart" uri="{C3380CC4-5D6E-409C-BE32-E72D297353CC}">
              <c16:uniqueId val="{00000000-485E-4164-A384-E09F650CF280}"/>
            </c:ext>
          </c:extLst>
        </c:ser>
        <c:dLbls>
          <c:showLegendKey val="0"/>
          <c:showVal val="0"/>
          <c:showCatName val="0"/>
          <c:showSerName val="0"/>
          <c:showPercent val="0"/>
          <c:showBubbleSize val="0"/>
        </c:dLbls>
        <c:smooth val="0"/>
        <c:axId val="739401343"/>
        <c:axId val="739400863"/>
      </c:lineChart>
      <c:catAx>
        <c:axId val="73940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00863"/>
        <c:crosses val="autoZero"/>
        <c:auto val="1"/>
        <c:lblAlgn val="ctr"/>
        <c:lblOffset val="100"/>
        <c:noMultiLvlLbl val="0"/>
      </c:catAx>
      <c:valAx>
        <c:axId val="73940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0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[Excel-Sales-Performance-Dashboard.xlsx]Sheet2!Profit by Sales Rep</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Sheet2!$R$3</c:f>
              <c:strCache>
                <c:ptCount val="1"/>
                <c:pt idx="0">
                  <c:v>Total</c:v>
                </c:pt>
              </c:strCache>
            </c:strRef>
          </c:tx>
          <c:spPr>
            <a:solidFill>
              <a:schemeClr val="accent1"/>
            </a:solidFill>
            <a:ln>
              <a:noFill/>
            </a:ln>
            <a:effectLst/>
          </c:spPr>
          <c:invertIfNegative val="0"/>
          <c:cat>
            <c:strRef>
              <c:f>Sheet2!$Q$4:$Q$10</c:f>
              <c:strCache>
                <c:ptCount val="6"/>
                <c:pt idx="0">
                  <c:v>Amit</c:v>
                </c:pt>
                <c:pt idx="1">
                  <c:v>Karan</c:v>
                </c:pt>
                <c:pt idx="2">
                  <c:v>Neha</c:v>
                </c:pt>
                <c:pt idx="3">
                  <c:v>Priya</c:v>
                </c:pt>
                <c:pt idx="4">
                  <c:v>Rahul</c:v>
                </c:pt>
                <c:pt idx="5">
                  <c:v>Sneha</c:v>
                </c:pt>
              </c:strCache>
            </c:strRef>
          </c:cat>
          <c:val>
            <c:numRef>
              <c:f>Sheet2!$R$4:$R$10</c:f>
              <c:numCache>
                <c:formatCode>General</c:formatCode>
                <c:ptCount val="6"/>
                <c:pt idx="0">
                  <c:v>31739284.549999993</c:v>
                </c:pt>
                <c:pt idx="1">
                  <c:v>30900124.600000024</c:v>
                </c:pt>
                <c:pt idx="2">
                  <c:v>35850070.399999991</c:v>
                </c:pt>
                <c:pt idx="3">
                  <c:v>30703754.5</c:v>
                </c:pt>
                <c:pt idx="4">
                  <c:v>29060829.400000002</c:v>
                </c:pt>
                <c:pt idx="5">
                  <c:v>32369496.900000006</c:v>
                </c:pt>
              </c:numCache>
            </c:numRef>
          </c:val>
          <c:extLst>
            <c:ext xmlns:c16="http://schemas.microsoft.com/office/drawing/2014/chart" uri="{C3380CC4-5D6E-409C-BE32-E72D297353CC}">
              <c16:uniqueId val="{00000000-1BF7-42CA-B070-61C79B37C78D}"/>
            </c:ext>
          </c:extLst>
        </c:ser>
        <c:dLbls>
          <c:showLegendKey val="0"/>
          <c:showVal val="0"/>
          <c:showCatName val="0"/>
          <c:showSerName val="0"/>
          <c:showPercent val="0"/>
          <c:showBubbleSize val="0"/>
        </c:dLbls>
        <c:gapWidth val="182"/>
        <c:axId val="739423903"/>
        <c:axId val="739424863"/>
      </c:barChart>
      <c:catAx>
        <c:axId val="73942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4863"/>
        <c:crosses val="autoZero"/>
        <c:auto val="1"/>
        <c:lblAlgn val="ctr"/>
        <c:lblOffset val="100"/>
        <c:noMultiLvlLbl val="0"/>
      </c:catAx>
      <c:valAx>
        <c:axId val="73942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Channel Contribution</c:name>
    <c:fmtId val="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Sheet2!$V$3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63-44F6-AEB0-939E6AD22F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63-44F6-AEB0-939E6AD22F7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Sheet2!$U$4:$U$6</c:f>
              <c:strCache>
                <c:ptCount val="2"/>
                <c:pt idx="0">
                  <c:v>Offline</c:v>
                </c:pt>
                <c:pt idx="1">
                  <c:v>Online</c:v>
                </c:pt>
              </c:strCache>
            </c:strRef>
          </c:cat>
          <c:val>
            <c:numRef>
              <c:f>Sheet2!$V$4:$V$6</c:f>
              <c:numCache>
                <c:formatCode>General</c:formatCode>
                <c:ptCount val="2"/>
                <c:pt idx="0">
                  <c:v>94795532.299999908</c:v>
                </c:pt>
                <c:pt idx="1">
                  <c:v>95828028.050000057</c:v>
                </c:pt>
              </c:numCache>
            </c:numRef>
          </c:val>
          <c:extLst>
            <c:ext xmlns:c16="http://schemas.microsoft.com/office/drawing/2014/chart" uri="{C3380CC4-5D6E-409C-BE32-E72D297353CC}">
              <c16:uniqueId val="{00000000-B215-4D7E-90BC-6506CB3BC02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by Category</c:name>
    <c:fmtId val="1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Sheet2!$I$3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B0-4402-A03C-DCE782D243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B0-4402-A03C-DCE782D243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B0-4402-A03C-DCE782D243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B0-4402-A03C-DCE782D243E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Sheet2!$H$4:$H$5</c:f>
              <c:strCache>
                <c:ptCount val="1"/>
                <c:pt idx="0">
                  <c:v>East</c:v>
                </c:pt>
              </c:strCache>
            </c:strRef>
          </c:cat>
          <c:val>
            <c:numRef>
              <c:f>Sheet2!$I$4:$I$5</c:f>
              <c:numCache>
                <c:formatCode>0.00</c:formatCode>
                <c:ptCount val="1"/>
                <c:pt idx="0">
                  <c:v>25021215.299999993</c:v>
                </c:pt>
              </c:numCache>
            </c:numRef>
          </c:val>
          <c:extLst>
            <c:ext xmlns:c16="http://schemas.microsoft.com/office/drawing/2014/chart" uri="{C3380CC4-5D6E-409C-BE32-E72D297353CC}">
              <c16:uniqueId val="{00000008-52B0-4402-A03C-DCE782D243E3}"/>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by Region</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East</c:v>
                </c:pt>
              </c:strCache>
            </c:strRef>
          </c:cat>
          <c:val>
            <c:numRef>
              <c:f>Sheet2!$B$4:$B$5</c:f>
              <c:numCache>
                <c:formatCode>0.00</c:formatCode>
                <c:ptCount val="1"/>
                <c:pt idx="0">
                  <c:v>654336.30000000005</c:v>
                </c:pt>
              </c:numCache>
            </c:numRef>
          </c:val>
          <c:extLst>
            <c:ext xmlns:c16="http://schemas.microsoft.com/office/drawing/2014/chart" uri="{C3380CC4-5D6E-409C-BE32-E72D297353CC}">
              <c16:uniqueId val="{00000000-6CFD-4E06-AAD0-7C679E63A5A1}"/>
            </c:ext>
          </c:extLst>
        </c:ser>
        <c:dLbls>
          <c:showLegendKey val="0"/>
          <c:showVal val="0"/>
          <c:showCatName val="0"/>
          <c:showSerName val="0"/>
          <c:showPercent val="0"/>
          <c:showBubbleSize val="0"/>
        </c:dLbls>
        <c:gapWidth val="219"/>
        <c:overlap val="-27"/>
        <c:axId val="648787023"/>
        <c:axId val="648795663"/>
      </c:barChart>
      <c:catAx>
        <c:axId val="648787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95663"/>
        <c:crosses val="autoZero"/>
        <c:auto val="1"/>
        <c:lblAlgn val="ctr"/>
        <c:lblOffset val="100"/>
        <c:noMultiLvlLbl val="0"/>
      </c:catAx>
      <c:valAx>
        <c:axId val="648795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Channel Contribution</c:name>
    <c:fmtId val="8"/>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Sheet2!$V$3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A0-46C1-BFA6-95D4DE2D50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A0-46C1-BFA6-95D4DE2D502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Sheet2!$U$4:$U$6</c:f>
              <c:strCache>
                <c:ptCount val="2"/>
                <c:pt idx="0">
                  <c:v>Offline</c:v>
                </c:pt>
                <c:pt idx="1">
                  <c:v>Online</c:v>
                </c:pt>
              </c:strCache>
            </c:strRef>
          </c:cat>
          <c:val>
            <c:numRef>
              <c:f>Sheet2!$V$4:$V$6</c:f>
              <c:numCache>
                <c:formatCode>General</c:formatCode>
                <c:ptCount val="2"/>
                <c:pt idx="0">
                  <c:v>94795532.299999908</c:v>
                </c:pt>
                <c:pt idx="1">
                  <c:v>95828028.050000057</c:v>
                </c:pt>
              </c:numCache>
            </c:numRef>
          </c:val>
          <c:extLst>
            <c:ext xmlns:c16="http://schemas.microsoft.com/office/drawing/2014/chart" uri="{C3380CC4-5D6E-409C-BE32-E72D297353CC}">
              <c16:uniqueId val="{00000004-C8A0-46C1-BFA6-95D4DE2D502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[Excel-Sales-Performance-Dashboard.xlsx]Sheet2!Monthly Sales Trend</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Sheet2!$N$4:$N$16</c:f>
              <c:numCache>
                <c:formatCode>General</c:formatCode>
                <c:ptCount val="12"/>
                <c:pt idx="0">
                  <c:v>22875588.950000018</c:v>
                </c:pt>
                <c:pt idx="1">
                  <c:v>14649321.149999997</c:v>
                </c:pt>
                <c:pt idx="2">
                  <c:v>20177342.349999994</c:v>
                </c:pt>
                <c:pt idx="3">
                  <c:v>16885740.150000002</c:v>
                </c:pt>
                <c:pt idx="4">
                  <c:v>20270879.350000001</c:v>
                </c:pt>
                <c:pt idx="5">
                  <c:v>15670243.199999996</c:v>
                </c:pt>
                <c:pt idx="6">
                  <c:v>16404350.200000005</c:v>
                </c:pt>
                <c:pt idx="7">
                  <c:v>16521777.050000004</c:v>
                </c:pt>
                <c:pt idx="8">
                  <c:v>16812898.449999999</c:v>
                </c:pt>
                <c:pt idx="9">
                  <c:v>10147232.050000001</c:v>
                </c:pt>
                <c:pt idx="10">
                  <c:v>8811380.2999999989</c:v>
                </c:pt>
                <c:pt idx="11">
                  <c:v>11396807.15</c:v>
                </c:pt>
              </c:numCache>
            </c:numRef>
          </c:val>
          <c:smooth val="0"/>
          <c:extLst>
            <c:ext xmlns:c16="http://schemas.microsoft.com/office/drawing/2014/chart" uri="{C3380CC4-5D6E-409C-BE32-E72D297353CC}">
              <c16:uniqueId val="{00000000-1867-46E0-B2B3-B798DA823C3F}"/>
            </c:ext>
          </c:extLst>
        </c:ser>
        <c:dLbls>
          <c:showLegendKey val="0"/>
          <c:showVal val="0"/>
          <c:showCatName val="0"/>
          <c:showSerName val="0"/>
          <c:showPercent val="0"/>
          <c:showBubbleSize val="0"/>
        </c:dLbls>
        <c:marker val="1"/>
        <c:smooth val="0"/>
        <c:axId val="739401343"/>
        <c:axId val="739400863"/>
      </c:lineChart>
      <c:catAx>
        <c:axId val="73940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00863"/>
        <c:crosses val="autoZero"/>
        <c:auto val="1"/>
        <c:lblAlgn val="ctr"/>
        <c:lblOffset val="100"/>
        <c:noMultiLvlLbl val="0"/>
      </c:catAx>
      <c:valAx>
        <c:axId val="73940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0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[Excel-Sales-Performance-Dashboard.xlsx]Sheet2!Profit by Sales Rep</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26670939388392"/>
          <c:y val="7.2676833117379311E-2"/>
          <c:w val="0.56968936295753725"/>
          <c:h val="0.71530698694308781"/>
        </c:manualLayout>
      </c:layout>
      <c:barChart>
        <c:barDir val="bar"/>
        <c:grouping val="clustered"/>
        <c:varyColors val="0"/>
        <c:ser>
          <c:idx val="0"/>
          <c:order val="0"/>
          <c:tx>
            <c:strRef>
              <c:f>Sheet2!$R$3</c:f>
              <c:strCache>
                <c:ptCount val="1"/>
                <c:pt idx="0">
                  <c:v>Total</c:v>
                </c:pt>
              </c:strCache>
            </c:strRef>
          </c:tx>
          <c:spPr>
            <a:solidFill>
              <a:schemeClr val="accent1"/>
            </a:solidFill>
            <a:ln>
              <a:noFill/>
            </a:ln>
            <a:effectLst/>
          </c:spPr>
          <c:invertIfNegative val="0"/>
          <c:cat>
            <c:strRef>
              <c:f>Sheet2!$Q$4:$Q$10</c:f>
              <c:strCache>
                <c:ptCount val="6"/>
                <c:pt idx="0">
                  <c:v>Amit</c:v>
                </c:pt>
                <c:pt idx="1">
                  <c:v>Karan</c:v>
                </c:pt>
                <c:pt idx="2">
                  <c:v>Neha</c:v>
                </c:pt>
                <c:pt idx="3">
                  <c:v>Priya</c:v>
                </c:pt>
                <c:pt idx="4">
                  <c:v>Rahul</c:v>
                </c:pt>
                <c:pt idx="5">
                  <c:v>Sneha</c:v>
                </c:pt>
              </c:strCache>
            </c:strRef>
          </c:cat>
          <c:val>
            <c:numRef>
              <c:f>Sheet2!$R$4:$R$10</c:f>
              <c:numCache>
                <c:formatCode>General</c:formatCode>
                <c:ptCount val="6"/>
                <c:pt idx="0">
                  <c:v>31739284.549999993</c:v>
                </c:pt>
                <c:pt idx="1">
                  <c:v>30900124.600000024</c:v>
                </c:pt>
                <c:pt idx="2">
                  <c:v>35850070.399999991</c:v>
                </c:pt>
                <c:pt idx="3">
                  <c:v>30703754.5</c:v>
                </c:pt>
                <c:pt idx="4">
                  <c:v>29060829.400000002</c:v>
                </c:pt>
                <c:pt idx="5">
                  <c:v>32369496.900000006</c:v>
                </c:pt>
              </c:numCache>
            </c:numRef>
          </c:val>
          <c:extLst>
            <c:ext xmlns:c16="http://schemas.microsoft.com/office/drawing/2014/chart" uri="{C3380CC4-5D6E-409C-BE32-E72D297353CC}">
              <c16:uniqueId val="{00000000-EBEA-4977-BFD9-A42A9075928B}"/>
            </c:ext>
          </c:extLst>
        </c:ser>
        <c:dLbls>
          <c:showLegendKey val="0"/>
          <c:showVal val="0"/>
          <c:showCatName val="0"/>
          <c:showSerName val="0"/>
          <c:showPercent val="0"/>
          <c:showBubbleSize val="0"/>
        </c:dLbls>
        <c:gapWidth val="182"/>
        <c:axId val="739423903"/>
        <c:axId val="739424863"/>
      </c:barChart>
      <c:catAx>
        <c:axId val="73942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4863"/>
        <c:crosses val="autoZero"/>
        <c:auto val="1"/>
        <c:lblAlgn val="ctr"/>
        <c:lblOffset val="100"/>
        <c:noMultiLvlLbl val="0"/>
      </c:catAx>
      <c:valAx>
        <c:axId val="73942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by Category</c:name>
    <c:fmtId val="18"/>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Sheet2!$I$3</c:f>
              <c:strCache>
                <c:ptCount val="1"/>
                <c:pt idx="0">
                  <c:v>Total</c:v>
                </c:pt>
              </c:strCache>
            </c:strRef>
          </c:tx>
          <c:explosion val="7"/>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69-40F6-A09A-982BCED1C7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69-40F6-A09A-982BCED1C7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69-40F6-A09A-982BCED1C7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69-40F6-A09A-982BCED1C75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Sheet2!$H$4:$H$5</c:f>
              <c:strCache>
                <c:ptCount val="1"/>
                <c:pt idx="0">
                  <c:v>East</c:v>
                </c:pt>
              </c:strCache>
            </c:strRef>
          </c:cat>
          <c:val>
            <c:numRef>
              <c:f>Sheet2!$I$4:$I$5</c:f>
              <c:numCache>
                <c:formatCode>0.00</c:formatCode>
                <c:ptCount val="1"/>
                <c:pt idx="0">
                  <c:v>25021215.299999993</c:v>
                </c:pt>
              </c:numCache>
            </c:numRef>
          </c:val>
          <c:extLst>
            <c:ext xmlns:c16="http://schemas.microsoft.com/office/drawing/2014/chart" uri="{C3380CC4-5D6E-409C-BE32-E72D297353CC}">
              <c16:uniqueId val="{00000008-7F69-40F6-A09A-982BCED1C75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by Region</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East</c:v>
                </c:pt>
              </c:strCache>
            </c:strRef>
          </c:cat>
          <c:val>
            <c:numRef>
              <c:f>Sheet2!$B$4:$B$5</c:f>
              <c:numCache>
                <c:formatCode>0.00</c:formatCode>
                <c:ptCount val="1"/>
                <c:pt idx="0">
                  <c:v>654336.30000000005</c:v>
                </c:pt>
              </c:numCache>
            </c:numRef>
          </c:val>
          <c:extLst>
            <c:ext xmlns:c16="http://schemas.microsoft.com/office/drawing/2014/chart" uri="{C3380CC4-5D6E-409C-BE32-E72D297353CC}">
              <c16:uniqueId val="{00000000-91CC-48DB-B6AA-A43F9AAD71F4}"/>
            </c:ext>
          </c:extLst>
        </c:ser>
        <c:dLbls>
          <c:showLegendKey val="0"/>
          <c:showVal val="0"/>
          <c:showCatName val="0"/>
          <c:showSerName val="0"/>
          <c:showPercent val="0"/>
          <c:showBubbleSize val="0"/>
        </c:dLbls>
        <c:gapWidth val="219"/>
        <c:overlap val="-27"/>
        <c:axId val="648787023"/>
        <c:axId val="648795663"/>
      </c:barChart>
      <c:catAx>
        <c:axId val="648787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95663"/>
        <c:crosses val="autoZero"/>
        <c:auto val="1"/>
        <c:lblAlgn val="ctr"/>
        <c:lblOffset val="100"/>
        <c:noMultiLvlLbl val="0"/>
      </c:catAx>
      <c:valAx>
        <c:axId val="648795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87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[Excel-Sales-Performance-Dashboard.xlsx]Sheet2!Sales Channel Contribution</c:name>
    <c:fmtId val="12"/>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Sheet2!$V$3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F5-4CF3-A249-B46D051D15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F5-4CF3-A249-B46D051D15F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Sheet2!$U$4:$U$6</c:f>
              <c:strCache>
                <c:ptCount val="2"/>
                <c:pt idx="0">
                  <c:v>Offline</c:v>
                </c:pt>
                <c:pt idx="1">
                  <c:v>Online</c:v>
                </c:pt>
              </c:strCache>
            </c:strRef>
          </c:cat>
          <c:val>
            <c:numRef>
              <c:f>Sheet2!$V$4:$V$6</c:f>
              <c:numCache>
                <c:formatCode>General</c:formatCode>
                <c:ptCount val="2"/>
                <c:pt idx="0">
                  <c:v>94795532.299999908</c:v>
                </c:pt>
                <c:pt idx="1">
                  <c:v>95828028.050000057</c:v>
                </c:pt>
              </c:numCache>
            </c:numRef>
          </c:val>
          <c:extLst>
            <c:ext xmlns:c16="http://schemas.microsoft.com/office/drawing/2014/chart" uri="{C3380CC4-5D6E-409C-BE32-E72D297353CC}">
              <c16:uniqueId val="{00000004-4AF5-4CF3-A249-B46D051D15F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[Excel-Sales-Performance-Dashboard.xlsx]Sheet2!Monthly Sales Trend</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Sheet2!$N$4:$N$16</c:f>
              <c:numCache>
                <c:formatCode>General</c:formatCode>
                <c:ptCount val="12"/>
                <c:pt idx="0">
                  <c:v>22875588.950000018</c:v>
                </c:pt>
                <c:pt idx="1">
                  <c:v>14649321.149999997</c:v>
                </c:pt>
                <c:pt idx="2">
                  <c:v>20177342.349999994</c:v>
                </c:pt>
                <c:pt idx="3">
                  <c:v>16885740.150000002</c:v>
                </c:pt>
                <c:pt idx="4">
                  <c:v>20270879.350000001</c:v>
                </c:pt>
                <c:pt idx="5">
                  <c:v>15670243.199999996</c:v>
                </c:pt>
                <c:pt idx="6">
                  <c:v>16404350.200000005</c:v>
                </c:pt>
                <c:pt idx="7">
                  <c:v>16521777.050000004</c:v>
                </c:pt>
                <c:pt idx="8">
                  <c:v>16812898.449999999</c:v>
                </c:pt>
                <c:pt idx="9">
                  <c:v>10147232.050000001</c:v>
                </c:pt>
                <c:pt idx="10">
                  <c:v>8811380.2999999989</c:v>
                </c:pt>
                <c:pt idx="11">
                  <c:v>11396807.15</c:v>
                </c:pt>
              </c:numCache>
            </c:numRef>
          </c:val>
          <c:smooth val="0"/>
          <c:extLst>
            <c:ext xmlns:c16="http://schemas.microsoft.com/office/drawing/2014/chart" uri="{C3380CC4-5D6E-409C-BE32-E72D297353CC}">
              <c16:uniqueId val="{00000000-E14C-47F5-AB53-5451D8B176D5}"/>
            </c:ext>
          </c:extLst>
        </c:ser>
        <c:dLbls>
          <c:showLegendKey val="0"/>
          <c:showVal val="0"/>
          <c:showCatName val="0"/>
          <c:showSerName val="0"/>
          <c:showPercent val="0"/>
          <c:showBubbleSize val="0"/>
        </c:dLbls>
        <c:marker val="1"/>
        <c:smooth val="0"/>
        <c:axId val="739401343"/>
        <c:axId val="739400863"/>
      </c:lineChart>
      <c:catAx>
        <c:axId val="73940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00863"/>
        <c:crosses val="autoZero"/>
        <c:auto val="1"/>
        <c:lblAlgn val="ctr"/>
        <c:lblOffset val="100"/>
        <c:noMultiLvlLbl val="0"/>
      </c:catAx>
      <c:valAx>
        <c:axId val="73940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0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[Excel-Sales-Performance-Dashboard.xlsx]Sheet2!Profit by Sales Rep</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Sheet2!$R$3</c:f>
              <c:strCache>
                <c:ptCount val="1"/>
                <c:pt idx="0">
                  <c:v>Total</c:v>
                </c:pt>
              </c:strCache>
            </c:strRef>
          </c:tx>
          <c:spPr>
            <a:solidFill>
              <a:schemeClr val="accent1"/>
            </a:solidFill>
            <a:ln>
              <a:noFill/>
            </a:ln>
            <a:effectLst/>
          </c:spPr>
          <c:invertIfNegative val="0"/>
          <c:cat>
            <c:strRef>
              <c:f>Sheet2!$Q$4:$Q$10</c:f>
              <c:strCache>
                <c:ptCount val="6"/>
                <c:pt idx="0">
                  <c:v>Amit</c:v>
                </c:pt>
                <c:pt idx="1">
                  <c:v>Karan</c:v>
                </c:pt>
                <c:pt idx="2">
                  <c:v>Neha</c:v>
                </c:pt>
                <c:pt idx="3">
                  <c:v>Priya</c:v>
                </c:pt>
                <c:pt idx="4">
                  <c:v>Rahul</c:v>
                </c:pt>
                <c:pt idx="5">
                  <c:v>Sneha</c:v>
                </c:pt>
              </c:strCache>
            </c:strRef>
          </c:cat>
          <c:val>
            <c:numRef>
              <c:f>Sheet2!$R$4:$R$10</c:f>
              <c:numCache>
                <c:formatCode>General</c:formatCode>
                <c:ptCount val="6"/>
                <c:pt idx="0">
                  <c:v>31739284.549999993</c:v>
                </c:pt>
                <c:pt idx="1">
                  <c:v>30900124.600000024</c:v>
                </c:pt>
                <c:pt idx="2">
                  <c:v>35850070.399999991</c:v>
                </c:pt>
                <c:pt idx="3">
                  <c:v>30703754.5</c:v>
                </c:pt>
                <c:pt idx="4">
                  <c:v>29060829.400000002</c:v>
                </c:pt>
                <c:pt idx="5">
                  <c:v>32369496.900000006</c:v>
                </c:pt>
              </c:numCache>
            </c:numRef>
          </c:val>
          <c:extLst>
            <c:ext xmlns:c16="http://schemas.microsoft.com/office/drawing/2014/chart" uri="{C3380CC4-5D6E-409C-BE32-E72D297353CC}">
              <c16:uniqueId val="{00000000-AE6F-45C8-A754-351725C69E4A}"/>
            </c:ext>
          </c:extLst>
        </c:ser>
        <c:dLbls>
          <c:showLegendKey val="0"/>
          <c:showVal val="0"/>
          <c:showCatName val="0"/>
          <c:showSerName val="0"/>
          <c:showPercent val="0"/>
          <c:showBubbleSize val="0"/>
        </c:dLbls>
        <c:gapWidth val="182"/>
        <c:axId val="739423903"/>
        <c:axId val="739424863"/>
      </c:barChart>
      <c:catAx>
        <c:axId val="73942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4863"/>
        <c:crosses val="autoZero"/>
        <c:auto val="1"/>
        <c:lblAlgn val="ctr"/>
        <c:lblOffset val="100"/>
        <c:noMultiLvlLbl val="0"/>
      </c:catAx>
      <c:valAx>
        <c:axId val="739424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42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45720</xdr:rowOff>
    </xdr:from>
    <xdr:to>
      <xdr:col>5</xdr:col>
      <xdr:colOff>464820</xdr:colOff>
      <xdr:row>22</xdr:row>
      <xdr:rowOff>30480</xdr:rowOff>
    </xdr:to>
    <xdr:graphicFrame macro="">
      <xdr:nvGraphicFramePr>
        <xdr:cNvPr id="12" name="Chart 11">
          <a:extLst>
            <a:ext uri="{FF2B5EF4-FFF2-40B4-BE49-F238E27FC236}">
              <a16:creationId xmlns:a16="http://schemas.microsoft.com/office/drawing/2014/main" id="{0CBEA675-F79A-F5F1-37BB-82B71E4BC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899160</xdr:colOff>
      <xdr:row>8</xdr:row>
      <xdr:rowOff>160020</xdr:rowOff>
    </xdr:from>
    <xdr:to>
      <xdr:col>10</xdr:col>
      <xdr:colOff>243840</xdr:colOff>
      <xdr:row>19</xdr:row>
      <xdr:rowOff>53340</xdr:rowOff>
    </xdr:to>
    <xdr:graphicFrame macro="">
      <xdr:nvGraphicFramePr>
        <xdr:cNvPr id="14" name="Chart 13">
          <a:extLst>
            <a:ext uri="{FF2B5EF4-FFF2-40B4-BE49-F238E27FC236}">
              <a16:creationId xmlns:a16="http://schemas.microsoft.com/office/drawing/2014/main" id="{A80AB390-AFA4-43BD-385B-18C0F51D03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220980</xdr:colOff>
      <xdr:row>18</xdr:row>
      <xdr:rowOff>110490</xdr:rowOff>
    </xdr:from>
    <xdr:to>
      <xdr:col>14</xdr:col>
      <xdr:colOff>510540</xdr:colOff>
      <xdr:row>33</xdr:row>
      <xdr:rowOff>110490</xdr:rowOff>
    </xdr:to>
    <xdr:graphicFrame macro="">
      <xdr:nvGraphicFramePr>
        <xdr:cNvPr id="15" name="Chart 14">
          <a:extLst>
            <a:ext uri="{FF2B5EF4-FFF2-40B4-BE49-F238E27FC236}">
              <a16:creationId xmlns:a16="http://schemas.microsoft.com/office/drawing/2014/main" id="{6E0EF0D2-1B0C-0197-C98E-7A757EC8D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198120</xdr:colOff>
      <xdr:row>11</xdr:row>
      <xdr:rowOff>133350</xdr:rowOff>
    </xdr:from>
    <xdr:to>
      <xdr:col>19</xdr:col>
      <xdr:colOff>327660</xdr:colOff>
      <xdr:row>26</xdr:row>
      <xdr:rowOff>133350</xdr:rowOff>
    </xdr:to>
    <xdr:graphicFrame macro="">
      <xdr:nvGraphicFramePr>
        <xdr:cNvPr id="16" name="Chart 15">
          <a:extLst>
            <a:ext uri="{FF2B5EF4-FFF2-40B4-BE49-F238E27FC236}">
              <a16:creationId xmlns:a16="http://schemas.microsoft.com/office/drawing/2014/main" id="{2BBBDEEC-8C59-D5D0-29FE-C4EEBCE91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7620</xdr:colOff>
      <xdr:row>7</xdr:row>
      <xdr:rowOff>3810</xdr:rowOff>
    </xdr:from>
    <xdr:to>
      <xdr:col>25</xdr:col>
      <xdr:colOff>91440</xdr:colOff>
      <xdr:row>19</xdr:row>
      <xdr:rowOff>76200</xdr:rowOff>
    </xdr:to>
    <xdr:graphicFrame macro="">
      <xdr:nvGraphicFramePr>
        <xdr:cNvPr id="17" name="Chart 16">
          <a:extLst>
            <a:ext uri="{FF2B5EF4-FFF2-40B4-BE49-F238E27FC236}">
              <a16:creationId xmlns:a16="http://schemas.microsoft.com/office/drawing/2014/main" id="{B022439B-9530-EB7D-8030-D54A45868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29</xdr:col>
      <xdr:colOff>175260</xdr:colOff>
      <xdr:row>17</xdr:row>
      <xdr:rowOff>45721</xdr:rowOff>
    </xdr:from>
    <xdr:to>
      <xdr:col>32</xdr:col>
      <xdr:colOff>175260</xdr:colOff>
      <xdr:row>23</xdr:row>
      <xdr:rowOff>129540</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3F70B39E-D12F-3FF3-8338-56E521351B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061680" y="3154681"/>
              <a:ext cx="182880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182880</xdr:colOff>
      <xdr:row>24</xdr:row>
      <xdr:rowOff>45721</xdr:rowOff>
    </xdr:from>
    <xdr:to>
      <xdr:col>32</xdr:col>
      <xdr:colOff>182880</xdr:colOff>
      <xdr:row>29</xdr:row>
      <xdr:rowOff>83820</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A96229EC-8385-DB32-E31D-AB59FAEEEAC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1069300" y="4434841"/>
              <a:ext cx="1828800"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129540</xdr:colOff>
      <xdr:row>0</xdr:row>
      <xdr:rowOff>129541</xdr:rowOff>
    </xdr:from>
    <xdr:to>
      <xdr:col>32</xdr:col>
      <xdr:colOff>129540</xdr:colOff>
      <xdr:row>4</xdr:row>
      <xdr:rowOff>68580</xdr:rowOff>
    </xdr:to>
    <mc:AlternateContent xmlns:mc="http://schemas.openxmlformats.org/markup-compatibility/2006" xmlns:a14="http://schemas.microsoft.com/office/drawing/2010/main">
      <mc:Choice Requires="a14">
        <xdr:graphicFrame macro="">
          <xdr:nvGraphicFramePr>
            <xdr:cNvPr id="5" name="Sales_Channel">
              <a:extLst>
                <a:ext uri="{FF2B5EF4-FFF2-40B4-BE49-F238E27FC236}">
                  <a16:creationId xmlns:a16="http://schemas.microsoft.com/office/drawing/2014/main" id="{59727E6F-8AA0-F1BF-FEBF-8DD9650EF18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21015960" y="129541"/>
              <a:ext cx="1828800" cy="670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144780</xdr:colOff>
      <xdr:row>4</xdr:row>
      <xdr:rowOff>129541</xdr:rowOff>
    </xdr:from>
    <xdr:to>
      <xdr:col>32</xdr:col>
      <xdr:colOff>144780</xdr:colOff>
      <xdr:row>11</xdr:row>
      <xdr:rowOff>38100</xdr:rowOff>
    </xdr:to>
    <mc:AlternateContent xmlns:mc="http://schemas.openxmlformats.org/markup-compatibility/2006" xmlns:a14="http://schemas.microsoft.com/office/drawing/2010/main">
      <mc:Choice Requires="a14">
        <xdr:graphicFrame macro="">
          <xdr:nvGraphicFramePr>
            <xdr:cNvPr id="6" name="Order_Priority">
              <a:extLst>
                <a:ext uri="{FF2B5EF4-FFF2-40B4-BE49-F238E27FC236}">
                  <a16:creationId xmlns:a16="http://schemas.microsoft.com/office/drawing/2014/main" id="{9EAFC646-ADEB-0E69-C400-3873609CC0CD}"/>
                </a:ext>
              </a:extLst>
            </xdr:cNvPr>
            <xdr:cNvGraphicFramePr/>
          </xdr:nvGraphicFramePr>
          <xdr:xfrm>
            <a:off x="0" y="0"/>
            <a:ext cx="0" cy="0"/>
          </xdr:xfrm>
          <a:graphic>
            <a:graphicData uri="http://schemas.microsoft.com/office/drawing/2010/slicer">
              <sle:slicer xmlns:sle="http://schemas.microsoft.com/office/drawing/2010/slicer" name="Order_Priority"/>
            </a:graphicData>
          </a:graphic>
        </xdr:graphicFrame>
      </mc:Choice>
      <mc:Fallback xmlns="">
        <xdr:sp macro="" textlink="">
          <xdr:nvSpPr>
            <xdr:cNvPr id="0" name=""/>
            <xdr:cNvSpPr>
              <a:spLocks noTextEdit="1"/>
            </xdr:cNvSpPr>
          </xdr:nvSpPr>
          <xdr:spPr>
            <a:xfrm>
              <a:off x="21031200" y="861061"/>
              <a:ext cx="18288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175260</xdr:colOff>
      <xdr:row>12</xdr:row>
      <xdr:rowOff>38101</xdr:rowOff>
    </xdr:from>
    <xdr:to>
      <xdr:col>32</xdr:col>
      <xdr:colOff>175260</xdr:colOff>
      <xdr:row>17</xdr:row>
      <xdr:rowOff>22860</xdr:rowOff>
    </xdr:to>
    <mc:AlternateContent xmlns:mc="http://schemas.openxmlformats.org/markup-compatibility/2006" xmlns:a14="http://schemas.microsoft.com/office/drawing/2010/main">
      <mc:Choice Requires="a14">
        <xdr:graphicFrame macro="">
          <xdr:nvGraphicFramePr>
            <xdr:cNvPr id="10" name="Customer_Segment">
              <a:extLst>
                <a:ext uri="{FF2B5EF4-FFF2-40B4-BE49-F238E27FC236}">
                  <a16:creationId xmlns:a16="http://schemas.microsoft.com/office/drawing/2014/main" id="{ECC0B657-3100-6013-3723-A11DF41A2AD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21061680" y="2232661"/>
              <a:ext cx="1828800" cy="89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76200</xdr:colOff>
      <xdr:row>34</xdr:row>
      <xdr:rowOff>121920</xdr:rowOff>
    </xdr:from>
    <xdr:to>
      <xdr:col>1</xdr:col>
      <xdr:colOff>853440</xdr:colOff>
      <xdr:row>41</xdr:row>
      <xdr:rowOff>0</xdr:rowOff>
    </xdr:to>
    <xdr:sp macro="" textlink="">
      <xdr:nvSpPr>
        <xdr:cNvPr id="2" name="Rectangle 1">
          <a:extLst>
            <a:ext uri="{FF2B5EF4-FFF2-40B4-BE49-F238E27FC236}">
              <a16:creationId xmlns:a16="http://schemas.microsoft.com/office/drawing/2014/main" id="{362239AA-8D76-9CF4-097E-74493386A6FA}"/>
            </a:ext>
          </a:extLst>
        </xdr:cNvPr>
        <xdr:cNvSpPr/>
      </xdr:nvSpPr>
      <xdr:spPr>
        <a:xfrm>
          <a:off x="76200" y="6339840"/>
          <a:ext cx="1638300" cy="1158240"/>
        </a:xfrm>
        <a:prstGeom prst="rect">
          <a:avLst/>
        </a:prstGeom>
        <a:solidFill>
          <a:schemeClr val="bg1"/>
        </a:solidFill>
        <a:ln>
          <a:noFill/>
        </a:ln>
        <a:effectLst>
          <a:outerShdw blurRad="50800" dist="38100" dir="2700000" algn="tl" rotWithShape="0">
            <a:prstClr val="black">
              <a:alpha val="40000"/>
            </a:prstClr>
          </a:outerShdw>
          <a:reflection blurRad="6350" stA="50000" endA="275" endPos="40000" dist="101600" dir="5400000" sy="-100000" algn="bl" rotWithShape="0"/>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bg1"/>
              </a:solidFill>
              <a:effectLst/>
              <a:latin typeface="+mn-lt"/>
              <a:ea typeface="+mn-ea"/>
              <a:cs typeface="+mn-cs"/>
            </a:rPr>
            <a:t>190623560.35</a:t>
          </a:r>
          <a:r>
            <a:rPr lang="en-US">
              <a:solidFill>
                <a:schemeClr val="bg1"/>
              </a:solidFill>
              <a:effectLst/>
            </a:rPr>
            <a:t> </a:t>
          </a:r>
          <a:endParaRPr lang="en-US" sz="1100">
            <a:solidFill>
              <a:schemeClr val="bg1"/>
            </a:solidFill>
          </a:endParaRPr>
        </a:p>
      </xdr:txBody>
    </xdr:sp>
    <xdr:clientData/>
  </xdr:twoCellAnchor>
  <xdr:twoCellAnchor>
    <xdr:from>
      <xdr:col>0</xdr:col>
      <xdr:colOff>480060</xdr:colOff>
      <xdr:row>35</xdr:row>
      <xdr:rowOff>15240</xdr:rowOff>
    </xdr:from>
    <xdr:to>
      <xdr:col>1</xdr:col>
      <xdr:colOff>472440</xdr:colOff>
      <xdr:row>36</xdr:row>
      <xdr:rowOff>83820</xdr:rowOff>
    </xdr:to>
    <xdr:sp macro="" textlink="">
      <xdr:nvSpPr>
        <xdr:cNvPr id="3" name="Rectangle 2">
          <a:extLst>
            <a:ext uri="{FF2B5EF4-FFF2-40B4-BE49-F238E27FC236}">
              <a16:creationId xmlns:a16="http://schemas.microsoft.com/office/drawing/2014/main" id="{301FF3FF-17A8-9DD1-926D-2972215F0731}"/>
            </a:ext>
          </a:extLst>
        </xdr:cNvPr>
        <xdr:cNvSpPr/>
      </xdr:nvSpPr>
      <xdr:spPr>
        <a:xfrm>
          <a:off x="480060" y="6416040"/>
          <a:ext cx="853440" cy="251460"/>
        </a:xfrm>
        <a:prstGeom prst="rect">
          <a:avLst/>
        </a:prstGeom>
        <a:solidFill>
          <a:schemeClr val="bg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100" b="1">
              <a:solidFill>
                <a:schemeClr val="tx1"/>
              </a:solidFill>
            </a:rPr>
            <a:t>Total</a:t>
          </a:r>
          <a:r>
            <a:rPr lang="en-US" sz="1100" b="1" baseline="0">
              <a:solidFill>
                <a:schemeClr val="tx1"/>
              </a:solidFill>
            </a:rPr>
            <a:t> Sales</a:t>
          </a:r>
          <a:endParaRPr lang="en-US" sz="1100" b="1">
            <a:solidFill>
              <a:schemeClr val="tx1"/>
            </a:solidFill>
          </a:endParaRPr>
        </a:p>
      </xdr:txBody>
    </xdr:sp>
    <xdr:clientData/>
  </xdr:twoCellAnchor>
  <xdr:twoCellAnchor>
    <xdr:from>
      <xdr:col>3</xdr:col>
      <xdr:colOff>594360</xdr:colOff>
      <xdr:row>38</xdr:row>
      <xdr:rowOff>0</xdr:rowOff>
    </xdr:from>
    <xdr:to>
      <xdr:col>5</xdr:col>
      <xdr:colOff>480060</xdr:colOff>
      <xdr:row>39</xdr:row>
      <xdr:rowOff>38100</xdr:rowOff>
    </xdr:to>
    <xdr:sp macro="" textlink="">
      <xdr:nvSpPr>
        <xdr:cNvPr id="8" name="Rectangle 7">
          <a:extLst>
            <a:ext uri="{FF2B5EF4-FFF2-40B4-BE49-F238E27FC236}">
              <a16:creationId xmlns:a16="http://schemas.microsoft.com/office/drawing/2014/main" id="{5EFF8AA7-6A45-09C6-323E-18482CD07870}"/>
            </a:ext>
          </a:extLst>
        </xdr:cNvPr>
        <xdr:cNvSpPr/>
      </xdr:nvSpPr>
      <xdr:spPr>
        <a:xfrm>
          <a:off x="3086100" y="6949440"/>
          <a:ext cx="1104900" cy="2209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a:t>190623560.35</a:t>
          </a:r>
        </a:p>
        <a:p>
          <a:pPr algn="l"/>
          <a:endParaRPr lang="en-US" sz="1100"/>
        </a:p>
      </xdr:txBody>
    </xdr:sp>
    <xdr:clientData/>
  </xdr:twoCellAnchor>
  <xdr:twoCellAnchor>
    <xdr:from>
      <xdr:col>0</xdr:col>
      <xdr:colOff>129540</xdr:colOff>
      <xdr:row>36</xdr:row>
      <xdr:rowOff>114300</xdr:rowOff>
    </xdr:from>
    <xdr:to>
      <xdr:col>1</xdr:col>
      <xdr:colOff>784860</xdr:colOff>
      <xdr:row>38</xdr:row>
      <xdr:rowOff>30480</xdr:rowOff>
    </xdr:to>
    <xdr:sp macro="" textlink="">
      <xdr:nvSpPr>
        <xdr:cNvPr id="11" name="TextBox 10">
          <a:extLst>
            <a:ext uri="{FF2B5EF4-FFF2-40B4-BE49-F238E27FC236}">
              <a16:creationId xmlns:a16="http://schemas.microsoft.com/office/drawing/2014/main" id="{2F9CA386-32FF-EF33-F9E3-9DDF570B9D6C}"/>
            </a:ext>
          </a:extLst>
        </xdr:cNvPr>
        <xdr:cNvSpPr txBox="1"/>
      </xdr:nvSpPr>
      <xdr:spPr>
        <a:xfrm>
          <a:off x="129540" y="6697980"/>
          <a:ext cx="1516380" cy="281940"/>
        </a:xfrm>
        <a:prstGeom prst="rect">
          <a:avLst/>
        </a:prstGeom>
        <a:solidFill>
          <a:schemeClr val="accent3">
            <a:lumMod val="40000"/>
            <a:lumOff val="6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190623560.35</a:t>
          </a:r>
        </a:p>
        <a:p>
          <a:endParaRPr lang="en-US" sz="1100"/>
        </a:p>
      </xdr:txBody>
    </xdr:sp>
    <xdr:clientData/>
  </xdr:twoCellAnchor>
  <xdr:twoCellAnchor>
    <xdr:from>
      <xdr:col>4</xdr:col>
      <xdr:colOff>30480</xdr:colOff>
      <xdr:row>28</xdr:row>
      <xdr:rowOff>114300</xdr:rowOff>
    </xdr:from>
    <xdr:to>
      <xdr:col>5</xdr:col>
      <xdr:colOff>906780</xdr:colOff>
      <xdr:row>31</xdr:row>
      <xdr:rowOff>7620</xdr:rowOff>
    </xdr:to>
    <xdr:sp macro="" textlink="">
      <xdr:nvSpPr>
        <xdr:cNvPr id="13" name="TextBox 12">
          <a:extLst>
            <a:ext uri="{FF2B5EF4-FFF2-40B4-BE49-F238E27FC236}">
              <a16:creationId xmlns:a16="http://schemas.microsoft.com/office/drawing/2014/main" id="{4674AC81-DA1D-7B00-5FE2-DF55BB213165}"/>
            </a:ext>
          </a:extLst>
        </xdr:cNvPr>
        <xdr:cNvSpPr txBox="1"/>
      </xdr:nvSpPr>
      <xdr:spPr>
        <a:xfrm>
          <a:off x="3131820" y="5234940"/>
          <a:ext cx="1485900" cy="441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297180</xdr:colOff>
      <xdr:row>24</xdr:row>
      <xdr:rowOff>167640</xdr:rowOff>
    </xdr:from>
    <xdr:to>
      <xdr:col>7</xdr:col>
      <xdr:colOff>853440</xdr:colOff>
      <xdr:row>33</xdr:row>
      <xdr:rowOff>83820</xdr:rowOff>
    </xdr:to>
    <xdr:sp macro="" textlink="">
      <xdr:nvSpPr>
        <xdr:cNvPr id="19" name="TextBox 18">
          <a:extLst>
            <a:ext uri="{FF2B5EF4-FFF2-40B4-BE49-F238E27FC236}">
              <a16:creationId xmlns:a16="http://schemas.microsoft.com/office/drawing/2014/main" id="{8FBAF32C-9701-625F-85C7-7CF3A312333C}"/>
            </a:ext>
          </a:extLst>
        </xdr:cNvPr>
        <xdr:cNvSpPr txBox="1"/>
      </xdr:nvSpPr>
      <xdr:spPr>
        <a:xfrm>
          <a:off x="5295900" y="4556760"/>
          <a:ext cx="556260" cy="1562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12</xdr:row>
      <xdr:rowOff>83820</xdr:rowOff>
    </xdr:from>
    <xdr:to>
      <xdr:col>21</xdr:col>
      <xdr:colOff>548640</xdr:colOff>
      <xdr:row>47</xdr:row>
      <xdr:rowOff>7620</xdr:rowOff>
    </xdr:to>
    <xdr:sp macro="" textlink="">
      <xdr:nvSpPr>
        <xdr:cNvPr id="2" name="Rectangle 1">
          <a:extLst>
            <a:ext uri="{FF2B5EF4-FFF2-40B4-BE49-F238E27FC236}">
              <a16:creationId xmlns:a16="http://schemas.microsoft.com/office/drawing/2014/main" id="{4697FE6B-79EE-4967-9AD2-5D7C898BB916}"/>
            </a:ext>
          </a:extLst>
        </xdr:cNvPr>
        <xdr:cNvSpPr/>
      </xdr:nvSpPr>
      <xdr:spPr>
        <a:xfrm>
          <a:off x="495300" y="2278380"/>
          <a:ext cx="12854940" cy="6324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clientData/>
  </xdr:twoCellAnchor>
  <xdr:twoCellAnchor>
    <xdr:from>
      <xdr:col>7</xdr:col>
      <xdr:colOff>342900</xdr:colOff>
      <xdr:row>20</xdr:row>
      <xdr:rowOff>68580</xdr:rowOff>
    </xdr:from>
    <xdr:to>
      <xdr:col>13</xdr:col>
      <xdr:colOff>137160</xdr:colOff>
      <xdr:row>33</xdr:row>
      <xdr:rowOff>91440</xdr:rowOff>
    </xdr:to>
    <xdr:graphicFrame macro="">
      <xdr:nvGraphicFramePr>
        <xdr:cNvPr id="3" name="Chart 2">
          <a:extLst>
            <a:ext uri="{FF2B5EF4-FFF2-40B4-BE49-F238E27FC236}">
              <a16:creationId xmlns:a16="http://schemas.microsoft.com/office/drawing/2014/main" id="{76CF9658-DC6E-4D37-B2F4-1AF8976129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xdr:colOff>
      <xdr:row>33</xdr:row>
      <xdr:rowOff>152400</xdr:rowOff>
    </xdr:from>
    <xdr:to>
      <xdr:col>7</xdr:col>
      <xdr:colOff>297180</xdr:colOff>
      <xdr:row>46</xdr:row>
      <xdr:rowOff>106680</xdr:rowOff>
    </xdr:to>
    <xdr:graphicFrame macro="">
      <xdr:nvGraphicFramePr>
        <xdr:cNvPr id="4" name="Chart 3">
          <a:extLst>
            <a:ext uri="{FF2B5EF4-FFF2-40B4-BE49-F238E27FC236}">
              <a16:creationId xmlns:a16="http://schemas.microsoft.com/office/drawing/2014/main" id="{8CA249BB-9BAC-42E6-9256-340D4CE86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205740</xdr:colOff>
      <xdr:row>20</xdr:row>
      <xdr:rowOff>60960</xdr:rowOff>
    </xdr:from>
    <xdr:to>
      <xdr:col>18</xdr:col>
      <xdr:colOff>518160</xdr:colOff>
      <xdr:row>33</xdr:row>
      <xdr:rowOff>76200</xdr:rowOff>
    </xdr:to>
    <xdr:graphicFrame macro="">
      <xdr:nvGraphicFramePr>
        <xdr:cNvPr id="5" name="Chart 4">
          <a:extLst>
            <a:ext uri="{FF2B5EF4-FFF2-40B4-BE49-F238E27FC236}">
              <a16:creationId xmlns:a16="http://schemas.microsoft.com/office/drawing/2014/main" id="{9793E330-4728-4081-94B2-8780177B9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350520</xdr:colOff>
      <xdr:row>33</xdr:row>
      <xdr:rowOff>152400</xdr:rowOff>
    </xdr:from>
    <xdr:to>
      <xdr:col>18</xdr:col>
      <xdr:colOff>525780</xdr:colOff>
      <xdr:row>46</xdr:row>
      <xdr:rowOff>106680</xdr:rowOff>
    </xdr:to>
    <xdr:graphicFrame macro="">
      <xdr:nvGraphicFramePr>
        <xdr:cNvPr id="6" name="Chart 5">
          <a:extLst>
            <a:ext uri="{FF2B5EF4-FFF2-40B4-BE49-F238E27FC236}">
              <a16:creationId xmlns:a16="http://schemas.microsoft.com/office/drawing/2014/main" id="{6B88BB2F-CE14-473E-BCC8-80B0321C1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20</xdr:row>
      <xdr:rowOff>68580</xdr:rowOff>
    </xdr:from>
    <xdr:to>
      <xdr:col>7</xdr:col>
      <xdr:colOff>274320</xdr:colOff>
      <xdr:row>33</xdr:row>
      <xdr:rowOff>99060</xdr:rowOff>
    </xdr:to>
    <xdr:graphicFrame macro="">
      <xdr:nvGraphicFramePr>
        <xdr:cNvPr id="7" name="Chart 6">
          <a:extLst>
            <a:ext uri="{FF2B5EF4-FFF2-40B4-BE49-F238E27FC236}">
              <a16:creationId xmlns:a16="http://schemas.microsoft.com/office/drawing/2014/main" id="{66CDF578-5125-4662-BB24-76789D7A4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30</xdr:col>
      <xdr:colOff>30480</xdr:colOff>
      <xdr:row>9</xdr:row>
      <xdr:rowOff>175260</xdr:rowOff>
    </xdr:from>
    <xdr:ext cx="184731" cy="264560"/>
    <xdr:sp macro="" textlink="">
      <xdr:nvSpPr>
        <xdr:cNvPr id="16" name="TextBox 15">
          <a:extLst>
            <a:ext uri="{FF2B5EF4-FFF2-40B4-BE49-F238E27FC236}">
              <a16:creationId xmlns:a16="http://schemas.microsoft.com/office/drawing/2014/main" id="{A85004BA-5322-EF45-E220-7B512BC10037}"/>
            </a:ext>
          </a:extLst>
        </xdr:cNvPr>
        <xdr:cNvSpPr txBox="1"/>
      </xdr:nvSpPr>
      <xdr:spPr>
        <a:xfrm>
          <a:off x="18318480" y="18211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18</xdr:col>
      <xdr:colOff>579120</xdr:colOff>
      <xdr:row>12</xdr:row>
      <xdr:rowOff>99060</xdr:rowOff>
    </xdr:from>
    <xdr:to>
      <xdr:col>21</xdr:col>
      <xdr:colOff>464820</xdr:colOff>
      <xdr:row>46</xdr:row>
      <xdr:rowOff>144780</xdr:rowOff>
    </xdr:to>
    <xdr:sp macro="" textlink="">
      <xdr:nvSpPr>
        <xdr:cNvPr id="18" name="Rectangle: Rounded Corners 17">
          <a:extLst>
            <a:ext uri="{FF2B5EF4-FFF2-40B4-BE49-F238E27FC236}">
              <a16:creationId xmlns:a16="http://schemas.microsoft.com/office/drawing/2014/main" id="{27307F28-A3D3-570E-C134-E8761D1D965D}"/>
            </a:ext>
          </a:extLst>
        </xdr:cNvPr>
        <xdr:cNvSpPr/>
      </xdr:nvSpPr>
      <xdr:spPr>
        <a:xfrm>
          <a:off x="11551920" y="2293620"/>
          <a:ext cx="1714500" cy="626364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601980</xdr:colOff>
      <xdr:row>15</xdr:row>
      <xdr:rowOff>129540</xdr:rowOff>
    </xdr:from>
    <xdr:to>
      <xdr:col>3</xdr:col>
      <xdr:colOff>312420</xdr:colOff>
      <xdr:row>19</xdr:row>
      <xdr:rowOff>160020</xdr:rowOff>
    </xdr:to>
    <xdr:sp macro="" textlink="">
      <xdr:nvSpPr>
        <xdr:cNvPr id="19" name="TextBox 18">
          <a:extLst>
            <a:ext uri="{FF2B5EF4-FFF2-40B4-BE49-F238E27FC236}">
              <a16:creationId xmlns:a16="http://schemas.microsoft.com/office/drawing/2014/main" id="{4FC46104-79F8-E63B-4270-2180F03EED67}"/>
            </a:ext>
          </a:extLst>
        </xdr:cNvPr>
        <xdr:cNvSpPr txBox="1"/>
      </xdr:nvSpPr>
      <xdr:spPr>
        <a:xfrm>
          <a:off x="601980" y="2872740"/>
          <a:ext cx="1539240" cy="762000"/>
        </a:xfrm>
        <a:prstGeom prst="rect">
          <a:avLst/>
        </a:prstGeom>
        <a:solidFill>
          <a:schemeClr val="accent1">
            <a:lumMod val="40000"/>
            <a:lumOff val="6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19</xdr:col>
      <xdr:colOff>167640</xdr:colOff>
      <xdr:row>13</xdr:row>
      <xdr:rowOff>121920</xdr:rowOff>
    </xdr:from>
    <xdr:to>
      <xdr:col>21</xdr:col>
      <xdr:colOff>182880</xdr:colOff>
      <xdr:row>16</xdr:row>
      <xdr:rowOff>22860</xdr:rowOff>
    </xdr:to>
    <xdr:sp macro="" textlink="">
      <xdr:nvSpPr>
        <xdr:cNvPr id="21" name="Rectangle: Rounded Corners 20">
          <a:extLst>
            <a:ext uri="{FF2B5EF4-FFF2-40B4-BE49-F238E27FC236}">
              <a16:creationId xmlns:a16="http://schemas.microsoft.com/office/drawing/2014/main" id="{8028B2E7-DFB8-9CED-C026-FCBD416D8584}"/>
            </a:ext>
          </a:extLst>
        </xdr:cNvPr>
        <xdr:cNvSpPr/>
      </xdr:nvSpPr>
      <xdr:spPr>
        <a:xfrm>
          <a:off x="11750040" y="2499360"/>
          <a:ext cx="1234440" cy="449580"/>
        </a:xfrm>
        <a:prstGeom prst="round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ysClr val="windowText" lastClr="000000"/>
              </a:solidFill>
            </a:rPr>
            <a:t>Filters</a:t>
          </a:r>
        </a:p>
      </xdr:txBody>
    </xdr:sp>
    <xdr:clientData/>
  </xdr:twoCellAnchor>
  <xdr:twoCellAnchor editAs="oneCell">
    <xdr:from>
      <xdr:col>19</xdr:col>
      <xdr:colOff>38100</xdr:colOff>
      <xdr:row>16</xdr:row>
      <xdr:rowOff>144780</xdr:rowOff>
    </xdr:from>
    <xdr:to>
      <xdr:col>21</xdr:col>
      <xdr:colOff>403860</xdr:colOff>
      <xdr:row>20</xdr:row>
      <xdr:rowOff>83820</xdr:rowOff>
    </xdr:to>
    <mc:AlternateContent xmlns:mc="http://schemas.openxmlformats.org/markup-compatibility/2006" xmlns:a14="http://schemas.microsoft.com/office/drawing/2010/main">
      <mc:Choice Requires="a14">
        <xdr:graphicFrame macro="">
          <xdr:nvGraphicFramePr>
            <xdr:cNvPr id="22" name="Sales_Channel 3">
              <a:extLst>
                <a:ext uri="{FF2B5EF4-FFF2-40B4-BE49-F238E27FC236}">
                  <a16:creationId xmlns:a16="http://schemas.microsoft.com/office/drawing/2014/main" id="{03EE81C0-3B49-431B-A18B-2DA45957FC2D}"/>
                </a:ext>
              </a:extLst>
            </xdr:cNvPr>
            <xdr:cNvGraphicFramePr/>
          </xdr:nvGraphicFramePr>
          <xdr:xfrm>
            <a:off x="0" y="0"/>
            <a:ext cx="0" cy="0"/>
          </xdr:xfrm>
          <a:graphic>
            <a:graphicData uri="http://schemas.microsoft.com/office/drawing/2010/slicer">
              <sle:slicer xmlns:sle="http://schemas.microsoft.com/office/drawing/2010/slicer" name="Sales_Channel 3"/>
            </a:graphicData>
          </a:graphic>
        </xdr:graphicFrame>
      </mc:Choice>
      <mc:Fallback xmlns="">
        <xdr:sp macro="" textlink="">
          <xdr:nvSpPr>
            <xdr:cNvPr id="0" name=""/>
            <xdr:cNvSpPr>
              <a:spLocks noTextEdit="1"/>
            </xdr:cNvSpPr>
          </xdr:nvSpPr>
          <xdr:spPr>
            <a:xfrm>
              <a:off x="11620500" y="3070860"/>
              <a:ext cx="1584960" cy="67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xdr:colOff>
      <xdr:row>20</xdr:row>
      <xdr:rowOff>144780</xdr:rowOff>
    </xdr:from>
    <xdr:to>
      <xdr:col>21</xdr:col>
      <xdr:colOff>426720</xdr:colOff>
      <xdr:row>26</xdr:row>
      <xdr:rowOff>45720</xdr:rowOff>
    </xdr:to>
    <mc:AlternateContent xmlns:mc="http://schemas.openxmlformats.org/markup-compatibility/2006" xmlns:a14="http://schemas.microsoft.com/office/drawing/2010/main">
      <mc:Choice Requires="a14">
        <xdr:graphicFrame macro="">
          <xdr:nvGraphicFramePr>
            <xdr:cNvPr id="23" name="Customer_Segment 3">
              <a:extLst>
                <a:ext uri="{FF2B5EF4-FFF2-40B4-BE49-F238E27FC236}">
                  <a16:creationId xmlns:a16="http://schemas.microsoft.com/office/drawing/2014/main" id="{F677CBF1-907A-4BC7-8CB4-9575923FA37C}"/>
                </a:ext>
              </a:extLst>
            </xdr:cNvPr>
            <xdr:cNvGraphicFramePr/>
          </xdr:nvGraphicFramePr>
          <xdr:xfrm>
            <a:off x="0" y="0"/>
            <a:ext cx="0" cy="0"/>
          </xdr:xfrm>
          <a:graphic>
            <a:graphicData uri="http://schemas.microsoft.com/office/drawing/2010/slicer">
              <sle:slicer xmlns:sle="http://schemas.microsoft.com/office/drawing/2010/slicer" name="Customer_Segment 3"/>
            </a:graphicData>
          </a:graphic>
        </xdr:graphicFrame>
      </mc:Choice>
      <mc:Fallback xmlns="">
        <xdr:sp macro="" textlink="">
          <xdr:nvSpPr>
            <xdr:cNvPr id="0" name=""/>
            <xdr:cNvSpPr>
              <a:spLocks noTextEdit="1"/>
            </xdr:cNvSpPr>
          </xdr:nvSpPr>
          <xdr:spPr>
            <a:xfrm>
              <a:off x="11612880" y="3802380"/>
              <a:ext cx="1615440" cy="998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33</xdr:row>
      <xdr:rowOff>106680</xdr:rowOff>
    </xdr:from>
    <xdr:to>
      <xdr:col>21</xdr:col>
      <xdr:colOff>426720</xdr:colOff>
      <xdr:row>39</xdr:row>
      <xdr:rowOff>15240</xdr:rowOff>
    </xdr:to>
    <mc:AlternateContent xmlns:mc="http://schemas.openxmlformats.org/markup-compatibility/2006" xmlns:a14="http://schemas.microsoft.com/office/drawing/2010/main">
      <mc:Choice Requires="a14">
        <xdr:graphicFrame macro="">
          <xdr:nvGraphicFramePr>
            <xdr:cNvPr id="24" name="Product_Category 3">
              <a:extLst>
                <a:ext uri="{FF2B5EF4-FFF2-40B4-BE49-F238E27FC236}">
                  <a16:creationId xmlns:a16="http://schemas.microsoft.com/office/drawing/2014/main" id="{B55B823F-DF0B-4358-997B-AFC8AB4373C6}"/>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mlns="">
        <xdr:sp macro="" textlink="">
          <xdr:nvSpPr>
            <xdr:cNvPr id="0" name=""/>
            <xdr:cNvSpPr>
              <a:spLocks noTextEdit="1"/>
            </xdr:cNvSpPr>
          </xdr:nvSpPr>
          <xdr:spPr>
            <a:xfrm>
              <a:off x="11620500" y="6141720"/>
              <a:ext cx="160782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xdr:colOff>
      <xdr:row>26</xdr:row>
      <xdr:rowOff>99060</xdr:rowOff>
    </xdr:from>
    <xdr:to>
      <xdr:col>21</xdr:col>
      <xdr:colOff>403860</xdr:colOff>
      <xdr:row>33</xdr:row>
      <xdr:rowOff>60960</xdr:rowOff>
    </xdr:to>
    <mc:AlternateContent xmlns:mc="http://schemas.openxmlformats.org/markup-compatibility/2006" xmlns:a14="http://schemas.microsoft.com/office/drawing/2010/main">
      <mc:Choice Requires="a14">
        <xdr:graphicFrame macro="">
          <xdr:nvGraphicFramePr>
            <xdr:cNvPr id="26" name="Region 3">
              <a:extLst>
                <a:ext uri="{FF2B5EF4-FFF2-40B4-BE49-F238E27FC236}">
                  <a16:creationId xmlns:a16="http://schemas.microsoft.com/office/drawing/2014/main" id="{D4685C31-9AE2-49BC-8371-5C2E3BB941F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628120" y="4853940"/>
              <a:ext cx="157734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xdr:colOff>
      <xdr:row>39</xdr:row>
      <xdr:rowOff>60961</xdr:rowOff>
    </xdr:from>
    <xdr:to>
      <xdr:col>21</xdr:col>
      <xdr:colOff>411480</xdr:colOff>
      <xdr:row>46</xdr:row>
      <xdr:rowOff>0</xdr:rowOff>
    </xdr:to>
    <mc:AlternateContent xmlns:mc="http://schemas.openxmlformats.org/markup-compatibility/2006" xmlns:a14="http://schemas.microsoft.com/office/drawing/2010/main">
      <mc:Choice Requires="a14">
        <xdr:graphicFrame macro="">
          <xdr:nvGraphicFramePr>
            <xdr:cNvPr id="27" name="Order_Priority 3">
              <a:extLst>
                <a:ext uri="{FF2B5EF4-FFF2-40B4-BE49-F238E27FC236}">
                  <a16:creationId xmlns:a16="http://schemas.microsoft.com/office/drawing/2014/main" id="{85390152-61FD-46CD-AAC7-82883A00A583}"/>
                </a:ext>
              </a:extLst>
            </xdr:cNvPr>
            <xdr:cNvGraphicFramePr/>
          </xdr:nvGraphicFramePr>
          <xdr:xfrm>
            <a:off x="0" y="0"/>
            <a:ext cx="0" cy="0"/>
          </xdr:xfrm>
          <a:graphic>
            <a:graphicData uri="http://schemas.microsoft.com/office/drawing/2010/slicer">
              <sle:slicer xmlns:sle="http://schemas.microsoft.com/office/drawing/2010/slicer" name="Order_Priority 3"/>
            </a:graphicData>
          </a:graphic>
        </xdr:graphicFrame>
      </mc:Choice>
      <mc:Fallback xmlns="">
        <xdr:sp macro="" textlink="">
          <xdr:nvSpPr>
            <xdr:cNvPr id="0" name=""/>
            <xdr:cNvSpPr>
              <a:spLocks noTextEdit="1"/>
            </xdr:cNvSpPr>
          </xdr:nvSpPr>
          <xdr:spPr>
            <a:xfrm>
              <a:off x="11628120" y="7193281"/>
              <a:ext cx="1584960" cy="1219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60960</xdr:colOff>
      <xdr:row>16</xdr:row>
      <xdr:rowOff>45720</xdr:rowOff>
    </xdr:from>
    <xdr:to>
      <xdr:col>3</xdr:col>
      <xdr:colOff>259080</xdr:colOff>
      <xdr:row>17</xdr:row>
      <xdr:rowOff>99060</xdr:rowOff>
    </xdr:to>
    <xdr:sp macro="" textlink="">
      <xdr:nvSpPr>
        <xdr:cNvPr id="30" name="TextBox 29">
          <a:extLst>
            <a:ext uri="{FF2B5EF4-FFF2-40B4-BE49-F238E27FC236}">
              <a16:creationId xmlns:a16="http://schemas.microsoft.com/office/drawing/2014/main" id="{C0D82CC0-C484-D8AF-90F6-8CAF5FFF0BC9}"/>
            </a:ext>
          </a:extLst>
        </xdr:cNvPr>
        <xdr:cNvSpPr txBox="1"/>
      </xdr:nvSpPr>
      <xdr:spPr>
        <a:xfrm>
          <a:off x="670560" y="2971800"/>
          <a:ext cx="1417320" cy="236220"/>
        </a:xfrm>
        <a:prstGeom prst="rect">
          <a:avLst/>
        </a:prstGeom>
        <a:solidFill>
          <a:schemeClr val="accent1">
            <a:lumMod val="40000"/>
            <a:lumOff val="60000"/>
            <a:alpha val="0"/>
          </a:schemeClr>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Revenue</a:t>
          </a:r>
        </a:p>
      </xdr:txBody>
    </xdr:sp>
    <xdr:clientData/>
  </xdr:twoCellAnchor>
  <xdr:twoCellAnchor>
    <xdr:from>
      <xdr:col>1</xdr:col>
      <xdr:colOff>182880</xdr:colOff>
      <xdr:row>17</xdr:row>
      <xdr:rowOff>83820</xdr:rowOff>
    </xdr:from>
    <xdr:to>
      <xdr:col>3</xdr:col>
      <xdr:colOff>106680</xdr:colOff>
      <xdr:row>19</xdr:row>
      <xdr:rowOff>15240</xdr:rowOff>
    </xdr:to>
    <xdr:sp macro="" textlink="Sales_Data!X2">
      <xdr:nvSpPr>
        <xdr:cNvPr id="25" name="TextBox 24">
          <a:extLst>
            <a:ext uri="{FF2B5EF4-FFF2-40B4-BE49-F238E27FC236}">
              <a16:creationId xmlns:a16="http://schemas.microsoft.com/office/drawing/2014/main" id="{4197C35B-1DB3-6827-C2AD-7633065598DA}"/>
            </a:ext>
          </a:extLst>
        </xdr:cNvPr>
        <xdr:cNvSpPr txBox="1"/>
      </xdr:nvSpPr>
      <xdr:spPr>
        <a:xfrm>
          <a:off x="792480" y="3192780"/>
          <a:ext cx="1143000" cy="297180"/>
        </a:xfrm>
        <a:prstGeom prst="rect">
          <a:avLst/>
        </a:prstGeom>
        <a:solidFill>
          <a:schemeClr val="tx2">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897E79-08F8-4B4E-8BF1-138E91F41A6C}" type="TxLink">
            <a:rPr lang="en-US" sz="1100" b="0" i="0" u="none" strike="noStrike">
              <a:solidFill>
                <a:srgbClr val="000000"/>
              </a:solidFill>
              <a:latin typeface="Calibri"/>
              <a:cs typeface="Calibri"/>
            </a:rPr>
            <a:pPr algn="ctr"/>
            <a:t>190623560.35</a:t>
          </a:fld>
          <a:endParaRPr lang="en-US" sz="1100"/>
        </a:p>
      </xdr:txBody>
    </xdr:sp>
    <xdr:clientData/>
  </xdr:twoCellAnchor>
  <xdr:twoCellAnchor>
    <xdr:from>
      <xdr:col>4</xdr:col>
      <xdr:colOff>274320</xdr:colOff>
      <xdr:row>15</xdr:row>
      <xdr:rowOff>144780</xdr:rowOff>
    </xdr:from>
    <xdr:to>
      <xdr:col>6</xdr:col>
      <xdr:colOff>591312</xdr:colOff>
      <xdr:row>19</xdr:row>
      <xdr:rowOff>172212</xdr:rowOff>
    </xdr:to>
    <xdr:sp macro="" textlink="">
      <xdr:nvSpPr>
        <xdr:cNvPr id="39" name="TextBox 38">
          <a:extLst>
            <a:ext uri="{FF2B5EF4-FFF2-40B4-BE49-F238E27FC236}">
              <a16:creationId xmlns:a16="http://schemas.microsoft.com/office/drawing/2014/main" id="{CFF7532D-A99B-1544-85EF-796E2E1274FB}"/>
            </a:ext>
          </a:extLst>
        </xdr:cNvPr>
        <xdr:cNvSpPr txBox="1"/>
      </xdr:nvSpPr>
      <xdr:spPr>
        <a:xfrm>
          <a:off x="2712720" y="2887980"/>
          <a:ext cx="1536192" cy="758952"/>
        </a:xfrm>
        <a:prstGeom prst="rect">
          <a:avLst/>
        </a:prstGeom>
        <a:solidFill>
          <a:schemeClr val="tx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7</xdr:col>
      <xdr:colOff>571500</xdr:colOff>
      <xdr:row>15</xdr:row>
      <xdr:rowOff>144780</xdr:rowOff>
    </xdr:from>
    <xdr:to>
      <xdr:col>10</xdr:col>
      <xdr:colOff>278892</xdr:colOff>
      <xdr:row>19</xdr:row>
      <xdr:rowOff>172212</xdr:rowOff>
    </xdr:to>
    <xdr:sp macro="" textlink="">
      <xdr:nvSpPr>
        <xdr:cNvPr id="44" name="TextBox 43">
          <a:extLst>
            <a:ext uri="{FF2B5EF4-FFF2-40B4-BE49-F238E27FC236}">
              <a16:creationId xmlns:a16="http://schemas.microsoft.com/office/drawing/2014/main" id="{85C38940-2B7A-1023-71B9-0725BAD3A01F}"/>
            </a:ext>
          </a:extLst>
        </xdr:cNvPr>
        <xdr:cNvSpPr txBox="1"/>
      </xdr:nvSpPr>
      <xdr:spPr>
        <a:xfrm>
          <a:off x="4838700" y="2887980"/>
          <a:ext cx="1536192" cy="758952"/>
        </a:xfrm>
        <a:prstGeom prst="rect">
          <a:avLst/>
        </a:prstGeom>
        <a:solidFill>
          <a:schemeClr val="tx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11</xdr:col>
      <xdr:colOff>281940</xdr:colOff>
      <xdr:row>15</xdr:row>
      <xdr:rowOff>137160</xdr:rowOff>
    </xdr:from>
    <xdr:to>
      <xdr:col>13</xdr:col>
      <xdr:colOff>598932</xdr:colOff>
      <xdr:row>19</xdr:row>
      <xdr:rowOff>164592</xdr:rowOff>
    </xdr:to>
    <xdr:sp macro="" textlink="">
      <xdr:nvSpPr>
        <xdr:cNvPr id="28" name="TextBox 27">
          <a:extLst>
            <a:ext uri="{FF2B5EF4-FFF2-40B4-BE49-F238E27FC236}">
              <a16:creationId xmlns:a16="http://schemas.microsoft.com/office/drawing/2014/main" id="{86A16EBE-01AF-24BC-BE40-392B4B45FF35}"/>
            </a:ext>
          </a:extLst>
        </xdr:cNvPr>
        <xdr:cNvSpPr txBox="1"/>
      </xdr:nvSpPr>
      <xdr:spPr>
        <a:xfrm>
          <a:off x="6987540" y="2880360"/>
          <a:ext cx="1536192" cy="758952"/>
        </a:xfrm>
        <a:prstGeom prst="rect">
          <a:avLst/>
        </a:prstGeom>
        <a:solidFill>
          <a:schemeClr val="tx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14</xdr:col>
      <xdr:colOff>548640</xdr:colOff>
      <xdr:row>15</xdr:row>
      <xdr:rowOff>129540</xdr:rowOff>
    </xdr:from>
    <xdr:to>
      <xdr:col>17</xdr:col>
      <xdr:colOff>256032</xdr:colOff>
      <xdr:row>19</xdr:row>
      <xdr:rowOff>156972</xdr:rowOff>
    </xdr:to>
    <xdr:sp macro="" textlink="">
      <xdr:nvSpPr>
        <xdr:cNvPr id="29" name="TextBox 28">
          <a:extLst>
            <a:ext uri="{FF2B5EF4-FFF2-40B4-BE49-F238E27FC236}">
              <a16:creationId xmlns:a16="http://schemas.microsoft.com/office/drawing/2014/main" id="{083FB223-CC9E-C9D2-09AE-CC9C5486B3B5}"/>
            </a:ext>
          </a:extLst>
        </xdr:cNvPr>
        <xdr:cNvSpPr txBox="1"/>
      </xdr:nvSpPr>
      <xdr:spPr>
        <a:xfrm>
          <a:off x="9083040" y="2872740"/>
          <a:ext cx="1536192" cy="758952"/>
        </a:xfrm>
        <a:prstGeom prst="rect">
          <a:avLst/>
        </a:prstGeom>
        <a:solidFill>
          <a:schemeClr val="tx2">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4</xdr:col>
      <xdr:colOff>304800</xdr:colOff>
      <xdr:row>16</xdr:row>
      <xdr:rowOff>30480</xdr:rowOff>
    </xdr:from>
    <xdr:to>
      <xdr:col>6</xdr:col>
      <xdr:colOff>472440</xdr:colOff>
      <xdr:row>17</xdr:row>
      <xdr:rowOff>121920</xdr:rowOff>
    </xdr:to>
    <xdr:sp macro="" textlink="">
      <xdr:nvSpPr>
        <xdr:cNvPr id="32" name="TextBox 31">
          <a:extLst>
            <a:ext uri="{FF2B5EF4-FFF2-40B4-BE49-F238E27FC236}">
              <a16:creationId xmlns:a16="http://schemas.microsoft.com/office/drawing/2014/main" id="{4430B58C-4BE2-C5BA-97C5-CA43BFD6FF0A}"/>
            </a:ext>
          </a:extLst>
        </xdr:cNvPr>
        <xdr:cNvSpPr txBox="1"/>
      </xdr:nvSpPr>
      <xdr:spPr>
        <a:xfrm>
          <a:off x="2743200" y="2956560"/>
          <a:ext cx="1386840" cy="274320"/>
        </a:xfrm>
        <a:prstGeom prst="rect">
          <a:avLst/>
        </a:prstGeom>
        <a:solidFill>
          <a:schemeClr val="tx2">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tx1"/>
              </a:solidFill>
            </a:rPr>
            <a:t>Total Profit</a:t>
          </a:r>
        </a:p>
      </xdr:txBody>
    </xdr:sp>
    <xdr:clientData/>
  </xdr:twoCellAnchor>
  <xdr:twoCellAnchor>
    <xdr:from>
      <xdr:col>4</xdr:col>
      <xdr:colOff>281940</xdr:colOff>
      <xdr:row>17</xdr:row>
      <xdr:rowOff>83820</xdr:rowOff>
    </xdr:from>
    <xdr:to>
      <xdr:col>6</xdr:col>
      <xdr:colOff>403860</xdr:colOff>
      <xdr:row>18</xdr:row>
      <xdr:rowOff>137160</xdr:rowOff>
    </xdr:to>
    <xdr:sp macro="" textlink="Sales_Data!X3">
      <xdr:nvSpPr>
        <xdr:cNvPr id="33" name="TextBox 32">
          <a:extLst>
            <a:ext uri="{FF2B5EF4-FFF2-40B4-BE49-F238E27FC236}">
              <a16:creationId xmlns:a16="http://schemas.microsoft.com/office/drawing/2014/main" id="{355C4E0A-63C3-7AC5-015F-696A472FFB02}"/>
            </a:ext>
          </a:extLst>
        </xdr:cNvPr>
        <xdr:cNvSpPr txBox="1"/>
      </xdr:nvSpPr>
      <xdr:spPr>
        <a:xfrm>
          <a:off x="2720340" y="3192780"/>
          <a:ext cx="1341120" cy="236220"/>
        </a:xfrm>
        <a:prstGeom prst="rect">
          <a:avLst/>
        </a:prstGeom>
        <a:solidFill>
          <a:schemeClr val="tx2">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930F48-6F57-41F4-A7F2-8C2EB56DA333}" type="TxLink">
            <a:rPr lang="en-US" sz="1100" b="0" i="0" u="none" strike="noStrike">
              <a:solidFill>
                <a:srgbClr val="000000"/>
              </a:solidFill>
              <a:latin typeface="Calibri"/>
              <a:cs typeface="Calibri"/>
            </a:rPr>
            <a:pPr algn="ctr"/>
            <a:t>16712624.12</a:t>
          </a:fld>
          <a:endParaRPr lang="en-US" sz="1100"/>
        </a:p>
      </xdr:txBody>
    </xdr:sp>
    <xdr:clientData/>
  </xdr:twoCellAnchor>
  <xdr:twoCellAnchor>
    <xdr:from>
      <xdr:col>8</xdr:col>
      <xdr:colOff>45720</xdr:colOff>
      <xdr:row>15</xdr:row>
      <xdr:rowOff>160020</xdr:rowOff>
    </xdr:from>
    <xdr:to>
      <xdr:col>10</xdr:col>
      <xdr:colOff>167640</xdr:colOff>
      <xdr:row>17</xdr:row>
      <xdr:rowOff>76200</xdr:rowOff>
    </xdr:to>
    <xdr:sp macro="" textlink="">
      <xdr:nvSpPr>
        <xdr:cNvPr id="37" name="TextBox 36">
          <a:extLst>
            <a:ext uri="{FF2B5EF4-FFF2-40B4-BE49-F238E27FC236}">
              <a16:creationId xmlns:a16="http://schemas.microsoft.com/office/drawing/2014/main" id="{3088CF9B-097F-3996-44FE-4C3099940380}"/>
            </a:ext>
          </a:extLst>
        </xdr:cNvPr>
        <xdr:cNvSpPr txBox="1"/>
      </xdr:nvSpPr>
      <xdr:spPr>
        <a:xfrm>
          <a:off x="4922520" y="2903220"/>
          <a:ext cx="1341120" cy="281940"/>
        </a:xfrm>
        <a:prstGeom prst="rect">
          <a:avLst/>
        </a:prstGeom>
        <a:solidFill>
          <a:schemeClr val="tx2">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Order </a:t>
          </a:r>
        </a:p>
      </xdr:txBody>
    </xdr:sp>
    <xdr:clientData/>
  </xdr:twoCellAnchor>
  <xdr:twoCellAnchor>
    <xdr:from>
      <xdr:col>7</xdr:col>
      <xdr:colOff>594360</xdr:colOff>
      <xdr:row>17</xdr:row>
      <xdr:rowOff>83820</xdr:rowOff>
    </xdr:from>
    <xdr:to>
      <xdr:col>10</xdr:col>
      <xdr:colOff>106680</xdr:colOff>
      <xdr:row>18</xdr:row>
      <xdr:rowOff>121920</xdr:rowOff>
    </xdr:to>
    <xdr:sp macro="" textlink="">
      <xdr:nvSpPr>
        <xdr:cNvPr id="38" name="TextBox 37">
          <a:extLst>
            <a:ext uri="{FF2B5EF4-FFF2-40B4-BE49-F238E27FC236}">
              <a16:creationId xmlns:a16="http://schemas.microsoft.com/office/drawing/2014/main" id="{F49E9F44-05FF-F7DA-332D-673FFDCA5A47}"/>
            </a:ext>
          </a:extLst>
        </xdr:cNvPr>
        <xdr:cNvSpPr txBox="1"/>
      </xdr:nvSpPr>
      <xdr:spPr>
        <a:xfrm>
          <a:off x="4861560" y="3192780"/>
          <a:ext cx="1341120" cy="220980"/>
        </a:xfrm>
        <a:prstGeom prst="rect">
          <a:avLst/>
        </a:prstGeom>
        <a:solidFill>
          <a:schemeClr val="tx2">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8357</a:t>
          </a:r>
        </a:p>
        <a:p>
          <a:endParaRPr lang="en-US" sz="1100"/>
        </a:p>
      </xdr:txBody>
    </xdr:sp>
    <xdr:clientData/>
  </xdr:twoCellAnchor>
  <xdr:twoCellAnchor>
    <xdr:from>
      <xdr:col>11</xdr:col>
      <xdr:colOff>312420</xdr:colOff>
      <xdr:row>15</xdr:row>
      <xdr:rowOff>175260</xdr:rowOff>
    </xdr:from>
    <xdr:to>
      <xdr:col>13</xdr:col>
      <xdr:colOff>472440</xdr:colOff>
      <xdr:row>17</xdr:row>
      <xdr:rowOff>45720</xdr:rowOff>
    </xdr:to>
    <xdr:sp macro="" textlink="">
      <xdr:nvSpPr>
        <xdr:cNvPr id="43" name="TextBox 42">
          <a:extLst>
            <a:ext uri="{FF2B5EF4-FFF2-40B4-BE49-F238E27FC236}">
              <a16:creationId xmlns:a16="http://schemas.microsoft.com/office/drawing/2014/main" id="{9A42A584-A427-2EF4-4DAA-E23FDAE45E8F}"/>
            </a:ext>
          </a:extLst>
        </xdr:cNvPr>
        <xdr:cNvSpPr txBox="1"/>
      </xdr:nvSpPr>
      <xdr:spPr>
        <a:xfrm>
          <a:off x="7018020" y="2918460"/>
          <a:ext cx="1379220" cy="236220"/>
        </a:xfrm>
        <a:prstGeom prst="rect">
          <a:avLst/>
        </a:prstGeom>
        <a:solidFill>
          <a:schemeClr val="tx2">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Average Discount</a:t>
          </a:r>
        </a:p>
      </xdr:txBody>
    </xdr:sp>
    <xdr:clientData/>
  </xdr:twoCellAnchor>
  <xdr:twoCellAnchor>
    <xdr:from>
      <xdr:col>14</xdr:col>
      <xdr:colOff>571500</xdr:colOff>
      <xdr:row>15</xdr:row>
      <xdr:rowOff>129540</xdr:rowOff>
    </xdr:from>
    <xdr:to>
      <xdr:col>17</xdr:col>
      <xdr:colOff>152400</xdr:colOff>
      <xdr:row>17</xdr:row>
      <xdr:rowOff>22860</xdr:rowOff>
    </xdr:to>
    <xdr:sp macro="" textlink="">
      <xdr:nvSpPr>
        <xdr:cNvPr id="45" name="TextBox 44">
          <a:extLst>
            <a:ext uri="{FF2B5EF4-FFF2-40B4-BE49-F238E27FC236}">
              <a16:creationId xmlns:a16="http://schemas.microsoft.com/office/drawing/2014/main" id="{9107DE18-826F-B5B5-7C34-5CA3D4A01580}"/>
            </a:ext>
          </a:extLst>
        </xdr:cNvPr>
        <xdr:cNvSpPr txBox="1"/>
      </xdr:nvSpPr>
      <xdr:spPr>
        <a:xfrm>
          <a:off x="9105900" y="2872740"/>
          <a:ext cx="1409700" cy="259080"/>
        </a:xfrm>
        <a:prstGeom prst="rect">
          <a:avLst/>
        </a:prstGeom>
        <a:solidFill>
          <a:schemeClr val="tx2">
            <a:lumMod val="20000"/>
            <a:lumOff val="80000"/>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Profit Margin</a:t>
          </a:r>
        </a:p>
      </xdr:txBody>
    </xdr:sp>
    <xdr:clientData/>
  </xdr:twoCellAnchor>
  <xdr:twoCellAnchor>
    <xdr:from>
      <xdr:col>11</xdr:col>
      <xdr:colOff>365760</xdr:colOff>
      <xdr:row>17</xdr:row>
      <xdr:rowOff>53340</xdr:rowOff>
    </xdr:from>
    <xdr:to>
      <xdr:col>13</xdr:col>
      <xdr:colOff>381000</xdr:colOff>
      <xdr:row>18</xdr:row>
      <xdr:rowOff>114300</xdr:rowOff>
    </xdr:to>
    <xdr:sp macro="" textlink="Sales_Data!X7">
      <xdr:nvSpPr>
        <xdr:cNvPr id="46" name="TextBox 45">
          <a:extLst>
            <a:ext uri="{FF2B5EF4-FFF2-40B4-BE49-F238E27FC236}">
              <a16:creationId xmlns:a16="http://schemas.microsoft.com/office/drawing/2014/main" id="{3F2E0833-B47B-9BDD-B729-A41277EBA556}"/>
            </a:ext>
          </a:extLst>
        </xdr:cNvPr>
        <xdr:cNvSpPr txBox="1"/>
      </xdr:nvSpPr>
      <xdr:spPr>
        <a:xfrm>
          <a:off x="7071360" y="3162300"/>
          <a:ext cx="1234440" cy="24384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F2C700-F81D-4F82-9544-86E2F200E64D}" type="TxLink">
            <a:rPr lang="en-US" sz="1100" b="0" i="0" u="none" strike="noStrike">
              <a:solidFill>
                <a:srgbClr val="000000"/>
              </a:solidFill>
              <a:latin typeface="Calibri"/>
              <a:cs typeface="Calibri"/>
            </a:rPr>
            <a:pPr algn="ctr"/>
            <a:t>10.15%</a:t>
          </a:fld>
          <a:endParaRPr lang="en-US" sz="1100"/>
        </a:p>
      </xdr:txBody>
    </xdr:sp>
    <xdr:clientData/>
  </xdr:twoCellAnchor>
  <xdr:twoCellAnchor>
    <xdr:from>
      <xdr:col>15</xdr:col>
      <xdr:colOff>53340</xdr:colOff>
      <xdr:row>17</xdr:row>
      <xdr:rowOff>68580</xdr:rowOff>
    </xdr:from>
    <xdr:to>
      <xdr:col>17</xdr:col>
      <xdr:colOff>99060</xdr:colOff>
      <xdr:row>18</xdr:row>
      <xdr:rowOff>121920</xdr:rowOff>
    </xdr:to>
    <xdr:sp macro="" textlink="Sales_Data!X10">
      <xdr:nvSpPr>
        <xdr:cNvPr id="47" name="TextBox 46">
          <a:extLst>
            <a:ext uri="{FF2B5EF4-FFF2-40B4-BE49-F238E27FC236}">
              <a16:creationId xmlns:a16="http://schemas.microsoft.com/office/drawing/2014/main" id="{5B920E5B-4877-A762-E601-AB8FC821D532}"/>
            </a:ext>
          </a:extLst>
        </xdr:cNvPr>
        <xdr:cNvSpPr txBox="1"/>
      </xdr:nvSpPr>
      <xdr:spPr>
        <a:xfrm>
          <a:off x="9197340" y="3177540"/>
          <a:ext cx="1264920" cy="236220"/>
        </a:xfrm>
        <a:prstGeom prst="rect">
          <a:avLst/>
        </a:prstGeom>
        <a:solidFill>
          <a:schemeClr val="tx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AD73295-C2D6-4F80-858B-81BFA45F5BDA}" type="TxLink">
            <a:rPr lang="en-US" sz="1100" b="0" i="0" u="none" strike="noStrike">
              <a:solidFill>
                <a:srgbClr val="000000"/>
              </a:solidFill>
              <a:latin typeface="Calibri"/>
              <a:cs typeface="Calibri"/>
            </a:rPr>
            <a:pPr algn="ctr"/>
            <a:t>7.67%</a:t>
          </a:fld>
          <a:endParaRPr lang="en-US" sz="1100"/>
        </a:p>
      </xdr:txBody>
    </xdr:sp>
    <xdr:clientData/>
  </xdr:twoCellAnchor>
  <xdr:twoCellAnchor>
    <xdr:from>
      <xdr:col>3</xdr:col>
      <xdr:colOff>304800</xdr:colOff>
      <xdr:row>13</xdr:row>
      <xdr:rowOff>22860</xdr:rowOff>
    </xdr:from>
    <xdr:to>
      <xdr:col>15</xdr:col>
      <xdr:colOff>495300</xdr:colOff>
      <xdr:row>14</xdr:row>
      <xdr:rowOff>137160</xdr:rowOff>
    </xdr:to>
    <xdr:sp macro="" textlink="">
      <xdr:nvSpPr>
        <xdr:cNvPr id="48" name="Rectangle 47">
          <a:extLst>
            <a:ext uri="{FF2B5EF4-FFF2-40B4-BE49-F238E27FC236}">
              <a16:creationId xmlns:a16="http://schemas.microsoft.com/office/drawing/2014/main" id="{CB51D3C1-B695-25F4-A90D-29BF05E45A7E}"/>
            </a:ext>
          </a:extLst>
        </xdr:cNvPr>
        <xdr:cNvSpPr/>
      </xdr:nvSpPr>
      <xdr:spPr>
        <a:xfrm>
          <a:off x="2133600" y="2400300"/>
          <a:ext cx="7505700" cy="297180"/>
        </a:xfrm>
        <a:prstGeom prst="rect">
          <a:avLst/>
        </a:prstGeom>
        <a:solidFill>
          <a:schemeClr val="tx2">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a:t>
          </a:r>
          <a:r>
            <a:rPr lang="en-US" sz="1600" b="1" baseline="0">
              <a:solidFill>
                <a:schemeClr val="tx1"/>
              </a:solidFill>
            </a:rPr>
            <a:t> Performance Dashboard</a:t>
          </a:r>
          <a:endParaRPr lang="en-US" sz="1600" b="1">
            <a:solidFill>
              <a:schemeClr val="tx1"/>
            </a:solidFill>
          </a:endParaRPr>
        </a:p>
      </xdr:txBody>
    </xdr:sp>
    <xdr:clientData/>
  </xdr:twoCellAnchor>
  <xdr:twoCellAnchor editAs="oneCell">
    <xdr:from>
      <xdr:col>0</xdr:col>
      <xdr:colOff>548640</xdr:colOff>
      <xdr:row>18</xdr:row>
      <xdr:rowOff>30480</xdr:rowOff>
    </xdr:from>
    <xdr:to>
      <xdr:col>1</xdr:col>
      <xdr:colOff>419100</xdr:colOff>
      <xdr:row>20</xdr:row>
      <xdr:rowOff>0</xdr:rowOff>
    </xdr:to>
    <xdr:pic>
      <xdr:nvPicPr>
        <xdr:cNvPr id="9" name="Graphic 8" descr="Upward trend">
          <a:extLst>
            <a:ext uri="{FF2B5EF4-FFF2-40B4-BE49-F238E27FC236}">
              <a16:creationId xmlns:a16="http://schemas.microsoft.com/office/drawing/2014/main" id="{2E935E37-85CC-2C71-9480-739C36EDD6A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8640" y="3322320"/>
          <a:ext cx="480060" cy="335280"/>
        </a:xfrm>
        <a:prstGeom prst="rect">
          <a:avLst/>
        </a:prstGeom>
      </xdr:spPr>
    </xdr:pic>
    <xdr:clientData/>
  </xdr:twoCellAnchor>
  <xdr:twoCellAnchor editAs="oneCell">
    <xdr:from>
      <xdr:col>4</xdr:col>
      <xdr:colOff>297180</xdr:colOff>
      <xdr:row>18</xdr:row>
      <xdr:rowOff>76200</xdr:rowOff>
    </xdr:from>
    <xdr:to>
      <xdr:col>5</xdr:col>
      <xdr:colOff>373380</xdr:colOff>
      <xdr:row>20</xdr:row>
      <xdr:rowOff>0</xdr:rowOff>
    </xdr:to>
    <xdr:pic>
      <xdr:nvPicPr>
        <xdr:cNvPr id="11" name="Graphic 10" descr="Money">
          <a:extLst>
            <a:ext uri="{FF2B5EF4-FFF2-40B4-BE49-F238E27FC236}">
              <a16:creationId xmlns:a16="http://schemas.microsoft.com/office/drawing/2014/main" id="{742A7603-1921-9B1E-20BD-8E68559B232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35580" y="3368040"/>
          <a:ext cx="685800" cy="289560"/>
        </a:xfrm>
        <a:prstGeom prst="rect">
          <a:avLst/>
        </a:prstGeom>
      </xdr:spPr>
    </xdr:pic>
    <xdr:clientData/>
  </xdr:twoCellAnchor>
  <xdr:twoCellAnchor editAs="oneCell">
    <xdr:from>
      <xdr:col>7</xdr:col>
      <xdr:colOff>579120</xdr:colOff>
      <xdr:row>17</xdr:row>
      <xdr:rowOff>114300</xdr:rowOff>
    </xdr:from>
    <xdr:to>
      <xdr:col>9</xdr:col>
      <xdr:colOff>68580</xdr:colOff>
      <xdr:row>20</xdr:row>
      <xdr:rowOff>114300</xdr:rowOff>
    </xdr:to>
    <xdr:pic>
      <xdr:nvPicPr>
        <xdr:cNvPr id="13" name="Graphic 12" descr="Truck">
          <a:extLst>
            <a:ext uri="{FF2B5EF4-FFF2-40B4-BE49-F238E27FC236}">
              <a16:creationId xmlns:a16="http://schemas.microsoft.com/office/drawing/2014/main" id="{3C0123F2-23C1-82E1-114A-63D60D92D20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846320" y="3223260"/>
          <a:ext cx="708660" cy="548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7620</xdr:colOff>
      <xdr:row>1</xdr:row>
      <xdr:rowOff>121920</xdr:rowOff>
    </xdr:from>
    <xdr:to>
      <xdr:col>20</xdr:col>
      <xdr:colOff>586740</xdr:colOff>
      <xdr:row>34</xdr:row>
      <xdr:rowOff>15240</xdr:rowOff>
    </xdr:to>
    <xdr:sp macro="" textlink="">
      <xdr:nvSpPr>
        <xdr:cNvPr id="2" name="Rectangle 1">
          <a:extLst>
            <a:ext uri="{FF2B5EF4-FFF2-40B4-BE49-F238E27FC236}">
              <a16:creationId xmlns:a16="http://schemas.microsoft.com/office/drawing/2014/main" id="{53803E97-84BA-4810-8040-3523203B73D3}"/>
            </a:ext>
          </a:extLst>
        </xdr:cNvPr>
        <xdr:cNvSpPr/>
      </xdr:nvSpPr>
      <xdr:spPr>
        <a:xfrm>
          <a:off x="617220" y="304800"/>
          <a:ext cx="12161520" cy="5928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solidFill>
              <a:schemeClr val="bg1"/>
            </a:solidFill>
          </a:endParaRPr>
        </a:p>
      </xdr:txBody>
    </xdr:sp>
    <xdr:clientData/>
  </xdr:twoCellAnchor>
  <xdr:twoCellAnchor>
    <xdr:from>
      <xdr:col>15</xdr:col>
      <xdr:colOff>182880</xdr:colOff>
      <xdr:row>5</xdr:row>
      <xdr:rowOff>38100</xdr:rowOff>
    </xdr:from>
    <xdr:to>
      <xdr:col>20</xdr:col>
      <xdr:colOff>586740</xdr:colOff>
      <xdr:row>20</xdr:row>
      <xdr:rowOff>72390</xdr:rowOff>
    </xdr:to>
    <xdr:graphicFrame macro="">
      <xdr:nvGraphicFramePr>
        <xdr:cNvPr id="3" name="Chart 2">
          <a:extLst>
            <a:ext uri="{FF2B5EF4-FFF2-40B4-BE49-F238E27FC236}">
              <a16:creationId xmlns:a16="http://schemas.microsoft.com/office/drawing/2014/main" id="{DC2DEA9A-69B4-4FAD-AA87-25810EA109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20</xdr:row>
      <xdr:rowOff>152400</xdr:rowOff>
    </xdr:from>
    <xdr:to>
      <xdr:col>15</xdr:col>
      <xdr:colOff>114300</xdr:colOff>
      <xdr:row>34</xdr:row>
      <xdr:rowOff>7620</xdr:rowOff>
    </xdr:to>
    <xdr:graphicFrame macro="">
      <xdr:nvGraphicFramePr>
        <xdr:cNvPr id="4" name="Chart 3">
          <a:extLst>
            <a:ext uri="{FF2B5EF4-FFF2-40B4-BE49-F238E27FC236}">
              <a16:creationId xmlns:a16="http://schemas.microsoft.com/office/drawing/2014/main" id="{4112687E-1402-4F1C-811A-22B05609C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182880</xdr:colOff>
      <xdr:row>20</xdr:row>
      <xdr:rowOff>137160</xdr:rowOff>
    </xdr:from>
    <xdr:to>
      <xdr:col>20</xdr:col>
      <xdr:colOff>571500</xdr:colOff>
      <xdr:row>34</xdr:row>
      <xdr:rowOff>0</xdr:rowOff>
    </xdr:to>
    <xdr:graphicFrame macro="">
      <xdr:nvGraphicFramePr>
        <xdr:cNvPr id="5" name="Chart 4">
          <a:extLst>
            <a:ext uri="{FF2B5EF4-FFF2-40B4-BE49-F238E27FC236}">
              <a16:creationId xmlns:a16="http://schemas.microsoft.com/office/drawing/2014/main" id="{8F5A7C18-F636-4B79-9CC5-3AA7C35A3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30480</xdr:colOff>
      <xdr:row>5</xdr:row>
      <xdr:rowOff>53340</xdr:rowOff>
    </xdr:from>
    <xdr:to>
      <xdr:col>12</xdr:col>
      <xdr:colOff>236220</xdr:colOff>
      <xdr:row>20</xdr:row>
      <xdr:rowOff>83820</xdr:rowOff>
    </xdr:to>
    <xdr:graphicFrame macro="">
      <xdr:nvGraphicFramePr>
        <xdr:cNvPr id="6" name="Chart 5">
          <a:extLst>
            <a:ext uri="{FF2B5EF4-FFF2-40B4-BE49-F238E27FC236}">
              <a16:creationId xmlns:a16="http://schemas.microsoft.com/office/drawing/2014/main" id="{3E236BFC-6924-45FE-A0FE-E0E81D30D3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30480</xdr:colOff>
      <xdr:row>20</xdr:row>
      <xdr:rowOff>144780</xdr:rowOff>
    </xdr:from>
    <xdr:to>
      <xdr:col>8</xdr:col>
      <xdr:colOff>45720</xdr:colOff>
      <xdr:row>33</xdr:row>
      <xdr:rowOff>175260</xdr:rowOff>
    </xdr:to>
    <xdr:graphicFrame macro="">
      <xdr:nvGraphicFramePr>
        <xdr:cNvPr id="7" name="Chart 6">
          <a:extLst>
            <a:ext uri="{FF2B5EF4-FFF2-40B4-BE49-F238E27FC236}">
              <a16:creationId xmlns:a16="http://schemas.microsoft.com/office/drawing/2014/main" id="{5EFAE277-43F6-46D1-BCDE-3D1259E79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17</xdr:col>
      <xdr:colOff>403860</xdr:colOff>
      <xdr:row>2</xdr:row>
      <xdr:rowOff>83821</xdr:rowOff>
    </xdr:from>
    <xdr:ext cx="1828800" cy="373379"/>
    <mc:AlternateContent xmlns:mc="http://schemas.openxmlformats.org/markup-compatibility/2006" xmlns:a14="http://schemas.microsoft.com/office/drawing/2010/main">
      <mc:Choice Requires="a14">
        <xdr:graphicFrame macro="">
          <xdr:nvGraphicFramePr>
            <xdr:cNvPr id="8" name="Sales_Channel 2">
              <a:extLst>
                <a:ext uri="{FF2B5EF4-FFF2-40B4-BE49-F238E27FC236}">
                  <a16:creationId xmlns:a16="http://schemas.microsoft.com/office/drawing/2014/main" id="{F823A705-A29C-47E2-B8FD-D46E21F95C66}"/>
                </a:ext>
              </a:extLst>
            </xdr:cNvPr>
            <xdr:cNvGraphicFramePr/>
          </xdr:nvGraphicFramePr>
          <xdr:xfrm>
            <a:off x="0" y="0"/>
            <a:ext cx="0" cy="0"/>
          </xdr:xfrm>
          <a:graphic>
            <a:graphicData uri="http://schemas.microsoft.com/office/drawing/2010/slicer">
              <sle:slicer xmlns:sle="http://schemas.microsoft.com/office/drawing/2010/slicer" name="Sales_Channel 2"/>
            </a:graphicData>
          </a:graphic>
        </xdr:graphicFrame>
      </mc:Choice>
      <mc:Fallback xmlns="">
        <xdr:sp macro="" textlink="">
          <xdr:nvSpPr>
            <xdr:cNvPr id="0" name=""/>
            <xdr:cNvSpPr>
              <a:spLocks noTextEdit="1"/>
            </xdr:cNvSpPr>
          </xdr:nvSpPr>
          <xdr:spPr>
            <a:xfrm>
              <a:off x="10767060" y="449581"/>
              <a:ext cx="1828800" cy="373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320040</xdr:colOff>
      <xdr:row>12</xdr:row>
      <xdr:rowOff>167640</xdr:rowOff>
    </xdr:from>
    <xdr:ext cx="1645920" cy="1363980"/>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CA33B17D-938C-4DAD-8B1D-566B77396B2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635240" y="2362200"/>
              <a:ext cx="1645920" cy="1363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464820</xdr:colOff>
      <xdr:row>2</xdr:row>
      <xdr:rowOff>83820</xdr:rowOff>
    </xdr:from>
    <xdr:ext cx="3360420" cy="388620"/>
    <mc:AlternateContent xmlns:mc="http://schemas.openxmlformats.org/markup-compatibility/2006" xmlns:a14="http://schemas.microsoft.com/office/drawing/2010/main">
      <mc:Choice Requires="a14">
        <xdr:graphicFrame macro="">
          <xdr:nvGraphicFramePr>
            <xdr:cNvPr id="10" name="Product_Category 2">
              <a:extLst>
                <a:ext uri="{FF2B5EF4-FFF2-40B4-BE49-F238E27FC236}">
                  <a16:creationId xmlns:a16="http://schemas.microsoft.com/office/drawing/2014/main" id="{57A27F4E-820D-4C0A-AA87-5643EF2327BC}"/>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7170420" y="449580"/>
              <a:ext cx="3360420" cy="388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320040</xdr:colOff>
      <xdr:row>5</xdr:row>
      <xdr:rowOff>45720</xdr:rowOff>
    </xdr:from>
    <xdr:ext cx="1615440" cy="1371599"/>
    <mc:AlternateContent xmlns:mc="http://schemas.openxmlformats.org/markup-compatibility/2006" xmlns:a14="http://schemas.microsoft.com/office/drawing/2010/main">
      <mc:Choice Requires="a14">
        <xdr:graphicFrame macro="">
          <xdr:nvGraphicFramePr>
            <xdr:cNvPr id="11" name="Order_Priority 2">
              <a:extLst>
                <a:ext uri="{FF2B5EF4-FFF2-40B4-BE49-F238E27FC236}">
                  <a16:creationId xmlns:a16="http://schemas.microsoft.com/office/drawing/2014/main" id="{F4D98E7F-9C98-423A-A19E-D285B2839431}"/>
                </a:ext>
              </a:extLst>
            </xdr:cNvPr>
            <xdr:cNvGraphicFramePr/>
          </xdr:nvGraphicFramePr>
          <xdr:xfrm>
            <a:off x="0" y="0"/>
            <a:ext cx="0" cy="0"/>
          </xdr:xfrm>
          <a:graphic>
            <a:graphicData uri="http://schemas.microsoft.com/office/drawing/2010/slicer">
              <sle:slicer xmlns:sle="http://schemas.microsoft.com/office/drawing/2010/slicer" name="Order_Priority 2"/>
            </a:graphicData>
          </a:graphic>
        </xdr:graphicFrame>
      </mc:Choice>
      <mc:Fallback xmlns="">
        <xdr:sp macro="" textlink="">
          <xdr:nvSpPr>
            <xdr:cNvPr id="0" name=""/>
            <xdr:cNvSpPr>
              <a:spLocks noTextEdit="1"/>
            </xdr:cNvSpPr>
          </xdr:nvSpPr>
          <xdr:spPr>
            <a:xfrm>
              <a:off x="7635240" y="960120"/>
              <a:ext cx="1676400" cy="1371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5</xdr:col>
      <xdr:colOff>403860</xdr:colOff>
      <xdr:row>2</xdr:row>
      <xdr:rowOff>91439</xdr:rowOff>
    </xdr:from>
    <xdr:ext cx="3550920" cy="365761"/>
    <mc:AlternateContent xmlns:mc="http://schemas.openxmlformats.org/markup-compatibility/2006" xmlns:a14="http://schemas.microsoft.com/office/drawing/2010/main">
      <mc:Choice Requires="a14">
        <xdr:graphicFrame macro="">
          <xdr:nvGraphicFramePr>
            <xdr:cNvPr id="12" name="Customer_Segment 2">
              <a:extLst>
                <a:ext uri="{FF2B5EF4-FFF2-40B4-BE49-F238E27FC236}">
                  <a16:creationId xmlns:a16="http://schemas.microsoft.com/office/drawing/2014/main" id="{6FD797BE-C861-4A0A-BA5F-9C2C03B4974F}"/>
                </a:ext>
              </a:extLst>
            </xdr:cNvPr>
            <xdr:cNvGraphicFramePr/>
          </xdr:nvGraphicFramePr>
          <xdr:xfrm>
            <a:off x="0" y="0"/>
            <a:ext cx="0" cy="0"/>
          </xdr:xfrm>
          <a:graphic>
            <a:graphicData uri="http://schemas.microsoft.com/office/drawing/2010/slicer">
              <sle:slicer xmlns:sle="http://schemas.microsoft.com/office/drawing/2010/slicer" name="Customer_Segment 2"/>
            </a:graphicData>
          </a:graphic>
        </xdr:graphicFrame>
      </mc:Choice>
      <mc:Fallback xmlns="">
        <xdr:sp macro="" textlink="">
          <xdr:nvSpPr>
            <xdr:cNvPr id="0" name=""/>
            <xdr:cNvSpPr>
              <a:spLocks noTextEdit="1"/>
            </xdr:cNvSpPr>
          </xdr:nvSpPr>
          <xdr:spPr>
            <a:xfrm>
              <a:off x="3451860" y="457199"/>
              <a:ext cx="3550920" cy="365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xdr:col>
      <xdr:colOff>129540</xdr:colOff>
      <xdr:row>2</xdr:row>
      <xdr:rowOff>91440</xdr:rowOff>
    </xdr:from>
    <xdr:to>
      <xdr:col>5</xdr:col>
      <xdr:colOff>304800</xdr:colOff>
      <xdr:row>4</xdr:row>
      <xdr:rowOff>68580</xdr:rowOff>
    </xdr:to>
    <xdr:sp macro="" textlink="">
      <xdr:nvSpPr>
        <xdr:cNvPr id="13" name="Rectangle 12">
          <a:extLst>
            <a:ext uri="{FF2B5EF4-FFF2-40B4-BE49-F238E27FC236}">
              <a16:creationId xmlns:a16="http://schemas.microsoft.com/office/drawing/2014/main" id="{729B6F47-3BF6-4CA6-A750-AE861471492A}"/>
            </a:ext>
          </a:extLst>
        </xdr:cNvPr>
        <xdr:cNvSpPr/>
      </xdr:nvSpPr>
      <xdr:spPr>
        <a:xfrm>
          <a:off x="739140" y="457200"/>
          <a:ext cx="2613660" cy="3429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tx1"/>
              </a:solidFill>
            </a:rPr>
            <a:t>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2.914596527778" createdVersion="8" refreshedVersion="8" minRefreshableVersion="3" recordCount="1500" xr:uid="{C30E4917-75FA-47C0-A57B-CCFD4C322DF4}">
  <cacheSource type="worksheet">
    <worksheetSource ref="A1:U1501" sheet="Sales_Data"/>
  </cacheSource>
  <cacheFields count="21">
    <cacheField name="Order_ID" numFmtId="0">
      <sharedItems/>
    </cacheField>
    <cacheField name="Order_Date" numFmtId="0">
      <sharedItems count="785">
        <s v="2023-03-10"/>
        <s v="2024-03-05"/>
        <s v="2022-01-17"/>
        <s v="2023-01-26"/>
        <s v="2022-03-22"/>
        <s v="2023-06-30"/>
        <s v="2024-06-11"/>
        <s v="2023-01-23"/>
        <s v="2023-11-04"/>
        <s v="2024-05-20"/>
        <s v="2022-05-28"/>
        <s v="2023-02-19"/>
        <s v="2022-05-15"/>
        <s v="2022-02-12"/>
        <s v="2022-03-12"/>
        <s v="2022-01-05"/>
        <s v="2022-03-08"/>
        <s v="2022-04-11"/>
        <s v="2022-05-01"/>
        <s v="2023-09-17"/>
        <s v="2023-08-17"/>
        <s v="2022-04-04"/>
        <s v="2024-04-07"/>
        <s v="2022-08-25"/>
        <s v="2022-09-05"/>
        <s v="2022-04-09"/>
        <s v="2023-12-04"/>
        <s v="2024-03-22"/>
        <s v="2022-10-19"/>
        <s v="2024-06-10"/>
        <s v="2023-01-11"/>
        <s v="2024-05-26"/>
        <s v="2024-03-04"/>
        <s v="2023-08-10"/>
        <s v="2023-04-15"/>
        <s v="2022-09-30"/>
        <s v="2023-05-03"/>
        <s v="2024-02-21"/>
        <s v="2023-04-09"/>
        <s v="2024-04-30"/>
        <s v="2023-12-03"/>
        <s v="2023-06-20"/>
        <s v="2022-08-13"/>
        <s v="2022-07-18"/>
        <s v="2022-08-12"/>
        <s v="2022-05-26"/>
        <s v="2024-07-27"/>
        <s v="2023-04-22"/>
        <s v="2023-07-10"/>
        <s v="2022-07-09"/>
        <s v="2024-07-07"/>
        <s v="2023-12-05"/>
        <s v="2022-01-30"/>
        <s v="2024-09-12"/>
        <s v="2023-01-08"/>
        <s v="2024-05-02"/>
        <s v="2022-12-01"/>
        <s v="2024-08-12"/>
        <s v="2024-04-21"/>
        <s v="2024-08-06"/>
        <s v="2023-02-15"/>
        <s v="2022-08-11"/>
        <s v="2022-11-01"/>
        <s v="2022-04-19"/>
        <s v="2024-03-19"/>
        <s v="2024-01-14"/>
        <s v="2023-03-29"/>
        <s v="2024-01-15"/>
        <s v="2022-10-16"/>
        <s v="2022-04-20"/>
        <s v="2022-07-01"/>
        <s v="2023-08-24"/>
        <s v="2023-03-13"/>
        <s v="2022-06-28"/>
        <s v="2022-11-06"/>
        <s v="2022-03-26"/>
        <s v="2022-06-04"/>
        <s v="2023-04-17"/>
        <s v="2023-07-04"/>
        <s v="2024-07-01"/>
        <s v="2023-03-01"/>
        <s v="2023-01-14"/>
        <s v="2024-08-09"/>
        <s v="2022-06-26"/>
        <s v="2022-07-07"/>
        <s v="2023-07-07"/>
        <s v="2024-07-14"/>
        <s v="2024-01-04"/>
        <s v="2023-03-18"/>
        <s v="2022-10-08"/>
        <s v="2022-09-15"/>
        <s v="2022-03-28"/>
        <s v="2023-03-28"/>
        <s v="2022-01-21"/>
        <s v="2023-02-28"/>
        <s v="2022-01-10"/>
        <s v="2022-04-29"/>
        <s v="2024-04-24"/>
        <s v="2023-05-08"/>
        <s v="2022-05-03"/>
        <s v="2022-09-07"/>
        <s v="2023-03-09"/>
        <s v="2023-10-14"/>
        <s v="2023-05-21"/>
        <s v="2023-09-04"/>
        <s v="2024-05-14"/>
        <s v="2023-06-14"/>
        <s v="2023-09-27"/>
        <s v="2024-04-06"/>
        <s v="2024-05-22"/>
        <s v="2024-07-09"/>
        <s v="2022-01-13"/>
        <s v="2024-05-13"/>
        <s v="2023-04-18"/>
        <s v="2024-02-10"/>
        <s v="2022-06-29"/>
        <s v="2023-09-29"/>
        <s v="2023-12-22"/>
        <s v="2023-04-19"/>
        <s v="2023-02-10"/>
        <s v="2024-03-06"/>
        <s v="2022-04-13"/>
        <s v="2024-02-04"/>
        <s v="2022-05-29"/>
        <s v="2023-08-26"/>
        <s v="2024-09-06"/>
        <s v="2023-06-07"/>
        <s v="2023-12-17"/>
        <s v="2023-03-06"/>
        <s v="2022-06-24"/>
        <s v="2023-04-29"/>
        <s v="2023-03-30"/>
        <s v="2022-06-18"/>
        <s v="2023-09-23"/>
        <s v="2022-03-16"/>
        <s v="2024-06-22"/>
        <s v="2024-04-23"/>
        <s v="2023-08-05"/>
        <s v="2023-10-18"/>
        <s v="2022-10-10"/>
        <s v="2024-03-25"/>
        <s v="2024-04-03"/>
        <s v="2023-03-20"/>
        <s v="2022-04-28"/>
        <s v="2023-07-27"/>
        <s v="2023-04-27"/>
        <s v="2022-08-05"/>
        <s v="2022-06-22"/>
        <s v="2022-12-14"/>
        <s v="2023-10-06"/>
        <s v="2022-01-29"/>
        <s v="2023-12-31"/>
        <s v="2023-11-29"/>
        <s v="2023-04-01"/>
        <s v="2022-05-20"/>
        <s v="2023-09-26"/>
        <s v="2023-06-09"/>
        <s v="2024-08-17"/>
        <s v="2022-05-13"/>
        <s v="2023-06-25"/>
        <s v="2024-05-25"/>
        <s v="2022-12-31"/>
        <s v="2023-09-24"/>
        <s v="2024-06-05"/>
        <s v="2022-04-17"/>
        <s v="2023-10-15"/>
        <s v="2024-05-10"/>
        <s v="2024-09-07"/>
        <s v="2024-05-12"/>
        <s v="2022-07-17"/>
        <s v="2023-03-16"/>
        <s v="2022-05-16"/>
        <s v="2024-01-20"/>
        <s v="2024-04-11"/>
        <s v="2022-12-08"/>
        <s v="2024-01-01"/>
        <s v="2023-04-03"/>
        <s v="2024-01-18"/>
        <s v="2022-01-06"/>
        <s v="2024-01-09"/>
        <s v="2023-04-08"/>
        <s v="2022-12-29"/>
        <s v="2024-01-03"/>
        <s v="2022-04-06"/>
        <s v="2022-09-13"/>
        <s v="2022-05-24"/>
        <s v="2022-09-04"/>
        <s v="2022-01-09"/>
        <s v="2024-09-10"/>
        <s v="2023-01-09"/>
        <s v="2024-03-24"/>
        <s v="2024-04-15"/>
        <s v="2022-12-27"/>
        <s v="2022-05-02"/>
        <s v="2023-02-04"/>
        <s v="2022-08-08"/>
        <s v="2023-05-24"/>
        <s v="2023-05-20"/>
        <s v="2023-02-23"/>
        <s v="2022-10-02"/>
        <s v="2024-02-12"/>
        <s v="2022-08-27"/>
        <s v="2023-05-12"/>
        <s v="2023-12-18"/>
        <s v="2024-06-29"/>
        <s v="2024-06-03"/>
        <s v="2023-12-12"/>
        <s v="2024-08-18"/>
        <s v="2024-02-08"/>
        <s v="2022-05-08"/>
        <s v="2022-02-23"/>
        <s v="2022-11-04"/>
        <s v="2024-06-08"/>
        <s v="2022-08-07"/>
        <s v="2024-09-20"/>
        <s v="2023-03-15"/>
        <s v="2022-08-15"/>
        <s v="2022-07-05"/>
        <s v="2022-08-18"/>
        <s v="2024-06-01"/>
        <s v="2022-09-14"/>
        <s v="2022-07-27"/>
        <s v="2024-07-06"/>
        <s v="2023-08-20"/>
        <s v="2024-04-18"/>
        <s v="2023-05-29"/>
        <s v="2023-09-08"/>
        <s v="2023-01-31"/>
        <s v="2024-06-02"/>
        <s v="2022-09-09"/>
        <s v="2022-05-23"/>
        <s v="2022-05-19"/>
        <s v="2023-02-18"/>
        <s v="2024-08-16"/>
        <s v="2023-07-03"/>
        <s v="2023-09-15"/>
        <s v="2022-08-31"/>
        <s v="2022-01-11"/>
        <s v="2022-09-06"/>
        <s v="2023-03-07"/>
        <s v="2023-12-28"/>
        <s v="2022-09-28"/>
        <s v="2022-07-24"/>
        <s v="2022-12-16"/>
        <s v="2023-02-24"/>
        <s v="2022-12-07"/>
        <s v="2022-02-26"/>
        <s v="2024-05-24"/>
        <s v="2022-12-21"/>
        <s v="2023-03-23"/>
        <s v="2024-04-17"/>
        <s v="2023-12-10"/>
        <s v="2023-06-01"/>
        <s v="2022-12-15"/>
        <s v="2023-01-18"/>
        <s v="2024-02-09"/>
        <s v="2022-02-27"/>
        <s v="2024-09-22"/>
        <s v="2023-06-05"/>
        <s v="2023-11-16"/>
        <s v="2023-03-24"/>
        <s v="2023-04-02"/>
        <s v="2023-05-02"/>
        <s v="2023-07-09"/>
        <s v="2023-10-09"/>
        <s v="2022-10-09"/>
        <s v="2022-08-09"/>
        <s v="2022-06-19"/>
        <s v="2024-08-21"/>
        <s v="2022-07-10"/>
        <s v="2022-11-13"/>
        <s v="2022-01-19"/>
        <s v="2022-09-26"/>
        <s v="2024-05-28"/>
        <s v="2022-04-24"/>
        <s v="2023-02-07"/>
        <s v="2022-09-18"/>
        <s v="2023-12-20"/>
        <s v="2024-01-28"/>
        <s v="2024-05-06"/>
        <s v="2024-09-04"/>
        <s v="2024-02-26"/>
        <s v="2022-07-12"/>
        <s v="2023-07-01"/>
        <s v="2023-10-04"/>
        <s v="2024-06-25"/>
        <s v="2024-01-23"/>
        <s v="2023-09-12"/>
        <s v="2022-11-21"/>
        <s v="2024-07-04"/>
        <s v="2023-05-30"/>
        <s v="2023-09-22"/>
        <s v="2023-09-02"/>
        <s v="2023-03-17"/>
        <s v="2023-05-13"/>
        <s v="2024-07-25"/>
        <s v="2022-11-15"/>
        <s v="2023-03-03"/>
        <s v="2022-09-11"/>
        <s v="2023-05-14"/>
        <s v="2023-11-01"/>
        <s v="2023-02-17"/>
        <s v="2023-07-25"/>
        <s v="2022-09-24"/>
        <s v="2023-01-19"/>
        <s v="2022-02-07"/>
        <s v="2024-03-10"/>
        <s v="2023-05-06"/>
        <s v="2024-09-05"/>
        <s v="2024-07-02"/>
        <s v="2024-09-11"/>
        <s v="2023-06-21"/>
        <s v="2022-07-02"/>
        <s v="2022-10-18"/>
        <s v="2024-07-29"/>
        <s v="2023-11-27"/>
        <s v="2023-06-26"/>
        <s v="2022-01-15"/>
        <s v="2023-09-28"/>
        <s v="2023-11-14"/>
        <s v="2023-10-19"/>
        <s v="2023-07-22"/>
        <s v="2023-03-11"/>
        <s v="2023-02-16"/>
        <s v="2023-09-30"/>
        <s v="2023-10-23"/>
        <s v="2023-01-21"/>
        <s v="2022-12-06"/>
        <s v="2024-08-05"/>
        <s v="2024-05-23"/>
        <s v="2022-11-10"/>
        <s v="2022-06-06"/>
        <s v="2023-12-08"/>
        <s v="2023-06-27"/>
        <s v="2023-12-21"/>
        <s v="2023-06-19"/>
        <s v="2022-03-17"/>
        <s v="2022-07-26"/>
        <s v="2024-03-15"/>
        <s v="2024-01-16"/>
        <s v="2023-06-03"/>
        <s v="2023-07-16"/>
        <s v="2023-02-20"/>
        <s v="2022-03-01"/>
        <s v="2023-07-24"/>
        <s v="2023-11-28"/>
        <s v="2024-08-28"/>
        <s v="2023-11-05"/>
        <s v="2022-06-10"/>
        <s v="2024-01-31"/>
        <s v="2023-08-14"/>
        <s v="2022-01-24"/>
        <s v="2023-05-01"/>
        <s v="2022-12-03"/>
        <s v="2024-05-01"/>
        <s v="2024-02-20"/>
        <s v="2022-02-25"/>
        <s v="2023-02-09"/>
        <s v="2022-04-10"/>
        <s v="2023-08-23"/>
        <s v="2023-01-27"/>
        <s v="2023-06-02"/>
        <s v="2022-08-06"/>
        <s v="2024-07-20"/>
        <s v="2022-12-11"/>
        <s v="2022-11-22"/>
        <s v="2022-02-28"/>
        <s v="2022-01-25"/>
        <s v="2022-02-09"/>
        <s v="2022-09-17"/>
        <s v="2022-09-10"/>
        <s v="2022-05-10"/>
        <s v="2024-07-16"/>
        <s v="2023-08-22"/>
        <s v="2023-08-18"/>
        <s v="2023-08-03"/>
        <s v="2022-04-27"/>
        <s v="2023-07-21"/>
        <s v="2022-10-14"/>
        <s v="2022-09-27"/>
        <s v="2023-11-07"/>
        <s v="2023-09-11"/>
        <s v="2024-06-09"/>
        <s v="2023-01-06"/>
        <s v="2022-09-02"/>
        <s v="2024-08-19"/>
        <s v="2023-11-09"/>
        <s v="2024-07-19"/>
        <s v="2022-01-12"/>
        <s v="2023-01-28"/>
        <s v="2022-03-21"/>
        <s v="2024-07-28"/>
        <s v="2024-02-02"/>
        <s v="2024-03-08"/>
        <s v="2024-08-23"/>
        <s v="2023-10-11"/>
        <s v="2022-03-11"/>
        <s v="2024-09-15"/>
        <s v="2022-07-13"/>
        <s v="2024-05-17"/>
        <s v="2022-03-02"/>
        <s v="2023-04-13"/>
        <s v="2023-11-25"/>
        <s v="2023-03-19"/>
        <s v="2022-06-09"/>
        <s v="2022-07-30"/>
        <s v="2022-01-27"/>
        <s v="2022-11-03"/>
        <s v="2022-04-03"/>
        <s v="2024-07-05"/>
        <s v="2024-01-07"/>
        <s v="2024-06-18"/>
        <s v="2023-10-05"/>
        <s v="2022-12-30"/>
        <s v="2023-05-18"/>
        <s v="2022-06-14"/>
        <s v="2022-01-07"/>
        <s v="2022-10-21"/>
        <s v="2023-07-05"/>
        <s v="2022-02-05"/>
        <s v="2023-02-13"/>
        <s v="2023-01-16"/>
        <s v="2023-09-06"/>
        <s v="2023-06-12"/>
        <s v="2024-04-08"/>
        <s v="2022-04-22"/>
        <s v="2022-12-17"/>
        <s v="2023-02-02"/>
        <s v="2023-11-21"/>
        <s v="2022-05-18"/>
        <s v="2022-02-04"/>
        <s v="2022-12-25"/>
        <s v="2022-06-02"/>
        <s v="2022-02-13"/>
        <s v="2022-06-11"/>
        <s v="2024-03-07"/>
        <s v="2024-03-09"/>
        <s v="2024-09-18"/>
        <s v="2022-03-23"/>
        <s v="2024-01-21"/>
        <s v="2022-11-23"/>
        <s v="2024-08-29"/>
        <s v="2023-06-13"/>
        <s v="2022-03-13"/>
        <s v="2023-10-21"/>
        <s v="2022-06-23"/>
        <s v="2022-05-25"/>
        <s v="2023-05-04"/>
        <s v="2023-06-29"/>
        <s v="2023-02-27"/>
        <s v="2022-03-09"/>
        <s v="2023-12-09"/>
        <s v="2022-06-27"/>
        <s v="2023-10-01"/>
        <s v="2023-04-16"/>
        <s v="2024-07-22"/>
        <s v="2022-11-14"/>
        <s v="2024-01-30"/>
        <s v="2024-04-26"/>
        <s v="2024-01-02"/>
        <s v="2023-04-30"/>
        <s v="2022-02-08"/>
        <s v="2022-01-31"/>
        <s v="2023-09-07"/>
        <s v="2024-05-19"/>
        <s v="2022-01-08"/>
        <s v="2024-02-18"/>
        <s v="2024-04-27"/>
        <s v="2024-08-13"/>
        <s v="2022-06-25"/>
        <s v="2023-11-24"/>
        <s v="2023-01-17"/>
        <s v="2022-05-05"/>
        <s v="2023-03-04"/>
        <s v="2023-07-12"/>
        <s v="2022-12-24"/>
        <s v="2024-03-14"/>
        <s v="2022-12-04"/>
        <s v="2024-07-11"/>
        <s v="2023-04-23"/>
        <s v="2023-02-22"/>
        <s v="2024-01-06"/>
        <s v="2023-03-31"/>
        <s v="2023-03-02"/>
        <s v="2024-09-19"/>
        <s v="2023-07-17"/>
        <s v="2022-10-06"/>
        <s v="2023-08-27"/>
        <s v="2024-09-01"/>
        <s v="2022-05-30"/>
        <s v="2022-11-24"/>
        <s v="2022-10-01"/>
        <s v="2023-10-20"/>
        <s v="2023-06-28"/>
        <s v="2022-03-07"/>
        <s v="2022-10-05"/>
        <s v="2022-03-24"/>
        <s v="2023-01-01"/>
        <s v="2022-10-22"/>
        <s v="2024-02-07"/>
        <s v="2023-07-06"/>
        <s v="2024-08-02"/>
        <s v="2022-10-11"/>
        <s v="2024-06-04"/>
        <s v="2024-06-20"/>
        <s v="2024-03-01"/>
        <s v="2022-10-03"/>
        <s v="2024-03-11"/>
        <s v="2023-07-08"/>
        <s v="2023-01-22"/>
        <s v="2022-03-04"/>
        <s v="2022-12-13"/>
        <s v="2023-12-07"/>
        <s v="2024-07-10"/>
        <s v="2023-07-11"/>
        <s v="2023-01-15"/>
        <s v="2022-08-29"/>
        <s v="2023-12-25"/>
        <s v="2023-02-03"/>
        <s v="2024-06-19"/>
        <s v="2023-01-04"/>
        <s v="2024-02-01"/>
        <s v="2022-08-02"/>
        <s v="2023-11-19"/>
        <s v="2022-05-14"/>
        <s v="2022-01-26"/>
        <s v="2022-01-01"/>
        <s v="2023-06-11"/>
        <s v="2023-12-29"/>
        <s v="2023-04-26"/>
        <s v="2023-05-16"/>
        <s v="2024-02-23"/>
        <s v="2023-10-30"/>
        <s v="2022-05-09"/>
        <s v="2023-01-24"/>
        <s v="2022-12-19"/>
        <s v="2022-10-17"/>
        <s v="2024-05-04"/>
        <s v="2022-12-02"/>
        <s v="2024-09-26"/>
        <s v="2024-08-10"/>
        <s v="2022-03-25"/>
        <s v="2023-11-02"/>
        <s v="2023-03-21"/>
        <s v="2022-09-23"/>
        <s v="2022-05-27"/>
        <s v="2023-09-21"/>
        <s v="2024-04-28"/>
        <s v="2023-06-18"/>
        <s v="2022-04-05"/>
        <s v="2022-10-26"/>
        <s v="2024-09-09"/>
        <s v="2023-01-12"/>
        <s v="2022-06-03"/>
        <s v="2022-07-08"/>
        <s v="2024-01-27"/>
        <s v="2023-04-24"/>
        <s v="2022-02-22"/>
        <s v="2024-05-08"/>
        <s v="2022-04-12"/>
        <s v="2022-01-02"/>
        <s v="2024-02-03"/>
        <s v="2024-05-16"/>
        <s v="2023-06-10"/>
        <s v="2023-01-20"/>
        <s v="2024-07-17"/>
        <s v="2024-07-21"/>
        <s v="2023-06-15"/>
        <s v="2023-05-31"/>
        <s v="2022-08-17"/>
        <s v="2023-06-23"/>
        <s v="2023-10-26"/>
        <s v="2022-04-07"/>
        <s v="2022-05-11"/>
        <s v="2022-05-31"/>
        <s v="2022-04-15"/>
        <s v="2022-12-12"/>
        <s v="2023-02-11"/>
        <s v="2023-07-02"/>
        <s v="2024-03-21"/>
        <s v="2024-01-29"/>
        <s v="2023-10-24"/>
        <s v="2022-11-09"/>
        <s v="2024-06-13"/>
        <s v="2023-11-23"/>
        <s v="2022-09-21"/>
        <s v="2022-03-29"/>
        <s v="2023-01-25"/>
        <s v="2023-08-30"/>
        <s v="2023-03-05"/>
        <s v="2023-03-08"/>
        <s v="2024-09-13"/>
        <s v="2022-11-25"/>
        <s v="2024-06-23"/>
        <s v="2023-05-09"/>
        <s v="2022-10-07"/>
        <s v="2023-04-12"/>
        <s v="2022-03-31"/>
        <s v="2023-05-15"/>
        <s v="2023-11-10"/>
        <s v="2023-11-22"/>
        <s v="2022-04-18"/>
        <s v="2024-06-15"/>
        <s v="2024-04-09"/>
        <s v="2023-07-23"/>
        <s v="2023-11-26"/>
        <s v="2022-02-01"/>
        <s v="2022-08-16"/>
        <s v="2022-09-01"/>
        <s v="2022-08-21"/>
        <s v="2022-08-01"/>
        <s v="2024-05-07"/>
        <s v="2022-08-28"/>
        <s v="2024-06-30"/>
        <s v="2022-12-28"/>
        <s v="2024-05-29"/>
        <s v="2024-08-22"/>
        <s v="2024-05-09"/>
        <s v="2022-08-22"/>
        <s v="2023-05-07"/>
        <s v="2022-07-21"/>
        <s v="2022-09-12"/>
        <s v="2022-08-10"/>
        <s v="2024-08-20"/>
        <s v="2023-06-22"/>
        <s v="2023-01-13"/>
        <s v="2022-04-21"/>
        <s v="2022-04-02"/>
        <s v="2023-09-10"/>
        <s v="2022-07-20"/>
        <s v="2024-03-28"/>
        <s v="2023-08-02"/>
        <s v="2022-07-23"/>
        <s v="2023-11-11"/>
        <s v="2022-11-18"/>
        <s v="2024-06-07"/>
        <s v="2022-03-19"/>
        <s v="2022-04-30"/>
        <s v="2023-08-13"/>
        <s v="2024-04-13"/>
        <s v="2023-03-27"/>
        <s v="2023-01-02"/>
        <s v="2024-08-01"/>
        <s v="2024-01-10"/>
        <s v="2023-01-07"/>
        <s v="2024-04-12"/>
        <s v="2022-10-29"/>
        <s v="2023-04-04"/>
        <s v="2023-07-19"/>
        <s v="2022-11-16"/>
        <s v="2024-01-26"/>
        <s v="2023-11-03"/>
        <s v="2023-11-08"/>
        <s v="2022-03-18"/>
        <s v="2022-05-22"/>
        <s v="2023-08-28"/>
        <s v="2022-08-19"/>
        <s v="2023-06-24"/>
        <s v="2023-09-14"/>
        <s v="2022-06-12"/>
        <s v="2022-04-16"/>
        <s v="2022-07-04"/>
        <s v="2022-06-16"/>
        <s v="2023-02-12"/>
        <s v="2022-04-25"/>
        <s v="2023-12-26"/>
        <s v="2024-08-14"/>
        <s v="2022-07-22"/>
        <s v="2022-12-26"/>
        <s v="2022-05-07"/>
        <s v="2023-08-15"/>
        <s v="2023-09-09"/>
        <s v="2023-01-30"/>
        <s v="2024-06-06"/>
        <s v="2024-03-16"/>
        <s v="2022-12-09"/>
        <s v="2023-10-13"/>
        <s v="2024-04-10"/>
        <s v="2023-10-07"/>
        <s v="2024-03-26"/>
        <s v="2022-12-22"/>
        <s v="2022-07-15"/>
        <s v="2023-09-20"/>
        <s v="2023-02-21"/>
        <s v="2022-04-01"/>
        <s v="2023-08-21"/>
        <s v="2024-07-12"/>
        <s v="2022-09-22"/>
        <s v="2023-06-16"/>
        <s v="2024-04-02"/>
        <s v="2023-07-20"/>
        <s v="2023-02-08"/>
        <s v="2022-01-04"/>
        <s v="2023-05-11"/>
        <s v="2023-01-29"/>
        <s v="2022-10-25"/>
        <s v="2022-02-02"/>
        <s v="2022-11-28"/>
        <s v="2024-03-02"/>
        <s v="2023-12-30"/>
        <s v="2023-01-05"/>
        <s v="2023-11-15"/>
        <s v="2022-03-06"/>
        <s v="2023-05-25"/>
        <s v="2022-09-29"/>
        <s v="2024-01-25"/>
        <s v="2024-08-11"/>
        <s v="2022-10-31"/>
        <s v="2022-04-23"/>
        <s v="2023-08-29"/>
        <s v="2022-07-31"/>
        <s v="2023-08-04"/>
        <s v="2023-09-05"/>
        <s v="2023-05-05"/>
        <s v="2023-02-14"/>
        <s v="2022-01-22"/>
        <s v="2023-05-22"/>
        <s v="2024-05-05"/>
        <s v="2022-09-19"/>
        <s v="2022-09-03"/>
        <s v="2022-02-20"/>
        <s v="2022-06-17"/>
        <s v="2022-11-26"/>
        <s v="2022-01-28"/>
        <s v="2024-08-04"/>
        <s v="2023-11-12"/>
        <s v="2022-01-18"/>
        <s v="2024-04-05"/>
        <s v="2023-04-21"/>
        <s v="2022-01-23"/>
        <s v="2023-05-17"/>
        <s v="2022-06-05"/>
        <s v="2024-03-29"/>
        <s v="2024-05-03"/>
        <s v="2022-07-16"/>
        <s v="2022-12-18"/>
        <s v="2022-10-23"/>
        <s v="2024-07-30"/>
        <s v="2022-08-20"/>
        <s v="2023-04-28"/>
        <s v="2024-01-19"/>
        <s v="2023-10-03"/>
        <s v="2024-03-17"/>
        <s v="2024-01-17"/>
        <s v="2024-05-30"/>
        <s v="2023-09-01"/>
        <s v="2023-03-12"/>
        <s v="2024-05-18"/>
        <s v="2024-03-12"/>
        <s v="2023-08-08"/>
        <s v="2023-04-10"/>
        <s v="2022-11-20"/>
        <s v="2022-08-14"/>
        <s v="2023-12-02"/>
        <s v="2023-08-09"/>
        <s v="2023-02-06"/>
        <s v="2022-03-30"/>
        <s v="2023-11-30"/>
        <s v="2022-11-19"/>
        <s v="2024-09-17"/>
        <s v="2022-11-11"/>
        <s v="2023-05-23"/>
        <s v="2024-08-15"/>
        <s v="2022-07-29"/>
        <s v="2023-08-16"/>
        <s v="2023-07-18"/>
        <s v="2024-07-31"/>
        <s v="2024-08-03"/>
        <s v="2023-12-19"/>
        <s v="2022-02-19"/>
        <s v="2023-04-11"/>
        <s v="2024-06-26"/>
        <s v="2024-08-25"/>
        <s v="2024-02-19"/>
        <s v="2023-12-11"/>
        <s v="2023-08-01"/>
        <s v="2023-10-08"/>
        <s v="2023-09-03"/>
        <s v="2022-11-17"/>
        <s v="2022-07-25"/>
        <s v="2023-09-13"/>
        <s v="2024-02-25"/>
        <s v="2022-10-12"/>
        <s v="2023-01-03"/>
        <s v="2023-08-31"/>
      </sharedItems>
    </cacheField>
    <cacheField name="Ship_Date" numFmtId="0">
      <sharedItems count="779">
        <s v="2023-03-18"/>
        <s v="2024-03-11"/>
        <s v="2022-01-18"/>
        <s v="2023-01-29"/>
        <s v="2022-03-29"/>
        <s v="2023-07-04"/>
        <s v="2024-06-21"/>
        <s v="2023-02-02"/>
        <s v="2023-11-06"/>
        <s v="2024-05-21"/>
        <s v="2022-06-04"/>
        <s v="2023-02-26"/>
        <s v="2022-05-22"/>
        <s v="2022-02-22"/>
        <s v="2022-03-21"/>
        <s v="2022-01-14"/>
        <s v="2022-03-15"/>
        <s v="2022-04-15"/>
        <s v="2022-05-10"/>
        <s v="2023-09-25"/>
        <s v="2023-08-23"/>
        <s v="2022-04-08"/>
        <s v="2024-04-14"/>
        <s v="2022-08-26"/>
        <s v="2022-09-14"/>
        <s v="2022-04-19"/>
        <s v="2023-12-07"/>
        <s v="2024-04-01"/>
        <s v="2023-01-31"/>
        <s v="2022-10-24"/>
        <s v="2024-06-15"/>
        <s v="2023-01-13"/>
        <s v="2024-06-03"/>
        <s v="2024-03-09"/>
        <s v="2023-08-13"/>
        <s v="2023-04-21"/>
        <s v="2022-10-04"/>
        <s v="2023-05-13"/>
        <s v="2024-02-28"/>
        <s v="2023-04-11"/>
        <s v="2024-05-09"/>
        <s v="2023-12-13"/>
        <s v="2023-06-22"/>
        <s v="2022-08-21"/>
        <s v="2022-07-20"/>
        <s v="2022-06-05"/>
        <s v="2024-08-03"/>
        <s v="2023-05-02"/>
        <s v="2023-07-19"/>
        <s v="2022-07-13"/>
        <s v="2024-07-11"/>
        <s v="2023-12-10"/>
        <s v="2022-01-31"/>
        <s v="2024-09-14"/>
        <s v="2023-01-10"/>
        <s v="2024-05-12"/>
        <s v="2022-12-09"/>
        <s v="2024-08-21"/>
        <s v="2024-04-24"/>
        <s v="2024-08-08"/>
        <s v="2023-02-18"/>
        <s v="2022-08-12"/>
        <s v="2022-11-09"/>
        <s v="2022-04-28"/>
        <s v="2024-03-27"/>
        <s v="2024-01-22"/>
        <s v="2023-04-06"/>
        <s v="2024-01-18"/>
        <s v="2022-10-19"/>
        <s v="2022-04-29"/>
        <s v="2022-07-07"/>
        <s v="2023-08-27"/>
        <s v="2023-03-16"/>
        <s v="2022-06-30"/>
        <s v="2022-11-16"/>
        <s v="2022-03-28"/>
        <s v="2023-04-25"/>
        <s v="2023-07-06"/>
        <s v="2024-07-05"/>
        <s v="2023-03-05"/>
        <s v="2023-01-19"/>
        <s v="2024-08-17"/>
        <s v="2022-07-02"/>
        <s v="2022-07-16"/>
        <s v="2023-07-08"/>
        <s v="2023-03-17"/>
        <s v="2024-07-21"/>
        <s v="2024-01-06"/>
        <s v="2023-03-21"/>
        <s v="2022-10-10"/>
        <s v="2022-09-20"/>
        <s v="2022-04-02"/>
        <s v="2023-04-04"/>
        <s v="2022-01-22"/>
        <s v="2023-03-08"/>
        <s v="2022-05-04"/>
        <s v="2024-04-25"/>
        <s v="2022-09-09"/>
        <s v="2023-03-10"/>
        <s v="2023-10-16"/>
        <s v="2023-05-23"/>
        <s v="2023-09-06"/>
        <s v="2024-05-17"/>
        <s v="2023-06-16"/>
        <s v="2023-09-30"/>
        <s v="2024-04-08"/>
        <s v="2024-05-31"/>
        <s v="2024-07-18"/>
        <s v="2022-01-21"/>
        <s v="2024-05-16"/>
        <s v="2023-04-24"/>
        <s v="2024-02-18"/>
        <s v="2022-08-23"/>
        <s v="2022-07-05"/>
        <s v="2023-10-09"/>
        <s v="2022-04-05"/>
        <s v="2023-12-30"/>
        <s v="2024-03-08"/>
        <s v="2022-04-18"/>
        <s v="2024-02-05"/>
        <s v="2022-06-08"/>
        <s v="2023-09-02"/>
        <s v="2024-09-08"/>
        <s v="2023-06-11"/>
        <s v="2023-12-18"/>
        <s v="2023-03-11"/>
        <s v="2022-06-28"/>
        <s v="2023-05-07"/>
        <s v="2024-02-11"/>
        <s v="2022-06-21"/>
        <s v="2023-10-03"/>
        <s v="2022-03-23"/>
        <s v="2024-08-15"/>
        <s v="2024-06-27"/>
        <s v="2024-04-26"/>
        <s v="2023-08-15"/>
        <s v="2023-10-21"/>
        <s v="2022-10-18"/>
        <s v="2024-04-09"/>
        <s v="2023-03-25"/>
        <s v="2022-05-08"/>
        <s v="2023-07-30"/>
        <s v="2022-08-15"/>
        <s v="2022-12-21"/>
        <s v="2023-10-10"/>
        <s v="2022-02-06"/>
        <s v="2024-01-05"/>
        <s v="2022-06-03"/>
        <s v="2023-12-03"/>
        <s v="2023-04-07"/>
        <s v="2022-09-11"/>
        <s v="2023-09-27"/>
        <s v="2023-06-17"/>
        <s v="2023-10-06"/>
        <s v="2022-05-20"/>
        <s v="2023-06-28"/>
        <s v="2023-01-08"/>
        <s v="2024-06-07"/>
        <s v="2022-04-26"/>
        <s v="2023-10-25"/>
        <s v="2024-05-13"/>
        <s v="2024-09-12"/>
        <s v="2022-07-22"/>
        <s v="2022-03-30"/>
        <s v="2024-01-23"/>
        <s v="2024-04-20"/>
        <s v="2022-12-14"/>
        <s v="2022-01-09"/>
        <s v="2022-11-08"/>
        <s v="2024-01-14"/>
        <s v="2023-04-10"/>
        <s v="2024-03-07"/>
        <s v="2023-01-01"/>
        <s v="2023-09-20"/>
        <s v="2022-09-15"/>
        <s v="2022-05-27"/>
        <s v="2022-09-07"/>
        <s v="2024-09-16"/>
        <s v="2023-01-12"/>
        <s v="2024-04-21"/>
        <s v="2022-08-19"/>
        <s v="2022-12-29"/>
        <s v="2022-05-12"/>
        <s v="2023-02-11"/>
        <s v="2022-08-09"/>
        <s v="2023-05-30"/>
        <s v="2024-07-28"/>
        <s v="2023-05-27"/>
        <s v="2023-02-25"/>
        <s v="2024-02-16"/>
        <s v="2022-09-05"/>
        <s v="2023-05-15"/>
        <s v="2023-12-20"/>
        <s v="2023-05-22"/>
        <s v="2024-07-01"/>
        <s v="2024-06-05"/>
        <s v="2024-08-26"/>
        <s v="2024-02-17"/>
        <s v="2022-05-15"/>
        <s v="2022-03-05"/>
        <s v="2022-11-10"/>
        <s v="2024-06-16"/>
        <s v="2022-08-08"/>
        <s v="2024-09-28"/>
        <s v="2023-03-20"/>
        <s v="2022-08-24"/>
        <s v="2024-06-09"/>
        <s v="2022-08-01"/>
        <s v="2024-07-14"/>
        <s v="2023-08-30"/>
        <s v="2024-04-27"/>
        <s v="2023-06-06"/>
        <s v="2023-09-18"/>
        <s v="2024-05-14"/>
        <s v="2023-02-05"/>
        <s v="2023-09-13"/>
        <s v="2024-06-10"/>
        <s v="2022-09-13"/>
        <s v="2024-03-10"/>
        <s v="2022-05-30"/>
        <s v="2022-05-23"/>
        <s v="2022-01-10"/>
        <s v="2022-06-02"/>
        <s v="2023-02-24"/>
        <s v="2024-08-19"/>
        <s v="2023-07-12"/>
        <s v="2023-09-21"/>
        <s v="2022-09-06"/>
        <s v="2022-01-15"/>
        <s v="2022-09-12"/>
        <s v="2024-01-15"/>
        <s v="2023-03-15"/>
        <s v="2023-12-29"/>
        <s v="2024-03-25"/>
        <s v="2023-01-30"/>
        <s v="2022-10-03"/>
        <s v="2022-07-29"/>
        <s v="2023-04-22"/>
        <s v="2023-03-06"/>
        <s v="2022-06-01"/>
        <s v="2024-06-23"/>
        <s v="2022-08-29"/>
        <s v="2022-12-11"/>
        <s v="2024-05-28"/>
        <s v="2022-12-24"/>
        <s v="2023-03-24"/>
        <s v="2024-04-18"/>
        <s v="2023-12-17"/>
        <s v="2023-06-07"/>
        <s v="2022-12-25"/>
        <s v="2023-01-25"/>
        <s v="2022-03-09"/>
        <s v="2024-09-26"/>
        <s v="2023-06-14"/>
        <s v="2024-02-14"/>
        <s v="2023-11-24"/>
        <s v="2023-03-29"/>
        <s v="2023-04-03"/>
        <s v="2023-05-06"/>
        <s v="2023-08-08"/>
        <s v="2022-10-13"/>
        <s v="2023-03-12"/>
        <s v="2022-06-27"/>
        <s v="2024-08-27"/>
        <s v="2022-07-12"/>
        <s v="2023-05-03"/>
        <s v="2023-01-15"/>
        <s v="2022-11-20"/>
        <s v="2022-01-23"/>
        <s v="2023-11-17"/>
        <s v="2022-04-25"/>
        <s v="2022-09-23"/>
        <s v="2023-12-21"/>
        <s v="2024-02-03"/>
        <s v="2024-09-13"/>
        <s v="2022-04-22"/>
        <s v="2024-03-04"/>
        <s v="2024-01-24"/>
        <s v="2024-01-04"/>
        <s v="2023-07-11"/>
        <s v="2023-10-11"/>
        <s v="2024-06-30"/>
        <s v="2024-01-25"/>
        <s v="2023-12-24"/>
        <s v="2023-09-22"/>
        <s v="2022-11-25"/>
        <s v="2024-07-08"/>
        <s v="2023-06-03"/>
        <s v="2023-07-18"/>
        <s v="2023-07-05"/>
        <s v="2022-08-27"/>
        <s v="2022-05-11"/>
        <s v="2023-09-23"/>
        <s v="2023-09-10"/>
        <s v="2023-07-31"/>
        <s v="2023-03-27"/>
        <s v="2023-05-14"/>
        <s v="2024-08-04"/>
        <s v="2023-02-08"/>
        <s v="2023-06-09"/>
        <s v="2023-11-04"/>
        <s v="2023-07-26"/>
        <s v="2022-09-26"/>
        <s v="2022-09-19"/>
        <s v="2023-01-21"/>
        <s v="2022-02-14"/>
        <s v="2024-03-19"/>
        <s v="2024-08-22"/>
        <s v="2022-03-03"/>
        <s v="2023-05-11"/>
        <s v="2024-09-15"/>
        <s v="2024-07-10"/>
        <s v="2023-06-24"/>
        <s v="2022-07-10"/>
        <s v="2022-10-21"/>
        <s v="2024-08-07"/>
        <s v="2023-07-01"/>
        <s v="2023-09-29"/>
        <s v="2022-02-28"/>
        <s v="2023-04-20"/>
        <s v="2023-11-19"/>
        <s v="2023-10-27"/>
        <s v="2023-12-15"/>
        <s v="2023-04-08"/>
        <s v="2023-03-14"/>
        <s v="2023-02-22"/>
        <s v="2022-01-19"/>
        <s v="2023-09-24"/>
        <s v="2023-10-02"/>
        <s v="2023-10-30"/>
        <s v="2022-12-26"/>
        <s v="2024-08-13"/>
        <s v="2024-05-30"/>
        <s v="2022-11-14"/>
        <s v="2022-06-07"/>
        <s v="2024-04-22"/>
        <s v="2023-06-27"/>
        <s v="2022-03-25"/>
        <s v="2022-08-02"/>
        <s v="2024-01-19"/>
        <s v="2023-01-20"/>
        <s v="2024-07-12"/>
        <s v="2024-01-26"/>
        <s v="2023-07-20"/>
        <s v="2023-02-27"/>
        <s v="2023-12-31"/>
        <s v="2022-03-14"/>
        <s v="2023-08-03"/>
        <s v="2023-12-01"/>
        <s v="2024-09-03"/>
        <s v="2023-11-14"/>
        <s v="2023-12-26"/>
        <s v="2022-06-11"/>
        <s v="2023-08-19"/>
        <s v="2022-01-27"/>
        <s v="2023-10-29"/>
        <s v="2024-02-27"/>
        <s v="2024-09-10"/>
        <s v="2022-12-12"/>
        <s v="2024-05-02"/>
        <s v="2024-02-22"/>
        <s v="2022-03-07"/>
        <s v="2022-04-17"/>
        <s v="2024-04-11"/>
        <s v="2023-06-10"/>
        <s v="2022-12-19"/>
        <s v="2022-11-29"/>
        <s v="2022-05-18"/>
        <s v="2022-03-06"/>
        <s v="2022-02-01"/>
        <s v="2022-02-17"/>
        <s v="2022-09-27"/>
        <s v="2024-07-24"/>
        <s v="2023-08-26"/>
        <s v="2023-08-07"/>
        <s v="2023-04-26"/>
        <s v="2022-05-02"/>
        <s v="2023-07-29"/>
        <s v="2022-10-17"/>
        <s v="2022-10-01"/>
        <s v="2023-11-09"/>
        <s v="2023-09-19"/>
        <s v="2024-06-13"/>
        <s v="2024-07-06"/>
        <s v="2024-05-24"/>
        <s v="2023-01-14"/>
        <s v="2024-09-25"/>
        <s v="2024-06-12"/>
        <s v="2022-08-10"/>
        <s v="2023-11-13"/>
        <s v="2022-02-26"/>
        <s v="2023-08-17"/>
        <s v="2022-10-12"/>
        <s v="2022-03-27"/>
        <s v="2024-08-02"/>
        <s v="2023-09-28"/>
        <s v="2024-02-09"/>
        <s v="2024-07-29"/>
        <s v="2024-06-28"/>
        <s v="2024-03-12"/>
        <s v="2022-04-23"/>
        <s v="2023-10-19"/>
        <s v="2022-03-13"/>
        <s v="2024-09-24"/>
        <s v="2022-07-18"/>
        <s v="2024-05-20"/>
        <s v="2023-04-18"/>
        <s v="2023-12-05"/>
        <s v="2022-10-06"/>
        <s v="2024-06-06"/>
        <s v="2022-07-31"/>
        <s v="2022-04-13"/>
        <s v="2024-01-30"/>
        <s v="2024-07-15"/>
        <s v="2024-05-05"/>
        <s v="2022-09-16"/>
        <s v="2024-03-13"/>
        <s v="2024-06-19"/>
        <s v="2023-01-05"/>
        <s v="2023-05-24"/>
        <s v="2024-08-23"/>
        <s v="2024-07-30"/>
        <s v="2022-10-28"/>
        <s v="2022-08-31"/>
        <s v="2023-10-24"/>
        <s v="2023-07-13"/>
        <s v="2022-12-04"/>
        <s v="2023-02-15"/>
        <s v="2024-08-05"/>
        <s v="2023-01-22"/>
        <s v="2023-09-11"/>
        <s v="2022-12-23"/>
        <s v="2022-10-02"/>
        <s v="2023-02-12"/>
        <s v="2023-11-22"/>
        <s v="2022-02-09"/>
        <s v="2023-07-10"/>
        <s v="2022-09-28"/>
        <s v="2022-06-06"/>
        <s v="2022-02-18"/>
        <s v="2022-06-16"/>
        <s v="2024-03-17"/>
        <s v="2023-10-12"/>
        <s v="2022-12-02"/>
        <s v="2023-10-26"/>
        <s v="2022-10-11"/>
        <s v="2023-05-09"/>
        <s v="2023-07-03"/>
        <s v="2022-06-12"/>
        <s v="2023-03-04"/>
        <s v="2023-10-05"/>
        <s v="2022-03-26"/>
        <s v="2023-09-14"/>
        <s v="2023-03-30"/>
        <s v="2024-08-01"/>
        <s v="2022-11-17"/>
        <s v="2023-02-01"/>
        <s v="2022-04-11"/>
        <s v="2024-02-02"/>
        <s v="2022-07-27"/>
        <s v="2024-01-11"/>
        <s v="2022-01-30"/>
        <s v="2023-01-02"/>
        <s v="2024-05-23"/>
        <s v="2022-11-26"/>
        <s v="2023-07-02"/>
        <s v="2022-01-11"/>
        <s v="2024-04-28"/>
        <s v="2024-08-18"/>
        <s v="2023-11-20"/>
        <s v="2023-07-09"/>
        <s v="2023-11-28"/>
        <s v="2023-01-26"/>
        <s v="2022-05-13"/>
        <s v="2023-07-16"/>
        <s v="2024-03-21"/>
        <s v="2024-09-21"/>
        <s v="2022-05-06"/>
        <s v="2022-04-21"/>
        <s v="2024-01-10"/>
        <s v="2022-10-16"/>
        <s v="2024-09-22"/>
        <s v="2022-03-11"/>
        <s v="2023-07-23"/>
        <s v="2022-10-08"/>
        <s v="2023-09-03"/>
        <s v="2024-09-06"/>
        <s v="2022-10-09"/>
        <s v="2024-03-20"/>
        <s v="2022-01-17"/>
        <s v="2022-04-01"/>
        <s v="2023-02-20"/>
        <s v="2023-01-03"/>
        <s v="2024-09-02"/>
        <s v="2024-02-12"/>
        <s v="2023-07-14"/>
        <s v="2024-08-11"/>
        <s v="2022-10-15"/>
        <s v="2023-09-09"/>
        <s v="2023-05-31"/>
        <s v="2022-02-13"/>
        <s v="2022-09-25"/>
        <s v="2022-05-19"/>
        <s v="2022-03-31"/>
        <s v="2022-02-04"/>
        <s v="2024-03-14"/>
        <s v="2023-01-11"/>
        <s v="2022-10-27"/>
        <s v="2023-04-19"/>
        <s v="2024-03-30"/>
        <s v="2023-12-14"/>
        <s v="2024-07-16"/>
        <s v="2024-01-03"/>
        <s v="2022-03-10"/>
        <s v="2022-09-08"/>
        <s v="2023-06-04"/>
        <s v="2023-02-13"/>
        <s v="2023-07-17"/>
        <s v="2024-06-29"/>
        <s v="2023-01-09"/>
        <s v="2022-08-07"/>
        <s v="2022-05-16"/>
        <s v="2024-09-07"/>
        <s v="2022-03-17"/>
        <s v="2022-02-05"/>
        <s v="2022-01-03"/>
        <s v="2023-05-12"/>
        <s v="2024-01-01"/>
        <s v="2023-05-04"/>
        <s v="2023-05-18"/>
        <s v="2024-03-02"/>
        <s v="2024-07-03"/>
        <s v="2023-11-02"/>
        <s v="2022-01-24"/>
        <s v="2023-01-27"/>
        <s v="2022-11-05"/>
        <s v="2022-08-04"/>
        <s v="2023-06-19"/>
        <s v="2024-10-03"/>
        <s v="2023-05-01"/>
        <s v="2022-04-04"/>
        <s v="2022-01-08"/>
        <s v="2023-07-15"/>
        <s v="2022-05-31"/>
        <s v="2024-05-06"/>
        <s v="2023-03-19"/>
        <s v="2022-04-09"/>
        <s v="2022-11-02"/>
        <s v="2024-09-11"/>
        <s v="2022-07-14"/>
        <s v="2023-02-17"/>
        <s v="2024-02-01"/>
        <s v="2022-07-09"/>
        <s v="2023-09-08"/>
        <s v="2024-02-06"/>
        <s v="2022-01-12"/>
        <s v="2022-06-18"/>
        <s v="2024-06-20"/>
        <s v="2022-03-01"/>
        <s v="2024-05-18"/>
        <s v="2022-04-16"/>
        <s v="2023-12-28"/>
        <s v="2022-12-22"/>
        <s v="2022-01-07"/>
        <s v="2023-06-20"/>
        <s v="2024-05-08"/>
        <s v="2024-07-26"/>
        <s v="2024-03-06"/>
        <s v="2023-06-29"/>
        <s v="2023-10-22"/>
        <s v="2022-04-14"/>
        <s v="2024-04-10"/>
        <s v="2022-12-10"/>
        <s v="2024-05-25"/>
        <s v="2022-12-13"/>
        <s v="2022-06-15"/>
        <s v="2024-04-13"/>
        <s v="2024-03-31"/>
        <s v="2022-01-20"/>
        <s v="2024-01-31"/>
        <s v="2024-01-09"/>
        <s v="2022-04-10"/>
        <s v="2023-11-26"/>
        <s v="2023-11-03"/>
        <s v="2023-02-16"/>
        <s v="2022-10-30"/>
        <s v="2022-09-29"/>
        <s v="2023-02-04"/>
        <s v="2023-09-04"/>
        <s v="2022-06-10"/>
        <s v="2024-06-24"/>
        <s v="2022-10-14"/>
        <s v="2024-02-21"/>
        <s v="2022-12-31"/>
        <s v="2023-02-07"/>
        <s v="2023-11-16"/>
        <s v="2023-11-27"/>
        <s v="2024-02-07"/>
        <s v="2024-06-17"/>
        <s v="2024-04-15"/>
        <s v="2023-12-06"/>
        <s v="2022-02-02"/>
        <s v="2022-09-04"/>
        <s v="2023-03-09"/>
        <s v="2022-03-04"/>
        <s v="2022-08-28"/>
        <s v="2022-08-05"/>
        <s v="2024-05-15"/>
        <s v="2023-01-06"/>
        <s v="2024-09-09"/>
        <s v="2024-06-01"/>
        <s v="2022-07-01"/>
        <s v="2024-05-10"/>
        <s v="2024-06-25"/>
        <s v="2023-06-15"/>
        <s v="2023-11-11"/>
        <s v="2023-05-16"/>
        <s v="2024-08-25"/>
        <s v="2023-01-18"/>
        <s v="2022-07-26"/>
        <s v="2024-03-29"/>
        <s v="2023-11-18"/>
        <s v="2023-09-15"/>
        <s v="2022-09-17"/>
        <s v="2023-05-17"/>
        <s v="2023-05-29"/>
        <s v="2024-06-08"/>
        <s v="2022-05-03"/>
        <s v="2023-08-18"/>
        <s v="2024-04-19"/>
        <s v="2022-11-24"/>
        <s v="2022-06-20"/>
        <s v="2024-04-16"/>
        <s v="2022-10-31"/>
        <s v="2023-04-12"/>
        <s v="2022-11-21"/>
        <s v="2022-05-28"/>
        <s v="2022-01-28"/>
        <s v="2023-09-05"/>
        <s v="2023-07-22"/>
        <s v="2022-10-23"/>
        <s v="2024-06-11"/>
        <s v="2022-06-09"/>
        <s v="2022-07-15"/>
        <s v="2022-06-17"/>
        <s v="2022-09-30"/>
        <s v="2024-08-06"/>
        <s v="2022-06-19"/>
        <s v="2022-04-07"/>
        <s v="2022-08-22"/>
        <s v="2024-01-02"/>
        <s v="2023-05-28"/>
        <s v="2022-07-24"/>
        <s v="2022-03-22"/>
        <s v="2024-03-26"/>
        <s v="2022-05-05"/>
        <s v="2023-08-24"/>
        <s v="2023-09-17"/>
        <s v="2022-05-21"/>
        <s v="2023-03-07"/>
        <s v="2023-10-28"/>
        <s v="2024-03-18"/>
        <s v="2022-07-23"/>
        <s v="2022-12-16"/>
        <s v="2023-10-14"/>
        <s v="2024-02-13"/>
        <s v="2024-08-16"/>
        <s v="2023-11-10"/>
        <s v="2023-09-07"/>
        <s v="2023-10-15"/>
        <s v="2022-07-04"/>
        <s v="2022-05-24"/>
        <s v="2022-05-26"/>
        <s v="2023-10-07"/>
        <s v="2023-05-08"/>
        <s v="2023-06-30"/>
        <s v="2024-04-03"/>
        <s v="2022-06-13"/>
        <s v="2023-08-22"/>
        <s v="2022-12-06"/>
        <s v="2024-02-24"/>
        <s v="2023-09-16"/>
        <s v="2024-01-17"/>
        <s v="2024-04-07"/>
        <s v="2023-07-27"/>
        <s v="2023-11-05"/>
        <s v="2023-02-06"/>
        <s v="2023-04-01"/>
        <s v="2022-11-03"/>
        <s v="2022-02-03"/>
        <s v="2022-12-05"/>
        <s v="2023-04-27"/>
        <s v="2022-03-08"/>
        <s v="2023-04-15"/>
        <s v="2023-06-01"/>
        <s v="2022-11-07"/>
        <s v="2023-01-17"/>
        <s v="2022-08-06"/>
        <s v="2023-08-12"/>
        <s v="2022-01-29"/>
        <s v="2023-12-16"/>
        <s v="2023-12-19"/>
        <s v="2023-08-28"/>
        <s v="2023-03-28"/>
        <s v="2024-08-29"/>
        <s v="2022-07-21"/>
        <s v="2023-09-12"/>
        <s v="2022-11-28"/>
        <s v="2023-06-23"/>
        <s v="2022-12-07"/>
        <s v="2023-11-12"/>
        <s v="2022-02-23"/>
        <s v="2022-12-01"/>
        <s v="2022-11-19"/>
        <s v="2022-08-25"/>
        <s v="2023-07-24"/>
        <s v="2022-01-26"/>
        <s v="2023-03-01"/>
        <s v="2024-10-02"/>
        <s v="2024-05-11"/>
        <s v="2023-08-05"/>
        <s v="2023-06-26"/>
        <s v="2023-05-05"/>
        <s v="2024-08-24"/>
        <s v="2024-06-22"/>
        <s v="2023-04-23"/>
        <s v="2024-01-28"/>
        <s v="2024-03-24"/>
        <s v="2022-03-16"/>
        <s v="2022-07-25"/>
        <s v="2023-12-04"/>
        <s v="2024-06-02"/>
        <s v="2024-02-04"/>
        <s v="2023-03-13"/>
        <s v="2024-07-27"/>
        <s v="2024-05-19"/>
        <s v="2023-08-06"/>
        <s v="2022-12-20"/>
        <s v="2024-05-07"/>
        <s v="2022-04-03"/>
        <s v="2023-12-22"/>
        <s v="2023-04-14"/>
        <s v="2023-08-11"/>
        <s v="2022-11-30"/>
        <s v="2024-09-19"/>
        <s v="2022-08-17"/>
        <s v="2022-02-25"/>
        <s v="2023-12-12"/>
        <s v="2023-11-15"/>
        <s v="2023-01-28"/>
        <s v="2023-08-10"/>
        <s v="2022-02-10"/>
        <s v="2022-11-27"/>
        <s v="2023-03-31"/>
        <s v="2022-11-15"/>
        <s v="2023-02-09"/>
        <s v="2022-09-18"/>
        <s v="2023-08-21"/>
        <s v="2023-07-21"/>
        <s v="2022-11-22"/>
        <s v="2023-10-13"/>
        <s v="2022-03-02"/>
        <s v="2024-05-01"/>
        <s v="2022-06-25"/>
        <s v="2022-02-27"/>
        <s v="2024-07-04"/>
        <s v="2022-11-23"/>
        <s v="2024-08-28"/>
        <s v="2022-01-13"/>
        <s v="2024-06-18"/>
        <s v="2022-06-23"/>
        <s v="2023-09-01"/>
        <s v="2024-03-01"/>
        <s v="2024-04-12"/>
        <s v="2022-10-22"/>
        <s v="2023-04-05"/>
        <s v="2023-01-04"/>
        <s v="2023-02-14"/>
        <s v="2024-08-30"/>
      </sharedItems>
    </cacheField>
    <cacheField name="Region" numFmtId="0">
      <sharedItems count="4">
        <s v="North"/>
        <s v="East"/>
        <s v="South"/>
        <s v="West"/>
      </sharedItems>
    </cacheField>
    <cacheField name="Country" numFmtId="0">
      <sharedItems/>
    </cacheField>
    <cacheField name="State" numFmtId="0">
      <sharedItems/>
    </cacheField>
    <cacheField name="City" numFmtId="0">
      <sharedItems/>
    </cacheField>
    <cacheField name="Customer_ID" numFmtId="0">
      <sharedItems/>
    </cacheField>
    <cacheField name="Customer_Segment" numFmtId="0">
      <sharedItems count="3">
        <s v="Consumer"/>
        <s v="Corporate"/>
        <s v="Home Office"/>
      </sharedItems>
    </cacheField>
    <cacheField name="Product_Category" numFmtId="0">
      <sharedItems count="3">
        <s v="Office Supplies"/>
        <s v="Furniture"/>
        <s v="Electronics"/>
      </sharedItems>
    </cacheField>
    <cacheField name="Sub_Category" numFmtId="0">
      <sharedItems/>
    </cacheField>
    <cacheField name="Product_Name" numFmtId="0">
      <sharedItems/>
    </cacheField>
    <cacheField name="Sales_Rep" numFmtId="0">
      <sharedItems/>
    </cacheField>
    <cacheField name="Sales_Channel" numFmtId="0">
      <sharedItems count="2">
        <s v="Online"/>
        <s v="Offline"/>
      </sharedItems>
    </cacheField>
    <cacheField name="Payment_Mode" numFmtId="0">
      <sharedItems/>
    </cacheField>
    <cacheField name="Order_Priority" numFmtId="0">
      <sharedItems count="4">
        <s v="Critical"/>
        <s v="Low"/>
        <s v="Medium"/>
        <s v="High"/>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43" maxValue="49992"/>
    </cacheField>
    <cacheField name="Discount_Percent" numFmtId="2">
      <sharedItems containsSemiMixedTypes="0" containsString="0" containsNumber="1" containsInteger="1" minValue="0" maxValue="20"/>
    </cacheField>
    <cacheField name="Revenue" numFmtId="2">
      <sharedItems containsSemiMixedTypes="0" containsString="0" containsNumber="1" minValue="591.85" maxValue="496130"/>
    </cacheField>
    <cacheField name="Profit" numFmtId="0">
      <sharedItems containsSemiMixedTypes="0" containsString="0" containsNumber="1" minValue="-58897.56" maxValue="125013.25"/>
    </cacheField>
  </cacheFields>
  <extLst>
    <ext xmlns:x14="http://schemas.microsoft.com/office/spreadsheetml/2009/9/main" uri="{725AE2AE-9491-48be-B2B4-4EB974FC3084}">
      <x14:pivotCacheDefinition pivotCacheId="21421710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2.929181018517" createdVersion="8" refreshedVersion="8" minRefreshableVersion="3" recordCount="1501" xr:uid="{73701E81-1235-48FC-921B-BB5E43637F26}">
  <cacheSource type="worksheet">
    <worksheetSource ref="A1:V1048576" sheet="Sales_Data"/>
  </cacheSource>
  <cacheFields count="22">
    <cacheField name="Order_ID" numFmtId="0">
      <sharedItems containsBlank="1"/>
    </cacheField>
    <cacheField name="Order_Date" numFmtId="0">
      <sharedItems containsBlank="1" count="786">
        <s v="2023-03-10"/>
        <s v="2024-03-05"/>
        <s v="2022-01-17"/>
        <s v="2023-01-26"/>
        <s v="2022-03-22"/>
        <s v="2023-06-30"/>
        <s v="2024-06-11"/>
        <s v="2023-01-23"/>
        <s v="2023-11-04"/>
        <s v="2024-05-20"/>
        <s v="2022-05-28"/>
        <s v="2023-02-19"/>
        <s v="2022-05-15"/>
        <s v="2022-02-12"/>
        <s v="2022-03-12"/>
        <s v="2022-01-05"/>
        <s v="2022-03-08"/>
        <s v="2022-04-11"/>
        <s v="2022-05-01"/>
        <s v="2023-09-17"/>
        <s v="2023-08-17"/>
        <s v="2022-04-04"/>
        <s v="2024-04-07"/>
        <s v="2022-08-25"/>
        <s v="2022-09-05"/>
        <s v="2022-04-09"/>
        <s v="2023-12-04"/>
        <s v="2024-03-22"/>
        <s v="2022-10-19"/>
        <s v="2024-06-10"/>
        <s v="2023-01-11"/>
        <s v="2024-05-26"/>
        <s v="2024-03-04"/>
        <s v="2023-08-10"/>
        <s v="2023-04-15"/>
        <s v="2022-09-30"/>
        <s v="2023-05-03"/>
        <s v="2024-02-21"/>
        <s v="2023-04-09"/>
        <s v="2024-04-30"/>
        <s v="2023-12-03"/>
        <s v="2023-06-20"/>
        <s v="2022-08-13"/>
        <s v="2022-07-18"/>
        <s v="2022-08-12"/>
        <s v="2022-05-26"/>
        <s v="2024-07-27"/>
        <s v="2023-04-22"/>
        <s v="2023-07-10"/>
        <s v="2022-07-09"/>
        <s v="2024-07-07"/>
        <s v="2023-12-05"/>
        <s v="2022-01-30"/>
        <s v="2024-09-12"/>
        <s v="2023-01-08"/>
        <s v="2024-05-02"/>
        <s v="2022-12-01"/>
        <s v="2024-08-12"/>
        <s v="2024-04-21"/>
        <s v="2024-08-06"/>
        <s v="2023-02-15"/>
        <s v="2022-08-11"/>
        <s v="2022-11-01"/>
        <s v="2022-04-19"/>
        <s v="2024-03-19"/>
        <s v="2024-01-14"/>
        <s v="2023-03-29"/>
        <s v="2024-01-15"/>
        <s v="2022-10-16"/>
        <s v="2022-04-20"/>
        <s v="2022-07-01"/>
        <s v="2023-08-24"/>
        <s v="2023-03-13"/>
        <s v="2022-06-28"/>
        <s v="2022-11-06"/>
        <s v="2022-03-26"/>
        <s v="2022-06-04"/>
        <s v="2023-04-17"/>
        <s v="2023-07-04"/>
        <s v="2024-07-01"/>
        <s v="2023-03-01"/>
        <s v="2023-01-14"/>
        <s v="2024-08-09"/>
        <s v="2022-06-26"/>
        <s v="2022-07-07"/>
        <s v="2023-07-07"/>
        <s v="2024-07-14"/>
        <s v="2024-01-04"/>
        <s v="2023-03-18"/>
        <s v="2022-10-08"/>
        <s v="2022-09-15"/>
        <s v="2022-03-28"/>
        <s v="2023-03-28"/>
        <s v="2022-01-21"/>
        <s v="2023-02-28"/>
        <s v="2022-01-10"/>
        <s v="2022-04-29"/>
        <s v="2024-04-24"/>
        <s v="2023-05-08"/>
        <s v="2022-05-03"/>
        <s v="2022-09-07"/>
        <s v="2023-03-09"/>
        <s v="2023-10-14"/>
        <s v="2023-05-21"/>
        <s v="2023-09-04"/>
        <s v="2024-05-14"/>
        <s v="2023-06-14"/>
        <s v="2023-09-27"/>
        <s v="2024-04-06"/>
        <s v="2024-05-22"/>
        <s v="2024-07-09"/>
        <s v="2022-01-13"/>
        <s v="2024-05-13"/>
        <s v="2023-04-18"/>
        <s v="2024-02-10"/>
        <s v="2022-06-29"/>
        <s v="2023-09-29"/>
        <s v="2023-12-22"/>
        <s v="2023-04-19"/>
        <s v="2023-02-10"/>
        <s v="2024-03-06"/>
        <s v="2022-04-13"/>
        <s v="2024-02-04"/>
        <s v="2022-05-29"/>
        <s v="2023-08-26"/>
        <s v="2024-09-06"/>
        <s v="2023-06-07"/>
        <s v="2023-12-17"/>
        <s v="2023-03-06"/>
        <s v="2022-06-24"/>
        <s v="2023-04-29"/>
        <s v="2023-03-30"/>
        <s v="2022-06-18"/>
        <s v="2023-09-23"/>
        <s v="2022-03-16"/>
        <s v="2024-06-22"/>
        <s v="2024-04-23"/>
        <s v="2023-08-05"/>
        <s v="2023-10-18"/>
        <s v="2022-10-10"/>
        <s v="2024-03-25"/>
        <s v="2024-04-03"/>
        <s v="2023-03-20"/>
        <s v="2022-04-28"/>
        <s v="2023-07-27"/>
        <s v="2023-04-27"/>
        <s v="2022-08-05"/>
        <s v="2022-06-22"/>
        <s v="2022-12-14"/>
        <s v="2023-10-06"/>
        <s v="2022-01-29"/>
        <s v="2023-12-31"/>
        <s v="2023-11-29"/>
        <s v="2023-04-01"/>
        <s v="2022-05-20"/>
        <s v="2023-09-26"/>
        <s v="2023-06-09"/>
        <s v="2024-08-17"/>
        <s v="2022-05-13"/>
        <s v="2023-06-25"/>
        <s v="2024-05-25"/>
        <s v="2022-12-31"/>
        <s v="2023-09-24"/>
        <s v="2024-06-05"/>
        <s v="2022-04-17"/>
        <s v="2023-10-15"/>
        <s v="2024-05-10"/>
        <s v="2024-09-07"/>
        <s v="2024-05-12"/>
        <s v="2022-07-17"/>
        <s v="2023-03-16"/>
        <s v="2022-05-16"/>
        <s v="2024-01-20"/>
        <s v="2024-04-11"/>
        <s v="2022-12-08"/>
        <s v="2024-01-01"/>
        <s v="2023-04-03"/>
        <s v="2024-01-18"/>
        <s v="2022-01-06"/>
        <s v="2024-01-09"/>
        <s v="2023-04-08"/>
        <s v="2022-12-29"/>
        <s v="2024-01-03"/>
        <s v="2022-04-06"/>
        <s v="2022-09-13"/>
        <s v="2022-05-24"/>
        <s v="2022-09-04"/>
        <s v="2022-01-09"/>
        <s v="2024-09-10"/>
        <s v="2023-01-09"/>
        <s v="2024-03-24"/>
        <s v="2024-04-15"/>
        <s v="2022-12-27"/>
        <s v="2022-05-02"/>
        <s v="2023-02-04"/>
        <s v="2022-08-08"/>
        <s v="2023-05-24"/>
        <s v="2023-05-20"/>
        <s v="2023-02-23"/>
        <s v="2022-10-02"/>
        <s v="2024-02-12"/>
        <s v="2022-08-27"/>
        <s v="2023-05-12"/>
        <s v="2023-12-18"/>
        <s v="2024-06-29"/>
        <s v="2024-06-03"/>
        <s v="2023-12-12"/>
        <s v="2024-08-18"/>
        <s v="2024-02-08"/>
        <s v="2022-05-08"/>
        <s v="2022-02-23"/>
        <s v="2022-11-04"/>
        <s v="2024-06-08"/>
        <s v="2022-08-07"/>
        <s v="2024-09-20"/>
        <s v="2023-03-15"/>
        <s v="2022-08-15"/>
        <s v="2022-07-05"/>
        <s v="2022-08-18"/>
        <s v="2024-06-01"/>
        <s v="2022-09-14"/>
        <s v="2022-07-27"/>
        <s v="2024-07-06"/>
        <s v="2023-08-20"/>
        <s v="2024-04-18"/>
        <s v="2023-05-29"/>
        <s v="2023-09-08"/>
        <s v="2023-01-31"/>
        <s v="2024-06-02"/>
        <s v="2022-09-09"/>
        <s v="2022-05-23"/>
        <s v="2022-05-19"/>
        <s v="2023-02-18"/>
        <s v="2024-08-16"/>
        <s v="2023-07-03"/>
        <s v="2023-09-15"/>
        <s v="2022-08-31"/>
        <s v="2022-01-11"/>
        <s v="2022-09-06"/>
        <s v="2023-03-07"/>
        <s v="2023-12-28"/>
        <s v="2022-09-28"/>
        <s v="2022-07-24"/>
        <s v="2022-12-16"/>
        <s v="2023-02-24"/>
        <s v="2022-12-07"/>
        <s v="2022-02-26"/>
        <s v="2024-05-24"/>
        <s v="2022-12-21"/>
        <s v="2023-03-23"/>
        <s v="2024-04-17"/>
        <s v="2023-12-10"/>
        <s v="2023-06-01"/>
        <s v="2022-12-15"/>
        <s v="2023-01-18"/>
        <s v="2024-02-09"/>
        <s v="2022-02-27"/>
        <s v="2024-09-22"/>
        <s v="2023-06-05"/>
        <s v="2023-11-16"/>
        <s v="2023-03-24"/>
        <s v="2023-04-02"/>
        <s v="2023-05-02"/>
        <s v="2023-07-09"/>
        <s v="2023-10-09"/>
        <s v="2022-10-09"/>
        <s v="2022-08-09"/>
        <s v="2022-06-19"/>
        <s v="2024-08-21"/>
        <s v="2022-07-10"/>
        <s v="2022-11-13"/>
        <s v="2022-01-19"/>
        <s v="2022-09-26"/>
        <s v="2024-05-28"/>
        <s v="2022-04-24"/>
        <s v="2023-02-07"/>
        <s v="2022-09-18"/>
        <s v="2023-12-20"/>
        <s v="2024-01-28"/>
        <s v="2024-05-06"/>
        <s v="2024-09-04"/>
        <s v="2024-02-26"/>
        <s v="2022-07-12"/>
        <s v="2023-07-01"/>
        <s v="2023-10-04"/>
        <s v="2024-06-25"/>
        <s v="2024-01-23"/>
        <s v="2023-09-12"/>
        <s v="2022-11-21"/>
        <s v="2024-07-04"/>
        <s v="2023-05-30"/>
        <s v="2023-09-22"/>
        <s v="2023-09-02"/>
        <s v="2023-03-17"/>
        <s v="2023-05-13"/>
        <s v="2024-07-25"/>
        <s v="2022-11-15"/>
        <s v="2023-03-03"/>
        <s v="2022-09-11"/>
        <s v="2023-05-14"/>
        <s v="2023-11-01"/>
        <s v="2023-02-17"/>
        <s v="2023-07-25"/>
        <s v="2022-09-24"/>
        <s v="2023-01-19"/>
        <s v="2022-02-07"/>
        <s v="2024-03-10"/>
        <s v="2023-05-06"/>
        <s v="2024-09-05"/>
        <s v="2024-07-02"/>
        <s v="2024-09-11"/>
        <s v="2023-06-21"/>
        <s v="2022-07-02"/>
        <s v="2022-10-18"/>
        <s v="2024-07-29"/>
        <s v="2023-11-27"/>
        <s v="2023-06-26"/>
        <s v="2022-01-15"/>
        <s v="2023-09-28"/>
        <s v="2023-11-14"/>
        <s v="2023-10-19"/>
        <s v="2023-07-22"/>
        <s v="2023-03-11"/>
        <s v="2023-02-16"/>
        <s v="2023-09-30"/>
        <s v="2023-10-23"/>
        <s v="2023-01-21"/>
        <s v="2022-12-06"/>
        <s v="2024-08-05"/>
        <s v="2024-05-23"/>
        <s v="2022-11-10"/>
        <s v="2022-06-06"/>
        <s v="2023-12-08"/>
        <s v="2023-06-27"/>
        <s v="2023-12-21"/>
        <s v="2023-06-19"/>
        <s v="2022-03-17"/>
        <s v="2022-07-26"/>
        <s v="2024-03-15"/>
        <s v="2024-01-16"/>
        <s v="2023-06-03"/>
        <s v="2023-07-16"/>
        <s v="2023-02-20"/>
        <s v="2022-03-01"/>
        <s v="2023-07-24"/>
        <s v="2023-11-28"/>
        <s v="2024-08-28"/>
        <s v="2023-11-05"/>
        <s v="2022-06-10"/>
        <s v="2024-01-31"/>
        <s v="2023-08-14"/>
        <s v="2022-01-24"/>
        <s v="2023-05-01"/>
        <s v="2022-12-03"/>
        <s v="2024-05-01"/>
        <s v="2024-02-20"/>
        <s v="2022-02-25"/>
        <s v="2023-02-09"/>
        <s v="2022-04-10"/>
        <s v="2023-08-23"/>
        <s v="2023-01-27"/>
        <s v="2023-06-02"/>
        <s v="2022-08-06"/>
        <s v="2024-07-20"/>
        <s v="2022-12-11"/>
        <s v="2022-11-22"/>
        <s v="2022-02-28"/>
        <s v="2022-01-25"/>
        <s v="2022-02-09"/>
        <s v="2022-09-17"/>
        <s v="2022-09-10"/>
        <s v="2022-05-10"/>
        <s v="2024-07-16"/>
        <s v="2023-08-22"/>
        <s v="2023-08-18"/>
        <s v="2023-08-03"/>
        <s v="2022-04-27"/>
        <s v="2023-07-21"/>
        <s v="2022-10-14"/>
        <s v="2022-09-27"/>
        <s v="2023-11-07"/>
        <s v="2023-09-11"/>
        <s v="2024-06-09"/>
        <s v="2023-01-06"/>
        <s v="2022-09-02"/>
        <s v="2024-08-19"/>
        <s v="2023-11-09"/>
        <s v="2024-07-19"/>
        <s v="2022-01-12"/>
        <s v="2023-01-28"/>
        <s v="2022-03-21"/>
        <s v="2024-07-28"/>
        <s v="2024-02-02"/>
        <s v="2024-03-08"/>
        <s v="2024-08-23"/>
        <s v="2023-10-11"/>
        <s v="2022-03-11"/>
        <s v="2024-09-15"/>
        <s v="2022-07-13"/>
        <s v="2024-05-17"/>
        <s v="2022-03-02"/>
        <s v="2023-04-13"/>
        <s v="2023-11-25"/>
        <s v="2023-03-19"/>
        <s v="2022-06-09"/>
        <s v="2022-07-30"/>
        <s v="2022-01-27"/>
        <s v="2022-11-03"/>
        <s v="2022-04-03"/>
        <s v="2024-07-05"/>
        <s v="2024-01-07"/>
        <s v="2024-06-18"/>
        <s v="2023-10-05"/>
        <s v="2022-12-30"/>
        <s v="2023-05-18"/>
        <s v="2022-06-14"/>
        <s v="2022-01-07"/>
        <s v="2022-10-21"/>
        <s v="2023-07-05"/>
        <s v="2022-02-05"/>
        <s v="2023-02-13"/>
        <s v="2023-01-16"/>
        <s v="2023-09-06"/>
        <s v="2023-06-12"/>
        <s v="2024-04-08"/>
        <s v="2022-04-22"/>
        <s v="2022-12-17"/>
        <s v="2023-02-02"/>
        <s v="2023-11-21"/>
        <s v="2022-05-18"/>
        <s v="2022-02-04"/>
        <s v="2022-12-25"/>
        <s v="2022-06-02"/>
        <s v="2022-02-13"/>
        <s v="2022-06-11"/>
        <s v="2024-03-07"/>
        <s v="2024-03-09"/>
        <s v="2024-09-18"/>
        <s v="2022-03-23"/>
        <s v="2024-01-21"/>
        <s v="2022-11-23"/>
        <s v="2024-08-29"/>
        <s v="2023-06-13"/>
        <s v="2022-03-13"/>
        <s v="2023-10-21"/>
        <s v="2022-06-23"/>
        <s v="2022-05-25"/>
        <s v="2023-05-04"/>
        <s v="2023-06-29"/>
        <s v="2023-02-27"/>
        <s v="2022-03-09"/>
        <s v="2023-12-09"/>
        <s v="2022-06-27"/>
        <s v="2023-10-01"/>
        <s v="2023-04-16"/>
        <s v="2024-07-22"/>
        <s v="2022-11-14"/>
        <s v="2024-01-30"/>
        <s v="2024-04-26"/>
        <s v="2024-01-02"/>
        <s v="2023-04-30"/>
        <s v="2022-02-08"/>
        <s v="2022-01-31"/>
        <s v="2023-09-07"/>
        <s v="2024-05-19"/>
        <s v="2022-01-08"/>
        <s v="2024-02-18"/>
        <s v="2024-04-27"/>
        <s v="2024-08-13"/>
        <s v="2022-06-25"/>
        <s v="2023-11-24"/>
        <s v="2023-01-17"/>
        <s v="2022-05-05"/>
        <s v="2023-03-04"/>
        <s v="2023-07-12"/>
        <s v="2022-12-24"/>
        <s v="2024-03-14"/>
        <s v="2022-12-04"/>
        <s v="2024-07-11"/>
        <s v="2023-04-23"/>
        <s v="2023-02-22"/>
        <s v="2024-01-06"/>
        <s v="2023-03-31"/>
        <s v="2023-03-02"/>
        <s v="2024-09-19"/>
        <s v="2023-07-17"/>
        <s v="2022-10-06"/>
        <s v="2023-08-27"/>
        <s v="2024-09-01"/>
        <s v="2022-05-30"/>
        <s v="2022-11-24"/>
        <s v="2022-10-01"/>
        <s v="2023-10-20"/>
        <s v="2023-06-28"/>
        <s v="2022-03-07"/>
        <s v="2022-10-05"/>
        <s v="2022-03-24"/>
        <s v="2023-01-01"/>
        <s v="2022-10-22"/>
        <s v="2024-02-07"/>
        <s v="2023-07-06"/>
        <s v="2024-08-02"/>
        <s v="2022-10-11"/>
        <s v="2024-06-04"/>
        <s v="2024-06-20"/>
        <s v="2024-03-01"/>
        <s v="2022-10-03"/>
        <s v="2024-03-11"/>
        <s v="2023-07-08"/>
        <s v="2023-01-22"/>
        <s v="2022-03-04"/>
        <s v="2022-12-13"/>
        <s v="2023-12-07"/>
        <s v="2024-07-10"/>
        <s v="2023-07-11"/>
        <s v="2023-01-15"/>
        <s v="2022-08-29"/>
        <s v="2023-12-25"/>
        <s v="2023-02-03"/>
        <s v="2024-06-19"/>
        <s v="2023-01-04"/>
        <s v="2024-02-01"/>
        <s v="2022-08-02"/>
        <s v="2023-11-19"/>
        <s v="2022-05-14"/>
        <s v="2022-01-26"/>
        <s v="2022-01-01"/>
        <s v="2023-06-11"/>
        <s v="2023-12-29"/>
        <s v="2023-04-26"/>
        <s v="2023-05-16"/>
        <s v="2024-02-23"/>
        <s v="2023-10-30"/>
        <s v="2022-05-09"/>
        <s v="2023-01-24"/>
        <s v="2022-12-19"/>
        <s v="2022-10-17"/>
        <s v="2024-05-04"/>
        <s v="2022-12-02"/>
        <s v="2024-09-26"/>
        <s v="2024-08-10"/>
        <s v="2022-03-25"/>
        <s v="2023-11-02"/>
        <s v="2023-03-21"/>
        <s v="2022-09-23"/>
        <s v="2022-05-27"/>
        <s v="2023-09-21"/>
        <s v="2024-04-28"/>
        <s v="2023-06-18"/>
        <s v="2022-04-05"/>
        <s v="2022-10-26"/>
        <s v="2024-09-09"/>
        <s v="2023-01-12"/>
        <s v="2022-06-03"/>
        <s v="2022-07-08"/>
        <s v="2024-01-27"/>
        <s v="2023-04-24"/>
        <s v="2022-02-22"/>
        <s v="2024-05-08"/>
        <s v="2022-04-12"/>
        <s v="2022-01-02"/>
        <s v="2024-02-03"/>
        <s v="2024-05-16"/>
        <s v="2023-06-10"/>
        <s v="2023-01-20"/>
        <s v="2024-07-17"/>
        <s v="2024-07-21"/>
        <s v="2023-06-15"/>
        <s v="2023-05-31"/>
        <s v="2022-08-17"/>
        <s v="2023-06-23"/>
        <s v="2023-10-26"/>
        <s v="2022-04-07"/>
        <s v="2022-05-11"/>
        <s v="2022-05-31"/>
        <s v="2022-04-15"/>
        <s v="2022-12-12"/>
        <s v="2023-02-11"/>
        <s v="2023-07-02"/>
        <s v="2024-03-21"/>
        <s v="2024-01-29"/>
        <s v="2023-10-24"/>
        <s v="2022-11-09"/>
        <s v="2024-06-13"/>
        <s v="2023-11-23"/>
        <s v="2022-09-21"/>
        <s v="2022-03-29"/>
        <s v="2023-01-25"/>
        <s v="2023-08-30"/>
        <s v="2023-03-05"/>
        <s v="2023-03-08"/>
        <s v="2024-09-13"/>
        <s v="2022-11-25"/>
        <s v="2024-06-23"/>
        <s v="2023-05-09"/>
        <s v="2022-10-07"/>
        <s v="2023-04-12"/>
        <s v="2022-03-31"/>
        <s v="2023-05-15"/>
        <s v="2023-11-10"/>
        <s v="2023-11-22"/>
        <s v="2022-04-18"/>
        <s v="2024-06-15"/>
        <s v="2024-04-09"/>
        <s v="2023-07-23"/>
        <s v="2023-11-26"/>
        <s v="2022-02-01"/>
        <s v="2022-08-16"/>
        <s v="2022-09-01"/>
        <s v="2022-08-21"/>
        <s v="2022-08-01"/>
        <s v="2024-05-07"/>
        <s v="2022-08-28"/>
        <s v="2024-06-30"/>
        <s v="2022-12-28"/>
        <s v="2024-05-29"/>
        <s v="2024-08-22"/>
        <s v="2024-05-09"/>
        <s v="2022-08-22"/>
        <s v="2023-05-07"/>
        <s v="2022-07-21"/>
        <s v="2022-09-12"/>
        <s v="2022-08-10"/>
        <s v="2024-08-20"/>
        <s v="2023-06-22"/>
        <s v="2023-01-13"/>
        <s v="2022-04-21"/>
        <s v="2022-04-02"/>
        <s v="2023-09-10"/>
        <s v="2022-07-20"/>
        <s v="2024-03-28"/>
        <s v="2023-08-02"/>
        <s v="2022-07-23"/>
        <s v="2023-11-11"/>
        <s v="2022-11-18"/>
        <s v="2024-06-07"/>
        <s v="2022-03-19"/>
        <s v="2022-04-30"/>
        <s v="2023-08-13"/>
        <s v="2024-04-13"/>
        <s v="2023-03-27"/>
        <s v="2023-01-02"/>
        <s v="2024-08-01"/>
        <s v="2024-01-10"/>
        <s v="2023-01-07"/>
        <s v="2024-04-12"/>
        <s v="2022-10-29"/>
        <s v="2023-04-04"/>
        <s v="2023-07-19"/>
        <s v="2022-11-16"/>
        <s v="2024-01-26"/>
        <s v="2023-11-03"/>
        <s v="2023-11-08"/>
        <s v="2022-03-18"/>
        <s v="2022-05-22"/>
        <s v="2023-08-28"/>
        <s v="2022-08-19"/>
        <s v="2023-06-24"/>
        <s v="2023-09-14"/>
        <s v="2022-06-12"/>
        <s v="2022-04-16"/>
        <s v="2022-07-04"/>
        <s v="2022-06-16"/>
        <s v="2023-02-12"/>
        <s v="2022-04-25"/>
        <s v="2023-12-26"/>
        <s v="2024-08-14"/>
        <s v="2022-07-22"/>
        <s v="2022-12-26"/>
        <s v="2022-05-07"/>
        <s v="2023-08-15"/>
        <s v="2023-09-09"/>
        <s v="2023-01-30"/>
        <s v="2024-06-06"/>
        <s v="2024-03-16"/>
        <s v="2022-12-09"/>
        <s v="2023-10-13"/>
        <s v="2024-04-10"/>
        <s v="2023-10-07"/>
        <s v="2024-03-26"/>
        <s v="2022-12-22"/>
        <s v="2022-07-15"/>
        <s v="2023-09-20"/>
        <s v="2023-02-21"/>
        <s v="2022-04-01"/>
        <s v="2023-08-21"/>
        <s v="2024-07-12"/>
        <s v="2022-09-22"/>
        <s v="2023-06-16"/>
        <s v="2024-04-02"/>
        <s v="2023-07-20"/>
        <s v="2023-02-08"/>
        <s v="2022-01-04"/>
        <s v="2023-05-11"/>
        <s v="2023-01-29"/>
        <s v="2022-10-25"/>
        <s v="2022-02-02"/>
        <s v="2022-11-28"/>
        <s v="2024-03-02"/>
        <s v="2023-12-30"/>
        <s v="2023-01-05"/>
        <s v="2023-11-15"/>
        <s v="2022-03-06"/>
        <s v="2023-05-25"/>
        <s v="2022-09-29"/>
        <s v="2024-01-25"/>
        <s v="2024-08-11"/>
        <s v="2022-10-31"/>
        <s v="2022-04-23"/>
        <s v="2023-08-29"/>
        <s v="2022-07-31"/>
        <s v="2023-08-04"/>
        <s v="2023-09-05"/>
        <s v="2023-05-05"/>
        <s v="2023-02-14"/>
        <s v="2022-01-22"/>
        <s v="2023-05-22"/>
        <s v="2024-05-05"/>
        <s v="2022-09-19"/>
        <s v="2022-09-03"/>
        <s v="2022-02-20"/>
        <s v="2022-06-17"/>
        <s v="2022-11-26"/>
        <s v="2022-01-28"/>
        <s v="2024-08-04"/>
        <s v="2023-11-12"/>
        <s v="2022-01-18"/>
        <s v="2024-04-05"/>
        <s v="2023-04-21"/>
        <s v="2022-01-23"/>
        <s v="2023-05-17"/>
        <s v="2022-06-05"/>
        <s v="2024-03-29"/>
        <s v="2024-05-03"/>
        <s v="2022-07-16"/>
        <s v="2022-12-18"/>
        <s v="2022-10-23"/>
        <s v="2024-07-30"/>
        <s v="2022-08-20"/>
        <s v="2023-04-28"/>
        <s v="2024-01-19"/>
        <s v="2023-10-03"/>
        <s v="2024-03-17"/>
        <s v="2024-01-17"/>
        <s v="2024-05-30"/>
        <s v="2023-09-01"/>
        <s v="2023-03-12"/>
        <s v="2024-05-18"/>
        <s v="2024-03-12"/>
        <s v="2023-08-08"/>
        <s v="2023-04-10"/>
        <s v="2022-11-20"/>
        <s v="2022-08-14"/>
        <s v="2023-12-02"/>
        <s v="2023-08-09"/>
        <s v="2023-02-06"/>
        <s v="2022-03-30"/>
        <s v="2023-11-30"/>
        <s v="2022-11-19"/>
        <s v="2024-09-17"/>
        <s v="2022-11-11"/>
        <s v="2023-05-23"/>
        <s v="2024-08-15"/>
        <s v="2022-07-29"/>
        <s v="2023-08-16"/>
        <s v="2023-07-18"/>
        <s v="2024-07-31"/>
        <s v="2024-08-03"/>
        <s v="2023-12-19"/>
        <s v="2022-02-19"/>
        <s v="2023-04-11"/>
        <s v="2024-06-26"/>
        <s v="2024-08-25"/>
        <s v="2024-02-19"/>
        <s v="2023-12-11"/>
        <s v="2023-08-01"/>
        <s v="2023-10-08"/>
        <s v="2023-09-03"/>
        <s v="2022-11-17"/>
        <s v="2022-07-25"/>
        <s v="2023-09-13"/>
        <s v="2024-02-25"/>
        <s v="2022-10-12"/>
        <s v="2023-01-03"/>
        <s v="2023-08-31"/>
        <m/>
      </sharedItems>
    </cacheField>
    <cacheField name="Ship_Date" numFmtId="164">
      <sharedItems containsNonDate="0" containsDate="1" containsString="0" containsBlank="1" minDate="2022-01-03T00:00:00" maxDate="2024-10-04T00:00:00"/>
    </cacheField>
    <cacheField name="Region" numFmtId="0">
      <sharedItems containsBlank="1"/>
    </cacheField>
    <cacheField name="Country" numFmtId="0">
      <sharedItems containsBlank="1"/>
    </cacheField>
    <cacheField name="State" numFmtId="0">
      <sharedItems containsBlank="1"/>
    </cacheField>
    <cacheField name="City" numFmtId="0">
      <sharedItems containsBlank="1"/>
    </cacheField>
    <cacheField name="Customer_ID" numFmtId="0">
      <sharedItems containsBlank="1" count="1387">
        <s v="CUST4440"/>
        <s v="CUST8089"/>
        <s v="CUST1835"/>
        <s v="CUST2941"/>
        <s v="CUST2592"/>
        <s v="CUST6138"/>
        <s v="CUST5599"/>
        <s v="CUST8187"/>
        <s v="CUST7814"/>
        <s v="CUST7670"/>
        <s v="CUST6915"/>
        <s v="CUST8342"/>
        <s v="CUST1354"/>
        <s v="CUST3362"/>
        <s v="CUST4065"/>
        <s v="CUST2455"/>
        <s v="CUST4464"/>
        <s v="CUST5173"/>
        <s v="CUST5329"/>
        <s v="CUST8954"/>
        <s v="CUST8438"/>
        <s v="CUST1307"/>
        <s v="CUST2802"/>
        <s v="CUST8708"/>
        <s v="CUST2523"/>
        <s v="CUST3853"/>
        <s v="CUST1513"/>
        <s v="CUST8818"/>
        <s v="CUST6939"/>
        <s v="CUST2807"/>
        <s v="CUST1788"/>
        <s v="CUST2825"/>
        <s v="CUST6448"/>
        <s v="CUST7215"/>
        <s v="CUST7564"/>
        <s v="CUST5385"/>
        <s v="CUST8744"/>
        <s v="CUST7261"/>
        <s v="CUST7148"/>
        <s v="CUST6541"/>
        <s v="CUST9995"/>
        <s v="CUST5868"/>
        <s v="CUST5059"/>
        <s v="CUST9133"/>
        <s v="CUST9869"/>
        <s v="CUST7690"/>
        <s v="CUST6670"/>
        <s v="CUST8923"/>
        <s v="CUST9112"/>
        <s v="CUST6983"/>
        <s v="CUST5978"/>
        <s v="CUST6836"/>
        <s v="CUST9993"/>
        <s v="CUST6903"/>
        <s v="CUST5183"/>
        <s v="CUST2202"/>
        <s v="CUST5466"/>
        <s v="CUST5089"/>
        <s v="CUST7539"/>
        <s v="CUST7953"/>
        <s v="CUST7985"/>
        <s v="CUST2974"/>
        <s v="CUST8083"/>
        <s v="CUST9447"/>
        <s v="CUST8333"/>
        <s v="CUST1065"/>
        <s v="CUST7191"/>
        <s v="CUST6154"/>
        <s v="CUST7382"/>
        <s v="CUST3474"/>
        <s v="CUST8507"/>
        <s v="CUST7524"/>
        <s v="CUST6567"/>
        <s v="CUST3952"/>
        <s v="CUST9996"/>
        <s v="CUST9786"/>
        <s v="CUST5082"/>
        <s v="CUST8982"/>
        <s v="CUST5045"/>
        <s v="CUST4475"/>
        <s v="CUST5055"/>
        <s v="CUST6296"/>
        <s v="CUST9264"/>
        <s v="CUST9984"/>
        <s v="CUST6997"/>
        <s v="CUST5816"/>
        <s v="CUST5769"/>
        <s v="CUST7132"/>
        <s v="CUST8469"/>
        <s v="CUST1298"/>
        <s v="CUST8674"/>
        <s v="CUST2097"/>
        <s v="CUST1862"/>
        <s v="CUST6032"/>
        <s v="CUST3015"/>
        <s v="CUST4460"/>
        <s v="CUST6195"/>
        <s v="CUST2640"/>
        <s v="CUST5576"/>
        <s v="CUST7782"/>
        <s v="CUST8176"/>
        <s v="CUST6797"/>
        <s v="CUST9261"/>
        <s v="CUST8312"/>
        <s v="CUST1222"/>
        <s v="CUST1535"/>
        <s v="CUST1004"/>
        <s v="CUST9130"/>
        <s v="CUST6680"/>
        <s v="CUST9537"/>
        <s v="CUST4243"/>
        <s v="CUST8320"/>
        <s v="CUST9492"/>
        <s v="CUST6491"/>
        <s v="CUST4790"/>
        <s v="CUST2700"/>
        <s v="CUST3684"/>
        <s v="CUST6910"/>
        <s v="CUST3459"/>
        <s v="CUST8294"/>
        <s v="CUST5224"/>
        <s v="CUST7920"/>
        <s v="CUST5676"/>
        <s v="CUST6811"/>
        <s v="CUST2741"/>
        <s v="CUST5043"/>
        <s v="CUST9271"/>
        <s v="CUST7576"/>
        <s v="CUST9818"/>
        <s v="CUST6682"/>
        <s v="CUST4786"/>
        <s v="CUST7494"/>
        <s v="CUST5413"/>
        <s v="CUST1807"/>
        <s v="CUST2139"/>
        <s v="CUST1174"/>
        <s v="CUST6643"/>
        <s v="CUST7832"/>
        <s v="CUST6069"/>
        <s v="CUST2528"/>
        <s v="CUST7946"/>
        <s v="CUST5480"/>
        <s v="CUST4080"/>
        <s v="CUST3211"/>
        <s v="CUST2370"/>
        <s v="CUST3187"/>
        <s v="CUST2417"/>
        <s v="CUST1351"/>
        <s v="CUST7056"/>
        <s v="CUST5454"/>
        <s v="CUST5648"/>
        <s v="CUST8554"/>
        <s v="CUST3223"/>
        <s v="CUST2063"/>
        <s v="CUST1269"/>
        <s v="CUST3716"/>
        <s v="CUST3596"/>
        <s v="CUST2207"/>
        <s v="CUST7870"/>
        <s v="CUST1448"/>
        <s v="CUST5717"/>
        <s v="CUST2425"/>
        <s v="CUST9529"/>
        <s v="CUST7947"/>
        <s v="CUST8217"/>
        <s v="CUST2352"/>
        <s v="CUST2746"/>
        <s v="CUST7213"/>
        <s v="CUST2470"/>
        <s v="CUST4299"/>
        <s v="CUST4337"/>
        <s v="CUST7449"/>
        <s v="CUST7208"/>
        <s v="CUST4644"/>
        <s v="CUST6969"/>
        <s v="CUST6076"/>
        <s v="CUST4951"/>
        <s v="CUST7358"/>
        <s v="CUST9632"/>
        <s v="CUST3605"/>
        <s v="CUST9422"/>
        <s v="CUST7040"/>
        <s v="CUST3070"/>
        <s v="CUST1563"/>
        <s v="CUST6214"/>
        <s v="CUST7256"/>
        <s v="CUST1086"/>
        <s v="CUST6067"/>
        <s v="CUST2296"/>
        <s v="CUST5010"/>
        <s v="CUST5132"/>
        <s v="CUST3555"/>
        <s v="CUST4183"/>
        <s v="CUST8997"/>
        <s v="CUST5294"/>
        <s v="CUST5144"/>
        <s v="CUST8558"/>
        <s v="CUST5899"/>
        <s v="CUST8987"/>
        <s v="CUST8025"/>
        <s v="CUST3724"/>
        <s v="CUST9776"/>
        <s v="CUST1789"/>
        <s v="CUST6588"/>
        <s v="CUST3089"/>
        <s v="CUST3935"/>
        <s v="CUST7474"/>
        <s v="CUST6613"/>
        <s v="CUST4316"/>
        <s v="CUST4907"/>
        <s v="CUST1525"/>
        <s v="CUST8361"/>
        <s v="CUST7773"/>
        <s v="CUST1827"/>
        <s v="CUST5305"/>
        <s v="CUST4163"/>
        <s v="CUST3536"/>
        <s v="CUST8750"/>
        <s v="CUST8759"/>
        <s v="CUST5054"/>
        <s v="CUST4106"/>
        <s v="CUST5673"/>
        <s v="CUST9798"/>
        <s v="CUST1153"/>
        <s v="CUST3035"/>
        <s v="CUST4732"/>
        <s v="CUST5469"/>
        <s v="CUST9651"/>
        <s v="CUST9777"/>
        <s v="CUST9654"/>
        <s v="CUST6635"/>
        <s v="CUST6315"/>
        <s v="CUST7332"/>
        <s v="CUST5849"/>
        <s v="CUST5949"/>
        <s v="CUST6995"/>
        <s v="CUST3400"/>
        <s v="CUST6938"/>
        <s v="CUST7466"/>
        <s v="CUST6813"/>
        <s v="CUST6828"/>
        <s v="CUST3518"/>
        <s v="CUST5125"/>
        <s v="CUST8552"/>
        <s v="CUST5404"/>
        <s v="CUST4632"/>
        <s v="CUST3779"/>
        <s v="CUST7465"/>
        <s v="CUST3703"/>
        <s v="CUST7091"/>
        <s v="CUST3059"/>
        <s v="CUST6972"/>
        <s v="CUST3713"/>
        <s v="CUST7921"/>
        <s v="CUST9911"/>
        <s v="CUST5774"/>
        <s v="CUST2510"/>
        <s v="CUST8149"/>
        <s v="CUST5387"/>
        <s v="CUST6814"/>
        <s v="CUST9394"/>
        <s v="CUST8922"/>
        <s v="CUST7657"/>
        <s v="CUST3619"/>
        <s v="CUST2604"/>
        <s v="CUST6277"/>
        <s v="CUST7691"/>
        <s v="CUST8216"/>
        <s v="CUST1674"/>
        <s v="CUST4734"/>
        <s v="CUST8272"/>
        <s v="CUST4697"/>
        <s v="CUST2155"/>
        <s v="CUST2117"/>
        <s v="CUST4867"/>
        <s v="CUST9540"/>
        <s v="CUST5947"/>
        <s v="CUST4618"/>
        <s v="CUST8249"/>
        <s v="CUST7203"/>
        <s v="CUST8854"/>
        <s v="CUST6664"/>
        <s v="CUST1743"/>
        <s v="CUST1253"/>
        <s v="CUST7678"/>
        <s v="CUST5500"/>
        <s v="CUST9194"/>
        <s v="CUST8331"/>
        <s v="CUST5165"/>
        <s v="CUST4015"/>
        <s v="CUST2939"/>
        <s v="CUST4190"/>
        <s v="CUST9800"/>
        <s v="CUST4928"/>
        <s v="CUST9564"/>
        <s v="CUST1162"/>
        <s v="CUST2231"/>
        <s v="CUST6882"/>
        <s v="CUST3209"/>
        <s v="CUST9138"/>
        <s v="CUST5880"/>
        <s v="CUST1614"/>
        <s v="CUST3553"/>
        <s v="CUST8757"/>
        <s v="CUST4700"/>
        <s v="CUST1000"/>
        <s v="CUST2715"/>
        <s v="CUST1145"/>
        <s v="CUST4306"/>
        <s v="CUST9494"/>
        <s v="CUST1164"/>
        <s v="CUST1244"/>
        <s v="CUST8492"/>
        <s v="CUST3173"/>
        <s v="CUST6230"/>
        <s v="CUST1070"/>
        <s v="CUST8022"/>
        <s v="CUST7117"/>
        <s v="CUST9599"/>
        <s v="CUST4495"/>
        <s v="CUST9916"/>
        <s v="CUST2211"/>
        <s v="CUST3513"/>
        <s v="CUST1453"/>
        <s v="CUST4568"/>
        <s v="CUST4130"/>
        <s v="CUST3720"/>
        <s v="CUST8591"/>
        <s v="CUST8623"/>
        <s v="CUST3132"/>
        <s v="CUST9313"/>
        <s v="CUST2735"/>
        <s v="CUST1301"/>
        <s v="CUST6171"/>
        <s v="CUST9745"/>
        <s v="CUST4819"/>
        <s v="CUST2852"/>
        <s v="CUST3061"/>
        <s v="CUST3154"/>
        <s v="CUST3182"/>
        <s v="CUST2585"/>
        <s v="CUST2051"/>
        <s v="CUST5267"/>
        <s v="CUST9687"/>
        <s v="CUST4131"/>
        <s v="CUST5515"/>
        <s v="CUST1593"/>
        <s v="CUST4953"/>
        <s v="CUST4267"/>
        <s v="CUST4034"/>
        <s v="CUST4323"/>
        <s v="CUST4578"/>
        <s v="CUST5817"/>
        <s v="CUST9417"/>
        <s v="CUST3360"/>
        <s v="CUST9942"/>
        <s v="CUST1579"/>
        <s v="CUST3104"/>
        <s v="CUST8169"/>
        <s v="CUST6586"/>
        <s v="CUST9107"/>
        <s v="CUST6361"/>
        <s v="CUST2431"/>
        <s v="CUST8800"/>
        <s v="CUST4411"/>
        <s v="CUST9505"/>
        <s v="CUST1287"/>
        <s v="CUST4767"/>
        <s v="CUST4641"/>
        <s v="CUST9586"/>
        <s v="CUST3747"/>
        <s v="CUST2911"/>
        <s v="CUST6405"/>
        <s v="CUST5918"/>
        <s v="CUST8473"/>
        <s v="CUST9093"/>
        <s v="CUST3958"/>
        <s v="CUST8682"/>
        <s v="CUST1230"/>
        <s v="CUST7268"/>
        <s v="CUST2104"/>
        <s v="CUST1026"/>
        <s v="CUST9872"/>
        <s v="CUST1559"/>
        <s v="CUST3153"/>
        <s v="CUST2339"/>
        <s v="CUST2350"/>
        <s v="CUST5658"/>
        <s v="CUST5375"/>
        <s v="CUST1175"/>
        <s v="CUST2914"/>
        <s v="CUST8936"/>
        <s v="CUST9358"/>
        <s v="CUST3802"/>
        <s v="CUST3312"/>
        <s v="CUST9600"/>
        <s v="CUST1565"/>
        <s v="CUST5606"/>
        <s v="CUST2622"/>
        <s v="CUST9352"/>
        <s v="CUST7014"/>
        <s v="CUST5231"/>
        <s v="CUST8246"/>
        <s v="CUST9084"/>
        <s v="CUST2058"/>
        <s v="CUST6970"/>
        <s v="CUST4556"/>
        <s v="CUST4138"/>
        <s v="CUST6333"/>
        <s v="CUST8945"/>
        <s v="CUST4283"/>
        <s v="CUST1830"/>
        <s v="CUST5354"/>
        <s v="CUST5114"/>
        <s v="CUST8764"/>
        <s v="CUST4585"/>
        <s v="CUST2728"/>
        <s v="CUST3836"/>
        <s v="CUST9899"/>
        <s v="CUST4204"/>
        <s v="CUST7931"/>
        <s v="CUST7225"/>
        <s v="CUST2664"/>
        <s v="CUST2574"/>
        <s v="CUST8101"/>
        <s v="CUST8913"/>
        <s v="CUST3922"/>
        <s v="CUST5866"/>
        <s v="CUST6486"/>
        <s v="CUST9102"/>
        <s v="CUST3044"/>
        <s v="CUST5442"/>
        <s v="CUST8042"/>
        <s v="CUST3449"/>
        <s v="CUST9123"/>
        <s v="CUST2526"/>
        <s v="CUST1414"/>
        <s v="CUST5685"/>
        <s v="CUST3121"/>
        <s v="CUST4886"/>
        <s v="CUST4018"/>
        <s v="CUST8344"/>
        <s v="CUST2473"/>
        <s v="CUST7176"/>
        <s v="CUST4980"/>
        <s v="CUST1761"/>
        <s v="CUST3816"/>
        <s v="CUST3058"/>
        <s v="CUST9958"/>
        <s v="CUST4177"/>
        <s v="CUST1692"/>
        <s v="CUST8056"/>
        <s v="CUST2567"/>
        <s v="CUST7184"/>
        <s v="CUST6581"/>
        <s v="CUST8815"/>
        <s v="CUST1824"/>
        <s v="CUST8155"/>
        <s v="CUST6031"/>
        <s v="CUST7938"/>
        <s v="CUST5409"/>
        <s v="CUST9882"/>
        <s v="CUST6981"/>
        <s v="CUST8543"/>
        <s v="CUST1252"/>
        <s v="CUST1345"/>
        <s v="CUST1996"/>
        <s v="CUST3721"/>
        <s v="CUST5875"/>
        <s v="CUST8791"/>
        <s v="CUST5696"/>
        <s v="CUST8690"/>
        <s v="CUST7217"/>
        <s v="CUST3870"/>
        <s v="CUST7543"/>
        <s v="CUST1646"/>
        <s v="CUST9576"/>
        <s v="CUST3957"/>
        <s v="CUST5029"/>
        <s v="CUST1081"/>
        <s v="CUST9989"/>
        <s v="CUST5522"/>
        <s v="CUST1008"/>
        <s v="CUST8250"/>
        <s v="CUST9720"/>
        <s v="CUST1645"/>
        <s v="CUST1216"/>
        <s v="CUST9615"/>
        <s v="CUST1906"/>
        <s v="CUST2407"/>
        <s v="CUST6657"/>
        <s v="CUST1363"/>
        <s v="CUST2784"/>
        <s v="CUST2294"/>
        <s v="CUST3630"/>
        <s v="CUST7561"/>
        <s v="CUST9997"/>
        <s v="CUST5084"/>
        <s v="CUST9223"/>
        <s v="CUST5371"/>
        <s v="CUST7471"/>
        <s v="CUST8278"/>
        <s v="CUST6090"/>
        <s v="CUST2517"/>
        <s v="CUST4856"/>
        <s v="CUST6641"/>
        <s v="CUST5342"/>
        <s v="CUST5589"/>
        <s v="CUST3242"/>
        <s v="CUST3809"/>
        <s v="CUST6721"/>
        <s v="CUST9626"/>
        <s v="CUST7510"/>
        <s v="CUST7611"/>
        <s v="CUST7666"/>
        <s v="CUST1747"/>
        <s v="CUST7634"/>
        <s v="CUST3247"/>
        <s v="CUST8113"/>
        <s v="CUST2399"/>
        <s v="CUST6637"/>
        <s v="CUST3428"/>
        <s v="CUST9507"/>
        <s v="CUST1970"/>
        <s v="CUST7260"/>
        <s v="CUST8986"/>
        <s v="CUST3626"/>
        <s v="CUST1458"/>
        <s v="CUST4390"/>
        <s v="CUST9037"/>
        <s v="CUST6528"/>
        <s v="CUST2271"/>
        <s v="CUST6017"/>
        <s v="CUST9583"/>
        <s v="CUST4637"/>
        <s v="CUST9589"/>
        <s v="CUST9700"/>
        <s v="CUST5406"/>
        <s v="CUST1072"/>
        <s v="CUST5834"/>
        <s v="CUST7518"/>
        <s v="CUST7623"/>
        <s v="CUST4587"/>
        <s v="CUST6841"/>
        <s v="CUST7557"/>
        <s v="CUST9046"/>
        <s v="CUST7287"/>
        <s v="CUST2836"/>
        <s v="CUST6693"/>
        <s v="CUST9880"/>
        <s v="CUST4627"/>
        <s v="CUST8148"/>
        <s v="CUST7755"/>
        <s v="CUST2261"/>
        <s v="CUST6398"/>
        <s v="CUST9668"/>
        <s v="CUST4648"/>
        <s v="CUST7582"/>
        <s v="CUST3006"/>
        <s v="CUST5689"/>
        <s v="CUST5069"/>
        <s v="CUST4263"/>
        <s v="CUST6791"/>
        <s v="CUST7802"/>
        <s v="CUST7453"/>
        <s v="CUST8772"/>
        <s v="CUST5350"/>
        <s v="CUST1328"/>
        <s v="CUST8054"/>
        <s v="CUST1725"/>
        <s v="CUST5330"/>
        <s v="CUST9582"/>
        <s v="CUST7840"/>
        <s v="CUST2062"/>
        <s v="CUST7592"/>
        <s v="CUST8093"/>
        <s v="CUST1737"/>
        <s v="CUST8225"/>
        <s v="CUST3302"/>
        <s v="CUST2785"/>
        <s v="CUST1564"/>
        <s v="CUST8747"/>
        <s v="CUST6974"/>
        <s v="CUST3999"/>
        <s v="CUST4075"/>
        <s v="CUST4954"/>
        <s v="CUST4593"/>
        <s v="CUST2790"/>
        <s v="CUST9407"/>
        <s v="CUST1160"/>
        <s v="CUST2568"/>
        <s v="CUST2684"/>
        <s v="CUST5992"/>
        <s v="CUST3841"/>
        <s v="CUST3031"/>
        <s v="CUST5357"/>
        <s v="CUST9428"/>
        <s v="CUST1801"/>
        <s v="CUST6515"/>
        <s v="CUST6163"/>
        <s v="CUST3381"/>
        <s v="CUST1445"/>
        <s v="CUST8213"/>
        <s v="CUST3445"/>
        <s v="CUST3161"/>
        <s v="CUST9359"/>
        <s v="CUST4626"/>
        <s v="CUST4102"/>
        <s v="CUST7620"/>
        <s v="CUST2189"/>
        <s v="CUST3541"/>
        <s v="CUST9350"/>
        <s v="CUST2152"/>
        <s v="CUST1021"/>
        <s v="CUST9328"/>
        <s v="CUST4394"/>
        <s v="CUST4044"/>
        <s v="CUST3039"/>
        <s v="CUST7435"/>
        <s v="CUST4378"/>
        <s v="CUST7796"/>
        <s v="CUST5760"/>
        <s v="CUST9614"/>
        <s v="CUST1401"/>
        <s v="CUST9481"/>
        <s v="CUST9478"/>
        <s v="CUST9838"/>
        <s v="CUST3447"/>
        <s v="CUST7145"/>
        <s v="CUST1277"/>
        <s v="CUST4574"/>
        <s v="CUST4150"/>
        <s v="CUST2458"/>
        <s v="CUST4321"/>
        <s v="CUST7475"/>
        <s v="CUST9266"/>
        <s v="CUST8542"/>
        <s v="CUST2634"/>
        <s v="CUST1152"/>
        <s v="CUST9708"/>
        <s v="CUST1082"/>
        <s v="CUST7882"/>
        <s v="CUST6855"/>
        <s v="CUST8191"/>
        <s v="CUST3900"/>
        <s v="CUST5671"/>
        <s v="CUST5562"/>
        <s v="CUST5213"/>
        <s v="CUST7990"/>
        <s v="CUST4112"/>
        <s v="CUST1195"/>
        <s v="CUST6460"/>
        <s v="CUST4841"/>
        <s v="CUST7926"/>
        <s v="CUST9287"/>
        <s v="CUST6783"/>
        <s v="CUST7601"/>
        <s v="CUST4292"/>
        <s v="CUST9751"/>
        <s v="CUST1482"/>
        <s v="CUST6530"/>
        <s v="CUST4073"/>
        <s v="CUST6294"/>
        <s v="CUST3905"/>
        <s v="CUST4835"/>
        <s v="CUST2101"/>
        <s v="CUST3107"/>
        <s v="CUST6656"/>
        <s v="CUST9791"/>
        <s v="CUST6055"/>
        <s v="CUST8053"/>
        <s v="CUST9709"/>
        <s v="CUST6177"/>
        <s v="CUST8833"/>
        <s v="CUST1123"/>
        <s v="CUST2461"/>
        <s v="CUST9988"/>
        <s v="CUST6502"/>
        <s v="CUST9062"/>
        <s v="CUST8817"/>
        <s v="CUST7509"/>
        <s v="CUST2411"/>
        <s v="CUST7861"/>
        <s v="CUST3885"/>
        <s v="CUST1892"/>
        <s v="CUST3522"/>
        <s v="CUST7581"/>
        <s v="CUST7834"/>
        <s v="CUST8537"/>
        <s v="CUST6223"/>
        <s v="CUST5444"/>
        <s v="CUST5405"/>
        <s v="CUST4612"/>
        <s v="CUST1325"/>
        <s v="CUST6544"/>
        <s v="CUST6952"/>
        <s v="CUST1157"/>
        <s v="CUST8228"/>
        <s v="CUST6236"/>
        <s v="CUST9705"/>
        <s v="CUST2875"/>
        <s v="CUST8616"/>
        <s v="CUST4198"/>
        <s v="CUST2032"/>
        <s v="CUST9581"/>
        <s v="CUST2423"/>
        <s v="CUST6617"/>
        <s v="CUST7874"/>
        <s v="CUST2819"/>
        <s v="CUST2812"/>
        <s v="CUST9878"/>
        <s v="CUST8858"/>
        <s v="CUST6785"/>
        <s v="CUST9535"/>
        <s v="CUST7356"/>
        <s v="CUST2892"/>
        <s v="CUST9503"/>
        <s v="CUST7596"/>
        <s v="CUST8371"/>
        <s v="CUST6638"/>
        <s v="CUST4113"/>
        <s v="CUST9588"/>
        <s v="CUST6689"/>
        <s v="CUST4750"/>
        <s v="CUST5147"/>
        <s v="CUST5675"/>
        <s v="CUST1087"/>
        <s v="CUST8143"/>
        <s v="CUST3007"/>
        <s v="CUST3430"/>
        <s v="CUST8190"/>
        <s v="CUST9440"/>
        <s v="CUST5614"/>
        <s v="CUST6810"/>
        <s v="CUST2039"/>
        <s v="CUST6843"/>
        <s v="CUST1643"/>
        <s v="CUST9039"/>
        <s v="CUST4662"/>
        <s v="CUST7650"/>
        <s v="CUST6550"/>
        <s v="CUST7212"/>
        <s v="CUST8059"/>
        <s v="CUST9438"/>
        <s v="CUST9969"/>
        <s v="CUST9935"/>
        <s v="CUST4650"/>
        <s v="CUST8539"/>
        <s v="CUST1429"/>
        <s v="CUST8516"/>
        <s v="CUST7614"/>
        <s v="CUST5961"/>
        <s v="CUST6543"/>
        <s v="CUST9235"/>
        <s v="CUST6094"/>
        <s v="CUST9135"/>
        <s v="CUST8928"/>
        <s v="CUST9334"/>
        <s v="CUST1666"/>
        <s v="CUST4630"/>
        <s v="CUST5092"/>
        <s v="CUST5791"/>
        <s v="CUST7357"/>
        <s v="CUST7439"/>
        <s v="CUST7791"/>
        <s v="CUST5088"/>
        <s v="CUST2279"/>
        <s v="CUST6540"/>
        <s v="CUST7899"/>
        <s v="CUST5847"/>
        <s v="CUST1194"/>
        <s v="CUST8654"/>
        <s v="CUST4206"/>
        <s v="CUST5345"/>
        <s v="CUST1616"/>
        <s v="CUST3672"/>
        <s v="CUST1612"/>
        <s v="CUST2755"/>
        <s v="CUST2420"/>
        <s v="CUST1332"/>
        <s v="CUST8665"/>
        <s v="CUST5641"/>
        <s v="CUST6577"/>
        <s v="CUST2061"/>
        <s v="CUST5772"/>
        <s v="CUST7264"/>
        <s v="CUST9124"/>
        <s v="CUST7806"/>
        <s v="CUST3279"/>
        <s v="CUST3480"/>
        <s v="CUST6920"/>
        <s v="CUST1948"/>
        <s v="CUST8767"/>
        <s v="CUST9484"/>
        <s v="CUST5236"/>
        <s v="CUST1442"/>
        <s v="CUST9930"/>
        <s v="CUST2834"/>
        <s v="CUST3600"/>
        <s v="CUST2631"/>
        <s v="CUST6957"/>
        <s v="CUST4862"/>
        <s v="CUST3160"/>
        <s v="CUST1920"/>
        <s v="CUST8058"/>
        <s v="CUST4285"/>
        <s v="CUST6786"/>
        <s v="CUST7073"/>
        <s v="CUST8465"/>
        <s v="CUST1463"/>
        <s v="CUST9103"/>
        <s v="CUST4961"/>
        <s v="CUST8794"/>
        <s v="CUST1028"/>
        <s v="CUST3866"/>
        <s v="CUST8489"/>
        <s v="CUST7515"/>
        <s v="CUST3313"/>
        <s v="CUST6142"/>
        <s v="CUST6301"/>
        <s v="CUST6787"/>
        <s v="CUST6314"/>
        <s v="CUST5811"/>
        <s v="CUST2553"/>
        <s v="CUST5993"/>
        <s v="CUST3783"/>
        <s v="CUST2398"/>
        <s v="CUST5136"/>
        <s v="CUST4543"/>
        <s v="CUST7740"/>
        <s v="CUST1084"/>
        <s v="CUST3248"/>
        <s v="CUST5621"/>
        <s v="CUST6429"/>
        <s v="CUST2753"/>
        <s v="CUST3395"/>
        <s v="CUST4482"/>
        <s v="CUST9487"/>
        <s v="CUST4252"/>
        <s v="CUST8188"/>
        <s v="CUST1819"/>
        <s v="CUST1940"/>
        <s v="CUST9041"/>
        <s v="CUST2418"/>
        <s v="CUST8628"/>
        <s v="CUST8286"/>
        <s v="CUST6929"/>
        <s v="CUST7530"/>
        <s v="CUST5752"/>
        <s v="CUST6388"/>
        <s v="CUST5601"/>
        <s v="CUST7363"/>
        <s v="CUST3411"/>
        <s v="CUST1183"/>
        <s v="CUST8711"/>
        <s v="CUST1515"/>
        <s v="CUST7570"/>
        <s v="CUST7361"/>
        <s v="CUST6831"/>
        <s v="CUST7640"/>
        <s v="CUST2187"/>
        <s v="CUST4070"/>
        <s v="CUST7142"/>
        <s v="CUST4041"/>
        <s v="CUST5864"/>
        <s v="CUST5814"/>
        <s v="CUST4785"/>
        <s v="CUST5074"/>
        <s v="CUST3275"/>
        <s v="CUST5412"/>
        <s v="CUST2325"/>
        <s v="CUST8454"/>
        <s v="CUST5624"/>
        <s v="CUST3766"/>
        <s v="CUST5670"/>
        <s v="CUST5940"/>
        <s v="CUST9392"/>
        <s v="CUST2984"/>
        <s v="CUST1101"/>
        <s v="CUST7210"/>
        <s v="CUST3318"/>
        <s v="CUST8299"/>
        <s v="CUST2217"/>
        <s v="CUST3789"/>
        <s v="CUST7760"/>
        <s v="CUST2830"/>
        <s v="CUST5831"/>
        <s v="CUST6902"/>
        <s v="CUST1736"/>
        <s v="CUST7317"/>
        <s v="CUST8358"/>
        <s v="CUST2451"/>
        <s v="CUST5904"/>
        <s v="CUST4702"/>
        <s v="CUST4884"/>
        <s v="CUST2066"/>
        <s v="CUST8811"/>
        <s v="CUST6337"/>
        <s v="CUST9662"/>
        <s v="CUST1554"/>
        <s v="CUST6387"/>
        <s v="CUST8866"/>
        <s v="CUST6564"/>
        <s v="CUST2011"/>
        <s v="CUST3138"/>
        <s v="CUST6942"/>
        <s v="CUST1439"/>
        <s v="CUST9222"/>
        <s v="CUST1814"/>
        <s v="CUST1916"/>
        <s v="CUST9649"/>
        <s v="CUST8956"/>
        <s v="CUST7101"/>
        <s v="CUST9732"/>
        <s v="CUST5642"/>
        <s v="CUST3848"/>
        <s v="CUST3777"/>
        <s v="CUST6806"/>
        <s v="CUST4412"/>
        <s v="CUST6845"/>
        <s v="CUST6137"/>
        <s v="CUST1396"/>
        <s v="CUST3502"/>
        <s v="CUST3091"/>
        <s v="CUST4969"/>
        <s v="CUST8327"/>
        <s v="CUST5837"/>
        <s v="CUST7016"/>
        <s v="CUST1577"/>
        <s v="CUST7177"/>
        <s v="CUST6203"/>
        <s v="CUST2191"/>
        <s v="CUST7722"/>
        <s v="CUST4660"/>
        <s v="CUST5554"/>
        <s v="CUST1943"/>
        <s v="CUST9322"/>
        <s v="CUST1768"/>
        <s v="CUST5655"/>
        <s v="CUST2193"/>
        <s v="CUST5516"/>
        <s v="CUST1006"/>
        <s v="CUST8934"/>
        <s v="CUST8185"/>
        <s v="CUST9517"/>
        <s v="CUST7366"/>
        <s v="CUST2769"/>
        <s v="CUST5186"/>
        <s v="CUST2410"/>
        <s v="CUST7240"/>
        <s v="CUST5540"/>
        <s v="CUST5856"/>
        <s v="CUST2559"/>
        <s v="CUST7734"/>
        <s v="CUST2004"/>
        <s v="CUST2928"/>
        <s v="CUST7082"/>
        <s v="CUST5160"/>
        <s v="CUST7902"/>
        <s v="CUST1213"/>
        <s v="CUST7579"/>
        <s v="CUST1837"/>
        <s v="CUST5040"/>
        <s v="CUST9154"/>
        <s v="CUST7837"/>
        <s v="CUST2933"/>
        <s v="CUST5484"/>
        <s v="CUST1671"/>
        <s v="CUST8696"/>
        <s v="CUST2365"/>
        <s v="CUST8242"/>
        <s v="CUST9944"/>
        <s v="CUST1243"/>
        <s v="CUST5602"/>
        <s v="CUST1604"/>
        <s v="CUST1552"/>
        <s v="CUST8929"/>
        <s v="CUST5176"/>
        <s v="CUST3128"/>
        <s v="CUST4139"/>
        <s v="CUST9449"/>
        <s v="CUST9323"/>
        <s v="CUST5979"/>
        <s v="CUST9605"/>
        <s v="CUST2122"/>
        <s v="CUST9566"/>
        <s v="CUST7159"/>
        <s v="CUST7211"/>
        <s v="CUST1708"/>
        <s v="CUST7454"/>
        <s v="CUST9952"/>
        <s v="CUST6358"/>
        <s v="CUST7252"/>
        <s v="CUST1010"/>
        <s v="CUST8305"/>
        <s v="CUST6951"/>
        <s v="CUST8128"/>
        <s v="CUST4302"/>
        <s v="CUST6459"/>
        <s v="CUST7230"/>
        <s v="CUST2443"/>
        <s v="CUST5269"/>
        <s v="CUST4318"/>
        <s v="CUST8485"/>
        <s v="CUST6654"/>
        <s v="CUST2760"/>
        <s v="CUST7525"/>
        <s v="CUST4191"/>
        <s v="CUST8574"/>
        <s v="CUST7150"/>
        <s v="CUST9653"/>
        <s v="CUST2926"/>
        <s v="CUST4366"/>
        <s v="CUST2806"/>
        <s v="CUST3018"/>
        <s v="CUST5292"/>
        <s v="CUST3584"/>
        <s v="CUST7681"/>
        <s v="CUST3965"/>
        <s v="CUST8078"/>
        <s v="CUST3481"/>
        <s v="CUST3632"/>
        <s v="CUST5216"/>
        <s v="CUST5295"/>
        <s v="CUST6842"/>
        <s v="CUST5526"/>
        <s v="CUST2789"/>
        <s v="CUST3609"/>
        <s v="CUST9758"/>
        <s v="CUST9555"/>
        <s v="CUST8566"/>
        <s v="CUST3306"/>
        <s v="CUST4890"/>
        <s v="CUST2556"/>
        <s v="CUST7444"/>
        <s v="CUST2659"/>
        <s v="CUST6056"/>
        <s v="CUST8951"/>
        <s v="CUST3119"/>
        <s v="CUST3820"/>
        <s v="CUST4038"/>
        <s v="CUST5799"/>
        <s v="CUST7593"/>
        <s v="CUST1452"/>
        <s v="CUST9932"/>
        <s v="CUST8769"/>
        <s v="CUST5426"/>
        <s v="CUST4950"/>
        <s v="CUST7981"/>
        <s v="CUST4681"/>
        <s v="CUST9280"/>
        <s v="CUST8808"/>
        <s v="CUST6249"/>
        <s v="CUST3427"/>
        <s v="CUST9015"/>
        <s v="CUST9238"/>
        <s v="CUST1361"/>
        <s v="CUST4026"/>
        <s v="CUST5085"/>
        <s v="CUST5704"/>
        <s v="CUST8477"/>
        <s v="CUST8613"/>
        <s v="CUST5888"/>
        <s v="CUST7789"/>
        <s v="CUST7867"/>
        <s v="CUST8437"/>
        <s v="CUST1327"/>
        <s v="CUST9063"/>
        <s v="CUST2530"/>
        <s v="CUST1228"/>
        <s v="CUST5383"/>
        <s v="CUST2400"/>
        <s v="CUST8706"/>
        <s v="CUST2267"/>
        <s v="CUST6686"/>
        <s v="CUST4933"/>
        <s v="CUST7087"/>
        <s v="CUST7917"/>
        <s v="CUST6925"/>
        <s v="CUST4207"/>
        <s v="CUST6701"/>
        <s v="CUST6987"/>
        <s v="CUST9912"/>
        <s v="CUST5779"/>
        <s v="CUST6212"/>
        <s v="CUST8931"/>
        <s v="CUST4985"/>
        <s v="CUST5805"/>
        <s v="CUST5091"/>
        <s v="CUST1074"/>
        <s v="CUST4976"/>
        <s v="CUST8219"/>
        <s v="CUST9306"/>
        <s v="CUST1803"/>
        <s v="CUST3256"/>
        <s v="CUST8914"/>
        <s v="CUST4249"/>
        <s v="CUST2587"/>
        <s v="CUST3096"/>
        <s v="CUST2173"/>
        <s v="CUST4692"/>
        <s v="CUST6430"/>
        <s v="CUST3621"/>
        <s v="CUST7374"/>
        <s v="CUST6582"/>
        <s v="CUST8167"/>
        <s v="CUST1731"/>
        <s v="CUST6048"/>
        <s v="CUST8354"/>
        <s v="CUST7068"/>
        <s v="CUST2266"/>
        <s v="CUST2216"/>
        <s v="CUST3192"/>
        <s v="CUST2511"/>
        <s v="CUST7346"/>
        <s v="CUST8081"/>
        <s v="CUST4089"/>
        <s v="CUST2383"/>
        <s v="CUST3770"/>
        <s v="CUST2751"/>
        <s v="CUST5797"/>
        <s v="CUST3085"/>
        <s v="CUST9861"/>
        <s v="CUST8629"/>
        <s v="CUST8415"/>
        <s v="CUST8252"/>
        <s v="CUST5840"/>
        <s v="CUST1654"/>
        <s v="CUST5467"/>
        <s v="CUST8364"/>
        <s v="CUST5560"/>
        <s v="CUST9402"/>
        <s v="CUST1702"/>
        <s v="CUST3071"/>
        <s v="CUST2690"/>
        <s v="CUST4544"/>
        <s v="CUST9715"/>
        <s v="CUST7815"/>
        <s v="CUST4426"/>
        <s v="CUST5991"/>
        <s v="CUST8528"/>
        <s v="CUST6834"/>
        <s v="CUST9384"/>
        <s v="CUST6198"/>
        <s v="CUST3008"/>
        <s v="CUST4705"/>
        <s v="CUST9774"/>
        <s v="CUST9761"/>
        <s v="CUST5064"/>
        <s v="CUST1637"/>
        <s v="CUST1939"/>
        <s v="CUST9279"/>
        <s v="CUST8435"/>
        <s v="CUST4877"/>
        <s v="CUST2469"/>
        <s v="CUST6039"/>
        <s v="CUST6272"/>
        <s v="CUST1934"/>
        <s v="CUST9640"/>
        <s v="CUST2522"/>
        <s v="CUST9150"/>
        <s v="CUST9151"/>
        <s v="CUST7594"/>
        <s v="CUST6193"/>
        <s v="CUST3875"/>
        <s v="CUST6027"/>
        <s v="CUST5000"/>
        <s v="CUST5712"/>
        <s v="CUST2377"/>
        <s v="CUST3065"/>
        <s v="CUST4513"/>
        <s v="CUST9572"/>
        <s v="CUST9393"/>
        <s v="CUST4564"/>
        <s v="CUST1389"/>
        <s v="CUST4335"/>
        <s v="CUST4405"/>
        <s v="CUST1180"/>
        <s v="CUST1266"/>
        <s v="CUST5502"/>
        <s v="CUST8889"/>
        <s v="CUST4156"/>
        <s v="CUST5617"/>
        <s v="CUST5820"/>
        <s v="CUST8264"/>
        <s v="CUST7328"/>
        <s v="CUST7569"/>
        <s v="CUST4270"/>
        <s v="CUST4647"/>
        <s v="CUST3637"/>
        <s v="CUST5313"/>
        <s v="CUST3815"/>
        <s v="CUST3699"/>
        <s v="CUST6077"/>
        <s v="CUST9256"/>
        <s v="CUST6778"/>
        <s v="CUST3172"/>
        <s v="CUST9172"/>
        <s v="CUST6150"/>
        <s v="CUST6715"/>
        <s v="CUST8955"/>
        <s v="CUST8183"/>
        <s v="CUST7061"/>
        <s v="CUST8289"/>
        <s v="CUST2996"/>
        <s v="CUST2905"/>
        <s v="CUST8901"/>
        <s v="CUST1534"/>
        <s v="CUST2811"/>
        <s v="CUST2668"/>
        <s v="CUST6164"/>
        <s v="CUST9557"/>
        <s v="CUST5225"/>
        <s v="CUST9128"/>
        <s v="CUST8326"/>
        <s v="CUST8635"/>
        <s v="CUST9202"/>
        <s v="CUST5024"/>
        <s v="CUST1566"/>
        <s v="CUST6960"/>
        <s v="CUST3425"/>
        <s v="CUST4792"/>
        <s v="CUST9388"/>
        <s v="CUST4349"/>
        <s v="CUST2554"/>
        <s v="CUST8297"/>
        <s v="CUST4506"/>
        <s v="CUST9208"/>
        <s v="CUST1875"/>
        <s v="CUST7032"/>
        <s v="CUST1663"/>
        <s v="CUST7566"/>
        <s v="CUST7024"/>
        <s v="CUST4429"/>
        <s v="CUST8010"/>
        <s v="CUST3226"/>
        <s v="CUST4617"/>
        <s v="CUST8841"/>
        <s v="CUST4020"/>
        <s v="CUST7664"/>
        <s v="CUST4646"/>
        <s v="CUST5434"/>
        <s v="CUST1695"/>
        <s v="CUST6322"/>
        <s v="CUST6311"/>
        <s v="CUST6297"/>
        <s v="CUST7694"/>
        <s v="CUST2920"/>
        <s v="CUST7391"/>
        <s v="CUST9023"/>
        <s v="CUST5437"/>
        <s v="CUST1733"/>
        <s v="CUST4882"/>
        <s v="CUST4416"/>
        <s v="CUST3343"/>
        <s v="CUST7493"/>
        <s v="CUST1283"/>
        <s v="CUST6117"/>
        <s v="CUST3732"/>
        <s v="CUST4860"/>
        <s v="CUST6616"/>
        <s v="CUST1980"/>
        <s v="CUST6354"/>
        <s v="CUST6589"/>
        <s v="CUST9200"/>
        <s v="CUST5530"/>
        <s v="CUST4523"/>
        <s v="CUST1938"/>
        <s v="CUST4202"/>
        <s v="CUST8403"/>
        <s v="CUST3420"/>
        <s v="CUST2958"/>
        <s v="CUST1344"/>
        <s v="CUST5652"/>
        <s v="CUST1841"/>
        <s v="CUST3775"/>
        <s v="CUST9445"/>
        <s v="CUST7943"/>
        <s v="CUST3260"/>
        <s v="CUST1500"/>
        <s v="CUST7895"/>
        <s v="CUST4179"/>
        <s v="CUST5686"/>
        <s v="CUST4381"/>
        <s v="CUST2128"/>
        <s v="CUST5392"/>
        <s v="CUST5974"/>
        <s v="CUST1829"/>
        <s v="CUST4840"/>
        <s v="CUST1914"/>
        <s v="CUST9158"/>
        <s v="CUST5073"/>
        <s v="CUST9604"/>
        <s v="CUST4609"/>
        <s v="CUST3472"/>
        <s v="CUST9826"/>
        <s v="CUST8844"/>
        <s v="CUST3691"/>
        <s v="CUST6437"/>
        <s v="CUST9691"/>
        <s v="CUST6860"/>
        <s v="CUST9244"/>
        <s v="CUST6846"/>
        <s v="CUST2072"/>
        <s v="CUST2213"/>
        <s v="CUST7572"/>
        <s v="CUST3923"/>
        <s v="CUST5737"/>
        <s v="CUST3013"/>
        <s v="CUST2615"/>
        <s v="CUST6853"/>
        <s v="CUST2633"/>
        <s v="CUST3871"/>
        <s v="CUST2731"/>
        <s v="CUST9948"/>
        <s v="CUST6064"/>
        <s v="CUST5669"/>
        <s v="CUST6597"/>
        <s v="CUST5528"/>
        <s v="CUST2762"/>
        <s v="CUST8912"/>
        <s v="CUST9897"/>
        <s v="CUST6373"/>
        <s v="CUST1727"/>
        <s v="CUST1879"/>
        <s v="CUST1730"/>
        <s v="CUST2419"/>
        <s v="CUST4388"/>
        <s v="CUST3159"/>
        <s v="CUST9760"/>
        <s v="CUST8620"/>
        <s v="CUST1776"/>
        <s v="CUST8418"/>
        <s v="CUST7181"/>
        <s v="CUST1121"/>
        <s v="CUST5214"/>
        <s v="CUST7726"/>
        <s v="CUST8787"/>
        <s v="CUST1979"/>
        <s v="CUST1373"/>
        <s v="CUST2205"/>
        <s v="CUST3795"/>
        <s v="CUST9840"/>
        <s v="CUST7918"/>
        <s v="CUST2024"/>
        <s v="CUST5844"/>
        <s v="CUST7901"/>
        <s v="CUST5494"/>
        <s v="CUST3623"/>
        <s v="CUST5217"/>
        <s v="CUST2326"/>
        <s v="CUST6210"/>
        <s v="CUST6497"/>
        <s v="CUST7830"/>
        <s v="CUST1337"/>
        <s v="CUST3199"/>
        <s v="CUST1902"/>
        <s v="CUST9730"/>
        <s v="CUST3376"/>
        <s v="CUST5395"/>
        <s v="CUST7216"/>
        <s v="CUST4445"/>
        <s v="CUST2515"/>
        <s v="CUST3042"/>
        <s v="CUST5723"/>
        <s v="CUST9362"/>
        <s v="CUST9666"/>
        <s v="CUST7062"/>
        <s v="CUST6103"/>
        <s v="CUST4736"/>
        <s v="CUST9593"/>
        <s v="CUST6335"/>
        <s v="CUST4728"/>
        <s v="CUST8139"/>
        <s v="CUST9190"/>
        <s v="CUST1097"/>
        <s v="CUST4595"/>
        <s v="CUST2688"/>
        <s v="CUST1758"/>
        <s v="CUST2070"/>
        <s v="CUST9946"/>
        <s v="CUST8522"/>
        <s v="CUST4975"/>
        <s v="CUST8112"/>
        <s v="CUST7804"/>
        <s v="CUST9444"/>
        <m/>
      </sharedItems>
    </cacheField>
    <cacheField name="Customer_Segment" numFmtId="0">
      <sharedItems containsBlank="1" count="4">
        <s v="Consumer"/>
        <s v="Corporate"/>
        <s v="Home Office"/>
        <m/>
      </sharedItems>
    </cacheField>
    <cacheField name="Product_Category" numFmtId="0">
      <sharedItems containsBlank="1"/>
    </cacheField>
    <cacheField name="Sub_Category" numFmtId="0">
      <sharedItems containsBlank="1"/>
    </cacheField>
    <cacheField name="Product_Name" numFmtId="0">
      <sharedItems containsBlank="1"/>
    </cacheField>
    <cacheField name="Sales_Rep" numFmtId="0">
      <sharedItems containsBlank="1" count="7">
        <s v="Priya"/>
        <s v="Neha"/>
        <s v="Rahul"/>
        <s v="Sneha"/>
        <s v="Amit"/>
        <s v="Karan"/>
        <m/>
      </sharedItems>
    </cacheField>
    <cacheField name="Sales_Channel" numFmtId="0">
      <sharedItems containsBlank="1" count="3">
        <s v="Online"/>
        <s v="Offline"/>
        <m/>
      </sharedItems>
    </cacheField>
    <cacheField name="Payment_Mode" numFmtId="0">
      <sharedItems containsBlank="1"/>
    </cacheField>
    <cacheField name="Order_Priority" numFmtId="0">
      <sharedItems containsBlank="1"/>
    </cacheField>
    <cacheField name="Quantity" numFmtId="0">
      <sharedItems containsString="0" containsBlank="1" containsNumber="1" containsInteger="1" minValue="1" maxValue="10"/>
    </cacheField>
    <cacheField name="Unit_Price" numFmtId="0">
      <sharedItems containsString="0" containsBlank="1" containsNumber="1" containsInteger="1" minValue="543" maxValue="49992"/>
    </cacheField>
    <cacheField name="Discount_Percent" numFmtId="0">
      <sharedItems containsString="0" containsBlank="1" containsNumber="1" containsInteger="1" minValue="0" maxValue="20"/>
    </cacheField>
    <cacheField name="Revenue" numFmtId="0">
      <sharedItems containsString="0" containsBlank="1" containsNumber="1" minValue="591.85" maxValue="496130"/>
    </cacheField>
    <cacheField name="Profit" numFmtId="0">
      <sharedItems containsString="0" containsBlank="1" containsNumber="1" minValue="-58897.56" maxValue="125013.25"/>
    </cacheField>
    <cacheField name="Month" numFmtId="0">
      <sharedItems containsBlank="1" count="13">
        <s v="Mar"/>
        <s v="Jan"/>
        <s v="Jun"/>
        <s v="Nov"/>
        <s v="May"/>
        <s v="Feb"/>
        <s v="Apr"/>
        <s v="Sep"/>
        <s v="Aug"/>
        <s v="Dec"/>
        <s v="Oct"/>
        <s v="Jul"/>
        <m/>
      </sharedItems>
    </cacheField>
  </cacheFields>
  <extLst>
    <ext xmlns:x14="http://schemas.microsoft.com/office/spreadsheetml/2009/9/main" uri="{725AE2AE-9491-48be-B2B4-4EB974FC3084}">
      <x14:pivotCacheDefinition pivotCacheId="138970490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5.57700578704" createdVersion="8" refreshedVersion="8" minRefreshableVersion="3" recordCount="1500" xr:uid="{B5EF3449-75D0-45D4-8EDD-535AD474F687}">
  <cacheSource type="worksheet">
    <worksheetSource ref="G1:U1501" sheet="Sales_Data"/>
  </cacheSource>
  <cacheFields count="15">
    <cacheField name="City" numFmtId="0">
      <sharedItems/>
    </cacheField>
    <cacheField name="Customer_ID" numFmtId="0">
      <sharedItems/>
    </cacheField>
    <cacheField name="Customer_Segment" numFmtId="0">
      <sharedItems/>
    </cacheField>
    <cacheField name="Product_Category" numFmtId="0">
      <sharedItems/>
    </cacheField>
    <cacheField name="Sub_Category" numFmtId="0">
      <sharedItems/>
    </cacheField>
    <cacheField name="Product_Name" numFmtId="0">
      <sharedItems count="200">
        <s v="Product_71"/>
        <s v="Product_81"/>
        <s v="Product_67"/>
        <s v="Product_104"/>
        <s v="Product_174"/>
        <s v="Product_26"/>
        <s v="Product_45"/>
        <s v="Product_41"/>
        <s v="Product_191"/>
        <s v="Product_121"/>
        <s v="Product_21"/>
        <s v="Product_38"/>
        <s v="Product_189"/>
        <s v="Product_171"/>
        <s v="Product_162"/>
        <s v="Product_53"/>
        <s v="Product_110"/>
        <s v="Product_96"/>
        <s v="Product_199"/>
        <s v="Product_167"/>
        <s v="Product_198"/>
        <s v="Product_149"/>
        <s v="Product_113"/>
        <s v="Product_140"/>
        <s v="Product_183"/>
        <s v="Product_100"/>
        <s v="Product_143"/>
        <s v="Product_102"/>
        <s v="Product_192"/>
        <s v="Product_63"/>
        <s v="Product_79"/>
        <s v="Product_32"/>
        <s v="Product_42"/>
        <s v="Product_160"/>
        <s v="Product_88"/>
        <s v="Product_39"/>
        <s v="Product_47"/>
        <s v="Product_131"/>
        <s v="Product_190"/>
        <s v="Product_138"/>
        <s v="Product_141"/>
        <s v="Product_111"/>
        <s v="Product_98"/>
        <s v="Product_3"/>
        <s v="Product_163"/>
        <s v="Product_46"/>
        <s v="Product_10"/>
        <s v="Product_172"/>
        <s v="Product_74"/>
        <s v="Product_195"/>
        <s v="Product_36"/>
        <s v="Product_127"/>
        <s v="Product_33"/>
        <s v="Product_168"/>
        <s v="Product_94"/>
        <s v="Product_5"/>
        <s v="Product_123"/>
        <s v="Product_90"/>
        <s v="Product_31"/>
        <s v="Product_34"/>
        <s v="Product_57"/>
        <s v="Product_182"/>
        <s v="Product_158"/>
        <s v="Product_80"/>
        <s v="Product_142"/>
        <s v="Product_37"/>
        <s v="Product_7"/>
        <s v="Product_35"/>
        <s v="Product_78"/>
        <s v="Product_89"/>
        <s v="Product_56"/>
        <s v="Product_97"/>
        <s v="Product_49"/>
        <s v="Product_178"/>
        <s v="Product_159"/>
        <s v="Product_177"/>
        <s v="Product_116"/>
        <s v="Product_27"/>
        <s v="Product_154"/>
        <s v="Product_8"/>
        <s v="Product_91"/>
        <s v="Product_85"/>
        <s v="Product_120"/>
        <s v="Product_54"/>
        <s v="Product_101"/>
        <s v="Product_164"/>
        <s v="Product_11"/>
        <s v="Product_119"/>
        <s v="Product_105"/>
        <s v="Product_126"/>
        <s v="Product_175"/>
        <s v="Product_125"/>
        <s v="Product_52"/>
        <s v="Product_181"/>
        <s v="Product_146"/>
        <s v="Product_132"/>
        <s v="Product_161"/>
        <s v="Product_75"/>
        <s v="Product_137"/>
        <s v="Product_157"/>
        <s v="Product_22"/>
        <s v="Product_50"/>
        <s v="Product_93"/>
        <s v="Product_60"/>
        <s v="Product_179"/>
        <s v="Product_18"/>
        <s v="Product_200"/>
        <s v="Product_73"/>
        <s v="Product_197"/>
        <s v="Product_19"/>
        <s v="Product_9"/>
        <s v="Product_148"/>
        <s v="Product_44"/>
        <s v="Product_25"/>
        <s v="Product_76"/>
        <s v="Product_62"/>
        <s v="Product_155"/>
        <s v="Product_156"/>
        <s v="Product_130"/>
        <s v="Product_23"/>
        <s v="Product_114"/>
        <s v="Product_70"/>
        <s v="Product_2"/>
        <s v="Product_184"/>
        <s v="Product_95"/>
        <s v="Product_83"/>
        <s v="Product_176"/>
        <s v="Product_40"/>
        <s v="Product_84"/>
        <s v="Product_106"/>
        <s v="Product_112"/>
        <s v="Product_77"/>
        <s v="Product_17"/>
        <s v="Product_188"/>
        <s v="Product_107"/>
        <s v="Product_66"/>
        <s v="Product_13"/>
        <s v="Product_61"/>
        <s v="Product_150"/>
        <s v="Product_58"/>
        <s v="Product_196"/>
        <s v="Product_185"/>
        <s v="Product_82"/>
        <s v="Product_136"/>
        <s v="Product_166"/>
        <s v="Product_68"/>
        <s v="Product_48"/>
        <s v="Product_30"/>
        <s v="Product_92"/>
        <s v="Product_65"/>
        <s v="Product_86"/>
        <s v="Product_134"/>
        <s v="Product_170"/>
        <s v="Product_15"/>
        <s v="Product_152"/>
        <s v="Product_108"/>
        <s v="Product_194"/>
        <s v="Product_145"/>
        <s v="Product_128"/>
        <s v="Product_153"/>
        <s v="Product_103"/>
        <s v="Product_55"/>
        <s v="Product_59"/>
        <s v="Product_4"/>
        <s v="Product_165"/>
        <s v="Product_72"/>
        <s v="Product_129"/>
        <s v="Product_117"/>
        <s v="Product_115"/>
        <s v="Product_186"/>
        <s v="Product_14"/>
        <s v="Product_180"/>
        <s v="Product_144"/>
        <s v="Product_135"/>
        <s v="Product_169"/>
        <s v="Product_122"/>
        <s v="Product_29"/>
        <s v="Product_87"/>
        <s v="Product_173"/>
        <s v="Product_64"/>
        <s v="Product_16"/>
        <s v="Product_28"/>
        <s v="Product_51"/>
        <s v="Product_139"/>
        <s v="Product_69"/>
        <s v="Product_193"/>
        <s v="Product_147"/>
        <s v="Product_43"/>
        <s v="Product_118"/>
        <s v="Product_124"/>
        <s v="Product_1"/>
        <s v="Product_6"/>
        <s v="Product_24"/>
        <s v="Product_133"/>
        <s v="Product_12"/>
        <s v="Product_109"/>
        <s v="Product_20"/>
        <s v="Product_151"/>
        <s v="Product_187"/>
        <s v="Product_99"/>
      </sharedItems>
    </cacheField>
    <cacheField name="Sales_Rep" numFmtId="0">
      <sharedItems count="6">
        <s v="Priya"/>
        <s v="Neha"/>
        <s v="Rahul"/>
        <s v="Sneha"/>
        <s v="Amit"/>
        <s v="Karan"/>
      </sharedItems>
    </cacheField>
    <cacheField name="Sales_Channel" numFmtId="0">
      <sharedItems/>
    </cacheField>
    <cacheField name="Payment_Mode" numFmtId="0">
      <sharedItems/>
    </cacheField>
    <cacheField name="Order_Priority" numFmtId="0">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43" maxValue="49992"/>
    </cacheField>
    <cacheField name="Discount_Percent" numFmtId="2">
      <sharedItems containsSemiMixedTypes="0" containsString="0" containsNumber="1" containsInteger="1" minValue="0" maxValue="20"/>
    </cacheField>
    <cacheField name="Revenue" numFmtId="2">
      <sharedItems containsSemiMixedTypes="0" containsString="0" containsNumber="1" minValue="591.85" maxValue="496130"/>
    </cacheField>
    <cacheField name="Profit" numFmtId="0">
      <sharedItems containsSemiMixedTypes="0" containsString="0" containsNumber="1" minValue="-58897.56" maxValue="125013.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ORD00001"/>
    <x v="0"/>
    <x v="0"/>
    <x v="0"/>
    <s v="India"/>
    <s v="Gujarat"/>
    <s v="Delhi"/>
    <s v="CUST4440"/>
    <x v="0"/>
    <x v="0"/>
    <s v="Laptop"/>
    <s v="Product_71"/>
    <s v="Priya"/>
    <x v="0"/>
    <s v="UPI"/>
    <x v="0"/>
    <n v="10"/>
    <n v="20306"/>
    <n v="0"/>
    <n v="203060"/>
    <n v="57509.34"/>
  </r>
  <r>
    <s v="ORD00002"/>
    <x v="1"/>
    <x v="1"/>
    <x v="1"/>
    <s v="India"/>
    <s v="Tamil Nadu"/>
    <s v="Ahmedabad"/>
    <s v="CUST8089"/>
    <x v="1"/>
    <x v="0"/>
    <s v="Mobile"/>
    <s v="Product_81"/>
    <s v="Priya"/>
    <x v="0"/>
    <s v="Debit Card"/>
    <x v="1"/>
    <n v="2"/>
    <n v="14582"/>
    <n v="15"/>
    <n v="24789.4"/>
    <n v="-613.97"/>
  </r>
  <r>
    <s v="ORD00003"/>
    <x v="2"/>
    <x v="2"/>
    <x v="1"/>
    <s v="India"/>
    <s v="Gujarat"/>
    <s v="Delhi"/>
    <s v="CUST1835"/>
    <x v="0"/>
    <x v="0"/>
    <s v="Laptop"/>
    <s v="Product_67"/>
    <s v="Neha"/>
    <x v="1"/>
    <s v="UPI"/>
    <x v="1"/>
    <n v="10"/>
    <n v="13952"/>
    <n v="5"/>
    <n v="132544"/>
    <n v="9084.16"/>
  </r>
  <r>
    <s v="ORD00004"/>
    <x v="3"/>
    <x v="3"/>
    <x v="0"/>
    <s v="India"/>
    <s v="Maharashtra"/>
    <s v="Chennai"/>
    <s v="CUST2941"/>
    <x v="2"/>
    <x v="1"/>
    <s v="Printer"/>
    <s v="Product_104"/>
    <s v="Rahul"/>
    <x v="1"/>
    <s v="Credit Card"/>
    <x v="1"/>
    <n v="5"/>
    <n v="11152"/>
    <n v="0"/>
    <n v="55760"/>
    <n v="4747.33"/>
  </r>
  <r>
    <s v="ORD00005"/>
    <x v="4"/>
    <x v="4"/>
    <x v="0"/>
    <s v="India"/>
    <s v="Karnataka"/>
    <s v="Ahmedabad"/>
    <s v="CUST2592"/>
    <x v="1"/>
    <x v="1"/>
    <s v="Printer"/>
    <s v="Product_174"/>
    <s v="Sneha"/>
    <x v="1"/>
    <s v="UPI"/>
    <x v="2"/>
    <n v="1"/>
    <n v="32301"/>
    <n v="15"/>
    <n v="27455.85"/>
    <n v="3462.48"/>
  </r>
  <r>
    <s v="ORD00006"/>
    <x v="5"/>
    <x v="5"/>
    <x v="1"/>
    <s v="India"/>
    <s v="Tamil Nadu"/>
    <s v="Ahmedabad"/>
    <s v="CUST6138"/>
    <x v="2"/>
    <x v="2"/>
    <s v="Printer"/>
    <s v="Product_26"/>
    <s v="Amit"/>
    <x v="0"/>
    <s v="Net Banking"/>
    <x v="1"/>
    <n v="9"/>
    <n v="7072"/>
    <n v="0"/>
    <n v="63648"/>
    <n v="7268.29"/>
  </r>
  <r>
    <s v="ORD00007"/>
    <x v="6"/>
    <x v="6"/>
    <x v="0"/>
    <s v="India"/>
    <s v="Gujarat"/>
    <s v="Delhi"/>
    <s v="CUST5599"/>
    <x v="0"/>
    <x v="0"/>
    <s v="Table"/>
    <s v="Product_45"/>
    <s v="Neha"/>
    <x v="1"/>
    <s v="Debit Card"/>
    <x v="3"/>
    <n v="9"/>
    <n v="19348"/>
    <n v="15"/>
    <n v="148012.20000000001"/>
    <n v="24591.64"/>
  </r>
  <r>
    <s v="ORD00008"/>
    <x v="7"/>
    <x v="7"/>
    <x v="1"/>
    <s v="India"/>
    <s v="Tamil Nadu"/>
    <s v="Mumbai"/>
    <s v="CUST8187"/>
    <x v="2"/>
    <x v="2"/>
    <s v="Table"/>
    <s v="Product_41"/>
    <s v="Karan"/>
    <x v="1"/>
    <s v="Credit Card"/>
    <x v="2"/>
    <n v="3"/>
    <n v="46710"/>
    <n v="5"/>
    <n v="133123.5"/>
    <n v="25471.3"/>
  </r>
  <r>
    <s v="ORD00009"/>
    <x v="8"/>
    <x v="8"/>
    <x v="2"/>
    <s v="India"/>
    <s v="Tamil Nadu"/>
    <s v="Bangalore"/>
    <s v="CUST7814"/>
    <x v="2"/>
    <x v="0"/>
    <s v="Storage"/>
    <s v="Product_191"/>
    <s v="Neha"/>
    <x v="1"/>
    <s v="Net Banking"/>
    <x v="2"/>
    <n v="1"/>
    <n v="10787"/>
    <n v="5"/>
    <n v="10247.65"/>
    <n v="387.96"/>
  </r>
  <r>
    <s v="ORD00010"/>
    <x v="9"/>
    <x v="9"/>
    <x v="1"/>
    <s v="India"/>
    <s v="Tamil Nadu"/>
    <s v="Chennai"/>
    <s v="CUST7670"/>
    <x v="0"/>
    <x v="1"/>
    <s v="Printer"/>
    <s v="Product_174"/>
    <s v="Amit"/>
    <x v="1"/>
    <s v="Credit Card"/>
    <x v="2"/>
    <n v="2"/>
    <n v="46827"/>
    <n v="20"/>
    <n v="74923.199999999997"/>
    <n v="-7411.97"/>
  </r>
  <r>
    <s v="ORD00011"/>
    <x v="10"/>
    <x v="10"/>
    <x v="2"/>
    <s v="India"/>
    <s v="Karnataka"/>
    <s v="Ahmedabad"/>
    <s v="CUST6915"/>
    <x v="1"/>
    <x v="0"/>
    <s v="Printer"/>
    <s v="Product_121"/>
    <s v="Karan"/>
    <x v="1"/>
    <s v="Debit Card"/>
    <x v="0"/>
    <n v="7"/>
    <n v="18329"/>
    <n v="20"/>
    <n v="102642.4"/>
    <n v="-6604.92"/>
  </r>
  <r>
    <s v="ORD00012"/>
    <x v="11"/>
    <x v="11"/>
    <x v="0"/>
    <s v="India"/>
    <s v="Delhi"/>
    <s v="Chennai"/>
    <s v="CUST8342"/>
    <x v="0"/>
    <x v="2"/>
    <s v="Table"/>
    <s v="Product_21"/>
    <s v="Amit"/>
    <x v="1"/>
    <s v="Credit Card"/>
    <x v="3"/>
    <n v="8"/>
    <n v="49805"/>
    <n v="15"/>
    <n v="338674"/>
    <n v="55957.29"/>
  </r>
  <r>
    <s v="ORD00013"/>
    <x v="12"/>
    <x v="12"/>
    <x v="2"/>
    <s v="India"/>
    <s v="Gujarat"/>
    <s v="Ahmedabad"/>
    <s v="CUST1354"/>
    <x v="0"/>
    <x v="1"/>
    <s v="Printer"/>
    <s v="Product_38"/>
    <s v="Sneha"/>
    <x v="1"/>
    <s v="Cash"/>
    <x v="1"/>
    <n v="6"/>
    <n v="1782"/>
    <n v="15"/>
    <n v="9088.2000000000007"/>
    <n v="140.79"/>
  </r>
  <r>
    <s v="ORD00014"/>
    <x v="13"/>
    <x v="13"/>
    <x v="3"/>
    <s v="India"/>
    <s v="Gujarat"/>
    <s v="Chennai"/>
    <s v="CUST3362"/>
    <x v="2"/>
    <x v="1"/>
    <s v="Storage"/>
    <s v="Product_189"/>
    <s v="Neha"/>
    <x v="0"/>
    <s v="Cash"/>
    <x v="2"/>
    <n v="10"/>
    <n v="43616"/>
    <n v="10"/>
    <n v="392544"/>
    <n v="76026.78"/>
  </r>
  <r>
    <s v="ORD00015"/>
    <x v="14"/>
    <x v="14"/>
    <x v="0"/>
    <s v="India"/>
    <s v="Maharashtra"/>
    <s v="Delhi"/>
    <s v="CUST4065"/>
    <x v="0"/>
    <x v="1"/>
    <s v="Laptop"/>
    <s v="Product_171"/>
    <s v="Karan"/>
    <x v="0"/>
    <s v="Credit Card"/>
    <x v="3"/>
    <n v="1"/>
    <n v="45833"/>
    <n v="20"/>
    <n v="36666.400000000001"/>
    <n v="2315.79"/>
  </r>
  <r>
    <s v="ORD00016"/>
    <x v="15"/>
    <x v="15"/>
    <x v="3"/>
    <s v="India"/>
    <s v="Delhi"/>
    <s v="Delhi"/>
    <s v="CUST2455"/>
    <x v="1"/>
    <x v="2"/>
    <s v="Laptop"/>
    <s v="Product_162"/>
    <s v="Amit"/>
    <x v="0"/>
    <s v="Debit Card"/>
    <x v="0"/>
    <n v="5"/>
    <n v="48554"/>
    <n v="10"/>
    <n v="218493"/>
    <n v="-7450.51"/>
  </r>
  <r>
    <s v="ORD00017"/>
    <x v="16"/>
    <x v="16"/>
    <x v="0"/>
    <s v="India"/>
    <s v="Gujarat"/>
    <s v="Bangalore"/>
    <s v="CUST4464"/>
    <x v="2"/>
    <x v="0"/>
    <s v="Printer"/>
    <s v="Product_53"/>
    <s v="Karan"/>
    <x v="1"/>
    <s v="Cash"/>
    <x v="1"/>
    <n v="1"/>
    <n v="11708"/>
    <n v="20"/>
    <n v="9366.4"/>
    <n v="446.8"/>
  </r>
  <r>
    <s v="ORD00018"/>
    <x v="17"/>
    <x v="17"/>
    <x v="3"/>
    <s v="India"/>
    <s v="Delhi"/>
    <s v="Mumbai"/>
    <s v="CUST5173"/>
    <x v="1"/>
    <x v="2"/>
    <s v="Storage"/>
    <s v="Product_110"/>
    <s v="Karan"/>
    <x v="0"/>
    <s v="Credit Card"/>
    <x v="0"/>
    <n v="1"/>
    <n v="33837"/>
    <n v="5"/>
    <n v="32145.15"/>
    <n v="7005.04"/>
  </r>
  <r>
    <s v="ORD00019"/>
    <x v="18"/>
    <x v="18"/>
    <x v="0"/>
    <s v="India"/>
    <s v="Delhi"/>
    <s v="Mumbai"/>
    <s v="CUST5329"/>
    <x v="2"/>
    <x v="2"/>
    <s v="Storage"/>
    <s v="Product_96"/>
    <s v="Amit"/>
    <x v="0"/>
    <s v="Credit Card"/>
    <x v="1"/>
    <n v="5"/>
    <n v="31535"/>
    <n v="5"/>
    <n v="149791.25"/>
    <n v="19517.580000000002"/>
  </r>
  <r>
    <s v="ORD00020"/>
    <x v="19"/>
    <x v="19"/>
    <x v="2"/>
    <s v="India"/>
    <s v="Maharashtra"/>
    <s v="Ahmedabad"/>
    <s v="CUST8954"/>
    <x v="0"/>
    <x v="0"/>
    <s v="Chair"/>
    <s v="Product_199"/>
    <s v="Rahul"/>
    <x v="1"/>
    <s v="UPI"/>
    <x v="1"/>
    <n v="5"/>
    <n v="22152"/>
    <n v="20"/>
    <n v="88608"/>
    <n v="-199.08"/>
  </r>
  <r>
    <s v="ORD00021"/>
    <x v="20"/>
    <x v="20"/>
    <x v="1"/>
    <s v="India"/>
    <s v="Karnataka"/>
    <s v="Ahmedabad"/>
    <s v="CUST8438"/>
    <x v="0"/>
    <x v="2"/>
    <s v="Mobile"/>
    <s v="Product_167"/>
    <s v="Karan"/>
    <x v="1"/>
    <s v="Debit Card"/>
    <x v="3"/>
    <n v="5"/>
    <n v="12672"/>
    <n v="20"/>
    <n v="50688"/>
    <n v="-8257.99"/>
  </r>
  <r>
    <s v="ORD00022"/>
    <x v="21"/>
    <x v="21"/>
    <x v="0"/>
    <s v="India"/>
    <s v="Tamil Nadu"/>
    <s v="Chennai"/>
    <s v="CUST1307"/>
    <x v="1"/>
    <x v="1"/>
    <s v="Laptop"/>
    <s v="Product_198"/>
    <s v="Sneha"/>
    <x v="1"/>
    <s v="Credit Card"/>
    <x v="2"/>
    <n v="1"/>
    <n v="27817"/>
    <n v="0"/>
    <n v="27817"/>
    <n v="4426.18"/>
  </r>
  <r>
    <s v="ORD00023"/>
    <x v="22"/>
    <x v="22"/>
    <x v="1"/>
    <s v="India"/>
    <s v="Karnataka"/>
    <s v="Bangalore"/>
    <s v="CUST2802"/>
    <x v="0"/>
    <x v="1"/>
    <s v="Mobile"/>
    <s v="Product_149"/>
    <s v="Karan"/>
    <x v="0"/>
    <s v="Credit Card"/>
    <x v="2"/>
    <n v="4"/>
    <n v="48278"/>
    <n v="5"/>
    <n v="183456.4"/>
    <n v="33650.5"/>
  </r>
  <r>
    <s v="ORD00024"/>
    <x v="23"/>
    <x v="23"/>
    <x v="0"/>
    <s v="India"/>
    <s v="Maharashtra"/>
    <s v="Ahmedabad"/>
    <s v="CUST8708"/>
    <x v="0"/>
    <x v="2"/>
    <s v="Mobile"/>
    <s v="Product_113"/>
    <s v="Rahul"/>
    <x v="1"/>
    <s v="Cash"/>
    <x v="3"/>
    <n v="10"/>
    <n v="38128"/>
    <n v="10"/>
    <n v="343152"/>
    <n v="-1019.84"/>
  </r>
  <r>
    <s v="ORD00025"/>
    <x v="24"/>
    <x v="24"/>
    <x v="0"/>
    <s v="India"/>
    <s v="Tamil Nadu"/>
    <s v="Mumbai"/>
    <s v="CUST2523"/>
    <x v="1"/>
    <x v="2"/>
    <s v="Chair"/>
    <s v="Product_140"/>
    <s v="Priya"/>
    <x v="0"/>
    <s v="Net Banking"/>
    <x v="0"/>
    <n v="8"/>
    <n v="22162"/>
    <n v="5"/>
    <n v="168431.2"/>
    <n v="8707.5400000000009"/>
  </r>
  <r>
    <s v="ORD00026"/>
    <x v="25"/>
    <x v="25"/>
    <x v="1"/>
    <s v="India"/>
    <s v="Gujarat"/>
    <s v="Chennai"/>
    <s v="CUST3853"/>
    <x v="0"/>
    <x v="0"/>
    <s v="Storage"/>
    <s v="Product_183"/>
    <s v="Sneha"/>
    <x v="0"/>
    <s v="UPI"/>
    <x v="1"/>
    <n v="2"/>
    <n v="12053"/>
    <n v="20"/>
    <n v="19284.8"/>
    <n v="1865.84"/>
  </r>
  <r>
    <s v="ORD00027"/>
    <x v="26"/>
    <x v="26"/>
    <x v="0"/>
    <s v="India"/>
    <s v="Maharashtra"/>
    <s v="Mumbai"/>
    <s v="CUST1513"/>
    <x v="2"/>
    <x v="0"/>
    <s v="Chair"/>
    <s v="Product_100"/>
    <s v="Sneha"/>
    <x v="1"/>
    <s v="Debit Card"/>
    <x v="0"/>
    <n v="2"/>
    <n v="17652"/>
    <n v="10"/>
    <n v="31773.599999999999"/>
    <n v="1569.28"/>
  </r>
  <r>
    <s v="ORD00028"/>
    <x v="27"/>
    <x v="27"/>
    <x v="1"/>
    <s v="India"/>
    <s v="Karnataka"/>
    <s v="Ahmedabad"/>
    <s v="CUST8818"/>
    <x v="0"/>
    <x v="0"/>
    <s v="Mobile"/>
    <s v="Product_143"/>
    <s v="Sneha"/>
    <x v="1"/>
    <s v="Cash"/>
    <x v="0"/>
    <n v="8"/>
    <n v="46160"/>
    <n v="0"/>
    <n v="369280"/>
    <n v="107362.33"/>
  </r>
  <r>
    <s v="ORD00029"/>
    <x v="3"/>
    <x v="28"/>
    <x v="3"/>
    <s v="India"/>
    <s v="Maharashtra"/>
    <s v="Ahmedabad"/>
    <s v="CUST6939"/>
    <x v="1"/>
    <x v="0"/>
    <s v="Chair"/>
    <s v="Product_102"/>
    <s v="Priya"/>
    <x v="0"/>
    <s v="Net Banking"/>
    <x v="1"/>
    <n v="2"/>
    <n v="22972"/>
    <n v="15"/>
    <n v="39052.400000000001"/>
    <n v="1511.19"/>
  </r>
  <r>
    <s v="ORD00030"/>
    <x v="28"/>
    <x v="29"/>
    <x v="3"/>
    <s v="India"/>
    <s v="Tamil Nadu"/>
    <s v="Bangalore"/>
    <s v="CUST2807"/>
    <x v="0"/>
    <x v="2"/>
    <s v="Mobile"/>
    <s v="Product_192"/>
    <s v="Sneha"/>
    <x v="0"/>
    <s v="UPI"/>
    <x v="1"/>
    <n v="6"/>
    <n v="4276"/>
    <n v="20"/>
    <n v="20524.8"/>
    <n v="1634.75"/>
  </r>
  <r>
    <s v="ORD00031"/>
    <x v="29"/>
    <x v="30"/>
    <x v="2"/>
    <s v="India"/>
    <s v="Gujarat"/>
    <s v="Bangalore"/>
    <s v="CUST1788"/>
    <x v="0"/>
    <x v="1"/>
    <s v="Chair"/>
    <s v="Product_63"/>
    <s v="Sneha"/>
    <x v="0"/>
    <s v="Net Banking"/>
    <x v="3"/>
    <n v="5"/>
    <n v="28873"/>
    <n v="10"/>
    <n v="129928.5"/>
    <n v="-3398.82"/>
  </r>
  <r>
    <s v="ORD00032"/>
    <x v="30"/>
    <x v="31"/>
    <x v="2"/>
    <s v="India"/>
    <s v="Karnataka"/>
    <s v="Ahmedabad"/>
    <s v="CUST2825"/>
    <x v="2"/>
    <x v="2"/>
    <s v="Storage"/>
    <s v="Product_79"/>
    <s v="Rahul"/>
    <x v="1"/>
    <s v="Cash"/>
    <x v="3"/>
    <n v="9"/>
    <n v="49562"/>
    <n v="10"/>
    <n v="401452.2"/>
    <n v="9254.7900000000009"/>
  </r>
  <r>
    <s v="ORD00033"/>
    <x v="31"/>
    <x v="32"/>
    <x v="1"/>
    <s v="India"/>
    <s v="Maharashtra"/>
    <s v="Ahmedabad"/>
    <s v="CUST6448"/>
    <x v="0"/>
    <x v="1"/>
    <s v="Laptop"/>
    <s v="Product_32"/>
    <s v="Karan"/>
    <x v="0"/>
    <s v="UPI"/>
    <x v="2"/>
    <n v="9"/>
    <n v="12298"/>
    <n v="15"/>
    <n v="94079.7"/>
    <n v="-4681.93"/>
  </r>
  <r>
    <s v="ORD00034"/>
    <x v="32"/>
    <x v="33"/>
    <x v="2"/>
    <s v="India"/>
    <s v="Tamil Nadu"/>
    <s v="Chennai"/>
    <s v="CUST7215"/>
    <x v="2"/>
    <x v="1"/>
    <s v="Storage"/>
    <s v="Product_42"/>
    <s v="Karan"/>
    <x v="1"/>
    <s v="Credit Card"/>
    <x v="2"/>
    <n v="10"/>
    <n v="28052"/>
    <n v="0"/>
    <n v="280520"/>
    <n v="37539.019999999997"/>
  </r>
  <r>
    <s v="ORD00035"/>
    <x v="33"/>
    <x v="34"/>
    <x v="0"/>
    <s v="India"/>
    <s v="Delhi"/>
    <s v="Mumbai"/>
    <s v="CUST7564"/>
    <x v="2"/>
    <x v="0"/>
    <s v="Mobile"/>
    <s v="Product_160"/>
    <s v="Rahul"/>
    <x v="0"/>
    <s v="Cash"/>
    <x v="0"/>
    <n v="9"/>
    <n v="44223"/>
    <n v="15"/>
    <n v="338305.95"/>
    <n v="40479.160000000003"/>
  </r>
  <r>
    <s v="ORD00036"/>
    <x v="34"/>
    <x v="35"/>
    <x v="1"/>
    <s v="India"/>
    <s v="Karnataka"/>
    <s v="Delhi"/>
    <s v="CUST5385"/>
    <x v="2"/>
    <x v="0"/>
    <s v="Chair"/>
    <s v="Product_88"/>
    <s v="Amit"/>
    <x v="0"/>
    <s v="Net Banking"/>
    <x v="1"/>
    <n v="9"/>
    <n v="24314"/>
    <n v="0"/>
    <n v="218826"/>
    <n v="39737.33"/>
  </r>
  <r>
    <s v="ORD00037"/>
    <x v="35"/>
    <x v="36"/>
    <x v="0"/>
    <s v="India"/>
    <s v="Karnataka"/>
    <s v="Ahmedabad"/>
    <s v="CUST8744"/>
    <x v="2"/>
    <x v="0"/>
    <s v="Laptop"/>
    <s v="Product_39"/>
    <s v="Rahul"/>
    <x v="0"/>
    <s v="Credit Card"/>
    <x v="2"/>
    <n v="5"/>
    <n v="2210"/>
    <n v="10"/>
    <n v="9945"/>
    <n v="2039.84"/>
  </r>
  <r>
    <s v="ORD00038"/>
    <x v="36"/>
    <x v="37"/>
    <x v="0"/>
    <s v="India"/>
    <s v="Gujarat"/>
    <s v="Ahmedabad"/>
    <s v="CUST7261"/>
    <x v="1"/>
    <x v="2"/>
    <s v="Mobile"/>
    <s v="Product_47"/>
    <s v="Karan"/>
    <x v="0"/>
    <s v="Credit Card"/>
    <x v="3"/>
    <n v="8"/>
    <n v="17701"/>
    <n v="10"/>
    <n v="127447.2"/>
    <n v="26222.99"/>
  </r>
  <r>
    <s v="ORD00039"/>
    <x v="37"/>
    <x v="38"/>
    <x v="1"/>
    <s v="India"/>
    <s v="Maharashtra"/>
    <s v="Bangalore"/>
    <s v="CUST7148"/>
    <x v="0"/>
    <x v="0"/>
    <s v="Storage"/>
    <s v="Product_131"/>
    <s v="Priya"/>
    <x v="0"/>
    <s v="Net Banking"/>
    <x v="3"/>
    <n v="9"/>
    <n v="19442"/>
    <n v="20"/>
    <n v="139982.39999999999"/>
    <n v="-10571.29"/>
  </r>
  <r>
    <s v="ORD00040"/>
    <x v="38"/>
    <x v="39"/>
    <x v="0"/>
    <s v="India"/>
    <s v="Tamil Nadu"/>
    <s v="Delhi"/>
    <s v="CUST6541"/>
    <x v="2"/>
    <x v="1"/>
    <s v="Laptop"/>
    <s v="Product_190"/>
    <s v="Neha"/>
    <x v="0"/>
    <s v="Cash"/>
    <x v="3"/>
    <n v="9"/>
    <n v="13193"/>
    <n v="5"/>
    <n v="112800.15"/>
    <n v="15206.58"/>
  </r>
  <r>
    <s v="ORD00041"/>
    <x v="39"/>
    <x v="40"/>
    <x v="3"/>
    <s v="India"/>
    <s v="Karnataka"/>
    <s v="Bangalore"/>
    <s v="CUST9995"/>
    <x v="0"/>
    <x v="0"/>
    <s v="Storage"/>
    <s v="Product_138"/>
    <s v="Rahul"/>
    <x v="0"/>
    <s v="UPI"/>
    <x v="0"/>
    <n v="6"/>
    <n v="2013"/>
    <n v="20"/>
    <n v="9662.4"/>
    <n v="-455.29"/>
  </r>
  <r>
    <s v="ORD00042"/>
    <x v="40"/>
    <x v="41"/>
    <x v="0"/>
    <s v="India"/>
    <s v="Delhi"/>
    <s v="Mumbai"/>
    <s v="CUST5868"/>
    <x v="0"/>
    <x v="2"/>
    <s v="Table"/>
    <s v="Product_143"/>
    <s v="Neha"/>
    <x v="0"/>
    <s v="Debit Card"/>
    <x v="2"/>
    <n v="9"/>
    <n v="2647"/>
    <n v="10"/>
    <n v="21440.7"/>
    <n v="-284.89"/>
  </r>
  <r>
    <s v="ORD00043"/>
    <x v="41"/>
    <x v="42"/>
    <x v="2"/>
    <s v="India"/>
    <s v="Delhi"/>
    <s v="Mumbai"/>
    <s v="CUST5059"/>
    <x v="1"/>
    <x v="1"/>
    <s v="Mobile"/>
    <s v="Product_141"/>
    <s v="Priya"/>
    <x v="0"/>
    <s v="Cash"/>
    <x v="2"/>
    <n v="1"/>
    <n v="37076"/>
    <n v="5"/>
    <n v="35222.199999999997"/>
    <n v="2673.32"/>
  </r>
  <r>
    <s v="ORD00044"/>
    <x v="42"/>
    <x v="43"/>
    <x v="2"/>
    <s v="India"/>
    <s v="Karnataka"/>
    <s v="Ahmedabad"/>
    <s v="CUST9133"/>
    <x v="2"/>
    <x v="2"/>
    <s v="Laptop"/>
    <s v="Product_111"/>
    <s v="Amit"/>
    <x v="1"/>
    <s v="Cash"/>
    <x v="3"/>
    <n v="1"/>
    <n v="5395"/>
    <n v="20"/>
    <n v="4316"/>
    <n v="298.14999999999998"/>
  </r>
  <r>
    <s v="ORD00045"/>
    <x v="43"/>
    <x v="44"/>
    <x v="1"/>
    <s v="India"/>
    <s v="Maharashtra"/>
    <s v="Bangalore"/>
    <s v="CUST9869"/>
    <x v="2"/>
    <x v="1"/>
    <s v="Laptop"/>
    <s v="Product_63"/>
    <s v="Rahul"/>
    <x v="0"/>
    <s v="Net Banking"/>
    <x v="2"/>
    <n v="3"/>
    <n v="42319"/>
    <n v="0"/>
    <n v="126957"/>
    <n v="35149.85"/>
  </r>
  <r>
    <s v="ORD00046"/>
    <x v="44"/>
    <x v="43"/>
    <x v="2"/>
    <s v="India"/>
    <s v="Delhi"/>
    <s v="Bangalore"/>
    <s v="CUST7690"/>
    <x v="1"/>
    <x v="2"/>
    <s v="Storage"/>
    <s v="Product_98"/>
    <s v="Sneha"/>
    <x v="0"/>
    <s v="Credit Card"/>
    <x v="3"/>
    <n v="1"/>
    <n v="10408"/>
    <n v="10"/>
    <n v="9367.2000000000007"/>
    <n v="1859.89"/>
  </r>
  <r>
    <s v="ORD00047"/>
    <x v="45"/>
    <x v="45"/>
    <x v="0"/>
    <s v="India"/>
    <s v="Tamil Nadu"/>
    <s v="Ahmedabad"/>
    <s v="CUST6670"/>
    <x v="2"/>
    <x v="1"/>
    <s v="Mobile"/>
    <s v="Product_3"/>
    <s v="Karan"/>
    <x v="0"/>
    <s v="UPI"/>
    <x v="0"/>
    <n v="7"/>
    <n v="6480"/>
    <n v="15"/>
    <n v="38556"/>
    <n v="1119.9000000000001"/>
  </r>
  <r>
    <s v="ORD00048"/>
    <x v="46"/>
    <x v="46"/>
    <x v="1"/>
    <s v="India"/>
    <s v="Maharashtra"/>
    <s v="Mumbai"/>
    <s v="CUST8923"/>
    <x v="1"/>
    <x v="2"/>
    <s v="Storage"/>
    <s v="Product_163"/>
    <s v="Sneha"/>
    <x v="0"/>
    <s v="UPI"/>
    <x v="3"/>
    <n v="3"/>
    <n v="38540"/>
    <n v="0"/>
    <n v="115620"/>
    <n v="18664.79"/>
  </r>
  <r>
    <s v="ORD00049"/>
    <x v="47"/>
    <x v="47"/>
    <x v="0"/>
    <s v="India"/>
    <s v="Tamil Nadu"/>
    <s v="Mumbai"/>
    <s v="CUST9112"/>
    <x v="2"/>
    <x v="0"/>
    <s v="Storage"/>
    <s v="Product_46"/>
    <s v="Karan"/>
    <x v="0"/>
    <s v="Net Banking"/>
    <x v="3"/>
    <n v="9"/>
    <n v="39582"/>
    <n v="15"/>
    <n v="302802.3"/>
    <n v="-18114.96"/>
  </r>
  <r>
    <s v="ORD00050"/>
    <x v="48"/>
    <x v="48"/>
    <x v="0"/>
    <s v="India"/>
    <s v="Karnataka"/>
    <s v="Delhi"/>
    <s v="CUST6983"/>
    <x v="0"/>
    <x v="2"/>
    <s v="Table"/>
    <s v="Product_162"/>
    <s v="Neha"/>
    <x v="0"/>
    <s v="Cash"/>
    <x v="2"/>
    <n v="7"/>
    <n v="2517"/>
    <n v="0"/>
    <n v="17619"/>
    <n v="2195.6799999999998"/>
  </r>
  <r>
    <s v="ORD00051"/>
    <x v="49"/>
    <x v="49"/>
    <x v="0"/>
    <s v="India"/>
    <s v="Maharashtra"/>
    <s v="Delhi"/>
    <s v="CUST5978"/>
    <x v="2"/>
    <x v="2"/>
    <s v="Table"/>
    <s v="Product_10"/>
    <s v="Rahul"/>
    <x v="1"/>
    <s v="Cash"/>
    <x v="0"/>
    <n v="2"/>
    <n v="27999"/>
    <n v="5"/>
    <n v="53198.1"/>
    <n v="11279.91"/>
  </r>
  <r>
    <s v="ORD00052"/>
    <x v="50"/>
    <x v="50"/>
    <x v="3"/>
    <s v="India"/>
    <s v="Gujarat"/>
    <s v="Chennai"/>
    <s v="CUST6836"/>
    <x v="1"/>
    <x v="0"/>
    <s v="Storage"/>
    <s v="Product_172"/>
    <s v="Rahul"/>
    <x v="0"/>
    <s v="Cash"/>
    <x v="0"/>
    <n v="9"/>
    <n v="22737"/>
    <n v="10"/>
    <n v="184169.7"/>
    <n v="22380.92"/>
  </r>
  <r>
    <s v="ORD00053"/>
    <x v="51"/>
    <x v="51"/>
    <x v="3"/>
    <s v="India"/>
    <s v="Gujarat"/>
    <s v="Bangalore"/>
    <s v="CUST9993"/>
    <x v="0"/>
    <x v="0"/>
    <s v="Printer"/>
    <s v="Product_74"/>
    <s v="Sneha"/>
    <x v="0"/>
    <s v="UPI"/>
    <x v="1"/>
    <n v="6"/>
    <n v="16655"/>
    <n v="5"/>
    <n v="94933.5"/>
    <n v="9695.2199999999993"/>
  </r>
  <r>
    <s v="ORD00054"/>
    <x v="52"/>
    <x v="52"/>
    <x v="2"/>
    <s v="India"/>
    <s v="Tamil Nadu"/>
    <s v="Ahmedabad"/>
    <s v="CUST6903"/>
    <x v="0"/>
    <x v="0"/>
    <s v="Mobile"/>
    <s v="Product_195"/>
    <s v="Neha"/>
    <x v="0"/>
    <s v="Cash"/>
    <x v="1"/>
    <n v="1"/>
    <n v="7269"/>
    <n v="15"/>
    <n v="6178.65"/>
    <n v="624.47"/>
  </r>
  <r>
    <s v="ORD00055"/>
    <x v="53"/>
    <x v="53"/>
    <x v="0"/>
    <s v="India"/>
    <s v="Gujarat"/>
    <s v="Ahmedabad"/>
    <s v="CUST5183"/>
    <x v="0"/>
    <x v="0"/>
    <s v="Mobile"/>
    <s v="Product_36"/>
    <s v="Sneha"/>
    <x v="1"/>
    <s v="UPI"/>
    <x v="0"/>
    <n v="6"/>
    <n v="31953"/>
    <n v="15"/>
    <n v="162960.29999999999"/>
    <n v="21267.11"/>
  </r>
  <r>
    <s v="ORD00056"/>
    <x v="54"/>
    <x v="54"/>
    <x v="1"/>
    <s v="India"/>
    <s v="Delhi"/>
    <s v="Chennai"/>
    <s v="CUST2202"/>
    <x v="1"/>
    <x v="0"/>
    <s v="Storage"/>
    <s v="Product_127"/>
    <s v="Amit"/>
    <x v="0"/>
    <s v="UPI"/>
    <x v="1"/>
    <n v="3"/>
    <n v="22029"/>
    <n v="10"/>
    <n v="59478.3"/>
    <n v="9170.7800000000007"/>
  </r>
  <r>
    <s v="ORD00057"/>
    <x v="55"/>
    <x v="55"/>
    <x v="0"/>
    <s v="India"/>
    <s v="Karnataka"/>
    <s v="Chennai"/>
    <s v="CUST5466"/>
    <x v="2"/>
    <x v="2"/>
    <s v="Laptop"/>
    <s v="Product_33"/>
    <s v="Neha"/>
    <x v="0"/>
    <s v="Net Banking"/>
    <x v="0"/>
    <n v="3"/>
    <n v="21721"/>
    <n v="20"/>
    <n v="52130.400000000001"/>
    <n v="-7441.28"/>
  </r>
  <r>
    <s v="ORD00058"/>
    <x v="56"/>
    <x v="56"/>
    <x v="0"/>
    <s v="India"/>
    <s v="Maharashtra"/>
    <s v="Chennai"/>
    <s v="CUST5089"/>
    <x v="0"/>
    <x v="1"/>
    <s v="Laptop"/>
    <s v="Product_168"/>
    <s v="Amit"/>
    <x v="1"/>
    <s v="Debit Card"/>
    <x v="2"/>
    <n v="1"/>
    <n v="3069"/>
    <n v="15"/>
    <n v="2608.65"/>
    <n v="25.61"/>
  </r>
  <r>
    <s v="ORD00059"/>
    <x v="57"/>
    <x v="57"/>
    <x v="2"/>
    <s v="India"/>
    <s v="Tamil Nadu"/>
    <s v="Chennai"/>
    <s v="CUST7539"/>
    <x v="2"/>
    <x v="2"/>
    <s v="Mobile"/>
    <s v="Product_94"/>
    <s v="Neha"/>
    <x v="1"/>
    <s v="UPI"/>
    <x v="0"/>
    <n v="1"/>
    <n v="11582"/>
    <n v="5"/>
    <n v="11002.9"/>
    <n v="1490.66"/>
  </r>
  <r>
    <s v="ORD00060"/>
    <x v="58"/>
    <x v="58"/>
    <x v="1"/>
    <s v="India"/>
    <s v="Maharashtra"/>
    <s v="Bangalore"/>
    <s v="CUST7953"/>
    <x v="0"/>
    <x v="2"/>
    <s v="Chair"/>
    <s v="Product_5"/>
    <s v="Amit"/>
    <x v="1"/>
    <s v="Cash"/>
    <x v="2"/>
    <n v="1"/>
    <n v="16985"/>
    <n v="15"/>
    <n v="14437.25"/>
    <n v="1726.85"/>
  </r>
  <r>
    <s v="ORD00061"/>
    <x v="59"/>
    <x v="59"/>
    <x v="3"/>
    <s v="India"/>
    <s v="Maharashtra"/>
    <s v="Delhi"/>
    <s v="CUST7985"/>
    <x v="1"/>
    <x v="1"/>
    <s v="Storage"/>
    <s v="Product_123"/>
    <s v="Rahul"/>
    <x v="1"/>
    <s v="Credit Card"/>
    <x v="0"/>
    <n v="9"/>
    <n v="40039"/>
    <n v="10"/>
    <n v="324315.90000000002"/>
    <n v="-15534.79"/>
  </r>
  <r>
    <s v="ORD00062"/>
    <x v="60"/>
    <x v="60"/>
    <x v="3"/>
    <s v="India"/>
    <s v="Tamil Nadu"/>
    <s v="Bangalore"/>
    <s v="CUST2974"/>
    <x v="2"/>
    <x v="2"/>
    <s v="Chair"/>
    <s v="Product_90"/>
    <s v="Sneha"/>
    <x v="0"/>
    <s v="Debit Card"/>
    <x v="1"/>
    <n v="2"/>
    <n v="6526"/>
    <n v="20"/>
    <n v="10441.6"/>
    <n v="463.53"/>
  </r>
  <r>
    <s v="ORD00063"/>
    <x v="61"/>
    <x v="61"/>
    <x v="3"/>
    <s v="India"/>
    <s v="Tamil Nadu"/>
    <s v="Delhi"/>
    <s v="CUST8083"/>
    <x v="2"/>
    <x v="1"/>
    <s v="Printer"/>
    <s v="Product_31"/>
    <s v="Amit"/>
    <x v="1"/>
    <s v="Net Banking"/>
    <x v="2"/>
    <n v="10"/>
    <n v="29843"/>
    <n v="0"/>
    <n v="298430"/>
    <n v="34998.629999999997"/>
  </r>
  <r>
    <s v="ORD00064"/>
    <x v="62"/>
    <x v="62"/>
    <x v="2"/>
    <s v="India"/>
    <s v="Delhi"/>
    <s v="Chennai"/>
    <s v="CUST9447"/>
    <x v="1"/>
    <x v="1"/>
    <s v="Chair"/>
    <s v="Product_127"/>
    <s v="Neha"/>
    <x v="1"/>
    <s v="UPI"/>
    <x v="0"/>
    <n v="9"/>
    <n v="21033"/>
    <n v="5"/>
    <n v="179832.15"/>
    <n v="4508.28"/>
  </r>
  <r>
    <s v="ORD00065"/>
    <x v="63"/>
    <x v="63"/>
    <x v="3"/>
    <s v="India"/>
    <s v="Gujarat"/>
    <s v="Bangalore"/>
    <s v="CUST8333"/>
    <x v="2"/>
    <x v="2"/>
    <s v="Laptop"/>
    <s v="Product_32"/>
    <s v="Priya"/>
    <x v="1"/>
    <s v="Net Banking"/>
    <x v="1"/>
    <n v="6"/>
    <n v="48891"/>
    <n v="15"/>
    <n v="249344.1"/>
    <n v="28904.81"/>
  </r>
  <r>
    <s v="ORD00066"/>
    <x v="64"/>
    <x v="64"/>
    <x v="3"/>
    <s v="India"/>
    <s v="Tamil Nadu"/>
    <s v="Bangalore"/>
    <s v="CUST1065"/>
    <x v="1"/>
    <x v="2"/>
    <s v="Chair"/>
    <s v="Product_32"/>
    <s v="Karan"/>
    <x v="1"/>
    <s v="UPI"/>
    <x v="1"/>
    <n v="2"/>
    <n v="40993"/>
    <n v="15"/>
    <n v="69688.100000000006"/>
    <n v="9290.5"/>
  </r>
  <r>
    <s v="ORD00067"/>
    <x v="65"/>
    <x v="65"/>
    <x v="1"/>
    <s v="India"/>
    <s v="Tamil Nadu"/>
    <s v="Bangalore"/>
    <s v="CUST7191"/>
    <x v="2"/>
    <x v="1"/>
    <s v="Chair"/>
    <s v="Product_47"/>
    <s v="Karan"/>
    <x v="1"/>
    <s v="Debit Card"/>
    <x v="1"/>
    <n v="1"/>
    <n v="49746"/>
    <n v="10"/>
    <n v="44771.4"/>
    <n v="9525.2000000000007"/>
  </r>
  <r>
    <s v="ORD00068"/>
    <x v="66"/>
    <x v="66"/>
    <x v="3"/>
    <s v="India"/>
    <s v="Gujarat"/>
    <s v="Delhi"/>
    <s v="CUST6154"/>
    <x v="2"/>
    <x v="0"/>
    <s v="Table"/>
    <s v="Product_34"/>
    <s v="Neha"/>
    <x v="1"/>
    <s v="Cash"/>
    <x v="0"/>
    <n v="8"/>
    <n v="33743"/>
    <n v="0"/>
    <n v="269944"/>
    <n v="41092.99"/>
  </r>
  <r>
    <s v="ORD00069"/>
    <x v="67"/>
    <x v="67"/>
    <x v="0"/>
    <s v="India"/>
    <s v="Delhi"/>
    <s v="Delhi"/>
    <s v="CUST7382"/>
    <x v="0"/>
    <x v="1"/>
    <s v="Storage"/>
    <s v="Product_192"/>
    <s v="Rahul"/>
    <x v="0"/>
    <s v="Credit Card"/>
    <x v="0"/>
    <n v="6"/>
    <n v="22810"/>
    <n v="15"/>
    <n v="116331"/>
    <n v="-6227.99"/>
  </r>
  <r>
    <s v="ORD00070"/>
    <x v="68"/>
    <x v="68"/>
    <x v="3"/>
    <s v="India"/>
    <s v="Tamil Nadu"/>
    <s v="Bangalore"/>
    <s v="CUST3474"/>
    <x v="0"/>
    <x v="0"/>
    <s v="Laptop"/>
    <s v="Product_57"/>
    <s v="Neha"/>
    <x v="0"/>
    <s v="Cash"/>
    <x v="0"/>
    <n v="3"/>
    <n v="19919"/>
    <n v="10"/>
    <n v="53781.3"/>
    <n v="-94.41"/>
  </r>
  <r>
    <s v="ORD00071"/>
    <x v="69"/>
    <x v="69"/>
    <x v="1"/>
    <s v="India"/>
    <s v="Tamil Nadu"/>
    <s v="Bangalore"/>
    <s v="CUST8507"/>
    <x v="2"/>
    <x v="2"/>
    <s v="Mobile"/>
    <s v="Product_182"/>
    <s v="Karan"/>
    <x v="0"/>
    <s v="Net Banking"/>
    <x v="0"/>
    <n v="7"/>
    <n v="46901"/>
    <n v="0"/>
    <n v="328307"/>
    <n v="79228.19"/>
  </r>
  <r>
    <s v="ORD00072"/>
    <x v="70"/>
    <x v="70"/>
    <x v="0"/>
    <s v="India"/>
    <s v="Tamil Nadu"/>
    <s v="Delhi"/>
    <s v="CUST7524"/>
    <x v="1"/>
    <x v="0"/>
    <s v="Laptop"/>
    <s v="Product_53"/>
    <s v="Rahul"/>
    <x v="1"/>
    <s v="UPI"/>
    <x v="1"/>
    <n v="10"/>
    <n v="13575"/>
    <n v="20"/>
    <n v="108600"/>
    <n v="-8226.32"/>
  </r>
  <r>
    <s v="ORD00073"/>
    <x v="71"/>
    <x v="71"/>
    <x v="0"/>
    <s v="India"/>
    <s v="Tamil Nadu"/>
    <s v="Mumbai"/>
    <s v="CUST6567"/>
    <x v="1"/>
    <x v="2"/>
    <s v="Printer"/>
    <s v="Product_158"/>
    <s v="Priya"/>
    <x v="1"/>
    <s v="Net Banking"/>
    <x v="2"/>
    <n v="2"/>
    <n v="46265"/>
    <n v="20"/>
    <n v="74024"/>
    <n v="8076.27"/>
  </r>
  <r>
    <s v="ORD00074"/>
    <x v="72"/>
    <x v="72"/>
    <x v="0"/>
    <s v="India"/>
    <s v="Gujarat"/>
    <s v="Mumbai"/>
    <s v="CUST3952"/>
    <x v="0"/>
    <x v="2"/>
    <s v="Mobile"/>
    <s v="Product_80"/>
    <s v="Amit"/>
    <x v="1"/>
    <s v="Net Banking"/>
    <x v="3"/>
    <n v="1"/>
    <n v="34505"/>
    <n v="0"/>
    <n v="34505"/>
    <n v="4695.21"/>
  </r>
  <r>
    <s v="ORD00075"/>
    <x v="73"/>
    <x v="73"/>
    <x v="0"/>
    <s v="India"/>
    <s v="Delhi"/>
    <s v="Delhi"/>
    <s v="CUST9996"/>
    <x v="0"/>
    <x v="1"/>
    <s v="Storage"/>
    <s v="Product_81"/>
    <s v="Neha"/>
    <x v="1"/>
    <s v="UPI"/>
    <x v="3"/>
    <n v="6"/>
    <n v="31758"/>
    <n v="10"/>
    <n v="171493.2"/>
    <n v="23715.74"/>
  </r>
  <r>
    <s v="ORD00076"/>
    <x v="74"/>
    <x v="74"/>
    <x v="0"/>
    <s v="India"/>
    <s v="Karnataka"/>
    <s v="Mumbai"/>
    <s v="CUST9786"/>
    <x v="2"/>
    <x v="0"/>
    <s v="Storage"/>
    <s v="Product_142"/>
    <s v="Amit"/>
    <x v="1"/>
    <s v="Credit Card"/>
    <x v="1"/>
    <n v="1"/>
    <n v="20483"/>
    <n v="5"/>
    <n v="19458.849999999999"/>
    <n v="4675.03"/>
  </r>
  <r>
    <s v="ORD00077"/>
    <x v="75"/>
    <x v="75"/>
    <x v="2"/>
    <s v="India"/>
    <s v="Karnataka"/>
    <s v="Bangalore"/>
    <s v="CUST5082"/>
    <x v="0"/>
    <x v="2"/>
    <s v="Printer"/>
    <s v="Product_143"/>
    <s v="Sneha"/>
    <x v="0"/>
    <s v="Debit Card"/>
    <x v="2"/>
    <n v="2"/>
    <n v="43128"/>
    <n v="0"/>
    <n v="86256"/>
    <n v="8414.7999999999993"/>
  </r>
  <r>
    <s v="ORD00078"/>
    <x v="76"/>
    <x v="45"/>
    <x v="2"/>
    <s v="India"/>
    <s v="Delhi"/>
    <s v="Delhi"/>
    <s v="CUST8982"/>
    <x v="1"/>
    <x v="0"/>
    <s v="Chair"/>
    <s v="Product_162"/>
    <s v="Amit"/>
    <x v="1"/>
    <s v="Credit Card"/>
    <x v="1"/>
    <n v="4"/>
    <n v="23649"/>
    <n v="15"/>
    <n v="80406.600000000006"/>
    <n v="-154.80000000000001"/>
  </r>
  <r>
    <s v="ORD00079"/>
    <x v="77"/>
    <x v="76"/>
    <x v="3"/>
    <s v="India"/>
    <s v="Karnataka"/>
    <s v="Bangalore"/>
    <s v="CUST5045"/>
    <x v="1"/>
    <x v="2"/>
    <s v="Chair"/>
    <s v="Product_37"/>
    <s v="Priya"/>
    <x v="1"/>
    <s v="Net Banking"/>
    <x v="2"/>
    <n v="1"/>
    <n v="10430"/>
    <n v="20"/>
    <n v="8344"/>
    <n v="897.55"/>
  </r>
  <r>
    <s v="ORD00080"/>
    <x v="78"/>
    <x v="77"/>
    <x v="3"/>
    <s v="India"/>
    <s v="Gujarat"/>
    <s v="Chennai"/>
    <s v="CUST4475"/>
    <x v="0"/>
    <x v="0"/>
    <s v="Chair"/>
    <s v="Product_7"/>
    <s v="Priya"/>
    <x v="1"/>
    <s v="Net Banking"/>
    <x v="0"/>
    <n v="3"/>
    <n v="47483"/>
    <n v="10"/>
    <n v="128204.1"/>
    <n v="27673.09"/>
  </r>
  <r>
    <s v="ORD00081"/>
    <x v="79"/>
    <x v="78"/>
    <x v="3"/>
    <s v="India"/>
    <s v="Delhi"/>
    <s v="Mumbai"/>
    <s v="CUST5055"/>
    <x v="1"/>
    <x v="2"/>
    <s v="Table"/>
    <s v="Product_35"/>
    <s v="Rahul"/>
    <x v="0"/>
    <s v="Debit Card"/>
    <x v="0"/>
    <n v="1"/>
    <n v="7749"/>
    <n v="10"/>
    <n v="6974.1"/>
    <n v="-93.3"/>
  </r>
  <r>
    <s v="ORD00082"/>
    <x v="80"/>
    <x v="79"/>
    <x v="3"/>
    <s v="India"/>
    <s v="Maharashtra"/>
    <s v="Ahmedabad"/>
    <s v="CUST6296"/>
    <x v="1"/>
    <x v="1"/>
    <s v="Mobile"/>
    <s v="Product_189"/>
    <s v="Amit"/>
    <x v="0"/>
    <s v="UPI"/>
    <x v="3"/>
    <n v="4"/>
    <n v="38305"/>
    <n v="5"/>
    <n v="145559"/>
    <n v="2401.2600000000002"/>
  </r>
  <r>
    <s v="ORD00083"/>
    <x v="81"/>
    <x v="80"/>
    <x v="2"/>
    <s v="India"/>
    <s v="Gujarat"/>
    <s v="Chennai"/>
    <s v="CUST9264"/>
    <x v="1"/>
    <x v="1"/>
    <s v="Laptop"/>
    <s v="Product_78"/>
    <s v="Priya"/>
    <x v="1"/>
    <s v="Cash"/>
    <x v="2"/>
    <n v="9"/>
    <n v="44147"/>
    <n v="5"/>
    <n v="377456.85"/>
    <n v="12759.5"/>
  </r>
  <r>
    <s v="ORD00084"/>
    <x v="82"/>
    <x v="81"/>
    <x v="2"/>
    <s v="India"/>
    <s v="Tamil Nadu"/>
    <s v="Delhi"/>
    <s v="CUST9984"/>
    <x v="1"/>
    <x v="1"/>
    <s v="Mobile"/>
    <s v="Product_74"/>
    <s v="Sneha"/>
    <x v="1"/>
    <s v="UPI"/>
    <x v="0"/>
    <n v="3"/>
    <n v="22823"/>
    <n v="10"/>
    <n v="61622.1"/>
    <n v="1323.26"/>
  </r>
  <r>
    <s v="ORD00085"/>
    <x v="83"/>
    <x v="82"/>
    <x v="2"/>
    <s v="India"/>
    <s v="Delhi"/>
    <s v="Delhi"/>
    <s v="CUST6997"/>
    <x v="1"/>
    <x v="1"/>
    <s v="Printer"/>
    <s v="Product_89"/>
    <s v="Karan"/>
    <x v="1"/>
    <s v="Credit Card"/>
    <x v="2"/>
    <n v="9"/>
    <n v="45015"/>
    <n v="5"/>
    <n v="384878.25"/>
    <n v="78778.2"/>
  </r>
  <r>
    <s v="ORD00086"/>
    <x v="84"/>
    <x v="83"/>
    <x v="0"/>
    <s v="India"/>
    <s v="Gujarat"/>
    <s v="Ahmedabad"/>
    <s v="CUST5816"/>
    <x v="1"/>
    <x v="1"/>
    <s v="Laptop"/>
    <s v="Product_138"/>
    <s v="Karan"/>
    <x v="1"/>
    <s v="Net Banking"/>
    <x v="0"/>
    <n v="8"/>
    <n v="1845"/>
    <n v="5"/>
    <n v="14022"/>
    <n v="639.20000000000005"/>
  </r>
  <r>
    <s v="ORD00087"/>
    <x v="85"/>
    <x v="84"/>
    <x v="0"/>
    <s v="India"/>
    <s v="Maharashtra"/>
    <s v="Delhi"/>
    <s v="CUST5769"/>
    <x v="1"/>
    <x v="1"/>
    <s v="Storage"/>
    <s v="Product_67"/>
    <s v="Priya"/>
    <x v="0"/>
    <s v="Debit Card"/>
    <x v="1"/>
    <n v="8"/>
    <n v="39976"/>
    <n v="10"/>
    <n v="287827.20000000001"/>
    <n v="-5343.6"/>
  </r>
  <r>
    <s v="ORD00088"/>
    <x v="72"/>
    <x v="85"/>
    <x v="3"/>
    <s v="India"/>
    <s v="Delhi"/>
    <s v="Ahmedabad"/>
    <s v="CUST7132"/>
    <x v="0"/>
    <x v="1"/>
    <s v="Table"/>
    <s v="Product_56"/>
    <s v="Sneha"/>
    <x v="1"/>
    <s v="Debit Card"/>
    <x v="1"/>
    <n v="7"/>
    <n v="34006"/>
    <n v="5"/>
    <n v="226139.9"/>
    <n v="52832.74"/>
  </r>
  <r>
    <s v="ORD00089"/>
    <x v="86"/>
    <x v="86"/>
    <x v="0"/>
    <s v="India"/>
    <s v="Gujarat"/>
    <s v="Bangalore"/>
    <s v="CUST8469"/>
    <x v="0"/>
    <x v="1"/>
    <s v="Table"/>
    <s v="Product_97"/>
    <s v="Sneha"/>
    <x v="1"/>
    <s v="Cash"/>
    <x v="3"/>
    <n v="1"/>
    <n v="49524"/>
    <n v="20"/>
    <n v="39619.199999999997"/>
    <n v="-4328.33"/>
  </r>
  <r>
    <s v="ORD00090"/>
    <x v="87"/>
    <x v="87"/>
    <x v="1"/>
    <s v="India"/>
    <s v="Maharashtra"/>
    <s v="Mumbai"/>
    <s v="CUST1298"/>
    <x v="2"/>
    <x v="0"/>
    <s v="Laptop"/>
    <s v="Product_21"/>
    <s v="Sneha"/>
    <x v="0"/>
    <s v="Net Banking"/>
    <x v="2"/>
    <n v="2"/>
    <n v="31121"/>
    <n v="0"/>
    <n v="62242"/>
    <n v="16875.41"/>
  </r>
  <r>
    <s v="ORD00091"/>
    <x v="88"/>
    <x v="88"/>
    <x v="3"/>
    <s v="India"/>
    <s v="Maharashtra"/>
    <s v="Mumbai"/>
    <s v="CUST8674"/>
    <x v="1"/>
    <x v="0"/>
    <s v="Storage"/>
    <s v="Product_195"/>
    <s v="Neha"/>
    <x v="1"/>
    <s v="Cash"/>
    <x v="1"/>
    <n v="6"/>
    <n v="8947"/>
    <n v="20"/>
    <n v="42945.599999999999"/>
    <n v="-6338.81"/>
  </r>
  <r>
    <s v="ORD00092"/>
    <x v="89"/>
    <x v="89"/>
    <x v="0"/>
    <s v="India"/>
    <s v="Maharashtra"/>
    <s v="Bangalore"/>
    <s v="CUST2097"/>
    <x v="2"/>
    <x v="2"/>
    <s v="Storage"/>
    <s v="Product_138"/>
    <s v="Sneha"/>
    <x v="0"/>
    <s v="UPI"/>
    <x v="3"/>
    <n v="4"/>
    <n v="15181"/>
    <n v="20"/>
    <n v="48579.199999999997"/>
    <n v="-1049.79"/>
  </r>
  <r>
    <s v="ORD00093"/>
    <x v="90"/>
    <x v="90"/>
    <x v="0"/>
    <s v="India"/>
    <s v="Gujarat"/>
    <s v="Mumbai"/>
    <s v="CUST1862"/>
    <x v="2"/>
    <x v="1"/>
    <s v="Mobile"/>
    <s v="Product_49"/>
    <s v="Neha"/>
    <x v="0"/>
    <s v="UPI"/>
    <x v="1"/>
    <n v="7"/>
    <n v="15832"/>
    <n v="15"/>
    <n v="94200.4"/>
    <n v="9994.42"/>
  </r>
  <r>
    <s v="ORD00094"/>
    <x v="91"/>
    <x v="91"/>
    <x v="0"/>
    <s v="India"/>
    <s v="Karnataka"/>
    <s v="Ahmedabad"/>
    <s v="CUST6032"/>
    <x v="2"/>
    <x v="2"/>
    <s v="Laptop"/>
    <s v="Product_178"/>
    <s v="Amit"/>
    <x v="0"/>
    <s v="Cash"/>
    <x v="2"/>
    <n v="5"/>
    <n v="22130"/>
    <n v="15"/>
    <n v="94052.5"/>
    <n v="11262.15"/>
  </r>
  <r>
    <s v="ORD00095"/>
    <x v="92"/>
    <x v="92"/>
    <x v="3"/>
    <s v="India"/>
    <s v="Delhi"/>
    <s v="Ahmedabad"/>
    <s v="CUST3015"/>
    <x v="0"/>
    <x v="0"/>
    <s v="Mobile"/>
    <s v="Product_159"/>
    <s v="Amit"/>
    <x v="0"/>
    <s v="Cash"/>
    <x v="2"/>
    <n v="7"/>
    <n v="5830"/>
    <n v="10"/>
    <n v="36729"/>
    <n v="3466.42"/>
  </r>
  <r>
    <s v="ORD00096"/>
    <x v="93"/>
    <x v="93"/>
    <x v="3"/>
    <s v="India"/>
    <s v="Tamil Nadu"/>
    <s v="Ahmedabad"/>
    <s v="CUST4460"/>
    <x v="2"/>
    <x v="0"/>
    <s v="Storage"/>
    <s v="Product_177"/>
    <s v="Priya"/>
    <x v="0"/>
    <s v="UPI"/>
    <x v="3"/>
    <n v="8"/>
    <n v="20595"/>
    <n v="15"/>
    <n v="140046"/>
    <n v="8084.29"/>
  </r>
  <r>
    <s v="ORD00097"/>
    <x v="94"/>
    <x v="94"/>
    <x v="3"/>
    <s v="India"/>
    <s v="Gujarat"/>
    <s v="Chennai"/>
    <s v="CUST6195"/>
    <x v="1"/>
    <x v="1"/>
    <s v="Printer"/>
    <s v="Product_116"/>
    <s v="Karan"/>
    <x v="0"/>
    <s v="UPI"/>
    <x v="2"/>
    <n v="6"/>
    <n v="31309"/>
    <n v="0"/>
    <n v="187854"/>
    <n v="34743.599999999999"/>
  </r>
  <r>
    <s v="ORD00098"/>
    <x v="74"/>
    <x v="62"/>
    <x v="2"/>
    <s v="India"/>
    <s v="Maharashtra"/>
    <s v="Bangalore"/>
    <s v="CUST2640"/>
    <x v="2"/>
    <x v="1"/>
    <s v="Mobile"/>
    <s v="Product_27"/>
    <s v="Karan"/>
    <x v="1"/>
    <s v="UPI"/>
    <x v="2"/>
    <n v="7"/>
    <n v="14125"/>
    <n v="10"/>
    <n v="88987.5"/>
    <n v="14467.68"/>
  </r>
  <r>
    <s v="ORD00099"/>
    <x v="95"/>
    <x v="2"/>
    <x v="3"/>
    <s v="India"/>
    <s v="Gujarat"/>
    <s v="Mumbai"/>
    <s v="CUST5576"/>
    <x v="1"/>
    <x v="1"/>
    <s v="Mobile"/>
    <s v="Product_158"/>
    <s v="Sneha"/>
    <x v="1"/>
    <s v="Credit Card"/>
    <x v="0"/>
    <n v="4"/>
    <n v="46327"/>
    <n v="20"/>
    <n v="148246.39999999999"/>
    <n v="15403.74"/>
  </r>
  <r>
    <s v="ORD00100"/>
    <x v="96"/>
    <x v="95"/>
    <x v="1"/>
    <s v="India"/>
    <s v="Gujarat"/>
    <s v="Chennai"/>
    <s v="CUST7782"/>
    <x v="2"/>
    <x v="0"/>
    <s v="Table"/>
    <s v="Product_154"/>
    <s v="Neha"/>
    <x v="0"/>
    <s v="Debit Card"/>
    <x v="2"/>
    <n v="5"/>
    <n v="37007"/>
    <n v="5"/>
    <n v="175783.25"/>
    <n v="30785.91"/>
  </r>
  <r>
    <s v="ORD00101"/>
    <x v="97"/>
    <x v="96"/>
    <x v="1"/>
    <s v="India"/>
    <s v="Gujarat"/>
    <s v="Mumbai"/>
    <s v="CUST8176"/>
    <x v="0"/>
    <x v="1"/>
    <s v="Printer"/>
    <s v="Product_8"/>
    <s v="Sneha"/>
    <x v="1"/>
    <s v="UPI"/>
    <x v="2"/>
    <n v="5"/>
    <n v="27167"/>
    <n v="5"/>
    <n v="129043.25"/>
    <n v="3705.82"/>
  </r>
  <r>
    <s v="ORD00102"/>
    <x v="98"/>
    <x v="37"/>
    <x v="3"/>
    <s v="India"/>
    <s v="Karnataka"/>
    <s v="Delhi"/>
    <s v="CUST6797"/>
    <x v="1"/>
    <x v="1"/>
    <s v="Laptop"/>
    <s v="Product_91"/>
    <s v="Karan"/>
    <x v="0"/>
    <s v="Cash"/>
    <x v="2"/>
    <n v="10"/>
    <n v="42405"/>
    <n v="5"/>
    <n v="402847.5"/>
    <n v="21646.7"/>
  </r>
  <r>
    <s v="ORD00103"/>
    <x v="99"/>
    <x v="95"/>
    <x v="3"/>
    <s v="India"/>
    <s v="Gujarat"/>
    <s v="Delhi"/>
    <s v="CUST9261"/>
    <x v="2"/>
    <x v="2"/>
    <s v="Mobile"/>
    <s v="Product_85"/>
    <s v="Sneha"/>
    <x v="0"/>
    <s v="Debit Card"/>
    <x v="2"/>
    <n v="3"/>
    <n v="31668"/>
    <n v="10"/>
    <n v="85503.6"/>
    <n v="-1091.32"/>
  </r>
  <r>
    <s v="ORD00104"/>
    <x v="100"/>
    <x v="97"/>
    <x v="0"/>
    <s v="India"/>
    <s v="Tamil Nadu"/>
    <s v="Ahmedabad"/>
    <s v="CUST8312"/>
    <x v="0"/>
    <x v="0"/>
    <s v="Mobile"/>
    <s v="Product_10"/>
    <s v="Neha"/>
    <x v="0"/>
    <s v="Credit Card"/>
    <x v="3"/>
    <n v="6"/>
    <n v="41947"/>
    <n v="15"/>
    <n v="213929.7"/>
    <n v="9647.39"/>
  </r>
  <r>
    <s v="ORD00105"/>
    <x v="101"/>
    <x v="98"/>
    <x v="2"/>
    <s v="India"/>
    <s v="Delhi"/>
    <s v="Mumbai"/>
    <s v="CUST1222"/>
    <x v="0"/>
    <x v="0"/>
    <s v="Table"/>
    <s v="Product_56"/>
    <s v="Karan"/>
    <x v="1"/>
    <s v="Cash"/>
    <x v="3"/>
    <n v="6"/>
    <n v="13704"/>
    <n v="15"/>
    <n v="69890.399999999994"/>
    <n v="5566.02"/>
  </r>
  <r>
    <s v="ORD00106"/>
    <x v="102"/>
    <x v="99"/>
    <x v="2"/>
    <s v="India"/>
    <s v="Maharashtra"/>
    <s v="Chennai"/>
    <s v="CUST1535"/>
    <x v="0"/>
    <x v="2"/>
    <s v="Chair"/>
    <s v="Product_89"/>
    <s v="Priya"/>
    <x v="0"/>
    <s v="UPI"/>
    <x v="2"/>
    <n v="8"/>
    <n v="25509"/>
    <n v="10"/>
    <n v="183664.8"/>
    <n v="-3295.76"/>
  </r>
  <r>
    <s v="ORD00107"/>
    <x v="103"/>
    <x v="100"/>
    <x v="1"/>
    <s v="India"/>
    <s v="Tamil Nadu"/>
    <s v="Bangalore"/>
    <s v="CUST1004"/>
    <x v="0"/>
    <x v="1"/>
    <s v="Printer"/>
    <s v="Product_46"/>
    <s v="Neha"/>
    <x v="0"/>
    <s v="Cash"/>
    <x v="1"/>
    <n v="10"/>
    <n v="13028"/>
    <n v="10"/>
    <n v="117252"/>
    <n v="2243.0300000000002"/>
  </r>
  <r>
    <s v="ORD00108"/>
    <x v="104"/>
    <x v="101"/>
    <x v="1"/>
    <s v="India"/>
    <s v="Delhi"/>
    <s v="Mumbai"/>
    <s v="CUST9130"/>
    <x v="0"/>
    <x v="1"/>
    <s v="Table"/>
    <s v="Product_120"/>
    <s v="Neha"/>
    <x v="0"/>
    <s v="UPI"/>
    <x v="0"/>
    <n v="4"/>
    <n v="2153"/>
    <n v="15"/>
    <n v="7320.2"/>
    <n v="-435.9"/>
  </r>
  <r>
    <s v="ORD00109"/>
    <x v="105"/>
    <x v="102"/>
    <x v="3"/>
    <s v="India"/>
    <s v="Delhi"/>
    <s v="Bangalore"/>
    <s v="CUST6680"/>
    <x v="1"/>
    <x v="1"/>
    <s v="Chair"/>
    <s v="Product_54"/>
    <s v="Priya"/>
    <x v="1"/>
    <s v="UPI"/>
    <x v="2"/>
    <n v="2"/>
    <n v="49340"/>
    <n v="20"/>
    <n v="78944"/>
    <n v="-3671.92"/>
  </r>
  <r>
    <s v="ORD00110"/>
    <x v="106"/>
    <x v="103"/>
    <x v="1"/>
    <s v="India"/>
    <s v="Gujarat"/>
    <s v="Bangalore"/>
    <s v="CUST9537"/>
    <x v="2"/>
    <x v="0"/>
    <s v="Table"/>
    <s v="Product_167"/>
    <s v="Priya"/>
    <x v="1"/>
    <s v="Cash"/>
    <x v="3"/>
    <n v="9"/>
    <n v="21596"/>
    <n v="10"/>
    <n v="174927.6"/>
    <n v="16114.26"/>
  </r>
  <r>
    <s v="ORD00111"/>
    <x v="107"/>
    <x v="104"/>
    <x v="3"/>
    <s v="India"/>
    <s v="Karnataka"/>
    <s v="Delhi"/>
    <s v="CUST4243"/>
    <x v="1"/>
    <x v="2"/>
    <s v="Laptop"/>
    <s v="Product_101"/>
    <s v="Neha"/>
    <x v="0"/>
    <s v="Net Banking"/>
    <x v="1"/>
    <n v="7"/>
    <n v="12942"/>
    <n v="15"/>
    <n v="77004.899999999994"/>
    <n v="-6995.02"/>
  </r>
  <r>
    <s v="ORD00112"/>
    <x v="108"/>
    <x v="105"/>
    <x v="0"/>
    <s v="India"/>
    <s v="Delhi"/>
    <s v="Ahmedabad"/>
    <s v="CUST8320"/>
    <x v="1"/>
    <x v="0"/>
    <s v="Table"/>
    <s v="Product_120"/>
    <s v="Karan"/>
    <x v="0"/>
    <s v="Debit Card"/>
    <x v="1"/>
    <n v="5"/>
    <n v="30062"/>
    <n v="10"/>
    <n v="135279"/>
    <n v="25378.04"/>
  </r>
  <r>
    <s v="ORD00113"/>
    <x v="109"/>
    <x v="106"/>
    <x v="3"/>
    <s v="India"/>
    <s v="Gujarat"/>
    <s v="Delhi"/>
    <s v="CUST9492"/>
    <x v="2"/>
    <x v="1"/>
    <s v="Storage"/>
    <s v="Product_164"/>
    <s v="Neha"/>
    <x v="1"/>
    <s v="Debit Card"/>
    <x v="2"/>
    <n v="4"/>
    <n v="2069"/>
    <n v="20"/>
    <n v="6620.8"/>
    <n v="87.42"/>
  </r>
  <r>
    <s v="ORD00114"/>
    <x v="110"/>
    <x v="107"/>
    <x v="0"/>
    <s v="India"/>
    <s v="Karnataka"/>
    <s v="Mumbai"/>
    <s v="CUST6491"/>
    <x v="2"/>
    <x v="0"/>
    <s v="Mobile"/>
    <s v="Product_154"/>
    <s v="Karan"/>
    <x v="0"/>
    <s v="UPI"/>
    <x v="2"/>
    <n v="1"/>
    <n v="18308"/>
    <n v="15"/>
    <n v="15561.8"/>
    <n v="-366.5"/>
  </r>
  <r>
    <s v="ORD00115"/>
    <x v="111"/>
    <x v="108"/>
    <x v="0"/>
    <s v="India"/>
    <s v="Maharashtra"/>
    <s v="Mumbai"/>
    <s v="CUST4790"/>
    <x v="1"/>
    <x v="1"/>
    <s v="Printer"/>
    <s v="Product_11"/>
    <s v="Rahul"/>
    <x v="1"/>
    <s v="Cash"/>
    <x v="3"/>
    <n v="5"/>
    <n v="39480"/>
    <n v="15"/>
    <n v="167790"/>
    <n v="-1671.9"/>
  </r>
  <r>
    <s v="ORD00116"/>
    <x v="112"/>
    <x v="109"/>
    <x v="3"/>
    <s v="India"/>
    <s v="Karnataka"/>
    <s v="Delhi"/>
    <s v="CUST2700"/>
    <x v="2"/>
    <x v="0"/>
    <s v="Laptop"/>
    <s v="Product_119"/>
    <s v="Neha"/>
    <x v="0"/>
    <s v="UPI"/>
    <x v="0"/>
    <n v="2"/>
    <n v="24523"/>
    <n v="20"/>
    <n v="39236.800000000003"/>
    <n v="-3684.99"/>
  </r>
  <r>
    <s v="ORD00117"/>
    <x v="113"/>
    <x v="110"/>
    <x v="1"/>
    <s v="India"/>
    <s v="Maharashtra"/>
    <s v="Ahmedabad"/>
    <s v="CUST3684"/>
    <x v="0"/>
    <x v="1"/>
    <s v="Laptop"/>
    <s v="Product_105"/>
    <s v="Neha"/>
    <x v="1"/>
    <s v="Net Banking"/>
    <x v="1"/>
    <n v="1"/>
    <n v="34628"/>
    <n v="5"/>
    <n v="32896.6"/>
    <n v="7296.36"/>
  </r>
  <r>
    <s v="ORD00118"/>
    <x v="114"/>
    <x v="111"/>
    <x v="1"/>
    <s v="India"/>
    <s v="Karnataka"/>
    <s v="Ahmedabad"/>
    <s v="CUST6910"/>
    <x v="2"/>
    <x v="2"/>
    <s v="Laptop"/>
    <s v="Product_126"/>
    <s v="Sneha"/>
    <x v="0"/>
    <s v="Net Banking"/>
    <x v="2"/>
    <n v="7"/>
    <n v="4025"/>
    <n v="10"/>
    <n v="25357.5"/>
    <n v="-1354"/>
  </r>
  <r>
    <s v="ORD00119"/>
    <x v="42"/>
    <x v="112"/>
    <x v="2"/>
    <s v="India"/>
    <s v="Gujarat"/>
    <s v="Chennai"/>
    <s v="CUST3459"/>
    <x v="1"/>
    <x v="0"/>
    <s v="Laptop"/>
    <s v="Product_47"/>
    <s v="Priya"/>
    <x v="0"/>
    <s v="Net Banking"/>
    <x v="2"/>
    <n v="5"/>
    <n v="6988"/>
    <n v="20"/>
    <n v="27952"/>
    <n v="70.22"/>
  </r>
  <r>
    <s v="ORD00120"/>
    <x v="115"/>
    <x v="113"/>
    <x v="0"/>
    <s v="India"/>
    <s v="Karnataka"/>
    <s v="Ahmedabad"/>
    <s v="CUST8294"/>
    <x v="2"/>
    <x v="0"/>
    <s v="Storage"/>
    <s v="Product_67"/>
    <s v="Amit"/>
    <x v="1"/>
    <s v="UPI"/>
    <x v="3"/>
    <n v="9"/>
    <n v="22228"/>
    <n v="10"/>
    <n v="180046.8"/>
    <n v="16543.689999999999"/>
  </r>
  <r>
    <s v="ORD00121"/>
    <x v="58"/>
    <x v="58"/>
    <x v="0"/>
    <s v="India"/>
    <s v="Tamil Nadu"/>
    <s v="Ahmedabad"/>
    <s v="CUST5224"/>
    <x v="1"/>
    <x v="1"/>
    <s v="Table"/>
    <s v="Product_175"/>
    <s v="Rahul"/>
    <x v="0"/>
    <s v="Net Banking"/>
    <x v="2"/>
    <n v="10"/>
    <n v="45174"/>
    <n v="10"/>
    <n v="406566"/>
    <n v="24674.84"/>
  </r>
  <r>
    <s v="ORD00122"/>
    <x v="116"/>
    <x v="114"/>
    <x v="2"/>
    <s v="India"/>
    <s v="Delhi"/>
    <s v="Mumbai"/>
    <s v="CUST7920"/>
    <x v="2"/>
    <x v="1"/>
    <s v="Mobile"/>
    <s v="Product_125"/>
    <s v="Karan"/>
    <x v="1"/>
    <s v="Cash"/>
    <x v="0"/>
    <n v="4"/>
    <n v="45801"/>
    <n v="5"/>
    <n v="174043.8"/>
    <n v="43967.13"/>
  </r>
  <r>
    <s v="ORD00123"/>
    <x v="21"/>
    <x v="115"/>
    <x v="2"/>
    <s v="India"/>
    <s v="Maharashtra"/>
    <s v="Ahmedabad"/>
    <s v="CUST5676"/>
    <x v="0"/>
    <x v="0"/>
    <s v="Chair"/>
    <s v="Product_52"/>
    <s v="Priya"/>
    <x v="0"/>
    <s v="Net Banking"/>
    <x v="3"/>
    <n v="6"/>
    <n v="27161"/>
    <n v="15"/>
    <n v="138521.1"/>
    <n v="12853.29"/>
  </r>
  <r>
    <s v="ORD00124"/>
    <x v="117"/>
    <x v="116"/>
    <x v="3"/>
    <s v="India"/>
    <s v="Delhi"/>
    <s v="Bangalore"/>
    <s v="CUST6811"/>
    <x v="2"/>
    <x v="0"/>
    <s v="Mobile"/>
    <s v="Product_181"/>
    <s v="Neha"/>
    <x v="1"/>
    <s v="UPI"/>
    <x v="2"/>
    <n v="1"/>
    <n v="29362"/>
    <n v="10"/>
    <n v="26425.8"/>
    <n v="2079.91"/>
  </r>
  <r>
    <s v="ORD00125"/>
    <x v="118"/>
    <x v="76"/>
    <x v="1"/>
    <s v="India"/>
    <s v="Gujarat"/>
    <s v="Mumbai"/>
    <s v="CUST2741"/>
    <x v="1"/>
    <x v="2"/>
    <s v="Table"/>
    <s v="Product_146"/>
    <s v="Neha"/>
    <x v="0"/>
    <s v="Debit Card"/>
    <x v="2"/>
    <n v="10"/>
    <n v="24093"/>
    <n v="0"/>
    <n v="240930"/>
    <n v="61771.47"/>
  </r>
  <r>
    <s v="ORD00126"/>
    <x v="119"/>
    <x v="60"/>
    <x v="3"/>
    <s v="India"/>
    <s v="Gujarat"/>
    <s v="Bangalore"/>
    <s v="CUST5043"/>
    <x v="1"/>
    <x v="0"/>
    <s v="Chair"/>
    <s v="Product_132"/>
    <s v="Neha"/>
    <x v="1"/>
    <s v="Credit Card"/>
    <x v="2"/>
    <n v="4"/>
    <n v="31203"/>
    <n v="15"/>
    <n v="106090.2"/>
    <n v="-2188.88"/>
  </r>
  <r>
    <s v="ORD00127"/>
    <x v="120"/>
    <x v="117"/>
    <x v="3"/>
    <s v="India"/>
    <s v="Maharashtra"/>
    <s v="Delhi"/>
    <s v="CUST9271"/>
    <x v="0"/>
    <x v="1"/>
    <s v="Storage"/>
    <s v="Product_161"/>
    <s v="Sneha"/>
    <x v="1"/>
    <s v="UPI"/>
    <x v="0"/>
    <n v="3"/>
    <n v="12673"/>
    <n v="0"/>
    <n v="38019"/>
    <n v="5444.54"/>
  </r>
  <r>
    <s v="ORD00128"/>
    <x v="121"/>
    <x v="118"/>
    <x v="0"/>
    <s v="India"/>
    <s v="Karnataka"/>
    <s v="Ahmedabad"/>
    <s v="CUST7576"/>
    <x v="2"/>
    <x v="1"/>
    <s v="Laptop"/>
    <s v="Product_159"/>
    <s v="Rahul"/>
    <x v="0"/>
    <s v="UPI"/>
    <x v="2"/>
    <n v="4"/>
    <n v="27474"/>
    <n v="5"/>
    <n v="104401.2"/>
    <n v="11374.65"/>
  </r>
  <r>
    <s v="ORD00129"/>
    <x v="122"/>
    <x v="119"/>
    <x v="0"/>
    <s v="India"/>
    <s v="Tamil Nadu"/>
    <s v="Bangalore"/>
    <s v="CUST9818"/>
    <x v="1"/>
    <x v="2"/>
    <s v="Table"/>
    <s v="Product_75"/>
    <s v="Sneha"/>
    <x v="0"/>
    <s v="Cash"/>
    <x v="1"/>
    <n v="10"/>
    <n v="2990"/>
    <n v="10"/>
    <n v="26910"/>
    <n v="464.73"/>
  </r>
  <r>
    <s v="ORD00130"/>
    <x v="123"/>
    <x v="120"/>
    <x v="0"/>
    <s v="India"/>
    <s v="Tamil Nadu"/>
    <s v="Chennai"/>
    <s v="CUST6682"/>
    <x v="2"/>
    <x v="1"/>
    <s v="Storage"/>
    <s v="Product_137"/>
    <s v="Amit"/>
    <x v="0"/>
    <s v="UPI"/>
    <x v="0"/>
    <n v="9"/>
    <n v="40609"/>
    <n v="20"/>
    <n v="292384.8"/>
    <n v="-53345.04"/>
  </r>
  <r>
    <s v="ORD00131"/>
    <x v="124"/>
    <x v="121"/>
    <x v="0"/>
    <s v="India"/>
    <s v="Gujarat"/>
    <s v="Ahmedabad"/>
    <s v="CUST4786"/>
    <x v="0"/>
    <x v="0"/>
    <s v="Storage"/>
    <s v="Product_157"/>
    <s v="Neha"/>
    <x v="1"/>
    <s v="Credit Card"/>
    <x v="3"/>
    <n v="9"/>
    <n v="27389"/>
    <n v="0"/>
    <n v="246501"/>
    <n v="20501.509999999998"/>
  </r>
  <r>
    <s v="ORD00132"/>
    <x v="125"/>
    <x v="122"/>
    <x v="1"/>
    <s v="India"/>
    <s v="Tamil Nadu"/>
    <s v="Bangalore"/>
    <s v="CUST7494"/>
    <x v="2"/>
    <x v="2"/>
    <s v="Chair"/>
    <s v="Product_22"/>
    <s v="Rahul"/>
    <x v="1"/>
    <s v="Net Banking"/>
    <x v="2"/>
    <n v="1"/>
    <n v="18115"/>
    <n v="5"/>
    <n v="17209.25"/>
    <n v="2292.79"/>
  </r>
  <r>
    <s v="ORD00133"/>
    <x v="126"/>
    <x v="123"/>
    <x v="2"/>
    <s v="India"/>
    <s v="Tamil Nadu"/>
    <s v="Ahmedabad"/>
    <s v="CUST5413"/>
    <x v="2"/>
    <x v="1"/>
    <s v="Laptop"/>
    <s v="Product_50"/>
    <s v="Rahul"/>
    <x v="1"/>
    <s v="UPI"/>
    <x v="0"/>
    <n v="3"/>
    <n v="825"/>
    <n v="0"/>
    <n v="2475"/>
    <n v="465.97"/>
  </r>
  <r>
    <s v="ORD00134"/>
    <x v="127"/>
    <x v="124"/>
    <x v="1"/>
    <s v="India"/>
    <s v="Karnataka"/>
    <s v="Delhi"/>
    <s v="CUST1807"/>
    <x v="2"/>
    <x v="1"/>
    <s v="Printer"/>
    <s v="Product_93"/>
    <s v="Neha"/>
    <x v="0"/>
    <s v="Cash"/>
    <x v="1"/>
    <n v="9"/>
    <n v="42635"/>
    <n v="20"/>
    <n v="306972"/>
    <n v="-54348.98"/>
  </r>
  <r>
    <s v="ORD00135"/>
    <x v="128"/>
    <x v="125"/>
    <x v="1"/>
    <s v="India"/>
    <s v="Gujarat"/>
    <s v="Ahmedabad"/>
    <s v="CUST2139"/>
    <x v="0"/>
    <x v="2"/>
    <s v="Chair"/>
    <s v="Product_159"/>
    <s v="Neha"/>
    <x v="0"/>
    <s v="UPI"/>
    <x v="1"/>
    <n v="9"/>
    <n v="38832"/>
    <n v="5"/>
    <n v="332013.59999999998"/>
    <n v="24393.31"/>
  </r>
  <r>
    <s v="ORD00136"/>
    <x v="129"/>
    <x v="126"/>
    <x v="0"/>
    <s v="India"/>
    <s v="Karnataka"/>
    <s v="Chennai"/>
    <s v="CUST1174"/>
    <x v="1"/>
    <x v="1"/>
    <s v="Laptop"/>
    <s v="Product_105"/>
    <s v="Neha"/>
    <x v="0"/>
    <s v="UPI"/>
    <x v="2"/>
    <n v="10"/>
    <n v="49565"/>
    <n v="10"/>
    <n v="446085"/>
    <n v="-23868.67"/>
  </r>
  <r>
    <s v="ORD00137"/>
    <x v="130"/>
    <x v="127"/>
    <x v="2"/>
    <s v="India"/>
    <s v="Gujarat"/>
    <s v="Ahmedabad"/>
    <s v="CUST6643"/>
    <x v="2"/>
    <x v="1"/>
    <s v="Table"/>
    <s v="Product_146"/>
    <s v="Karan"/>
    <x v="1"/>
    <s v="Debit Card"/>
    <x v="2"/>
    <n v="5"/>
    <n v="10892"/>
    <n v="0"/>
    <n v="54460"/>
    <n v="8454.7999999999993"/>
  </r>
  <r>
    <s v="ORD00138"/>
    <x v="131"/>
    <x v="66"/>
    <x v="1"/>
    <s v="India"/>
    <s v="Karnataka"/>
    <s v="Bangalore"/>
    <s v="CUST7832"/>
    <x v="2"/>
    <x v="1"/>
    <s v="Storage"/>
    <s v="Product_172"/>
    <s v="Sneha"/>
    <x v="1"/>
    <s v="Cash"/>
    <x v="3"/>
    <n v="3"/>
    <n v="48025"/>
    <n v="15"/>
    <n v="122463.75"/>
    <n v="18840.650000000001"/>
  </r>
  <r>
    <s v="ORD00139"/>
    <x v="114"/>
    <x v="128"/>
    <x v="0"/>
    <s v="India"/>
    <s v="Gujarat"/>
    <s v="Ahmedabad"/>
    <s v="CUST6069"/>
    <x v="1"/>
    <x v="1"/>
    <s v="Printer"/>
    <s v="Product_192"/>
    <s v="Priya"/>
    <x v="1"/>
    <s v="UPI"/>
    <x v="2"/>
    <n v="1"/>
    <n v="42848"/>
    <n v="20"/>
    <n v="34278.400000000001"/>
    <n v="-2280.83"/>
  </r>
  <r>
    <s v="ORD00140"/>
    <x v="132"/>
    <x v="129"/>
    <x v="3"/>
    <s v="India"/>
    <s v="Delhi"/>
    <s v="Bangalore"/>
    <s v="CUST2528"/>
    <x v="2"/>
    <x v="2"/>
    <s v="Table"/>
    <s v="Product_60"/>
    <s v="Sneha"/>
    <x v="1"/>
    <s v="Credit Card"/>
    <x v="3"/>
    <n v="6"/>
    <n v="43458"/>
    <n v="0"/>
    <n v="260748"/>
    <n v="33804.050000000003"/>
  </r>
  <r>
    <s v="ORD00141"/>
    <x v="133"/>
    <x v="130"/>
    <x v="2"/>
    <s v="India"/>
    <s v="Karnataka"/>
    <s v="Chennai"/>
    <s v="CUST7946"/>
    <x v="0"/>
    <x v="0"/>
    <s v="Laptop"/>
    <s v="Product_179"/>
    <s v="Amit"/>
    <x v="1"/>
    <s v="Credit Card"/>
    <x v="1"/>
    <n v="1"/>
    <n v="623"/>
    <n v="5"/>
    <n v="591.85"/>
    <n v="42.54"/>
  </r>
  <r>
    <s v="ORD00142"/>
    <x v="134"/>
    <x v="131"/>
    <x v="1"/>
    <s v="India"/>
    <s v="Maharashtra"/>
    <s v="Mumbai"/>
    <s v="CUST5480"/>
    <x v="1"/>
    <x v="2"/>
    <s v="Chair"/>
    <s v="Product_18"/>
    <s v="Karan"/>
    <x v="1"/>
    <s v="UPI"/>
    <x v="3"/>
    <n v="9"/>
    <n v="21663"/>
    <n v="10"/>
    <n v="175470.3"/>
    <n v="34498.36"/>
  </r>
  <r>
    <s v="ORD00143"/>
    <x v="59"/>
    <x v="132"/>
    <x v="1"/>
    <s v="India"/>
    <s v="Gujarat"/>
    <s v="Bangalore"/>
    <s v="CUST4080"/>
    <x v="1"/>
    <x v="2"/>
    <s v="Printer"/>
    <s v="Product_200"/>
    <s v="Neha"/>
    <x v="0"/>
    <s v="Debit Card"/>
    <x v="1"/>
    <n v="1"/>
    <n v="20973"/>
    <n v="10"/>
    <n v="18875.7"/>
    <n v="1098.19"/>
  </r>
  <r>
    <s v="ORD00144"/>
    <x v="135"/>
    <x v="133"/>
    <x v="3"/>
    <s v="India"/>
    <s v="Karnataka"/>
    <s v="Delhi"/>
    <s v="CUST3211"/>
    <x v="2"/>
    <x v="1"/>
    <s v="Chair"/>
    <s v="Product_37"/>
    <s v="Rahul"/>
    <x v="0"/>
    <s v="Debit Card"/>
    <x v="0"/>
    <n v="1"/>
    <n v="40265"/>
    <n v="0"/>
    <n v="40265"/>
    <n v="9305.2999999999993"/>
  </r>
  <r>
    <s v="ORD00145"/>
    <x v="136"/>
    <x v="134"/>
    <x v="3"/>
    <s v="India"/>
    <s v="Tamil Nadu"/>
    <s v="Bangalore"/>
    <s v="CUST2370"/>
    <x v="0"/>
    <x v="0"/>
    <s v="Laptop"/>
    <s v="Product_39"/>
    <s v="Priya"/>
    <x v="0"/>
    <s v="Cash"/>
    <x v="2"/>
    <n v="6"/>
    <n v="39040"/>
    <n v="5"/>
    <n v="222528"/>
    <n v="12524.99"/>
  </r>
  <r>
    <s v="ORD00146"/>
    <x v="137"/>
    <x v="135"/>
    <x v="3"/>
    <s v="India"/>
    <s v="Maharashtra"/>
    <s v="Delhi"/>
    <s v="CUST3187"/>
    <x v="0"/>
    <x v="2"/>
    <s v="Printer"/>
    <s v="Product_73"/>
    <s v="Neha"/>
    <x v="1"/>
    <s v="Debit Card"/>
    <x v="0"/>
    <n v="7"/>
    <n v="23221"/>
    <n v="0"/>
    <n v="162547"/>
    <n v="17518.46"/>
  </r>
  <r>
    <s v="ORD00147"/>
    <x v="138"/>
    <x v="136"/>
    <x v="0"/>
    <s v="India"/>
    <s v="Delhi"/>
    <s v="Bangalore"/>
    <s v="CUST2417"/>
    <x v="1"/>
    <x v="1"/>
    <s v="Printer"/>
    <s v="Product_199"/>
    <s v="Neha"/>
    <x v="0"/>
    <s v="Cash"/>
    <x v="1"/>
    <n v="7"/>
    <n v="23380"/>
    <n v="15"/>
    <n v="139111"/>
    <n v="-13632.15"/>
  </r>
  <r>
    <s v="ORD00148"/>
    <x v="139"/>
    <x v="137"/>
    <x v="1"/>
    <s v="India"/>
    <s v="Delhi"/>
    <s v="Chennai"/>
    <s v="CUST1351"/>
    <x v="1"/>
    <x v="2"/>
    <s v="Chair"/>
    <s v="Product_197"/>
    <s v="Neha"/>
    <x v="1"/>
    <s v="Debit Card"/>
    <x v="2"/>
    <n v="6"/>
    <n v="25035"/>
    <n v="20"/>
    <n v="120168"/>
    <n v="9269.2999999999993"/>
  </r>
  <r>
    <s v="ORD00149"/>
    <x v="140"/>
    <x v="64"/>
    <x v="2"/>
    <s v="India"/>
    <s v="Karnataka"/>
    <s v="Delhi"/>
    <s v="CUST7056"/>
    <x v="1"/>
    <x v="2"/>
    <s v="Table"/>
    <s v="Product_19"/>
    <s v="Amit"/>
    <x v="1"/>
    <s v="Debit Card"/>
    <x v="2"/>
    <n v="2"/>
    <n v="22573"/>
    <n v="10"/>
    <n v="40631.4"/>
    <n v="-1837.32"/>
  </r>
  <r>
    <s v="ORD00150"/>
    <x v="141"/>
    <x v="138"/>
    <x v="3"/>
    <s v="India"/>
    <s v="Gujarat"/>
    <s v="Bangalore"/>
    <s v="CUST5454"/>
    <x v="0"/>
    <x v="1"/>
    <s v="Table"/>
    <s v="Product_9"/>
    <s v="Sneha"/>
    <x v="0"/>
    <s v="Cash"/>
    <x v="3"/>
    <n v="8"/>
    <n v="32941"/>
    <n v="10"/>
    <n v="237175.2"/>
    <n v="45140.13"/>
  </r>
  <r>
    <s v="ORD00151"/>
    <x v="142"/>
    <x v="139"/>
    <x v="0"/>
    <s v="India"/>
    <s v="Tamil Nadu"/>
    <s v="Chennai"/>
    <s v="CUST5648"/>
    <x v="2"/>
    <x v="0"/>
    <s v="Printer"/>
    <s v="Product_148"/>
    <s v="Rahul"/>
    <x v="1"/>
    <s v="Cash"/>
    <x v="2"/>
    <n v="3"/>
    <n v="41349"/>
    <n v="15"/>
    <n v="105439.95"/>
    <n v="-2783.98"/>
  </r>
  <r>
    <s v="ORD00152"/>
    <x v="143"/>
    <x v="140"/>
    <x v="0"/>
    <s v="India"/>
    <s v="Delhi"/>
    <s v="Mumbai"/>
    <s v="CUST8554"/>
    <x v="1"/>
    <x v="1"/>
    <s v="Printer"/>
    <s v="Product_192"/>
    <s v="Karan"/>
    <x v="1"/>
    <s v="Net Banking"/>
    <x v="3"/>
    <n v="9"/>
    <n v="17641"/>
    <n v="10"/>
    <n v="142892.1"/>
    <n v="6782.92"/>
  </r>
  <r>
    <s v="ORD00153"/>
    <x v="144"/>
    <x v="141"/>
    <x v="3"/>
    <s v="India"/>
    <s v="Delhi"/>
    <s v="Delhi"/>
    <s v="CUST3223"/>
    <x v="0"/>
    <x v="2"/>
    <s v="Table"/>
    <s v="Product_123"/>
    <s v="Sneha"/>
    <x v="0"/>
    <s v="UPI"/>
    <x v="3"/>
    <n v="9"/>
    <n v="24882"/>
    <n v="15"/>
    <n v="190347.3"/>
    <n v="-18209.009999999998"/>
  </r>
  <r>
    <s v="ORD00154"/>
    <x v="145"/>
    <x v="47"/>
    <x v="3"/>
    <s v="India"/>
    <s v="Maharashtra"/>
    <s v="Chennai"/>
    <s v="CUST2063"/>
    <x v="2"/>
    <x v="2"/>
    <s v="Storage"/>
    <s v="Product_44"/>
    <s v="Amit"/>
    <x v="1"/>
    <s v="Debit Card"/>
    <x v="0"/>
    <n v="3"/>
    <n v="5687"/>
    <n v="15"/>
    <n v="14501.85"/>
    <n v="1676.48"/>
  </r>
  <r>
    <s v="ORD00155"/>
    <x v="146"/>
    <x v="142"/>
    <x v="3"/>
    <s v="India"/>
    <s v="Maharashtra"/>
    <s v="Bangalore"/>
    <s v="CUST1269"/>
    <x v="2"/>
    <x v="2"/>
    <s v="Storage"/>
    <s v="Product_25"/>
    <s v="Amit"/>
    <x v="1"/>
    <s v="UPI"/>
    <x v="1"/>
    <n v="8"/>
    <n v="23350"/>
    <n v="5"/>
    <n v="177460"/>
    <n v="25368.52"/>
  </r>
  <r>
    <s v="ORD00156"/>
    <x v="47"/>
    <x v="76"/>
    <x v="2"/>
    <s v="India"/>
    <s v="Maharashtra"/>
    <s v="Chennai"/>
    <s v="CUST3716"/>
    <x v="1"/>
    <x v="1"/>
    <s v="Table"/>
    <s v="Product_154"/>
    <s v="Amit"/>
    <x v="1"/>
    <s v="Debit Card"/>
    <x v="2"/>
    <n v="10"/>
    <n v="45045"/>
    <n v="15"/>
    <n v="382882.5"/>
    <n v="37538.870000000003"/>
  </r>
  <r>
    <s v="ORD00157"/>
    <x v="147"/>
    <x v="82"/>
    <x v="3"/>
    <s v="India"/>
    <s v="Tamil Nadu"/>
    <s v="Bangalore"/>
    <s v="CUST3596"/>
    <x v="2"/>
    <x v="2"/>
    <s v="Storage"/>
    <s v="Product_76"/>
    <s v="Rahul"/>
    <x v="1"/>
    <s v="Cash"/>
    <x v="3"/>
    <n v="8"/>
    <n v="32898"/>
    <n v="0"/>
    <n v="263184"/>
    <n v="36282.699999999997"/>
  </r>
  <r>
    <s v="ORD00158"/>
    <x v="148"/>
    <x v="143"/>
    <x v="0"/>
    <s v="India"/>
    <s v="Tamil Nadu"/>
    <s v="Bangalore"/>
    <s v="CUST2207"/>
    <x v="2"/>
    <x v="1"/>
    <s v="Mobile"/>
    <s v="Product_97"/>
    <s v="Priya"/>
    <x v="1"/>
    <s v="UPI"/>
    <x v="2"/>
    <n v="10"/>
    <n v="21142"/>
    <n v="10"/>
    <n v="190278"/>
    <n v="4928.51"/>
  </r>
  <r>
    <s v="ORD00159"/>
    <x v="149"/>
    <x v="144"/>
    <x v="1"/>
    <s v="India"/>
    <s v="Delhi"/>
    <s v="Mumbai"/>
    <s v="CUST7870"/>
    <x v="2"/>
    <x v="0"/>
    <s v="Chair"/>
    <s v="Product_96"/>
    <s v="Rahul"/>
    <x v="0"/>
    <s v="Debit Card"/>
    <x v="0"/>
    <n v="6"/>
    <n v="10190"/>
    <n v="20"/>
    <n v="48912"/>
    <n v="2528.27"/>
  </r>
  <r>
    <s v="ORD00160"/>
    <x v="150"/>
    <x v="145"/>
    <x v="0"/>
    <s v="India"/>
    <s v="Tamil Nadu"/>
    <s v="Delhi"/>
    <s v="CUST1448"/>
    <x v="2"/>
    <x v="0"/>
    <s v="Mobile"/>
    <s v="Product_62"/>
    <s v="Amit"/>
    <x v="0"/>
    <s v="Net Banking"/>
    <x v="1"/>
    <n v="2"/>
    <n v="35924"/>
    <n v="10"/>
    <n v="64663.199999999997"/>
    <n v="11881.29"/>
  </r>
  <r>
    <s v="ORD00161"/>
    <x v="151"/>
    <x v="146"/>
    <x v="3"/>
    <s v="India"/>
    <s v="Delhi"/>
    <s v="Mumbai"/>
    <s v="CUST5717"/>
    <x v="1"/>
    <x v="1"/>
    <s v="Printer"/>
    <s v="Product_53"/>
    <s v="Sneha"/>
    <x v="0"/>
    <s v="Debit Card"/>
    <x v="1"/>
    <n v="1"/>
    <n v="47013"/>
    <n v="20"/>
    <n v="37610.400000000001"/>
    <n v="-3887.47"/>
  </r>
  <r>
    <s v="ORD00162"/>
    <x v="45"/>
    <x v="147"/>
    <x v="3"/>
    <s v="India"/>
    <s v="Tamil Nadu"/>
    <s v="Mumbai"/>
    <s v="CUST2425"/>
    <x v="2"/>
    <x v="1"/>
    <s v="Storage"/>
    <s v="Product_127"/>
    <s v="Amit"/>
    <x v="0"/>
    <s v="UPI"/>
    <x v="3"/>
    <n v="8"/>
    <n v="31431"/>
    <n v="10"/>
    <n v="226303.2"/>
    <n v="22957.21"/>
  </r>
  <r>
    <s v="ORD00163"/>
    <x v="152"/>
    <x v="148"/>
    <x v="3"/>
    <s v="India"/>
    <s v="Karnataka"/>
    <s v="Mumbai"/>
    <s v="CUST9529"/>
    <x v="0"/>
    <x v="2"/>
    <s v="Laptop"/>
    <s v="Product_3"/>
    <s v="Priya"/>
    <x v="0"/>
    <s v="Debit Card"/>
    <x v="1"/>
    <n v="4"/>
    <n v="2024"/>
    <n v="5"/>
    <n v="7691.2"/>
    <n v="800.69"/>
  </r>
  <r>
    <s v="ORD00164"/>
    <x v="153"/>
    <x v="149"/>
    <x v="1"/>
    <s v="India"/>
    <s v="Delhi"/>
    <s v="Bangalore"/>
    <s v="CUST7947"/>
    <x v="2"/>
    <x v="0"/>
    <s v="Printer"/>
    <s v="Product_155"/>
    <s v="Karan"/>
    <x v="0"/>
    <s v="Debit Card"/>
    <x v="2"/>
    <n v="7"/>
    <n v="36714"/>
    <n v="0"/>
    <n v="256998"/>
    <n v="66176.72"/>
  </r>
  <r>
    <s v="ORD00165"/>
    <x v="154"/>
    <x v="12"/>
    <x v="0"/>
    <s v="India"/>
    <s v="Maharashtra"/>
    <s v="Chennai"/>
    <s v="CUST8217"/>
    <x v="2"/>
    <x v="0"/>
    <s v="Table"/>
    <s v="Product_156"/>
    <s v="Amit"/>
    <x v="1"/>
    <s v="Debit Card"/>
    <x v="0"/>
    <n v="1"/>
    <n v="42682"/>
    <n v="10"/>
    <n v="38413.800000000003"/>
    <n v="-1671.04"/>
  </r>
  <r>
    <s v="ORD00166"/>
    <x v="24"/>
    <x v="150"/>
    <x v="1"/>
    <s v="India"/>
    <s v="Tamil Nadu"/>
    <s v="Delhi"/>
    <s v="CUST2352"/>
    <x v="0"/>
    <x v="2"/>
    <s v="Storage"/>
    <s v="Product_9"/>
    <s v="Karan"/>
    <x v="1"/>
    <s v="Cash"/>
    <x v="0"/>
    <n v="5"/>
    <n v="34489"/>
    <n v="0"/>
    <n v="172445"/>
    <n v="23245.17"/>
  </r>
  <r>
    <s v="ORD00167"/>
    <x v="155"/>
    <x v="151"/>
    <x v="2"/>
    <s v="India"/>
    <s v="Karnataka"/>
    <s v="Delhi"/>
    <s v="CUST2746"/>
    <x v="0"/>
    <x v="1"/>
    <s v="Printer"/>
    <s v="Product_130"/>
    <s v="Priya"/>
    <x v="0"/>
    <s v="Cash"/>
    <x v="2"/>
    <n v="4"/>
    <n v="32817"/>
    <n v="15"/>
    <n v="111577.8"/>
    <n v="-11064.66"/>
  </r>
  <r>
    <s v="ORD00168"/>
    <x v="156"/>
    <x v="152"/>
    <x v="3"/>
    <s v="India"/>
    <s v="Delhi"/>
    <s v="Ahmedabad"/>
    <s v="CUST7213"/>
    <x v="0"/>
    <x v="2"/>
    <s v="Storage"/>
    <s v="Product_42"/>
    <s v="Neha"/>
    <x v="0"/>
    <s v="Credit Card"/>
    <x v="2"/>
    <n v="1"/>
    <n v="17690"/>
    <n v="10"/>
    <n v="15921"/>
    <n v="1869.6"/>
  </r>
  <r>
    <s v="ORD00169"/>
    <x v="107"/>
    <x v="153"/>
    <x v="0"/>
    <s v="India"/>
    <s v="Maharashtra"/>
    <s v="Chennai"/>
    <s v="CUST2470"/>
    <x v="0"/>
    <x v="0"/>
    <s v="Storage"/>
    <s v="Product_23"/>
    <s v="Rahul"/>
    <x v="1"/>
    <s v="UPI"/>
    <x v="3"/>
    <n v="10"/>
    <n v="1975"/>
    <n v="5"/>
    <n v="18762.5"/>
    <n v="1610.89"/>
  </r>
  <r>
    <s v="ORD00170"/>
    <x v="138"/>
    <x v="136"/>
    <x v="0"/>
    <s v="India"/>
    <s v="Gujarat"/>
    <s v="Ahmedabad"/>
    <s v="CUST4299"/>
    <x v="1"/>
    <x v="0"/>
    <s v="Laptop"/>
    <s v="Product_36"/>
    <s v="Karan"/>
    <x v="0"/>
    <s v="Cash"/>
    <x v="2"/>
    <n v="4"/>
    <n v="11211"/>
    <n v="5"/>
    <n v="42601.8"/>
    <n v="6092.62"/>
  </r>
  <r>
    <s v="ORD00171"/>
    <x v="157"/>
    <x v="57"/>
    <x v="1"/>
    <s v="India"/>
    <s v="Delhi"/>
    <s v="Mumbai"/>
    <s v="CUST4337"/>
    <x v="0"/>
    <x v="0"/>
    <s v="Chair"/>
    <s v="Product_114"/>
    <s v="Neha"/>
    <x v="0"/>
    <s v="Cash"/>
    <x v="3"/>
    <n v="9"/>
    <n v="37631"/>
    <n v="0"/>
    <n v="338679"/>
    <n v="88302.25"/>
  </r>
  <r>
    <s v="ORD00172"/>
    <x v="158"/>
    <x v="154"/>
    <x v="2"/>
    <s v="India"/>
    <s v="Karnataka"/>
    <s v="Delhi"/>
    <s v="CUST7449"/>
    <x v="1"/>
    <x v="2"/>
    <s v="Table"/>
    <s v="Product_49"/>
    <s v="Neha"/>
    <x v="1"/>
    <s v="Net Banking"/>
    <x v="3"/>
    <n v="1"/>
    <n v="13444"/>
    <n v="10"/>
    <n v="12099.6"/>
    <n v="1227.96"/>
  </r>
  <r>
    <s v="ORD00173"/>
    <x v="159"/>
    <x v="155"/>
    <x v="0"/>
    <s v="India"/>
    <s v="Karnataka"/>
    <s v="Chennai"/>
    <s v="CUST7208"/>
    <x v="1"/>
    <x v="0"/>
    <s v="Storage"/>
    <s v="Product_42"/>
    <s v="Karan"/>
    <x v="0"/>
    <s v="Credit Card"/>
    <x v="2"/>
    <n v="1"/>
    <n v="47482"/>
    <n v="20"/>
    <n v="37985.599999999999"/>
    <n v="389.27"/>
  </r>
  <r>
    <s v="ORD00174"/>
    <x v="160"/>
    <x v="106"/>
    <x v="3"/>
    <s v="India"/>
    <s v="Tamil Nadu"/>
    <s v="Mumbai"/>
    <s v="CUST4644"/>
    <x v="0"/>
    <x v="0"/>
    <s v="Chair"/>
    <s v="Product_27"/>
    <s v="Sneha"/>
    <x v="0"/>
    <s v="Debit Card"/>
    <x v="0"/>
    <n v="4"/>
    <n v="42146"/>
    <n v="20"/>
    <n v="134867.20000000001"/>
    <n v="14623.41"/>
  </r>
  <r>
    <s v="ORD00175"/>
    <x v="161"/>
    <x v="156"/>
    <x v="3"/>
    <s v="India"/>
    <s v="Tamil Nadu"/>
    <s v="Ahmedabad"/>
    <s v="CUST6969"/>
    <x v="0"/>
    <x v="2"/>
    <s v="Storage"/>
    <s v="Product_113"/>
    <s v="Rahul"/>
    <x v="0"/>
    <s v="Debit Card"/>
    <x v="3"/>
    <n v="10"/>
    <n v="48186"/>
    <n v="5"/>
    <n v="457767"/>
    <n v="30083.48"/>
  </r>
  <r>
    <s v="ORD00176"/>
    <x v="162"/>
    <x v="19"/>
    <x v="2"/>
    <s v="India"/>
    <s v="Gujarat"/>
    <s v="Chennai"/>
    <s v="CUST6076"/>
    <x v="1"/>
    <x v="0"/>
    <s v="Printer"/>
    <s v="Product_70"/>
    <s v="Karan"/>
    <x v="0"/>
    <s v="Cash"/>
    <x v="2"/>
    <n v="2"/>
    <n v="29157"/>
    <n v="20"/>
    <n v="46651.199999999997"/>
    <n v="-4229.54"/>
  </r>
  <r>
    <s v="ORD00177"/>
    <x v="163"/>
    <x v="157"/>
    <x v="1"/>
    <s v="India"/>
    <s v="Karnataka"/>
    <s v="Mumbai"/>
    <s v="CUST4951"/>
    <x v="1"/>
    <x v="1"/>
    <s v="Table"/>
    <s v="Product_162"/>
    <s v="Neha"/>
    <x v="0"/>
    <s v="Net Banking"/>
    <x v="0"/>
    <n v="9"/>
    <n v="15882"/>
    <n v="10"/>
    <n v="128644.2"/>
    <n v="2927.87"/>
  </r>
  <r>
    <s v="ORD00178"/>
    <x v="73"/>
    <x v="73"/>
    <x v="3"/>
    <s v="India"/>
    <s v="Delhi"/>
    <s v="Chennai"/>
    <s v="CUST7358"/>
    <x v="1"/>
    <x v="1"/>
    <s v="Storage"/>
    <s v="Product_71"/>
    <s v="Neha"/>
    <x v="1"/>
    <s v="UPI"/>
    <x v="0"/>
    <n v="4"/>
    <n v="42607"/>
    <n v="10"/>
    <n v="153385.20000000001"/>
    <n v="9626.74"/>
  </r>
  <r>
    <s v="ORD00179"/>
    <x v="164"/>
    <x v="158"/>
    <x v="2"/>
    <s v="India"/>
    <s v="Gujarat"/>
    <s v="Ahmedabad"/>
    <s v="CUST9632"/>
    <x v="2"/>
    <x v="2"/>
    <s v="Chair"/>
    <s v="Product_11"/>
    <s v="Sneha"/>
    <x v="1"/>
    <s v="Net Banking"/>
    <x v="1"/>
    <n v="6"/>
    <n v="44727"/>
    <n v="15"/>
    <n v="228107.7"/>
    <n v="-21694.01"/>
  </r>
  <r>
    <s v="ORD00180"/>
    <x v="165"/>
    <x v="159"/>
    <x v="1"/>
    <s v="India"/>
    <s v="Gujarat"/>
    <s v="Bangalore"/>
    <s v="CUST3605"/>
    <x v="1"/>
    <x v="2"/>
    <s v="Table"/>
    <s v="Product_2"/>
    <s v="Neha"/>
    <x v="0"/>
    <s v="Net Banking"/>
    <x v="1"/>
    <n v="5"/>
    <n v="27654"/>
    <n v="10"/>
    <n v="124443"/>
    <n v="-2654.71"/>
  </r>
  <r>
    <s v="ORD00181"/>
    <x v="140"/>
    <x v="27"/>
    <x v="0"/>
    <s v="India"/>
    <s v="Tamil Nadu"/>
    <s v="Mumbai"/>
    <s v="CUST9422"/>
    <x v="1"/>
    <x v="1"/>
    <s v="Storage"/>
    <s v="Product_184"/>
    <s v="Priya"/>
    <x v="1"/>
    <s v="Net Banking"/>
    <x v="3"/>
    <n v="7"/>
    <n v="15287"/>
    <n v="15"/>
    <n v="90957.65"/>
    <n v="-1583.66"/>
  </r>
  <r>
    <s v="ORD00182"/>
    <x v="166"/>
    <x v="160"/>
    <x v="0"/>
    <s v="India"/>
    <s v="Tamil Nadu"/>
    <s v="Ahmedabad"/>
    <s v="CUST7040"/>
    <x v="1"/>
    <x v="2"/>
    <s v="Chair"/>
    <s v="Product_95"/>
    <s v="Amit"/>
    <x v="0"/>
    <s v="Cash"/>
    <x v="2"/>
    <n v="5"/>
    <n v="34923"/>
    <n v="10"/>
    <n v="157153.5"/>
    <n v="26007.11"/>
  </r>
  <r>
    <s v="ORD00183"/>
    <x v="167"/>
    <x v="161"/>
    <x v="0"/>
    <s v="India"/>
    <s v="Tamil Nadu"/>
    <s v="Chennai"/>
    <s v="CUST3070"/>
    <x v="0"/>
    <x v="2"/>
    <s v="Mobile"/>
    <s v="Product_183"/>
    <s v="Amit"/>
    <x v="1"/>
    <s v="Net Banking"/>
    <x v="1"/>
    <n v="10"/>
    <n v="2961"/>
    <n v="10"/>
    <n v="26649"/>
    <n v="1417.88"/>
  </r>
  <r>
    <s v="ORD00184"/>
    <x v="168"/>
    <x v="109"/>
    <x v="0"/>
    <s v="India"/>
    <s v="Delhi"/>
    <s v="Ahmedabad"/>
    <s v="CUST1563"/>
    <x v="2"/>
    <x v="0"/>
    <s v="Table"/>
    <s v="Product_175"/>
    <s v="Sneha"/>
    <x v="1"/>
    <s v="Cash"/>
    <x v="2"/>
    <n v="8"/>
    <n v="45439"/>
    <n v="10"/>
    <n v="327160.8"/>
    <n v="34324.92"/>
  </r>
  <r>
    <s v="ORD00185"/>
    <x v="169"/>
    <x v="162"/>
    <x v="3"/>
    <s v="India"/>
    <s v="Karnataka"/>
    <s v="Chennai"/>
    <s v="CUST6214"/>
    <x v="1"/>
    <x v="2"/>
    <s v="Printer"/>
    <s v="Product_83"/>
    <s v="Sneha"/>
    <x v="0"/>
    <s v="UPI"/>
    <x v="3"/>
    <n v="2"/>
    <n v="43985"/>
    <n v="15"/>
    <n v="74774.5"/>
    <n v="-6122.81"/>
  </r>
  <r>
    <s v="ORD00186"/>
    <x v="4"/>
    <x v="163"/>
    <x v="3"/>
    <s v="India"/>
    <s v="Gujarat"/>
    <s v="Bangalore"/>
    <s v="CUST7256"/>
    <x v="1"/>
    <x v="1"/>
    <s v="Table"/>
    <s v="Product_176"/>
    <s v="Priya"/>
    <x v="0"/>
    <s v="UPI"/>
    <x v="1"/>
    <n v="10"/>
    <n v="30708"/>
    <n v="0"/>
    <n v="307080"/>
    <n v="58716.49"/>
  </r>
  <r>
    <s v="ORD00187"/>
    <x v="170"/>
    <x v="85"/>
    <x v="1"/>
    <s v="India"/>
    <s v="Tamil Nadu"/>
    <s v="Mumbai"/>
    <s v="CUST1086"/>
    <x v="0"/>
    <x v="1"/>
    <s v="Printer"/>
    <s v="Product_35"/>
    <s v="Rahul"/>
    <x v="0"/>
    <s v="Net Banking"/>
    <x v="0"/>
    <n v="6"/>
    <n v="2168"/>
    <n v="15"/>
    <n v="11056.8"/>
    <n v="240.31"/>
  </r>
  <r>
    <s v="ORD00188"/>
    <x v="171"/>
    <x v="12"/>
    <x v="2"/>
    <s v="India"/>
    <s v="Gujarat"/>
    <s v="Chennai"/>
    <s v="CUST6067"/>
    <x v="2"/>
    <x v="1"/>
    <s v="Mobile"/>
    <s v="Product_104"/>
    <s v="Karan"/>
    <x v="0"/>
    <s v="Credit Card"/>
    <x v="3"/>
    <n v="3"/>
    <n v="16459"/>
    <n v="15"/>
    <n v="41970.45"/>
    <n v="4881.57"/>
  </r>
  <r>
    <s v="ORD00189"/>
    <x v="172"/>
    <x v="164"/>
    <x v="2"/>
    <s v="India"/>
    <s v="Karnataka"/>
    <s v="Mumbai"/>
    <s v="CUST2296"/>
    <x v="2"/>
    <x v="0"/>
    <s v="Mobile"/>
    <s v="Product_198"/>
    <s v="Neha"/>
    <x v="0"/>
    <s v="Net Banking"/>
    <x v="3"/>
    <n v="9"/>
    <n v="27586"/>
    <n v="0"/>
    <n v="248274"/>
    <n v="71414.63"/>
  </r>
  <r>
    <s v="ORD00190"/>
    <x v="173"/>
    <x v="165"/>
    <x v="1"/>
    <s v="India"/>
    <s v="Delhi"/>
    <s v="Mumbai"/>
    <s v="CUST5010"/>
    <x v="0"/>
    <x v="0"/>
    <s v="Chair"/>
    <s v="Product_40"/>
    <s v="Priya"/>
    <x v="0"/>
    <s v="Net Banking"/>
    <x v="2"/>
    <n v="9"/>
    <n v="15801"/>
    <n v="20"/>
    <n v="113767.2"/>
    <n v="13119.23"/>
  </r>
  <r>
    <s v="ORD00191"/>
    <x v="174"/>
    <x v="166"/>
    <x v="3"/>
    <s v="India"/>
    <s v="Karnataka"/>
    <s v="Mumbai"/>
    <s v="CUST5132"/>
    <x v="1"/>
    <x v="0"/>
    <s v="Mobile"/>
    <s v="Product_84"/>
    <s v="Priya"/>
    <x v="1"/>
    <s v="UPI"/>
    <x v="1"/>
    <n v="10"/>
    <n v="47805"/>
    <n v="0"/>
    <n v="478050"/>
    <n v="44622.99"/>
  </r>
  <r>
    <s v="ORD00192"/>
    <x v="175"/>
    <x v="87"/>
    <x v="1"/>
    <s v="India"/>
    <s v="Delhi"/>
    <s v="Chennai"/>
    <s v="CUST3555"/>
    <x v="2"/>
    <x v="2"/>
    <s v="Mobile"/>
    <s v="Product_143"/>
    <s v="Neha"/>
    <x v="1"/>
    <s v="Debit Card"/>
    <x v="1"/>
    <n v="6"/>
    <n v="40809"/>
    <n v="0"/>
    <n v="244854"/>
    <n v="28353.71"/>
  </r>
  <r>
    <s v="ORD00193"/>
    <x v="176"/>
    <x v="149"/>
    <x v="0"/>
    <s v="India"/>
    <s v="Maharashtra"/>
    <s v="Delhi"/>
    <s v="CUST4183"/>
    <x v="0"/>
    <x v="1"/>
    <s v="Chair"/>
    <s v="Product_106"/>
    <s v="Rahul"/>
    <x v="1"/>
    <s v="Credit Card"/>
    <x v="0"/>
    <n v="8"/>
    <n v="25803"/>
    <n v="20"/>
    <n v="165139.20000000001"/>
    <n v="6891.93"/>
  </r>
  <r>
    <s v="ORD00194"/>
    <x v="177"/>
    <x v="65"/>
    <x v="0"/>
    <s v="India"/>
    <s v="Delhi"/>
    <s v="Delhi"/>
    <s v="CUST8997"/>
    <x v="1"/>
    <x v="2"/>
    <s v="Mobile"/>
    <s v="Product_179"/>
    <s v="Amit"/>
    <x v="0"/>
    <s v="Debit Card"/>
    <x v="2"/>
    <n v="7"/>
    <n v="32297"/>
    <n v="5"/>
    <n v="214775.05"/>
    <n v="34886.99"/>
  </r>
  <r>
    <s v="ORD00195"/>
    <x v="178"/>
    <x v="167"/>
    <x v="0"/>
    <s v="India"/>
    <s v="Delhi"/>
    <s v="Chennai"/>
    <s v="CUST5294"/>
    <x v="0"/>
    <x v="1"/>
    <s v="Mobile"/>
    <s v="Product_23"/>
    <s v="Rahul"/>
    <x v="0"/>
    <s v="Cash"/>
    <x v="1"/>
    <n v="8"/>
    <n v="49319"/>
    <n v="5"/>
    <n v="374824.4"/>
    <n v="19894.41"/>
  </r>
  <r>
    <s v="ORD00196"/>
    <x v="62"/>
    <x v="168"/>
    <x v="3"/>
    <s v="India"/>
    <s v="Karnataka"/>
    <s v="Bangalore"/>
    <s v="CUST5144"/>
    <x v="2"/>
    <x v="2"/>
    <s v="Mobile"/>
    <s v="Product_83"/>
    <s v="Amit"/>
    <x v="1"/>
    <s v="UPI"/>
    <x v="2"/>
    <n v="10"/>
    <n v="32830"/>
    <n v="15"/>
    <n v="279055"/>
    <n v="45742.8"/>
  </r>
  <r>
    <s v="ORD00197"/>
    <x v="179"/>
    <x v="169"/>
    <x v="2"/>
    <s v="India"/>
    <s v="Maharashtra"/>
    <s v="Ahmedabad"/>
    <s v="CUST8558"/>
    <x v="0"/>
    <x v="2"/>
    <s v="Printer"/>
    <s v="Product_112"/>
    <s v="Neha"/>
    <x v="0"/>
    <s v="Credit Card"/>
    <x v="0"/>
    <n v="8"/>
    <n v="44573"/>
    <n v="15"/>
    <n v="303096.40000000002"/>
    <n v="569.28"/>
  </r>
  <r>
    <s v="ORD00198"/>
    <x v="180"/>
    <x v="170"/>
    <x v="0"/>
    <s v="India"/>
    <s v="Karnataka"/>
    <s v="Delhi"/>
    <s v="CUST5899"/>
    <x v="2"/>
    <x v="2"/>
    <s v="Storage"/>
    <s v="Product_77"/>
    <s v="Sneha"/>
    <x v="0"/>
    <s v="Net Banking"/>
    <x v="1"/>
    <n v="1"/>
    <n v="1898"/>
    <n v="5"/>
    <n v="1803.1"/>
    <n v="63.11"/>
  </r>
  <r>
    <s v="ORD00199"/>
    <x v="1"/>
    <x v="171"/>
    <x v="1"/>
    <s v="India"/>
    <s v="Maharashtra"/>
    <s v="Ahmedabad"/>
    <s v="CUST8987"/>
    <x v="1"/>
    <x v="1"/>
    <s v="Printer"/>
    <s v="Product_17"/>
    <s v="Neha"/>
    <x v="1"/>
    <s v="Cash"/>
    <x v="3"/>
    <n v="7"/>
    <n v="28469"/>
    <n v="5"/>
    <n v="189318.85"/>
    <n v="20895.830000000002"/>
  </r>
  <r>
    <s v="ORD00200"/>
    <x v="181"/>
    <x v="172"/>
    <x v="1"/>
    <s v="India"/>
    <s v="Karnataka"/>
    <s v="Mumbai"/>
    <s v="CUST8025"/>
    <x v="1"/>
    <x v="2"/>
    <s v="Chair"/>
    <s v="Product_94"/>
    <s v="Neha"/>
    <x v="1"/>
    <s v="Net Banking"/>
    <x v="2"/>
    <n v="1"/>
    <n v="33273"/>
    <n v="10"/>
    <n v="29945.7"/>
    <n v="1501.99"/>
  </r>
  <r>
    <s v="ORD00201"/>
    <x v="182"/>
    <x v="87"/>
    <x v="2"/>
    <s v="India"/>
    <s v="Gujarat"/>
    <s v="Delhi"/>
    <s v="CUST3724"/>
    <x v="2"/>
    <x v="1"/>
    <s v="Printer"/>
    <s v="Product_5"/>
    <s v="Rahul"/>
    <x v="0"/>
    <s v="Debit Card"/>
    <x v="0"/>
    <n v="4"/>
    <n v="48403"/>
    <n v="20"/>
    <n v="154889.60000000001"/>
    <n v="10721.22"/>
  </r>
  <r>
    <s v="ORD00202"/>
    <x v="0"/>
    <x v="0"/>
    <x v="0"/>
    <s v="India"/>
    <s v="Tamil Nadu"/>
    <s v="Mumbai"/>
    <s v="CUST9776"/>
    <x v="1"/>
    <x v="1"/>
    <s v="Mobile"/>
    <s v="Product_188"/>
    <s v="Karan"/>
    <x v="1"/>
    <s v="Debit Card"/>
    <x v="1"/>
    <n v="3"/>
    <n v="1720"/>
    <n v="20"/>
    <n v="4128"/>
    <n v="-503.55"/>
  </r>
  <r>
    <s v="ORD00203"/>
    <x v="19"/>
    <x v="173"/>
    <x v="1"/>
    <s v="India"/>
    <s v="Karnataka"/>
    <s v="Mumbai"/>
    <s v="CUST1789"/>
    <x v="1"/>
    <x v="2"/>
    <s v="Chair"/>
    <s v="Product_107"/>
    <s v="Amit"/>
    <x v="1"/>
    <s v="UPI"/>
    <x v="0"/>
    <n v="6"/>
    <n v="31064"/>
    <n v="20"/>
    <n v="149107.20000000001"/>
    <n v="-7381.27"/>
  </r>
  <r>
    <s v="ORD00204"/>
    <x v="183"/>
    <x v="21"/>
    <x v="2"/>
    <s v="India"/>
    <s v="Delhi"/>
    <s v="Delhi"/>
    <s v="CUST6588"/>
    <x v="1"/>
    <x v="1"/>
    <s v="Printer"/>
    <s v="Product_66"/>
    <s v="Amit"/>
    <x v="0"/>
    <s v="Debit Card"/>
    <x v="0"/>
    <n v="1"/>
    <n v="49166"/>
    <n v="5"/>
    <n v="46707.7"/>
    <n v="9717.99"/>
  </r>
  <r>
    <s v="ORD00205"/>
    <x v="184"/>
    <x v="174"/>
    <x v="1"/>
    <s v="India"/>
    <s v="Delhi"/>
    <s v="Mumbai"/>
    <s v="CUST3089"/>
    <x v="0"/>
    <x v="0"/>
    <s v="Printer"/>
    <s v="Product_125"/>
    <s v="Rahul"/>
    <x v="0"/>
    <s v="UPI"/>
    <x v="1"/>
    <n v="4"/>
    <n v="41075"/>
    <n v="10"/>
    <n v="147870"/>
    <n v="533.54999999999995"/>
  </r>
  <r>
    <s v="ORD00206"/>
    <x v="185"/>
    <x v="175"/>
    <x v="2"/>
    <s v="India"/>
    <s v="Tamil Nadu"/>
    <s v="Mumbai"/>
    <s v="CUST3935"/>
    <x v="2"/>
    <x v="1"/>
    <s v="Laptop"/>
    <s v="Product_130"/>
    <s v="Sneha"/>
    <x v="0"/>
    <s v="UPI"/>
    <x v="0"/>
    <n v="10"/>
    <n v="32299"/>
    <n v="10"/>
    <n v="290691"/>
    <n v="47862.46"/>
  </r>
  <r>
    <s v="ORD00207"/>
    <x v="186"/>
    <x v="176"/>
    <x v="2"/>
    <s v="India"/>
    <s v="Tamil Nadu"/>
    <s v="Delhi"/>
    <s v="CUST7474"/>
    <x v="2"/>
    <x v="1"/>
    <s v="Mobile"/>
    <s v="Product_13"/>
    <s v="Neha"/>
    <x v="0"/>
    <s v="Credit Card"/>
    <x v="2"/>
    <n v="1"/>
    <n v="39755"/>
    <n v="0"/>
    <n v="39755"/>
    <n v="4374.43"/>
  </r>
  <r>
    <s v="ORD00208"/>
    <x v="187"/>
    <x v="2"/>
    <x v="2"/>
    <s v="India"/>
    <s v="Karnataka"/>
    <s v="Delhi"/>
    <s v="CUST6613"/>
    <x v="0"/>
    <x v="1"/>
    <s v="Laptop"/>
    <s v="Product_138"/>
    <s v="Neha"/>
    <x v="0"/>
    <s v="Net Banking"/>
    <x v="0"/>
    <n v="7"/>
    <n v="33581"/>
    <n v="0"/>
    <n v="235067"/>
    <n v="22227.18"/>
  </r>
  <r>
    <s v="ORD00209"/>
    <x v="188"/>
    <x v="177"/>
    <x v="3"/>
    <s v="India"/>
    <s v="Karnataka"/>
    <s v="Mumbai"/>
    <s v="CUST4316"/>
    <x v="0"/>
    <x v="0"/>
    <s v="Storage"/>
    <s v="Product_61"/>
    <s v="Karan"/>
    <x v="1"/>
    <s v="Credit Card"/>
    <x v="1"/>
    <n v="10"/>
    <n v="32001"/>
    <n v="0"/>
    <n v="320010"/>
    <n v="70989.36"/>
  </r>
  <r>
    <s v="ORD00210"/>
    <x v="189"/>
    <x v="178"/>
    <x v="2"/>
    <s v="India"/>
    <s v="Karnataka"/>
    <s v="Ahmedabad"/>
    <s v="CUST4907"/>
    <x v="0"/>
    <x v="1"/>
    <s v="Chair"/>
    <s v="Product_84"/>
    <s v="Neha"/>
    <x v="1"/>
    <s v="Cash"/>
    <x v="3"/>
    <n v="2"/>
    <n v="47013"/>
    <n v="15"/>
    <n v="79922.100000000006"/>
    <n v="-637.99"/>
  </r>
  <r>
    <s v="ORD00211"/>
    <x v="190"/>
    <x v="64"/>
    <x v="3"/>
    <s v="India"/>
    <s v="Maharashtra"/>
    <s v="Delhi"/>
    <s v="CUST1525"/>
    <x v="1"/>
    <x v="0"/>
    <s v="Printer"/>
    <s v="Product_97"/>
    <s v="Priya"/>
    <x v="1"/>
    <s v="UPI"/>
    <x v="2"/>
    <n v="9"/>
    <n v="34481"/>
    <n v="5"/>
    <n v="294812.55"/>
    <n v="74784.289999999994"/>
  </r>
  <r>
    <s v="ORD00212"/>
    <x v="191"/>
    <x v="179"/>
    <x v="2"/>
    <s v="India"/>
    <s v="Maharashtra"/>
    <s v="Chennai"/>
    <s v="CUST8361"/>
    <x v="2"/>
    <x v="0"/>
    <s v="Mobile"/>
    <s v="Product_150"/>
    <s v="Priya"/>
    <x v="0"/>
    <s v="Debit Card"/>
    <x v="1"/>
    <n v="6"/>
    <n v="15940"/>
    <n v="0"/>
    <n v="95640"/>
    <n v="25291.74"/>
  </r>
  <r>
    <s v="ORD00213"/>
    <x v="44"/>
    <x v="180"/>
    <x v="3"/>
    <s v="India"/>
    <s v="Karnataka"/>
    <s v="Bangalore"/>
    <s v="CUST7773"/>
    <x v="0"/>
    <x v="0"/>
    <s v="Storage"/>
    <s v="Product_178"/>
    <s v="Priya"/>
    <x v="1"/>
    <s v="Net Banking"/>
    <x v="0"/>
    <n v="5"/>
    <n v="19246"/>
    <n v="20"/>
    <n v="76984"/>
    <n v="-12493.06"/>
  </r>
  <r>
    <s v="ORD00214"/>
    <x v="192"/>
    <x v="181"/>
    <x v="0"/>
    <s v="India"/>
    <s v="Karnataka"/>
    <s v="Mumbai"/>
    <s v="CUST1827"/>
    <x v="1"/>
    <x v="0"/>
    <s v="Storage"/>
    <s v="Product_157"/>
    <s v="Karan"/>
    <x v="0"/>
    <s v="Credit Card"/>
    <x v="1"/>
    <n v="7"/>
    <n v="8217"/>
    <n v="20"/>
    <n v="46015.199999999997"/>
    <n v="5191.6499999999996"/>
  </r>
  <r>
    <s v="ORD00215"/>
    <x v="193"/>
    <x v="182"/>
    <x v="3"/>
    <s v="India"/>
    <s v="Delhi"/>
    <s v="Mumbai"/>
    <s v="CUST5305"/>
    <x v="0"/>
    <x v="2"/>
    <s v="Chair"/>
    <s v="Product_47"/>
    <s v="Sneha"/>
    <x v="1"/>
    <s v="Debit Card"/>
    <x v="1"/>
    <n v="6"/>
    <n v="22924"/>
    <n v="5"/>
    <n v="130666.8"/>
    <n v="14266.24"/>
  </r>
  <r>
    <s v="ORD00216"/>
    <x v="194"/>
    <x v="183"/>
    <x v="2"/>
    <s v="India"/>
    <s v="Maharashtra"/>
    <s v="Ahmedabad"/>
    <s v="CUST4163"/>
    <x v="2"/>
    <x v="1"/>
    <s v="Mobile"/>
    <s v="Product_26"/>
    <s v="Karan"/>
    <x v="0"/>
    <s v="Net Banking"/>
    <x v="3"/>
    <n v="1"/>
    <n v="17387"/>
    <n v="15"/>
    <n v="14778.95"/>
    <n v="658.19"/>
  </r>
  <r>
    <s v="ORD00217"/>
    <x v="195"/>
    <x v="184"/>
    <x v="1"/>
    <s v="India"/>
    <s v="Gujarat"/>
    <s v="Delhi"/>
    <s v="CUST3536"/>
    <x v="2"/>
    <x v="2"/>
    <s v="Laptop"/>
    <s v="Product_74"/>
    <s v="Amit"/>
    <x v="1"/>
    <s v="Net Banking"/>
    <x v="2"/>
    <n v="10"/>
    <n v="32337"/>
    <n v="5"/>
    <n v="307201.5"/>
    <n v="35627.15"/>
  </r>
  <r>
    <s v="ORD00218"/>
    <x v="196"/>
    <x v="185"/>
    <x v="0"/>
    <s v="India"/>
    <s v="Maharashtra"/>
    <s v="Bangalore"/>
    <s v="CUST8750"/>
    <x v="0"/>
    <x v="1"/>
    <s v="Chair"/>
    <s v="Product_58"/>
    <s v="Sneha"/>
    <x v="0"/>
    <s v="Debit Card"/>
    <x v="2"/>
    <n v="10"/>
    <n v="14071"/>
    <n v="0"/>
    <n v="140710"/>
    <n v="16649.8"/>
  </r>
  <r>
    <s v="ORD00219"/>
    <x v="46"/>
    <x v="186"/>
    <x v="0"/>
    <s v="India"/>
    <s v="Tamil Nadu"/>
    <s v="Ahmedabad"/>
    <s v="CUST8759"/>
    <x v="2"/>
    <x v="0"/>
    <s v="Table"/>
    <s v="Product_113"/>
    <s v="Sneha"/>
    <x v="0"/>
    <s v="Debit Card"/>
    <x v="1"/>
    <n v="8"/>
    <n v="24418"/>
    <n v="5"/>
    <n v="185576.8"/>
    <n v="2199.8200000000002"/>
  </r>
  <r>
    <s v="ORD00220"/>
    <x v="197"/>
    <x v="187"/>
    <x v="2"/>
    <s v="India"/>
    <s v="Karnataka"/>
    <s v="Chennai"/>
    <s v="CUST5054"/>
    <x v="0"/>
    <x v="0"/>
    <s v="Table"/>
    <s v="Product_67"/>
    <s v="Karan"/>
    <x v="1"/>
    <s v="UPI"/>
    <x v="1"/>
    <n v="7"/>
    <n v="28918"/>
    <n v="0"/>
    <n v="202426"/>
    <n v="47506.27"/>
  </r>
  <r>
    <s v="ORD00221"/>
    <x v="198"/>
    <x v="188"/>
    <x v="1"/>
    <s v="India"/>
    <s v="Karnataka"/>
    <s v="Delhi"/>
    <s v="CUST4106"/>
    <x v="0"/>
    <x v="2"/>
    <s v="Laptop"/>
    <s v="Product_196"/>
    <s v="Karan"/>
    <x v="0"/>
    <s v="Credit Card"/>
    <x v="0"/>
    <n v="2"/>
    <n v="28238"/>
    <n v="5"/>
    <n v="53652.2"/>
    <n v="8096.91"/>
  </r>
  <r>
    <s v="ORD00222"/>
    <x v="199"/>
    <x v="89"/>
    <x v="3"/>
    <s v="India"/>
    <s v="Maharashtra"/>
    <s v="Mumbai"/>
    <s v="CUST5673"/>
    <x v="1"/>
    <x v="1"/>
    <s v="Laptop"/>
    <s v="Product_172"/>
    <s v="Neha"/>
    <x v="1"/>
    <s v="Cash"/>
    <x v="1"/>
    <n v="7"/>
    <n v="29617"/>
    <n v="20"/>
    <n v="165855.20000000001"/>
    <n v="-5261.29"/>
  </r>
  <r>
    <s v="ORD00223"/>
    <x v="200"/>
    <x v="189"/>
    <x v="3"/>
    <s v="India"/>
    <s v="Tamil Nadu"/>
    <s v="Chennai"/>
    <s v="CUST9798"/>
    <x v="1"/>
    <x v="1"/>
    <s v="Mobile"/>
    <s v="Product_185"/>
    <s v="Neha"/>
    <x v="1"/>
    <s v="Credit Card"/>
    <x v="0"/>
    <n v="3"/>
    <n v="21458"/>
    <n v="20"/>
    <n v="51499.199999999997"/>
    <n v="-5388.01"/>
  </r>
  <r>
    <s v="ORD00224"/>
    <x v="201"/>
    <x v="190"/>
    <x v="1"/>
    <s v="India"/>
    <s v="Gujarat"/>
    <s v="Bangalore"/>
    <s v="CUST1153"/>
    <x v="2"/>
    <x v="0"/>
    <s v="Mobile"/>
    <s v="Product_82"/>
    <s v="Sneha"/>
    <x v="0"/>
    <s v="Debit Card"/>
    <x v="1"/>
    <n v="7"/>
    <n v="6371"/>
    <n v="10"/>
    <n v="40137.300000000003"/>
    <n v="-303.3"/>
  </r>
  <r>
    <s v="ORD00225"/>
    <x v="202"/>
    <x v="191"/>
    <x v="3"/>
    <s v="India"/>
    <s v="Karnataka"/>
    <s v="Bangalore"/>
    <s v="CUST3035"/>
    <x v="0"/>
    <x v="0"/>
    <s v="Printer"/>
    <s v="Product_106"/>
    <s v="Priya"/>
    <x v="1"/>
    <s v="Debit Card"/>
    <x v="1"/>
    <n v="5"/>
    <n v="28783"/>
    <n v="5"/>
    <n v="136719.25"/>
    <n v="12796.07"/>
  </r>
  <r>
    <s v="ORD00226"/>
    <x v="203"/>
    <x v="192"/>
    <x v="2"/>
    <s v="India"/>
    <s v="Gujarat"/>
    <s v="Bangalore"/>
    <s v="CUST4732"/>
    <x v="2"/>
    <x v="2"/>
    <s v="Printer"/>
    <s v="Product_58"/>
    <s v="Neha"/>
    <x v="1"/>
    <s v="Credit Card"/>
    <x v="0"/>
    <n v="7"/>
    <n v="7997"/>
    <n v="20"/>
    <n v="44783.199999999997"/>
    <n v="4441.22"/>
  </r>
  <r>
    <s v="ORD00227"/>
    <x v="197"/>
    <x v="193"/>
    <x v="3"/>
    <s v="India"/>
    <s v="Gujarat"/>
    <s v="Chennai"/>
    <s v="CUST5469"/>
    <x v="2"/>
    <x v="1"/>
    <s v="Laptop"/>
    <s v="Product_200"/>
    <s v="Karan"/>
    <x v="1"/>
    <s v="UPI"/>
    <x v="1"/>
    <n v="9"/>
    <n v="37052"/>
    <n v="20"/>
    <n v="266774.40000000002"/>
    <n v="-28101.26"/>
  </r>
  <r>
    <s v="ORD00228"/>
    <x v="204"/>
    <x v="194"/>
    <x v="2"/>
    <s v="India"/>
    <s v="Delhi"/>
    <s v="Mumbai"/>
    <s v="CUST9651"/>
    <x v="0"/>
    <x v="2"/>
    <s v="Table"/>
    <s v="Product_81"/>
    <s v="Karan"/>
    <x v="1"/>
    <s v="Debit Card"/>
    <x v="1"/>
    <n v="1"/>
    <n v="33087"/>
    <n v="10"/>
    <n v="29778.3"/>
    <n v="2881.36"/>
  </r>
  <r>
    <s v="ORD00229"/>
    <x v="205"/>
    <x v="195"/>
    <x v="1"/>
    <s v="India"/>
    <s v="Gujarat"/>
    <s v="Mumbai"/>
    <s v="CUST9777"/>
    <x v="2"/>
    <x v="1"/>
    <s v="Storage"/>
    <s v="Product_136"/>
    <s v="Amit"/>
    <x v="0"/>
    <s v="Debit Card"/>
    <x v="2"/>
    <n v="9"/>
    <n v="23916"/>
    <n v="0"/>
    <n v="215244"/>
    <n v="64399.15"/>
  </r>
  <r>
    <s v="ORD00230"/>
    <x v="206"/>
    <x v="124"/>
    <x v="3"/>
    <s v="India"/>
    <s v="Delhi"/>
    <s v="Bangalore"/>
    <s v="CUST9654"/>
    <x v="0"/>
    <x v="1"/>
    <s v="Storage"/>
    <s v="Product_166"/>
    <s v="Amit"/>
    <x v="0"/>
    <s v="Cash"/>
    <x v="3"/>
    <n v="9"/>
    <n v="48246"/>
    <n v="15"/>
    <n v="369081.9"/>
    <n v="-42955.519999999997"/>
  </r>
  <r>
    <s v="ORD00231"/>
    <x v="202"/>
    <x v="193"/>
    <x v="0"/>
    <s v="India"/>
    <s v="Delhi"/>
    <s v="Delhi"/>
    <s v="CUST6635"/>
    <x v="1"/>
    <x v="2"/>
    <s v="Printer"/>
    <s v="Product_23"/>
    <s v="Rahul"/>
    <x v="1"/>
    <s v="UPI"/>
    <x v="1"/>
    <n v="9"/>
    <n v="31572"/>
    <n v="0"/>
    <n v="284148"/>
    <n v="45424.7"/>
  </r>
  <r>
    <s v="ORD00232"/>
    <x v="4"/>
    <x v="75"/>
    <x v="0"/>
    <s v="India"/>
    <s v="Karnataka"/>
    <s v="Mumbai"/>
    <s v="CUST6315"/>
    <x v="2"/>
    <x v="0"/>
    <s v="Storage"/>
    <s v="Product_102"/>
    <s v="Karan"/>
    <x v="0"/>
    <s v="UPI"/>
    <x v="0"/>
    <n v="1"/>
    <n v="30365"/>
    <n v="15"/>
    <n v="25810.25"/>
    <n v="-1278.67"/>
  </r>
  <r>
    <s v="ORD00233"/>
    <x v="207"/>
    <x v="196"/>
    <x v="3"/>
    <s v="India"/>
    <s v="Gujarat"/>
    <s v="Chennai"/>
    <s v="CUST7332"/>
    <x v="0"/>
    <x v="2"/>
    <s v="Storage"/>
    <s v="Product_67"/>
    <s v="Amit"/>
    <x v="1"/>
    <s v="Cash"/>
    <x v="0"/>
    <n v="3"/>
    <n v="2400"/>
    <n v="15"/>
    <n v="6120"/>
    <n v="427.69"/>
  </r>
  <r>
    <s v="ORD00234"/>
    <x v="208"/>
    <x v="197"/>
    <x v="0"/>
    <s v="India"/>
    <s v="Delhi"/>
    <s v="Chennai"/>
    <s v="CUST5849"/>
    <x v="1"/>
    <x v="1"/>
    <s v="Storage"/>
    <s v="Product_159"/>
    <s v="Karan"/>
    <x v="0"/>
    <s v="Credit Card"/>
    <x v="2"/>
    <n v="1"/>
    <n v="45578"/>
    <n v="5"/>
    <n v="43299.1"/>
    <n v="2564.0700000000002"/>
  </r>
  <r>
    <s v="ORD00235"/>
    <x v="209"/>
    <x v="198"/>
    <x v="3"/>
    <s v="India"/>
    <s v="Gujarat"/>
    <s v="Chennai"/>
    <s v="CUST5949"/>
    <x v="1"/>
    <x v="0"/>
    <s v="Chair"/>
    <s v="Product_68"/>
    <s v="Amit"/>
    <x v="1"/>
    <s v="Net Banking"/>
    <x v="3"/>
    <n v="1"/>
    <n v="47078"/>
    <n v="15"/>
    <n v="40016.300000000003"/>
    <n v="-512.47"/>
  </r>
  <r>
    <s v="ORD00236"/>
    <x v="210"/>
    <x v="199"/>
    <x v="2"/>
    <s v="India"/>
    <s v="Tamil Nadu"/>
    <s v="Bangalore"/>
    <s v="CUST6995"/>
    <x v="0"/>
    <x v="0"/>
    <s v="Laptop"/>
    <s v="Product_191"/>
    <s v="Priya"/>
    <x v="1"/>
    <s v="Cash"/>
    <x v="0"/>
    <n v="7"/>
    <n v="3799"/>
    <n v="20"/>
    <n v="21274.400000000001"/>
    <n v="-2214.75"/>
  </r>
  <r>
    <s v="ORD00237"/>
    <x v="211"/>
    <x v="200"/>
    <x v="1"/>
    <s v="India"/>
    <s v="Delhi"/>
    <s v="Delhi"/>
    <s v="CUST3400"/>
    <x v="0"/>
    <x v="1"/>
    <s v="Table"/>
    <s v="Product_48"/>
    <s v="Priya"/>
    <x v="1"/>
    <s v="Net Banking"/>
    <x v="0"/>
    <n v="1"/>
    <n v="13367"/>
    <n v="15"/>
    <n v="11361.95"/>
    <n v="-154.09"/>
  </r>
  <r>
    <s v="ORD00238"/>
    <x v="212"/>
    <x v="201"/>
    <x v="3"/>
    <s v="India"/>
    <s v="Tamil Nadu"/>
    <s v="Delhi"/>
    <s v="CUST6938"/>
    <x v="0"/>
    <x v="1"/>
    <s v="Laptop"/>
    <s v="Product_30"/>
    <s v="Sneha"/>
    <x v="1"/>
    <s v="Debit Card"/>
    <x v="2"/>
    <n v="7"/>
    <n v="3197"/>
    <n v="5"/>
    <n v="21260.05"/>
    <n v="2359.87"/>
  </r>
  <r>
    <s v="ORD00239"/>
    <x v="213"/>
    <x v="202"/>
    <x v="2"/>
    <s v="India"/>
    <s v="Tamil Nadu"/>
    <s v="Delhi"/>
    <s v="CUST7466"/>
    <x v="0"/>
    <x v="2"/>
    <s v="Storage"/>
    <s v="Product_92"/>
    <s v="Priya"/>
    <x v="0"/>
    <s v="Credit Card"/>
    <x v="2"/>
    <n v="10"/>
    <n v="45679"/>
    <n v="15"/>
    <n v="388271.5"/>
    <n v="28274.880000000001"/>
  </r>
  <r>
    <s v="ORD00240"/>
    <x v="138"/>
    <x v="159"/>
    <x v="0"/>
    <s v="India"/>
    <s v="Karnataka"/>
    <s v="Delhi"/>
    <s v="CUST6813"/>
    <x v="1"/>
    <x v="0"/>
    <s v="Mobile"/>
    <s v="Product_105"/>
    <s v="Karan"/>
    <x v="0"/>
    <s v="Cash"/>
    <x v="1"/>
    <n v="5"/>
    <n v="4812"/>
    <n v="5"/>
    <n v="22857"/>
    <n v="3986.1"/>
  </r>
  <r>
    <s v="ORD00241"/>
    <x v="214"/>
    <x v="203"/>
    <x v="3"/>
    <s v="India"/>
    <s v="Maharashtra"/>
    <s v="Chennai"/>
    <s v="CUST7215"/>
    <x v="0"/>
    <x v="1"/>
    <s v="Storage"/>
    <s v="Product_35"/>
    <s v="Karan"/>
    <x v="0"/>
    <s v="Debit Card"/>
    <x v="1"/>
    <n v="8"/>
    <n v="12716"/>
    <n v="5"/>
    <n v="96641.600000000006"/>
    <n v="14227.23"/>
  </r>
  <r>
    <s v="ORD00242"/>
    <x v="215"/>
    <x v="204"/>
    <x v="1"/>
    <s v="India"/>
    <s v="Gujarat"/>
    <s v="Bangalore"/>
    <s v="CUST6828"/>
    <x v="1"/>
    <x v="0"/>
    <s v="Printer"/>
    <s v="Product_127"/>
    <s v="Amit"/>
    <x v="0"/>
    <s v="Debit Card"/>
    <x v="1"/>
    <n v="5"/>
    <n v="36658"/>
    <n v="5"/>
    <n v="174125.5"/>
    <n v="36611.18"/>
  </r>
  <r>
    <s v="ORD00243"/>
    <x v="216"/>
    <x v="205"/>
    <x v="3"/>
    <s v="India"/>
    <s v="Karnataka"/>
    <s v="Mumbai"/>
    <s v="CUST3518"/>
    <x v="0"/>
    <x v="0"/>
    <s v="Mobile"/>
    <s v="Product_195"/>
    <s v="Rahul"/>
    <x v="1"/>
    <s v="Net Banking"/>
    <x v="3"/>
    <n v="8"/>
    <n v="24638"/>
    <n v="10"/>
    <n v="177393.6"/>
    <n v="-463.86"/>
  </r>
  <r>
    <s v="ORD00244"/>
    <x v="217"/>
    <x v="70"/>
    <x v="1"/>
    <s v="India"/>
    <s v="Delhi"/>
    <s v="Ahmedabad"/>
    <s v="CUST5125"/>
    <x v="1"/>
    <x v="2"/>
    <s v="Chair"/>
    <s v="Product_116"/>
    <s v="Neha"/>
    <x v="1"/>
    <s v="Cash"/>
    <x v="1"/>
    <n v="5"/>
    <n v="28145"/>
    <n v="0"/>
    <n v="140725"/>
    <n v="10691.24"/>
  </r>
  <r>
    <s v="ORD00245"/>
    <x v="218"/>
    <x v="23"/>
    <x v="3"/>
    <s v="India"/>
    <s v="Tamil Nadu"/>
    <s v="Mumbai"/>
    <s v="CUST8552"/>
    <x v="1"/>
    <x v="0"/>
    <s v="Table"/>
    <s v="Product_62"/>
    <s v="Neha"/>
    <x v="0"/>
    <s v="Cash"/>
    <x v="2"/>
    <n v="2"/>
    <n v="38280"/>
    <n v="15"/>
    <n v="65076"/>
    <n v="-6551.27"/>
  </r>
  <r>
    <s v="ORD00246"/>
    <x v="125"/>
    <x v="161"/>
    <x v="1"/>
    <s v="India"/>
    <s v="Tamil Nadu"/>
    <s v="Chennai"/>
    <s v="CUST5404"/>
    <x v="2"/>
    <x v="2"/>
    <s v="Laptop"/>
    <s v="Product_65"/>
    <s v="Neha"/>
    <x v="1"/>
    <s v="Cash"/>
    <x v="2"/>
    <n v="3"/>
    <n v="7084"/>
    <n v="10"/>
    <n v="19126.8"/>
    <n v="1231.3599999999999"/>
  </r>
  <r>
    <s v="ORD00247"/>
    <x v="219"/>
    <x v="206"/>
    <x v="2"/>
    <s v="India"/>
    <s v="Delhi"/>
    <s v="Bangalore"/>
    <s v="CUST4632"/>
    <x v="2"/>
    <x v="0"/>
    <s v="Mobile"/>
    <s v="Product_86"/>
    <s v="Priya"/>
    <x v="1"/>
    <s v="Net Banking"/>
    <x v="3"/>
    <n v="7"/>
    <n v="48499"/>
    <n v="0"/>
    <n v="339493"/>
    <n v="50145.17"/>
  </r>
  <r>
    <s v="ORD00248"/>
    <x v="220"/>
    <x v="174"/>
    <x v="2"/>
    <s v="India"/>
    <s v="Karnataka"/>
    <s v="Ahmedabad"/>
    <s v="CUST3779"/>
    <x v="1"/>
    <x v="2"/>
    <s v="Chair"/>
    <s v="Product_182"/>
    <s v="Neha"/>
    <x v="0"/>
    <s v="Debit Card"/>
    <x v="2"/>
    <n v="7"/>
    <n v="7445"/>
    <n v="15"/>
    <n v="44297.75"/>
    <n v="-4499.9399999999996"/>
  </r>
  <r>
    <s v="ORD00249"/>
    <x v="142"/>
    <x v="139"/>
    <x v="0"/>
    <s v="India"/>
    <s v="Delhi"/>
    <s v="Bangalore"/>
    <s v="CUST7465"/>
    <x v="0"/>
    <x v="1"/>
    <s v="Chair"/>
    <s v="Product_50"/>
    <s v="Sneha"/>
    <x v="0"/>
    <s v="Debit Card"/>
    <x v="2"/>
    <n v="4"/>
    <n v="23590"/>
    <n v="5"/>
    <n v="89642"/>
    <n v="10772.17"/>
  </r>
  <r>
    <s v="ORD00250"/>
    <x v="221"/>
    <x v="207"/>
    <x v="0"/>
    <s v="India"/>
    <s v="Gujarat"/>
    <s v="Bangalore"/>
    <s v="CUST3703"/>
    <x v="2"/>
    <x v="2"/>
    <s v="Laptop"/>
    <s v="Product_134"/>
    <s v="Sneha"/>
    <x v="0"/>
    <s v="Credit Card"/>
    <x v="2"/>
    <n v="5"/>
    <n v="27352"/>
    <n v="15"/>
    <n v="116246"/>
    <n v="16058.3"/>
  </r>
  <r>
    <s v="ORD00251"/>
    <x v="222"/>
    <x v="208"/>
    <x v="1"/>
    <s v="India"/>
    <s v="Gujarat"/>
    <s v="Ahmedabad"/>
    <s v="CUST7091"/>
    <x v="0"/>
    <x v="0"/>
    <s v="Chair"/>
    <s v="Product_200"/>
    <s v="Neha"/>
    <x v="1"/>
    <s v="Credit Card"/>
    <x v="0"/>
    <n v="1"/>
    <n v="14495"/>
    <n v="15"/>
    <n v="12320.75"/>
    <n v="130.08000000000001"/>
  </r>
  <r>
    <s v="ORD00252"/>
    <x v="223"/>
    <x v="209"/>
    <x v="2"/>
    <s v="India"/>
    <s v="Delhi"/>
    <s v="Mumbai"/>
    <s v="CUST3059"/>
    <x v="1"/>
    <x v="2"/>
    <s v="Chair"/>
    <s v="Product_85"/>
    <s v="Amit"/>
    <x v="0"/>
    <s v="Cash"/>
    <x v="3"/>
    <n v="3"/>
    <n v="45095"/>
    <n v="20"/>
    <n v="108228"/>
    <n v="11277.41"/>
  </r>
  <r>
    <s v="ORD00253"/>
    <x v="224"/>
    <x v="210"/>
    <x v="0"/>
    <s v="India"/>
    <s v="Maharashtra"/>
    <s v="Chennai"/>
    <s v="CUST6972"/>
    <x v="1"/>
    <x v="1"/>
    <s v="Laptop"/>
    <s v="Product_110"/>
    <s v="Karan"/>
    <x v="1"/>
    <s v="Credit Card"/>
    <x v="0"/>
    <n v="9"/>
    <n v="35531"/>
    <n v="0"/>
    <n v="319779"/>
    <n v="70546.990000000005"/>
  </r>
  <r>
    <s v="ORD00254"/>
    <x v="225"/>
    <x v="211"/>
    <x v="3"/>
    <s v="India"/>
    <s v="Tamil Nadu"/>
    <s v="Delhi"/>
    <s v="CUST3713"/>
    <x v="0"/>
    <x v="0"/>
    <s v="Laptop"/>
    <s v="Product_13"/>
    <s v="Neha"/>
    <x v="0"/>
    <s v="Net Banking"/>
    <x v="2"/>
    <n v="3"/>
    <n v="33677"/>
    <n v="20"/>
    <n v="80824.800000000003"/>
    <n v="-1249.81"/>
  </r>
  <r>
    <s v="ORD00255"/>
    <x v="226"/>
    <x v="212"/>
    <x v="2"/>
    <s v="India"/>
    <s v="Maharashtra"/>
    <s v="Chennai"/>
    <s v="CUST7921"/>
    <x v="1"/>
    <x v="2"/>
    <s v="Chair"/>
    <s v="Product_34"/>
    <s v="Priya"/>
    <x v="0"/>
    <s v="Cash"/>
    <x v="2"/>
    <n v="10"/>
    <n v="29244"/>
    <n v="0"/>
    <n v="292440"/>
    <n v="19766.419999999998"/>
  </r>
  <r>
    <s v="ORD00256"/>
    <x v="168"/>
    <x v="213"/>
    <x v="0"/>
    <s v="India"/>
    <s v="Tamil Nadu"/>
    <s v="Ahmedabad"/>
    <s v="CUST9911"/>
    <x v="1"/>
    <x v="2"/>
    <s v="Chair"/>
    <s v="Product_93"/>
    <s v="Sneha"/>
    <x v="0"/>
    <s v="Net Banking"/>
    <x v="3"/>
    <n v="6"/>
    <n v="1701"/>
    <n v="15"/>
    <n v="8675.1"/>
    <n v="-314.39999999999998"/>
  </r>
  <r>
    <s v="ORD00257"/>
    <x v="227"/>
    <x v="214"/>
    <x v="2"/>
    <s v="India"/>
    <s v="Karnataka"/>
    <s v="Delhi"/>
    <s v="CUST5774"/>
    <x v="2"/>
    <x v="2"/>
    <s v="Mobile"/>
    <s v="Product_31"/>
    <s v="Karan"/>
    <x v="0"/>
    <s v="Credit Card"/>
    <x v="3"/>
    <n v="4"/>
    <n v="27537"/>
    <n v="5"/>
    <n v="104640.6"/>
    <n v="18765.09"/>
  </r>
  <r>
    <s v="ORD00258"/>
    <x v="104"/>
    <x v="215"/>
    <x v="1"/>
    <s v="India"/>
    <s v="Gujarat"/>
    <s v="Bangalore"/>
    <s v="CUST2510"/>
    <x v="2"/>
    <x v="1"/>
    <s v="Mobile"/>
    <s v="Product_170"/>
    <s v="Karan"/>
    <x v="0"/>
    <s v="Net Banking"/>
    <x v="0"/>
    <n v="5"/>
    <n v="7125"/>
    <n v="10"/>
    <n v="32062.5"/>
    <n v="-973.67"/>
  </r>
  <r>
    <s v="ORD00259"/>
    <x v="228"/>
    <x v="216"/>
    <x v="0"/>
    <s v="India"/>
    <s v="Karnataka"/>
    <s v="Bangalore"/>
    <s v="CUST8149"/>
    <x v="1"/>
    <x v="0"/>
    <s v="Printer"/>
    <s v="Product_162"/>
    <s v="Neha"/>
    <x v="0"/>
    <s v="Net Banking"/>
    <x v="3"/>
    <n v="6"/>
    <n v="10636"/>
    <n v="20"/>
    <n v="51052.800000000003"/>
    <n v="-5115.3500000000004"/>
  </r>
  <r>
    <s v="ORD00260"/>
    <x v="229"/>
    <x v="217"/>
    <x v="3"/>
    <s v="India"/>
    <s v="Tamil Nadu"/>
    <s v="Mumbai"/>
    <s v="CUST5387"/>
    <x v="0"/>
    <x v="1"/>
    <s v="Chair"/>
    <s v="Product_86"/>
    <s v="Karan"/>
    <x v="0"/>
    <s v="Debit Card"/>
    <x v="1"/>
    <n v="7"/>
    <n v="28200"/>
    <n v="20"/>
    <n v="157920"/>
    <n v="-1013.54"/>
  </r>
  <r>
    <s v="ORD00261"/>
    <x v="120"/>
    <x v="218"/>
    <x v="2"/>
    <s v="India"/>
    <s v="Karnataka"/>
    <s v="Delhi"/>
    <s v="CUST6814"/>
    <x v="1"/>
    <x v="2"/>
    <s v="Laptop"/>
    <s v="Product_157"/>
    <s v="Karan"/>
    <x v="1"/>
    <s v="UPI"/>
    <x v="3"/>
    <n v="4"/>
    <n v="39633"/>
    <n v="20"/>
    <n v="126825.60000000001"/>
    <n v="12927.64"/>
  </r>
  <r>
    <s v="ORD00262"/>
    <x v="230"/>
    <x v="219"/>
    <x v="1"/>
    <s v="India"/>
    <s v="Delhi"/>
    <s v="Ahmedabad"/>
    <s v="CUST9394"/>
    <x v="0"/>
    <x v="2"/>
    <s v="Laptop"/>
    <s v="Product_54"/>
    <s v="Priya"/>
    <x v="0"/>
    <s v="Net Banking"/>
    <x v="0"/>
    <n v="1"/>
    <n v="1051"/>
    <n v="0"/>
    <n v="1051"/>
    <n v="135.01"/>
  </r>
  <r>
    <s v="ORD00263"/>
    <x v="231"/>
    <x v="220"/>
    <x v="1"/>
    <s v="India"/>
    <s v="Karnataka"/>
    <s v="Mumbai"/>
    <s v="CUST8922"/>
    <x v="1"/>
    <x v="0"/>
    <s v="Mobile"/>
    <s v="Product_70"/>
    <s v="Amit"/>
    <x v="0"/>
    <s v="Net Banking"/>
    <x v="2"/>
    <n v="1"/>
    <n v="13564"/>
    <n v="0"/>
    <n v="13564"/>
    <n v="2488.59"/>
  </r>
  <r>
    <s v="ORD00264"/>
    <x v="15"/>
    <x v="221"/>
    <x v="2"/>
    <s v="India"/>
    <s v="Karnataka"/>
    <s v="Chennai"/>
    <s v="CUST7657"/>
    <x v="0"/>
    <x v="2"/>
    <s v="Table"/>
    <s v="Product_199"/>
    <s v="Amit"/>
    <x v="0"/>
    <s v="Debit Card"/>
    <x v="1"/>
    <n v="2"/>
    <n v="45190"/>
    <n v="0"/>
    <n v="90380"/>
    <n v="12213.64"/>
  </r>
  <r>
    <s v="ORD00265"/>
    <x v="185"/>
    <x v="222"/>
    <x v="3"/>
    <s v="India"/>
    <s v="Karnataka"/>
    <s v="Delhi"/>
    <s v="CUST3619"/>
    <x v="0"/>
    <x v="1"/>
    <s v="Printer"/>
    <s v="Product_179"/>
    <s v="Amit"/>
    <x v="0"/>
    <s v="Credit Card"/>
    <x v="3"/>
    <n v="3"/>
    <n v="36219"/>
    <n v="15"/>
    <n v="92358.45"/>
    <n v="-7752.88"/>
  </r>
  <r>
    <s v="ORD00266"/>
    <x v="232"/>
    <x v="223"/>
    <x v="2"/>
    <s v="India"/>
    <s v="Gujarat"/>
    <s v="Mumbai"/>
    <s v="CUST2604"/>
    <x v="0"/>
    <x v="2"/>
    <s v="Chair"/>
    <s v="Product_15"/>
    <s v="Sneha"/>
    <x v="1"/>
    <s v="UPI"/>
    <x v="3"/>
    <n v="6"/>
    <n v="5517"/>
    <n v="0"/>
    <n v="33102"/>
    <n v="3114.67"/>
  </r>
  <r>
    <s v="ORD00267"/>
    <x v="233"/>
    <x v="224"/>
    <x v="2"/>
    <s v="India"/>
    <s v="Karnataka"/>
    <s v="Bangalore"/>
    <s v="CUST6277"/>
    <x v="1"/>
    <x v="0"/>
    <s v="Table"/>
    <s v="Product_183"/>
    <s v="Karan"/>
    <x v="1"/>
    <s v="Cash"/>
    <x v="0"/>
    <n v="10"/>
    <n v="17368"/>
    <n v="15"/>
    <n v="147628"/>
    <n v="-2510.0100000000002"/>
  </r>
  <r>
    <s v="ORD00268"/>
    <x v="234"/>
    <x v="225"/>
    <x v="0"/>
    <s v="India"/>
    <s v="Maharashtra"/>
    <s v="Bangalore"/>
    <s v="CUST7691"/>
    <x v="1"/>
    <x v="2"/>
    <s v="Printer"/>
    <s v="Product_143"/>
    <s v="Karan"/>
    <x v="1"/>
    <s v="Credit Card"/>
    <x v="2"/>
    <n v="1"/>
    <n v="10711"/>
    <n v="10"/>
    <n v="9639.9"/>
    <n v="-222.88"/>
  </r>
  <r>
    <s v="ORD00269"/>
    <x v="235"/>
    <x v="226"/>
    <x v="3"/>
    <s v="India"/>
    <s v="Delhi"/>
    <s v="Bangalore"/>
    <s v="CUST8216"/>
    <x v="0"/>
    <x v="0"/>
    <s v="Chair"/>
    <s v="Product_46"/>
    <s v="Amit"/>
    <x v="0"/>
    <s v="Debit Card"/>
    <x v="0"/>
    <n v="5"/>
    <n v="33817"/>
    <n v="0"/>
    <n v="169085"/>
    <n v="35116.81"/>
  </r>
  <r>
    <s v="ORD00270"/>
    <x v="236"/>
    <x v="227"/>
    <x v="3"/>
    <s v="India"/>
    <s v="Maharashtra"/>
    <s v="Chennai"/>
    <s v="CUST1674"/>
    <x v="2"/>
    <x v="1"/>
    <s v="Table"/>
    <s v="Product_56"/>
    <s v="Karan"/>
    <x v="0"/>
    <s v="UPI"/>
    <x v="1"/>
    <n v="3"/>
    <n v="15058"/>
    <n v="5"/>
    <n v="42915.3"/>
    <n v="9643.9500000000007"/>
  </r>
  <r>
    <s v="ORD00271"/>
    <x v="237"/>
    <x v="228"/>
    <x v="1"/>
    <s v="India"/>
    <s v="Maharashtra"/>
    <s v="Delhi"/>
    <s v="CUST4734"/>
    <x v="2"/>
    <x v="0"/>
    <s v="Storage"/>
    <s v="Product_178"/>
    <s v="Amit"/>
    <x v="1"/>
    <s v="Net Banking"/>
    <x v="1"/>
    <n v="5"/>
    <n v="11361"/>
    <n v="5"/>
    <n v="53964.75"/>
    <n v="4633.83"/>
  </r>
  <r>
    <s v="ORD00272"/>
    <x v="238"/>
    <x v="229"/>
    <x v="1"/>
    <s v="India"/>
    <s v="Gujarat"/>
    <s v="Ahmedabad"/>
    <s v="CUST8272"/>
    <x v="0"/>
    <x v="0"/>
    <s v="Storage"/>
    <s v="Product_21"/>
    <s v="Neha"/>
    <x v="0"/>
    <s v="Debit Card"/>
    <x v="2"/>
    <n v="9"/>
    <n v="35687"/>
    <n v="0"/>
    <n v="321183"/>
    <n v="91177.91"/>
  </r>
  <r>
    <s v="ORD00273"/>
    <x v="179"/>
    <x v="230"/>
    <x v="0"/>
    <s v="India"/>
    <s v="Delhi"/>
    <s v="Bangalore"/>
    <s v="CUST4697"/>
    <x v="2"/>
    <x v="0"/>
    <s v="Laptop"/>
    <s v="Product_91"/>
    <s v="Priya"/>
    <x v="0"/>
    <s v="Debit Card"/>
    <x v="0"/>
    <n v="9"/>
    <n v="21849"/>
    <n v="20"/>
    <n v="157312.79999999999"/>
    <n v="4664.3999999999996"/>
  </r>
  <r>
    <s v="ORD00274"/>
    <x v="239"/>
    <x v="231"/>
    <x v="0"/>
    <s v="India"/>
    <s v="Tamil Nadu"/>
    <s v="Ahmedabad"/>
    <s v="CUST2155"/>
    <x v="2"/>
    <x v="1"/>
    <s v="Laptop"/>
    <s v="Product_88"/>
    <s v="Amit"/>
    <x v="1"/>
    <s v="Debit Card"/>
    <x v="2"/>
    <n v="9"/>
    <n v="8371"/>
    <n v="5"/>
    <n v="71572.05"/>
    <n v="9909.5"/>
  </r>
  <r>
    <s v="ORD00275"/>
    <x v="240"/>
    <x v="232"/>
    <x v="1"/>
    <s v="India"/>
    <s v="Tamil Nadu"/>
    <s v="Ahmedabad"/>
    <s v="CUST2117"/>
    <x v="0"/>
    <x v="0"/>
    <s v="Chair"/>
    <s v="Product_152"/>
    <s v="Rahul"/>
    <x v="0"/>
    <s v="UPI"/>
    <x v="2"/>
    <n v="9"/>
    <n v="21972"/>
    <n v="15"/>
    <n v="168085.8"/>
    <n v="24221.78"/>
  </r>
  <r>
    <s v="ORD00276"/>
    <x v="27"/>
    <x v="233"/>
    <x v="2"/>
    <s v="India"/>
    <s v="Maharashtra"/>
    <s v="Bangalore"/>
    <s v="CUST4867"/>
    <x v="1"/>
    <x v="2"/>
    <s v="Laptop"/>
    <s v="Product_70"/>
    <s v="Rahul"/>
    <x v="0"/>
    <s v="Net Banking"/>
    <x v="0"/>
    <n v="8"/>
    <n v="24456"/>
    <n v="0"/>
    <n v="195648"/>
    <n v="37498.75"/>
  </r>
  <r>
    <s v="ORD00277"/>
    <x v="7"/>
    <x v="234"/>
    <x v="0"/>
    <s v="India"/>
    <s v="Gujarat"/>
    <s v="Mumbai"/>
    <s v="CUST9540"/>
    <x v="1"/>
    <x v="0"/>
    <s v="Mobile"/>
    <s v="Product_91"/>
    <s v="Neha"/>
    <x v="1"/>
    <s v="Net Banking"/>
    <x v="2"/>
    <n v="1"/>
    <n v="22985"/>
    <n v="20"/>
    <n v="18388"/>
    <n v="-2208.59"/>
  </r>
  <r>
    <s v="ORD00278"/>
    <x v="241"/>
    <x v="235"/>
    <x v="2"/>
    <s v="India"/>
    <s v="Delhi"/>
    <s v="Delhi"/>
    <s v="CUST5947"/>
    <x v="1"/>
    <x v="2"/>
    <s v="Mobile"/>
    <s v="Product_174"/>
    <s v="Rahul"/>
    <x v="1"/>
    <s v="Debit Card"/>
    <x v="1"/>
    <n v="7"/>
    <n v="21531"/>
    <n v="20"/>
    <n v="120573.6"/>
    <n v="-13696.29"/>
  </r>
  <r>
    <s v="ORD00279"/>
    <x v="242"/>
    <x v="236"/>
    <x v="2"/>
    <s v="India"/>
    <s v="Delhi"/>
    <s v="Bangalore"/>
    <s v="CUST4618"/>
    <x v="2"/>
    <x v="1"/>
    <s v="Chair"/>
    <s v="Product_113"/>
    <s v="Amit"/>
    <x v="1"/>
    <s v="Credit Card"/>
    <x v="3"/>
    <n v="8"/>
    <n v="46960"/>
    <n v="10"/>
    <n v="338112"/>
    <n v="27759.23"/>
  </r>
  <r>
    <s v="ORD00280"/>
    <x v="179"/>
    <x v="67"/>
    <x v="0"/>
    <s v="India"/>
    <s v="Maharashtra"/>
    <s v="Chennai"/>
    <s v="CUST8249"/>
    <x v="1"/>
    <x v="0"/>
    <s v="Laptop"/>
    <s v="Product_80"/>
    <s v="Karan"/>
    <x v="0"/>
    <s v="Cash"/>
    <x v="3"/>
    <n v="2"/>
    <n v="45215"/>
    <n v="20"/>
    <n v="72344"/>
    <n v="8636.2800000000007"/>
  </r>
  <r>
    <s v="ORD00281"/>
    <x v="243"/>
    <x v="143"/>
    <x v="2"/>
    <s v="India"/>
    <s v="Delhi"/>
    <s v="Ahmedabad"/>
    <s v="CUST7203"/>
    <x v="1"/>
    <x v="2"/>
    <s v="Mobile"/>
    <s v="Product_108"/>
    <s v="Sneha"/>
    <x v="1"/>
    <s v="Cash"/>
    <x v="1"/>
    <n v="1"/>
    <n v="18480"/>
    <n v="0"/>
    <n v="18480"/>
    <n v="4225.3100000000004"/>
  </r>
  <r>
    <s v="ORD00282"/>
    <x v="77"/>
    <x v="237"/>
    <x v="2"/>
    <s v="India"/>
    <s v="Tamil Nadu"/>
    <s v="Chennai"/>
    <s v="CUST8854"/>
    <x v="2"/>
    <x v="0"/>
    <s v="Storage"/>
    <s v="Product_111"/>
    <s v="Karan"/>
    <x v="0"/>
    <s v="Net Banking"/>
    <x v="0"/>
    <n v="10"/>
    <n v="10045"/>
    <n v="20"/>
    <n v="80360"/>
    <n v="-3667.8"/>
  </r>
  <r>
    <s v="ORD00283"/>
    <x v="244"/>
    <x v="238"/>
    <x v="1"/>
    <s v="India"/>
    <s v="Gujarat"/>
    <s v="Bangalore"/>
    <s v="CUST6664"/>
    <x v="1"/>
    <x v="0"/>
    <s v="Table"/>
    <s v="Product_90"/>
    <s v="Amit"/>
    <x v="0"/>
    <s v="Credit Card"/>
    <x v="3"/>
    <n v="1"/>
    <n v="10766"/>
    <n v="20"/>
    <n v="8612.7999999999993"/>
    <n v="995.7"/>
  </r>
  <r>
    <s v="ORD00284"/>
    <x v="45"/>
    <x v="239"/>
    <x v="1"/>
    <s v="India"/>
    <s v="Karnataka"/>
    <s v="Ahmedabad"/>
    <s v="CUST1743"/>
    <x v="2"/>
    <x v="1"/>
    <s v="Storage"/>
    <s v="Product_194"/>
    <s v="Neha"/>
    <x v="0"/>
    <s v="UPI"/>
    <x v="2"/>
    <n v="9"/>
    <n v="32058"/>
    <n v="5"/>
    <n v="274095.90000000002"/>
    <n v="20550.7"/>
  </r>
  <r>
    <s v="ORD00285"/>
    <x v="135"/>
    <x v="240"/>
    <x v="2"/>
    <s v="India"/>
    <s v="Tamil Nadu"/>
    <s v="Chennai"/>
    <s v="CUST1253"/>
    <x v="2"/>
    <x v="0"/>
    <s v="Laptop"/>
    <s v="Product_78"/>
    <s v="Amit"/>
    <x v="0"/>
    <s v="Credit Card"/>
    <x v="0"/>
    <n v="6"/>
    <n v="20287"/>
    <n v="0"/>
    <n v="121722"/>
    <n v="20298.099999999999"/>
  </r>
  <r>
    <s v="ORD00286"/>
    <x v="201"/>
    <x v="241"/>
    <x v="0"/>
    <s v="India"/>
    <s v="Karnataka"/>
    <s v="Delhi"/>
    <s v="CUST7678"/>
    <x v="0"/>
    <x v="0"/>
    <s v="Storage"/>
    <s v="Product_75"/>
    <s v="Rahul"/>
    <x v="0"/>
    <s v="Debit Card"/>
    <x v="2"/>
    <n v="7"/>
    <n v="38594"/>
    <n v="20"/>
    <n v="216126.4"/>
    <n v="10114.48"/>
  </r>
  <r>
    <s v="ORD00287"/>
    <x v="245"/>
    <x v="242"/>
    <x v="3"/>
    <s v="India"/>
    <s v="Karnataka"/>
    <s v="Ahmedabad"/>
    <s v="CUST5500"/>
    <x v="2"/>
    <x v="2"/>
    <s v="Storage"/>
    <s v="Product_98"/>
    <s v="Rahul"/>
    <x v="1"/>
    <s v="Credit Card"/>
    <x v="2"/>
    <n v="10"/>
    <n v="34366"/>
    <n v="15"/>
    <n v="292111"/>
    <n v="-22225.47"/>
  </r>
  <r>
    <s v="ORD00288"/>
    <x v="246"/>
    <x v="199"/>
    <x v="1"/>
    <s v="India"/>
    <s v="Gujarat"/>
    <s v="Chennai"/>
    <s v="CUST9194"/>
    <x v="2"/>
    <x v="0"/>
    <s v="Laptop"/>
    <s v="Product_140"/>
    <s v="Priya"/>
    <x v="0"/>
    <s v="Credit Card"/>
    <x v="0"/>
    <n v="10"/>
    <n v="44447"/>
    <n v="10"/>
    <n v="400023"/>
    <n v="23211.64"/>
  </r>
  <r>
    <s v="ORD00289"/>
    <x v="247"/>
    <x v="243"/>
    <x v="3"/>
    <s v="India"/>
    <s v="Karnataka"/>
    <s v="Mumbai"/>
    <s v="CUST8331"/>
    <x v="1"/>
    <x v="0"/>
    <s v="Mobile"/>
    <s v="Product_178"/>
    <s v="Amit"/>
    <x v="0"/>
    <s v="Debit Card"/>
    <x v="2"/>
    <n v="1"/>
    <n v="17868"/>
    <n v="10"/>
    <n v="16081.2"/>
    <n v="1862.65"/>
  </r>
  <r>
    <s v="ORD00290"/>
    <x v="248"/>
    <x v="244"/>
    <x v="0"/>
    <s v="India"/>
    <s v="Gujarat"/>
    <s v="Chennai"/>
    <s v="CUST5165"/>
    <x v="1"/>
    <x v="0"/>
    <s v="Mobile"/>
    <s v="Product_168"/>
    <s v="Amit"/>
    <x v="1"/>
    <s v="Debit Card"/>
    <x v="2"/>
    <n v="8"/>
    <n v="33667"/>
    <n v="5"/>
    <n v="255869.2"/>
    <n v="62745.79"/>
  </r>
  <r>
    <s v="ORD00291"/>
    <x v="249"/>
    <x v="245"/>
    <x v="0"/>
    <s v="India"/>
    <s v="Maharashtra"/>
    <s v="Ahmedabad"/>
    <s v="CUST4015"/>
    <x v="2"/>
    <x v="0"/>
    <s v="Mobile"/>
    <s v="Product_60"/>
    <s v="Sneha"/>
    <x v="1"/>
    <s v="Net Banking"/>
    <x v="1"/>
    <n v="9"/>
    <n v="22806"/>
    <n v="0"/>
    <n v="205254"/>
    <n v="37675.01"/>
  </r>
  <r>
    <s v="ORD00292"/>
    <x v="250"/>
    <x v="246"/>
    <x v="2"/>
    <s v="India"/>
    <s v="Maharashtra"/>
    <s v="Delhi"/>
    <s v="CUST6069"/>
    <x v="2"/>
    <x v="1"/>
    <s v="Chair"/>
    <s v="Product_182"/>
    <s v="Karan"/>
    <x v="1"/>
    <s v="Cash"/>
    <x v="0"/>
    <n v="10"/>
    <n v="10825"/>
    <n v="15"/>
    <n v="92012.5"/>
    <n v="10002.049999999999"/>
  </r>
  <r>
    <s v="ORD00293"/>
    <x v="251"/>
    <x v="247"/>
    <x v="3"/>
    <s v="India"/>
    <s v="Maharashtra"/>
    <s v="Delhi"/>
    <s v="CUST2939"/>
    <x v="0"/>
    <x v="1"/>
    <s v="Laptop"/>
    <s v="Product_90"/>
    <s v="Neha"/>
    <x v="0"/>
    <s v="Cash"/>
    <x v="3"/>
    <n v="3"/>
    <n v="5782"/>
    <n v="15"/>
    <n v="14744.1"/>
    <n v="2217.5100000000002"/>
  </r>
  <r>
    <s v="ORD00294"/>
    <x v="252"/>
    <x v="248"/>
    <x v="0"/>
    <s v="India"/>
    <s v="Gujarat"/>
    <s v="Mumbai"/>
    <s v="CUST4190"/>
    <x v="2"/>
    <x v="2"/>
    <s v="Chair"/>
    <s v="Product_140"/>
    <s v="Amit"/>
    <x v="0"/>
    <s v="UPI"/>
    <x v="3"/>
    <n v="10"/>
    <n v="19240"/>
    <n v="5"/>
    <n v="182780"/>
    <n v="34979.26"/>
  </r>
  <r>
    <s v="ORD00295"/>
    <x v="253"/>
    <x v="249"/>
    <x v="3"/>
    <s v="India"/>
    <s v="Gujarat"/>
    <s v="Ahmedabad"/>
    <s v="CUST9800"/>
    <x v="1"/>
    <x v="2"/>
    <s v="Table"/>
    <s v="Product_145"/>
    <s v="Rahul"/>
    <x v="1"/>
    <s v="Net Banking"/>
    <x v="3"/>
    <n v="7"/>
    <n v="14627"/>
    <n v="5"/>
    <n v="97269.55"/>
    <n v="15492.36"/>
  </r>
  <r>
    <s v="ORD00296"/>
    <x v="254"/>
    <x v="250"/>
    <x v="2"/>
    <s v="India"/>
    <s v="Delhi"/>
    <s v="Bangalore"/>
    <s v="CUST4928"/>
    <x v="1"/>
    <x v="1"/>
    <s v="Chair"/>
    <s v="Product_189"/>
    <s v="Sneha"/>
    <x v="1"/>
    <s v="Cash"/>
    <x v="1"/>
    <n v="3"/>
    <n v="44497"/>
    <n v="10"/>
    <n v="120141.9"/>
    <n v="9184.01"/>
  </r>
  <r>
    <s v="ORD00297"/>
    <x v="255"/>
    <x v="128"/>
    <x v="2"/>
    <s v="India"/>
    <s v="Tamil Nadu"/>
    <s v="Mumbai"/>
    <s v="CUST9564"/>
    <x v="1"/>
    <x v="2"/>
    <s v="Printer"/>
    <s v="Product_27"/>
    <s v="Priya"/>
    <x v="0"/>
    <s v="Cash"/>
    <x v="1"/>
    <n v="7"/>
    <n v="47092"/>
    <n v="0"/>
    <n v="329644"/>
    <n v="59748.33"/>
  </r>
  <r>
    <s v="ORD00298"/>
    <x v="256"/>
    <x v="251"/>
    <x v="2"/>
    <s v="India"/>
    <s v="Tamil Nadu"/>
    <s v="Mumbai"/>
    <s v="CUST1162"/>
    <x v="0"/>
    <x v="1"/>
    <s v="Printer"/>
    <s v="Product_177"/>
    <s v="Amit"/>
    <x v="1"/>
    <s v="Credit Card"/>
    <x v="2"/>
    <n v="2"/>
    <n v="21314"/>
    <n v="15"/>
    <n v="36233.800000000003"/>
    <n v="3849.43"/>
  </r>
  <r>
    <s v="ORD00299"/>
    <x v="257"/>
    <x v="252"/>
    <x v="0"/>
    <s v="India"/>
    <s v="Karnataka"/>
    <s v="Delhi"/>
    <s v="CUST2231"/>
    <x v="0"/>
    <x v="2"/>
    <s v="Table"/>
    <s v="Product_34"/>
    <s v="Rahul"/>
    <x v="0"/>
    <s v="Cash"/>
    <x v="1"/>
    <n v="7"/>
    <n v="8443"/>
    <n v="20"/>
    <n v="47280.800000000003"/>
    <n v="4499.91"/>
  </r>
  <r>
    <s v="ORD00300"/>
    <x v="258"/>
    <x v="253"/>
    <x v="1"/>
    <s v="India"/>
    <s v="Gujarat"/>
    <s v="Delhi"/>
    <s v="CUST6882"/>
    <x v="1"/>
    <x v="2"/>
    <s v="Storage"/>
    <s v="Product_108"/>
    <s v="Sneha"/>
    <x v="1"/>
    <s v="Cash"/>
    <x v="2"/>
    <n v="5"/>
    <n v="38786"/>
    <n v="15"/>
    <n v="164840.5"/>
    <n v="25398.95"/>
  </r>
  <r>
    <s v="ORD00301"/>
    <x v="114"/>
    <x v="254"/>
    <x v="0"/>
    <s v="India"/>
    <s v="Gujarat"/>
    <s v="Mumbai"/>
    <s v="CUST3209"/>
    <x v="0"/>
    <x v="0"/>
    <s v="Laptop"/>
    <s v="Product_40"/>
    <s v="Neha"/>
    <x v="1"/>
    <s v="Net Banking"/>
    <x v="0"/>
    <n v="8"/>
    <n v="13304"/>
    <n v="5"/>
    <n v="101110.39999999999"/>
    <n v="12879.21"/>
  </r>
  <r>
    <s v="ORD00302"/>
    <x v="259"/>
    <x v="255"/>
    <x v="1"/>
    <s v="India"/>
    <s v="Tamil Nadu"/>
    <s v="Bangalore"/>
    <s v="CUST9138"/>
    <x v="2"/>
    <x v="1"/>
    <s v="Table"/>
    <s v="Product_11"/>
    <s v="Priya"/>
    <x v="0"/>
    <s v="Debit Card"/>
    <x v="0"/>
    <n v="9"/>
    <n v="11095"/>
    <n v="20"/>
    <n v="79884"/>
    <n v="-10372.69"/>
  </r>
  <r>
    <s v="ORD00303"/>
    <x v="260"/>
    <x v="256"/>
    <x v="0"/>
    <s v="India"/>
    <s v="Delhi"/>
    <s v="Chennai"/>
    <s v="CUST5880"/>
    <x v="1"/>
    <x v="1"/>
    <s v="Table"/>
    <s v="Product_32"/>
    <s v="Priya"/>
    <x v="1"/>
    <s v="UPI"/>
    <x v="1"/>
    <n v="9"/>
    <n v="23435"/>
    <n v="20"/>
    <n v="168732"/>
    <n v="-1030.6199999999999"/>
  </r>
  <r>
    <s v="ORD00304"/>
    <x v="261"/>
    <x v="257"/>
    <x v="3"/>
    <s v="India"/>
    <s v="Gujarat"/>
    <s v="Chennai"/>
    <s v="CUST1614"/>
    <x v="0"/>
    <x v="0"/>
    <s v="Chair"/>
    <s v="Product_128"/>
    <s v="Priya"/>
    <x v="1"/>
    <s v="Net Banking"/>
    <x v="2"/>
    <n v="6"/>
    <n v="5106"/>
    <n v="0"/>
    <n v="30636"/>
    <n v="1828.99"/>
  </r>
  <r>
    <s v="ORD00305"/>
    <x v="262"/>
    <x v="258"/>
    <x v="3"/>
    <s v="India"/>
    <s v="Karnataka"/>
    <s v="Ahmedabad"/>
    <s v="CUST3553"/>
    <x v="2"/>
    <x v="2"/>
    <s v="Printer"/>
    <s v="Product_75"/>
    <s v="Karan"/>
    <x v="1"/>
    <s v="UPI"/>
    <x v="2"/>
    <n v="4"/>
    <n v="34926"/>
    <n v="10"/>
    <n v="125733.6"/>
    <n v="24493.08"/>
  </r>
  <r>
    <s v="ORD00306"/>
    <x v="137"/>
    <x v="259"/>
    <x v="3"/>
    <s v="India"/>
    <s v="Karnataka"/>
    <s v="Ahmedabad"/>
    <s v="CUST8757"/>
    <x v="1"/>
    <x v="0"/>
    <s v="Chair"/>
    <s v="Product_97"/>
    <s v="Karan"/>
    <x v="1"/>
    <s v="Net Banking"/>
    <x v="1"/>
    <n v="2"/>
    <n v="42750"/>
    <n v="0"/>
    <n v="85500"/>
    <n v="24502.75"/>
  </r>
  <r>
    <s v="ORD00307"/>
    <x v="263"/>
    <x v="48"/>
    <x v="2"/>
    <s v="India"/>
    <s v="Maharashtra"/>
    <s v="Delhi"/>
    <s v="CUST4700"/>
    <x v="1"/>
    <x v="2"/>
    <s v="Table"/>
    <s v="Product_157"/>
    <s v="Rahul"/>
    <x v="1"/>
    <s v="Net Banking"/>
    <x v="0"/>
    <n v="1"/>
    <n v="47604"/>
    <n v="10"/>
    <n v="42843.6"/>
    <n v="-1515.53"/>
  </r>
  <r>
    <s v="ORD00308"/>
    <x v="264"/>
    <x v="99"/>
    <x v="3"/>
    <s v="India"/>
    <s v="Gujarat"/>
    <s v="Bangalore"/>
    <s v="CUST1000"/>
    <x v="1"/>
    <x v="1"/>
    <s v="Printer"/>
    <s v="Product_153"/>
    <s v="Priya"/>
    <x v="0"/>
    <s v="Debit Card"/>
    <x v="0"/>
    <n v="1"/>
    <n v="23598"/>
    <n v="0"/>
    <n v="23598"/>
    <n v="3107.88"/>
  </r>
  <r>
    <s v="ORD00309"/>
    <x v="265"/>
    <x v="260"/>
    <x v="0"/>
    <s v="India"/>
    <s v="Delhi"/>
    <s v="Mumbai"/>
    <s v="CUST2715"/>
    <x v="1"/>
    <x v="0"/>
    <s v="Mobile"/>
    <s v="Product_136"/>
    <s v="Amit"/>
    <x v="0"/>
    <s v="Net Banking"/>
    <x v="0"/>
    <n v="4"/>
    <n v="45437"/>
    <n v="10"/>
    <n v="163573.20000000001"/>
    <n v="35769.85"/>
  </r>
  <r>
    <s v="ORD00310"/>
    <x v="0"/>
    <x v="261"/>
    <x v="0"/>
    <s v="India"/>
    <s v="Maharashtra"/>
    <s v="Bangalore"/>
    <s v="CUST1145"/>
    <x v="0"/>
    <x v="2"/>
    <s v="Table"/>
    <s v="Product_89"/>
    <s v="Amit"/>
    <x v="0"/>
    <s v="Net Banking"/>
    <x v="3"/>
    <n v="2"/>
    <n v="34467"/>
    <n v="10"/>
    <n v="62040.6"/>
    <n v="268.06"/>
  </r>
  <r>
    <s v="ORD00311"/>
    <x v="266"/>
    <x v="180"/>
    <x v="3"/>
    <s v="India"/>
    <s v="Delhi"/>
    <s v="Bangalore"/>
    <s v="CUST4306"/>
    <x v="1"/>
    <x v="1"/>
    <s v="Table"/>
    <s v="Product_77"/>
    <s v="Neha"/>
    <x v="0"/>
    <s v="Net Banking"/>
    <x v="0"/>
    <n v="5"/>
    <n v="23079"/>
    <n v="5"/>
    <n v="109625.25"/>
    <n v="28013.51"/>
  </r>
  <r>
    <s v="ORD00312"/>
    <x v="267"/>
    <x v="262"/>
    <x v="0"/>
    <s v="India"/>
    <s v="Delhi"/>
    <s v="Chennai"/>
    <s v="CUST9494"/>
    <x v="1"/>
    <x v="2"/>
    <s v="Storage"/>
    <s v="Product_70"/>
    <s v="Priya"/>
    <x v="1"/>
    <s v="Cash"/>
    <x v="2"/>
    <n v="1"/>
    <n v="25487"/>
    <n v="0"/>
    <n v="25487"/>
    <n v="3363.05"/>
  </r>
  <r>
    <s v="ORD00313"/>
    <x v="268"/>
    <x v="263"/>
    <x v="1"/>
    <s v="India"/>
    <s v="Gujarat"/>
    <s v="Ahmedabad"/>
    <s v="CUST1164"/>
    <x v="2"/>
    <x v="2"/>
    <s v="Laptop"/>
    <s v="Product_132"/>
    <s v="Neha"/>
    <x v="1"/>
    <s v="Credit Card"/>
    <x v="0"/>
    <n v="10"/>
    <n v="42250"/>
    <n v="20"/>
    <n v="338000"/>
    <n v="-27475.5"/>
  </r>
  <r>
    <s v="ORD00314"/>
    <x v="269"/>
    <x v="264"/>
    <x v="1"/>
    <s v="India"/>
    <s v="Gujarat"/>
    <s v="Chennai"/>
    <s v="CUST1244"/>
    <x v="2"/>
    <x v="0"/>
    <s v="Mobile"/>
    <s v="Product_25"/>
    <s v="Karan"/>
    <x v="1"/>
    <s v="Debit Card"/>
    <x v="2"/>
    <n v="4"/>
    <n v="6510"/>
    <n v="20"/>
    <n v="20832"/>
    <n v="1051.8"/>
  </r>
  <r>
    <s v="ORD00315"/>
    <x v="145"/>
    <x v="265"/>
    <x v="1"/>
    <s v="India"/>
    <s v="Karnataka"/>
    <s v="Ahmedabad"/>
    <s v="CUST8492"/>
    <x v="1"/>
    <x v="1"/>
    <s v="Printer"/>
    <s v="Product_175"/>
    <s v="Karan"/>
    <x v="1"/>
    <s v="Debit Card"/>
    <x v="0"/>
    <n v="1"/>
    <n v="11864"/>
    <n v="15"/>
    <n v="10084.4"/>
    <n v="650.36"/>
  </r>
  <r>
    <s v="ORD00316"/>
    <x v="189"/>
    <x v="266"/>
    <x v="1"/>
    <s v="India"/>
    <s v="Karnataka"/>
    <s v="Mumbai"/>
    <s v="CUST3173"/>
    <x v="0"/>
    <x v="2"/>
    <s v="Storage"/>
    <s v="Product_96"/>
    <s v="Amit"/>
    <x v="1"/>
    <s v="Debit Card"/>
    <x v="1"/>
    <n v="10"/>
    <n v="33838"/>
    <n v="10"/>
    <n v="304542"/>
    <n v="15644.29"/>
  </r>
  <r>
    <s v="ORD00317"/>
    <x v="270"/>
    <x v="267"/>
    <x v="3"/>
    <s v="India"/>
    <s v="Tamil Nadu"/>
    <s v="Delhi"/>
    <s v="CUST6230"/>
    <x v="1"/>
    <x v="2"/>
    <s v="Chair"/>
    <s v="Product_103"/>
    <s v="Neha"/>
    <x v="1"/>
    <s v="Cash"/>
    <x v="2"/>
    <n v="4"/>
    <n v="49141"/>
    <n v="20"/>
    <n v="157251.20000000001"/>
    <n v="-2616.23"/>
  </r>
  <r>
    <s v="ORD00318"/>
    <x v="271"/>
    <x v="268"/>
    <x v="0"/>
    <s v="India"/>
    <s v="Maharashtra"/>
    <s v="Chennai"/>
    <s v="CUST1070"/>
    <x v="1"/>
    <x v="0"/>
    <s v="Table"/>
    <s v="Product_33"/>
    <s v="Priya"/>
    <x v="1"/>
    <s v="Debit Card"/>
    <x v="2"/>
    <n v="3"/>
    <n v="18556"/>
    <n v="15"/>
    <n v="47317.8"/>
    <n v="-4095.91"/>
  </r>
  <r>
    <s v="ORD00319"/>
    <x v="272"/>
    <x v="235"/>
    <x v="3"/>
    <s v="India"/>
    <s v="Maharashtra"/>
    <s v="Bangalore"/>
    <s v="CUST8022"/>
    <x v="0"/>
    <x v="2"/>
    <s v="Laptop"/>
    <s v="Product_123"/>
    <s v="Neha"/>
    <x v="1"/>
    <s v="Cash"/>
    <x v="1"/>
    <n v="4"/>
    <n v="14592"/>
    <n v="0"/>
    <n v="58368"/>
    <n v="16677.34"/>
  </r>
  <r>
    <s v="ORD00320"/>
    <x v="259"/>
    <x v="269"/>
    <x v="0"/>
    <s v="India"/>
    <s v="Delhi"/>
    <s v="Chennai"/>
    <s v="CUST7117"/>
    <x v="2"/>
    <x v="2"/>
    <s v="Printer"/>
    <s v="Product_170"/>
    <s v="Rahul"/>
    <x v="0"/>
    <s v="Credit Card"/>
    <x v="2"/>
    <n v="8"/>
    <n v="39185"/>
    <n v="20"/>
    <n v="250784"/>
    <n v="26344.7"/>
  </r>
  <r>
    <s v="ORD00321"/>
    <x v="273"/>
    <x v="32"/>
    <x v="1"/>
    <s v="India"/>
    <s v="Karnataka"/>
    <s v="Bangalore"/>
    <s v="CUST9599"/>
    <x v="1"/>
    <x v="1"/>
    <s v="Mobile"/>
    <s v="Product_112"/>
    <s v="Sneha"/>
    <x v="0"/>
    <s v="UPI"/>
    <x v="0"/>
    <n v="2"/>
    <n v="20162"/>
    <n v="15"/>
    <n v="34275.4"/>
    <n v="-114.65"/>
  </r>
  <r>
    <s v="ORD00322"/>
    <x v="274"/>
    <x v="270"/>
    <x v="0"/>
    <s v="India"/>
    <s v="Tamil Nadu"/>
    <s v="Chennai"/>
    <s v="CUST4495"/>
    <x v="2"/>
    <x v="0"/>
    <s v="Storage"/>
    <s v="Product_55"/>
    <s v="Karan"/>
    <x v="1"/>
    <s v="Net Banking"/>
    <x v="0"/>
    <n v="3"/>
    <n v="24302"/>
    <n v="20"/>
    <n v="58324.800000000003"/>
    <n v="-10762.13"/>
  </r>
  <r>
    <s v="ORD00323"/>
    <x v="275"/>
    <x v="183"/>
    <x v="1"/>
    <s v="India"/>
    <s v="Delhi"/>
    <s v="Ahmedabad"/>
    <s v="CUST9916"/>
    <x v="0"/>
    <x v="2"/>
    <s v="Printer"/>
    <s v="Product_37"/>
    <s v="Rahul"/>
    <x v="0"/>
    <s v="Credit Card"/>
    <x v="3"/>
    <n v="7"/>
    <n v="44288"/>
    <n v="10"/>
    <n v="279014.40000000002"/>
    <n v="-8770.33"/>
  </r>
  <r>
    <s v="ORD00324"/>
    <x v="276"/>
    <x v="271"/>
    <x v="2"/>
    <s v="India"/>
    <s v="Gujarat"/>
    <s v="Ahmedabad"/>
    <s v="CUST2211"/>
    <x v="0"/>
    <x v="2"/>
    <s v="Laptop"/>
    <s v="Product_59"/>
    <s v="Rahul"/>
    <x v="1"/>
    <s v="Credit Card"/>
    <x v="3"/>
    <n v="3"/>
    <n v="14161"/>
    <n v="20"/>
    <n v="33986.400000000001"/>
    <n v="-4788.0600000000004"/>
  </r>
  <r>
    <s v="ORD00325"/>
    <x v="48"/>
    <x v="48"/>
    <x v="3"/>
    <s v="India"/>
    <s v="Tamil Nadu"/>
    <s v="Bangalore"/>
    <s v="CUST3513"/>
    <x v="0"/>
    <x v="2"/>
    <s v="Storage"/>
    <s v="Product_125"/>
    <s v="Rahul"/>
    <x v="1"/>
    <s v="Debit Card"/>
    <x v="1"/>
    <n v="9"/>
    <n v="25683"/>
    <n v="5"/>
    <n v="219589.65"/>
    <n v="25973.439999999999"/>
  </r>
  <r>
    <s v="ORD00326"/>
    <x v="277"/>
    <x v="272"/>
    <x v="0"/>
    <s v="India"/>
    <s v="Tamil Nadu"/>
    <s v="Chennai"/>
    <s v="CUST1453"/>
    <x v="0"/>
    <x v="2"/>
    <s v="Printer"/>
    <s v="Product_10"/>
    <s v="Karan"/>
    <x v="0"/>
    <s v="Net Banking"/>
    <x v="0"/>
    <n v="7"/>
    <n v="39181"/>
    <n v="0"/>
    <n v="274267"/>
    <n v="75894.710000000006"/>
  </r>
  <r>
    <s v="ORD00327"/>
    <x v="278"/>
    <x v="273"/>
    <x v="0"/>
    <s v="India"/>
    <s v="Tamil Nadu"/>
    <s v="Ahmedabad"/>
    <s v="CUST4568"/>
    <x v="1"/>
    <x v="0"/>
    <s v="Printer"/>
    <s v="Product_156"/>
    <s v="Neha"/>
    <x v="0"/>
    <s v="Net Banking"/>
    <x v="2"/>
    <n v="3"/>
    <n v="47397"/>
    <n v="5"/>
    <n v="135081.45000000001"/>
    <n v="34363.949999999997"/>
  </r>
  <r>
    <s v="ORD00328"/>
    <x v="279"/>
    <x v="40"/>
    <x v="1"/>
    <s v="India"/>
    <s v="Maharashtra"/>
    <s v="Bangalore"/>
    <s v="CUST4130"/>
    <x v="2"/>
    <x v="0"/>
    <s v="Laptop"/>
    <s v="Product_82"/>
    <s v="Priya"/>
    <x v="0"/>
    <s v="Cash"/>
    <x v="2"/>
    <n v="6"/>
    <n v="7014"/>
    <n v="20"/>
    <n v="33667.199999999997"/>
    <n v="3366.47"/>
  </r>
  <r>
    <s v="ORD00329"/>
    <x v="280"/>
    <x v="274"/>
    <x v="1"/>
    <s v="India"/>
    <s v="Delhi"/>
    <s v="Delhi"/>
    <s v="CUST3720"/>
    <x v="0"/>
    <x v="0"/>
    <s v="Chair"/>
    <s v="Product_80"/>
    <s v="Amit"/>
    <x v="1"/>
    <s v="UPI"/>
    <x v="3"/>
    <n v="9"/>
    <n v="33503"/>
    <n v="0"/>
    <n v="301527"/>
    <n v="31062.13"/>
  </r>
  <r>
    <s v="ORD00330"/>
    <x v="121"/>
    <x v="275"/>
    <x v="0"/>
    <s v="India"/>
    <s v="Tamil Nadu"/>
    <s v="Bangalore"/>
    <s v="CUST8591"/>
    <x v="2"/>
    <x v="0"/>
    <s v="Table"/>
    <s v="Product_79"/>
    <s v="Priya"/>
    <x v="1"/>
    <s v="Debit Card"/>
    <x v="0"/>
    <n v="10"/>
    <n v="12429"/>
    <n v="10"/>
    <n v="111861"/>
    <n v="1087.92"/>
  </r>
  <r>
    <s v="ORD00331"/>
    <x v="281"/>
    <x v="276"/>
    <x v="1"/>
    <s v="India"/>
    <s v="Maharashtra"/>
    <s v="Ahmedabad"/>
    <s v="CUST8623"/>
    <x v="2"/>
    <x v="0"/>
    <s v="Printer"/>
    <s v="Product_166"/>
    <s v="Amit"/>
    <x v="0"/>
    <s v="Credit Card"/>
    <x v="3"/>
    <n v="6"/>
    <n v="13149"/>
    <n v="15"/>
    <n v="67059.899999999994"/>
    <n v="1789.69"/>
  </r>
  <r>
    <s v="ORD00332"/>
    <x v="282"/>
    <x v="83"/>
    <x v="2"/>
    <s v="India"/>
    <s v="Karnataka"/>
    <s v="Delhi"/>
    <s v="CUST3132"/>
    <x v="2"/>
    <x v="1"/>
    <s v="Laptop"/>
    <s v="Product_149"/>
    <s v="Karan"/>
    <x v="0"/>
    <s v="Net Banking"/>
    <x v="0"/>
    <n v="6"/>
    <n v="36332"/>
    <n v="15"/>
    <n v="185293.2"/>
    <n v="-5447.2"/>
  </r>
  <r>
    <s v="ORD00333"/>
    <x v="172"/>
    <x v="277"/>
    <x v="2"/>
    <s v="India"/>
    <s v="Delhi"/>
    <s v="Ahmedabad"/>
    <s v="CUST9313"/>
    <x v="1"/>
    <x v="1"/>
    <s v="Storage"/>
    <s v="Product_35"/>
    <s v="Rahul"/>
    <x v="0"/>
    <s v="UPI"/>
    <x v="2"/>
    <n v="2"/>
    <n v="2567"/>
    <n v="5"/>
    <n v="4877.3"/>
    <n v="1003.54"/>
  </r>
  <r>
    <s v="ORD00334"/>
    <x v="240"/>
    <x v="278"/>
    <x v="2"/>
    <s v="India"/>
    <s v="Maharashtra"/>
    <s v="Delhi"/>
    <s v="CUST2735"/>
    <x v="0"/>
    <x v="2"/>
    <s v="Chair"/>
    <s v="Product_102"/>
    <s v="Amit"/>
    <x v="0"/>
    <s v="Credit Card"/>
    <x v="3"/>
    <n v="4"/>
    <n v="23157"/>
    <n v="20"/>
    <n v="74102.399999999994"/>
    <n v="-2662.68"/>
  </r>
  <r>
    <s v="ORD00335"/>
    <x v="283"/>
    <x v="279"/>
    <x v="2"/>
    <s v="India"/>
    <s v="Karnataka"/>
    <s v="Chennai"/>
    <s v="CUST1301"/>
    <x v="1"/>
    <x v="0"/>
    <s v="Storage"/>
    <s v="Product_4"/>
    <s v="Priya"/>
    <x v="0"/>
    <s v="Net Banking"/>
    <x v="0"/>
    <n v="1"/>
    <n v="882"/>
    <n v="15"/>
    <n v="749.7"/>
    <n v="48.53"/>
  </r>
  <r>
    <s v="ORD00336"/>
    <x v="160"/>
    <x v="32"/>
    <x v="0"/>
    <s v="India"/>
    <s v="Gujarat"/>
    <s v="Chennai"/>
    <s v="CUST6171"/>
    <x v="1"/>
    <x v="2"/>
    <s v="Storage"/>
    <s v="Product_126"/>
    <s v="Sneha"/>
    <x v="1"/>
    <s v="Debit Card"/>
    <x v="2"/>
    <n v="6"/>
    <n v="26178"/>
    <n v="20"/>
    <n v="125654.39999999999"/>
    <n v="15303.58"/>
  </r>
  <r>
    <s v="ORD00337"/>
    <x v="284"/>
    <x v="280"/>
    <x v="1"/>
    <s v="India"/>
    <s v="Delhi"/>
    <s v="Ahmedabad"/>
    <s v="CUST9745"/>
    <x v="1"/>
    <x v="1"/>
    <s v="Laptop"/>
    <s v="Product_13"/>
    <s v="Priya"/>
    <x v="0"/>
    <s v="Cash"/>
    <x v="1"/>
    <n v="6"/>
    <n v="22346"/>
    <n v="5"/>
    <n v="127372.2"/>
    <n v="6565.53"/>
  </r>
  <r>
    <s v="ORD00338"/>
    <x v="285"/>
    <x v="281"/>
    <x v="0"/>
    <s v="India"/>
    <s v="Tamil Nadu"/>
    <s v="Delhi"/>
    <s v="CUST4819"/>
    <x v="2"/>
    <x v="1"/>
    <s v="Laptop"/>
    <s v="Product_165"/>
    <s v="Karan"/>
    <x v="0"/>
    <s v="UPI"/>
    <x v="2"/>
    <n v="2"/>
    <n v="10434"/>
    <n v="15"/>
    <n v="17737.8"/>
    <n v="934.95"/>
  </r>
  <r>
    <s v="ORD00339"/>
    <x v="286"/>
    <x v="282"/>
    <x v="3"/>
    <s v="India"/>
    <s v="Karnataka"/>
    <s v="Delhi"/>
    <s v="CUST2852"/>
    <x v="1"/>
    <x v="0"/>
    <s v="Chair"/>
    <s v="Product_185"/>
    <s v="Neha"/>
    <x v="1"/>
    <s v="Net Banking"/>
    <x v="2"/>
    <n v="6"/>
    <n v="1386"/>
    <n v="0"/>
    <n v="8316"/>
    <n v="547.41"/>
  </r>
  <r>
    <s v="ORD00340"/>
    <x v="117"/>
    <x v="283"/>
    <x v="2"/>
    <s v="India"/>
    <s v="Karnataka"/>
    <s v="Delhi"/>
    <s v="CUST3061"/>
    <x v="0"/>
    <x v="2"/>
    <s v="Laptop"/>
    <s v="Product_176"/>
    <s v="Amit"/>
    <x v="0"/>
    <s v="Net Banking"/>
    <x v="2"/>
    <n v="3"/>
    <n v="1194"/>
    <n v="10"/>
    <n v="3223.8"/>
    <n v="138.87"/>
  </r>
  <r>
    <s v="ORD00341"/>
    <x v="287"/>
    <x v="284"/>
    <x v="0"/>
    <s v="India"/>
    <s v="Delhi"/>
    <s v="Ahmedabad"/>
    <s v="CUST3154"/>
    <x v="1"/>
    <x v="0"/>
    <s v="Table"/>
    <s v="Product_116"/>
    <s v="Sneha"/>
    <x v="1"/>
    <s v="Cash"/>
    <x v="3"/>
    <n v="10"/>
    <n v="43409"/>
    <n v="5"/>
    <n v="412385.5"/>
    <n v="17474.97"/>
  </r>
  <r>
    <s v="ORD00342"/>
    <x v="57"/>
    <x v="224"/>
    <x v="2"/>
    <s v="India"/>
    <s v="Maharashtra"/>
    <s v="Ahmedabad"/>
    <s v="CUST3182"/>
    <x v="1"/>
    <x v="1"/>
    <s v="Storage"/>
    <s v="Product_36"/>
    <s v="Rahul"/>
    <x v="1"/>
    <s v="Debit Card"/>
    <x v="1"/>
    <n v="7"/>
    <n v="28167"/>
    <n v="20"/>
    <n v="157735.20000000001"/>
    <n v="6316.82"/>
  </r>
  <r>
    <s v="ORD00343"/>
    <x v="288"/>
    <x v="285"/>
    <x v="3"/>
    <s v="India"/>
    <s v="Karnataka"/>
    <s v="Delhi"/>
    <s v="CUST2585"/>
    <x v="1"/>
    <x v="0"/>
    <s v="Storage"/>
    <s v="Product_172"/>
    <s v="Neha"/>
    <x v="1"/>
    <s v="UPI"/>
    <x v="1"/>
    <n v="5"/>
    <n v="16893"/>
    <n v="10"/>
    <n v="76018.5"/>
    <n v="1328.17"/>
  </r>
  <r>
    <s v="ORD00344"/>
    <x v="289"/>
    <x v="286"/>
    <x v="0"/>
    <s v="India"/>
    <s v="Gujarat"/>
    <s v="Chennai"/>
    <s v="CUST2051"/>
    <x v="2"/>
    <x v="2"/>
    <s v="Laptop"/>
    <s v="Product_102"/>
    <s v="Sneha"/>
    <x v="0"/>
    <s v="Credit Card"/>
    <x v="0"/>
    <n v="6"/>
    <n v="1968"/>
    <n v="0"/>
    <n v="11808"/>
    <n v="3284.76"/>
  </r>
  <r>
    <s v="ORD00345"/>
    <x v="290"/>
    <x v="287"/>
    <x v="3"/>
    <s v="India"/>
    <s v="Karnataka"/>
    <s v="Mumbai"/>
    <s v="CUST5267"/>
    <x v="2"/>
    <x v="2"/>
    <s v="Table"/>
    <s v="Product_26"/>
    <s v="Priya"/>
    <x v="1"/>
    <s v="Net Banking"/>
    <x v="1"/>
    <n v="1"/>
    <n v="26228"/>
    <n v="0"/>
    <n v="26228"/>
    <n v="4585.29"/>
  </r>
  <r>
    <s v="ORD00346"/>
    <x v="263"/>
    <x v="288"/>
    <x v="0"/>
    <s v="India"/>
    <s v="Tamil Nadu"/>
    <s v="Chennai"/>
    <s v="CUST9687"/>
    <x v="0"/>
    <x v="2"/>
    <s v="Laptop"/>
    <s v="Product_10"/>
    <s v="Priya"/>
    <x v="1"/>
    <s v="Net Banking"/>
    <x v="2"/>
    <n v="2"/>
    <n v="31632"/>
    <n v="20"/>
    <n v="50611.199999999997"/>
    <n v="-8074.1"/>
  </r>
  <r>
    <s v="ORD00347"/>
    <x v="234"/>
    <x v="289"/>
    <x v="3"/>
    <s v="India"/>
    <s v="Gujarat"/>
    <s v="Ahmedabad"/>
    <s v="CUST4131"/>
    <x v="1"/>
    <x v="2"/>
    <s v="Storage"/>
    <s v="Product_72"/>
    <s v="Priya"/>
    <x v="1"/>
    <s v="Debit Card"/>
    <x v="0"/>
    <n v="2"/>
    <n v="32873"/>
    <n v="0"/>
    <n v="65746"/>
    <n v="12924.14"/>
  </r>
  <r>
    <s v="ORD00348"/>
    <x v="197"/>
    <x v="187"/>
    <x v="0"/>
    <s v="India"/>
    <s v="Maharashtra"/>
    <s v="Ahmedabad"/>
    <s v="CUST5515"/>
    <x v="1"/>
    <x v="0"/>
    <s v="Table"/>
    <s v="Product_129"/>
    <s v="Amit"/>
    <x v="0"/>
    <s v="Debit Card"/>
    <x v="1"/>
    <n v="10"/>
    <n v="17395"/>
    <n v="20"/>
    <n v="139160"/>
    <n v="16624.45"/>
  </r>
  <r>
    <s v="ORD00349"/>
    <x v="23"/>
    <x v="290"/>
    <x v="1"/>
    <s v="India"/>
    <s v="Karnataka"/>
    <s v="Bangalore"/>
    <s v="CUST1593"/>
    <x v="1"/>
    <x v="0"/>
    <s v="Table"/>
    <s v="Product_166"/>
    <s v="Priya"/>
    <x v="0"/>
    <s v="Debit Card"/>
    <x v="3"/>
    <n v="2"/>
    <n v="8234"/>
    <n v="0"/>
    <n v="16468"/>
    <n v="1503.95"/>
  </r>
  <r>
    <s v="ORD00350"/>
    <x v="30"/>
    <x v="178"/>
    <x v="0"/>
    <s v="India"/>
    <s v="Tamil Nadu"/>
    <s v="Bangalore"/>
    <s v="CUST4953"/>
    <x v="1"/>
    <x v="1"/>
    <s v="Printer"/>
    <s v="Product_155"/>
    <s v="Sneha"/>
    <x v="1"/>
    <s v="UPI"/>
    <x v="3"/>
    <n v="9"/>
    <n v="39469"/>
    <n v="0"/>
    <n v="355221"/>
    <n v="85845.17"/>
  </r>
  <r>
    <s v="ORD00351"/>
    <x v="18"/>
    <x v="291"/>
    <x v="1"/>
    <s v="India"/>
    <s v="Maharashtra"/>
    <s v="Ahmedabad"/>
    <s v="CUST4267"/>
    <x v="0"/>
    <x v="2"/>
    <s v="Laptop"/>
    <s v="Product_80"/>
    <s v="Neha"/>
    <x v="0"/>
    <s v="Net Banking"/>
    <x v="2"/>
    <n v="8"/>
    <n v="14654"/>
    <n v="5"/>
    <n v="111370.4"/>
    <n v="18303.189999999999"/>
  </r>
  <r>
    <s v="ORD00352"/>
    <x v="291"/>
    <x v="292"/>
    <x v="1"/>
    <s v="India"/>
    <s v="Gujarat"/>
    <s v="Bangalore"/>
    <s v="CUST4034"/>
    <x v="0"/>
    <x v="0"/>
    <s v="Laptop"/>
    <s v="Product_66"/>
    <s v="Amit"/>
    <x v="0"/>
    <s v="UPI"/>
    <x v="0"/>
    <n v="8"/>
    <n v="24235"/>
    <n v="10"/>
    <n v="174492"/>
    <n v="18484.89"/>
  </r>
  <r>
    <s v="ORD00353"/>
    <x v="292"/>
    <x v="293"/>
    <x v="3"/>
    <s v="India"/>
    <s v="Delhi"/>
    <s v="Chennai"/>
    <s v="CUST4323"/>
    <x v="2"/>
    <x v="2"/>
    <s v="Laptop"/>
    <s v="Product_83"/>
    <s v="Amit"/>
    <x v="0"/>
    <s v="Debit Card"/>
    <x v="3"/>
    <n v="3"/>
    <n v="29633"/>
    <n v="5"/>
    <n v="84454.05"/>
    <n v="16667.29"/>
  </r>
  <r>
    <s v="ORD00354"/>
    <x v="144"/>
    <x v="294"/>
    <x v="1"/>
    <s v="India"/>
    <s v="Gujarat"/>
    <s v="Bangalore"/>
    <s v="CUST4578"/>
    <x v="1"/>
    <x v="1"/>
    <s v="Laptop"/>
    <s v="Product_117"/>
    <s v="Karan"/>
    <x v="0"/>
    <s v="Cash"/>
    <x v="3"/>
    <n v="8"/>
    <n v="7875"/>
    <n v="0"/>
    <n v="63000"/>
    <n v="14690.86"/>
  </r>
  <r>
    <s v="ORD00355"/>
    <x v="293"/>
    <x v="295"/>
    <x v="3"/>
    <s v="India"/>
    <s v="Maharashtra"/>
    <s v="Ahmedabad"/>
    <s v="CUST5817"/>
    <x v="1"/>
    <x v="2"/>
    <s v="Printer"/>
    <s v="Product_102"/>
    <s v="Amit"/>
    <x v="0"/>
    <s v="Debit Card"/>
    <x v="1"/>
    <n v="9"/>
    <n v="49336"/>
    <n v="5"/>
    <n v="421822.8"/>
    <n v="68119.06"/>
  </r>
  <r>
    <s v="ORD00356"/>
    <x v="294"/>
    <x v="296"/>
    <x v="1"/>
    <s v="India"/>
    <s v="Tamil Nadu"/>
    <s v="Ahmedabad"/>
    <s v="CUST9417"/>
    <x v="0"/>
    <x v="2"/>
    <s v="Mobile"/>
    <s v="Product_95"/>
    <s v="Amit"/>
    <x v="1"/>
    <s v="Debit Card"/>
    <x v="0"/>
    <n v="10"/>
    <n v="19395"/>
    <n v="5"/>
    <n v="184252.5"/>
    <n v="1149.51"/>
  </r>
  <r>
    <s v="ORD00357"/>
    <x v="295"/>
    <x v="297"/>
    <x v="3"/>
    <s v="India"/>
    <s v="Tamil Nadu"/>
    <s v="Chennai"/>
    <s v="CUST3360"/>
    <x v="2"/>
    <x v="1"/>
    <s v="Table"/>
    <s v="Product_170"/>
    <s v="Neha"/>
    <x v="1"/>
    <s v="Net Banking"/>
    <x v="0"/>
    <n v="5"/>
    <n v="25687"/>
    <n v="5"/>
    <n v="122013.25"/>
    <n v="11128.51"/>
  </r>
  <r>
    <s v="ORD00358"/>
    <x v="31"/>
    <x v="32"/>
    <x v="3"/>
    <s v="India"/>
    <s v="Maharashtra"/>
    <s v="Ahmedabad"/>
    <s v="CUST9942"/>
    <x v="0"/>
    <x v="1"/>
    <s v="Mobile"/>
    <s v="Product_36"/>
    <s v="Karan"/>
    <x v="0"/>
    <s v="Cash"/>
    <x v="1"/>
    <n v="3"/>
    <n v="48914"/>
    <n v="0"/>
    <n v="146742"/>
    <n v="27143.51"/>
  </r>
  <r>
    <s v="ORD00359"/>
    <x v="296"/>
    <x v="74"/>
    <x v="1"/>
    <s v="India"/>
    <s v="Gujarat"/>
    <s v="Ahmedabad"/>
    <s v="CUST1579"/>
    <x v="2"/>
    <x v="1"/>
    <s v="Chair"/>
    <s v="Product_66"/>
    <s v="Priya"/>
    <x v="1"/>
    <s v="UPI"/>
    <x v="1"/>
    <n v="7"/>
    <n v="17114"/>
    <n v="20"/>
    <n v="95838.399999999994"/>
    <n v="5663.36"/>
  </r>
  <r>
    <s v="ORD00360"/>
    <x v="275"/>
    <x v="298"/>
    <x v="0"/>
    <s v="India"/>
    <s v="Maharashtra"/>
    <s v="Mumbai"/>
    <s v="CUST1535"/>
    <x v="2"/>
    <x v="1"/>
    <s v="Mobile"/>
    <s v="Product_113"/>
    <s v="Amit"/>
    <x v="0"/>
    <s v="UPI"/>
    <x v="3"/>
    <n v="3"/>
    <n v="4329"/>
    <n v="10"/>
    <n v="11688.3"/>
    <n v="2056.15"/>
  </r>
  <r>
    <s v="ORD00361"/>
    <x v="297"/>
    <x v="261"/>
    <x v="3"/>
    <s v="India"/>
    <s v="Gujarat"/>
    <s v="Delhi"/>
    <s v="CUST3104"/>
    <x v="2"/>
    <x v="2"/>
    <s v="Storage"/>
    <s v="Product_127"/>
    <s v="Karan"/>
    <x v="1"/>
    <s v="Net Banking"/>
    <x v="3"/>
    <n v="10"/>
    <n v="1340"/>
    <n v="10"/>
    <n v="12060"/>
    <n v="871.1"/>
  </r>
  <r>
    <s v="ORD00362"/>
    <x v="298"/>
    <x v="229"/>
    <x v="1"/>
    <s v="India"/>
    <s v="Karnataka"/>
    <s v="Delhi"/>
    <s v="CUST8169"/>
    <x v="0"/>
    <x v="2"/>
    <s v="Chair"/>
    <s v="Product_161"/>
    <s v="Rahul"/>
    <x v="0"/>
    <s v="Cash"/>
    <x v="2"/>
    <n v="4"/>
    <n v="21606"/>
    <n v="5"/>
    <n v="82102.8"/>
    <n v="13389.45"/>
  </r>
  <r>
    <s v="ORD00363"/>
    <x v="299"/>
    <x v="191"/>
    <x v="2"/>
    <s v="India"/>
    <s v="Delhi"/>
    <s v="Bangalore"/>
    <s v="CUST6586"/>
    <x v="0"/>
    <x v="0"/>
    <s v="Laptop"/>
    <s v="Product_78"/>
    <s v="Priya"/>
    <x v="0"/>
    <s v="Credit Card"/>
    <x v="1"/>
    <n v="9"/>
    <n v="24852"/>
    <n v="5"/>
    <n v="212484.6"/>
    <n v="17289.79"/>
  </r>
  <r>
    <s v="ORD00364"/>
    <x v="258"/>
    <x v="299"/>
    <x v="0"/>
    <s v="India"/>
    <s v="Delhi"/>
    <s v="Bangalore"/>
    <s v="CUST9107"/>
    <x v="0"/>
    <x v="0"/>
    <s v="Printer"/>
    <s v="Product_120"/>
    <s v="Priya"/>
    <x v="0"/>
    <s v="Credit Card"/>
    <x v="2"/>
    <n v="2"/>
    <n v="1001"/>
    <n v="10"/>
    <n v="1801.8"/>
    <n v="239.66"/>
  </r>
  <r>
    <s v="ORD00365"/>
    <x v="300"/>
    <x v="300"/>
    <x v="2"/>
    <s v="India"/>
    <s v="Karnataka"/>
    <s v="Bangalore"/>
    <s v="CUST6361"/>
    <x v="0"/>
    <x v="1"/>
    <s v="Laptop"/>
    <s v="Product_198"/>
    <s v="Priya"/>
    <x v="1"/>
    <s v="Debit Card"/>
    <x v="3"/>
    <n v="1"/>
    <n v="36768"/>
    <n v="15"/>
    <n v="31252.799999999999"/>
    <n v="-321.75"/>
  </r>
  <r>
    <s v="ORD00366"/>
    <x v="54"/>
    <x v="266"/>
    <x v="0"/>
    <s v="India"/>
    <s v="Gujarat"/>
    <s v="Chennai"/>
    <s v="CUST2431"/>
    <x v="2"/>
    <x v="1"/>
    <s v="Storage"/>
    <s v="Product_47"/>
    <s v="Sneha"/>
    <x v="1"/>
    <s v="Net Banking"/>
    <x v="0"/>
    <n v="10"/>
    <n v="25786"/>
    <n v="10"/>
    <n v="232074"/>
    <n v="14613.04"/>
  </r>
  <r>
    <s v="ORD00367"/>
    <x v="301"/>
    <x v="60"/>
    <x v="2"/>
    <s v="India"/>
    <s v="Karnataka"/>
    <s v="Bangalore"/>
    <s v="CUST8800"/>
    <x v="1"/>
    <x v="0"/>
    <s v="Table"/>
    <s v="Product_123"/>
    <s v="Priya"/>
    <x v="0"/>
    <s v="Credit Card"/>
    <x v="1"/>
    <n v="8"/>
    <n v="39182"/>
    <n v="10"/>
    <n v="282110.40000000002"/>
    <n v="39042.519999999997"/>
  </r>
  <r>
    <s v="ORD00368"/>
    <x v="302"/>
    <x v="301"/>
    <x v="2"/>
    <s v="India"/>
    <s v="Tamil Nadu"/>
    <s v="Ahmedabad"/>
    <s v="CUST4411"/>
    <x v="2"/>
    <x v="2"/>
    <s v="Table"/>
    <s v="Product_132"/>
    <s v="Karan"/>
    <x v="0"/>
    <s v="Net Banking"/>
    <x v="0"/>
    <n v="6"/>
    <n v="17611"/>
    <n v="15"/>
    <n v="89816.1"/>
    <n v="14228.15"/>
  </r>
  <r>
    <s v="ORD00369"/>
    <x v="303"/>
    <x v="302"/>
    <x v="0"/>
    <s v="India"/>
    <s v="Karnataka"/>
    <s v="Delhi"/>
    <s v="CUST9505"/>
    <x v="2"/>
    <x v="2"/>
    <s v="Mobile"/>
    <s v="Product_200"/>
    <s v="Karan"/>
    <x v="0"/>
    <s v="Credit Card"/>
    <x v="0"/>
    <n v="1"/>
    <n v="21836"/>
    <n v="5"/>
    <n v="20744.2"/>
    <n v="4322.5"/>
  </r>
  <r>
    <s v="ORD00370"/>
    <x v="298"/>
    <x v="303"/>
    <x v="3"/>
    <s v="India"/>
    <s v="Maharashtra"/>
    <s v="Mumbai"/>
    <s v="CUST1287"/>
    <x v="1"/>
    <x v="0"/>
    <s v="Mobile"/>
    <s v="Product_95"/>
    <s v="Karan"/>
    <x v="0"/>
    <s v="Credit Card"/>
    <x v="2"/>
    <n v="4"/>
    <n v="31987"/>
    <n v="20"/>
    <n v="102358.39999999999"/>
    <n v="-15367"/>
  </r>
  <r>
    <s v="ORD00371"/>
    <x v="304"/>
    <x v="304"/>
    <x v="0"/>
    <s v="India"/>
    <s v="Gujarat"/>
    <s v="Delhi"/>
    <s v="CUST4767"/>
    <x v="0"/>
    <x v="0"/>
    <s v="Chair"/>
    <s v="Product_115"/>
    <s v="Sneha"/>
    <x v="1"/>
    <s v="Cash"/>
    <x v="3"/>
    <n v="6"/>
    <n v="13449"/>
    <n v="5"/>
    <n v="76659.3"/>
    <n v="13967.29"/>
  </r>
  <r>
    <s v="ORD00372"/>
    <x v="305"/>
    <x v="305"/>
    <x v="0"/>
    <s v="India"/>
    <s v="Karnataka"/>
    <s v="Ahmedabad"/>
    <s v="CUST4641"/>
    <x v="0"/>
    <x v="2"/>
    <s v="Storage"/>
    <s v="Product_22"/>
    <s v="Sneha"/>
    <x v="0"/>
    <s v="Credit Card"/>
    <x v="2"/>
    <n v="10"/>
    <n v="23095"/>
    <n v="5"/>
    <n v="219402.5"/>
    <n v="55000.639999999999"/>
  </r>
  <r>
    <s v="ORD00373"/>
    <x v="306"/>
    <x v="306"/>
    <x v="1"/>
    <s v="India"/>
    <s v="Karnataka"/>
    <s v="Mumbai"/>
    <s v="CUST9586"/>
    <x v="2"/>
    <x v="1"/>
    <s v="Laptop"/>
    <s v="Product_181"/>
    <s v="Karan"/>
    <x v="1"/>
    <s v="Cash"/>
    <x v="3"/>
    <n v="7"/>
    <n v="14688"/>
    <n v="15"/>
    <n v="87393.600000000006"/>
    <n v="3533.46"/>
  </r>
  <r>
    <s v="ORD00374"/>
    <x v="157"/>
    <x v="307"/>
    <x v="3"/>
    <s v="India"/>
    <s v="Maharashtra"/>
    <s v="Mumbai"/>
    <s v="CUST3747"/>
    <x v="0"/>
    <x v="2"/>
    <s v="Printer"/>
    <s v="Product_183"/>
    <s v="Rahul"/>
    <x v="1"/>
    <s v="Cash"/>
    <x v="0"/>
    <n v="3"/>
    <n v="26008"/>
    <n v="20"/>
    <n v="62419.199999999997"/>
    <n v="-279.92"/>
  </r>
  <r>
    <s v="ORD00375"/>
    <x v="256"/>
    <x v="308"/>
    <x v="1"/>
    <s v="India"/>
    <s v="Gujarat"/>
    <s v="Bangalore"/>
    <s v="CUST2911"/>
    <x v="0"/>
    <x v="2"/>
    <s v="Mobile"/>
    <s v="Product_167"/>
    <s v="Priya"/>
    <x v="1"/>
    <s v="UPI"/>
    <x v="2"/>
    <n v="2"/>
    <n v="26784"/>
    <n v="5"/>
    <n v="50889.599999999999"/>
    <n v="9845.6200000000008"/>
  </r>
  <r>
    <s v="ORD00376"/>
    <x v="307"/>
    <x v="309"/>
    <x v="2"/>
    <s v="India"/>
    <s v="Karnataka"/>
    <s v="Delhi"/>
    <s v="CUST6405"/>
    <x v="1"/>
    <x v="2"/>
    <s v="Laptop"/>
    <s v="Product_136"/>
    <s v="Amit"/>
    <x v="0"/>
    <s v="Debit Card"/>
    <x v="0"/>
    <n v="6"/>
    <n v="46325"/>
    <n v="15"/>
    <n v="236257.5"/>
    <n v="-9844.24"/>
  </r>
  <r>
    <s v="ORD00377"/>
    <x v="308"/>
    <x v="310"/>
    <x v="3"/>
    <s v="India"/>
    <s v="Karnataka"/>
    <s v="Mumbai"/>
    <s v="CUST5918"/>
    <x v="0"/>
    <x v="0"/>
    <s v="Chair"/>
    <s v="Product_115"/>
    <s v="Neha"/>
    <x v="0"/>
    <s v="Debit Card"/>
    <x v="1"/>
    <n v="5"/>
    <n v="34684"/>
    <n v="20"/>
    <n v="138736"/>
    <n v="14180.66"/>
  </r>
  <r>
    <s v="ORD00378"/>
    <x v="309"/>
    <x v="311"/>
    <x v="0"/>
    <s v="India"/>
    <s v="Tamil Nadu"/>
    <s v="Delhi"/>
    <s v="CUST8473"/>
    <x v="2"/>
    <x v="1"/>
    <s v="Printer"/>
    <s v="Product_184"/>
    <s v="Neha"/>
    <x v="0"/>
    <s v="Credit Card"/>
    <x v="0"/>
    <n v="9"/>
    <n v="25332"/>
    <n v="10"/>
    <n v="205189.2"/>
    <n v="30255.71"/>
  </r>
  <r>
    <s v="ORD00379"/>
    <x v="310"/>
    <x v="310"/>
    <x v="1"/>
    <s v="India"/>
    <s v="Tamil Nadu"/>
    <s v="Chennai"/>
    <s v="CUST9093"/>
    <x v="0"/>
    <x v="2"/>
    <s v="Mobile"/>
    <s v="Product_132"/>
    <s v="Rahul"/>
    <x v="1"/>
    <s v="Cash"/>
    <x v="0"/>
    <n v="1"/>
    <n v="11902"/>
    <n v="15"/>
    <n v="10116.700000000001"/>
    <n v="1542.62"/>
  </r>
  <r>
    <s v="ORD00380"/>
    <x v="311"/>
    <x v="312"/>
    <x v="0"/>
    <s v="India"/>
    <s v="Delhi"/>
    <s v="Chennai"/>
    <s v="CUST5305"/>
    <x v="1"/>
    <x v="1"/>
    <s v="Table"/>
    <s v="Product_42"/>
    <s v="Sneha"/>
    <x v="1"/>
    <s v="UPI"/>
    <x v="3"/>
    <n v="6"/>
    <n v="3406"/>
    <n v="20"/>
    <n v="16348.8"/>
    <n v="-625.97"/>
  </r>
  <r>
    <s v="ORD00381"/>
    <x v="312"/>
    <x v="313"/>
    <x v="2"/>
    <s v="India"/>
    <s v="Delhi"/>
    <s v="Chennai"/>
    <s v="CUST3958"/>
    <x v="1"/>
    <x v="0"/>
    <s v="Table"/>
    <s v="Product_138"/>
    <s v="Sneha"/>
    <x v="0"/>
    <s v="Credit Card"/>
    <x v="0"/>
    <n v="10"/>
    <n v="3334"/>
    <n v="15"/>
    <n v="28339"/>
    <n v="1613.15"/>
  </r>
  <r>
    <s v="ORD00382"/>
    <x v="313"/>
    <x v="314"/>
    <x v="1"/>
    <s v="India"/>
    <s v="Gujarat"/>
    <s v="Bangalore"/>
    <s v="CUST8682"/>
    <x v="2"/>
    <x v="0"/>
    <s v="Chair"/>
    <s v="Product_181"/>
    <s v="Rahul"/>
    <x v="1"/>
    <s v="Credit Card"/>
    <x v="1"/>
    <n v="5"/>
    <n v="18123"/>
    <n v="20"/>
    <n v="72492"/>
    <n v="-7767.17"/>
  </r>
  <r>
    <s v="ORD00383"/>
    <x v="314"/>
    <x v="315"/>
    <x v="1"/>
    <s v="India"/>
    <s v="Tamil Nadu"/>
    <s v="Chennai"/>
    <s v="CUST1230"/>
    <x v="1"/>
    <x v="0"/>
    <s v="Table"/>
    <s v="Product_18"/>
    <s v="Sneha"/>
    <x v="0"/>
    <s v="UPI"/>
    <x v="0"/>
    <n v="7"/>
    <n v="3020"/>
    <n v="10"/>
    <n v="19026"/>
    <n v="-985.59"/>
  </r>
  <r>
    <s v="ORD00384"/>
    <x v="186"/>
    <x v="229"/>
    <x v="3"/>
    <s v="India"/>
    <s v="Delhi"/>
    <s v="Ahmedabad"/>
    <s v="CUST7268"/>
    <x v="2"/>
    <x v="1"/>
    <s v="Table"/>
    <s v="Product_186"/>
    <s v="Karan"/>
    <x v="0"/>
    <s v="Cash"/>
    <x v="2"/>
    <n v="4"/>
    <n v="16536"/>
    <n v="5"/>
    <n v="62836.800000000003"/>
    <n v="9998.98"/>
  </r>
  <r>
    <s v="ORD00385"/>
    <x v="315"/>
    <x v="148"/>
    <x v="1"/>
    <s v="India"/>
    <s v="Maharashtra"/>
    <s v="Bangalore"/>
    <s v="CUST2104"/>
    <x v="1"/>
    <x v="2"/>
    <s v="Chair"/>
    <s v="Product_14"/>
    <s v="Amit"/>
    <x v="0"/>
    <s v="Debit Card"/>
    <x v="0"/>
    <n v="7"/>
    <n v="1210"/>
    <n v="15"/>
    <n v="7199.5"/>
    <n v="-205.58"/>
  </r>
  <r>
    <s v="ORD00386"/>
    <x v="316"/>
    <x v="316"/>
    <x v="1"/>
    <s v="India"/>
    <s v="Delhi"/>
    <s v="Chennai"/>
    <s v="CUST1026"/>
    <x v="2"/>
    <x v="0"/>
    <s v="Mobile"/>
    <s v="Product_157"/>
    <s v="Amit"/>
    <x v="0"/>
    <s v="Cash"/>
    <x v="0"/>
    <n v="8"/>
    <n v="34958"/>
    <n v="5"/>
    <n v="265680.8"/>
    <n v="46970.25"/>
  </r>
  <r>
    <s v="ORD00387"/>
    <x v="317"/>
    <x v="108"/>
    <x v="1"/>
    <s v="India"/>
    <s v="Karnataka"/>
    <s v="Chennai"/>
    <s v="CUST9872"/>
    <x v="2"/>
    <x v="0"/>
    <s v="Table"/>
    <s v="Product_50"/>
    <s v="Neha"/>
    <x v="0"/>
    <s v="Net Banking"/>
    <x v="2"/>
    <n v="3"/>
    <n v="32855"/>
    <n v="20"/>
    <n v="78852"/>
    <n v="-5424.75"/>
  </r>
  <r>
    <s v="ORD00388"/>
    <x v="318"/>
    <x v="317"/>
    <x v="1"/>
    <s v="India"/>
    <s v="Tamil Nadu"/>
    <s v="Ahmedabad"/>
    <s v="CUST1559"/>
    <x v="2"/>
    <x v="0"/>
    <s v="Mobile"/>
    <s v="Product_108"/>
    <s v="Amit"/>
    <x v="0"/>
    <s v="Net Banking"/>
    <x v="3"/>
    <n v="7"/>
    <n v="38505"/>
    <n v="20"/>
    <n v="215628"/>
    <n v="-29139.05"/>
  </r>
  <r>
    <s v="ORD00389"/>
    <x v="256"/>
    <x v="318"/>
    <x v="3"/>
    <s v="India"/>
    <s v="Delhi"/>
    <s v="Mumbai"/>
    <s v="CUST3153"/>
    <x v="0"/>
    <x v="2"/>
    <s v="Table"/>
    <s v="Product_168"/>
    <s v="Sneha"/>
    <x v="1"/>
    <s v="Debit Card"/>
    <x v="3"/>
    <n v="7"/>
    <n v="48188"/>
    <n v="20"/>
    <n v="269852.79999999999"/>
    <n v="995.06"/>
  </r>
  <r>
    <s v="ORD00390"/>
    <x v="113"/>
    <x v="319"/>
    <x v="0"/>
    <s v="India"/>
    <s v="Karnataka"/>
    <s v="Chennai"/>
    <s v="CUST2339"/>
    <x v="0"/>
    <x v="2"/>
    <s v="Laptop"/>
    <s v="Product_185"/>
    <s v="Neha"/>
    <x v="0"/>
    <s v="Cash"/>
    <x v="1"/>
    <n v="1"/>
    <n v="45800"/>
    <n v="0"/>
    <n v="45800"/>
    <n v="9670.18"/>
  </r>
  <r>
    <s v="ORD00391"/>
    <x v="319"/>
    <x v="320"/>
    <x v="2"/>
    <s v="India"/>
    <s v="Karnataka"/>
    <s v="Delhi"/>
    <s v="CUST2350"/>
    <x v="1"/>
    <x v="2"/>
    <s v="Chair"/>
    <s v="Product_160"/>
    <s v="Karan"/>
    <x v="0"/>
    <s v="Net Banking"/>
    <x v="1"/>
    <n v="4"/>
    <n v="8692"/>
    <n v="0"/>
    <n v="34768"/>
    <n v="6970.71"/>
  </r>
  <r>
    <s v="ORD00392"/>
    <x v="320"/>
    <x v="321"/>
    <x v="1"/>
    <s v="India"/>
    <s v="Gujarat"/>
    <s v="Delhi"/>
    <s v="CUST5658"/>
    <x v="1"/>
    <x v="2"/>
    <s v="Storage"/>
    <s v="Product_5"/>
    <s v="Amit"/>
    <x v="0"/>
    <s v="Cash"/>
    <x v="2"/>
    <n v="10"/>
    <n v="35801"/>
    <n v="10"/>
    <n v="322209"/>
    <n v="-4477.54"/>
  </r>
  <r>
    <s v="ORD00393"/>
    <x v="51"/>
    <x v="322"/>
    <x v="2"/>
    <s v="India"/>
    <s v="Karnataka"/>
    <s v="Ahmedabad"/>
    <s v="CUST5375"/>
    <x v="1"/>
    <x v="2"/>
    <s v="Printer"/>
    <s v="Product_153"/>
    <s v="Rahul"/>
    <x v="1"/>
    <s v="Net Banking"/>
    <x v="2"/>
    <n v="3"/>
    <n v="3974"/>
    <n v="0"/>
    <n v="11922"/>
    <n v="3498.04"/>
  </r>
  <r>
    <s v="ORD00394"/>
    <x v="176"/>
    <x v="323"/>
    <x v="1"/>
    <s v="India"/>
    <s v="Gujarat"/>
    <s v="Bangalore"/>
    <s v="CUST1175"/>
    <x v="1"/>
    <x v="2"/>
    <s v="Storage"/>
    <s v="Product_180"/>
    <s v="Rahul"/>
    <x v="0"/>
    <s v="Net Banking"/>
    <x v="2"/>
    <n v="9"/>
    <n v="27287"/>
    <n v="10"/>
    <n v="221024.7"/>
    <n v="27018.3"/>
  </r>
  <r>
    <s v="ORD00395"/>
    <x v="321"/>
    <x v="141"/>
    <x v="0"/>
    <s v="India"/>
    <s v="Maharashtra"/>
    <s v="Chennai"/>
    <s v="CUST2914"/>
    <x v="2"/>
    <x v="0"/>
    <s v="Chair"/>
    <s v="Product_144"/>
    <s v="Sneha"/>
    <x v="1"/>
    <s v="Cash"/>
    <x v="1"/>
    <n v="5"/>
    <n v="744"/>
    <n v="15"/>
    <n v="3162"/>
    <n v="-176.44"/>
  </r>
  <r>
    <s v="ORD00396"/>
    <x v="322"/>
    <x v="324"/>
    <x v="3"/>
    <s v="India"/>
    <s v="Tamil Nadu"/>
    <s v="Chennai"/>
    <s v="CUST8936"/>
    <x v="1"/>
    <x v="2"/>
    <s v="Table"/>
    <s v="Product_194"/>
    <s v="Karan"/>
    <x v="1"/>
    <s v="UPI"/>
    <x v="1"/>
    <n v="4"/>
    <n v="30338"/>
    <n v="20"/>
    <n v="97081.600000000006"/>
    <n v="2313.63"/>
  </r>
  <r>
    <s v="ORD00397"/>
    <x v="323"/>
    <x v="325"/>
    <x v="0"/>
    <s v="India"/>
    <s v="Gujarat"/>
    <s v="Bangalore"/>
    <s v="CUST9358"/>
    <x v="1"/>
    <x v="0"/>
    <s v="Laptop"/>
    <s v="Product_47"/>
    <s v="Sneha"/>
    <x v="1"/>
    <s v="Net Banking"/>
    <x v="1"/>
    <n v="9"/>
    <n v="23200"/>
    <n v="20"/>
    <n v="167040"/>
    <n v="3872.7"/>
  </r>
  <r>
    <s v="ORD00398"/>
    <x v="187"/>
    <x v="326"/>
    <x v="3"/>
    <s v="India"/>
    <s v="Maharashtra"/>
    <s v="Mumbai"/>
    <s v="CUST3802"/>
    <x v="1"/>
    <x v="0"/>
    <s v="Mobile"/>
    <s v="Product_126"/>
    <s v="Sneha"/>
    <x v="0"/>
    <s v="Net Banking"/>
    <x v="0"/>
    <n v="10"/>
    <n v="17220"/>
    <n v="10"/>
    <n v="154980"/>
    <n v="3905.79"/>
  </r>
  <r>
    <s v="ORD00399"/>
    <x v="19"/>
    <x v="327"/>
    <x v="2"/>
    <s v="India"/>
    <s v="Delhi"/>
    <s v="Delhi"/>
    <s v="CUST3312"/>
    <x v="1"/>
    <x v="1"/>
    <s v="Chair"/>
    <s v="Product_9"/>
    <s v="Amit"/>
    <x v="1"/>
    <s v="Net Banking"/>
    <x v="3"/>
    <n v="5"/>
    <n v="7131"/>
    <n v="10"/>
    <n v="32089.5"/>
    <n v="177.6"/>
  </r>
  <r>
    <s v="ORD00400"/>
    <x v="68"/>
    <x v="29"/>
    <x v="2"/>
    <s v="India"/>
    <s v="Karnataka"/>
    <s v="Bangalore"/>
    <s v="CUST9600"/>
    <x v="1"/>
    <x v="0"/>
    <s v="Storage"/>
    <s v="Product_195"/>
    <s v="Karan"/>
    <x v="0"/>
    <s v="Net Banking"/>
    <x v="0"/>
    <n v="1"/>
    <n v="1212"/>
    <n v="15"/>
    <n v="1030.2"/>
    <n v="152.72999999999999"/>
  </r>
  <r>
    <s v="ORD00401"/>
    <x v="324"/>
    <x v="328"/>
    <x v="2"/>
    <s v="India"/>
    <s v="Delhi"/>
    <s v="Bangalore"/>
    <s v="CUST1565"/>
    <x v="1"/>
    <x v="2"/>
    <s v="Printer"/>
    <s v="Product_14"/>
    <s v="Karan"/>
    <x v="0"/>
    <s v="UPI"/>
    <x v="1"/>
    <n v="10"/>
    <n v="26555"/>
    <n v="15"/>
    <n v="225717.5"/>
    <n v="10196.459999999999"/>
  </r>
  <r>
    <s v="ORD00402"/>
    <x v="278"/>
    <x v="273"/>
    <x v="0"/>
    <s v="India"/>
    <s v="Delhi"/>
    <s v="Bangalore"/>
    <s v="CUST5606"/>
    <x v="1"/>
    <x v="0"/>
    <s v="Table"/>
    <s v="Product_41"/>
    <s v="Sneha"/>
    <x v="1"/>
    <s v="Cash"/>
    <x v="3"/>
    <n v="8"/>
    <n v="41393"/>
    <n v="20"/>
    <n v="264915.20000000001"/>
    <n v="-31916.6"/>
  </r>
  <r>
    <s v="ORD00403"/>
    <x v="220"/>
    <x v="271"/>
    <x v="3"/>
    <s v="India"/>
    <s v="Karnataka"/>
    <s v="Delhi"/>
    <s v="CUST2622"/>
    <x v="2"/>
    <x v="0"/>
    <s v="Laptop"/>
    <s v="Product_39"/>
    <s v="Priya"/>
    <x v="1"/>
    <s v="Debit Card"/>
    <x v="3"/>
    <n v="4"/>
    <n v="31385"/>
    <n v="10"/>
    <n v="112986"/>
    <n v="3173.18"/>
  </r>
  <r>
    <s v="ORD00404"/>
    <x v="325"/>
    <x v="329"/>
    <x v="1"/>
    <s v="India"/>
    <s v="Gujarat"/>
    <s v="Delhi"/>
    <s v="CUST9352"/>
    <x v="1"/>
    <x v="2"/>
    <s v="Storage"/>
    <s v="Product_135"/>
    <s v="Karan"/>
    <x v="0"/>
    <s v="Debit Card"/>
    <x v="1"/>
    <n v="9"/>
    <n v="41757"/>
    <n v="5"/>
    <n v="357022.35"/>
    <n v="13218.62"/>
  </r>
  <r>
    <s v="ORD00405"/>
    <x v="326"/>
    <x v="3"/>
    <x v="1"/>
    <s v="India"/>
    <s v="Delhi"/>
    <s v="Ahmedabad"/>
    <s v="CUST7014"/>
    <x v="1"/>
    <x v="0"/>
    <s v="Printer"/>
    <s v="Product_171"/>
    <s v="Rahul"/>
    <x v="1"/>
    <s v="Cash"/>
    <x v="1"/>
    <n v="8"/>
    <n v="42306"/>
    <n v="15"/>
    <n v="287680.8"/>
    <n v="13968.97"/>
  </r>
  <r>
    <s v="ORD00406"/>
    <x v="327"/>
    <x v="242"/>
    <x v="0"/>
    <s v="India"/>
    <s v="Delhi"/>
    <s v="Bangalore"/>
    <s v="CUST5231"/>
    <x v="2"/>
    <x v="1"/>
    <s v="Table"/>
    <s v="Product_158"/>
    <s v="Sneha"/>
    <x v="0"/>
    <s v="Credit Card"/>
    <x v="2"/>
    <n v="5"/>
    <n v="41478"/>
    <n v="0"/>
    <n v="207390"/>
    <n v="16784.060000000001"/>
  </r>
  <r>
    <s v="ORD00407"/>
    <x v="243"/>
    <x v="330"/>
    <x v="1"/>
    <s v="India"/>
    <s v="Gujarat"/>
    <s v="Delhi"/>
    <s v="CUST8246"/>
    <x v="1"/>
    <x v="2"/>
    <s v="Mobile"/>
    <s v="Product_15"/>
    <s v="Amit"/>
    <x v="0"/>
    <s v="Debit Card"/>
    <x v="3"/>
    <n v="6"/>
    <n v="19620"/>
    <n v="20"/>
    <n v="94176"/>
    <n v="818.64"/>
  </r>
  <r>
    <s v="ORD00408"/>
    <x v="328"/>
    <x v="331"/>
    <x v="2"/>
    <s v="India"/>
    <s v="Delhi"/>
    <s v="Bangalore"/>
    <s v="CUST9084"/>
    <x v="0"/>
    <x v="1"/>
    <s v="Printer"/>
    <s v="Product_92"/>
    <s v="Rahul"/>
    <x v="0"/>
    <s v="Credit Card"/>
    <x v="2"/>
    <n v="4"/>
    <n v="34764"/>
    <n v="10"/>
    <n v="125150.39999999999"/>
    <n v="7704.73"/>
  </r>
  <r>
    <s v="ORD00409"/>
    <x v="329"/>
    <x v="332"/>
    <x v="0"/>
    <s v="India"/>
    <s v="Maharashtra"/>
    <s v="Delhi"/>
    <s v="CUST2058"/>
    <x v="0"/>
    <x v="0"/>
    <s v="Mobile"/>
    <s v="Product_25"/>
    <s v="Rahul"/>
    <x v="1"/>
    <s v="Debit Card"/>
    <x v="0"/>
    <n v="8"/>
    <n v="43685"/>
    <n v="15"/>
    <n v="297058"/>
    <n v="30804.799999999999"/>
  </r>
  <r>
    <s v="ORD00410"/>
    <x v="330"/>
    <x v="333"/>
    <x v="0"/>
    <s v="India"/>
    <s v="Delhi"/>
    <s v="Bangalore"/>
    <s v="CUST6970"/>
    <x v="0"/>
    <x v="0"/>
    <s v="Storage"/>
    <s v="Product_30"/>
    <s v="Neha"/>
    <x v="0"/>
    <s v="Cash"/>
    <x v="1"/>
    <n v="10"/>
    <n v="5881"/>
    <n v="20"/>
    <n v="47048"/>
    <n v="1138.97"/>
  </r>
  <r>
    <s v="ORD00411"/>
    <x v="331"/>
    <x v="334"/>
    <x v="1"/>
    <s v="India"/>
    <s v="Gujarat"/>
    <s v="Chennai"/>
    <s v="CUST4556"/>
    <x v="1"/>
    <x v="2"/>
    <s v="Mobile"/>
    <s v="Product_2"/>
    <s v="Rahul"/>
    <x v="1"/>
    <s v="Net Banking"/>
    <x v="3"/>
    <n v="9"/>
    <n v="18053"/>
    <n v="0"/>
    <n v="162477"/>
    <n v="9170.6200000000008"/>
  </r>
  <r>
    <s v="ORD00412"/>
    <x v="195"/>
    <x v="184"/>
    <x v="2"/>
    <s v="India"/>
    <s v="Gujarat"/>
    <s v="Ahmedabad"/>
    <s v="CUST4138"/>
    <x v="2"/>
    <x v="1"/>
    <s v="Chair"/>
    <s v="Product_157"/>
    <s v="Karan"/>
    <x v="0"/>
    <s v="Net Banking"/>
    <x v="1"/>
    <n v="4"/>
    <n v="43407"/>
    <n v="20"/>
    <n v="138902.39999999999"/>
    <n v="9793.7999999999993"/>
  </r>
  <r>
    <s v="ORD00413"/>
    <x v="332"/>
    <x v="247"/>
    <x v="2"/>
    <s v="India"/>
    <s v="Gujarat"/>
    <s v="Chennai"/>
    <s v="CUST6333"/>
    <x v="0"/>
    <x v="2"/>
    <s v="Laptop"/>
    <s v="Product_54"/>
    <s v="Karan"/>
    <x v="1"/>
    <s v="Cash"/>
    <x v="0"/>
    <n v="5"/>
    <n v="45720"/>
    <n v="5"/>
    <n v="217170"/>
    <n v="11272.93"/>
  </r>
  <r>
    <s v="ORD00414"/>
    <x v="333"/>
    <x v="155"/>
    <x v="0"/>
    <s v="India"/>
    <s v="Maharashtra"/>
    <s v="Bangalore"/>
    <s v="CUST8945"/>
    <x v="2"/>
    <x v="1"/>
    <s v="Printer"/>
    <s v="Product_72"/>
    <s v="Amit"/>
    <x v="1"/>
    <s v="Cash"/>
    <x v="1"/>
    <n v="1"/>
    <n v="8311"/>
    <n v="0"/>
    <n v="8311"/>
    <n v="661.48"/>
  </r>
  <r>
    <s v="ORD00415"/>
    <x v="334"/>
    <x v="232"/>
    <x v="3"/>
    <s v="India"/>
    <s v="Maharashtra"/>
    <s v="Chennai"/>
    <s v="CUST4283"/>
    <x v="0"/>
    <x v="0"/>
    <s v="Table"/>
    <s v="Product_180"/>
    <s v="Amit"/>
    <x v="0"/>
    <s v="Cash"/>
    <x v="2"/>
    <n v="7"/>
    <n v="19423"/>
    <n v="10"/>
    <n v="122364.9"/>
    <n v="26218.6"/>
  </r>
  <r>
    <s v="ORD00416"/>
    <x v="224"/>
    <x v="335"/>
    <x v="0"/>
    <s v="India"/>
    <s v="Gujarat"/>
    <s v="Ahmedabad"/>
    <s v="CUST1830"/>
    <x v="2"/>
    <x v="0"/>
    <s v="Laptop"/>
    <s v="Product_66"/>
    <s v="Karan"/>
    <x v="1"/>
    <s v="Debit Card"/>
    <x v="1"/>
    <n v="8"/>
    <n v="37470"/>
    <n v="0"/>
    <n v="299760"/>
    <n v="69250.149999999994"/>
  </r>
  <r>
    <s v="ORD00417"/>
    <x v="335"/>
    <x v="336"/>
    <x v="3"/>
    <s v="India"/>
    <s v="Karnataka"/>
    <s v="Bangalore"/>
    <s v="CUST6069"/>
    <x v="0"/>
    <x v="2"/>
    <s v="Mobile"/>
    <s v="Product_41"/>
    <s v="Rahul"/>
    <x v="0"/>
    <s v="Debit Card"/>
    <x v="0"/>
    <n v="1"/>
    <n v="32871"/>
    <n v="20"/>
    <n v="26296.799999999999"/>
    <n v="-4881.95"/>
  </r>
  <r>
    <s v="ORD00418"/>
    <x v="336"/>
    <x v="337"/>
    <x v="1"/>
    <s v="India"/>
    <s v="Gujarat"/>
    <s v="Delhi"/>
    <s v="CUST5354"/>
    <x v="1"/>
    <x v="2"/>
    <s v="Chair"/>
    <s v="Product_67"/>
    <s v="Amit"/>
    <x v="1"/>
    <s v="UPI"/>
    <x v="1"/>
    <n v="2"/>
    <n v="20407"/>
    <n v="5"/>
    <n v="38773.300000000003"/>
    <n v="5009.47"/>
  </r>
  <r>
    <s v="ORD00419"/>
    <x v="337"/>
    <x v="338"/>
    <x v="3"/>
    <s v="India"/>
    <s v="Tamil Nadu"/>
    <s v="Delhi"/>
    <s v="CUST5114"/>
    <x v="2"/>
    <x v="1"/>
    <s v="Storage"/>
    <s v="Product_152"/>
    <s v="Priya"/>
    <x v="0"/>
    <s v="Debit Card"/>
    <x v="2"/>
    <n v="6"/>
    <n v="19414"/>
    <n v="15"/>
    <n v="99011.4"/>
    <n v="-1083.06"/>
  </r>
  <r>
    <s v="ORD00420"/>
    <x v="67"/>
    <x v="339"/>
    <x v="0"/>
    <s v="India"/>
    <s v="Delhi"/>
    <s v="Delhi"/>
    <s v="CUST8764"/>
    <x v="0"/>
    <x v="1"/>
    <s v="Chair"/>
    <s v="Product_154"/>
    <s v="Amit"/>
    <x v="0"/>
    <s v="Debit Card"/>
    <x v="2"/>
    <n v="3"/>
    <n v="20378"/>
    <n v="0"/>
    <n v="61134"/>
    <n v="12962.17"/>
  </r>
  <r>
    <s v="ORD00421"/>
    <x v="338"/>
    <x v="233"/>
    <x v="2"/>
    <s v="India"/>
    <s v="Tamil Nadu"/>
    <s v="Delhi"/>
    <s v="CUST4585"/>
    <x v="0"/>
    <x v="0"/>
    <s v="Storage"/>
    <s v="Product_80"/>
    <s v="Rahul"/>
    <x v="0"/>
    <s v="Debit Card"/>
    <x v="0"/>
    <n v="10"/>
    <n v="48923"/>
    <n v="10"/>
    <n v="440307"/>
    <n v="60472.24"/>
  </r>
  <r>
    <s v="ORD00422"/>
    <x v="30"/>
    <x v="340"/>
    <x v="2"/>
    <s v="India"/>
    <s v="Delhi"/>
    <s v="Delhi"/>
    <s v="CUST2728"/>
    <x v="1"/>
    <x v="1"/>
    <s v="Chair"/>
    <s v="Product_169"/>
    <s v="Neha"/>
    <x v="1"/>
    <s v="Cash"/>
    <x v="0"/>
    <n v="6"/>
    <n v="41653"/>
    <n v="20"/>
    <n v="199934.4"/>
    <n v="-15916.08"/>
  </r>
  <r>
    <s v="ORD00423"/>
    <x v="309"/>
    <x v="341"/>
    <x v="1"/>
    <s v="India"/>
    <s v="Maharashtra"/>
    <s v="Ahmedabad"/>
    <s v="CUST3836"/>
    <x v="1"/>
    <x v="1"/>
    <s v="Table"/>
    <s v="Product_117"/>
    <s v="Neha"/>
    <x v="1"/>
    <s v="Debit Card"/>
    <x v="2"/>
    <n v="5"/>
    <n v="7436"/>
    <n v="10"/>
    <n v="33462"/>
    <n v="1014.43"/>
  </r>
  <r>
    <s v="ORD00424"/>
    <x v="339"/>
    <x v="342"/>
    <x v="0"/>
    <s v="India"/>
    <s v="Tamil Nadu"/>
    <s v="Ahmedabad"/>
    <s v="CUST9899"/>
    <x v="0"/>
    <x v="2"/>
    <s v="Table"/>
    <s v="Product_164"/>
    <s v="Sneha"/>
    <x v="1"/>
    <s v="Credit Card"/>
    <x v="3"/>
    <n v="7"/>
    <n v="46419"/>
    <n v="20"/>
    <n v="259946.4"/>
    <n v="-36199.769999999997"/>
  </r>
  <r>
    <s v="ORD00425"/>
    <x v="340"/>
    <x v="211"/>
    <x v="3"/>
    <s v="India"/>
    <s v="Maharashtra"/>
    <s v="Delhi"/>
    <s v="CUST4204"/>
    <x v="1"/>
    <x v="0"/>
    <s v="Mobile"/>
    <s v="Product_3"/>
    <s v="Sneha"/>
    <x v="1"/>
    <s v="Cash"/>
    <x v="2"/>
    <n v="2"/>
    <n v="29024"/>
    <n v="15"/>
    <n v="49340.800000000003"/>
    <n v="-3150.76"/>
  </r>
  <r>
    <s v="ORD00426"/>
    <x v="341"/>
    <x v="343"/>
    <x v="0"/>
    <s v="India"/>
    <s v="Maharashtra"/>
    <s v="Delhi"/>
    <s v="CUST7931"/>
    <x v="1"/>
    <x v="1"/>
    <s v="Table"/>
    <s v="Product_123"/>
    <s v="Sneha"/>
    <x v="1"/>
    <s v="UPI"/>
    <x v="0"/>
    <n v="7"/>
    <n v="23493"/>
    <n v="10"/>
    <n v="148005.9"/>
    <n v="25287.31"/>
  </r>
  <r>
    <s v="ORD00427"/>
    <x v="342"/>
    <x v="344"/>
    <x v="1"/>
    <s v="India"/>
    <s v="Delhi"/>
    <s v="Chennai"/>
    <s v="CUST7225"/>
    <x v="2"/>
    <x v="0"/>
    <s v="Table"/>
    <s v="Product_89"/>
    <s v="Priya"/>
    <x v="0"/>
    <s v="Debit Card"/>
    <x v="3"/>
    <n v="10"/>
    <n v="25424"/>
    <n v="15"/>
    <n v="216104"/>
    <n v="37171.61"/>
  </r>
  <r>
    <s v="ORD00428"/>
    <x v="117"/>
    <x v="345"/>
    <x v="2"/>
    <s v="India"/>
    <s v="Maharashtra"/>
    <s v="Ahmedabad"/>
    <s v="CUST2664"/>
    <x v="0"/>
    <x v="0"/>
    <s v="Chair"/>
    <s v="Product_38"/>
    <s v="Sneha"/>
    <x v="1"/>
    <s v="Debit Card"/>
    <x v="0"/>
    <n v="9"/>
    <n v="21839"/>
    <n v="20"/>
    <n v="157240.79999999999"/>
    <n v="14693.51"/>
  </r>
  <r>
    <s v="ORD00429"/>
    <x v="343"/>
    <x v="308"/>
    <x v="3"/>
    <s v="India"/>
    <s v="Tamil Nadu"/>
    <s v="Bangalore"/>
    <s v="CUST2574"/>
    <x v="1"/>
    <x v="0"/>
    <s v="Laptop"/>
    <s v="Product_119"/>
    <s v="Priya"/>
    <x v="1"/>
    <s v="Net Banking"/>
    <x v="1"/>
    <n v="7"/>
    <n v="14106"/>
    <n v="15"/>
    <n v="83930.7"/>
    <n v="-700.05"/>
  </r>
  <r>
    <s v="ORD00430"/>
    <x v="260"/>
    <x v="257"/>
    <x v="2"/>
    <s v="India"/>
    <s v="Maharashtra"/>
    <s v="Delhi"/>
    <s v="CUST8101"/>
    <x v="0"/>
    <x v="0"/>
    <s v="Laptop"/>
    <s v="Product_129"/>
    <s v="Karan"/>
    <x v="1"/>
    <s v="Credit Card"/>
    <x v="1"/>
    <n v="7"/>
    <n v="24049"/>
    <n v="15"/>
    <n v="143091.54999999999"/>
    <n v="-10161.85"/>
  </r>
  <r>
    <s v="ORD00431"/>
    <x v="14"/>
    <x v="346"/>
    <x v="1"/>
    <s v="India"/>
    <s v="Delhi"/>
    <s v="Chennai"/>
    <s v="CUST8913"/>
    <x v="2"/>
    <x v="1"/>
    <s v="Table"/>
    <s v="Product_122"/>
    <s v="Sneha"/>
    <x v="0"/>
    <s v="Net Banking"/>
    <x v="1"/>
    <n v="10"/>
    <n v="6574"/>
    <n v="0"/>
    <n v="65740"/>
    <n v="6091.17"/>
  </r>
  <r>
    <s v="ORD00432"/>
    <x v="245"/>
    <x v="242"/>
    <x v="2"/>
    <s v="India"/>
    <s v="Gujarat"/>
    <s v="Chennai"/>
    <s v="CUST3922"/>
    <x v="1"/>
    <x v="1"/>
    <s v="Laptop"/>
    <s v="Product_157"/>
    <s v="Priya"/>
    <x v="0"/>
    <s v="Credit Card"/>
    <x v="2"/>
    <n v="8"/>
    <n v="12083"/>
    <n v="15"/>
    <n v="82164.399999999994"/>
    <n v="8753.0499999999993"/>
  </r>
  <r>
    <s v="ORD00433"/>
    <x v="325"/>
    <x v="159"/>
    <x v="0"/>
    <s v="India"/>
    <s v="Maharashtra"/>
    <s v="Mumbai"/>
    <s v="CUST5866"/>
    <x v="0"/>
    <x v="0"/>
    <s v="Table"/>
    <s v="Product_97"/>
    <s v="Amit"/>
    <x v="0"/>
    <s v="Credit Card"/>
    <x v="3"/>
    <n v="4"/>
    <n v="34623"/>
    <n v="15"/>
    <n v="117718.2"/>
    <n v="-10072.969999999999"/>
  </r>
  <r>
    <s v="ORD00434"/>
    <x v="344"/>
    <x v="347"/>
    <x v="1"/>
    <s v="India"/>
    <s v="Karnataka"/>
    <s v="Ahmedabad"/>
    <s v="CUST6486"/>
    <x v="2"/>
    <x v="2"/>
    <s v="Laptop"/>
    <s v="Product_93"/>
    <s v="Sneha"/>
    <x v="1"/>
    <s v="Net Banking"/>
    <x v="3"/>
    <n v="5"/>
    <n v="44059"/>
    <n v="0"/>
    <n v="220295"/>
    <n v="63662.879999999997"/>
  </r>
  <r>
    <s v="ORD00435"/>
    <x v="345"/>
    <x v="348"/>
    <x v="2"/>
    <s v="India"/>
    <s v="Karnataka"/>
    <s v="Delhi"/>
    <s v="CUST9102"/>
    <x v="0"/>
    <x v="2"/>
    <s v="Chair"/>
    <s v="Product_169"/>
    <s v="Sneha"/>
    <x v="0"/>
    <s v="Credit Card"/>
    <x v="1"/>
    <n v="7"/>
    <n v="46718"/>
    <n v="5"/>
    <n v="310674.7"/>
    <n v="8676.36"/>
  </r>
  <r>
    <s v="ORD00436"/>
    <x v="346"/>
    <x v="349"/>
    <x v="2"/>
    <s v="India"/>
    <s v="Tamil Nadu"/>
    <s v="Mumbai"/>
    <s v="CUST3044"/>
    <x v="1"/>
    <x v="2"/>
    <s v="Chair"/>
    <s v="Product_29"/>
    <s v="Sneha"/>
    <x v="1"/>
    <s v="Credit Card"/>
    <x v="2"/>
    <n v="5"/>
    <n v="17360"/>
    <n v="15"/>
    <n v="73780"/>
    <n v="11795.02"/>
  </r>
  <r>
    <s v="ORD00437"/>
    <x v="347"/>
    <x v="350"/>
    <x v="2"/>
    <s v="India"/>
    <s v="Karnataka"/>
    <s v="Delhi"/>
    <s v="CUST5442"/>
    <x v="0"/>
    <x v="1"/>
    <s v="Storage"/>
    <s v="Product_57"/>
    <s v="Priya"/>
    <x v="0"/>
    <s v="Net Banking"/>
    <x v="3"/>
    <n v="5"/>
    <n v="13673"/>
    <n v="15"/>
    <n v="58110.25"/>
    <n v="3784.94"/>
  </r>
  <r>
    <s v="ORD00438"/>
    <x v="127"/>
    <x v="351"/>
    <x v="0"/>
    <s v="India"/>
    <s v="Maharashtra"/>
    <s v="Bangalore"/>
    <s v="CUST8042"/>
    <x v="1"/>
    <x v="0"/>
    <s v="Chair"/>
    <s v="Product_119"/>
    <s v="Rahul"/>
    <x v="0"/>
    <s v="Net Banking"/>
    <x v="1"/>
    <n v="1"/>
    <n v="7768"/>
    <n v="5"/>
    <n v="7379.6"/>
    <n v="504.53"/>
  </r>
  <r>
    <s v="ORD00439"/>
    <x v="348"/>
    <x v="352"/>
    <x v="3"/>
    <s v="India"/>
    <s v="Karnataka"/>
    <s v="Delhi"/>
    <s v="CUST3449"/>
    <x v="1"/>
    <x v="2"/>
    <s v="Mobile"/>
    <s v="Product_60"/>
    <s v="Amit"/>
    <x v="0"/>
    <s v="UPI"/>
    <x v="1"/>
    <n v="1"/>
    <n v="15147"/>
    <n v="0"/>
    <n v="15147"/>
    <n v="1058.8"/>
  </r>
  <r>
    <s v="ORD00440"/>
    <x v="349"/>
    <x v="273"/>
    <x v="0"/>
    <s v="India"/>
    <s v="Delhi"/>
    <s v="Ahmedabad"/>
    <s v="CUST9123"/>
    <x v="2"/>
    <x v="0"/>
    <s v="Chair"/>
    <s v="Product_93"/>
    <s v="Rahul"/>
    <x v="0"/>
    <s v="Cash"/>
    <x v="0"/>
    <n v="6"/>
    <n v="2037"/>
    <n v="15"/>
    <n v="10388.700000000001"/>
    <n v="1449.86"/>
  </r>
  <r>
    <s v="ORD00441"/>
    <x v="350"/>
    <x v="353"/>
    <x v="1"/>
    <s v="India"/>
    <s v="Gujarat"/>
    <s v="Ahmedabad"/>
    <s v="CUST2526"/>
    <x v="0"/>
    <x v="0"/>
    <s v="Printer"/>
    <s v="Product_49"/>
    <s v="Rahul"/>
    <x v="0"/>
    <s v="Net Banking"/>
    <x v="2"/>
    <n v="9"/>
    <n v="1451"/>
    <n v="0"/>
    <n v="13059"/>
    <n v="1825.11"/>
  </r>
  <r>
    <s v="ORD00442"/>
    <x v="331"/>
    <x v="334"/>
    <x v="1"/>
    <s v="India"/>
    <s v="Karnataka"/>
    <s v="Chennai"/>
    <s v="CUST1414"/>
    <x v="2"/>
    <x v="1"/>
    <s v="Printer"/>
    <s v="Product_29"/>
    <s v="Rahul"/>
    <x v="0"/>
    <s v="Credit Card"/>
    <x v="3"/>
    <n v="1"/>
    <n v="25410"/>
    <n v="5"/>
    <n v="24139.5"/>
    <n v="1270.3"/>
  </r>
  <r>
    <s v="ORD00443"/>
    <x v="351"/>
    <x v="354"/>
    <x v="3"/>
    <s v="India"/>
    <s v="Tamil Nadu"/>
    <s v="Chennai"/>
    <s v="CUST5685"/>
    <x v="0"/>
    <x v="1"/>
    <s v="Chair"/>
    <s v="Product_120"/>
    <s v="Rahul"/>
    <x v="1"/>
    <s v="Net Banking"/>
    <x v="3"/>
    <n v="3"/>
    <n v="39750"/>
    <n v="20"/>
    <n v="95400"/>
    <n v="6741.01"/>
  </r>
  <r>
    <s v="ORD00444"/>
    <x v="325"/>
    <x v="355"/>
    <x v="2"/>
    <s v="India"/>
    <s v="Gujarat"/>
    <s v="Chennai"/>
    <s v="CUST3121"/>
    <x v="0"/>
    <x v="2"/>
    <s v="Storage"/>
    <s v="Product_17"/>
    <s v="Karan"/>
    <x v="0"/>
    <s v="Net Banking"/>
    <x v="0"/>
    <n v="5"/>
    <n v="14122"/>
    <n v="5"/>
    <n v="67079.5"/>
    <n v="10085.17"/>
  </r>
  <r>
    <s v="ORD00445"/>
    <x v="352"/>
    <x v="127"/>
    <x v="0"/>
    <s v="India"/>
    <s v="Delhi"/>
    <s v="Mumbai"/>
    <s v="CUST4886"/>
    <x v="1"/>
    <x v="2"/>
    <s v="Chair"/>
    <s v="Product_87"/>
    <s v="Rahul"/>
    <x v="1"/>
    <s v="Debit Card"/>
    <x v="2"/>
    <n v="10"/>
    <n v="33890"/>
    <n v="5"/>
    <n v="321955"/>
    <n v="63068.54"/>
  </r>
  <r>
    <s v="ORD00446"/>
    <x v="37"/>
    <x v="356"/>
    <x v="2"/>
    <s v="India"/>
    <s v="Maharashtra"/>
    <s v="Delhi"/>
    <s v="CUST4018"/>
    <x v="1"/>
    <x v="2"/>
    <s v="Table"/>
    <s v="Product_52"/>
    <s v="Sneha"/>
    <x v="0"/>
    <s v="Net Banking"/>
    <x v="1"/>
    <n v="1"/>
    <n v="39839"/>
    <n v="15"/>
    <n v="33863.15"/>
    <n v="531.88"/>
  </r>
  <r>
    <s v="ORD00447"/>
    <x v="125"/>
    <x v="357"/>
    <x v="2"/>
    <s v="India"/>
    <s v="Gujarat"/>
    <s v="Ahmedabad"/>
    <s v="CUST8344"/>
    <x v="0"/>
    <x v="2"/>
    <s v="Mobile"/>
    <s v="Product_26"/>
    <s v="Sneha"/>
    <x v="1"/>
    <s v="Credit Card"/>
    <x v="1"/>
    <n v="6"/>
    <n v="21515"/>
    <n v="0"/>
    <n v="129090"/>
    <n v="27462.69"/>
  </r>
  <r>
    <s v="ORD00448"/>
    <x v="337"/>
    <x v="207"/>
    <x v="2"/>
    <s v="India"/>
    <s v="Karnataka"/>
    <s v="Ahmedabad"/>
    <s v="CUST2473"/>
    <x v="0"/>
    <x v="2"/>
    <s v="Printer"/>
    <s v="Product_154"/>
    <s v="Priya"/>
    <x v="1"/>
    <s v="UPI"/>
    <x v="2"/>
    <n v="9"/>
    <n v="36574"/>
    <n v="0"/>
    <n v="329166"/>
    <n v="83800.13"/>
  </r>
  <r>
    <s v="ORD00449"/>
    <x v="353"/>
    <x v="358"/>
    <x v="1"/>
    <s v="India"/>
    <s v="Maharashtra"/>
    <s v="Chennai"/>
    <s v="CUST7176"/>
    <x v="1"/>
    <x v="1"/>
    <s v="Laptop"/>
    <s v="Product_175"/>
    <s v="Rahul"/>
    <x v="0"/>
    <s v="Cash"/>
    <x v="2"/>
    <n v="8"/>
    <n v="23232"/>
    <n v="10"/>
    <n v="167270.39999999999"/>
    <n v="-626.05999999999995"/>
  </r>
  <r>
    <s v="ORD00450"/>
    <x v="354"/>
    <x v="359"/>
    <x v="3"/>
    <s v="India"/>
    <s v="Delhi"/>
    <s v="Chennai"/>
    <s v="CUST4980"/>
    <x v="2"/>
    <x v="0"/>
    <s v="Laptop"/>
    <s v="Product_169"/>
    <s v="Rahul"/>
    <x v="1"/>
    <s v="UPI"/>
    <x v="0"/>
    <n v="9"/>
    <n v="29959"/>
    <n v="10"/>
    <n v="242667.9"/>
    <n v="26426.15"/>
  </r>
  <r>
    <s v="ORD00451"/>
    <x v="355"/>
    <x v="360"/>
    <x v="1"/>
    <s v="India"/>
    <s v="Tamil Nadu"/>
    <s v="Mumbai"/>
    <s v="CUST1761"/>
    <x v="0"/>
    <x v="0"/>
    <s v="Printer"/>
    <s v="Product_21"/>
    <s v="Sneha"/>
    <x v="1"/>
    <s v="Cash"/>
    <x v="2"/>
    <n v="7"/>
    <n v="37700"/>
    <n v="0"/>
    <n v="263900"/>
    <n v="78778.61"/>
  </r>
  <r>
    <s v="ORD00452"/>
    <x v="356"/>
    <x v="361"/>
    <x v="3"/>
    <s v="India"/>
    <s v="Delhi"/>
    <s v="Ahmedabad"/>
    <s v="CUST3816"/>
    <x v="1"/>
    <x v="0"/>
    <s v="Laptop"/>
    <s v="Product_140"/>
    <s v="Amit"/>
    <x v="0"/>
    <s v="Net Banking"/>
    <x v="3"/>
    <n v="8"/>
    <n v="31636"/>
    <n v="15"/>
    <n v="215124.8"/>
    <n v="2236.39"/>
  </r>
  <r>
    <s v="ORD00453"/>
    <x v="357"/>
    <x v="183"/>
    <x v="1"/>
    <s v="India"/>
    <s v="Karnataka"/>
    <s v="Chennai"/>
    <s v="CUST3058"/>
    <x v="2"/>
    <x v="1"/>
    <s v="Storage"/>
    <s v="Product_112"/>
    <s v="Karan"/>
    <x v="0"/>
    <s v="Debit Card"/>
    <x v="1"/>
    <n v="10"/>
    <n v="27682"/>
    <n v="5"/>
    <n v="262979"/>
    <n v="8739.2999999999993"/>
  </r>
  <r>
    <s v="ORD00454"/>
    <x v="358"/>
    <x v="362"/>
    <x v="3"/>
    <s v="India"/>
    <s v="Tamil Nadu"/>
    <s v="Ahmedabad"/>
    <s v="CUST9958"/>
    <x v="1"/>
    <x v="0"/>
    <s v="Table"/>
    <s v="Product_137"/>
    <s v="Sneha"/>
    <x v="1"/>
    <s v="UPI"/>
    <x v="3"/>
    <n v="1"/>
    <n v="23102"/>
    <n v="5"/>
    <n v="21946.9"/>
    <n v="2592.36"/>
  </r>
  <r>
    <s v="ORD00455"/>
    <x v="51"/>
    <x v="26"/>
    <x v="0"/>
    <s v="India"/>
    <s v="Gujarat"/>
    <s v="Chennai"/>
    <s v="CUST3724"/>
    <x v="1"/>
    <x v="2"/>
    <s v="Printer"/>
    <s v="Product_181"/>
    <s v="Karan"/>
    <x v="0"/>
    <s v="Cash"/>
    <x v="3"/>
    <n v="9"/>
    <n v="12616"/>
    <n v="10"/>
    <n v="102189.6"/>
    <n v="12142.21"/>
  </r>
  <r>
    <s v="ORD00456"/>
    <x v="359"/>
    <x v="71"/>
    <x v="2"/>
    <s v="India"/>
    <s v="Delhi"/>
    <s v="Mumbai"/>
    <s v="CUST4177"/>
    <x v="0"/>
    <x v="1"/>
    <s v="Printer"/>
    <s v="Product_71"/>
    <s v="Neha"/>
    <x v="0"/>
    <s v="Net Banking"/>
    <x v="0"/>
    <n v="10"/>
    <n v="7662"/>
    <n v="20"/>
    <n v="61296"/>
    <n v="-4343.13"/>
  </r>
  <r>
    <s v="ORD00457"/>
    <x v="360"/>
    <x v="234"/>
    <x v="3"/>
    <s v="India"/>
    <s v="Maharashtra"/>
    <s v="Ahmedabad"/>
    <s v="CUST4130"/>
    <x v="0"/>
    <x v="2"/>
    <s v="Laptop"/>
    <s v="Product_144"/>
    <s v="Neha"/>
    <x v="1"/>
    <s v="Cash"/>
    <x v="0"/>
    <n v="1"/>
    <n v="9008"/>
    <n v="0"/>
    <n v="9008"/>
    <n v="1804.77"/>
  </r>
  <r>
    <s v="ORD00458"/>
    <x v="22"/>
    <x v="363"/>
    <x v="0"/>
    <s v="India"/>
    <s v="Gujarat"/>
    <s v="Mumbai"/>
    <s v="CUST1692"/>
    <x v="1"/>
    <x v="2"/>
    <s v="Chair"/>
    <s v="Product_173"/>
    <s v="Sneha"/>
    <x v="1"/>
    <s v="UPI"/>
    <x v="2"/>
    <n v="8"/>
    <n v="16289"/>
    <n v="0"/>
    <n v="130312"/>
    <n v="25093.39"/>
  </r>
  <r>
    <s v="ORD00459"/>
    <x v="361"/>
    <x v="364"/>
    <x v="0"/>
    <s v="India"/>
    <s v="Delhi"/>
    <s v="Ahmedabad"/>
    <s v="CUST8056"/>
    <x v="1"/>
    <x v="2"/>
    <s v="Chair"/>
    <s v="Product_21"/>
    <s v="Neha"/>
    <x v="1"/>
    <s v="Debit Card"/>
    <x v="0"/>
    <n v="3"/>
    <n v="7420"/>
    <n v="15"/>
    <n v="18921"/>
    <n v="1808.29"/>
  </r>
  <r>
    <s v="ORD00460"/>
    <x v="362"/>
    <x v="142"/>
    <x v="2"/>
    <s v="India"/>
    <s v="Karnataka"/>
    <s v="Ahmedabad"/>
    <s v="CUST2567"/>
    <x v="2"/>
    <x v="0"/>
    <s v="Chair"/>
    <s v="Product_65"/>
    <s v="Rahul"/>
    <x v="0"/>
    <s v="Cash"/>
    <x v="2"/>
    <n v="1"/>
    <n v="36553"/>
    <n v="10"/>
    <n v="32897.699999999997"/>
    <n v="3924.32"/>
  </r>
  <r>
    <s v="ORD00461"/>
    <x v="298"/>
    <x v="174"/>
    <x v="3"/>
    <s v="India"/>
    <s v="Karnataka"/>
    <s v="Mumbai"/>
    <s v="CUST7184"/>
    <x v="2"/>
    <x v="1"/>
    <s v="Chair"/>
    <s v="Product_96"/>
    <s v="Sneha"/>
    <x v="1"/>
    <s v="Cash"/>
    <x v="2"/>
    <n v="8"/>
    <n v="9384"/>
    <n v="20"/>
    <n v="60057.599999999999"/>
    <n v="-2492.02"/>
  </r>
  <r>
    <s v="ORD00462"/>
    <x v="213"/>
    <x v="61"/>
    <x v="1"/>
    <s v="India"/>
    <s v="Tamil Nadu"/>
    <s v="Bangalore"/>
    <s v="CUST6581"/>
    <x v="2"/>
    <x v="0"/>
    <s v="Storage"/>
    <s v="Product_85"/>
    <s v="Rahul"/>
    <x v="1"/>
    <s v="UPI"/>
    <x v="1"/>
    <n v="9"/>
    <n v="18198"/>
    <n v="10"/>
    <n v="147403.79999999999"/>
    <n v="6419.06"/>
  </r>
  <r>
    <s v="ORD00463"/>
    <x v="363"/>
    <x v="186"/>
    <x v="1"/>
    <s v="India"/>
    <s v="Karnataka"/>
    <s v="Ahmedabad"/>
    <s v="CUST8815"/>
    <x v="0"/>
    <x v="0"/>
    <s v="Storage"/>
    <s v="Product_169"/>
    <s v="Neha"/>
    <x v="0"/>
    <s v="Debit Card"/>
    <x v="1"/>
    <n v="9"/>
    <n v="16867"/>
    <n v="20"/>
    <n v="121442.4"/>
    <n v="-4139.91"/>
  </r>
  <r>
    <s v="ORD00464"/>
    <x v="364"/>
    <x v="365"/>
    <x v="2"/>
    <s v="India"/>
    <s v="Maharashtra"/>
    <s v="Delhi"/>
    <s v="CUST1824"/>
    <x v="0"/>
    <x v="0"/>
    <s v="Chair"/>
    <s v="Product_155"/>
    <s v="Amit"/>
    <x v="0"/>
    <s v="Debit Card"/>
    <x v="2"/>
    <n v="1"/>
    <n v="1706"/>
    <n v="0"/>
    <n v="1706"/>
    <n v="489.86"/>
  </r>
  <r>
    <s v="ORD00465"/>
    <x v="365"/>
    <x v="366"/>
    <x v="2"/>
    <s v="India"/>
    <s v="Delhi"/>
    <s v="Chennai"/>
    <s v="CUST8155"/>
    <x v="2"/>
    <x v="0"/>
    <s v="Chair"/>
    <s v="Product_140"/>
    <s v="Priya"/>
    <x v="1"/>
    <s v="UPI"/>
    <x v="0"/>
    <n v="8"/>
    <n v="49040"/>
    <n v="15"/>
    <n v="333472"/>
    <n v="-35558.29"/>
  </r>
  <r>
    <s v="ORD00466"/>
    <x v="171"/>
    <x v="367"/>
    <x v="1"/>
    <s v="India"/>
    <s v="Tamil Nadu"/>
    <s v="Mumbai"/>
    <s v="CUST6031"/>
    <x v="0"/>
    <x v="1"/>
    <s v="Chair"/>
    <s v="Product_181"/>
    <s v="Priya"/>
    <x v="1"/>
    <s v="Credit Card"/>
    <x v="0"/>
    <n v="1"/>
    <n v="34946"/>
    <n v="5"/>
    <n v="33198.699999999997"/>
    <n v="1560.08"/>
  </r>
  <r>
    <s v="ORD00467"/>
    <x v="366"/>
    <x v="368"/>
    <x v="1"/>
    <s v="India"/>
    <s v="Delhi"/>
    <s v="Ahmedabad"/>
    <s v="CUST7938"/>
    <x v="1"/>
    <x v="1"/>
    <s v="Mobile"/>
    <s v="Product_132"/>
    <s v="Karan"/>
    <x v="0"/>
    <s v="UPI"/>
    <x v="2"/>
    <n v="7"/>
    <n v="1804"/>
    <n v="10"/>
    <n v="11365.2"/>
    <n v="1240.4000000000001"/>
  </r>
  <r>
    <s v="ORD00468"/>
    <x v="367"/>
    <x v="369"/>
    <x v="2"/>
    <s v="India"/>
    <s v="Maharashtra"/>
    <s v="Bangalore"/>
    <s v="CUST5409"/>
    <x v="2"/>
    <x v="1"/>
    <s v="Laptop"/>
    <s v="Product_134"/>
    <s v="Priya"/>
    <x v="1"/>
    <s v="Net Banking"/>
    <x v="0"/>
    <n v="8"/>
    <n v="17327"/>
    <n v="10"/>
    <n v="124754.4"/>
    <n v="26941.89"/>
  </r>
  <r>
    <s v="ORD00469"/>
    <x v="368"/>
    <x v="370"/>
    <x v="1"/>
    <s v="India"/>
    <s v="Delhi"/>
    <s v="Mumbai"/>
    <s v="CUST9882"/>
    <x v="0"/>
    <x v="1"/>
    <s v="Table"/>
    <s v="Product_64"/>
    <s v="Rahul"/>
    <x v="1"/>
    <s v="Cash"/>
    <x v="2"/>
    <n v="4"/>
    <n v="31096"/>
    <n v="20"/>
    <n v="99507.199999999997"/>
    <n v="11285.73"/>
  </r>
  <r>
    <s v="ORD00470"/>
    <x v="369"/>
    <x v="371"/>
    <x v="3"/>
    <s v="India"/>
    <s v="Delhi"/>
    <s v="Ahmedabad"/>
    <s v="CUST6981"/>
    <x v="0"/>
    <x v="2"/>
    <s v="Laptop"/>
    <s v="Product_167"/>
    <s v="Rahul"/>
    <x v="0"/>
    <s v="Cash"/>
    <x v="0"/>
    <n v="1"/>
    <n v="17712"/>
    <n v="20"/>
    <n v="14169.6"/>
    <n v="830.51"/>
  </r>
  <r>
    <s v="ORD00471"/>
    <x v="370"/>
    <x v="229"/>
    <x v="3"/>
    <s v="India"/>
    <s v="Gujarat"/>
    <s v="Ahmedabad"/>
    <s v="CUST8543"/>
    <x v="2"/>
    <x v="2"/>
    <s v="Table"/>
    <s v="Product_16"/>
    <s v="Karan"/>
    <x v="0"/>
    <s v="Debit Card"/>
    <x v="0"/>
    <n v="1"/>
    <n v="7147"/>
    <n v="20"/>
    <n v="5717.6"/>
    <n v="-773.57"/>
  </r>
  <r>
    <s v="ORD00472"/>
    <x v="371"/>
    <x v="154"/>
    <x v="1"/>
    <s v="India"/>
    <s v="Gujarat"/>
    <s v="Ahmedabad"/>
    <s v="CUST1252"/>
    <x v="0"/>
    <x v="2"/>
    <s v="Storage"/>
    <s v="Product_113"/>
    <s v="Rahul"/>
    <x v="1"/>
    <s v="UPI"/>
    <x v="3"/>
    <n v="5"/>
    <n v="22046"/>
    <n v="15"/>
    <n v="93695.5"/>
    <n v="5641.39"/>
  </r>
  <r>
    <s v="ORD00473"/>
    <x v="372"/>
    <x v="372"/>
    <x v="2"/>
    <s v="India"/>
    <s v="Gujarat"/>
    <s v="Ahmedabad"/>
    <s v="CUST1345"/>
    <x v="2"/>
    <x v="0"/>
    <s v="Laptop"/>
    <s v="Product_23"/>
    <s v="Priya"/>
    <x v="0"/>
    <s v="UPI"/>
    <x v="3"/>
    <n v="3"/>
    <n v="27514"/>
    <n v="15"/>
    <n v="70160.7"/>
    <n v="3346.57"/>
  </r>
  <r>
    <s v="ORD00474"/>
    <x v="373"/>
    <x v="71"/>
    <x v="3"/>
    <s v="India"/>
    <s v="Gujarat"/>
    <s v="Ahmedabad"/>
    <s v="CUST1996"/>
    <x v="1"/>
    <x v="1"/>
    <s v="Chair"/>
    <s v="Product_164"/>
    <s v="Rahul"/>
    <x v="0"/>
    <s v="Cash"/>
    <x v="0"/>
    <n v="1"/>
    <n v="2705"/>
    <n v="5"/>
    <n v="2569.75"/>
    <n v="59.11"/>
  </r>
  <r>
    <s v="ORD00475"/>
    <x v="374"/>
    <x v="373"/>
    <x v="2"/>
    <s v="India"/>
    <s v="Gujarat"/>
    <s v="Mumbai"/>
    <s v="CUST3721"/>
    <x v="2"/>
    <x v="1"/>
    <s v="Chair"/>
    <s v="Product_62"/>
    <s v="Sneha"/>
    <x v="0"/>
    <s v="Credit Card"/>
    <x v="1"/>
    <n v="8"/>
    <n v="8351"/>
    <n v="20"/>
    <n v="53446.400000000001"/>
    <n v="-5357.41"/>
  </r>
  <r>
    <s v="ORD00476"/>
    <x v="375"/>
    <x v="374"/>
    <x v="2"/>
    <s v="India"/>
    <s v="Maharashtra"/>
    <s v="Ahmedabad"/>
    <s v="CUST5875"/>
    <x v="0"/>
    <x v="2"/>
    <s v="Storage"/>
    <s v="Product_39"/>
    <s v="Karan"/>
    <x v="1"/>
    <s v="UPI"/>
    <x v="1"/>
    <n v="5"/>
    <n v="3157"/>
    <n v="10"/>
    <n v="14206.5"/>
    <n v="1155.99"/>
  </r>
  <r>
    <s v="ORD00477"/>
    <x v="113"/>
    <x v="237"/>
    <x v="2"/>
    <s v="India"/>
    <s v="Delhi"/>
    <s v="Chennai"/>
    <s v="CUST8791"/>
    <x v="1"/>
    <x v="1"/>
    <s v="Table"/>
    <s v="Product_28"/>
    <s v="Karan"/>
    <x v="1"/>
    <s v="Cash"/>
    <x v="1"/>
    <n v="9"/>
    <n v="41895"/>
    <n v="0"/>
    <n v="377055"/>
    <n v="23982.71"/>
  </r>
  <r>
    <s v="ORD00478"/>
    <x v="310"/>
    <x v="53"/>
    <x v="1"/>
    <s v="India"/>
    <s v="Delhi"/>
    <s v="Mumbai"/>
    <s v="CUST5696"/>
    <x v="0"/>
    <x v="0"/>
    <s v="Storage"/>
    <s v="Product_116"/>
    <s v="Amit"/>
    <x v="1"/>
    <s v="UPI"/>
    <x v="1"/>
    <n v="6"/>
    <n v="20327"/>
    <n v="0"/>
    <n v="121962"/>
    <n v="24160.31"/>
  </r>
  <r>
    <s v="ORD00479"/>
    <x v="47"/>
    <x v="375"/>
    <x v="0"/>
    <s v="India"/>
    <s v="Karnataka"/>
    <s v="Ahmedabad"/>
    <s v="CUST8690"/>
    <x v="2"/>
    <x v="1"/>
    <s v="Storage"/>
    <s v="Product_103"/>
    <s v="Rahul"/>
    <x v="1"/>
    <s v="Debit Card"/>
    <x v="2"/>
    <n v="5"/>
    <n v="17504"/>
    <n v="20"/>
    <n v="70016"/>
    <n v="-524.41999999999996"/>
  </r>
  <r>
    <s v="ORD00480"/>
    <x v="376"/>
    <x v="376"/>
    <x v="2"/>
    <s v="India"/>
    <s v="Maharashtra"/>
    <s v="Delhi"/>
    <s v="CUST7217"/>
    <x v="1"/>
    <x v="0"/>
    <s v="Printer"/>
    <s v="Product_123"/>
    <s v="Sneha"/>
    <x v="0"/>
    <s v="Cash"/>
    <x v="3"/>
    <n v="7"/>
    <n v="47748"/>
    <n v="10"/>
    <n v="300812.40000000002"/>
    <n v="51809.42"/>
  </r>
  <r>
    <s v="ORD00481"/>
    <x v="377"/>
    <x v="377"/>
    <x v="1"/>
    <s v="India"/>
    <s v="Gujarat"/>
    <s v="Chennai"/>
    <s v="CUST3870"/>
    <x v="0"/>
    <x v="2"/>
    <s v="Storage"/>
    <s v="Product_23"/>
    <s v="Priya"/>
    <x v="0"/>
    <s v="Cash"/>
    <x v="1"/>
    <n v="6"/>
    <n v="16886"/>
    <n v="20"/>
    <n v="81052.800000000003"/>
    <n v="6792.07"/>
  </r>
  <r>
    <s v="ORD00482"/>
    <x v="378"/>
    <x v="378"/>
    <x v="3"/>
    <s v="India"/>
    <s v="Karnataka"/>
    <s v="Bangalore"/>
    <s v="CUST7543"/>
    <x v="2"/>
    <x v="2"/>
    <s v="Table"/>
    <s v="Product_35"/>
    <s v="Priya"/>
    <x v="1"/>
    <s v="Credit Card"/>
    <x v="2"/>
    <n v="8"/>
    <n v="29149"/>
    <n v="20"/>
    <n v="186553.60000000001"/>
    <n v="-13254.55"/>
  </r>
  <r>
    <s v="ORD00483"/>
    <x v="277"/>
    <x v="272"/>
    <x v="1"/>
    <s v="India"/>
    <s v="Karnataka"/>
    <s v="Mumbai"/>
    <s v="CUST1646"/>
    <x v="0"/>
    <x v="0"/>
    <s v="Storage"/>
    <s v="Product_92"/>
    <s v="Neha"/>
    <x v="1"/>
    <s v="Cash"/>
    <x v="1"/>
    <n v="7"/>
    <n v="23991"/>
    <n v="5"/>
    <n v="159540.15"/>
    <n v="26798.42"/>
  </r>
  <r>
    <s v="ORD00484"/>
    <x v="379"/>
    <x v="379"/>
    <x v="0"/>
    <s v="India"/>
    <s v="Gujarat"/>
    <s v="Bangalore"/>
    <s v="CUST9576"/>
    <x v="1"/>
    <x v="2"/>
    <s v="Laptop"/>
    <s v="Product_103"/>
    <s v="Sneha"/>
    <x v="1"/>
    <s v="Cash"/>
    <x v="0"/>
    <n v="1"/>
    <n v="36702"/>
    <n v="20"/>
    <n v="29361.599999999999"/>
    <n v="2160.0300000000002"/>
  </r>
  <r>
    <s v="ORD00485"/>
    <x v="101"/>
    <x v="98"/>
    <x v="2"/>
    <s v="India"/>
    <s v="Maharashtra"/>
    <s v="Delhi"/>
    <s v="CUST3957"/>
    <x v="2"/>
    <x v="0"/>
    <s v="Laptop"/>
    <s v="Product_93"/>
    <s v="Sneha"/>
    <x v="0"/>
    <s v="UPI"/>
    <x v="3"/>
    <n v="8"/>
    <n v="19171"/>
    <n v="20"/>
    <n v="122694.39999999999"/>
    <n v="6518.37"/>
  </r>
  <r>
    <s v="ORD00486"/>
    <x v="317"/>
    <x v="93"/>
    <x v="0"/>
    <s v="India"/>
    <s v="Gujarat"/>
    <s v="Ahmedabad"/>
    <s v="CUST5029"/>
    <x v="1"/>
    <x v="2"/>
    <s v="Chair"/>
    <s v="Product_47"/>
    <s v="Amit"/>
    <x v="1"/>
    <s v="Credit Card"/>
    <x v="2"/>
    <n v="7"/>
    <n v="18143"/>
    <n v="10"/>
    <n v="114300.9"/>
    <n v="15885.8"/>
  </r>
  <r>
    <s v="ORD00487"/>
    <x v="380"/>
    <x v="380"/>
    <x v="1"/>
    <s v="India"/>
    <s v="Maharashtra"/>
    <s v="Delhi"/>
    <s v="CUST1081"/>
    <x v="0"/>
    <x v="1"/>
    <s v="Mobile"/>
    <s v="Product_3"/>
    <s v="Neha"/>
    <x v="1"/>
    <s v="Net Banking"/>
    <x v="2"/>
    <n v="1"/>
    <n v="3673"/>
    <n v="15"/>
    <n v="3122.05"/>
    <n v="-140.34"/>
  </r>
  <r>
    <s v="ORD00488"/>
    <x v="381"/>
    <x v="381"/>
    <x v="3"/>
    <s v="India"/>
    <s v="Delhi"/>
    <s v="Delhi"/>
    <s v="CUST9989"/>
    <x v="0"/>
    <x v="2"/>
    <s v="Mobile"/>
    <s v="Product_3"/>
    <s v="Priya"/>
    <x v="0"/>
    <s v="Credit Card"/>
    <x v="2"/>
    <n v="1"/>
    <n v="21229"/>
    <n v="10"/>
    <n v="19106.099999999999"/>
    <n v="3541.51"/>
  </r>
  <r>
    <s v="ORD00489"/>
    <x v="382"/>
    <x v="382"/>
    <x v="1"/>
    <s v="India"/>
    <s v="Gujarat"/>
    <s v="Bangalore"/>
    <s v="CUST5522"/>
    <x v="1"/>
    <x v="2"/>
    <s v="Storage"/>
    <s v="Product_36"/>
    <s v="Priya"/>
    <x v="0"/>
    <s v="UPI"/>
    <x v="0"/>
    <n v="7"/>
    <n v="21888"/>
    <n v="15"/>
    <n v="130233.60000000001"/>
    <n v="1446.95"/>
  </r>
  <r>
    <s v="ORD00490"/>
    <x v="204"/>
    <x v="383"/>
    <x v="1"/>
    <s v="India"/>
    <s v="Tamil Nadu"/>
    <s v="Mumbai"/>
    <s v="CUST1008"/>
    <x v="0"/>
    <x v="1"/>
    <s v="Table"/>
    <s v="Product_126"/>
    <s v="Rahul"/>
    <x v="1"/>
    <s v="UPI"/>
    <x v="3"/>
    <n v="5"/>
    <n v="6679"/>
    <n v="0"/>
    <n v="33395"/>
    <n v="3615.08"/>
  </r>
  <r>
    <s v="ORD00491"/>
    <x v="240"/>
    <x v="345"/>
    <x v="3"/>
    <s v="India"/>
    <s v="Maharashtra"/>
    <s v="Mumbai"/>
    <s v="CUST8250"/>
    <x v="1"/>
    <x v="2"/>
    <s v="Laptop"/>
    <s v="Product_51"/>
    <s v="Sneha"/>
    <x v="1"/>
    <s v="Cash"/>
    <x v="1"/>
    <n v="4"/>
    <n v="31110"/>
    <n v="0"/>
    <n v="124440"/>
    <n v="27780.39"/>
  </r>
  <r>
    <s v="ORD00492"/>
    <x v="329"/>
    <x v="384"/>
    <x v="2"/>
    <s v="India"/>
    <s v="Tamil Nadu"/>
    <s v="Chennai"/>
    <s v="CUST9720"/>
    <x v="2"/>
    <x v="0"/>
    <s v="Table"/>
    <s v="Product_50"/>
    <s v="Karan"/>
    <x v="1"/>
    <s v="UPI"/>
    <x v="3"/>
    <n v="1"/>
    <n v="29936"/>
    <n v="10"/>
    <n v="26942.400000000001"/>
    <n v="836.28"/>
  </r>
  <r>
    <s v="ORD00493"/>
    <x v="383"/>
    <x v="385"/>
    <x v="1"/>
    <s v="India"/>
    <s v="Delhi"/>
    <s v="Mumbai"/>
    <s v="CUST1645"/>
    <x v="1"/>
    <x v="2"/>
    <s v="Printer"/>
    <s v="Product_199"/>
    <s v="Neha"/>
    <x v="0"/>
    <s v="Cash"/>
    <x v="1"/>
    <n v="3"/>
    <n v="23662"/>
    <n v="20"/>
    <n v="56788.800000000003"/>
    <n v="4326.6499999999996"/>
  </r>
  <r>
    <s v="ORD00494"/>
    <x v="339"/>
    <x v="65"/>
    <x v="3"/>
    <s v="India"/>
    <s v="Maharashtra"/>
    <s v="Delhi"/>
    <s v="CUST1216"/>
    <x v="0"/>
    <x v="2"/>
    <s v="Printer"/>
    <s v="Product_165"/>
    <s v="Karan"/>
    <x v="1"/>
    <s v="Credit Card"/>
    <x v="3"/>
    <n v="1"/>
    <n v="3587"/>
    <n v="10"/>
    <n v="3228.3"/>
    <n v="357.7"/>
  </r>
  <r>
    <s v="ORD00495"/>
    <x v="384"/>
    <x v="150"/>
    <x v="2"/>
    <s v="India"/>
    <s v="Delhi"/>
    <s v="Chennai"/>
    <s v="CUST9615"/>
    <x v="0"/>
    <x v="2"/>
    <s v="Storage"/>
    <s v="Product_165"/>
    <s v="Karan"/>
    <x v="1"/>
    <s v="Cash"/>
    <x v="0"/>
    <n v="2"/>
    <n v="22411"/>
    <n v="5"/>
    <n v="42580.9"/>
    <n v="1445.98"/>
  </r>
  <r>
    <s v="ORD00496"/>
    <x v="257"/>
    <x v="386"/>
    <x v="3"/>
    <s v="India"/>
    <s v="Delhi"/>
    <s v="Ahmedabad"/>
    <s v="CUST1906"/>
    <x v="2"/>
    <x v="0"/>
    <s v="Chair"/>
    <s v="Product_139"/>
    <s v="Rahul"/>
    <x v="1"/>
    <s v="Credit Card"/>
    <x v="0"/>
    <n v="3"/>
    <n v="25712"/>
    <n v="20"/>
    <n v="61708.800000000003"/>
    <n v="-1110.6099999999999"/>
  </r>
  <r>
    <s v="ORD00497"/>
    <x v="212"/>
    <x v="387"/>
    <x v="0"/>
    <s v="India"/>
    <s v="Maharashtra"/>
    <s v="Ahmedabad"/>
    <s v="CUST2407"/>
    <x v="2"/>
    <x v="2"/>
    <s v="Chair"/>
    <s v="Product_117"/>
    <s v="Neha"/>
    <x v="1"/>
    <s v="UPI"/>
    <x v="2"/>
    <n v="7"/>
    <n v="2352"/>
    <n v="15"/>
    <n v="13994.4"/>
    <n v="970.45"/>
  </r>
  <r>
    <s v="ORD00498"/>
    <x v="385"/>
    <x v="196"/>
    <x v="0"/>
    <s v="India"/>
    <s v="Delhi"/>
    <s v="Mumbai"/>
    <s v="CUST6657"/>
    <x v="0"/>
    <x v="2"/>
    <s v="Table"/>
    <s v="Product_93"/>
    <s v="Sneha"/>
    <x v="0"/>
    <s v="Cash"/>
    <x v="3"/>
    <n v="9"/>
    <n v="45499"/>
    <n v="15"/>
    <n v="348067.35"/>
    <n v="-30990.720000000001"/>
  </r>
  <r>
    <s v="ORD00499"/>
    <x v="266"/>
    <x v="388"/>
    <x v="0"/>
    <s v="India"/>
    <s v="Delhi"/>
    <s v="Chennai"/>
    <s v="CUST1363"/>
    <x v="2"/>
    <x v="1"/>
    <s v="Table"/>
    <s v="Product_29"/>
    <s v="Neha"/>
    <x v="0"/>
    <s v="Debit Card"/>
    <x v="3"/>
    <n v="3"/>
    <n v="2744"/>
    <n v="0"/>
    <n v="8232"/>
    <n v="2196.86"/>
  </r>
  <r>
    <s v="ORD00500"/>
    <x v="386"/>
    <x v="389"/>
    <x v="1"/>
    <s v="India"/>
    <s v="Karnataka"/>
    <s v="Chennai"/>
    <s v="CUST2784"/>
    <x v="2"/>
    <x v="2"/>
    <s v="Chair"/>
    <s v="Product_192"/>
    <s v="Karan"/>
    <x v="0"/>
    <s v="UPI"/>
    <x v="2"/>
    <n v="9"/>
    <n v="33479"/>
    <n v="5"/>
    <n v="286245.45"/>
    <n v="33730.1"/>
  </r>
  <r>
    <s v="ORD00501"/>
    <x v="323"/>
    <x v="60"/>
    <x v="0"/>
    <s v="India"/>
    <s v="Tamil Nadu"/>
    <s v="Ahmedabad"/>
    <s v="CUST2294"/>
    <x v="0"/>
    <x v="1"/>
    <s v="Laptop"/>
    <s v="Product_17"/>
    <s v="Sneha"/>
    <x v="0"/>
    <s v="Credit Card"/>
    <x v="0"/>
    <n v="2"/>
    <n v="23207"/>
    <n v="0"/>
    <n v="46414"/>
    <n v="11433.22"/>
  </r>
  <r>
    <s v="ORD00502"/>
    <x v="210"/>
    <x v="390"/>
    <x v="0"/>
    <s v="India"/>
    <s v="Tamil Nadu"/>
    <s v="Ahmedabad"/>
    <s v="CUST3630"/>
    <x v="1"/>
    <x v="2"/>
    <s v="Laptop"/>
    <s v="Product_127"/>
    <s v="Sneha"/>
    <x v="1"/>
    <s v="UPI"/>
    <x v="0"/>
    <n v="9"/>
    <n v="19017"/>
    <n v="5"/>
    <n v="162595.35"/>
    <n v="31365.77"/>
  </r>
  <r>
    <s v="ORD00503"/>
    <x v="387"/>
    <x v="372"/>
    <x v="3"/>
    <s v="India"/>
    <s v="Delhi"/>
    <s v="Mumbai"/>
    <s v="CUST7561"/>
    <x v="0"/>
    <x v="0"/>
    <s v="Chair"/>
    <s v="Product_126"/>
    <s v="Amit"/>
    <x v="1"/>
    <s v="Credit Card"/>
    <x v="2"/>
    <n v="4"/>
    <n v="29015"/>
    <n v="20"/>
    <n v="92848"/>
    <n v="-4676.54"/>
  </r>
  <r>
    <s v="ORD00504"/>
    <x v="179"/>
    <x v="230"/>
    <x v="1"/>
    <s v="India"/>
    <s v="Karnataka"/>
    <s v="Bangalore"/>
    <s v="CUST9997"/>
    <x v="1"/>
    <x v="0"/>
    <s v="Laptop"/>
    <s v="Product_196"/>
    <s v="Karan"/>
    <x v="0"/>
    <s v="Debit Card"/>
    <x v="2"/>
    <n v="10"/>
    <n v="46266"/>
    <n v="10"/>
    <n v="416394"/>
    <n v="14544.46"/>
  </r>
  <r>
    <s v="ORD00505"/>
    <x v="388"/>
    <x v="108"/>
    <x v="3"/>
    <s v="India"/>
    <s v="Tamil Nadu"/>
    <s v="Bangalore"/>
    <s v="CUST5084"/>
    <x v="1"/>
    <x v="2"/>
    <s v="Mobile"/>
    <s v="Product_38"/>
    <s v="Rahul"/>
    <x v="0"/>
    <s v="Net Banking"/>
    <x v="2"/>
    <n v="6"/>
    <n v="14998"/>
    <n v="20"/>
    <n v="71990.399999999994"/>
    <n v="-5710.64"/>
  </r>
  <r>
    <s v="ORD00506"/>
    <x v="389"/>
    <x v="234"/>
    <x v="3"/>
    <s v="India"/>
    <s v="Maharashtra"/>
    <s v="Mumbai"/>
    <s v="CUST9223"/>
    <x v="1"/>
    <x v="0"/>
    <s v="Mobile"/>
    <s v="Product_104"/>
    <s v="Rahul"/>
    <x v="1"/>
    <s v="Debit Card"/>
    <x v="2"/>
    <n v="4"/>
    <n v="18075"/>
    <n v="15"/>
    <n v="61455"/>
    <n v="-1512.24"/>
  </r>
  <r>
    <s v="ORD00507"/>
    <x v="33"/>
    <x v="391"/>
    <x v="0"/>
    <s v="India"/>
    <s v="Delhi"/>
    <s v="Mumbai"/>
    <s v="CUST5371"/>
    <x v="0"/>
    <x v="2"/>
    <s v="Mobile"/>
    <s v="Product_98"/>
    <s v="Neha"/>
    <x v="0"/>
    <s v="Debit Card"/>
    <x v="2"/>
    <n v="8"/>
    <n v="34878"/>
    <n v="15"/>
    <n v="237170.4"/>
    <n v="31326.17"/>
  </r>
  <r>
    <s v="ORD00508"/>
    <x v="89"/>
    <x v="392"/>
    <x v="3"/>
    <s v="India"/>
    <s v="Maharashtra"/>
    <s v="Delhi"/>
    <s v="CUST7471"/>
    <x v="2"/>
    <x v="0"/>
    <s v="Printer"/>
    <s v="Product_19"/>
    <s v="Priya"/>
    <x v="0"/>
    <s v="Cash"/>
    <x v="3"/>
    <n v="10"/>
    <n v="43748"/>
    <n v="0"/>
    <n v="437480"/>
    <n v="125013.25"/>
  </r>
  <r>
    <s v="ORD00509"/>
    <x v="390"/>
    <x v="393"/>
    <x v="2"/>
    <s v="India"/>
    <s v="Tamil Nadu"/>
    <s v="Bangalore"/>
    <s v="CUST8278"/>
    <x v="0"/>
    <x v="0"/>
    <s v="Table"/>
    <s v="Product_103"/>
    <s v="Rahul"/>
    <x v="0"/>
    <s v="Debit Card"/>
    <x v="3"/>
    <n v="2"/>
    <n v="15845"/>
    <n v="20"/>
    <n v="25352"/>
    <n v="1169.82"/>
  </r>
  <r>
    <s v="ORD00510"/>
    <x v="391"/>
    <x v="394"/>
    <x v="0"/>
    <s v="India"/>
    <s v="Tamil Nadu"/>
    <s v="Ahmedabad"/>
    <s v="CUST6090"/>
    <x v="1"/>
    <x v="1"/>
    <s v="Printer"/>
    <s v="Product_69"/>
    <s v="Sneha"/>
    <x v="0"/>
    <s v="Net Banking"/>
    <x v="3"/>
    <n v="6"/>
    <n v="32294"/>
    <n v="15"/>
    <n v="164699.4"/>
    <n v="6327.42"/>
  </r>
  <r>
    <s v="ORD00511"/>
    <x v="291"/>
    <x v="395"/>
    <x v="2"/>
    <s v="India"/>
    <s v="Gujarat"/>
    <s v="Bangalore"/>
    <s v="CUST2517"/>
    <x v="1"/>
    <x v="0"/>
    <s v="Chair"/>
    <s v="Product_165"/>
    <s v="Rahul"/>
    <x v="0"/>
    <s v="Credit Card"/>
    <x v="3"/>
    <n v="6"/>
    <n v="14870"/>
    <n v="5"/>
    <n v="84759"/>
    <n v="16937.97"/>
  </r>
  <r>
    <s v="ORD00512"/>
    <x v="392"/>
    <x v="396"/>
    <x v="0"/>
    <s v="India"/>
    <s v="Delhi"/>
    <s v="Mumbai"/>
    <s v="CUST4856"/>
    <x v="1"/>
    <x v="2"/>
    <s v="Chair"/>
    <s v="Product_163"/>
    <s v="Amit"/>
    <x v="0"/>
    <s v="Debit Card"/>
    <x v="0"/>
    <n v="10"/>
    <n v="37202"/>
    <n v="15"/>
    <n v="316217"/>
    <n v="26378.92"/>
  </r>
  <r>
    <s v="ORD00513"/>
    <x v="387"/>
    <x v="397"/>
    <x v="0"/>
    <s v="India"/>
    <s v="Delhi"/>
    <s v="Ahmedabad"/>
    <s v="CUST6641"/>
    <x v="1"/>
    <x v="1"/>
    <s v="Table"/>
    <s v="Product_119"/>
    <s v="Neha"/>
    <x v="0"/>
    <s v="Cash"/>
    <x v="1"/>
    <n v="7"/>
    <n v="44095"/>
    <n v="20"/>
    <n v="246932"/>
    <n v="-38413.06"/>
  </r>
  <r>
    <s v="ORD00514"/>
    <x v="135"/>
    <x v="398"/>
    <x v="2"/>
    <s v="India"/>
    <s v="Karnataka"/>
    <s v="Chennai"/>
    <s v="CUST5342"/>
    <x v="1"/>
    <x v="1"/>
    <s v="Printer"/>
    <s v="Product_193"/>
    <s v="Neha"/>
    <x v="0"/>
    <s v="UPI"/>
    <x v="0"/>
    <n v="1"/>
    <n v="2760"/>
    <n v="5"/>
    <n v="2622"/>
    <n v="371.87"/>
  </r>
  <r>
    <s v="ORD00515"/>
    <x v="393"/>
    <x v="399"/>
    <x v="2"/>
    <s v="India"/>
    <s v="Maharashtra"/>
    <s v="Chennai"/>
    <s v="CUST5589"/>
    <x v="2"/>
    <x v="0"/>
    <s v="Table"/>
    <s v="Product_183"/>
    <s v="Rahul"/>
    <x v="0"/>
    <s v="UPI"/>
    <x v="2"/>
    <n v="4"/>
    <n v="6118"/>
    <n v="0"/>
    <n v="24472"/>
    <n v="5041.97"/>
  </r>
  <r>
    <s v="ORD00516"/>
    <x v="394"/>
    <x v="196"/>
    <x v="0"/>
    <s v="India"/>
    <s v="Gujarat"/>
    <s v="Ahmedabad"/>
    <s v="CUST3242"/>
    <x v="2"/>
    <x v="0"/>
    <s v="Storage"/>
    <s v="Product_147"/>
    <s v="Priya"/>
    <x v="0"/>
    <s v="Net Banking"/>
    <x v="0"/>
    <n v="10"/>
    <n v="19986"/>
    <n v="5"/>
    <n v="189867"/>
    <n v="11278.88"/>
  </r>
  <r>
    <s v="ORD00517"/>
    <x v="63"/>
    <x v="400"/>
    <x v="2"/>
    <s v="India"/>
    <s v="Maharashtra"/>
    <s v="Mumbai"/>
    <s v="CUST3809"/>
    <x v="2"/>
    <x v="1"/>
    <s v="Laptop"/>
    <s v="Product_63"/>
    <s v="Rahul"/>
    <x v="1"/>
    <s v="Credit Card"/>
    <x v="2"/>
    <n v="6"/>
    <n v="4646"/>
    <n v="15"/>
    <n v="23694.6"/>
    <n v="-2034.89"/>
  </r>
  <r>
    <s v="ORD00518"/>
    <x v="395"/>
    <x v="401"/>
    <x v="2"/>
    <s v="India"/>
    <s v="Tamil Nadu"/>
    <s v="Chennai"/>
    <s v="CUST9394"/>
    <x v="0"/>
    <x v="1"/>
    <s v="Laptop"/>
    <s v="Product_21"/>
    <s v="Rahul"/>
    <x v="1"/>
    <s v="Net Banking"/>
    <x v="0"/>
    <n v="3"/>
    <n v="5050"/>
    <n v="20"/>
    <n v="12120"/>
    <n v="-2257.77"/>
  </r>
  <r>
    <s v="ORD00519"/>
    <x v="396"/>
    <x v="402"/>
    <x v="3"/>
    <s v="India"/>
    <s v="Maharashtra"/>
    <s v="Delhi"/>
    <s v="CUST6721"/>
    <x v="2"/>
    <x v="1"/>
    <s v="Table"/>
    <s v="Product_66"/>
    <s v="Karan"/>
    <x v="0"/>
    <s v="Credit Card"/>
    <x v="2"/>
    <n v="5"/>
    <n v="27956"/>
    <n v="0"/>
    <n v="139780"/>
    <n v="12542.38"/>
  </r>
  <r>
    <s v="ORD00520"/>
    <x v="397"/>
    <x v="403"/>
    <x v="0"/>
    <s v="India"/>
    <s v="Karnataka"/>
    <s v="Mumbai"/>
    <s v="CUST9626"/>
    <x v="1"/>
    <x v="0"/>
    <s v="Mobile"/>
    <s v="Product_73"/>
    <s v="Neha"/>
    <x v="1"/>
    <s v="Debit Card"/>
    <x v="2"/>
    <n v="6"/>
    <n v="49426"/>
    <n v="10"/>
    <n v="266900.40000000002"/>
    <n v="-12686.65"/>
  </r>
  <r>
    <s v="ORD00521"/>
    <x v="256"/>
    <x v="199"/>
    <x v="3"/>
    <s v="India"/>
    <s v="Maharashtra"/>
    <s v="Mumbai"/>
    <s v="CUST7510"/>
    <x v="0"/>
    <x v="2"/>
    <s v="Chair"/>
    <s v="Product_114"/>
    <s v="Neha"/>
    <x v="1"/>
    <s v="Credit Card"/>
    <x v="3"/>
    <n v="10"/>
    <n v="24590"/>
    <n v="5"/>
    <n v="233605"/>
    <n v="57687.32"/>
  </r>
  <r>
    <s v="ORD00522"/>
    <x v="398"/>
    <x v="404"/>
    <x v="2"/>
    <s v="India"/>
    <s v="Maharashtra"/>
    <s v="Chennai"/>
    <s v="CUST7611"/>
    <x v="2"/>
    <x v="2"/>
    <s v="Mobile"/>
    <s v="Product_146"/>
    <s v="Priya"/>
    <x v="0"/>
    <s v="UPI"/>
    <x v="1"/>
    <n v="8"/>
    <n v="39214"/>
    <n v="10"/>
    <n v="282340.8"/>
    <n v="23676.9"/>
  </r>
  <r>
    <s v="ORD00523"/>
    <x v="399"/>
    <x v="405"/>
    <x v="2"/>
    <s v="India"/>
    <s v="Karnataka"/>
    <s v="Ahmedabad"/>
    <s v="CUST7666"/>
    <x v="1"/>
    <x v="1"/>
    <s v="Chair"/>
    <s v="Product_71"/>
    <s v="Amit"/>
    <x v="0"/>
    <s v="Debit Card"/>
    <x v="2"/>
    <n v="5"/>
    <n v="45633"/>
    <n v="0"/>
    <n v="228165"/>
    <n v="30227.94"/>
  </r>
  <r>
    <s v="ORD00524"/>
    <x v="400"/>
    <x v="361"/>
    <x v="0"/>
    <s v="India"/>
    <s v="Tamil Nadu"/>
    <s v="Bangalore"/>
    <s v="CUST1747"/>
    <x v="1"/>
    <x v="1"/>
    <s v="Storage"/>
    <s v="Product_31"/>
    <s v="Neha"/>
    <x v="1"/>
    <s v="UPI"/>
    <x v="3"/>
    <n v="5"/>
    <n v="8184"/>
    <n v="0"/>
    <n v="40920"/>
    <n v="9552.08"/>
  </r>
  <r>
    <s v="ORD00525"/>
    <x v="401"/>
    <x v="406"/>
    <x v="3"/>
    <s v="India"/>
    <s v="Gujarat"/>
    <s v="Delhi"/>
    <s v="CUST7634"/>
    <x v="0"/>
    <x v="1"/>
    <s v="Printer"/>
    <s v="Product_184"/>
    <s v="Amit"/>
    <x v="1"/>
    <s v="Debit Card"/>
    <x v="2"/>
    <n v="1"/>
    <n v="17345"/>
    <n v="0"/>
    <n v="17345"/>
    <n v="1710.57"/>
  </r>
  <r>
    <s v="ORD00526"/>
    <x v="402"/>
    <x v="407"/>
    <x v="0"/>
    <s v="India"/>
    <s v="Tamil Nadu"/>
    <s v="Chennai"/>
    <s v="CUST3247"/>
    <x v="1"/>
    <x v="1"/>
    <s v="Mobile"/>
    <s v="Product_173"/>
    <s v="Sneha"/>
    <x v="1"/>
    <s v="Cash"/>
    <x v="1"/>
    <n v="3"/>
    <n v="41284"/>
    <n v="20"/>
    <n v="99081.600000000006"/>
    <n v="-3713.72"/>
  </r>
  <r>
    <s v="ORD00527"/>
    <x v="35"/>
    <x v="408"/>
    <x v="1"/>
    <s v="India"/>
    <s v="Karnataka"/>
    <s v="Ahmedabad"/>
    <s v="CUST8113"/>
    <x v="2"/>
    <x v="0"/>
    <s v="Laptop"/>
    <s v="Product_194"/>
    <s v="Amit"/>
    <x v="1"/>
    <s v="Debit Card"/>
    <x v="0"/>
    <n v="6"/>
    <n v="34214"/>
    <n v="15"/>
    <n v="174491.4"/>
    <n v="23874.09"/>
  </r>
  <r>
    <s v="ORD00528"/>
    <x v="403"/>
    <x v="295"/>
    <x v="0"/>
    <s v="India"/>
    <s v="Tamil Nadu"/>
    <s v="Ahmedabad"/>
    <s v="CUST2399"/>
    <x v="0"/>
    <x v="1"/>
    <s v="Table"/>
    <s v="Product_141"/>
    <s v="Amit"/>
    <x v="0"/>
    <s v="Debit Card"/>
    <x v="2"/>
    <n v="8"/>
    <n v="43540"/>
    <n v="10"/>
    <n v="313488"/>
    <n v="64735.519999999997"/>
  </r>
  <r>
    <s v="ORD00529"/>
    <x v="228"/>
    <x v="409"/>
    <x v="0"/>
    <s v="India"/>
    <s v="Tamil Nadu"/>
    <s v="Bangalore"/>
    <s v="CUST6637"/>
    <x v="2"/>
    <x v="0"/>
    <s v="Laptop"/>
    <s v="Product_74"/>
    <s v="Rahul"/>
    <x v="0"/>
    <s v="Net Banking"/>
    <x v="2"/>
    <n v="10"/>
    <n v="8065"/>
    <n v="15"/>
    <n v="68552.5"/>
    <n v="8076.76"/>
  </r>
  <r>
    <s v="ORD00530"/>
    <x v="404"/>
    <x v="352"/>
    <x v="1"/>
    <s v="India"/>
    <s v="Tamil Nadu"/>
    <s v="Mumbai"/>
    <s v="CUST3428"/>
    <x v="2"/>
    <x v="1"/>
    <s v="Storage"/>
    <s v="Product_176"/>
    <s v="Karan"/>
    <x v="0"/>
    <s v="UPI"/>
    <x v="1"/>
    <n v="8"/>
    <n v="11214"/>
    <n v="10"/>
    <n v="80740.800000000003"/>
    <n v="-3148.64"/>
  </r>
  <r>
    <s v="ORD00531"/>
    <x v="405"/>
    <x v="410"/>
    <x v="1"/>
    <s v="India"/>
    <s v="Gujarat"/>
    <s v="Ahmedabad"/>
    <s v="CUST9507"/>
    <x v="0"/>
    <x v="1"/>
    <s v="Storage"/>
    <s v="Product_157"/>
    <s v="Rahul"/>
    <x v="0"/>
    <s v="Cash"/>
    <x v="3"/>
    <n v="9"/>
    <n v="45582"/>
    <n v="5"/>
    <n v="389726.1"/>
    <n v="46579.86"/>
  </r>
  <r>
    <s v="ORD00532"/>
    <x v="406"/>
    <x v="145"/>
    <x v="3"/>
    <s v="India"/>
    <s v="Karnataka"/>
    <s v="Bangalore"/>
    <s v="CUST1970"/>
    <x v="1"/>
    <x v="2"/>
    <s v="Chair"/>
    <s v="Product_95"/>
    <s v="Amit"/>
    <x v="0"/>
    <s v="Debit Card"/>
    <x v="3"/>
    <n v="4"/>
    <n v="48300"/>
    <n v="10"/>
    <n v="173880"/>
    <n v="13196.71"/>
  </r>
  <r>
    <s v="ORD00533"/>
    <x v="407"/>
    <x v="62"/>
    <x v="0"/>
    <s v="India"/>
    <s v="Delhi"/>
    <s v="Ahmedabad"/>
    <s v="CUST7260"/>
    <x v="0"/>
    <x v="0"/>
    <s v="Table"/>
    <s v="Product_153"/>
    <s v="Sneha"/>
    <x v="0"/>
    <s v="UPI"/>
    <x v="0"/>
    <n v="4"/>
    <n v="10362"/>
    <n v="15"/>
    <n v="35230.800000000003"/>
    <n v="1222.8900000000001"/>
  </r>
  <r>
    <s v="ORD00534"/>
    <x v="408"/>
    <x v="411"/>
    <x v="3"/>
    <s v="India"/>
    <s v="Delhi"/>
    <s v="Delhi"/>
    <s v="CUST8986"/>
    <x v="0"/>
    <x v="2"/>
    <s v="Table"/>
    <s v="Product_199"/>
    <s v="Amit"/>
    <x v="0"/>
    <s v="Cash"/>
    <x v="1"/>
    <n v="2"/>
    <n v="27739"/>
    <n v="20"/>
    <n v="44382.400000000001"/>
    <n v="-8045.57"/>
  </r>
  <r>
    <s v="ORD00535"/>
    <x v="172"/>
    <x v="412"/>
    <x v="0"/>
    <s v="India"/>
    <s v="Tamil Nadu"/>
    <s v="Mumbai"/>
    <s v="CUST3626"/>
    <x v="1"/>
    <x v="1"/>
    <s v="Storage"/>
    <s v="Product_122"/>
    <s v="Sneha"/>
    <x v="1"/>
    <s v="Debit Card"/>
    <x v="3"/>
    <n v="5"/>
    <n v="40424"/>
    <n v="0"/>
    <n v="202120"/>
    <n v="47663.32"/>
  </r>
  <r>
    <s v="ORD00536"/>
    <x v="409"/>
    <x v="413"/>
    <x v="2"/>
    <s v="India"/>
    <s v="Delhi"/>
    <s v="Chennai"/>
    <s v="CUST1458"/>
    <x v="0"/>
    <x v="2"/>
    <s v="Storage"/>
    <s v="Product_26"/>
    <s v="Priya"/>
    <x v="1"/>
    <s v="Net Banking"/>
    <x v="3"/>
    <n v="4"/>
    <n v="23387"/>
    <n v="5"/>
    <n v="88870.6"/>
    <n v="14561.8"/>
  </r>
  <r>
    <s v="ORD00537"/>
    <x v="354"/>
    <x v="414"/>
    <x v="1"/>
    <s v="India"/>
    <s v="Gujarat"/>
    <s v="Mumbai"/>
    <s v="CUST4700"/>
    <x v="0"/>
    <x v="1"/>
    <s v="Laptop"/>
    <s v="Product_44"/>
    <s v="Priya"/>
    <x v="1"/>
    <s v="Cash"/>
    <x v="2"/>
    <n v="4"/>
    <n v="26836"/>
    <n v="5"/>
    <n v="101976.8"/>
    <n v="24414.61"/>
  </r>
  <r>
    <s v="ORD00538"/>
    <x v="184"/>
    <x v="415"/>
    <x v="2"/>
    <s v="India"/>
    <s v="Maharashtra"/>
    <s v="Bangalore"/>
    <s v="CUST4390"/>
    <x v="1"/>
    <x v="2"/>
    <s v="Mobile"/>
    <s v="Product_159"/>
    <s v="Sneha"/>
    <x v="0"/>
    <s v="Net Banking"/>
    <x v="1"/>
    <n v="10"/>
    <n v="22469"/>
    <n v="0"/>
    <n v="224690"/>
    <n v="62063.12"/>
  </r>
  <r>
    <s v="ORD00539"/>
    <x v="410"/>
    <x v="169"/>
    <x v="0"/>
    <s v="India"/>
    <s v="Gujarat"/>
    <s v="Ahmedabad"/>
    <s v="CUST9037"/>
    <x v="2"/>
    <x v="1"/>
    <s v="Chair"/>
    <s v="Product_37"/>
    <s v="Priya"/>
    <x v="0"/>
    <s v="Debit Card"/>
    <x v="1"/>
    <n v="4"/>
    <n v="13762"/>
    <n v="5"/>
    <n v="52295.6"/>
    <n v="10121.5"/>
  </r>
  <r>
    <s v="ORD00540"/>
    <x v="32"/>
    <x v="416"/>
    <x v="3"/>
    <s v="India"/>
    <s v="Karnataka"/>
    <s v="Mumbai"/>
    <s v="CUST6528"/>
    <x v="2"/>
    <x v="0"/>
    <s v="Table"/>
    <s v="Product_153"/>
    <s v="Neha"/>
    <x v="1"/>
    <s v="Cash"/>
    <x v="0"/>
    <n v="2"/>
    <n v="21518"/>
    <n v="0"/>
    <n v="43036"/>
    <n v="8740.75"/>
  </r>
  <r>
    <s v="ORD00541"/>
    <x v="411"/>
    <x v="417"/>
    <x v="2"/>
    <s v="India"/>
    <s v="Tamil Nadu"/>
    <s v="Delhi"/>
    <s v="CUST2271"/>
    <x v="1"/>
    <x v="0"/>
    <s v="Storage"/>
    <s v="Product_174"/>
    <s v="Amit"/>
    <x v="0"/>
    <s v="Net Banking"/>
    <x v="0"/>
    <n v="1"/>
    <n v="44402"/>
    <n v="15"/>
    <n v="37741.699999999997"/>
    <n v="2802.79"/>
  </r>
  <r>
    <s v="ORD00542"/>
    <x v="195"/>
    <x v="61"/>
    <x v="2"/>
    <s v="India"/>
    <s v="Maharashtra"/>
    <s v="Bangalore"/>
    <s v="CUST6017"/>
    <x v="1"/>
    <x v="0"/>
    <s v="Storage"/>
    <s v="Product_84"/>
    <s v="Rahul"/>
    <x v="0"/>
    <s v="Cash"/>
    <x v="3"/>
    <n v="10"/>
    <n v="18814"/>
    <n v="20"/>
    <n v="150512"/>
    <n v="-14159.14"/>
  </r>
  <r>
    <s v="ORD00543"/>
    <x v="213"/>
    <x v="184"/>
    <x v="1"/>
    <s v="India"/>
    <s v="Tamil Nadu"/>
    <s v="Chennai"/>
    <s v="CUST9107"/>
    <x v="0"/>
    <x v="0"/>
    <s v="Table"/>
    <s v="Product_157"/>
    <s v="Sneha"/>
    <x v="1"/>
    <s v="Debit Card"/>
    <x v="0"/>
    <n v="5"/>
    <n v="14028"/>
    <n v="20"/>
    <n v="56112"/>
    <n v="4579.3"/>
  </r>
  <r>
    <s v="ORD00544"/>
    <x v="376"/>
    <x v="63"/>
    <x v="2"/>
    <s v="India"/>
    <s v="Karnataka"/>
    <s v="Ahmedabad"/>
    <s v="CUST9583"/>
    <x v="0"/>
    <x v="1"/>
    <s v="Printer"/>
    <s v="Product_50"/>
    <s v="Neha"/>
    <x v="0"/>
    <s v="UPI"/>
    <x v="0"/>
    <n v="4"/>
    <n v="9172"/>
    <n v="15"/>
    <n v="31184.799999999999"/>
    <n v="4616.37"/>
  </r>
  <r>
    <s v="ORD00545"/>
    <x v="412"/>
    <x v="144"/>
    <x v="3"/>
    <s v="India"/>
    <s v="Tamil Nadu"/>
    <s v="Mumbai"/>
    <s v="CUST4637"/>
    <x v="1"/>
    <x v="1"/>
    <s v="Laptop"/>
    <s v="Product_15"/>
    <s v="Priya"/>
    <x v="1"/>
    <s v="Credit Card"/>
    <x v="2"/>
    <n v="8"/>
    <n v="10342"/>
    <n v="10"/>
    <n v="74462.399999999994"/>
    <n v="9527.07"/>
  </r>
  <r>
    <s v="ORD00546"/>
    <x v="413"/>
    <x v="418"/>
    <x v="0"/>
    <s v="India"/>
    <s v="Maharashtra"/>
    <s v="Ahmedabad"/>
    <s v="CUST9589"/>
    <x v="0"/>
    <x v="2"/>
    <s v="Storage"/>
    <s v="Product_107"/>
    <s v="Karan"/>
    <x v="0"/>
    <s v="Debit Card"/>
    <x v="1"/>
    <n v="5"/>
    <n v="32552"/>
    <n v="20"/>
    <n v="130208"/>
    <n v="-66.489999999999995"/>
  </r>
  <r>
    <s v="ORD00547"/>
    <x v="414"/>
    <x v="419"/>
    <x v="0"/>
    <s v="India"/>
    <s v="Delhi"/>
    <s v="Chennai"/>
    <s v="CUST4819"/>
    <x v="1"/>
    <x v="1"/>
    <s v="Storage"/>
    <s v="Product_70"/>
    <s v="Neha"/>
    <x v="1"/>
    <s v="Cash"/>
    <x v="1"/>
    <n v="4"/>
    <n v="17586"/>
    <n v="15"/>
    <n v="59792.4"/>
    <n v="9850.4"/>
  </r>
  <r>
    <s v="ORD00548"/>
    <x v="415"/>
    <x v="129"/>
    <x v="0"/>
    <s v="India"/>
    <s v="Maharashtra"/>
    <s v="Ahmedabad"/>
    <s v="CUST9700"/>
    <x v="0"/>
    <x v="1"/>
    <s v="Chair"/>
    <s v="Product_77"/>
    <s v="Sneha"/>
    <x v="1"/>
    <s v="Credit Card"/>
    <x v="2"/>
    <n v="5"/>
    <n v="43474"/>
    <n v="15"/>
    <n v="184764.5"/>
    <n v="3161.55"/>
  </r>
  <r>
    <s v="ORD00549"/>
    <x v="385"/>
    <x v="420"/>
    <x v="3"/>
    <s v="India"/>
    <s v="Gujarat"/>
    <s v="Ahmedabad"/>
    <s v="CUST5406"/>
    <x v="1"/>
    <x v="2"/>
    <s v="Storage"/>
    <s v="Product_30"/>
    <s v="Sneha"/>
    <x v="1"/>
    <s v="Cash"/>
    <x v="3"/>
    <n v="6"/>
    <n v="2527"/>
    <n v="5"/>
    <n v="14403.9"/>
    <n v="1452.43"/>
  </r>
  <r>
    <s v="ORD00550"/>
    <x v="1"/>
    <x v="117"/>
    <x v="1"/>
    <s v="India"/>
    <s v="Maharashtra"/>
    <s v="Mumbai"/>
    <s v="CUST1072"/>
    <x v="2"/>
    <x v="2"/>
    <s v="Storage"/>
    <s v="Product_162"/>
    <s v="Sneha"/>
    <x v="0"/>
    <s v="Net Banking"/>
    <x v="2"/>
    <n v="6"/>
    <n v="3671"/>
    <n v="0"/>
    <n v="22026"/>
    <n v="3563.29"/>
  </r>
  <r>
    <s v="ORD00551"/>
    <x v="314"/>
    <x v="421"/>
    <x v="2"/>
    <s v="India"/>
    <s v="Gujarat"/>
    <s v="Mumbai"/>
    <s v="CUST5834"/>
    <x v="2"/>
    <x v="1"/>
    <s v="Mobile"/>
    <s v="Product_43"/>
    <s v="Neha"/>
    <x v="0"/>
    <s v="Net Banking"/>
    <x v="3"/>
    <n v="2"/>
    <n v="5015"/>
    <n v="10"/>
    <n v="9027"/>
    <n v="1968.19"/>
  </r>
  <r>
    <s v="ORD00552"/>
    <x v="416"/>
    <x v="167"/>
    <x v="3"/>
    <s v="India"/>
    <s v="Gujarat"/>
    <s v="Ahmedabad"/>
    <s v="CUST7518"/>
    <x v="2"/>
    <x v="2"/>
    <s v="Printer"/>
    <s v="Product_184"/>
    <s v="Priya"/>
    <x v="0"/>
    <s v="Debit Card"/>
    <x v="2"/>
    <n v="10"/>
    <n v="49613"/>
    <n v="0"/>
    <n v="496130"/>
    <n v="54803.47"/>
  </r>
  <r>
    <s v="ORD00553"/>
    <x v="201"/>
    <x v="190"/>
    <x v="1"/>
    <s v="India"/>
    <s v="Maharashtra"/>
    <s v="Mumbai"/>
    <s v="CUST7623"/>
    <x v="1"/>
    <x v="1"/>
    <s v="Mobile"/>
    <s v="Product_186"/>
    <s v="Neha"/>
    <x v="0"/>
    <s v="Cash"/>
    <x v="0"/>
    <n v="1"/>
    <n v="3130"/>
    <n v="15"/>
    <n v="2660.5"/>
    <n v="-261.12"/>
  </r>
  <r>
    <s v="ORD00554"/>
    <x v="417"/>
    <x v="422"/>
    <x v="2"/>
    <s v="India"/>
    <s v="Maharashtra"/>
    <s v="Ahmedabad"/>
    <s v="CUST4587"/>
    <x v="0"/>
    <x v="0"/>
    <s v="Storage"/>
    <s v="Product_35"/>
    <s v="Sneha"/>
    <x v="1"/>
    <s v="Credit Card"/>
    <x v="0"/>
    <n v="10"/>
    <n v="19969"/>
    <n v="10"/>
    <n v="179721"/>
    <n v="-5277.93"/>
  </r>
  <r>
    <s v="ORD00555"/>
    <x v="201"/>
    <x v="423"/>
    <x v="2"/>
    <s v="India"/>
    <s v="Maharashtra"/>
    <s v="Mumbai"/>
    <s v="CUST6841"/>
    <x v="0"/>
    <x v="0"/>
    <s v="Chair"/>
    <s v="Product_134"/>
    <s v="Priya"/>
    <x v="1"/>
    <s v="UPI"/>
    <x v="1"/>
    <n v="9"/>
    <n v="10300"/>
    <n v="0"/>
    <n v="92700"/>
    <n v="10640.25"/>
  </r>
  <r>
    <s v="ORD00556"/>
    <x v="104"/>
    <x v="101"/>
    <x v="0"/>
    <s v="India"/>
    <s v="Karnataka"/>
    <s v="Chennai"/>
    <s v="CUST7557"/>
    <x v="1"/>
    <x v="1"/>
    <s v="Chair"/>
    <s v="Product_156"/>
    <s v="Rahul"/>
    <x v="1"/>
    <s v="UPI"/>
    <x v="3"/>
    <n v="3"/>
    <n v="48879"/>
    <n v="15"/>
    <n v="124641.45"/>
    <n v="20311.72"/>
  </r>
  <r>
    <s v="ORD00557"/>
    <x v="239"/>
    <x v="231"/>
    <x v="2"/>
    <s v="India"/>
    <s v="Maharashtra"/>
    <s v="Mumbai"/>
    <s v="CUST4204"/>
    <x v="2"/>
    <x v="2"/>
    <s v="Table"/>
    <s v="Product_183"/>
    <s v="Priya"/>
    <x v="0"/>
    <s v="Debit Card"/>
    <x v="3"/>
    <n v="1"/>
    <n v="33993"/>
    <n v="0"/>
    <n v="33993"/>
    <n v="6963.85"/>
  </r>
  <r>
    <s v="ORD00558"/>
    <x v="320"/>
    <x v="424"/>
    <x v="1"/>
    <s v="India"/>
    <s v="Gujarat"/>
    <s v="Bangalore"/>
    <s v="CUST9046"/>
    <x v="2"/>
    <x v="0"/>
    <s v="Mobile"/>
    <s v="Product_120"/>
    <s v="Priya"/>
    <x v="0"/>
    <s v="Credit Card"/>
    <x v="2"/>
    <n v="5"/>
    <n v="28175"/>
    <n v="15"/>
    <n v="119743.75"/>
    <n v="18243.310000000001"/>
  </r>
  <r>
    <s v="ORD00559"/>
    <x v="418"/>
    <x v="425"/>
    <x v="0"/>
    <s v="India"/>
    <s v="Karnataka"/>
    <s v="Chennai"/>
    <s v="CUST4907"/>
    <x v="2"/>
    <x v="1"/>
    <s v="Table"/>
    <s v="Product_169"/>
    <s v="Amit"/>
    <x v="1"/>
    <s v="Credit Card"/>
    <x v="0"/>
    <n v="3"/>
    <n v="11442"/>
    <n v="5"/>
    <n v="32609.7"/>
    <n v="7865.49"/>
  </r>
  <r>
    <s v="ORD00560"/>
    <x v="56"/>
    <x v="426"/>
    <x v="3"/>
    <s v="India"/>
    <s v="Tamil Nadu"/>
    <s v="Delhi"/>
    <s v="CUST7287"/>
    <x v="1"/>
    <x v="0"/>
    <s v="Printer"/>
    <s v="Product_45"/>
    <s v="Karan"/>
    <x v="1"/>
    <s v="Debit Card"/>
    <x v="0"/>
    <n v="3"/>
    <n v="45174"/>
    <n v="5"/>
    <n v="128745.9"/>
    <n v="4624.1400000000003"/>
  </r>
  <r>
    <s v="ORD00561"/>
    <x v="419"/>
    <x v="145"/>
    <x v="2"/>
    <s v="India"/>
    <s v="Maharashtra"/>
    <s v="Mumbai"/>
    <s v="CUST2836"/>
    <x v="2"/>
    <x v="2"/>
    <s v="Mobile"/>
    <s v="Product_189"/>
    <s v="Amit"/>
    <x v="1"/>
    <s v="Cash"/>
    <x v="1"/>
    <n v="2"/>
    <n v="40790"/>
    <n v="0"/>
    <n v="81580"/>
    <n v="12280.62"/>
  </r>
  <r>
    <s v="ORD00562"/>
    <x v="420"/>
    <x v="427"/>
    <x v="3"/>
    <s v="India"/>
    <s v="Delhi"/>
    <s v="Chennai"/>
    <s v="CUST6693"/>
    <x v="1"/>
    <x v="0"/>
    <s v="Printer"/>
    <s v="Product_29"/>
    <s v="Rahul"/>
    <x v="0"/>
    <s v="UPI"/>
    <x v="0"/>
    <n v="1"/>
    <n v="31855"/>
    <n v="5"/>
    <n v="30262.25"/>
    <n v="4812.18"/>
  </r>
  <r>
    <s v="ORD00563"/>
    <x v="46"/>
    <x v="428"/>
    <x v="3"/>
    <s v="India"/>
    <s v="Maharashtra"/>
    <s v="Chennai"/>
    <s v="CUST9880"/>
    <x v="2"/>
    <x v="0"/>
    <s v="Laptop"/>
    <s v="Product_77"/>
    <s v="Sneha"/>
    <x v="0"/>
    <s v="Credit Card"/>
    <x v="1"/>
    <n v="6"/>
    <n v="10290"/>
    <n v="20"/>
    <n v="49392"/>
    <n v="133.85"/>
  </r>
  <r>
    <s v="ORD00564"/>
    <x v="421"/>
    <x v="429"/>
    <x v="0"/>
    <s v="India"/>
    <s v="Maharashtra"/>
    <s v="Ahmedabad"/>
    <s v="CUST4627"/>
    <x v="2"/>
    <x v="2"/>
    <s v="Mobile"/>
    <s v="Product_41"/>
    <s v="Karan"/>
    <x v="1"/>
    <s v="Credit Card"/>
    <x v="3"/>
    <n v="2"/>
    <n v="4286"/>
    <n v="5"/>
    <n v="8143.4"/>
    <n v="829.17"/>
  </r>
  <r>
    <s v="ORD00565"/>
    <x v="422"/>
    <x v="430"/>
    <x v="2"/>
    <s v="India"/>
    <s v="Gujarat"/>
    <s v="Delhi"/>
    <s v="CUST8148"/>
    <x v="1"/>
    <x v="2"/>
    <s v="Mobile"/>
    <s v="Product_186"/>
    <s v="Sneha"/>
    <x v="0"/>
    <s v="Debit Card"/>
    <x v="3"/>
    <n v="9"/>
    <n v="18677"/>
    <n v="0"/>
    <n v="168093"/>
    <n v="43860.49"/>
  </r>
  <r>
    <s v="ORD00566"/>
    <x v="423"/>
    <x v="103"/>
    <x v="2"/>
    <s v="India"/>
    <s v="Maharashtra"/>
    <s v="Ahmedabad"/>
    <s v="CUST7755"/>
    <x v="0"/>
    <x v="1"/>
    <s v="Chair"/>
    <s v="Product_9"/>
    <s v="Priya"/>
    <x v="1"/>
    <s v="UPI"/>
    <x v="0"/>
    <n v="2"/>
    <n v="6632"/>
    <n v="5"/>
    <n v="12600.8"/>
    <n v="2278.1"/>
  </r>
  <r>
    <s v="ORD00567"/>
    <x v="424"/>
    <x v="22"/>
    <x v="2"/>
    <s v="India"/>
    <s v="Delhi"/>
    <s v="Delhi"/>
    <s v="CUST2261"/>
    <x v="1"/>
    <x v="1"/>
    <s v="Laptop"/>
    <s v="Product_19"/>
    <s v="Amit"/>
    <x v="0"/>
    <s v="Debit Card"/>
    <x v="2"/>
    <n v="3"/>
    <n v="49295"/>
    <n v="5"/>
    <n v="140490.75"/>
    <n v="33540.57"/>
  </r>
  <r>
    <s v="ORD00568"/>
    <x v="425"/>
    <x v="69"/>
    <x v="1"/>
    <s v="India"/>
    <s v="Tamil Nadu"/>
    <s v="Bangalore"/>
    <s v="CUST6398"/>
    <x v="2"/>
    <x v="1"/>
    <s v="Chair"/>
    <s v="Product_16"/>
    <s v="Priya"/>
    <x v="0"/>
    <s v="UPI"/>
    <x v="1"/>
    <n v="2"/>
    <n v="48424"/>
    <n v="10"/>
    <n v="87163.199999999997"/>
    <n v="1080.23"/>
  </r>
  <r>
    <s v="ORD00569"/>
    <x v="426"/>
    <x v="431"/>
    <x v="2"/>
    <s v="India"/>
    <s v="Gujarat"/>
    <s v="Mumbai"/>
    <s v="CUST9668"/>
    <x v="2"/>
    <x v="1"/>
    <s v="Printer"/>
    <s v="Product_117"/>
    <s v="Karan"/>
    <x v="0"/>
    <s v="UPI"/>
    <x v="3"/>
    <n v="2"/>
    <n v="48474"/>
    <n v="10"/>
    <n v="87253.2"/>
    <n v="12526.63"/>
  </r>
  <r>
    <s v="ORD00570"/>
    <x v="35"/>
    <x v="432"/>
    <x v="2"/>
    <s v="India"/>
    <s v="Delhi"/>
    <s v="Bangalore"/>
    <s v="CUST4648"/>
    <x v="2"/>
    <x v="1"/>
    <s v="Mobile"/>
    <s v="Product_159"/>
    <s v="Sneha"/>
    <x v="1"/>
    <s v="Credit Card"/>
    <x v="2"/>
    <n v="8"/>
    <n v="19336"/>
    <n v="0"/>
    <n v="154688"/>
    <n v="24615.7"/>
  </r>
  <r>
    <s v="ORD00571"/>
    <x v="427"/>
    <x v="433"/>
    <x v="0"/>
    <s v="India"/>
    <s v="Karnataka"/>
    <s v="Ahmedabad"/>
    <s v="CUST7582"/>
    <x v="2"/>
    <x v="2"/>
    <s v="Mobile"/>
    <s v="Product_58"/>
    <s v="Priya"/>
    <x v="1"/>
    <s v="Credit Card"/>
    <x v="3"/>
    <n v="5"/>
    <n v="15366"/>
    <n v="15"/>
    <n v="65305.5"/>
    <n v="1278.77"/>
  </r>
  <r>
    <s v="ORD00572"/>
    <x v="428"/>
    <x v="434"/>
    <x v="1"/>
    <s v="India"/>
    <s v="Gujarat"/>
    <s v="Mumbai"/>
    <s v="CUST3006"/>
    <x v="0"/>
    <x v="1"/>
    <s v="Chair"/>
    <s v="Product_11"/>
    <s v="Rahul"/>
    <x v="0"/>
    <s v="Net Banking"/>
    <x v="2"/>
    <n v="8"/>
    <n v="6177"/>
    <n v="10"/>
    <n v="44474.400000000001"/>
    <n v="9540.81"/>
  </r>
  <r>
    <s v="ORD00573"/>
    <x v="429"/>
    <x v="12"/>
    <x v="1"/>
    <s v="India"/>
    <s v="Tamil Nadu"/>
    <s v="Chennai"/>
    <s v="CUST5689"/>
    <x v="2"/>
    <x v="2"/>
    <s v="Chair"/>
    <s v="Product_73"/>
    <s v="Amit"/>
    <x v="1"/>
    <s v="Cash"/>
    <x v="1"/>
    <n v="10"/>
    <n v="1379"/>
    <n v="15"/>
    <n v="11721.5"/>
    <n v="-6.5"/>
  </r>
  <r>
    <s v="ORD00574"/>
    <x v="430"/>
    <x v="435"/>
    <x v="0"/>
    <s v="India"/>
    <s v="Tamil Nadu"/>
    <s v="Ahmedabad"/>
    <s v="CUST5069"/>
    <x v="2"/>
    <x v="2"/>
    <s v="Storage"/>
    <s v="Product_35"/>
    <s v="Sneha"/>
    <x v="0"/>
    <s v="UPI"/>
    <x v="3"/>
    <n v="2"/>
    <n v="29402"/>
    <n v="10"/>
    <n v="52923.6"/>
    <n v="-1810.82"/>
  </r>
  <r>
    <s v="ORD00575"/>
    <x v="431"/>
    <x v="330"/>
    <x v="2"/>
    <s v="India"/>
    <s v="Delhi"/>
    <s v="Delhi"/>
    <s v="CUST4263"/>
    <x v="2"/>
    <x v="0"/>
    <s v="Mobile"/>
    <s v="Product_53"/>
    <s v="Karan"/>
    <x v="0"/>
    <s v="Net Banking"/>
    <x v="1"/>
    <n v="4"/>
    <n v="31807"/>
    <n v="0"/>
    <n v="127228"/>
    <n v="24616.78"/>
  </r>
  <r>
    <s v="ORD00576"/>
    <x v="78"/>
    <x v="436"/>
    <x v="2"/>
    <s v="India"/>
    <s v="Delhi"/>
    <s v="Chennai"/>
    <s v="CUST6791"/>
    <x v="1"/>
    <x v="2"/>
    <s v="Laptop"/>
    <s v="Product_4"/>
    <s v="Rahul"/>
    <x v="0"/>
    <s v="Credit Card"/>
    <x v="2"/>
    <n v="7"/>
    <n v="12152"/>
    <n v="15"/>
    <n v="72304.399999999994"/>
    <n v="4946.22"/>
  </r>
  <r>
    <s v="ORD00577"/>
    <x v="272"/>
    <x v="437"/>
    <x v="3"/>
    <s v="India"/>
    <s v="Karnataka"/>
    <s v="Mumbai"/>
    <s v="CUST7802"/>
    <x v="2"/>
    <x v="2"/>
    <s v="Chair"/>
    <s v="Product_77"/>
    <s v="Priya"/>
    <x v="0"/>
    <s v="Debit Card"/>
    <x v="3"/>
    <n v="9"/>
    <n v="11908"/>
    <n v="5"/>
    <n v="101813.4"/>
    <n v="23866.89"/>
  </r>
  <r>
    <s v="ORD00578"/>
    <x v="432"/>
    <x v="10"/>
    <x v="1"/>
    <s v="India"/>
    <s v="Maharashtra"/>
    <s v="Chennai"/>
    <s v="CUST7453"/>
    <x v="1"/>
    <x v="0"/>
    <s v="Storage"/>
    <s v="Product_36"/>
    <s v="Priya"/>
    <x v="0"/>
    <s v="Cash"/>
    <x v="1"/>
    <n v="1"/>
    <n v="13789"/>
    <n v="20"/>
    <n v="11031.2"/>
    <n v="-922.13"/>
  </r>
  <r>
    <s v="ORD00579"/>
    <x v="123"/>
    <x v="438"/>
    <x v="3"/>
    <s v="India"/>
    <s v="Tamil Nadu"/>
    <s v="Ahmedabad"/>
    <s v="CUST8772"/>
    <x v="0"/>
    <x v="2"/>
    <s v="Storage"/>
    <s v="Product_189"/>
    <s v="Karan"/>
    <x v="1"/>
    <s v="Debit Card"/>
    <x v="1"/>
    <n v="10"/>
    <n v="33336"/>
    <n v="0"/>
    <n v="333360"/>
    <n v="94878.51"/>
  </r>
  <r>
    <s v="ORD00580"/>
    <x v="433"/>
    <x v="439"/>
    <x v="2"/>
    <s v="India"/>
    <s v="Karnataka"/>
    <s v="Chennai"/>
    <s v="CUST5350"/>
    <x v="2"/>
    <x v="2"/>
    <s v="Table"/>
    <s v="Product_95"/>
    <s v="Sneha"/>
    <x v="0"/>
    <s v="Cash"/>
    <x v="2"/>
    <n v="1"/>
    <n v="40526"/>
    <n v="20"/>
    <n v="32420.799999999999"/>
    <n v="3270.5"/>
  </r>
  <r>
    <s v="ORD00581"/>
    <x v="434"/>
    <x v="440"/>
    <x v="0"/>
    <s v="India"/>
    <s v="Maharashtra"/>
    <s v="Mumbai"/>
    <s v="CUST1328"/>
    <x v="1"/>
    <x v="0"/>
    <s v="Mobile"/>
    <s v="Product_193"/>
    <s v="Karan"/>
    <x v="1"/>
    <s v="UPI"/>
    <x v="0"/>
    <n v="6"/>
    <n v="16540"/>
    <n v="15"/>
    <n v="84354"/>
    <n v="7253.35"/>
  </r>
  <r>
    <s v="ORD00582"/>
    <x v="435"/>
    <x v="218"/>
    <x v="0"/>
    <s v="India"/>
    <s v="Tamil Nadu"/>
    <s v="Chennai"/>
    <s v="CUST8054"/>
    <x v="0"/>
    <x v="2"/>
    <s v="Chair"/>
    <s v="Product_156"/>
    <s v="Sneha"/>
    <x v="0"/>
    <s v="Cash"/>
    <x v="2"/>
    <n v="3"/>
    <n v="48620"/>
    <n v="0"/>
    <n v="145860"/>
    <n v="26113.79"/>
  </r>
  <r>
    <s v="ORD00583"/>
    <x v="436"/>
    <x v="441"/>
    <x v="0"/>
    <s v="India"/>
    <s v="Delhi"/>
    <s v="Bangalore"/>
    <s v="CUST1725"/>
    <x v="2"/>
    <x v="1"/>
    <s v="Table"/>
    <s v="Product_42"/>
    <s v="Sneha"/>
    <x v="1"/>
    <s v="Cash"/>
    <x v="0"/>
    <n v="7"/>
    <n v="25749"/>
    <n v="0"/>
    <n v="180243"/>
    <n v="46870.28"/>
  </r>
  <r>
    <s v="ORD00584"/>
    <x v="437"/>
    <x v="252"/>
    <x v="3"/>
    <s v="India"/>
    <s v="Maharashtra"/>
    <s v="Bangalore"/>
    <s v="CUST5330"/>
    <x v="2"/>
    <x v="0"/>
    <s v="Printer"/>
    <s v="Product_128"/>
    <s v="Rahul"/>
    <x v="1"/>
    <s v="Debit Card"/>
    <x v="0"/>
    <n v="1"/>
    <n v="33483"/>
    <n v="20"/>
    <n v="26786.400000000001"/>
    <n v="-1592.41"/>
  </r>
  <r>
    <s v="ORD00585"/>
    <x v="412"/>
    <x v="442"/>
    <x v="2"/>
    <s v="India"/>
    <s v="Karnataka"/>
    <s v="Chennai"/>
    <s v="CUST9582"/>
    <x v="1"/>
    <x v="2"/>
    <s v="Chair"/>
    <s v="Product_61"/>
    <s v="Neha"/>
    <x v="1"/>
    <s v="Debit Card"/>
    <x v="2"/>
    <n v="1"/>
    <n v="5097"/>
    <n v="15"/>
    <n v="4332.45"/>
    <n v="-478.69"/>
  </r>
  <r>
    <s v="ORD00586"/>
    <x v="438"/>
    <x v="393"/>
    <x v="1"/>
    <s v="India"/>
    <s v="Karnataka"/>
    <s v="Delhi"/>
    <s v="CUST7840"/>
    <x v="0"/>
    <x v="1"/>
    <s v="Laptop"/>
    <s v="Product_11"/>
    <s v="Amit"/>
    <x v="1"/>
    <s v="Debit Card"/>
    <x v="1"/>
    <n v="2"/>
    <n v="38060"/>
    <n v="15"/>
    <n v="64702"/>
    <n v="1099.94"/>
  </r>
  <r>
    <s v="ORD00587"/>
    <x v="439"/>
    <x v="282"/>
    <x v="0"/>
    <s v="India"/>
    <s v="Tamil Nadu"/>
    <s v="Bangalore"/>
    <s v="CUST2062"/>
    <x v="1"/>
    <x v="0"/>
    <s v="Printer"/>
    <s v="Product_54"/>
    <s v="Neha"/>
    <x v="1"/>
    <s v="Net Banking"/>
    <x v="2"/>
    <n v="3"/>
    <n v="11455"/>
    <n v="10"/>
    <n v="30928.5"/>
    <n v="741.88"/>
  </r>
  <r>
    <s v="ORD00588"/>
    <x v="190"/>
    <x v="64"/>
    <x v="2"/>
    <s v="India"/>
    <s v="Gujarat"/>
    <s v="Mumbai"/>
    <s v="CUST7592"/>
    <x v="2"/>
    <x v="2"/>
    <s v="Storage"/>
    <s v="Product_40"/>
    <s v="Neha"/>
    <x v="0"/>
    <s v="Cash"/>
    <x v="1"/>
    <n v="10"/>
    <n v="17171"/>
    <n v="0"/>
    <n v="171710"/>
    <n v="12316.59"/>
  </r>
  <r>
    <s v="ORD00589"/>
    <x v="235"/>
    <x v="173"/>
    <x v="3"/>
    <s v="India"/>
    <s v="Gujarat"/>
    <s v="Delhi"/>
    <s v="CUST8093"/>
    <x v="1"/>
    <x v="1"/>
    <s v="Mobile"/>
    <s v="Product_138"/>
    <s v="Amit"/>
    <x v="1"/>
    <s v="Credit Card"/>
    <x v="3"/>
    <n v="3"/>
    <n v="8460"/>
    <n v="10"/>
    <n v="22842"/>
    <n v="4363.3900000000003"/>
  </r>
  <r>
    <s v="ORD00590"/>
    <x v="440"/>
    <x v="443"/>
    <x v="3"/>
    <s v="India"/>
    <s v="Karnataka"/>
    <s v="Mumbai"/>
    <s v="CUST1737"/>
    <x v="0"/>
    <x v="2"/>
    <s v="Chair"/>
    <s v="Product_95"/>
    <s v="Priya"/>
    <x v="0"/>
    <s v="UPI"/>
    <x v="1"/>
    <n v="2"/>
    <n v="3141"/>
    <n v="0"/>
    <n v="6282"/>
    <n v="1139.26"/>
  </r>
  <r>
    <s v="ORD00591"/>
    <x v="441"/>
    <x v="122"/>
    <x v="2"/>
    <s v="India"/>
    <s v="Tamil Nadu"/>
    <s v="Bangalore"/>
    <s v="CUST8225"/>
    <x v="1"/>
    <x v="2"/>
    <s v="Chair"/>
    <s v="Product_90"/>
    <s v="Rahul"/>
    <x v="0"/>
    <s v="Debit Card"/>
    <x v="3"/>
    <n v="7"/>
    <n v="33252"/>
    <n v="10"/>
    <n v="209487.6"/>
    <n v="45461.17"/>
  </r>
  <r>
    <s v="ORD00592"/>
    <x v="442"/>
    <x v="152"/>
    <x v="0"/>
    <s v="India"/>
    <s v="Maharashtra"/>
    <s v="Ahmedabad"/>
    <s v="CUST3302"/>
    <x v="2"/>
    <x v="2"/>
    <s v="Laptop"/>
    <s v="Product_38"/>
    <s v="Amit"/>
    <x v="0"/>
    <s v="Cash"/>
    <x v="2"/>
    <n v="10"/>
    <n v="49581"/>
    <n v="10"/>
    <n v="446229"/>
    <n v="60787.199999999997"/>
  </r>
  <r>
    <s v="ORD00593"/>
    <x v="443"/>
    <x v="14"/>
    <x v="2"/>
    <s v="India"/>
    <s v="Tamil Nadu"/>
    <s v="Delhi"/>
    <s v="CUST2785"/>
    <x v="0"/>
    <x v="0"/>
    <s v="Table"/>
    <s v="Product_106"/>
    <s v="Karan"/>
    <x v="0"/>
    <s v="Credit Card"/>
    <x v="2"/>
    <n v="5"/>
    <n v="8816"/>
    <n v="20"/>
    <n v="35264"/>
    <n v="-323.58999999999997"/>
  </r>
  <r>
    <s v="ORD00594"/>
    <x v="444"/>
    <x v="444"/>
    <x v="1"/>
    <s v="India"/>
    <s v="Maharashtra"/>
    <s v="Chennai"/>
    <s v="CUST1564"/>
    <x v="2"/>
    <x v="1"/>
    <s v="Laptop"/>
    <s v="Product_69"/>
    <s v="Priya"/>
    <x v="0"/>
    <s v="Debit Card"/>
    <x v="0"/>
    <n v="6"/>
    <n v="47344"/>
    <n v="10"/>
    <n v="255657.60000000001"/>
    <n v="45014.75"/>
  </r>
  <r>
    <s v="ORD00595"/>
    <x v="325"/>
    <x v="329"/>
    <x v="3"/>
    <s v="India"/>
    <s v="Tamil Nadu"/>
    <s v="Mumbai"/>
    <s v="CUST8747"/>
    <x v="2"/>
    <x v="1"/>
    <s v="Mobile"/>
    <s v="Product_89"/>
    <s v="Neha"/>
    <x v="1"/>
    <s v="Credit Card"/>
    <x v="0"/>
    <n v="4"/>
    <n v="7290"/>
    <n v="5"/>
    <n v="27702"/>
    <n v="3573.32"/>
  </r>
  <r>
    <s v="ORD00596"/>
    <x v="445"/>
    <x v="126"/>
    <x v="1"/>
    <s v="India"/>
    <s v="Maharashtra"/>
    <s v="Delhi"/>
    <s v="CUST6974"/>
    <x v="2"/>
    <x v="0"/>
    <s v="Storage"/>
    <s v="Product_118"/>
    <s v="Amit"/>
    <x v="1"/>
    <s v="Credit Card"/>
    <x v="0"/>
    <n v="9"/>
    <n v="25579"/>
    <n v="0"/>
    <n v="230211"/>
    <n v="46648.62"/>
  </r>
  <r>
    <s v="ORD00597"/>
    <x v="265"/>
    <x v="445"/>
    <x v="1"/>
    <s v="India"/>
    <s v="Gujarat"/>
    <s v="Bangalore"/>
    <s v="CUST3999"/>
    <x v="1"/>
    <x v="0"/>
    <s v="Mobile"/>
    <s v="Product_195"/>
    <s v="Sneha"/>
    <x v="1"/>
    <s v="Net Banking"/>
    <x v="0"/>
    <n v="4"/>
    <n v="34501"/>
    <n v="0"/>
    <n v="138004"/>
    <n v="23496.53"/>
  </r>
  <r>
    <s v="ORD00598"/>
    <x v="446"/>
    <x v="239"/>
    <x v="0"/>
    <s v="India"/>
    <s v="Gujarat"/>
    <s v="Chennai"/>
    <s v="CUST4075"/>
    <x v="0"/>
    <x v="0"/>
    <s v="Laptop"/>
    <s v="Product_163"/>
    <s v="Neha"/>
    <x v="0"/>
    <s v="Net Banking"/>
    <x v="0"/>
    <n v="8"/>
    <n v="23472"/>
    <n v="5"/>
    <n v="178387.20000000001"/>
    <n v="44504.99"/>
  </r>
  <r>
    <s v="ORD00599"/>
    <x v="424"/>
    <x v="138"/>
    <x v="2"/>
    <s v="India"/>
    <s v="Delhi"/>
    <s v="Delhi"/>
    <s v="CUST4954"/>
    <x v="1"/>
    <x v="0"/>
    <s v="Storage"/>
    <s v="Product_143"/>
    <s v="Amit"/>
    <x v="0"/>
    <s v="UPI"/>
    <x v="2"/>
    <n v="4"/>
    <n v="45555"/>
    <n v="0"/>
    <n v="182220"/>
    <n v="34607.519999999997"/>
  </r>
  <r>
    <s v="ORD00600"/>
    <x v="447"/>
    <x v="446"/>
    <x v="0"/>
    <s v="India"/>
    <s v="Gujarat"/>
    <s v="Chennai"/>
    <s v="CUST4593"/>
    <x v="1"/>
    <x v="1"/>
    <s v="Chair"/>
    <s v="Product_175"/>
    <s v="Neha"/>
    <x v="0"/>
    <s v="Credit Card"/>
    <x v="1"/>
    <n v="7"/>
    <n v="49461"/>
    <n v="15"/>
    <n v="294292.95"/>
    <n v="30663.46"/>
  </r>
  <r>
    <s v="ORD00601"/>
    <x v="448"/>
    <x v="447"/>
    <x v="2"/>
    <s v="India"/>
    <s v="Delhi"/>
    <s v="Chennai"/>
    <s v="CUST2790"/>
    <x v="2"/>
    <x v="2"/>
    <s v="Table"/>
    <s v="Product_137"/>
    <s v="Priya"/>
    <x v="1"/>
    <s v="Credit Card"/>
    <x v="0"/>
    <n v="4"/>
    <n v="34073"/>
    <n v="15"/>
    <n v="115848.2"/>
    <n v="8518.98"/>
  </r>
  <r>
    <s v="ORD00602"/>
    <x v="331"/>
    <x v="448"/>
    <x v="0"/>
    <s v="India"/>
    <s v="Tamil Nadu"/>
    <s v="Mumbai"/>
    <s v="CUST9407"/>
    <x v="0"/>
    <x v="2"/>
    <s v="Printer"/>
    <s v="Product_7"/>
    <s v="Neha"/>
    <x v="1"/>
    <s v="Credit Card"/>
    <x v="1"/>
    <n v="7"/>
    <n v="43066"/>
    <n v="15"/>
    <n v="256242.7"/>
    <n v="-2165.54"/>
  </r>
  <r>
    <s v="ORD00603"/>
    <x v="449"/>
    <x v="449"/>
    <x v="1"/>
    <s v="India"/>
    <s v="Gujarat"/>
    <s v="Ahmedabad"/>
    <s v="CUST1160"/>
    <x v="1"/>
    <x v="2"/>
    <s v="Printer"/>
    <s v="Product_11"/>
    <s v="Karan"/>
    <x v="1"/>
    <s v="Net Banking"/>
    <x v="2"/>
    <n v="6"/>
    <n v="4199"/>
    <n v="0"/>
    <n v="25194"/>
    <n v="1974.94"/>
  </r>
  <r>
    <s v="ORD00604"/>
    <x v="450"/>
    <x v="346"/>
    <x v="2"/>
    <s v="India"/>
    <s v="Tamil Nadu"/>
    <s v="Delhi"/>
    <s v="CUST3619"/>
    <x v="1"/>
    <x v="2"/>
    <s v="Storage"/>
    <s v="Product_124"/>
    <s v="Neha"/>
    <x v="1"/>
    <s v="Credit Card"/>
    <x v="2"/>
    <n v="5"/>
    <n v="28604"/>
    <n v="10"/>
    <n v="128718"/>
    <n v="22176.98"/>
  </r>
  <r>
    <s v="ORD00605"/>
    <x v="451"/>
    <x v="247"/>
    <x v="0"/>
    <s v="India"/>
    <s v="Delhi"/>
    <s v="Delhi"/>
    <s v="CUST2568"/>
    <x v="0"/>
    <x v="2"/>
    <s v="Laptop"/>
    <s v="Product_161"/>
    <s v="Amit"/>
    <x v="0"/>
    <s v="Net Banking"/>
    <x v="0"/>
    <n v="5"/>
    <n v="47346"/>
    <n v="20"/>
    <n v="189384"/>
    <n v="8200.5499999999993"/>
  </r>
  <r>
    <s v="ORD00606"/>
    <x v="452"/>
    <x v="73"/>
    <x v="0"/>
    <s v="India"/>
    <s v="Tamil Nadu"/>
    <s v="Ahmedabad"/>
    <s v="CUST2684"/>
    <x v="0"/>
    <x v="0"/>
    <s v="Storage"/>
    <s v="Product_124"/>
    <s v="Neha"/>
    <x v="1"/>
    <s v="Cash"/>
    <x v="2"/>
    <n v="5"/>
    <n v="5358"/>
    <n v="15"/>
    <n v="22771.5"/>
    <n v="1965.06"/>
  </r>
  <r>
    <s v="ORD00607"/>
    <x v="453"/>
    <x v="450"/>
    <x v="3"/>
    <s v="India"/>
    <s v="Delhi"/>
    <s v="Chennai"/>
    <s v="CUST5992"/>
    <x v="1"/>
    <x v="1"/>
    <s v="Table"/>
    <s v="Product_179"/>
    <s v="Priya"/>
    <x v="1"/>
    <s v="Credit Card"/>
    <x v="0"/>
    <n v="2"/>
    <n v="20406"/>
    <n v="10"/>
    <n v="36730.800000000003"/>
    <n v="5338.53"/>
  </r>
  <r>
    <s v="ORD00608"/>
    <x v="390"/>
    <x v="451"/>
    <x v="3"/>
    <s v="India"/>
    <s v="Delhi"/>
    <s v="Ahmedabad"/>
    <s v="CUST3841"/>
    <x v="0"/>
    <x v="0"/>
    <s v="Table"/>
    <s v="Product_82"/>
    <s v="Neha"/>
    <x v="1"/>
    <s v="Cash"/>
    <x v="3"/>
    <n v="2"/>
    <n v="26012"/>
    <n v="10"/>
    <n v="46821.599999999999"/>
    <n v="5240.54"/>
  </r>
  <r>
    <s v="ORD00609"/>
    <x v="454"/>
    <x v="406"/>
    <x v="1"/>
    <s v="India"/>
    <s v="Tamil Nadu"/>
    <s v="Delhi"/>
    <s v="CUST3031"/>
    <x v="2"/>
    <x v="2"/>
    <s v="Mobile"/>
    <s v="Product_35"/>
    <s v="Rahul"/>
    <x v="0"/>
    <s v="Credit Card"/>
    <x v="1"/>
    <n v="6"/>
    <n v="7755"/>
    <n v="5"/>
    <n v="44203.5"/>
    <n v="2357.13"/>
  </r>
  <r>
    <s v="ORD00610"/>
    <x v="381"/>
    <x v="452"/>
    <x v="1"/>
    <s v="India"/>
    <s v="Gujarat"/>
    <s v="Ahmedabad"/>
    <s v="CUST5357"/>
    <x v="0"/>
    <x v="2"/>
    <s v="Table"/>
    <s v="Product_82"/>
    <s v="Karan"/>
    <x v="0"/>
    <s v="Credit Card"/>
    <x v="2"/>
    <n v="2"/>
    <n v="2743"/>
    <n v="10"/>
    <n v="4937.3999999999996"/>
    <n v="881.76"/>
  </r>
  <r>
    <s v="ORD00611"/>
    <x v="92"/>
    <x v="453"/>
    <x v="0"/>
    <s v="India"/>
    <s v="Delhi"/>
    <s v="Mumbai"/>
    <s v="CUST9428"/>
    <x v="2"/>
    <x v="1"/>
    <s v="Table"/>
    <s v="Product_172"/>
    <s v="Rahul"/>
    <x v="1"/>
    <s v="Cash"/>
    <x v="0"/>
    <n v="10"/>
    <n v="3494"/>
    <n v="20"/>
    <n v="27952"/>
    <n v="2441.09"/>
  </r>
  <r>
    <s v="ORD00612"/>
    <x v="455"/>
    <x v="454"/>
    <x v="2"/>
    <s v="India"/>
    <s v="Maharashtra"/>
    <s v="Delhi"/>
    <s v="CUST2785"/>
    <x v="0"/>
    <x v="1"/>
    <s v="Table"/>
    <s v="Product_49"/>
    <s v="Priya"/>
    <x v="0"/>
    <s v="Cash"/>
    <x v="3"/>
    <n v="1"/>
    <n v="20748"/>
    <n v="10"/>
    <n v="18673.2"/>
    <n v="1224.6400000000001"/>
  </r>
  <r>
    <s v="ORD00613"/>
    <x v="456"/>
    <x v="455"/>
    <x v="2"/>
    <s v="India"/>
    <s v="Karnataka"/>
    <s v="Chennai"/>
    <s v="CUST1801"/>
    <x v="1"/>
    <x v="2"/>
    <s v="Chair"/>
    <s v="Product_185"/>
    <s v="Sneha"/>
    <x v="1"/>
    <s v="Debit Card"/>
    <x v="2"/>
    <n v="2"/>
    <n v="38964"/>
    <n v="0"/>
    <n v="77928"/>
    <n v="16977.2"/>
  </r>
  <r>
    <s v="ORD00614"/>
    <x v="360"/>
    <x v="456"/>
    <x v="2"/>
    <s v="India"/>
    <s v="Delhi"/>
    <s v="Delhi"/>
    <s v="CUST6515"/>
    <x v="1"/>
    <x v="1"/>
    <s v="Printer"/>
    <s v="Product_1"/>
    <s v="Karan"/>
    <x v="1"/>
    <s v="Debit Card"/>
    <x v="1"/>
    <n v="7"/>
    <n v="45909"/>
    <n v="15"/>
    <n v="273158.55"/>
    <n v="40042.47"/>
  </r>
  <r>
    <s v="ORD00615"/>
    <x v="132"/>
    <x v="126"/>
    <x v="1"/>
    <s v="India"/>
    <s v="Delhi"/>
    <s v="Bangalore"/>
    <s v="CUST6163"/>
    <x v="0"/>
    <x v="1"/>
    <s v="Chair"/>
    <s v="Product_139"/>
    <s v="Rahul"/>
    <x v="1"/>
    <s v="Debit Card"/>
    <x v="2"/>
    <n v="8"/>
    <n v="21910"/>
    <n v="5"/>
    <n v="166516"/>
    <n v="10699.32"/>
  </r>
  <r>
    <s v="ORD00616"/>
    <x v="25"/>
    <x v="457"/>
    <x v="0"/>
    <s v="India"/>
    <s v="Tamil Nadu"/>
    <s v="Mumbai"/>
    <s v="CUST3381"/>
    <x v="0"/>
    <x v="2"/>
    <s v="Storage"/>
    <s v="Product_2"/>
    <s v="Sneha"/>
    <x v="0"/>
    <s v="Cash"/>
    <x v="2"/>
    <n v="1"/>
    <n v="36661"/>
    <n v="20"/>
    <n v="29328.799999999999"/>
    <n v="-4139.54"/>
  </r>
  <r>
    <s v="ORD00617"/>
    <x v="457"/>
    <x v="458"/>
    <x v="0"/>
    <s v="India"/>
    <s v="Tamil Nadu"/>
    <s v="Bangalore"/>
    <s v="CUST1445"/>
    <x v="1"/>
    <x v="2"/>
    <s v="Laptop"/>
    <s v="Product_66"/>
    <s v="Sneha"/>
    <x v="0"/>
    <s v="Credit Card"/>
    <x v="0"/>
    <n v="9"/>
    <n v="33679"/>
    <n v="5"/>
    <n v="287955.45"/>
    <n v="25278.35"/>
  </r>
  <r>
    <s v="ORD00618"/>
    <x v="458"/>
    <x v="414"/>
    <x v="1"/>
    <s v="India"/>
    <s v="Tamil Nadu"/>
    <s v="Bangalore"/>
    <s v="CUST8213"/>
    <x v="2"/>
    <x v="0"/>
    <s v="Laptop"/>
    <s v="Product_25"/>
    <s v="Karan"/>
    <x v="1"/>
    <s v="Net Banking"/>
    <x v="1"/>
    <n v="7"/>
    <n v="47410"/>
    <n v="0"/>
    <n v="331870"/>
    <n v="33571.07"/>
  </r>
  <r>
    <s v="ORD00619"/>
    <x v="43"/>
    <x v="459"/>
    <x v="1"/>
    <s v="India"/>
    <s v="Maharashtra"/>
    <s v="Delhi"/>
    <s v="CUST3596"/>
    <x v="0"/>
    <x v="1"/>
    <s v="Storage"/>
    <s v="Product_59"/>
    <s v="Sneha"/>
    <x v="0"/>
    <s v="Credit Card"/>
    <x v="3"/>
    <n v="3"/>
    <n v="27879"/>
    <n v="0"/>
    <n v="83637"/>
    <n v="23635.07"/>
  </r>
  <r>
    <s v="ORD00620"/>
    <x v="459"/>
    <x v="460"/>
    <x v="3"/>
    <s v="India"/>
    <s v="Maharashtra"/>
    <s v="Chennai"/>
    <s v="CUST3445"/>
    <x v="0"/>
    <x v="0"/>
    <s v="Printer"/>
    <s v="Product_200"/>
    <s v="Priya"/>
    <x v="1"/>
    <s v="Net Banking"/>
    <x v="0"/>
    <n v="6"/>
    <n v="33596"/>
    <n v="10"/>
    <n v="181418.4"/>
    <n v="26148.98"/>
  </r>
  <r>
    <s v="ORD00621"/>
    <x v="460"/>
    <x v="127"/>
    <x v="3"/>
    <s v="India"/>
    <s v="Delhi"/>
    <s v="Ahmedabad"/>
    <s v="CUST3161"/>
    <x v="0"/>
    <x v="2"/>
    <s v="Table"/>
    <s v="Product_87"/>
    <s v="Priya"/>
    <x v="1"/>
    <s v="Cash"/>
    <x v="3"/>
    <n v="1"/>
    <n v="30341"/>
    <n v="10"/>
    <n v="27306.9"/>
    <n v="4303.97"/>
  </r>
  <r>
    <s v="ORD00622"/>
    <x v="351"/>
    <x v="461"/>
    <x v="1"/>
    <s v="India"/>
    <s v="Maharashtra"/>
    <s v="Ahmedabad"/>
    <s v="CUST9359"/>
    <x v="1"/>
    <x v="0"/>
    <s v="Storage"/>
    <s v="Product_183"/>
    <s v="Rahul"/>
    <x v="1"/>
    <s v="Net Banking"/>
    <x v="1"/>
    <n v="8"/>
    <n v="38374"/>
    <n v="20"/>
    <n v="245593.60000000001"/>
    <n v="664.05"/>
  </r>
  <r>
    <s v="ORD00623"/>
    <x v="461"/>
    <x v="305"/>
    <x v="2"/>
    <s v="India"/>
    <s v="Tamil Nadu"/>
    <s v="Delhi"/>
    <s v="CUST4626"/>
    <x v="2"/>
    <x v="2"/>
    <s v="Printer"/>
    <s v="Product_98"/>
    <s v="Priya"/>
    <x v="0"/>
    <s v="Debit Card"/>
    <x v="2"/>
    <n v="8"/>
    <n v="30127"/>
    <n v="0"/>
    <n v="241016"/>
    <n v="55054.17"/>
  </r>
  <r>
    <s v="ORD00624"/>
    <x v="161"/>
    <x v="462"/>
    <x v="2"/>
    <s v="India"/>
    <s v="Gujarat"/>
    <s v="Chennai"/>
    <s v="CUST4102"/>
    <x v="1"/>
    <x v="1"/>
    <s v="Laptop"/>
    <s v="Product_153"/>
    <s v="Rahul"/>
    <x v="1"/>
    <s v="Cash"/>
    <x v="0"/>
    <n v="10"/>
    <n v="30315"/>
    <n v="0"/>
    <n v="303150"/>
    <n v="18803.72"/>
  </r>
  <r>
    <s v="ORD00625"/>
    <x v="462"/>
    <x v="145"/>
    <x v="1"/>
    <s v="India"/>
    <s v="Karnataka"/>
    <s v="Mumbai"/>
    <s v="CUST7620"/>
    <x v="0"/>
    <x v="2"/>
    <s v="Laptop"/>
    <s v="Product_194"/>
    <s v="Karan"/>
    <x v="1"/>
    <s v="UPI"/>
    <x v="0"/>
    <n v="1"/>
    <n v="28398"/>
    <n v="20"/>
    <n v="22718.400000000001"/>
    <n v="-283.22000000000003"/>
  </r>
  <r>
    <s v="ORD00626"/>
    <x v="463"/>
    <x v="293"/>
    <x v="3"/>
    <s v="India"/>
    <s v="Tamil Nadu"/>
    <s v="Chennai"/>
    <s v="CUST2189"/>
    <x v="1"/>
    <x v="1"/>
    <s v="Table"/>
    <s v="Product_39"/>
    <s v="Sneha"/>
    <x v="0"/>
    <s v="Credit Card"/>
    <x v="0"/>
    <n v="5"/>
    <n v="6950"/>
    <n v="20"/>
    <n v="27800"/>
    <n v="-1580.09"/>
  </r>
  <r>
    <s v="ORD00627"/>
    <x v="464"/>
    <x v="463"/>
    <x v="3"/>
    <s v="India"/>
    <s v="Maharashtra"/>
    <s v="Bangalore"/>
    <s v="CUST3541"/>
    <x v="2"/>
    <x v="1"/>
    <s v="Chair"/>
    <s v="Product_146"/>
    <s v="Karan"/>
    <x v="0"/>
    <s v="Debit Card"/>
    <x v="3"/>
    <n v="8"/>
    <n v="46363"/>
    <n v="0"/>
    <n v="370904"/>
    <n v="31320.34"/>
  </r>
  <r>
    <s v="ORD00628"/>
    <x v="309"/>
    <x v="311"/>
    <x v="2"/>
    <s v="India"/>
    <s v="Maharashtra"/>
    <s v="Chennai"/>
    <s v="CUST9350"/>
    <x v="1"/>
    <x v="2"/>
    <s v="Storage"/>
    <s v="Product_50"/>
    <s v="Priya"/>
    <x v="1"/>
    <s v="Credit Card"/>
    <x v="0"/>
    <n v="9"/>
    <n v="22862"/>
    <n v="20"/>
    <n v="164606.39999999999"/>
    <n v="520.12"/>
  </r>
  <r>
    <s v="ORD00629"/>
    <x v="440"/>
    <x v="464"/>
    <x v="1"/>
    <s v="India"/>
    <s v="Tamil Nadu"/>
    <s v="Ahmedabad"/>
    <s v="CUST2152"/>
    <x v="1"/>
    <x v="2"/>
    <s v="Mobile"/>
    <s v="Product_146"/>
    <s v="Priya"/>
    <x v="1"/>
    <s v="Credit Card"/>
    <x v="0"/>
    <n v="6"/>
    <n v="33279"/>
    <n v="5"/>
    <n v="189690.3"/>
    <n v="14194.02"/>
  </r>
  <r>
    <s v="ORD00630"/>
    <x v="333"/>
    <x v="465"/>
    <x v="0"/>
    <s v="India"/>
    <s v="Maharashtra"/>
    <s v="Ahmedabad"/>
    <s v="CUST1021"/>
    <x v="0"/>
    <x v="1"/>
    <s v="Laptop"/>
    <s v="Product_149"/>
    <s v="Priya"/>
    <x v="0"/>
    <s v="Cash"/>
    <x v="0"/>
    <n v="8"/>
    <n v="35713"/>
    <n v="0"/>
    <n v="285704"/>
    <n v="20107.93"/>
  </r>
  <r>
    <s v="ORD00631"/>
    <x v="465"/>
    <x v="466"/>
    <x v="2"/>
    <s v="India"/>
    <s v="Gujarat"/>
    <s v="Mumbai"/>
    <s v="CUST9328"/>
    <x v="2"/>
    <x v="0"/>
    <s v="Mobile"/>
    <s v="Product_112"/>
    <s v="Priya"/>
    <x v="1"/>
    <s v="Debit Card"/>
    <x v="3"/>
    <n v="5"/>
    <n v="21941"/>
    <n v="20"/>
    <n v="87764"/>
    <n v="-15390.4"/>
  </r>
  <r>
    <s v="ORD00632"/>
    <x v="466"/>
    <x v="356"/>
    <x v="0"/>
    <s v="India"/>
    <s v="Tamil Nadu"/>
    <s v="Mumbai"/>
    <s v="CUST4394"/>
    <x v="0"/>
    <x v="2"/>
    <s v="Printer"/>
    <s v="Product_35"/>
    <s v="Neha"/>
    <x v="0"/>
    <s v="Debit Card"/>
    <x v="0"/>
    <n v="4"/>
    <n v="32828"/>
    <n v="20"/>
    <n v="105049.60000000001"/>
    <n v="7440.49"/>
  </r>
  <r>
    <s v="ORD00633"/>
    <x v="467"/>
    <x v="467"/>
    <x v="2"/>
    <s v="India"/>
    <s v="Maharashtra"/>
    <s v="Ahmedabad"/>
    <s v="CUST4044"/>
    <x v="1"/>
    <x v="1"/>
    <s v="Chair"/>
    <s v="Product_90"/>
    <s v="Sneha"/>
    <x v="0"/>
    <s v="Cash"/>
    <x v="3"/>
    <n v="4"/>
    <n v="18592"/>
    <n v="15"/>
    <n v="63212.800000000003"/>
    <n v="-565.88"/>
  </r>
  <r>
    <s v="ORD00634"/>
    <x v="468"/>
    <x v="468"/>
    <x v="3"/>
    <s v="India"/>
    <s v="Karnataka"/>
    <s v="Mumbai"/>
    <s v="CUST3039"/>
    <x v="0"/>
    <x v="2"/>
    <s v="Laptop"/>
    <s v="Product_192"/>
    <s v="Rahul"/>
    <x v="1"/>
    <s v="UPI"/>
    <x v="3"/>
    <n v="7"/>
    <n v="21394"/>
    <n v="20"/>
    <n v="119806.39999999999"/>
    <n v="297.64999999999998"/>
  </r>
  <r>
    <s v="ORD00635"/>
    <x v="469"/>
    <x v="113"/>
    <x v="2"/>
    <s v="India"/>
    <s v="Karnataka"/>
    <s v="Chennai"/>
    <s v="CUST7435"/>
    <x v="1"/>
    <x v="2"/>
    <s v="Printer"/>
    <s v="Product_143"/>
    <s v="Sneha"/>
    <x v="1"/>
    <s v="Debit Card"/>
    <x v="0"/>
    <n v="8"/>
    <n v="6374"/>
    <n v="0"/>
    <n v="50992"/>
    <n v="14409.48"/>
  </r>
  <r>
    <s v="ORD00636"/>
    <x v="259"/>
    <x v="469"/>
    <x v="2"/>
    <s v="India"/>
    <s v="Tamil Nadu"/>
    <s v="Chennai"/>
    <s v="CUST4378"/>
    <x v="2"/>
    <x v="2"/>
    <s v="Table"/>
    <s v="Product_6"/>
    <s v="Priya"/>
    <x v="1"/>
    <s v="Credit Card"/>
    <x v="3"/>
    <n v="7"/>
    <n v="45064"/>
    <n v="0"/>
    <n v="315448"/>
    <n v="58889.93"/>
  </r>
  <r>
    <s v="ORD00637"/>
    <x v="418"/>
    <x v="470"/>
    <x v="0"/>
    <s v="India"/>
    <s v="Karnataka"/>
    <s v="Chennai"/>
    <s v="CUST7796"/>
    <x v="0"/>
    <x v="2"/>
    <s v="Printer"/>
    <s v="Product_136"/>
    <s v="Neha"/>
    <x v="0"/>
    <s v="UPI"/>
    <x v="3"/>
    <n v="5"/>
    <n v="15869"/>
    <n v="0"/>
    <n v="79345"/>
    <n v="17520.849999999999"/>
  </r>
  <r>
    <s v="ORD00638"/>
    <x v="470"/>
    <x v="471"/>
    <x v="0"/>
    <s v="India"/>
    <s v="Delhi"/>
    <s v="Ahmedabad"/>
    <s v="CUST5760"/>
    <x v="2"/>
    <x v="1"/>
    <s v="Printer"/>
    <s v="Product_32"/>
    <s v="Sneha"/>
    <x v="1"/>
    <s v="UPI"/>
    <x v="0"/>
    <n v="8"/>
    <n v="44731"/>
    <n v="20"/>
    <n v="286278.40000000002"/>
    <n v="-18116.39"/>
  </r>
  <r>
    <s v="ORD00639"/>
    <x v="471"/>
    <x v="472"/>
    <x v="2"/>
    <s v="India"/>
    <s v="Tamil Nadu"/>
    <s v="Ahmedabad"/>
    <s v="CUST9614"/>
    <x v="1"/>
    <x v="1"/>
    <s v="Printer"/>
    <s v="Product_155"/>
    <s v="Rahul"/>
    <x v="0"/>
    <s v="Cash"/>
    <x v="3"/>
    <n v="2"/>
    <n v="1138"/>
    <n v="20"/>
    <n v="1820.8"/>
    <n v="132.08000000000001"/>
  </r>
  <r>
    <s v="ORD00640"/>
    <x v="281"/>
    <x v="276"/>
    <x v="2"/>
    <s v="India"/>
    <s v="Karnataka"/>
    <s v="Bangalore"/>
    <s v="CUST1401"/>
    <x v="0"/>
    <x v="2"/>
    <s v="Mobile"/>
    <s v="Product_64"/>
    <s v="Sneha"/>
    <x v="1"/>
    <s v="Credit Card"/>
    <x v="0"/>
    <n v="8"/>
    <n v="15502"/>
    <n v="5"/>
    <n v="117815.2"/>
    <n v="16936.47"/>
  </r>
  <r>
    <s v="ORD00641"/>
    <x v="472"/>
    <x v="473"/>
    <x v="2"/>
    <s v="India"/>
    <s v="Maharashtra"/>
    <s v="Chennai"/>
    <s v="CUST8757"/>
    <x v="0"/>
    <x v="1"/>
    <s v="Storage"/>
    <s v="Product_114"/>
    <s v="Priya"/>
    <x v="1"/>
    <s v="Credit Card"/>
    <x v="3"/>
    <n v="6"/>
    <n v="44471"/>
    <n v="5"/>
    <n v="253484.7"/>
    <n v="16396.14"/>
  </r>
  <r>
    <s v="ORD00642"/>
    <x v="473"/>
    <x v="261"/>
    <x v="3"/>
    <s v="India"/>
    <s v="Gujarat"/>
    <s v="Ahmedabad"/>
    <s v="CUST9481"/>
    <x v="1"/>
    <x v="2"/>
    <s v="Laptop"/>
    <s v="Product_68"/>
    <s v="Neha"/>
    <x v="0"/>
    <s v="UPI"/>
    <x v="0"/>
    <n v="6"/>
    <n v="10767"/>
    <n v="15"/>
    <n v="54911.7"/>
    <n v="4485.43"/>
  </r>
  <r>
    <s v="ORD00643"/>
    <x v="474"/>
    <x v="474"/>
    <x v="2"/>
    <s v="India"/>
    <s v="Maharashtra"/>
    <s v="Delhi"/>
    <s v="CUST6657"/>
    <x v="1"/>
    <x v="1"/>
    <s v="Mobile"/>
    <s v="Product_27"/>
    <s v="Priya"/>
    <x v="1"/>
    <s v="UPI"/>
    <x v="0"/>
    <n v="6"/>
    <n v="28920"/>
    <n v="20"/>
    <n v="138816"/>
    <n v="13190.83"/>
  </r>
  <r>
    <s v="ORD00644"/>
    <x v="475"/>
    <x v="249"/>
    <x v="2"/>
    <s v="India"/>
    <s v="Tamil Nadu"/>
    <s v="Delhi"/>
    <s v="CUST9478"/>
    <x v="0"/>
    <x v="0"/>
    <s v="Table"/>
    <s v="Product_102"/>
    <s v="Sneha"/>
    <x v="1"/>
    <s v="Net Banking"/>
    <x v="2"/>
    <n v="2"/>
    <n v="13656"/>
    <n v="5"/>
    <n v="25946.400000000001"/>
    <n v="538"/>
  </r>
  <r>
    <s v="ORD00645"/>
    <x v="476"/>
    <x v="475"/>
    <x v="3"/>
    <s v="India"/>
    <s v="Karnataka"/>
    <s v="Chennai"/>
    <s v="CUST9838"/>
    <x v="1"/>
    <x v="1"/>
    <s v="Printer"/>
    <s v="Product_91"/>
    <s v="Neha"/>
    <x v="0"/>
    <s v="Debit Card"/>
    <x v="1"/>
    <n v="8"/>
    <n v="42273"/>
    <n v="15"/>
    <n v="287456.40000000002"/>
    <n v="16297.29"/>
  </r>
  <r>
    <s v="ORD00646"/>
    <x v="477"/>
    <x v="56"/>
    <x v="3"/>
    <s v="India"/>
    <s v="Delhi"/>
    <s v="Delhi"/>
    <s v="CUST3447"/>
    <x v="0"/>
    <x v="1"/>
    <s v="Laptop"/>
    <s v="Product_132"/>
    <s v="Sneha"/>
    <x v="0"/>
    <s v="UPI"/>
    <x v="1"/>
    <n v="1"/>
    <n v="15882"/>
    <n v="20"/>
    <n v="12705.6"/>
    <n v="221.13"/>
  </r>
  <r>
    <s v="ORD00647"/>
    <x v="478"/>
    <x v="341"/>
    <x v="0"/>
    <s v="India"/>
    <s v="Maharashtra"/>
    <s v="Chennai"/>
    <s v="CUST7145"/>
    <x v="0"/>
    <x v="2"/>
    <s v="Printer"/>
    <s v="Product_15"/>
    <s v="Sneha"/>
    <x v="1"/>
    <s v="Net Banking"/>
    <x v="2"/>
    <n v="7"/>
    <n v="15210"/>
    <n v="5"/>
    <n v="101146.5"/>
    <n v="22366.47"/>
  </r>
  <r>
    <s v="ORD00648"/>
    <x v="479"/>
    <x v="110"/>
    <x v="1"/>
    <s v="India"/>
    <s v="Tamil Nadu"/>
    <s v="Chennai"/>
    <s v="CUST1277"/>
    <x v="1"/>
    <x v="1"/>
    <s v="Mobile"/>
    <s v="Product_165"/>
    <s v="Amit"/>
    <x v="1"/>
    <s v="UPI"/>
    <x v="1"/>
    <n v="9"/>
    <n v="47515"/>
    <n v="0"/>
    <n v="427635"/>
    <n v="81219.520000000004"/>
  </r>
  <r>
    <s v="ORD00649"/>
    <x v="310"/>
    <x v="476"/>
    <x v="3"/>
    <s v="India"/>
    <s v="Maharashtra"/>
    <s v="Chennai"/>
    <s v="CUST4574"/>
    <x v="0"/>
    <x v="2"/>
    <s v="Table"/>
    <s v="Product_91"/>
    <s v="Sneha"/>
    <x v="0"/>
    <s v="Cash"/>
    <x v="0"/>
    <n v="9"/>
    <n v="5077"/>
    <n v="10"/>
    <n v="41123.699999999997"/>
    <n v="6014.47"/>
  </r>
  <r>
    <s v="ORD00650"/>
    <x v="287"/>
    <x v="381"/>
    <x v="1"/>
    <s v="India"/>
    <s v="Gujarat"/>
    <s v="Mumbai"/>
    <s v="CUST4150"/>
    <x v="2"/>
    <x v="0"/>
    <s v="Mobile"/>
    <s v="Product_19"/>
    <s v="Amit"/>
    <x v="1"/>
    <s v="Cash"/>
    <x v="0"/>
    <n v="1"/>
    <n v="34979"/>
    <n v="20"/>
    <n v="27983.200000000001"/>
    <n v="2086.66"/>
  </r>
  <r>
    <s v="ORD00651"/>
    <x v="480"/>
    <x v="449"/>
    <x v="0"/>
    <s v="India"/>
    <s v="Gujarat"/>
    <s v="Bangalore"/>
    <s v="CUST2458"/>
    <x v="2"/>
    <x v="0"/>
    <s v="Table"/>
    <s v="Product_79"/>
    <s v="Amit"/>
    <x v="0"/>
    <s v="Debit Card"/>
    <x v="2"/>
    <n v="6"/>
    <n v="27924"/>
    <n v="10"/>
    <n v="150789.6"/>
    <n v="30996.5"/>
  </r>
  <r>
    <s v="ORD00652"/>
    <x v="99"/>
    <x v="477"/>
    <x v="0"/>
    <s v="India"/>
    <s v="Delhi"/>
    <s v="Delhi"/>
    <s v="CUST4321"/>
    <x v="2"/>
    <x v="0"/>
    <s v="Mobile"/>
    <s v="Product_156"/>
    <s v="Amit"/>
    <x v="1"/>
    <s v="UPI"/>
    <x v="1"/>
    <n v="9"/>
    <n v="19954"/>
    <n v="20"/>
    <n v="143668.79999999999"/>
    <n v="-19971.330000000002"/>
  </r>
  <r>
    <s v="ORD00653"/>
    <x v="121"/>
    <x v="478"/>
    <x v="3"/>
    <s v="India"/>
    <s v="Maharashtra"/>
    <s v="Delhi"/>
    <s v="CUST7475"/>
    <x v="1"/>
    <x v="0"/>
    <s v="Printer"/>
    <s v="Product_67"/>
    <s v="Neha"/>
    <x v="0"/>
    <s v="Debit Card"/>
    <x v="3"/>
    <n v="3"/>
    <n v="25390"/>
    <n v="20"/>
    <n v="60936"/>
    <n v="-1422.36"/>
  </r>
  <r>
    <s v="ORD00654"/>
    <x v="320"/>
    <x v="424"/>
    <x v="2"/>
    <s v="India"/>
    <s v="Maharashtra"/>
    <s v="Delhi"/>
    <s v="CUST7014"/>
    <x v="0"/>
    <x v="1"/>
    <s v="Table"/>
    <s v="Product_170"/>
    <s v="Rahul"/>
    <x v="0"/>
    <s v="Net Banking"/>
    <x v="1"/>
    <n v="4"/>
    <n v="618"/>
    <n v="0"/>
    <n v="2472"/>
    <n v="356.28"/>
  </r>
  <r>
    <s v="ORD00655"/>
    <x v="37"/>
    <x v="360"/>
    <x v="1"/>
    <s v="India"/>
    <s v="Karnataka"/>
    <s v="Ahmedabad"/>
    <s v="CUST9266"/>
    <x v="2"/>
    <x v="1"/>
    <s v="Table"/>
    <s v="Product_6"/>
    <s v="Priya"/>
    <x v="0"/>
    <s v="Credit Card"/>
    <x v="1"/>
    <n v="6"/>
    <n v="1816"/>
    <n v="5"/>
    <n v="10351.200000000001"/>
    <n v="824.12"/>
  </r>
  <r>
    <s v="ORD00656"/>
    <x v="481"/>
    <x v="479"/>
    <x v="1"/>
    <s v="India"/>
    <s v="Delhi"/>
    <s v="Chennai"/>
    <s v="CUST8542"/>
    <x v="0"/>
    <x v="0"/>
    <s v="Laptop"/>
    <s v="Product_162"/>
    <s v="Neha"/>
    <x v="0"/>
    <s v="Cash"/>
    <x v="0"/>
    <n v="8"/>
    <n v="36595"/>
    <n v="20"/>
    <n v="234208"/>
    <n v="9870.6200000000008"/>
  </r>
  <r>
    <s v="ORD00657"/>
    <x v="244"/>
    <x v="449"/>
    <x v="0"/>
    <s v="India"/>
    <s v="Maharashtra"/>
    <s v="Chennai"/>
    <s v="CUST2634"/>
    <x v="1"/>
    <x v="1"/>
    <s v="Table"/>
    <s v="Product_83"/>
    <s v="Rahul"/>
    <x v="1"/>
    <s v="Cash"/>
    <x v="3"/>
    <n v="6"/>
    <n v="41704"/>
    <n v="0"/>
    <n v="250224"/>
    <n v="58587.28"/>
  </r>
  <r>
    <s v="ORD00658"/>
    <x v="482"/>
    <x v="257"/>
    <x v="3"/>
    <s v="India"/>
    <s v="Delhi"/>
    <s v="Ahmedabad"/>
    <s v="CUST1152"/>
    <x v="0"/>
    <x v="0"/>
    <s v="Laptop"/>
    <s v="Product_7"/>
    <s v="Rahul"/>
    <x v="1"/>
    <s v="Cash"/>
    <x v="2"/>
    <n v="1"/>
    <n v="21562"/>
    <n v="15"/>
    <n v="18327.7"/>
    <n v="-390.71"/>
  </r>
  <r>
    <s v="ORD00659"/>
    <x v="89"/>
    <x v="480"/>
    <x v="1"/>
    <s v="India"/>
    <s v="Karnataka"/>
    <s v="Bangalore"/>
    <s v="CUST9708"/>
    <x v="0"/>
    <x v="0"/>
    <s v="Laptop"/>
    <s v="Product_182"/>
    <s v="Karan"/>
    <x v="0"/>
    <s v="Credit Card"/>
    <x v="2"/>
    <n v="3"/>
    <n v="20457"/>
    <n v="15"/>
    <n v="52165.35"/>
    <n v="-2831.8"/>
  </r>
  <r>
    <s v="ORD00660"/>
    <x v="483"/>
    <x v="449"/>
    <x v="0"/>
    <s v="India"/>
    <s v="Karnataka"/>
    <s v="Chennai"/>
    <s v="CUST1082"/>
    <x v="1"/>
    <x v="0"/>
    <s v="Laptop"/>
    <s v="Product_146"/>
    <s v="Amit"/>
    <x v="0"/>
    <s v="UPI"/>
    <x v="1"/>
    <n v="4"/>
    <n v="41523"/>
    <n v="5"/>
    <n v="157787.4"/>
    <n v="14576.31"/>
  </r>
  <r>
    <s v="ORD00661"/>
    <x v="484"/>
    <x v="481"/>
    <x v="2"/>
    <s v="India"/>
    <s v="Karnataka"/>
    <s v="Delhi"/>
    <s v="CUST7882"/>
    <x v="0"/>
    <x v="1"/>
    <s v="Laptop"/>
    <s v="Product_163"/>
    <s v="Neha"/>
    <x v="0"/>
    <s v="Credit Card"/>
    <x v="3"/>
    <n v="8"/>
    <n v="26569"/>
    <n v="0"/>
    <n v="212552"/>
    <n v="33060.35"/>
  </r>
  <r>
    <s v="ORD00662"/>
    <x v="244"/>
    <x v="238"/>
    <x v="0"/>
    <s v="India"/>
    <s v="Maharashtra"/>
    <s v="Ahmedabad"/>
    <s v="CUST6855"/>
    <x v="0"/>
    <x v="1"/>
    <s v="Storage"/>
    <s v="Product_28"/>
    <s v="Rahul"/>
    <x v="0"/>
    <s v="Cash"/>
    <x v="1"/>
    <n v="4"/>
    <n v="28151"/>
    <n v="0"/>
    <n v="112604"/>
    <n v="7622.14"/>
  </r>
  <r>
    <s v="ORD00663"/>
    <x v="403"/>
    <x v="295"/>
    <x v="1"/>
    <s v="India"/>
    <s v="Karnataka"/>
    <s v="Mumbai"/>
    <s v="CUST8191"/>
    <x v="2"/>
    <x v="0"/>
    <s v="Storage"/>
    <s v="Product_10"/>
    <s v="Neha"/>
    <x v="0"/>
    <s v="UPI"/>
    <x v="1"/>
    <n v="8"/>
    <n v="46931"/>
    <n v="10"/>
    <n v="337903.2"/>
    <n v="44012.42"/>
  </r>
  <r>
    <s v="ORD00664"/>
    <x v="365"/>
    <x v="285"/>
    <x v="0"/>
    <s v="India"/>
    <s v="Delhi"/>
    <s v="Delhi"/>
    <s v="CUST3900"/>
    <x v="0"/>
    <x v="2"/>
    <s v="Mobile"/>
    <s v="Product_24"/>
    <s v="Sneha"/>
    <x v="1"/>
    <s v="Debit Card"/>
    <x v="2"/>
    <n v="1"/>
    <n v="4162"/>
    <n v="10"/>
    <n v="3745.8"/>
    <n v="327.07"/>
  </r>
  <r>
    <s v="ORD00665"/>
    <x v="19"/>
    <x v="327"/>
    <x v="0"/>
    <s v="India"/>
    <s v="Gujarat"/>
    <s v="Mumbai"/>
    <s v="CUST5671"/>
    <x v="2"/>
    <x v="2"/>
    <s v="Printer"/>
    <s v="Product_172"/>
    <s v="Karan"/>
    <x v="1"/>
    <s v="Credit Card"/>
    <x v="1"/>
    <n v="7"/>
    <n v="36563"/>
    <n v="0"/>
    <n v="255941"/>
    <n v="74136.56"/>
  </r>
  <r>
    <s v="ORD00666"/>
    <x v="16"/>
    <x v="482"/>
    <x v="0"/>
    <s v="India"/>
    <s v="Karnataka"/>
    <s v="Ahmedabad"/>
    <s v="CUST5562"/>
    <x v="1"/>
    <x v="2"/>
    <s v="Chair"/>
    <s v="Product_199"/>
    <s v="Rahul"/>
    <x v="1"/>
    <s v="Cash"/>
    <x v="0"/>
    <n v="6"/>
    <n v="5971"/>
    <n v="10"/>
    <n v="32243.4"/>
    <n v="3017.32"/>
  </r>
  <r>
    <s v="ORD00667"/>
    <x v="485"/>
    <x v="483"/>
    <x v="2"/>
    <s v="India"/>
    <s v="Tamil Nadu"/>
    <s v="Bangalore"/>
    <s v="CUST9507"/>
    <x v="1"/>
    <x v="0"/>
    <s v="Storage"/>
    <s v="Product_63"/>
    <s v="Rahul"/>
    <x v="0"/>
    <s v="UPI"/>
    <x v="1"/>
    <n v="5"/>
    <n v="28923"/>
    <n v="5"/>
    <n v="137384.25"/>
    <n v="27891.18"/>
  </r>
  <r>
    <s v="ORD00668"/>
    <x v="486"/>
    <x v="484"/>
    <x v="1"/>
    <s v="India"/>
    <s v="Gujarat"/>
    <s v="Delhi"/>
    <s v="CUST5213"/>
    <x v="1"/>
    <x v="2"/>
    <s v="Printer"/>
    <s v="Product_97"/>
    <s v="Rahul"/>
    <x v="1"/>
    <s v="UPI"/>
    <x v="3"/>
    <n v="5"/>
    <n v="28596"/>
    <n v="15"/>
    <n v="121533"/>
    <n v="-3688.26"/>
  </r>
  <r>
    <s v="ORD00669"/>
    <x v="487"/>
    <x v="485"/>
    <x v="2"/>
    <s v="India"/>
    <s v="Maharashtra"/>
    <s v="Chennai"/>
    <s v="CUST7990"/>
    <x v="0"/>
    <x v="0"/>
    <s v="Laptop"/>
    <s v="Product_63"/>
    <s v="Neha"/>
    <x v="0"/>
    <s v="Debit Card"/>
    <x v="1"/>
    <n v="8"/>
    <n v="26560"/>
    <n v="15"/>
    <n v="180608"/>
    <n v="30465.72"/>
  </r>
  <r>
    <s v="ORD00670"/>
    <x v="488"/>
    <x v="486"/>
    <x v="3"/>
    <s v="India"/>
    <s v="Delhi"/>
    <s v="Bangalore"/>
    <s v="CUST4323"/>
    <x v="0"/>
    <x v="2"/>
    <s v="Storage"/>
    <s v="Product_101"/>
    <s v="Karan"/>
    <x v="0"/>
    <s v="UPI"/>
    <x v="3"/>
    <n v="9"/>
    <n v="47481"/>
    <n v="0"/>
    <n v="427329"/>
    <n v="78063.259999999995"/>
  </r>
  <r>
    <s v="ORD00671"/>
    <x v="289"/>
    <x v="286"/>
    <x v="0"/>
    <s v="India"/>
    <s v="Gujarat"/>
    <s v="Delhi"/>
    <s v="CUST4112"/>
    <x v="1"/>
    <x v="1"/>
    <s v="Printer"/>
    <s v="Product_182"/>
    <s v="Neha"/>
    <x v="0"/>
    <s v="Debit Card"/>
    <x v="2"/>
    <n v="1"/>
    <n v="16348"/>
    <n v="10"/>
    <n v="14713.2"/>
    <n v="2583.12"/>
  </r>
  <r>
    <s v="ORD00672"/>
    <x v="489"/>
    <x v="334"/>
    <x v="1"/>
    <s v="India"/>
    <s v="Gujarat"/>
    <s v="Delhi"/>
    <s v="CUST1195"/>
    <x v="2"/>
    <x v="2"/>
    <s v="Table"/>
    <s v="Product_35"/>
    <s v="Neha"/>
    <x v="0"/>
    <s v="Debit Card"/>
    <x v="2"/>
    <n v="8"/>
    <n v="31811"/>
    <n v="0"/>
    <n v="254488"/>
    <n v="34617.1"/>
  </r>
  <r>
    <s v="ORD00673"/>
    <x v="490"/>
    <x v="366"/>
    <x v="1"/>
    <s v="India"/>
    <s v="Tamil Nadu"/>
    <s v="Ahmedabad"/>
    <s v="CUST6460"/>
    <x v="1"/>
    <x v="2"/>
    <s v="Table"/>
    <s v="Product_28"/>
    <s v="Neha"/>
    <x v="1"/>
    <s v="Net Banking"/>
    <x v="2"/>
    <n v="3"/>
    <n v="1329"/>
    <n v="0"/>
    <n v="3987"/>
    <n v="750.08"/>
  </r>
  <r>
    <s v="ORD00674"/>
    <x v="491"/>
    <x v="487"/>
    <x v="1"/>
    <s v="India"/>
    <s v="Delhi"/>
    <s v="Bangalore"/>
    <s v="CUST4841"/>
    <x v="0"/>
    <x v="2"/>
    <s v="Storage"/>
    <s v="Product_114"/>
    <s v="Priya"/>
    <x v="0"/>
    <s v="Debit Card"/>
    <x v="2"/>
    <n v="10"/>
    <n v="10684"/>
    <n v="15"/>
    <n v="90814"/>
    <n v="-2186.1999999999998"/>
  </r>
  <r>
    <s v="ORD00675"/>
    <x v="492"/>
    <x v="424"/>
    <x v="2"/>
    <s v="India"/>
    <s v="Maharashtra"/>
    <s v="Mumbai"/>
    <s v="CUST7926"/>
    <x v="2"/>
    <x v="1"/>
    <s v="Storage"/>
    <s v="Product_136"/>
    <s v="Priya"/>
    <x v="1"/>
    <s v="Credit Card"/>
    <x v="2"/>
    <n v="1"/>
    <n v="24502"/>
    <n v="0"/>
    <n v="24502"/>
    <n v="5310.08"/>
  </r>
  <r>
    <s v="ORD00676"/>
    <x v="338"/>
    <x v="488"/>
    <x v="1"/>
    <s v="India"/>
    <s v="Maharashtra"/>
    <s v="Chennai"/>
    <s v="CUST9287"/>
    <x v="0"/>
    <x v="0"/>
    <s v="Printer"/>
    <s v="Product_36"/>
    <s v="Priya"/>
    <x v="0"/>
    <s v="Net Banking"/>
    <x v="0"/>
    <n v="3"/>
    <n v="46867"/>
    <n v="20"/>
    <n v="112480.8"/>
    <n v="-2941.46"/>
  </r>
  <r>
    <s v="ORD00677"/>
    <x v="493"/>
    <x v="465"/>
    <x v="3"/>
    <s v="India"/>
    <s v="Maharashtra"/>
    <s v="Bangalore"/>
    <s v="CUST6783"/>
    <x v="0"/>
    <x v="1"/>
    <s v="Mobile"/>
    <s v="Product_21"/>
    <s v="Karan"/>
    <x v="1"/>
    <s v="Cash"/>
    <x v="1"/>
    <n v="7"/>
    <n v="32635"/>
    <n v="15"/>
    <n v="194178.25"/>
    <n v="-13551.07"/>
  </r>
  <r>
    <s v="ORD00678"/>
    <x v="388"/>
    <x v="489"/>
    <x v="3"/>
    <s v="India"/>
    <s v="Delhi"/>
    <s v="Bangalore"/>
    <s v="CUST7601"/>
    <x v="1"/>
    <x v="2"/>
    <s v="Table"/>
    <s v="Product_106"/>
    <s v="Amit"/>
    <x v="1"/>
    <s v="Cash"/>
    <x v="1"/>
    <n v="2"/>
    <n v="6875"/>
    <n v="20"/>
    <n v="11000"/>
    <n v="651.88"/>
  </r>
  <r>
    <s v="ORD00679"/>
    <x v="494"/>
    <x v="251"/>
    <x v="0"/>
    <s v="India"/>
    <s v="Tamil Nadu"/>
    <s v="Bangalore"/>
    <s v="CUST4292"/>
    <x v="0"/>
    <x v="0"/>
    <s v="Printer"/>
    <s v="Product_126"/>
    <s v="Sneha"/>
    <x v="1"/>
    <s v="UPI"/>
    <x v="1"/>
    <n v="10"/>
    <n v="2986"/>
    <n v="15"/>
    <n v="25381"/>
    <n v="-1268.92"/>
  </r>
  <r>
    <s v="ORD00680"/>
    <x v="495"/>
    <x v="408"/>
    <x v="3"/>
    <s v="India"/>
    <s v="Maharashtra"/>
    <s v="Delhi"/>
    <s v="CUST9751"/>
    <x v="2"/>
    <x v="2"/>
    <s v="Table"/>
    <s v="Product_186"/>
    <s v="Neha"/>
    <x v="0"/>
    <s v="UPI"/>
    <x v="1"/>
    <n v="1"/>
    <n v="40004"/>
    <n v="15"/>
    <n v="34003.4"/>
    <n v="2084.75"/>
  </r>
  <r>
    <s v="ORD00681"/>
    <x v="496"/>
    <x v="490"/>
    <x v="1"/>
    <s v="India"/>
    <s v="Tamil Nadu"/>
    <s v="Ahmedabad"/>
    <s v="CUST1482"/>
    <x v="0"/>
    <x v="2"/>
    <s v="Table"/>
    <s v="Product_77"/>
    <s v="Neha"/>
    <x v="1"/>
    <s v="UPI"/>
    <x v="1"/>
    <n v="10"/>
    <n v="39198"/>
    <n v="0"/>
    <n v="391980"/>
    <n v="35568.76"/>
  </r>
  <r>
    <s v="ORD00682"/>
    <x v="490"/>
    <x v="443"/>
    <x v="3"/>
    <s v="India"/>
    <s v="Tamil Nadu"/>
    <s v="Bangalore"/>
    <s v="CUST6530"/>
    <x v="2"/>
    <x v="2"/>
    <s v="Storage"/>
    <s v="Product_169"/>
    <s v="Sneha"/>
    <x v="1"/>
    <s v="Debit Card"/>
    <x v="1"/>
    <n v="3"/>
    <n v="23848"/>
    <n v="20"/>
    <n v="57235.199999999997"/>
    <n v="-2032.1"/>
  </r>
  <r>
    <s v="ORD00683"/>
    <x v="301"/>
    <x v="491"/>
    <x v="3"/>
    <s v="India"/>
    <s v="Karnataka"/>
    <s v="Bangalore"/>
    <s v="CUST4073"/>
    <x v="0"/>
    <x v="0"/>
    <s v="Storage"/>
    <s v="Product_115"/>
    <s v="Rahul"/>
    <x v="0"/>
    <s v="Cash"/>
    <x v="1"/>
    <n v="9"/>
    <n v="28929"/>
    <n v="20"/>
    <n v="208288.8"/>
    <n v="5930.59"/>
  </r>
  <r>
    <s v="ORD00684"/>
    <x v="497"/>
    <x v="492"/>
    <x v="2"/>
    <s v="India"/>
    <s v="Karnataka"/>
    <s v="Chennai"/>
    <s v="CUST6294"/>
    <x v="0"/>
    <x v="1"/>
    <s v="Chair"/>
    <s v="Product_133"/>
    <s v="Amit"/>
    <x v="1"/>
    <s v="Credit Card"/>
    <x v="1"/>
    <n v="7"/>
    <n v="25184"/>
    <n v="0"/>
    <n v="176288"/>
    <n v="14780.51"/>
  </r>
  <r>
    <s v="ORD00685"/>
    <x v="498"/>
    <x v="29"/>
    <x v="0"/>
    <s v="India"/>
    <s v="Tamil Nadu"/>
    <s v="Chennai"/>
    <s v="CUST3905"/>
    <x v="1"/>
    <x v="2"/>
    <s v="Laptop"/>
    <s v="Product_103"/>
    <s v="Neha"/>
    <x v="1"/>
    <s v="Credit Card"/>
    <x v="1"/>
    <n v="2"/>
    <n v="29319"/>
    <n v="15"/>
    <n v="49842.3"/>
    <n v="6461.6"/>
  </r>
  <r>
    <s v="ORD00686"/>
    <x v="394"/>
    <x v="493"/>
    <x v="2"/>
    <s v="India"/>
    <s v="Maharashtra"/>
    <s v="Ahmedabad"/>
    <s v="CUST4835"/>
    <x v="2"/>
    <x v="0"/>
    <s v="Chair"/>
    <s v="Product_182"/>
    <s v="Priya"/>
    <x v="0"/>
    <s v="Debit Card"/>
    <x v="2"/>
    <n v="8"/>
    <n v="22229"/>
    <n v="20"/>
    <n v="142265.60000000001"/>
    <n v="-25283.4"/>
  </r>
  <r>
    <s v="ORD00687"/>
    <x v="499"/>
    <x v="494"/>
    <x v="1"/>
    <s v="India"/>
    <s v="Delhi"/>
    <s v="Delhi"/>
    <s v="CUST2101"/>
    <x v="1"/>
    <x v="1"/>
    <s v="Printer"/>
    <s v="Product_89"/>
    <s v="Karan"/>
    <x v="0"/>
    <s v="Cash"/>
    <x v="2"/>
    <n v="5"/>
    <n v="24533"/>
    <n v="5"/>
    <n v="116531.75"/>
    <n v="3740.26"/>
  </r>
  <r>
    <s v="ORD00688"/>
    <x v="500"/>
    <x v="495"/>
    <x v="2"/>
    <s v="India"/>
    <s v="Karnataka"/>
    <s v="Bangalore"/>
    <s v="CUST3107"/>
    <x v="1"/>
    <x v="1"/>
    <s v="Printer"/>
    <s v="Product_35"/>
    <s v="Sneha"/>
    <x v="1"/>
    <s v="Net Banking"/>
    <x v="2"/>
    <n v="6"/>
    <n v="5554"/>
    <n v="15"/>
    <n v="28325.4"/>
    <n v="1487.08"/>
  </r>
  <r>
    <s v="ORD00689"/>
    <x v="501"/>
    <x v="496"/>
    <x v="2"/>
    <s v="India"/>
    <s v="Maharashtra"/>
    <s v="Chennai"/>
    <s v="CUST6656"/>
    <x v="1"/>
    <x v="2"/>
    <s v="Mobile"/>
    <s v="Product_10"/>
    <s v="Neha"/>
    <x v="1"/>
    <s v="Net Banking"/>
    <x v="1"/>
    <n v="5"/>
    <n v="44931"/>
    <n v="5"/>
    <n v="213422.25"/>
    <n v="18425.150000000001"/>
  </r>
  <r>
    <s v="ORD00690"/>
    <x v="93"/>
    <x v="461"/>
    <x v="2"/>
    <s v="India"/>
    <s v="Tamil Nadu"/>
    <s v="Delhi"/>
    <s v="CUST9791"/>
    <x v="2"/>
    <x v="0"/>
    <s v="Printer"/>
    <s v="Product_149"/>
    <s v="Neha"/>
    <x v="0"/>
    <s v="Debit Card"/>
    <x v="2"/>
    <n v="1"/>
    <n v="24697"/>
    <n v="5"/>
    <n v="23462.15"/>
    <n v="30.38"/>
  </r>
  <r>
    <s v="ORD00691"/>
    <x v="502"/>
    <x v="497"/>
    <x v="1"/>
    <s v="India"/>
    <s v="Delhi"/>
    <s v="Delhi"/>
    <s v="CUST6055"/>
    <x v="0"/>
    <x v="1"/>
    <s v="Printer"/>
    <s v="Product_15"/>
    <s v="Karan"/>
    <x v="1"/>
    <s v="UPI"/>
    <x v="1"/>
    <n v="4"/>
    <n v="48573"/>
    <n v="20"/>
    <n v="155433.60000000001"/>
    <n v="-8097.56"/>
  </r>
  <r>
    <s v="ORD00692"/>
    <x v="104"/>
    <x v="498"/>
    <x v="0"/>
    <s v="India"/>
    <s v="Tamil Nadu"/>
    <s v="Delhi"/>
    <s v="CUST8053"/>
    <x v="0"/>
    <x v="1"/>
    <s v="Laptop"/>
    <s v="Product_122"/>
    <s v="Priya"/>
    <x v="1"/>
    <s v="Credit Card"/>
    <x v="2"/>
    <n v="8"/>
    <n v="17602"/>
    <n v="15"/>
    <n v="119693.6"/>
    <n v="-10804.5"/>
  </r>
  <r>
    <s v="ORD00693"/>
    <x v="196"/>
    <x v="499"/>
    <x v="3"/>
    <s v="India"/>
    <s v="Maharashtra"/>
    <s v="Delhi"/>
    <s v="CUST9709"/>
    <x v="2"/>
    <x v="0"/>
    <s v="Storage"/>
    <s v="Product_46"/>
    <s v="Neha"/>
    <x v="0"/>
    <s v="Net Banking"/>
    <x v="2"/>
    <n v="8"/>
    <n v="41423"/>
    <n v="10"/>
    <n v="298245.59999999998"/>
    <n v="-13761.71"/>
  </r>
  <r>
    <s v="ORD00694"/>
    <x v="13"/>
    <x v="500"/>
    <x v="3"/>
    <s v="India"/>
    <s v="Tamil Nadu"/>
    <s v="Mumbai"/>
    <s v="CUST6177"/>
    <x v="0"/>
    <x v="0"/>
    <s v="Table"/>
    <s v="Product_147"/>
    <s v="Sneha"/>
    <x v="0"/>
    <s v="Net Banking"/>
    <x v="3"/>
    <n v="6"/>
    <n v="35465"/>
    <n v="10"/>
    <n v="191511"/>
    <n v="35600.910000000003"/>
  </r>
  <r>
    <s v="ORD00695"/>
    <x v="432"/>
    <x v="334"/>
    <x v="3"/>
    <s v="India"/>
    <s v="Gujarat"/>
    <s v="Bangalore"/>
    <s v="CUST8833"/>
    <x v="0"/>
    <x v="0"/>
    <s v="Printer"/>
    <s v="Product_184"/>
    <s v="Priya"/>
    <x v="1"/>
    <s v="Debit Card"/>
    <x v="3"/>
    <n v="4"/>
    <n v="31069"/>
    <n v="10"/>
    <n v="111848.4"/>
    <n v="6020.19"/>
  </r>
  <r>
    <s v="ORD00696"/>
    <x v="233"/>
    <x v="196"/>
    <x v="2"/>
    <s v="India"/>
    <s v="Maharashtra"/>
    <s v="Bangalore"/>
    <s v="CUST1123"/>
    <x v="0"/>
    <x v="1"/>
    <s v="Storage"/>
    <s v="Product_91"/>
    <s v="Rahul"/>
    <x v="0"/>
    <s v="Net Banking"/>
    <x v="1"/>
    <n v="4"/>
    <n v="966"/>
    <n v="0"/>
    <n v="3864"/>
    <n v="1018.17"/>
  </r>
  <r>
    <s v="ORD00697"/>
    <x v="503"/>
    <x v="157"/>
    <x v="2"/>
    <s v="India"/>
    <s v="Delhi"/>
    <s v="Ahmedabad"/>
    <s v="CUST2461"/>
    <x v="2"/>
    <x v="0"/>
    <s v="Storage"/>
    <s v="Product_81"/>
    <s v="Neha"/>
    <x v="1"/>
    <s v="Debit Card"/>
    <x v="3"/>
    <n v="3"/>
    <n v="46948"/>
    <n v="0"/>
    <n v="140844"/>
    <n v="38244.9"/>
  </r>
  <r>
    <s v="ORD00698"/>
    <x v="30"/>
    <x v="304"/>
    <x v="2"/>
    <s v="India"/>
    <s v="Karnataka"/>
    <s v="Bangalore"/>
    <s v="CUST9988"/>
    <x v="0"/>
    <x v="0"/>
    <s v="Laptop"/>
    <s v="Product_86"/>
    <s v="Amit"/>
    <x v="1"/>
    <s v="UPI"/>
    <x v="0"/>
    <n v="1"/>
    <n v="39101"/>
    <n v="20"/>
    <n v="31280.799999999999"/>
    <n v="2340.5700000000002"/>
  </r>
  <r>
    <s v="ORD00699"/>
    <x v="504"/>
    <x v="398"/>
    <x v="0"/>
    <s v="India"/>
    <s v="Gujarat"/>
    <s v="Ahmedabad"/>
    <s v="CUST6502"/>
    <x v="0"/>
    <x v="1"/>
    <s v="Laptop"/>
    <s v="Product_22"/>
    <s v="Sneha"/>
    <x v="0"/>
    <s v="Debit Card"/>
    <x v="0"/>
    <n v="7"/>
    <n v="17218"/>
    <n v="20"/>
    <n v="96420.800000000003"/>
    <n v="-17305.48"/>
  </r>
  <r>
    <s v="ORD00700"/>
    <x v="369"/>
    <x v="501"/>
    <x v="3"/>
    <s v="India"/>
    <s v="Karnataka"/>
    <s v="Mumbai"/>
    <s v="CUST9062"/>
    <x v="1"/>
    <x v="1"/>
    <s v="Mobile"/>
    <s v="Product_174"/>
    <s v="Karan"/>
    <x v="1"/>
    <s v="UPI"/>
    <x v="1"/>
    <n v="10"/>
    <n v="4062"/>
    <n v="0"/>
    <n v="40620"/>
    <n v="6779.39"/>
  </r>
  <r>
    <s v="ORD00701"/>
    <x v="505"/>
    <x v="33"/>
    <x v="2"/>
    <s v="India"/>
    <s v="Delhi"/>
    <s v="Ahmedabad"/>
    <s v="CUST8817"/>
    <x v="1"/>
    <x v="1"/>
    <s v="Printer"/>
    <s v="Product_164"/>
    <s v="Sneha"/>
    <x v="1"/>
    <s v="Cash"/>
    <x v="3"/>
    <n v="6"/>
    <n v="29082"/>
    <n v="15"/>
    <n v="148318.20000000001"/>
    <n v="16837.419999999998"/>
  </r>
  <r>
    <s v="ORD00702"/>
    <x v="12"/>
    <x v="502"/>
    <x v="3"/>
    <s v="India"/>
    <s v="Tamil Nadu"/>
    <s v="Bangalore"/>
    <s v="CUST7509"/>
    <x v="0"/>
    <x v="0"/>
    <s v="Table"/>
    <s v="Product_196"/>
    <s v="Amit"/>
    <x v="0"/>
    <s v="Net Banking"/>
    <x v="3"/>
    <n v="2"/>
    <n v="882"/>
    <n v="20"/>
    <n v="1411.2"/>
    <n v="-76.209999999999994"/>
  </r>
  <r>
    <s v="ORD00703"/>
    <x v="506"/>
    <x v="408"/>
    <x v="0"/>
    <s v="India"/>
    <s v="Maharashtra"/>
    <s v="Chennai"/>
    <s v="CUST2411"/>
    <x v="2"/>
    <x v="0"/>
    <s v="Storage"/>
    <s v="Product_168"/>
    <s v="Neha"/>
    <x v="1"/>
    <s v="Net Banking"/>
    <x v="1"/>
    <n v="2"/>
    <n v="1332"/>
    <n v="10"/>
    <n v="2397.6"/>
    <n v="82.14"/>
  </r>
  <r>
    <s v="ORD00704"/>
    <x v="75"/>
    <x v="503"/>
    <x v="2"/>
    <s v="India"/>
    <s v="Karnataka"/>
    <s v="Chennai"/>
    <s v="CUST7861"/>
    <x v="2"/>
    <x v="0"/>
    <s v="Table"/>
    <s v="Product_112"/>
    <s v="Rahul"/>
    <x v="1"/>
    <s v="UPI"/>
    <x v="2"/>
    <n v="7"/>
    <n v="3025"/>
    <n v="5"/>
    <n v="20116.25"/>
    <n v="775.97"/>
  </r>
  <r>
    <s v="ORD00705"/>
    <x v="462"/>
    <x v="504"/>
    <x v="3"/>
    <s v="India"/>
    <s v="Delhi"/>
    <s v="Delhi"/>
    <s v="CUST3885"/>
    <x v="2"/>
    <x v="0"/>
    <s v="Laptop"/>
    <s v="Product_176"/>
    <s v="Karan"/>
    <x v="1"/>
    <s v="Net Banking"/>
    <x v="1"/>
    <n v="9"/>
    <n v="24804"/>
    <n v="10"/>
    <n v="200912.4"/>
    <n v="35171.129999999997"/>
  </r>
  <r>
    <s v="ORD00706"/>
    <x v="507"/>
    <x v="505"/>
    <x v="0"/>
    <s v="India"/>
    <s v="Karnataka"/>
    <s v="Mumbai"/>
    <s v="CUST1892"/>
    <x v="0"/>
    <x v="1"/>
    <s v="Storage"/>
    <s v="Product_166"/>
    <s v="Karan"/>
    <x v="0"/>
    <s v="UPI"/>
    <x v="0"/>
    <n v="10"/>
    <n v="16290"/>
    <n v="20"/>
    <n v="130320"/>
    <n v="-17427.43"/>
  </r>
  <r>
    <s v="ORD00707"/>
    <x v="508"/>
    <x v="436"/>
    <x v="2"/>
    <s v="India"/>
    <s v="Delhi"/>
    <s v="Delhi"/>
    <s v="CUST3522"/>
    <x v="1"/>
    <x v="2"/>
    <s v="Printer"/>
    <s v="Product_174"/>
    <s v="Sneha"/>
    <x v="0"/>
    <s v="Credit Card"/>
    <x v="0"/>
    <n v="2"/>
    <n v="45128"/>
    <n v="15"/>
    <n v="76717.600000000006"/>
    <n v="4911.1899999999996"/>
  </r>
  <r>
    <s v="ORD00708"/>
    <x v="457"/>
    <x v="458"/>
    <x v="0"/>
    <s v="India"/>
    <s v="Delhi"/>
    <s v="Ahmedabad"/>
    <s v="CUST7581"/>
    <x v="2"/>
    <x v="0"/>
    <s v="Mobile"/>
    <s v="Product_32"/>
    <s v="Karan"/>
    <x v="0"/>
    <s v="Credit Card"/>
    <x v="3"/>
    <n v="4"/>
    <n v="47756"/>
    <n v="20"/>
    <n v="152819.20000000001"/>
    <n v="9077.89"/>
  </r>
  <r>
    <s v="ORD00709"/>
    <x v="187"/>
    <x v="228"/>
    <x v="0"/>
    <s v="India"/>
    <s v="Delhi"/>
    <s v="Ahmedabad"/>
    <s v="CUST7834"/>
    <x v="1"/>
    <x v="2"/>
    <s v="Mobile"/>
    <s v="Product_4"/>
    <s v="Neha"/>
    <x v="0"/>
    <s v="UPI"/>
    <x v="0"/>
    <n v="3"/>
    <n v="11032"/>
    <n v="15"/>
    <n v="28131.599999999999"/>
    <n v="1186.8900000000001"/>
  </r>
  <r>
    <s v="ORD00710"/>
    <x v="383"/>
    <x v="506"/>
    <x v="0"/>
    <s v="India"/>
    <s v="Gujarat"/>
    <s v="Ahmedabad"/>
    <s v="CUST3596"/>
    <x v="2"/>
    <x v="1"/>
    <s v="Table"/>
    <s v="Product_42"/>
    <s v="Karan"/>
    <x v="0"/>
    <s v="Debit Card"/>
    <x v="0"/>
    <n v="9"/>
    <n v="13302"/>
    <n v="0"/>
    <n v="119718"/>
    <n v="31368.93"/>
  </r>
  <r>
    <s v="ORD00711"/>
    <x v="313"/>
    <x v="507"/>
    <x v="3"/>
    <s v="India"/>
    <s v="Gujarat"/>
    <s v="Mumbai"/>
    <s v="CUST4394"/>
    <x v="2"/>
    <x v="1"/>
    <s v="Table"/>
    <s v="Product_116"/>
    <s v="Amit"/>
    <x v="0"/>
    <s v="Cash"/>
    <x v="2"/>
    <n v="3"/>
    <n v="47791"/>
    <n v="15"/>
    <n v="121867.05"/>
    <n v="15542.81"/>
  </r>
  <r>
    <s v="ORD00712"/>
    <x v="509"/>
    <x v="250"/>
    <x v="0"/>
    <s v="India"/>
    <s v="Maharashtra"/>
    <s v="Mumbai"/>
    <s v="CUST8537"/>
    <x v="0"/>
    <x v="2"/>
    <s v="Storage"/>
    <s v="Product_175"/>
    <s v="Amit"/>
    <x v="0"/>
    <s v="Net Banking"/>
    <x v="3"/>
    <n v="1"/>
    <n v="7425"/>
    <n v="5"/>
    <n v="7053.75"/>
    <n v="818.19"/>
  </r>
  <r>
    <s v="ORD00713"/>
    <x v="510"/>
    <x v="199"/>
    <x v="2"/>
    <s v="India"/>
    <s v="Gujarat"/>
    <s v="Delhi"/>
    <s v="CUST6223"/>
    <x v="2"/>
    <x v="2"/>
    <s v="Mobile"/>
    <s v="Product_200"/>
    <s v="Neha"/>
    <x v="0"/>
    <s v="UPI"/>
    <x v="2"/>
    <n v="9"/>
    <n v="36090"/>
    <n v="20"/>
    <n v="259848"/>
    <n v="27375.86"/>
  </r>
  <r>
    <s v="ORD00714"/>
    <x v="77"/>
    <x v="508"/>
    <x v="1"/>
    <s v="India"/>
    <s v="Karnataka"/>
    <s v="Delhi"/>
    <s v="CUST5444"/>
    <x v="1"/>
    <x v="1"/>
    <s v="Storage"/>
    <s v="Product_60"/>
    <s v="Rahul"/>
    <x v="0"/>
    <s v="Cash"/>
    <x v="3"/>
    <n v="9"/>
    <n v="14568"/>
    <n v="5"/>
    <n v="124556.4"/>
    <n v="18054.509999999998"/>
  </r>
  <r>
    <s v="ORD00715"/>
    <x v="250"/>
    <x v="134"/>
    <x v="1"/>
    <s v="India"/>
    <s v="Karnataka"/>
    <s v="Bangalore"/>
    <s v="CUST5405"/>
    <x v="1"/>
    <x v="2"/>
    <s v="Mobile"/>
    <s v="Product_9"/>
    <s v="Rahul"/>
    <x v="0"/>
    <s v="Cash"/>
    <x v="0"/>
    <n v="8"/>
    <n v="21341"/>
    <n v="15"/>
    <n v="145118.79999999999"/>
    <n v="10351.56"/>
  </r>
  <r>
    <s v="ORD00716"/>
    <x v="190"/>
    <x v="509"/>
    <x v="3"/>
    <s v="India"/>
    <s v="Delhi"/>
    <s v="Chennai"/>
    <s v="CUST4612"/>
    <x v="0"/>
    <x v="0"/>
    <s v="Mobile"/>
    <s v="Product_103"/>
    <s v="Priya"/>
    <x v="0"/>
    <s v="Debit Card"/>
    <x v="3"/>
    <n v="3"/>
    <n v="22244"/>
    <n v="15"/>
    <n v="56722.2"/>
    <n v="5801.69"/>
  </r>
  <r>
    <s v="ORD00717"/>
    <x v="215"/>
    <x v="0"/>
    <x v="1"/>
    <s v="India"/>
    <s v="Maharashtra"/>
    <s v="Delhi"/>
    <s v="CUST1325"/>
    <x v="0"/>
    <x v="2"/>
    <s v="Laptop"/>
    <s v="Product_56"/>
    <s v="Amit"/>
    <x v="1"/>
    <s v="Cash"/>
    <x v="3"/>
    <n v="2"/>
    <n v="23630"/>
    <n v="20"/>
    <n v="37808"/>
    <n v="1929.77"/>
  </r>
  <r>
    <s v="ORD00718"/>
    <x v="511"/>
    <x v="431"/>
    <x v="0"/>
    <s v="India"/>
    <s v="Gujarat"/>
    <s v="Chennai"/>
    <s v="CUST6544"/>
    <x v="2"/>
    <x v="0"/>
    <s v="Table"/>
    <s v="Product_152"/>
    <s v="Amit"/>
    <x v="1"/>
    <s v="Debit Card"/>
    <x v="2"/>
    <n v="3"/>
    <n v="27854"/>
    <n v="20"/>
    <n v="66849.600000000006"/>
    <n v="-8665.02"/>
  </r>
  <r>
    <s v="ORD00719"/>
    <x v="512"/>
    <x v="510"/>
    <x v="3"/>
    <s v="India"/>
    <s v="Gujarat"/>
    <s v="Mumbai"/>
    <s v="CUST6952"/>
    <x v="1"/>
    <x v="2"/>
    <s v="Laptop"/>
    <s v="Product_13"/>
    <s v="Sneha"/>
    <x v="0"/>
    <s v="Net Banking"/>
    <x v="1"/>
    <n v="10"/>
    <n v="45023"/>
    <n v="15"/>
    <n v="382695.5"/>
    <n v="41614.61"/>
  </r>
  <r>
    <s v="ORD00720"/>
    <x v="513"/>
    <x v="511"/>
    <x v="0"/>
    <s v="India"/>
    <s v="Maharashtra"/>
    <s v="Ahmedabad"/>
    <s v="CUST1157"/>
    <x v="1"/>
    <x v="0"/>
    <s v="Table"/>
    <s v="Product_171"/>
    <s v="Amit"/>
    <x v="1"/>
    <s v="UPI"/>
    <x v="3"/>
    <n v="6"/>
    <n v="8706"/>
    <n v="20"/>
    <n v="41788.800000000003"/>
    <n v="-2086.65"/>
  </r>
  <r>
    <s v="ORD00721"/>
    <x v="459"/>
    <x v="512"/>
    <x v="1"/>
    <s v="India"/>
    <s v="Maharashtra"/>
    <s v="Delhi"/>
    <s v="CUST8228"/>
    <x v="2"/>
    <x v="1"/>
    <s v="Mobile"/>
    <s v="Product_79"/>
    <s v="Neha"/>
    <x v="1"/>
    <s v="Credit Card"/>
    <x v="0"/>
    <n v="10"/>
    <n v="36510"/>
    <n v="20"/>
    <n v="292080"/>
    <n v="-9651.84"/>
  </r>
  <r>
    <s v="ORD00722"/>
    <x v="13"/>
    <x v="370"/>
    <x v="0"/>
    <s v="India"/>
    <s v="Maharashtra"/>
    <s v="Ahmedabad"/>
    <s v="CUST6236"/>
    <x v="0"/>
    <x v="2"/>
    <s v="Mobile"/>
    <s v="Product_45"/>
    <s v="Amit"/>
    <x v="0"/>
    <s v="Debit Card"/>
    <x v="3"/>
    <n v="4"/>
    <n v="21037"/>
    <n v="5"/>
    <n v="79940.600000000006"/>
    <n v="7961.23"/>
  </r>
  <r>
    <s v="ORD00723"/>
    <x v="514"/>
    <x v="288"/>
    <x v="0"/>
    <s v="India"/>
    <s v="Karnataka"/>
    <s v="Bangalore"/>
    <s v="CUST9705"/>
    <x v="2"/>
    <x v="0"/>
    <s v="Laptop"/>
    <s v="Product_178"/>
    <s v="Priya"/>
    <x v="1"/>
    <s v="Cash"/>
    <x v="2"/>
    <n v="5"/>
    <n v="13739"/>
    <n v="10"/>
    <n v="61825.5"/>
    <n v="3515.93"/>
  </r>
  <r>
    <s v="ORD00724"/>
    <x v="366"/>
    <x v="513"/>
    <x v="2"/>
    <s v="India"/>
    <s v="Maharashtra"/>
    <s v="Chennai"/>
    <s v="CUST2875"/>
    <x v="0"/>
    <x v="1"/>
    <s v="Chair"/>
    <s v="Product_3"/>
    <s v="Amit"/>
    <x v="0"/>
    <s v="UPI"/>
    <x v="0"/>
    <n v="6"/>
    <n v="30068"/>
    <n v="15"/>
    <n v="153346.79999999999"/>
    <n v="-11804.18"/>
  </r>
  <r>
    <s v="ORD00725"/>
    <x v="515"/>
    <x v="80"/>
    <x v="1"/>
    <s v="India"/>
    <s v="Delhi"/>
    <s v="Mumbai"/>
    <s v="CUST8616"/>
    <x v="2"/>
    <x v="2"/>
    <s v="Printer"/>
    <s v="Product_125"/>
    <s v="Sneha"/>
    <x v="0"/>
    <s v="Net Banking"/>
    <x v="2"/>
    <n v="2"/>
    <n v="40584"/>
    <n v="5"/>
    <n v="77109.600000000006"/>
    <n v="259.55"/>
  </r>
  <r>
    <s v="ORD00726"/>
    <x v="476"/>
    <x v="475"/>
    <x v="3"/>
    <s v="India"/>
    <s v="Tamil Nadu"/>
    <s v="Mumbai"/>
    <s v="CUST4198"/>
    <x v="1"/>
    <x v="2"/>
    <s v="Printer"/>
    <s v="Product_10"/>
    <s v="Sneha"/>
    <x v="0"/>
    <s v="Net Banking"/>
    <x v="1"/>
    <n v="4"/>
    <n v="22292"/>
    <n v="10"/>
    <n v="80251.199999999997"/>
    <n v="6688.86"/>
  </r>
  <r>
    <s v="ORD00727"/>
    <x v="516"/>
    <x v="514"/>
    <x v="3"/>
    <s v="India"/>
    <s v="Gujarat"/>
    <s v="Ahmedabad"/>
    <s v="CUST2032"/>
    <x v="2"/>
    <x v="2"/>
    <s v="Chair"/>
    <s v="Product_155"/>
    <s v="Karan"/>
    <x v="0"/>
    <s v="Credit Card"/>
    <x v="3"/>
    <n v="5"/>
    <n v="28614"/>
    <n v="5"/>
    <n v="135916.5"/>
    <n v="875.89"/>
  </r>
  <r>
    <s v="ORD00728"/>
    <x v="138"/>
    <x v="321"/>
    <x v="2"/>
    <s v="India"/>
    <s v="Gujarat"/>
    <s v="Ahmedabad"/>
    <s v="CUST9581"/>
    <x v="1"/>
    <x v="2"/>
    <s v="Laptop"/>
    <s v="Product_127"/>
    <s v="Neha"/>
    <x v="1"/>
    <s v="Credit Card"/>
    <x v="0"/>
    <n v="10"/>
    <n v="42388"/>
    <n v="10"/>
    <n v="381492"/>
    <n v="78030.58"/>
  </r>
  <r>
    <s v="ORD00729"/>
    <x v="517"/>
    <x v="512"/>
    <x v="1"/>
    <s v="India"/>
    <s v="Gujarat"/>
    <s v="Delhi"/>
    <s v="CUST2423"/>
    <x v="2"/>
    <x v="1"/>
    <s v="Storage"/>
    <s v="Product_5"/>
    <s v="Rahul"/>
    <x v="1"/>
    <s v="UPI"/>
    <x v="1"/>
    <n v="8"/>
    <n v="16214"/>
    <n v="20"/>
    <n v="103769.60000000001"/>
    <n v="-6683"/>
  </r>
  <r>
    <s v="ORD00730"/>
    <x v="444"/>
    <x v="329"/>
    <x v="0"/>
    <s v="India"/>
    <s v="Tamil Nadu"/>
    <s v="Bangalore"/>
    <s v="CUST5231"/>
    <x v="2"/>
    <x v="0"/>
    <s v="Laptop"/>
    <s v="Product_185"/>
    <s v="Karan"/>
    <x v="1"/>
    <s v="Cash"/>
    <x v="0"/>
    <n v="9"/>
    <n v="22961"/>
    <n v="10"/>
    <n v="185984.1"/>
    <n v="26669.07"/>
  </r>
  <r>
    <s v="ORD00731"/>
    <x v="324"/>
    <x v="130"/>
    <x v="2"/>
    <s v="India"/>
    <s v="Gujarat"/>
    <s v="Ahmedabad"/>
    <s v="CUST6617"/>
    <x v="1"/>
    <x v="2"/>
    <s v="Mobile"/>
    <s v="Product_96"/>
    <s v="Karan"/>
    <x v="1"/>
    <s v="Net Banking"/>
    <x v="2"/>
    <n v="10"/>
    <n v="31904"/>
    <n v="0"/>
    <n v="319040"/>
    <n v="93540"/>
  </r>
  <r>
    <s v="ORD00732"/>
    <x v="252"/>
    <x v="515"/>
    <x v="2"/>
    <s v="India"/>
    <s v="Karnataka"/>
    <s v="Ahmedabad"/>
    <s v="CUST7874"/>
    <x v="1"/>
    <x v="0"/>
    <s v="Table"/>
    <s v="Product_183"/>
    <s v="Amit"/>
    <x v="0"/>
    <s v="UPI"/>
    <x v="0"/>
    <n v="2"/>
    <n v="48862"/>
    <n v="0"/>
    <n v="97724"/>
    <n v="7752.42"/>
  </r>
  <r>
    <s v="ORD00733"/>
    <x v="289"/>
    <x v="78"/>
    <x v="3"/>
    <s v="India"/>
    <s v="Gujarat"/>
    <s v="Ahmedabad"/>
    <s v="CUST2819"/>
    <x v="2"/>
    <x v="2"/>
    <s v="Table"/>
    <s v="Product_186"/>
    <s v="Karan"/>
    <x v="0"/>
    <s v="Debit Card"/>
    <x v="1"/>
    <n v="6"/>
    <n v="10541"/>
    <n v="15"/>
    <n v="53759.1"/>
    <n v="9248.6"/>
  </r>
  <r>
    <s v="ORD00734"/>
    <x v="518"/>
    <x v="516"/>
    <x v="0"/>
    <s v="India"/>
    <s v="Tamil Nadu"/>
    <s v="Mumbai"/>
    <s v="CUST2812"/>
    <x v="0"/>
    <x v="0"/>
    <s v="Laptop"/>
    <s v="Product_25"/>
    <s v="Rahul"/>
    <x v="0"/>
    <s v="Credit Card"/>
    <x v="0"/>
    <n v="3"/>
    <n v="38728"/>
    <n v="10"/>
    <n v="104565.6"/>
    <n v="4196.07"/>
  </r>
  <r>
    <s v="ORD00735"/>
    <x v="85"/>
    <x v="517"/>
    <x v="2"/>
    <s v="India"/>
    <s v="Delhi"/>
    <s v="Chennai"/>
    <s v="CUST9878"/>
    <x v="2"/>
    <x v="2"/>
    <s v="Storage"/>
    <s v="Product_21"/>
    <s v="Neha"/>
    <x v="1"/>
    <s v="Cash"/>
    <x v="1"/>
    <n v="9"/>
    <n v="41426"/>
    <n v="0"/>
    <n v="372834"/>
    <n v="72573.929999999993"/>
  </r>
  <r>
    <s v="ORD00736"/>
    <x v="138"/>
    <x v="159"/>
    <x v="2"/>
    <s v="India"/>
    <s v="Karnataka"/>
    <s v="Delhi"/>
    <s v="CUST8858"/>
    <x v="0"/>
    <x v="2"/>
    <s v="Table"/>
    <s v="Product_155"/>
    <s v="Karan"/>
    <x v="0"/>
    <s v="Credit Card"/>
    <x v="1"/>
    <n v="7"/>
    <n v="22871"/>
    <n v="5"/>
    <n v="152092.15"/>
    <n v="16313.11"/>
  </r>
  <r>
    <s v="ORD00737"/>
    <x v="75"/>
    <x v="503"/>
    <x v="0"/>
    <s v="India"/>
    <s v="Karnataka"/>
    <s v="Ahmedabad"/>
    <s v="CUST6785"/>
    <x v="1"/>
    <x v="1"/>
    <s v="Mobile"/>
    <s v="Product_27"/>
    <s v="Priya"/>
    <x v="1"/>
    <s v="Credit Card"/>
    <x v="2"/>
    <n v="3"/>
    <n v="24018"/>
    <n v="15"/>
    <n v="61245.9"/>
    <n v="6276.05"/>
  </r>
  <r>
    <s v="ORD00738"/>
    <x v="519"/>
    <x v="518"/>
    <x v="0"/>
    <s v="India"/>
    <s v="Tamil Nadu"/>
    <s v="Delhi"/>
    <s v="CUST9535"/>
    <x v="0"/>
    <x v="2"/>
    <s v="Storage"/>
    <s v="Product_13"/>
    <s v="Priya"/>
    <x v="0"/>
    <s v="Credit Card"/>
    <x v="1"/>
    <n v="7"/>
    <n v="10526"/>
    <n v="5"/>
    <n v="69997.899999999994"/>
    <n v="15948.42"/>
  </r>
  <r>
    <s v="ORD00739"/>
    <x v="358"/>
    <x v="17"/>
    <x v="3"/>
    <s v="India"/>
    <s v="Karnataka"/>
    <s v="Bangalore"/>
    <s v="CUST7356"/>
    <x v="1"/>
    <x v="2"/>
    <s v="Storage"/>
    <s v="Product_12"/>
    <s v="Neha"/>
    <x v="0"/>
    <s v="Cash"/>
    <x v="0"/>
    <n v="2"/>
    <n v="22803"/>
    <n v="0"/>
    <n v="45606"/>
    <n v="12683.03"/>
  </r>
  <r>
    <s v="ORD00740"/>
    <x v="520"/>
    <x v="519"/>
    <x v="3"/>
    <s v="India"/>
    <s v="Maharashtra"/>
    <s v="Bangalore"/>
    <s v="CUST2892"/>
    <x v="1"/>
    <x v="2"/>
    <s v="Table"/>
    <s v="Product_139"/>
    <s v="Karan"/>
    <x v="0"/>
    <s v="Cash"/>
    <x v="3"/>
    <n v="9"/>
    <n v="6278"/>
    <n v="0"/>
    <n v="56502"/>
    <n v="16620.38"/>
  </r>
  <r>
    <s v="ORD00741"/>
    <x v="521"/>
    <x v="128"/>
    <x v="1"/>
    <s v="India"/>
    <s v="Gujarat"/>
    <s v="Ahmedabad"/>
    <s v="CUST9503"/>
    <x v="0"/>
    <x v="0"/>
    <s v="Laptop"/>
    <s v="Product_109"/>
    <s v="Sneha"/>
    <x v="0"/>
    <s v="Net Banking"/>
    <x v="3"/>
    <n v="9"/>
    <n v="25121"/>
    <n v="5"/>
    <n v="214784.55"/>
    <n v="42170.96"/>
  </r>
  <r>
    <s v="ORD00742"/>
    <x v="128"/>
    <x v="125"/>
    <x v="3"/>
    <s v="India"/>
    <s v="Delhi"/>
    <s v="Ahmedabad"/>
    <s v="CUST8554"/>
    <x v="2"/>
    <x v="2"/>
    <s v="Laptop"/>
    <s v="Product_64"/>
    <s v="Amit"/>
    <x v="0"/>
    <s v="Credit Card"/>
    <x v="3"/>
    <n v="6"/>
    <n v="35933"/>
    <n v="20"/>
    <n v="172478.4"/>
    <n v="-11492.72"/>
  </r>
  <r>
    <s v="ORD00743"/>
    <x v="240"/>
    <x v="512"/>
    <x v="2"/>
    <s v="India"/>
    <s v="Gujarat"/>
    <s v="Bangalore"/>
    <s v="CUST7596"/>
    <x v="2"/>
    <x v="1"/>
    <s v="Printer"/>
    <s v="Product_165"/>
    <s v="Neha"/>
    <x v="1"/>
    <s v="Net Banking"/>
    <x v="2"/>
    <n v="4"/>
    <n v="14610"/>
    <n v="15"/>
    <n v="49674"/>
    <n v="701.1"/>
  </r>
  <r>
    <s v="ORD00744"/>
    <x v="215"/>
    <x v="88"/>
    <x v="0"/>
    <s v="India"/>
    <s v="Karnataka"/>
    <s v="Chennai"/>
    <s v="CUST8371"/>
    <x v="1"/>
    <x v="2"/>
    <s v="Printer"/>
    <s v="Product_132"/>
    <s v="Neha"/>
    <x v="0"/>
    <s v="Debit Card"/>
    <x v="3"/>
    <n v="5"/>
    <n v="16092"/>
    <n v="15"/>
    <n v="68391"/>
    <n v="-6700.27"/>
  </r>
  <r>
    <s v="ORD00745"/>
    <x v="522"/>
    <x v="520"/>
    <x v="2"/>
    <s v="India"/>
    <s v="Maharashtra"/>
    <s v="Bangalore"/>
    <s v="CUST6638"/>
    <x v="2"/>
    <x v="0"/>
    <s v="Storage"/>
    <s v="Product_73"/>
    <s v="Sneha"/>
    <x v="1"/>
    <s v="Credit Card"/>
    <x v="2"/>
    <n v="5"/>
    <n v="42313"/>
    <n v="5"/>
    <n v="200986.75"/>
    <n v="1939.43"/>
  </r>
  <r>
    <s v="ORD00746"/>
    <x v="523"/>
    <x v="471"/>
    <x v="2"/>
    <s v="India"/>
    <s v="Maharashtra"/>
    <s v="Bangalore"/>
    <s v="CUST4113"/>
    <x v="2"/>
    <x v="0"/>
    <s v="Storage"/>
    <s v="Product_161"/>
    <s v="Karan"/>
    <x v="1"/>
    <s v="Cash"/>
    <x v="1"/>
    <n v="9"/>
    <n v="31019"/>
    <n v="10"/>
    <n v="251253.9"/>
    <n v="16028.63"/>
  </r>
  <r>
    <s v="ORD00747"/>
    <x v="300"/>
    <x v="380"/>
    <x v="3"/>
    <s v="India"/>
    <s v="Karnataka"/>
    <s v="Chennai"/>
    <s v="CUST9588"/>
    <x v="2"/>
    <x v="2"/>
    <s v="Laptop"/>
    <s v="Product_185"/>
    <s v="Priya"/>
    <x v="0"/>
    <s v="UPI"/>
    <x v="2"/>
    <n v="9"/>
    <n v="28938"/>
    <n v="5"/>
    <n v="247419.9"/>
    <n v="59294.63"/>
  </r>
  <r>
    <s v="ORD00748"/>
    <x v="524"/>
    <x v="521"/>
    <x v="3"/>
    <s v="India"/>
    <s v="Gujarat"/>
    <s v="Ahmedabad"/>
    <s v="CUST6689"/>
    <x v="2"/>
    <x v="1"/>
    <s v="Table"/>
    <s v="Product_116"/>
    <s v="Sneha"/>
    <x v="0"/>
    <s v="Credit Card"/>
    <x v="3"/>
    <n v="10"/>
    <n v="10193"/>
    <n v="20"/>
    <n v="81544"/>
    <n v="9009.08"/>
  </r>
  <r>
    <s v="ORD00749"/>
    <x v="125"/>
    <x v="522"/>
    <x v="0"/>
    <s v="India"/>
    <s v="Tamil Nadu"/>
    <s v="Chennai"/>
    <s v="CUST4644"/>
    <x v="0"/>
    <x v="1"/>
    <s v="Storage"/>
    <s v="Product_183"/>
    <s v="Sneha"/>
    <x v="0"/>
    <s v="Net Banking"/>
    <x v="0"/>
    <n v="5"/>
    <n v="28585"/>
    <n v="20"/>
    <n v="114340"/>
    <n v="1273.44"/>
  </r>
  <r>
    <s v="ORD00750"/>
    <x v="425"/>
    <x v="400"/>
    <x v="1"/>
    <s v="India"/>
    <s v="Delhi"/>
    <s v="Mumbai"/>
    <s v="CUST4750"/>
    <x v="1"/>
    <x v="1"/>
    <s v="Laptop"/>
    <s v="Product_50"/>
    <s v="Neha"/>
    <x v="1"/>
    <s v="Cash"/>
    <x v="1"/>
    <n v="3"/>
    <n v="3014"/>
    <n v="5"/>
    <n v="8589.9"/>
    <n v="1445.76"/>
  </r>
  <r>
    <s v="ORD00751"/>
    <x v="307"/>
    <x v="191"/>
    <x v="2"/>
    <s v="India"/>
    <s v="Gujarat"/>
    <s v="Bangalore"/>
    <s v="CUST5147"/>
    <x v="2"/>
    <x v="2"/>
    <s v="Storage"/>
    <s v="Product_22"/>
    <s v="Karan"/>
    <x v="0"/>
    <s v="UPI"/>
    <x v="0"/>
    <n v="10"/>
    <n v="28166"/>
    <n v="20"/>
    <n v="225328"/>
    <n v="889.41"/>
  </r>
  <r>
    <s v="ORD00752"/>
    <x v="443"/>
    <x v="523"/>
    <x v="2"/>
    <s v="India"/>
    <s v="Karnataka"/>
    <s v="Bangalore"/>
    <s v="CUST1253"/>
    <x v="0"/>
    <x v="2"/>
    <s v="Storage"/>
    <s v="Product_45"/>
    <s v="Karan"/>
    <x v="0"/>
    <s v="Net Banking"/>
    <x v="3"/>
    <n v="10"/>
    <n v="24964"/>
    <n v="20"/>
    <n v="199712"/>
    <n v="-10838.69"/>
  </r>
  <r>
    <s v="ORD00753"/>
    <x v="525"/>
    <x v="524"/>
    <x v="3"/>
    <s v="India"/>
    <s v="Karnataka"/>
    <s v="Mumbai"/>
    <s v="CUST5675"/>
    <x v="2"/>
    <x v="2"/>
    <s v="Chair"/>
    <s v="Product_118"/>
    <s v="Neha"/>
    <x v="0"/>
    <s v="Net Banking"/>
    <x v="0"/>
    <n v="9"/>
    <n v="45071"/>
    <n v="0"/>
    <n v="405639"/>
    <n v="58220.11"/>
  </r>
  <r>
    <s v="ORD00754"/>
    <x v="463"/>
    <x v="293"/>
    <x v="0"/>
    <s v="India"/>
    <s v="Tamil Nadu"/>
    <s v="Bangalore"/>
    <s v="CUST1087"/>
    <x v="1"/>
    <x v="0"/>
    <s v="Laptop"/>
    <s v="Product_147"/>
    <s v="Sneha"/>
    <x v="0"/>
    <s v="Credit Card"/>
    <x v="2"/>
    <n v="3"/>
    <n v="20583"/>
    <n v="10"/>
    <n v="55574.1"/>
    <n v="-107.03"/>
  </r>
  <r>
    <s v="ORD00755"/>
    <x v="258"/>
    <x v="253"/>
    <x v="2"/>
    <s v="India"/>
    <s v="Karnataka"/>
    <s v="Ahmedabad"/>
    <s v="CUST8143"/>
    <x v="1"/>
    <x v="0"/>
    <s v="Chair"/>
    <s v="Product_127"/>
    <s v="Karan"/>
    <x v="0"/>
    <s v="Debit Card"/>
    <x v="2"/>
    <n v="6"/>
    <n v="16601"/>
    <n v="0"/>
    <n v="99606"/>
    <n v="11402.31"/>
  </r>
  <r>
    <s v="ORD00756"/>
    <x v="377"/>
    <x v="301"/>
    <x v="0"/>
    <s v="India"/>
    <s v="Tamil Nadu"/>
    <s v="Bangalore"/>
    <s v="CUST3007"/>
    <x v="2"/>
    <x v="1"/>
    <s v="Laptop"/>
    <s v="Product_42"/>
    <s v="Neha"/>
    <x v="1"/>
    <s v="Credit Card"/>
    <x v="2"/>
    <n v="4"/>
    <n v="26968"/>
    <n v="15"/>
    <n v="91691.199999999997"/>
    <n v="-4210.83"/>
  </r>
  <r>
    <s v="ORD00757"/>
    <x v="526"/>
    <x v="525"/>
    <x v="3"/>
    <s v="India"/>
    <s v="Tamil Nadu"/>
    <s v="Ahmedabad"/>
    <s v="CUST3430"/>
    <x v="0"/>
    <x v="0"/>
    <s v="Printer"/>
    <s v="Product_176"/>
    <s v="Neha"/>
    <x v="1"/>
    <s v="Debit Card"/>
    <x v="1"/>
    <n v="6"/>
    <n v="26855"/>
    <n v="15"/>
    <n v="136960.5"/>
    <n v="15422.39"/>
  </r>
  <r>
    <s v="ORD00758"/>
    <x v="36"/>
    <x v="526"/>
    <x v="0"/>
    <s v="India"/>
    <s v="Tamil Nadu"/>
    <s v="Mumbai"/>
    <s v="CUST8190"/>
    <x v="0"/>
    <x v="1"/>
    <s v="Table"/>
    <s v="Product_56"/>
    <s v="Priya"/>
    <x v="0"/>
    <s v="Debit Card"/>
    <x v="2"/>
    <n v="4"/>
    <n v="34414"/>
    <n v="5"/>
    <n v="130773.2"/>
    <n v="3350.43"/>
  </r>
  <r>
    <s v="ORD00759"/>
    <x v="527"/>
    <x v="152"/>
    <x v="2"/>
    <s v="India"/>
    <s v="Gujarat"/>
    <s v="Delhi"/>
    <s v="CUST9440"/>
    <x v="0"/>
    <x v="0"/>
    <s v="Printer"/>
    <s v="Product_145"/>
    <s v="Priya"/>
    <x v="1"/>
    <s v="Debit Card"/>
    <x v="3"/>
    <n v="3"/>
    <n v="7784"/>
    <n v="20"/>
    <n v="18681.599999999999"/>
    <n v="1412.62"/>
  </r>
  <r>
    <s v="ORD00760"/>
    <x v="528"/>
    <x v="527"/>
    <x v="0"/>
    <s v="India"/>
    <s v="Tamil Nadu"/>
    <s v="Bangalore"/>
    <s v="CUST5614"/>
    <x v="2"/>
    <x v="2"/>
    <s v="Mobile"/>
    <s v="Product_133"/>
    <s v="Karan"/>
    <x v="0"/>
    <s v="Net Banking"/>
    <x v="0"/>
    <n v="6"/>
    <n v="10294"/>
    <n v="0"/>
    <n v="61764"/>
    <n v="4546.63"/>
  </r>
  <r>
    <s v="ORD00761"/>
    <x v="529"/>
    <x v="528"/>
    <x v="1"/>
    <s v="India"/>
    <s v="Karnataka"/>
    <s v="Chennai"/>
    <s v="CUST6810"/>
    <x v="2"/>
    <x v="2"/>
    <s v="Laptop"/>
    <s v="Product_114"/>
    <s v="Karan"/>
    <x v="0"/>
    <s v="Debit Card"/>
    <x v="3"/>
    <n v="4"/>
    <n v="39823"/>
    <n v="10"/>
    <n v="143362.79999999999"/>
    <n v="26096.59"/>
  </r>
  <r>
    <s v="ORD00762"/>
    <x v="530"/>
    <x v="529"/>
    <x v="0"/>
    <s v="India"/>
    <s v="Gujarat"/>
    <s v="Delhi"/>
    <s v="CUST2039"/>
    <x v="2"/>
    <x v="1"/>
    <s v="Chair"/>
    <s v="Product_55"/>
    <s v="Amit"/>
    <x v="0"/>
    <s v="Debit Card"/>
    <x v="2"/>
    <n v="3"/>
    <n v="48787"/>
    <n v="5"/>
    <n v="139042.95000000001"/>
    <n v="10259.07"/>
  </r>
  <r>
    <s v="ORD00763"/>
    <x v="531"/>
    <x v="530"/>
    <x v="3"/>
    <s v="India"/>
    <s v="Maharashtra"/>
    <s v="Delhi"/>
    <s v="CUST1674"/>
    <x v="0"/>
    <x v="2"/>
    <s v="Laptop"/>
    <s v="Product_17"/>
    <s v="Sneha"/>
    <x v="1"/>
    <s v="Net Banking"/>
    <x v="0"/>
    <n v="4"/>
    <n v="24477"/>
    <n v="15"/>
    <n v="83221.8"/>
    <n v="11044.1"/>
  </r>
  <r>
    <s v="ORD00764"/>
    <x v="309"/>
    <x v="531"/>
    <x v="1"/>
    <s v="India"/>
    <s v="Tamil Nadu"/>
    <s v="Ahmedabad"/>
    <s v="CUST6843"/>
    <x v="1"/>
    <x v="1"/>
    <s v="Chair"/>
    <s v="Product_191"/>
    <s v="Priya"/>
    <x v="1"/>
    <s v="Net Banking"/>
    <x v="3"/>
    <n v="5"/>
    <n v="21949"/>
    <n v="10"/>
    <n v="98770.5"/>
    <n v="17128.009999999998"/>
  </r>
  <r>
    <s v="ORD00765"/>
    <x v="532"/>
    <x v="532"/>
    <x v="2"/>
    <s v="India"/>
    <s v="Tamil Nadu"/>
    <s v="Ahmedabad"/>
    <s v="CUST1643"/>
    <x v="1"/>
    <x v="0"/>
    <s v="Chair"/>
    <s v="Product_134"/>
    <s v="Amit"/>
    <x v="0"/>
    <s v="Credit Card"/>
    <x v="0"/>
    <n v="6"/>
    <n v="14443"/>
    <n v="15"/>
    <n v="73659.3"/>
    <n v="7248.26"/>
  </r>
  <r>
    <s v="ORD00766"/>
    <x v="2"/>
    <x v="533"/>
    <x v="2"/>
    <s v="India"/>
    <s v="Gujarat"/>
    <s v="Mumbai"/>
    <s v="CUST2352"/>
    <x v="2"/>
    <x v="2"/>
    <s v="Printer"/>
    <s v="Product_20"/>
    <s v="Karan"/>
    <x v="0"/>
    <s v="Debit Card"/>
    <x v="1"/>
    <n v="1"/>
    <n v="23624"/>
    <n v="10"/>
    <n v="21261.599999999999"/>
    <n v="1935.82"/>
  </r>
  <r>
    <s v="ORD00767"/>
    <x v="533"/>
    <x v="291"/>
    <x v="0"/>
    <s v="India"/>
    <s v="Maharashtra"/>
    <s v="Mumbai"/>
    <s v="CUST9039"/>
    <x v="1"/>
    <x v="0"/>
    <s v="Chair"/>
    <s v="Product_82"/>
    <s v="Amit"/>
    <x v="1"/>
    <s v="Net Banking"/>
    <x v="3"/>
    <n v="8"/>
    <n v="45867"/>
    <n v="15"/>
    <n v="311895.59999999998"/>
    <n v="42904.37"/>
  </r>
  <r>
    <s v="ORD00768"/>
    <x v="534"/>
    <x v="534"/>
    <x v="1"/>
    <s v="India"/>
    <s v="Tamil Nadu"/>
    <s v="Chennai"/>
    <s v="CUST4662"/>
    <x v="2"/>
    <x v="1"/>
    <s v="Chair"/>
    <s v="Product_49"/>
    <s v="Amit"/>
    <x v="0"/>
    <s v="Cash"/>
    <x v="0"/>
    <n v="8"/>
    <n v="37128"/>
    <n v="0"/>
    <n v="297024"/>
    <n v="52257.7"/>
  </r>
  <r>
    <s v="ORD00769"/>
    <x v="204"/>
    <x v="281"/>
    <x v="0"/>
    <s v="India"/>
    <s v="Gujarat"/>
    <s v="Ahmedabad"/>
    <s v="CUST7650"/>
    <x v="0"/>
    <x v="0"/>
    <s v="Storage"/>
    <s v="Product_168"/>
    <s v="Priya"/>
    <x v="1"/>
    <s v="Cash"/>
    <x v="3"/>
    <n v="8"/>
    <n v="49829"/>
    <n v="20"/>
    <n v="318905.59999999998"/>
    <n v="-1879.08"/>
  </r>
  <r>
    <s v="ORD00770"/>
    <x v="407"/>
    <x v="535"/>
    <x v="2"/>
    <s v="India"/>
    <s v="Gujarat"/>
    <s v="Delhi"/>
    <s v="CUST6550"/>
    <x v="1"/>
    <x v="0"/>
    <s v="Chair"/>
    <s v="Product_184"/>
    <s v="Rahul"/>
    <x v="0"/>
    <s v="Cash"/>
    <x v="0"/>
    <n v="1"/>
    <n v="49318"/>
    <n v="20"/>
    <n v="39454.400000000001"/>
    <n v="854.52"/>
  </r>
  <r>
    <s v="ORD00771"/>
    <x v="535"/>
    <x v="330"/>
    <x v="0"/>
    <s v="India"/>
    <s v="Gujarat"/>
    <s v="Mumbai"/>
    <s v="CUST7212"/>
    <x v="0"/>
    <x v="0"/>
    <s v="Storage"/>
    <s v="Product_120"/>
    <s v="Priya"/>
    <x v="0"/>
    <s v="Credit Card"/>
    <x v="0"/>
    <n v="1"/>
    <n v="11092"/>
    <n v="20"/>
    <n v="8873.6"/>
    <n v="-1553.66"/>
  </r>
  <r>
    <s v="ORD00772"/>
    <x v="337"/>
    <x v="536"/>
    <x v="3"/>
    <s v="India"/>
    <s v="Karnataka"/>
    <s v="Ahmedabad"/>
    <s v="CUST8059"/>
    <x v="1"/>
    <x v="0"/>
    <s v="Printer"/>
    <s v="Product_90"/>
    <s v="Sneha"/>
    <x v="0"/>
    <s v="Net Banking"/>
    <x v="0"/>
    <n v="4"/>
    <n v="6249"/>
    <n v="15"/>
    <n v="21246.6"/>
    <n v="1508.51"/>
  </r>
  <r>
    <s v="ORD00773"/>
    <x v="536"/>
    <x v="29"/>
    <x v="1"/>
    <s v="India"/>
    <s v="Karnataka"/>
    <s v="Ahmedabad"/>
    <s v="CUST9438"/>
    <x v="2"/>
    <x v="2"/>
    <s v="Printer"/>
    <s v="Product_76"/>
    <s v="Neha"/>
    <x v="0"/>
    <s v="UPI"/>
    <x v="2"/>
    <n v="7"/>
    <n v="32992"/>
    <n v="15"/>
    <n v="196302.4"/>
    <n v="-6314.16"/>
  </r>
  <r>
    <s v="ORD00774"/>
    <x v="465"/>
    <x v="466"/>
    <x v="2"/>
    <s v="India"/>
    <s v="Karnataka"/>
    <s v="Delhi"/>
    <s v="CUST9969"/>
    <x v="0"/>
    <x v="0"/>
    <s v="Mobile"/>
    <s v="Product_128"/>
    <s v="Amit"/>
    <x v="0"/>
    <s v="Net Banking"/>
    <x v="3"/>
    <n v="2"/>
    <n v="29310"/>
    <n v="0"/>
    <n v="58620"/>
    <n v="15190.76"/>
  </r>
  <r>
    <s v="ORD00775"/>
    <x v="106"/>
    <x v="537"/>
    <x v="3"/>
    <s v="India"/>
    <s v="Tamil Nadu"/>
    <s v="Ahmedabad"/>
    <s v="CUST9935"/>
    <x v="1"/>
    <x v="2"/>
    <s v="Printer"/>
    <s v="Product_121"/>
    <s v="Neha"/>
    <x v="1"/>
    <s v="Debit Card"/>
    <x v="0"/>
    <n v="10"/>
    <n v="43388"/>
    <n v="5"/>
    <n v="412186"/>
    <n v="98742.1"/>
  </r>
  <r>
    <s v="ORD00776"/>
    <x v="360"/>
    <x v="7"/>
    <x v="3"/>
    <s v="India"/>
    <s v="Tamil Nadu"/>
    <s v="Ahmedabad"/>
    <s v="CUST4650"/>
    <x v="1"/>
    <x v="1"/>
    <s v="Mobile"/>
    <s v="Product_156"/>
    <s v="Karan"/>
    <x v="1"/>
    <s v="Debit Card"/>
    <x v="1"/>
    <n v="5"/>
    <n v="46777"/>
    <n v="20"/>
    <n v="187108"/>
    <n v="-14114.09"/>
  </r>
  <r>
    <s v="ORD00777"/>
    <x v="30"/>
    <x v="304"/>
    <x v="0"/>
    <s v="India"/>
    <s v="Karnataka"/>
    <s v="Delhi"/>
    <s v="CUST8539"/>
    <x v="2"/>
    <x v="0"/>
    <s v="Printer"/>
    <s v="Product_161"/>
    <s v="Sneha"/>
    <x v="0"/>
    <s v="Cash"/>
    <x v="3"/>
    <n v="4"/>
    <n v="45129"/>
    <n v="20"/>
    <n v="144412.79999999999"/>
    <n v="8527.2099999999991"/>
  </r>
  <r>
    <s v="ORD00778"/>
    <x v="537"/>
    <x v="414"/>
    <x v="2"/>
    <s v="India"/>
    <s v="Karnataka"/>
    <s v="Ahmedabad"/>
    <s v="CUST1429"/>
    <x v="0"/>
    <x v="1"/>
    <s v="Printer"/>
    <s v="Product_37"/>
    <s v="Karan"/>
    <x v="0"/>
    <s v="Credit Card"/>
    <x v="0"/>
    <n v="6"/>
    <n v="48505"/>
    <n v="10"/>
    <n v="261927"/>
    <n v="611.70000000000005"/>
  </r>
  <r>
    <s v="ORD00779"/>
    <x v="538"/>
    <x v="426"/>
    <x v="2"/>
    <s v="India"/>
    <s v="Delhi"/>
    <s v="Ahmedabad"/>
    <s v="CUST8516"/>
    <x v="2"/>
    <x v="2"/>
    <s v="Printer"/>
    <s v="Product_31"/>
    <s v="Rahul"/>
    <x v="1"/>
    <s v="Cash"/>
    <x v="1"/>
    <n v="3"/>
    <n v="31382"/>
    <n v="5"/>
    <n v="89438.7"/>
    <n v="17027.72"/>
  </r>
  <r>
    <s v="ORD00780"/>
    <x v="484"/>
    <x v="481"/>
    <x v="1"/>
    <s v="India"/>
    <s v="Gujarat"/>
    <s v="Delhi"/>
    <s v="CUST7614"/>
    <x v="1"/>
    <x v="1"/>
    <s v="Mobile"/>
    <s v="Product_82"/>
    <s v="Sneha"/>
    <x v="1"/>
    <s v="Net Banking"/>
    <x v="1"/>
    <n v="7"/>
    <n v="31851"/>
    <n v="5"/>
    <n v="211809.15"/>
    <n v="17499.37"/>
  </r>
  <r>
    <s v="ORD00781"/>
    <x v="539"/>
    <x v="538"/>
    <x v="3"/>
    <s v="India"/>
    <s v="Delhi"/>
    <s v="Bangalore"/>
    <s v="CUST5961"/>
    <x v="2"/>
    <x v="0"/>
    <s v="Mobile"/>
    <s v="Product_157"/>
    <s v="Neha"/>
    <x v="1"/>
    <s v="Credit Card"/>
    <x v="3"/>
    <n v="10"/>
    <n v="21577"/>
    <n v="5"/>
    <n v="204981.5"/>
    <n v="48433.37"/>
  </r>
  <r>
    <s v="ORD00782"/>
    <x v="540"/>
    <x v="132"/>
    <x v="3"/>
    <s v="India"/>
    <s v="Delhi"/>
    <s v="Bangalore"/>
    <s v="CUST6543"/>
    <x v="0"/>
    <x v="2"/>
    <s v="Laptop"/>
    <s v="Product_151"/>
    <s v="Neha"/>
    <x v="1"/>
    <s v="Credit Card"/>
    <x v="1"/>
    <n v="9"/>
    <n v="5562"/>
    <n v="5"/>
    <n v="47555.1"/>
    <n v="417.57"/>
  </r>
  <r>
    <s v="ORD00783"/>
    <x v="130"/>
    <x v="539"/>
    <x v="0"/>
    <s v="India"/>
    <s v="Gujarat"/>
    <s v="Chennai"/>
    <s v="CUST3713"/>
    <x v="0"/>
    <x v="1"/>
    <s v="Mobile"/>
    <s v="Product_47"/>
    <s v="Rahul"/>
    <x v="1"/>
    <s v="Cash"/>
    <x v="2"/>
    <n v="6"/>
    <n v="3630"/>
    <n v="20"/>
    <n v="17424"/>
    <n v="1235.46"/>
  </r>
  <r>
    <s v="ORD00784"/>
    <x v="541"/>
    <x v="540"/>
    <x v="0"/>
    <s v="India"/>
    <s v="Tamil Nadu"/>
    <s v="Ahmedabad"/>
    <s v="CUST9235"/>
    <x v="2"/>
    <x v="2"/>
    <s v="Chair"/>
    <s v="Product_38"/>
    <s v="Amit"/>
    <x v="1"/>
    <s v="Cash"/>
    <x v="1"/>
    <n v="3"/>
    <n v="45847"/>
    <n v="10"/>
    <n v="123786.9"/>
    <n v="10711.55"/>
  </r>
  <r>
    <s v="ORD00785"/>
    <x v="178"/>
    <x v="541"/>
    <x v="3"/>
    <s v="India"/>
    <s v="Karnataka"/>
    <s v="Bangalore"/>
    <s v="CUST6094"/>
    <x v="1"/>
    <x v="1"/>
    <s v="Chair"/>
    <s v="Product_67"/>
    <s v="Sneha"/>
    <x v="1"/>
    <s v="Cash"/>
    <x v="3"/>
    <n v="3"/>
    <n v="47511"/>
    <n v="15"/>
    <n v="121153.05"/>
    <n v="-12807.91"/>
  </r>
  <r>
    <s v="ORD00786"/>
    <x v="542"/>
    <x v="300"/>
    <x v="0"/>
    <s v="India"/>
    <s v="Karnataka"/>
    <s v="Mumbai"/>
    <s v="CUST9135"/>
    <x v="1"/>
    <x v="0"/>
    <s v="Mobile"/>
    <s v="Product_46"/>
    <s v="Sneha"/>
    <x v="0"/>
    <s v="Credit Card"/>
    <x v="1"/>
    <n v="2"/>
    <n v="23482"/>
    <n v="20"/>
    <n v="37571.199999999997"/>
    <n v="2267.65"/>
  </r>
  <r>
    <s v="ORD00787"/>
    <x v="543"/>
    <x v="245"/>
    <x v="3"/>
    <s v="India"/>
    <s v="Maharashtra"/>
    <s v="Ahmedabad"/>
    <s v="CUST8928"/>
    <x v="0"/>
    <x v="2"/>
    <s v="Table"/>
    <s v="Product_64"/>
    <s v="Sneha"/>
    <x v="1"/>
    <s v="Cash"/>
    <x v="0"/>
    <n v="10"/>
    <n v="46043"/>
    <n v="5"/>
    <n v="437408.5"/>
    <n v="573.63"/>
  </r>
  <r>
    <s v="ORD00788"/>
    <x v="85"/>
    <x v="542"/>
    <x v="1"/>
    <s v="India"/>
    <s v="Maharashtra"/>
    <s v="Chennai"/>
    <s v="CUST9334"/>
    <x v="0"/>
    <x v="1"/>
    <s v="Chair"/>
    <s v="Product_20"/>
    <s v="Sneha"/>
    <x v="0"/>
    <s v="Debit Card"/>
    <x v="0"/>
    <n v="4"/>
    <n v="8364"/>
    <n v="5"/>
    <n v="31783.200000000001"/>
    <n v="4949.0600000000004"/>
  </r>
  <r>
    <s v="ORD00789"/>
    <x v="376"/>
    <x v="376"/>
    <x v="3"/>
    <s v="India"/>
    <s v="Gujarat"/>
    <s v="Bangalore"/>
    <s v="CUST1666"/>
    <x v="1"/>
    <x v="2"/>
    <s v="Printer"/>
    <s v="Product_50"/>
    <s v="Rahul"/>
    <x v="1"/>
    <s v="UPI"/>
    <x v="1"/>
    <n v="8"/>
    <n v="48482"/>
    <n v="10"/>
    <n v="349070.4"/>
    <n v="13784.33"/>
  </r>
  <r>
    <s v="ORD00790"/>
    <x v="544"/>
    <x v="501"/>
    <x v="0"/>
    <s v="India"/>
    <s v="Gujarat"/>
    <s v="Delhi"/>
    <s v="CUST4630"/>
    <x v="1"/>
    <x v="0"/>
    <s v="Storage"/>
    <s v="Product_20"/>
    <s v="Sneha"/>
    <x v="0"/>
    <s v="Debit Card"/>
    <x v="3"/>
    <n v="8"/>
    <n v="11811"/>
    <n v="5"/>
    <n v="89763.6"/>
    <n v="8958.1299999999992"/>
  </r>
  <r>
    <s v="ORD00791"/>
    <x v="22"/>
    <x v="105"/>
    <x v="0"/>
    <s v="India"/>
    <s v="Karnataka"/>
    <s v="Bangalore"/>
    <s v="CUST5092"/>
    <x v="1"/>
    <x v="0"/>
    <s v="Storage"/>
    <s v="Product_2"/>
    <s v="Neha"/>
    <x v="1"/>
    <s v="UPI"/>
    <x v="1"/>
    <n v="8"/>
    <n v="41890"/>
    <n v="5"/>
    <n v="318364"/>
    <n v="61704.77"/>
  </r>
  <r>
    <s v="ORD00792"/>
    <x v="545"/>
    <x v="543"/>
    <x v="2"/>
    <s v="India"/>
    <s v="Gujarat"/>
    <s v="Bangalore"/>
    <s v="CUST5791"/>
    <x v="0"/>
    <x v="1"/>
    <s v="Table"/>
    <s v="Product_148"/>
    <s v="Karan"/>
    <x v="0"/>
    <s v="Credit Card"/>
    <x v="0"/>
    <n v="3"/>
    <n v="47798"/>
    <n v="20"/>
    <n v="114715.2"/>
    <n v="-12009.49"/>
  </r>
  <r>
    <s v="ORD00793"/>
    <x v="546"/>
    <x v="19"/>
    <x v="1"/>
    <s v="India"/>
    <s v="Maharashtra"/>
    <s v="Chennai"/>
    <s v="CUST6543"/>
    <x v="0"/>
    <x v="1"/>
    <s v="Chair"/>
    <s v="Product_143"/>
    <s v="Priya"/>
    <x v="1"/>
    <s v="Net Banking"/>
    <x v="1"/>
    <n v="8"/>
    <n v="20657"/>
    <n v="20"/>
    <n v="132204.79999999999"/>
    <n v="-18034.3"/>
  </r>
  <r>
    <s v="ORD00794"/>
    <x v="547"/>
    <x v="544"/>
    <x v="0"/>
    <s v="India"/>
    <s v="Delhi"/>
    <s v="Delhi"/>
    <s v="CUST7357"/>
    <x v="0"/>
    <x v="2"/>
    <s v="Printer"/>
    <s v="Product_193"/>
    <s v="Sneha"/>
    <x v="0"/>
    <s v="Debit Card"/>
    <x v="3"/>
    <n v="6"/>
    <n v="35170"/>
    <n v="10"/>
    <n v="189918"/>
    <n v="32481.64"/>
  </r>
  <r>
    <s v="ORD00795"/>
    <x v="170"/>
    <x v="545"/>
    <x v="0"/>
    <s v="India"/>
    <s v="Maharashtra"/>
    <s v="Mumbai"/>
    <s v="CUST3802"/>
    <x v="0"/>
    <x v="1"/>
    <s v="Table"/>
    <s v="Product_80"/>
    <s v="Priya"/>
    <x v="0"/>
    <s v="Cash"/>
    <x v="0"/>
    <n v="5"/>
    <n v="26708"/>
    <n v="20"/>
    <n v="106832"/>
    <n v="3994.05"/>
  </r>
  <r>
    <s v="ORD00796"/>
    <x v="548"/>
    <x v="537"/>
    <x v="1"/>
    <s v="India"/>
    <s v="Gujarat"/>
    <s v="Mumbai"/>
    <s v="CUST7439"/>
    <x v="2"/>
    <x v="2"/>
    <s v="Mobile"/>
    <s v="Product_75"/>
    <s v="Karan"/>
    <x v="0"/>
    <s v="Cash"/>
    <x v="0"/>
    <n v="2"/>
    <n v="11872"/>
    <n v="5"/>
    <n v="22556.799999999999"/>
    <n v="2756.84"/>
  </r>
  <r>
    <s v="ORD00797"/>
    <x v="549"/>
    <x v="546"/>
    <x v="3"/>
    <s v="India"/>
    <s v="Gujarat"/>
    <s v="Ahmedabad"/>
    <s v="CUST7791"/>
    <x v="1"/>
    <x v="0"/>
    <s v="Chair"/>
    <s v="Product_55"/>
    <s v="Amit"/>
    <x v="0"/>
    <s v="Debit Card"/>
    <x v="0"/>
    <n v="5"/>
    <n v="48341"/>
    <n v="0"/>
    <n v="241705"/>
    <n v="62751.54"/>
  </r>
  <r>
    <s v="ORD00798"/>
    <x v="550"/>
    <x v="547"/>
    <x v="3"/>
    <s v="India"/>
    <s v="Maharashtra"/>
    <s v="Ahmedabad"/>
    <s v="CUST5088"/>
    <x v="2"/>
    <x v="0"/>
    <s v="Storage"/>
    <s v="Product_131"/>
    <s v="Neha"/>
    <x v="0"/>
    <s v="UPI"/>
    <x v="0"/>
    <n v="6"/>
    <n v="29796"/>
    <n v="20"/>
    <n v="143020.79999999999"/>
    <n v="-21158.49"/>
  </r>
  <r>
    <s v="ORD00799"/>
    <x v="19"/>
    <x v="381"/>
    <x v="0"/>
    <s v="India"/>
    <s v="Maharashtra"/>
    <s v="Chennai"/>
    <s v="CUST2279"/>
    <x v="2"/>
    <x v="2"/>
    <s v="Table"/>
    <s v="Product_74"/>
    <s v="Karan"/>
    <x v="0"/>
    <s v="Net Banking"/>
    <x v="2"/>
    <n v="6"/>
    <n v="8924"/>
    <n v="0"/>
    <n v="53544"/>
    <n v="5877.73"/>
  </r>
  <r>
    <s v="ORD00800"/>
    <x v="551"/>
    <x v="548"/>
    <x v="3"/>
    <s v="India"/>
    <s v="Gujarat"/>
    <s v="Bangalore"/>
    <s v="CUST6938"/>
    <x v="2"/>
    <x v="2"/>
    <s v="Chair"/>
    <s v="Product_85"/>
    <s v="Rahul"/>
    <x v="1"/>
    <s v="Net Banking"/>
    <x v="0"/>
    <n v="10"/>
    <n v="18518"/>
    <n v="0"/>
    <n v="185180"/>
    <n v="42884.07"/>
  </r>
  <r>
    <s v="ORD00801"/>
    <x v="217"/>
    <x v="549"/>
    <x v="0"/>
    <s v="India"/>
    <s v="Maharashtra"/>
    <s v="Ahmedabad"/>
    <s v="CUST6540"/>
    <x v="1"/>
    <x v="0"/>
    <s v="Chair"/>
    <s v="Product_7"/>
    <s v="Amit"/>
    <x v="1"/>
    <s v="Cash"/>
    <x v="3"/>
    <n v="6"/>
    <n v="33720"/>
    <n v="5"/>
    <n v="192204"/>
    <n v="31715.61"/>
  </r>
  <r>
    <s v="ORD00802"/>
    <x v="357"/>
    <x v="550"/>
    <x v="1"/>
    <s v="India"/>
    <s v="Karnataka"/>
    <s v="Bangalore"/>
    <s v="CUST7899"/>
    <x v="1"/>
    <x v="2"/>
    <s v="Table"/>
    <s v="Product_52"/>
    <s v="Priya"/>
    <x v="1"/>
    <s v="Cash"/>
    <x v="0"/>
    <n v="8"/>
    <n v="49815"/>
    <n v="5"/>
    <n v="378594"/>
    <n v="56525.79"/>
  </r>
  <r>
    <s v="ORD00803"/>
    <x v="552"/>
    <x v="80"/>
    <x v="3"/>
    <s v="India"/>
    <s v="Delhi"/>
    <s v="Ahmedabad"/>
    <s v="CUST5847"/>
    <x v="1"/>
    <x v="0"/>
    <s v="Table"/>
    <s v="Product_63"/>
    <s v="Priya"/>
    <x v="0"/>
    <s v="UPI"/>
    <x v="2"/>
    <n v="10"/>
    <n v="31721"/>
    <n v="20"/>
    <n v="253768"/>
    <n v="-45391.99"/>
  </r>
  <r>
    <s v="ORD00804"/>
    <x v="553"/>
    <x v="438"/>
    <x v="1"/>
    <s v="India"/>
    <s v="Karnataka"/>
    <s v="Mumbai"/>
    <s v="CUST1194"/>
    <x v="0"/>
    <x v="1"/>
    <s v="Laptop"/>
    <s v="Product_173"/>
    <s v="Priya"/>
    <x v="1"/>
    <s v="UPI"/>
    <x v="0"/>
    <n v="3"/>
    <n v="1080"/>
    <n v="20"/>
    <n v="2592"/>
    <n v="33.369999999999997"/>
  </r>
  <r>
    <s v="ORD00805"/>
    <x v="509"/>
    <x v="250"/>
    <x v="0"/>
    <s v="India"/>
    <s v="Tamil Nadu"/>
    <s v="Delhi"/>
    <s v="CUST9133"/>
    <x v="0"/>
    <x v="2"/>
    <s v="Table"/>
    <s v="Product_81"/>
    <s v="Karan"/>
    <x v="0"/>
    <s v="Debit Card"/>
    <x v="1"/>
    <n v="6"/>
    <n v="12208"/>
    <n v="20"/>
    <n v="58598.400000000001"/>
    <n v="-2578.42"/>
  </r>
  <r>
    <s v="ORD00806"/>
    <x v="286"/>
    <x v="551"/>
    <x v="0"/>
    <s v="India"/>
    <s v="Maharashtra"/>
    <s v="Ahmedabad"/>
    <s v="CUST8654"/>
    <x v="0"/>
    <x v="2"/>
    <s v="Storage"/>
    <s v="Product_56"/>
    <s v="Amit"/>
    <x v="1"/>
    <s v="UPI"/>
    <x v="0"/>
    <n v="5"/>
    <n v="26191"/>
    <n v="5"/>
    <n v="124407.25"/>
    <n v="118.08"/>
  </r>
  <r>
    <s v="ORD00807"/>
    <x v="554"/>
    <x v="552"/>
    <x v="1"/>
    <s v="India"/>
    <s v="Gujarat"/>
    <s v="Ahmedabad"/>
    <s v="CUST4206"/>
    <x v="2"/>
    <x v="1"/>
    <s v="Table"/>
    <s v="Product_134"/>
    <s v="Neha"/>
    <x v="0"/>
    <s v="Credit Card"/>
    <x v="3"/>
    <n v="7"/>
    <n v="16823"/>
    <n v="10"/>
    <n v="105984.9"/>
    <n v="7512.03"/>
  </r>
  <r>
    <s v="ORD00808"/>
    <x v="463"/>
    <x v="553"/>
    <x v="1"/>
    <s v="India"/>
    <s v="Karnataka"/>
    <s v="Bangalore"/>
    <s v="CUST4637"/>
    <x v="2"/>
    <x v="1"/>
    <s v="Printer"/>
    <s v="Product_8"/>
    <s v="Amit"/>
    <x v="1"/>
    <s v="Debit Card"/>
    <x v="1"/>
    <n v="6"/>
    <n v="47663"/>
    <n v="10"/>
    <n v="257380.2"/>
    <n v="24388.36"/>
  </r>
  <r>
    <s v="ORD00809"/>
    <x v="555"/>
    <x v="554"/>
    <x v="3"/>
    <s v="India"/>
    <s v="Maharashtra"/>
    <s v="Bangalore"/>
    <s v="CUST5345"/>
    <x v="0"/>
    <x v="1"/>
    <s v="Table"/>
    <s v="Product_16"/>
    <s v="Neha"/>
    <x v="1"/>
    <s v="Debit Card"/>
    <x v="0"/>
    <n v="10"/>
    <n v="37732"/>
    <n v="10"/>
    <n v="339588"/>
    <n v="13062.88"/>
  </r>
  <r>
    <s v="ORD00810"/>
    <x v="178"/>
    <x v="555"/>
    <x v="1"/>
    <s v="India"/>
    <s v="Tamil Nadu"/>
    <s v="Bangalore"/>
    <s v="CUST1616"/>
    <x v="0"/>
    <x v="0"/>
    <s v="Storage"/>
    <s v="Product_24"/>
    <s v="Neha"/>
    <x v="0"/>
    <s v="Cash"/>
    <x v="3"/>
    <n v="5"/>
    <n v="38160"/>
    <n v="15"/>
    <n v="162180"/>
    <n v="-16213.38"/>
  </r>
  <r>
    <s v="ORD00811"/>
    <x v="348"/>
    <x v="556"/>
    <x v="1"/>
    <s v="India"/>
    <s v="Tamil Nadu"/>
    <s v="Ahmedabad"/>
    <s v="CUST3672"/>
    <x v="1"/>
    <x v="0"/>
    <s v="Printer"/>
    <s v="Product_19"/>
    <s v="Karan"/>
    <x v="1"/>
    <s v="UPI"/>
    <x v="3"/>
    <n v="4"/>
    <n v="46277"/>
    <n v="0"/>
    <n v="185108"/>
    <n v="43880.08"/>
  </r>
  <r>
    <s v="ORD00812"/>
    <x v="432"/>
    <x v="10"/>
    <x v="0"/>
    <s v="India"/>
    <s v="Gujarat"/>
    <s v="Mumbai"/>
    <s v="CUST1612"/>
    <x v="1"/>
    <x v="2"/>
    <s v="Chair"/>
    <s v="Product_171"/>
    <s v="Amit"/>
    <x v="0"/>
    <s v="Net Banking"/>
    <x v="2"/>
    <n v="9"/>
    <n v="770"/>
    <n v="10"/>
    <n v="6237"/>
    <n v="580.92999999999995"/>
  </r>
  <r>
    <s v="ORD00813"/>
    <x v="556"/>
    <x v="539"/>
    <x v="2"/>
    <s v="India"/>
    <s v="Karnataka"/>
    <s v="Chennai"/>
    <s v="CUST2755"/>
    <x v="0"/>
    <x v="2"/>
    <s v="Storage"/>
    <s v="Product_187"/>
    <s v="Amit"/>
    <x v="1"/>
    <s v="Credit Card"/>
    <x v="0"/>
    <n v="8"/>
    <n v="44883"/>
    <n v="10"/>
    <n v="323157.59999999998"/>
    <n v="35110.68"/>
  </r>
  <r>
    <s v="ORD00814"/>
    <x v="215"/>
    <x v="88"/>
    <x v="2"/>
    <s v="India"/>
    <s v="Delhi"/>
    <s v="Delhi"/>
    <s v="CUST2420"/>
    <x v="1"/>
    <x v="0"/>
    <s v="Storage"/>
    <s v="Product_32"/>
    <s v="Sneha"/>
    <x v="0"/>
    <s v="Cash"/>
    <x v="0"/>
    <n v="6"/>
    <n v="44868"/>
    <n v="0"/>
    <n v="269208"/>
    <n v="34938.29"/>
  </r>
  <r>
    <s v="ORD00815"/>
    <x v="156"/>
    <x v="123"/>
    <x v="1"/>
    <s v="India"/>
    <s v="Tamil Nadu"/>
    <s v="Mumbai"/>
    <s v="CUST1332"/>
    <x v="2"/>
    <x v="1"/>
    <s v="Chair"/>
    <s v="Product_22"/>
    <s v="Rahul"/>
    <x v="0"/>
    <s v="UPI"/>
    <x v="3"/>
    <n v="8"/>
    <n v="4238"/>
    <n v="0"/>
    <n v="33904"/>
    <n v="2583.21"/>
  </r>
  <r>
    <s v="ORD00816"/>
    <x v="108"/>
    <x v="105"/>
    <x v="1"/>
    <s v="India"/>
    <s v="Gujarat"/>
    <s v="Mumbai"/>
    <s v="CUST8665"/>
    <x v="2"/>
    <x v="0"/>
    <s v="Table"/>
    <s v="Product_46"/>
    <s v="Rahul"/>
    <x v="1"/>
    <s v="Net Banking"/>
    <x v="2"/>
    <n v="6"/>
    <n v="8860"/>
    <n v="15"/>
    <n v="45186"/>
    <n v="4981.58"/>
  </r>
  <r>
    <s v="ORD00817"/>
    <x v="519"/>
    <x v="557"/>
    <x v="1"/>
    <s v="India"/>
    <s v="Maharashtra"/>
    <s v="Bangalore"/>
    <s v="CUST5641"/>
    <x v="1"/>
    <x v="1"/>
    <s v="Printer"/>
    <s v="Product_46"/>
    <s v="Priya"/>
    <x v="1"/>
    <s v="UPI"/>
    <x v="2"/>
    <n v="4"/>
    <n v="9631"/>
    <n v="20"/>
    <n v="30819.200000000001"/>
    <n v="-4075.9"/>
  </r>
  <r>
    <s v="ORD00818"/>
    <x v="557"/>
    <x v="558"/>
    <x v="0"/>
    <s v="India"/>
    <s v="Delhi"/>
    <s v="Delhi"/>
    <s v="CUST6577"/>
    <x v="1"/>
    <x v="1"/>
    <s v="Storage"/>
    <s v="Product_10"/>
    <s v="Sneha"/>
    <x v="1"/>
    <s v="Credit Card"/>
    <x v="1"/>
    <n v="8"/>
    <n v="14900"/>
    <n v="5"/>
    <n v="113240"/>
    <n v="12741.86"/>
  </r>
  <r>
    <s v="ORD00819"/>
    <x v="401"/>
    <x v="508"/>
    <x v="0"/>
    <s v="India"/>
    <s v="Maharashtra"/>
    <s v="Bangalore"/>
    <s v="CUST2061"/>
    <x v="0"/>
    <x v="1"/>
    <s v="Printer"/>
    <s v="Product_68"/>
    <s v="Priya"/>
    <x v="0"/>
    <s v="Net Banking"/>
    <x v="0"/>
    <n v="6"/>
    <n v="29830"/>
    <n v="10"/>
    <n v="161082"/>
    <n v="31707.77"/>
  </r>
  <r>
    <s v="ORD00820"/>
    <x v="169"/>
    <x v="44"/>
    <x v="1"/>
    <s v="India"/>
    <s v="Tamil Nadu"/>
    <s v="Mumbai"/>
    <s v="CUST5772"/>
    <x v="0"/>
    <x v="2"/>
    <s v="Chair"/>
    <s v="Product_162"/>
    <s v="Neha"/>
    <x v="1"/>
    <s v="UPI"/>
    <x v="2"/>
    <n v="4"/>
    <n v="4512"/>
    <n v="5"/>
    <n v="17145.599999999999"/>
    <n v="556.9"/>
  </r>
  <r>
    <s v="ORD00821"/>
    <x v="344"/>
    <x v="141"/>
    <x v="2"/>
    <s v="India"/>
    <s v="Tamil Nadu"/>
    <s v="Bangalore"/>
    <s v="CUST7264"/>
    <x v="1"/>
    <x v="2"/>
    <s v="Storage"/>
    <s v="Product_81"/>
    <s v="Rahul"/>
    <x v="0"/>
    <s v="Cash"/>
    <x v="1"/>
    <n v="6"/>
    <n v="6467"/>
    <n v="10"/>
    <n v="34921.800000000003"/>
    <n v="-1828.11"/>
  </r>
  <r>
    <s v="ORD00822"/>
    <x v="558"/>
    <x v="559"/>
    <x v="1"/>
    <s v="India"/>
    <s v="Karnataka"/>
    <s v="Mumbai"/>
    <s v="CUST9124"/>
    <x v="1"/>
    <x v="2"/>
    <s v="Laptop"/>
    <s v="Product_189"/>
    <s v="Amit"/>
    <x v="0"/>
    <s v="Net Banking"/>
    <x v="0"/>
    <n v="4"/>
    <n v="33784"/>
    <n v="0"/>
    <n v="135136"/>
    <n v="27993.34"/>
  </r>
  <r>
    <s v="ORD00823"/>
    <x v="121"/>
    <x v="560"/>
    <x v="1"/>
    <s v="India"/>
    <s v="Gujarat"/>
    <s v="Chennai"/>
    <s v="CUST7806"/>
    <x v="0"/>
    <x v="0"/>
    <s v="Chair"/>
    <s v="Product_105"/>
    <s v="Karan"/>
    <x v="1"/>
    <s v="Credit Card"/>
    <x v="0"/>
    <n v="1"/>
    <n v="25657"/>
    <n v="15"/>
    <n v="21808.45"/>
    <n v="978.45"/>
  </r>
  <r>
    <s v="ORD00824"/>
    <x v="117"/>
    <x v="561"/>
    <x v="1"/>
    <s v="India"/>
    <s v="Gujarat"/>
    <s v="Mumbai"/>
    <s v="CUST3279"/>
    <x v="2"/>
    <x v="1"/>
    <s v="Printer"/>
    <s v="Product_186"/>
    <s v="Neha"/>
    <x v="0"/>
    <s v="Credit Card"/>
    <x v="3"/>
    <n v="4"/>
    <n v="42451"/>
    <n v="15"/>
    <n v="144333.4"/>
    <n v="5287.75"/>
  </r>
  <r>
    <s v="ORD00825"/>
    <x v="426"/>
    <x v="562"/>
    <x v="0"/>
    <s v="India"/>
    <s v="Maharashtra"/>
    <s v="Chennai"/>
    <s v="CUST3480"/>
    <x v="2"/>
    <x v="2"/>
    <s v="Storage"/>
    <s v="Product_60"/>
    <s v="Neha"/>
    <x v="1"/>
    <s v="Debit Card"/>
    <x v="3"/>
    <n v="7"/>
    <n v="6463"/>
    <n v="5"/>
    <n v="42978.95"/>
    <n v="6510.35"/>
  </r>
  <r>
    <s v="ORD00826"/>
    <x v="59"/>
    <x v="315"/>
    <x v="1"/>
    <s v="India"/>
    <s v="Karnataka"/>
    <s v="Delhi"/>
    <s v="CUST6920"/>
    <x v="1"/>
    <x v="2"/>
    <s v="Table"/>
    <s v="Product_191"/>
    <s v="Neha"/>
    <x v="1"/>
    <s v="Debit Card"/>
    <x v="3"/>
    <n v="6"/>
    <n v="9134"/>
    <n v="15"/>
    <n v="46583.4"/>
    <n v="-4740.59"/>
  </r>
  <r>
    <s v="ORD00827"/>
    <x v="68"/>
    <x v="314"/>
    <x v="0"/>
    <s v="India"/>
    <s v="Delhi"/>
    <s v="Bangalore"/>
    <s v="CUST1948"/>
    <x v="1"/>
    <x v="0"/>
    <s v="Chair"/>
    <s v="Product_120"/>
    <s v="Priya"/>
    <x v="0"/>
    <s v="Cash"/>
    <x v="3"/>
    <n v="10"/>
    <n v="3332"/>
    <n v="15"/>
    <n v="28322"/>
    <n v="-3082.61"/>
  </r>
  <r>
    <s v="ORD00828"/>
    <x v="18"/>
    <x v="140"/>
    <x v="0"/>
    <s v="India"/>
    <s v="Tamil Nadu"/>
    <s v="Delhi"/>
    <s v="CUST8767"/>
    <x v="1"/>
    <x v="1"/>
    <s v="Mobile"/>
    <s v="Product_95"/>
    <s v="Amit"/>
    <x v="1"/>
    <s v="UPI"/>
    <x v="2"/>
    <n v="2"/>
    <n v="15195"/>
    <n v="5"/>
    <n v="28870.5"/>
    <n v="3911.2"/>
  </r>
  <r>
    <s v="ORD00829"/>
    <x v="559"/>
    <x v="17"/>
    <x v="1"/>
    <s v="India"/>
    <s v="Delhi"/>
    <s v="Mumbai"/>
    <s v="CUST9484"/>
    <x v="1"/>
    <x v="0"/>
    <s v="Table"/>
    <s v="Product_176"/>
    <s v="Sneha"/>
    <x v="1"/>
    <s v="UPI"/>
    <x v="3"/>
    <n v="3"/>
    <n v="11576"/>
    <n v="0"/>
    <n v="34728"/>
    <n v="2169.8200000000002"/>
  </r>
  <r>
    <s v="ORD00830"/>
    <x v="215"/>
    <x v="0"/>
    <x v="3"/>
    <s v="India"/>
    <s v="Gujarat"/>
    <s v="Mumbai"/>
    <s v="CUST5236"/>
    <x v="0"/>
    <x v="2"/>
    <s v="Mobile"/>
    <s v="Product_33"/>
    <s v="Karan"/>
    <x v="1"/>
    <s v="Cash"/>
    <x v="1"/>
    <n v="7"/>
    <n v="48837"/>
    <n v="10"/>
    <n v="307673.09999999998"/>
    <n v="58343.9"/>
  </r>
  <r>
    <s v="ORD00831"/>
    <x v="560"/>
    <x v="563"/>
    <x v="0"/>
    <s v="India"/>
    <s v="Tamil Nadu"/>
    <s v="Chennai"/>
    <s v="CUST1442"/>
    <x v="1"/>
    <x v="1"/>
    <s v="Printer"/>
    <s v="Product_40"/>
    <s v="Sneha"/>
    <x v="0"/>
    <s v="Cash"/>
    <x v="3"/>
    <n v="10"/>
    <n v="34149"/>
    <n v="0"/>
    <n v="341490"/>
    <n v="57508.12"/>
  </r>
  <r>
    <s v="ORD00832"/>
    <x v="557"/>
    <x v="308"/>
    <x v="3"/>
    <s v="India"/>
    <s v="Tamil Nadu"/>
    <s v="Mumbai"/>
    <s v="CUST9930"/>
    <x v="2"/>
    <x v="2"/>
    <s v="Printer"/>
    <s v="Product_69"/>
    <s v="Priya"/>
    <x v="0"/>
    <s v="Cash"/>
    <x v="0"/>
    <n v="1"/>
    <n v="40688"/>
    <n v="0"/>
    <n v="40688"/>
    <n v="4313.7700000000004"/>
  </r>
  <r>
    <s v="ORD00833"/>
    <x v="162"/>
    <x v="395"/>
    <x v="3"/>
    <s v="India"/>
    <s v="Karnataka"/>
    <s v="Chennai"/>
    <s v="CUST2834"/>
    <x v="1"/>
    <x v="2"/>
    <s v="Table"/>
    <s v="Product_154"/>
    <s v="Karan"/>
    <x v="0"/>
    <s v="Cash"/>
    <x v="3"/>
    <n v="7"/>
    <n v="16789"/>
    <n v="0"/>
    <n v="117523"/>
    <n v="28994.240000000002"/>
  </r>
  <r>
    <s v="ORD00834"/>
    <x v="205"/>
    <x v="157"/>
    <x v="1"/>
    <s v="India"/>
    <s v="Maharashtra"/>
    <s v="Ahmedabad"/>
    <s v="CUST3600"/>
    <x v="2"/>
    <x v="1"/>
    <s v="Chair"/>
    <s v="Product_25"/>
    <s v="Sneha"/>
    <x v="0"/>
    <s v="Net Banking"/>
    <x v="3"/>
    <n v="9"/>
    <n v="5435"/>
    <n v="20"/>
    <n v="39132"/>
    <n v="2583.94"/>
  </r>
  <r>
    <s v="ORD00835"/>
    <x v="561"/>
    <x v="554"/>
    <x v="2"/>
    <s v="India"/>
    <s v="Maharashtra"/>
    <s v="Chennai"/>
    <s v="CUST2631"/>
    <x v="0"/>
    <x v="0"/>
    <s v="Printer"/>
    <s v="Product_154"/>
    <s v="Priya"/>
    <x v="1"/>
    <s v="Debit Card"/>
    <x v="1"/>
    <n v="7"/>
    <n v="10459"/>
    <n v="20"/>
    <n v="58570.400000000001"/>
    <n v="419.58"/>
  </r>
  <r>
    <s v="ORD00836"/>
    <x v="562"/>
    <x v="9"/>
    <x v="3"/>
    <s v="India"/>
    <s v="Maharashtra"/>
    <s v="Mumbai"/>
    <s v="CUST6957"/>
    <x v="1"/>
    <x v="1"/>
    <s v="Laptop"/>
    <s v="Product_24"/>
    <s v="Rahul"/>
    <x v="1"/>
    <s v="Cash"/>
    <x v="0"/>
    <n v="3"/>
    <n v="9369"/>
    <n v="0"/>
    <n v="28107"/>
    <n v="3193.16"/>
  </r>
  <r>
    <s v="ORD00837"/>
    <x v="563"/>
    <x v="564"/>
    <x v="3"/>
    <s v="India"/>
    <s v="Tamil Nadu"/>
    <s v="Mumbai"/>
    <s v="CUST4862"/>
    <x v="0"/>
    <x v="1"/>
    <s v="Storage"/>
    <s v="Product_1"/>
    <s v="Karan"/>
    <x v="1"/>
    <s v="UPI"/>
    <x v="1"/>
    <n v="10"/>
    <n v="19012"/>
    <n v="10"/>
    <n v="171108"/>
    <n v="29633.8"/>
  </r>
  <r>
    <s v="ORD00838"/>
    <x v="55"/>
    <x v="565"/>
    <x v="3"/>
    <s v="India"/>
    <s v="Gujarat"/>
    <s v="Mumbai"/>
    <s v="CUST3160"/>
    <x v="1"/>
    <x v="0"/>
    <s v="Printer"/>
    <s v="Product_129"/>
    <s v="Sneha"/>
    <x v="0"/>
    <s v="Debit Card"/>
    <x v="3"/>
    <n v="8"/>
    <n v="21129"/>
    <n v="10"/>
    <n v="152128.79999999999"/>
    <n v="33555.25"/>
  </r>
  <r>
    <s v="ORD00839"/>
    <x v="564"/>
    <x v="234"/>
    <x v="3"/>
    <s v="India"/>
    <s v="Gujarat"/>
    <s v="Chennai"/>
    <s v="CUST1920"/>
    <x v="2"/>
    <x v="1"/>
    <s v="Chair"/>
    <s v="Product_187"/>
    <s v="Amit"/>
    <x v="0"/>
    <s v="Cash"/>
    <x v="0"/>
    <n v="7"/>
    <n v="40663"/>
    <n v="0"/>
    <n v="284641"/>
    <n v="52727.34"/>
  </r>
  <r>
    <s v="ORD00840"/>
    <x v="565"/>
    <x v="566"/>
    <x v="3"/>
    <s v="India"/>
    <s v="Karnataka"/>
    <s v="Ahmedabad"/>
    <s v="CUST8058"/>
    <x v="2"/>
    <x v="1"/>
    <s v="Storage"/>
    <s v="Product_164"/>
    <s v="Priya"/>
    <x v="0"/>
    <s v="Credit Card"/>
    <x v="0"/>
    <n v="6"/>
    <n v="30475"/>
    <n v="15"/>
    <n v="155422.5"/>
    <n v="23889.15"/>
  </r>
  <r>
    <s v="ORD00841"/>
    <x v="566"/>
    <x v="421"/>
    <x v="3"/>
    <s v="India"/>
    <s v="Tamil Nadu"/>
    <s v="Chennai"/>
    <s v="CUST4285"/>
    <x v="0"/>
    <x v="2"/>
    <s v="Chair"/>
    <s v="Product_64"/>
    <s v="Rahul"/>
    <x v="0"/>
    <s v="Debit Card"/>
    <x v="2"/>
    <n v="4"/>
    <n v="8507"/>
    <n v="20"/>
    <n v="27222.400000000001"/>
    <n v="-2803.07"/>
  </r>
  <r>
    <s v="ORD00842"/>
    <x v="1"/>
    <x v="567"/>
    <x v="3"/>
    <s v="India"/>
    <s v="Tamil Nadu"/>
    <s v="Ahmedabad"/>
    <s v="CUST6786"/>
    <x v="1"/>
    <x v="1"/>
    <s v="Storage"/>
    <s v="Product_154"/>
    <s v="Amit"/>
    <x v="1"/>
    <s v="Cash"/>
    <x v="3"/>
    <n v="1"/>
    <n v="18781"/>
    <n v="5"/>
    <n v="17841.95"/>
    <n v="3167.79"/>
  </r>
  <r>
    <s v="ORD00843"/>
    <x v="567"/>
    <x v="42"/>
    <x v="0"/>
    <s v="India"/>
    <s v="Tamil Nadu"/>
    <s v="Mumbai"/>
    <s v="CUST7073"/>
    <x v="0"/>
    <x v="2"/>
    <s v="Laptop"/>
    <s v="Product_136"/>
    <s v="Karan"/>
    <x v="1"/>
    <s v="Debit Card"/>
    <x v="3"/>
    <n v="4"/>
    <n v="29595"/>
    <n v="15"/>
    <n v="100623"/>
    <n v="5757.13"/>
  </r>
  <r>
    <s v="ORD00844"/>
    <x v="568"/>
    <x v="515"/>
    <x v="2"/>
    <s v="India"/>
    <s v="Gujarat"/>
    <s v="Ahmedabad"/>
    <s v="CUST8465"/>
    <x v="0"/>
    <x v="0"/>
    <s v="Laptop"/>
    <s v="Product_104"/>
    <s v="Neha"/>
    <x v="0"/>
    <s v="UPI"/>
    <x v="3"/>
    <n v="2"/>
    <n v="34321"/>
    <n v="20"/>
    <n v="54913.599999999999"/>
    <n v="-7551.93"/>
  </r>
  <r>
    <s v="ORD00845"/>
    <x v="569"/>
    <x v="43"/>
    <x v="2"/>
    <s v="India"/>
    <s v="Karnataka"/>
    <s v="Delhi"/>
    <s v="CUST1463"/>
    <x v="2"/>
    <x v="2"/>
    <s v="Mobile"/>
    <s v="Product_166"/>
    <s v="Priya"/>
    <x v="1"/>
    <s v="Debit Card"/>
    <x v="3"/>
    <n v="1"/>
    <n v="8219"/>
    <n v="10"/>
    <n v="7397.1"/>
    <n v="638.41999999999996"/>
  </r>
  <r>
    <s v="ORD00846"/>
    <x v="570"/>
    <x v="568"/>
    <x v="3"/>
    <s v="India"/>
    <s v="Gujarat"/>
    <s v="Mumbai"/>
    <s v="CUST9103"/>
    <x v="2"/>
    <x v="2"/>
    <s v="Chair"/>
    <s v="Product_174"/>
    <s v="Priya"/>
    <x v="1"/>
    <s v="Credit Card"/>
    <x v="2"/>
    <n v="6"/>
    <n v="2897"/>
    <n v="20"/>
    <n v="13905.6"/>
    <n v="-553.65"/>
  </r>
  <r>
    <s v="ORD00847"/>
    <x v="280"/>
    <x v="53"/>
    <x v="0"/>
    <s v="India"/>
    <s v="Karnataka"/>
    <s v="Delhi"/>
    <s v="CUST4961"/>
    <x v="1"/>
    <x v="2"/>
    <s v="Printer"/>
    <s v="Product_177"/>
    <s v="Sneha"/>
    <x v="1"/>
    <s v="Net Banking"/>
    <x v="3"/>
    <n v="7"/>
    <n v="23889"/>
    <n v="5"/>
    <n v="158861.85"/>
    <n v="32659.91"/>
  </r>
  <r>
    <s v="ORD00848"/>
    <x v="571"/>
    <x v="329"/>
    <x v="2"/>
    <s v="India"/>
    <s v="Karnataka"/>
    <s v="Ahmedabad"/>
    <s v="CUST8794"/>
    <x v="1"/>
    <x v="0"/>
    <s v="Chair"/>
    <s v="Product_159"/>
    <s v="Rahul"/>
    <x v="1"/>
    <s v="Cash"/>
    <x v="2"/>
    <n v="10"/>
    <n v="25835"/>
    <n v="10"/>
    <n v="232515"/>
    <n v="35613.74"/>
  </r>
  <r>
    <s v="ORD00849"/>
    <x v="286"/>
    <x v="282"/>
    <x v="1"/>
    <s v="India"/>
    <s v="Karnataka"/>
    <s v="Ahmedabad"/>
    <s v="CUST1028"/>
    <x v="1"/>
    <x v="2"/>
    <s v="Printer"/>
    <s v="Product_50"/>
    <s v="Priya"/>
    <x v="0"/>
    <s v="Cash"/>
    <x v="0"/>
    <n v="7"/>
    <n v="30268"/>
    <n v="0"/>
    <n v="211876"/>
    <n v="31430.69"/>
  </r>
  <r>
    <s v="ORD00850"/>
    <x v="190"/>
    <x v="233"/>
    <x v="2"/>
    <s v="India"/>
    <s v="Karnataka"/>
    <s v="Bangalore"/>
    <s v="CUST3866"/>
    <x v="0"/>
    <x v="2"/>
    <s v="Laptop"/>
    <s v="Product_29"/>
    <s v="Karan"/>
    <x v="0"/>
    <s v="Credit Card"/>
    <x v="3"/>
    <n v="5"/>
    <n v="5797"/>
    <n v="5"/>
    <n v="27535.75"/>
    <n v="2965.41"/>
  </r>
  <r>
    <s v="ORD00851"/>
    <x v="165"/>
    <x v="569"/>
    <x v="2"/>
    <s v="India"/>
    <s v="Karnataka"/>
    <s v="Chennai"/>
    <s v="CUST8489"/>
    <x v="2"/>
    <x v="2"/>
    <s v="Laptop"/>
    <s v="Product_12"/>
    <s v="Sneha"/>
    <x v="0"/>
    <s v="Debit Card"/>
    <x v="0"/>
    <n v="8"/>
    <n v="11975"/>
    <n v="15"/>
    <n v="81430"/>
    <n v="3351.31"/>
  </r>
  <r>
    <s v="ORD00852"/>
    <x v="572"/>
    <x v="570"/>
    <x v="3"/>
    <s v="India"/>
    <s v="Delhi"/>
    <s v="Delhi"/>
    <s v="CUST7515"/>
    <x v="1"/>
    <x v="1"/>
    <s v="Table"/>
    <s v="Product_87"/>
    <s v="Priya"/>
    <x v="1"/>
    <s v="Debit Card"/>
    <x v="3"/>
    <n v="8"/>
    <n v="17739"/>
    <n v="15"/>
    <n v="120625.2"/>
    <n v="13710.5"/>
  </r>
  <r>
    <s v="ORD00853"/>
    <x v="424"/>
    <x v="571"/>
    <x v="3"/>
    <s v="India"/>
    <s v="Karnataka"/>
    <s v="Delhi"/>
    <s v="CUST3313"/>
    <x v="0"/>
    <x v="2"/>
    <s v="Storage"/>
    <s v="Product_183"/>
    <s v="Karan"/>
    <x v="1"/>
    <s v="Net Banking"/>
    <x v="1"/>
    <n v="6"/>
    <n v="17849"/>
    <n v="15"/>
    <n v="91029.9"/>
    <n v="-9224.2900000000009"/>
  </r>
  <r>
    <s v="ORD00854"/>
    <x v="245"/>
    <x v="572"/>
    <x v="0"/>
    <s v="India"/>
    <s v="Gujarat"/>
    <s v="Chennai"/>
    <s v="CUST6142"/>
    <x v="2"/>
    <x v="0"/>
    <s v="Mobile"/>
    <s v="Product_116"/>
    <s v="Karan"/>
    <x v="1"/>
    <s v="UPI"/>
    <x v="0"/>
    <n v="7"/>
    <n v="34532"/>
    <n v="10"/>
    <n v="217551.6"/>
    <n v="30580.34"/>
  </r>
  <r>
    <s v="ORD00855"/>
    <x v="573"/>
    <x v="367"/>
    <x v="3"/>
    <s v="India"/>
    <s v="Maharashtra"/>
    <s v="Bangalore"/>
    <s v="CUST6301"/>
    <x v="1"/>
    <x v="1"/>
    <s v="Laptop"/>
    <s v="Product_170"/>
    <s v="Amit"/>
    <x v="1"/>
    <s v="UPI"/>
    <x v="3"/>
    <n v="9"/>
    <n v="2889"/>
    <n v="10"/>
    <n v="23400.9"/>
    <n v="-1055.69"/>
  </r>
  <r>
    <s v="ORD00856"/>
    <x v="214"/>
    <x v="252"/>
    <x v="1"/>
    <s v="India"/>
    <s v="Maharashtra"/>
    <s v="Bangalore"/>
    <s v="CUST6787"/>
    <x v="1"/>
    <x v="1"/>
    <s v="Mobile"/>
    <s v="Product_153"/>
    <s v="Rahul"/>
    <x v="1"/>
    <s v="Net Banking"/>
    <x v="1"/>
    <n v="4"/>
    <n v="27960"/>
    <n v="5"/>
    <n v="106248"/>
    <n v="14299.42"/>
  </r>
  <r>
    <s v="ORD00857"/>
    <x v="114"/>
    <x v="197"/>
    <x v="2"/>
    <s v="India"/>
    <s v="Maharashtra"/>
    <s v="Ahmedabad"/>
    <s v="CUST6314"/>
    <x v="1"/>
    <x v="0"/>
    <s v="Storage"/>
    <s v="Product_24"/>
    <s v="Amit"/>
    <x v="1"/>
    <s v="Debit Card"/>
    <x v="3"/>
    <n v="5"/>
    <n v="47045"/>
    <n v="0"/>
    <n v="235225"/>
    <n v="50814.2"/>
  </r>
  <r>
    <s v="ORD00858"/>
    <x v="574"/>
    <x v="334"/>
    <x v="2"/>
    <s v="India"/>
    <s v="Maharashtra"/>
    <s v="Bangalore"/>
    <s v="CUST5811"/>
    <x v="0"/>
    <x v="2"/>
    <s v="Mobile"/>
    <s v="Product_25"/>
    <s v="Karan"/>
    <x v="0"/>
    <s v="Credit Card"/>
    <x v="3"/>
    <n v="5"/>
    <n v="46983"/>
    <n v="0"/>
    <n v="234915"/>
    <n v="26271.49"/>
  </r>
  <r>
    <s v="ORD00859"/>
    <x v="493"/>
    <x v="465"/>
    <x v="2"/>
    <s v="India"/>
    <s v="Tamil Nadu"/>
    <s v="Delhi"/>
    <s v="CUST2553"/>
    <x v="2"/>
    <x v="2"/>
    <s v="Laptop"/>
    <s v="Product_177"/>
    <s v="Sneha"/>
    <x v="0"/>
    <s v="UPI"/>
    <x v="1"/>
    <n v="4"/>
    <n v="3147"/>
    <n v="5"/>
    <n v="11958.6"/>
    <n v="2586.86"/>
  </r>
  <r>
    <s v="ORD00860"/>
    <x v="329"/>
    <x v="573"/>
    <x v="2"/>
    <s v="India"/>
    <s v="Delhi"/>
    <s v="Bangalore"/>
    <s v="CUST5993"/>
    <x v="0"/>
    <x v="0"/>
    <s v="Table"/>
    <s v="Product_29"/>
    <s v="Karan"/>
    <x v="1"/>
    <s v="Cash"/>
    <x v="0"/>
    <n v="8"/>
    <n v="1274"/>
    <n v="10"/>
    <n v="9172.7999999999993"/>
    <n v="422.09"/>
  </r>
  <r>
    <s v="ORD00861"/>
    <x v="575"/>
    <x v="478"/>
    <x v="3"/>
    <s v="India"/>
    <s v="Delhi"/>
    <s v="Ahmedabad"/>
    <s v="CUST3783"/>
    <x v="1"/>
    <x v="2"/>
    <s v="Mobile"/>
    <s v="Product_16"/>
    <s v="Sneha"/>
    <x v="1"/>
    <s v="Cash"/>
    <x v="3"/>
    <n v="4"/>
    <n v="34102"/>
    <n v="10"/>
    <n v="122767.2"/>
    <n v="22931.57"/>
  </r>
  <r>
    <s v="ORD00862"/>
    <x v="576"/>
    <x v="574"/>
    <x v="2"/>
    <s v="India"/>
    <s v="Maharashtra"/>
    <s v="Chennai"/>
    <s v="CUST2398"/>
    <x v="1"/>
    <x v="1"/>
    <s v="Chair"/>
    <s v="Product_36"/>
    <s v="Rahul"/>
    <x v="1"/>
    <s v="Credit Card"/>
    <x v="1"/>
    <n v="9"/>
    <n v="21528"/>
    <n v="0"/>
    <n v="193752"/>
    <n v="46477.53"/>
  </r>
  <r>
    <s v="ORD00863"/>
    <x v="577"/>
    <x v="433"/>
    <x v="0"/>
    <s v="India"/>
    <s v="Tamil Nadu"/>
    <s v="Ahmedabad"/>
    <s v="CUST5136"/>
    <x v="1"/>
    <x v="2"/>
    <s v="Storage"/>
    <s v="Product_190"/>
    <s v="Amit"/>
    <x v="1"/>
    <s v="Net Banking"/>
    <x v="2"/>
    <n v="5"/>
    <n v="22997"/>
    <n v="5"/>
    <n v="109235.75"/>
    <n v="20821.13"/>
  </r>
  <r>
    <s v="ORD00864"/>
    <x v="18"/>
    <x v="477"/>
    <x v="2"/>
    <s v="India"/>
    <s v="Gujarat"/>
    <s v="Mumbai"/>
    <s v="CUST4543"/>
    <x v="1"/>
    <x v="2"/>
    <s v="Table"/>
    <s v="Product_144"/>
    <s v="Priya"/>
    <x v="0"/>
    <s v="UPI"/>
    <x v="2"/>
    <n v="1"/>
    <n v="27285"/>
    <n v="20"/>
    <n v="21828"/>
    <n v="-1549.71"/>
  </r>
  <r>
    <s v="ORD00865"/>
    <x v="409"/>
    <x v="208"/>
    <x v="2"/>
    <s v="India"/>
    <s v="Karnataka"/>
    <s v="Bangalore"/>
    <s v="CUST7740"/>
    <x v="0"/>
    <x v="2"/>
    <s v="Laptop"/>
    <s v="Product_113"/>
    <s v="Karan"/>
    <x v="0"/>
    <s v="Debit Card"/>
    <x v="0"/>
    <n v="1"/>
    <n v="3787"/>
    <n v="5"/>
    <n v="3597.65"/>
    <n v="645.21"/>
  </r>
  <r>
    <s v="ORD00866"/>
    <x v="404"/>
    <x v="575"/>
    <x v="2"/>
    <s v="India"/>
    <s v="Tamil Nadu"/>
    <s v="Mumbai"/>
    <s v="CUST1084"/>
    <x v="0"/>
    <x v="1"/>
    <s v="Chair"/>
    <s v="Product_165"/>
    <s v="Neha"/>
    <x v="1"/>
    <s v="Cash"/>
    <x v="0"/>
    <n v="5"/>
    <n v="10252"/>
    <n v="10"/>
    <n v="46134"/>
    <n v="-981.1"/>
  </r>
  <r>
    <s v="ORD00867"/>
    <x v="490"/>
    <x v="285"/>
    <x v="3"/>
    <s v="India"/>
    <s v="Tamil Nadu"/>
    <s v="Mumbai"/>
    <s v="CUST3248"/>
    <x v="1"/>
    <x v="1"/>
    <s v="Mobile"/>
    <s v="Product_141"/>
    <s v="Sneha"/>
    <x v="1"/>
    <s v="Net Banking"/>
    <x v="3"/>
    <n v="3"/>
    <n v="15097"/>
    <n v="5"/>
    <n v="43026.45"/>
    <n v="29.51"/>
  </r>
  <r>
    <s v="ORD00868"/>
    <x v="3"/>
    <x v="7"/>
    <x v="2"/>
    <s v="India"/>
    <s v="Gujarat"/>
    <s v="Ahmedabad"/>
    <s v="CUST5621"/>
    <x v="2"/>
    <x v="2"/>
    <s v="Laptop"/>
    <s v="Product_150"/>
    <s v="Rahul"/>
    <x v="0"/>
    <s v="Cash"/>
    <x v="1"/>
    <n v="8"/>
    <n v="39770"/>
    <n v="20"/>
    <n v="254528"/>
    <n v="-44619.07"/>
  </r>
  <r>
    <s v="ORD00869"/>
    <x v="578"/>
    <x v="5"/>
    <x v="0"/>
    <s v="India"/>
    <s v="Delhi"/>
    <s v="Bangalore"/>
    <s v="CUST6429"/>
    <x v="0"/>
    <x v="0"/>
    <s v="Laptop"/>
    <s v="Product_66"/>
    <s v="Neha"/>
    <x v="0"/>
    <s v="Net Banking"/>
    <x v="0"/>
    <n v="3"/>
    <n v="6917"/>
    <n v="5"/>
    <n v="19713.45"/>
    <n v="4304.2299999999996"/>
  </r>
  <r>
    <s v="ORD00870"/>
    <x v="238"/>
    <x v="174"/>
    <x v="0"/>
    <s v="India"/>
    <s v="Delhi"/>
    <s v="Ahmedabad"/>
    <s v="CUST2753"/>
    <x v="2"/>
    <x v="1"/>
    <s v="Mobile"/>
    <s v="Product_102"/>
    <s v="Karan"/>
    <x v="1"/>
    <s v="Cash"/>
    <x v="3"/>
    <n v="5"/>
    <n v="26918"/>
    <n v="0"/>
    <n v="134590"/>
    <n v="13723.48"/>
  </r>
  <r>
    <s v="ORD00871"/>
    <x v="424"/>
    <x v="576"/>
    <x v="0"/>
    <s v="India"/>
    <s v="Gujarat"/>
    <s v="Delhi"/>
    <s v="CUST6903"/>
    <x v="1"/>
    <x v="2"/>
    <s v="Printer"/>
    <s v="Product_164"/>
    <s v="Sneha"/>
    <x v="0"/>
    <s v="Cash"/>
    <x v="1"/>
    <n v="9"/>
    <n v="7801"/>
    <n v="10"/>
    <n v="63188.1"/>
    <n v="9426.82"/>
  </r>
  <r>
    <s v="ORD00872"/>
    <x v="579"/>
    <x v="577"/>
    <x v="2"/>
    <s v="India"/>
    <s v="Maharashtra"/>
    <s v="Bangalore"/>
    <s v="CUST3395"/>
    <x v="1"/>
    <x v="2"/>
    <s v="Table"/>
    <s v="Product_24"/>
    <s v="Sneha"/>
    <x v="0"/>
    <s v="Debit Card"/>
    <x v="3"/>
    <n v="2"/>
    <n v="9735"/>
    <n v="5"/>
    <n v="18496.5"/>
    <n v="1050.51"/>
  </r>
  <r>
    <s v="ORD00873"/>
    <x v="1"/>
    <x v="1"/>
    <x v="0"/>
    <s v="India"/>
    <s v="Gujarat"/>
    <s v="Chennai"/>
    <s v="CUST5466"/>
    <x v="0"/>
    <x v="1"/>
    <s v="Printer"/>
    <s v="Product_73"/>
    <s v="Priya"/>
    <x v="1"/>
    <s v="Credit Card"/>
    <x v="3"/>
    <n v="10"/>
    <n v="45942"/>
    <n v="5"/>
    <n v="436449"/>
    <n v="303.67"/>
  </r>
  <r>
    <s v="ORD00874"/>
    <x v="237"/>
    <x v="578"/>
    <x v="2"/>
    <s v="India"/>
    <s v="Tamil Nadu"/>
    <s v="Bangalore"/>
    <s v="CUST4482"/>
    <x v="2"/>
    <x v="2"/>
    <s v="Table"/>
    <s v="Product_180"/>
    <s v="Sneha"/>
    <x v="0"/>
    <s v="UPI"/>
    <x v="3"/>
    <n v="6"/>
    <n v="1671"/>
    <n v="20"/>
    <n v="8020.8"/>
    <n v="938.9"/>
  </r>
  <r>
    <s v="ORD00875"/>
    <x v="215"/>
    <x v="545"/>
    <x v="1"/>
    <s v="India"/>
    <s v="Tamil Nadu"/>
    <s v="Chennai"/>
    <s v="CUST9869"/>
    <x v="0"/>
    <x v="2"/>
    <s v="Mobile"/>
    <s v="Product_111"/>
    <s v="Sneha"/>
    <x v="0"/>
    <s v="Debit Card"/>
    <x v="1"/>
    <n v="10"/>
    <n v="26083"/>
    <n v="20"/>
    <n v="208664"/>
    <n v="4627.3599999999997"/>
  </r>
  <r>
    <s v="ORD00876"/>
    <x v="580"/>
    <x v="579"/>
    <x v="3"/>
    <s v="India"/>
    <s v="Gujarat"/>
    <s v="Chennai"/>
    <s v="CUST9487"/>
    <x v="1"/>
    <x v="1"/>
    <s v="Table"/>
    <s v="Product_170"/>
    <s v="Neha"/>
    <x v="1"/>
    <s v="Net Banking"/>
    <x v="0"/>
    <n v="6"/>
    <n v="15279"/>
    <n v="10"/>
    <n v="82506.600000000006"/>
    <n v="2261.14"/>
  </r>
  <r>
    <s v="ORD00877"/>
    <x v="555"/>
    <x v="273"/>
    <x v="2"/>
    <s v="India"/>
    <s v="Karnataka"/>
    <s v="Ahmedabad"/>
    <s v="CUST4252"/>
    <x v="0"/>
    <x v="2"/>
    <s v="Chair"/>
    <s v="Product_3"/>
    <s v="Sneha"/>
    <x v="1"/>
    <s v="Debit Card"/>
    <x v="1"/>
    <n v="3"/>
    <n v="25762"/>
    <n v="20"/>
    <n v="61828.800000000003"/>
    <n v="2896.54"/>
  </r>
  <r>
    <s v="ORD00878"/>
    <x v="581"/>
    <x v="532"/>
    <x v="0"/>
    <s v="India"/>
    <s v="Tamil Nadu"/>
    <s v="Chennai"/>
    <s v="CUST8188"/>
    <x v="2"/>
    <x v="2"/>
    <s v="Printer"/>
    <s v="Product_155"/>
    <s v="Priya"/>
    <x v="1"/>
    <s v="UPI"/>
    <x v="2"/>
    <n v="7"/>
    <n v="17882"/>
    <n v="10"/>
    <n v="112656.6"/>
    <n v="-2698.42"/>
  </r>
  <r>
    <s v="ORD00879"/>
    <x v="582"/>
    <x v="74"/>
    <x v="2"/>
    <s v="India"/>
    <s v="Gujarat"/>
    <s v="Chennai"/>
    <s v="CUST1819"/>
    <x v="0"/>
    <x v="2"/>
    <s v="Storage"/>
    <s v="Product_57"/>
    <s v="Priya"/>
    <x v="0"/>
    <s v="UPI"/>
    <x v="0"/>
    <n v="6"/>
    <n v="42496"/>
    <n v="5"/>
    <n v="242227.20000000001"/>
    <n v="52208.83"/>
  </r>
  <r>
    <s v="ORD00880"/>
    <x v="583"/>
    <x v="201"/>
    <x v="1"/>
    <s v="India"/>
    <s v="Delhi"/>
    <s v="Mumbai"/>
    <s v="CUST1940"/>
    <x v="2"/>
    <x v="1"/>
    <s v="Table"/>
    <s v="Product_184"/>
    <s v="Priya"/>
    <x v="1"/>
    <s v="Credit Card"/>
    <x v="0"/>
    <n v="9"/>
    <n v="24923"/>
    <n v="10"/>
    <n v="201876.3"/>
    <n v="40196.35"/>
  </r>
  <r>
    <s v="ORD00881"/>
    <x v="481"/>
    <x v="580"/>
    <x v="1"/>
    <s v="India"/>
    <s v="Tamil Nadu"/>
    <s v="Ahmedabad"/>
    <s v="CUST9041"/>
    <x v="0"/>
    <x v="0"/>
    <s v="Table"/>
    <s v="Product_2"/>
    <s v="Neha"/>
    <x v="0"/>
    <s v="Cash"/>
    <x v="3"/>
    <n v="9"/>
    <n v="10293"/>
    <n v="5"/>
    <n v="88005.15"/>
    <n v="22763.16"/>
  </r>
  <r>
    <s v="ORD00882"/>
    <x v="187"/>
    <x v="228"/>
    <x v="1"/>
    <s v="India"/>
    <s v="Tamil Nadu"/>
    <s v="Ahmedabad"/>
    <s v="CUST2418"/>
    <x v="1"/>
    <x v="2"/>
    <s v="Laptop"/>
    <s v="Product_6"/>
    <s v="Karan"/>
    <x v="0"/>
    <s v="Debit Card"/>
    <x v="1"/>
    <n v="8"/>
    <n v="46402"/>
    <n v="5"/>
    <n v="352655.2"/>
    <n v="50444.56"/>
  </r>
  <r>
    <s v="ORD00883"/>
    <x v="408"/>
    <x v="581"/>
    <x v="2"/>
    <s v="India"/>
    <s v="Karnataka"/>
    <s v="Bangalore"/>
    <s v="CUST8628"/>
    <x v="1"/>
    <x v="1"/>
    <s v="Chair"/>
    <s v="Product_84"/>
    <s v="Neha"/>
    <x v="0"/>
    <s v="Cash"/>
    <x v="3"/>
    <n v="1"/>
    <n v="37539"/>
    <n v="15"/>
    <n v="31908.15"/>
    <n v="902.15"/>
  </r>
  <r>
    <s v="ORD00884"/>
    <x v="584"/>
    <x v="582"/>
    <x v="1"/>
    <s v="India"/>
    <s v="Gujarat"/>
    <s v="Mumbai"/>
    <s v="CUST9133"/>
    <x v="2"/>
    <x v="1"/>
    <s v="Table"/>
    <s v="Product_120"/>
    <s v="Sneha"/>
    <x v="0"/>
    <s v="Debit Card"/>
    <x v="1"/>
    <n v="1"/>
    <n v="45952"/>
    <n v="10"/>
    <n v="41356.800000000003"/>
    <n v="752.3"/>
  </r>
  <r>
    <s v="ORD00885"/>
    <x v="86"/>
    <x v="372"/>
    <x v="3"/>
    <s v="India"/>
    <s v="Delhi"/>
    <s v="Delhi"/>
    <s v="CUST8286"/>
    <x v="0"/>
    <x v="2"/>
    <s v="Chair"/>
    <s v="Product_28"/>
    <s v="Priya"/>
    <x v="0"/>
    <s v="Debit Card"/>
    <x v="2"/>
    <n v="8"/>
    <n v="48742"/>
    <n v="5"/>
    <n v="370439.2"/>
    <n v="17981.46"/>
  </r>
  <r>
    <s v="ORD00886"/>
    <x v="581"/>
    <x v="583"/>
    <x v="1"/>
    <s v="India"/>
    <s v="Maharashtra"/>
    <s v="Mumbai"/>
    <s v="CUST6929"/>
    <x v="2"/>
    <x v="2"/>
    <s v="Mobile"/>
    <s v="Product_23"/>
    <s v="Priya"/>
    <x v="0"/>
    <s v="Net Banking"/>
    <x v="0"/>
    <n v="7"/>
    <n v="10543"/>
    <n v="5"/>
    <n v="70110.95"/>
    <n v="9097.68"/>
  </r>
  <r>
    <s v="ORD00887"/>
    <x v="420"/>
    <x v="584"/>
    <x v="1"/>
    <s v="India"/>
    <s v="Tamil Nadu"/>
    <s v="Bangalore"/>
    <s v="CUST4190"/>
    <x v="0"/>
    <x v="0"/>
    <s v="Laptop"/>
    <s v="Product_88"/>
    <s v="Priya"/>
    <x v="1"/>
    <s v="Cash"/>
    <x v="3"/>
    <n v="6"/>
    <n v="2119"/>
    <n v="10"/>
    <n v="11442.6"/>
    <n v="-62.51"/>
  </r>
  <r>
    <s v="ORD00888"/>
    <x v="550"/>
    <x v="585"/>
    <x v="1"/>
    <s v="India"/>
    <s v="Gujarat"/>
    <s v="Delhi"/>
    <s v="CUST7530"/>
    <x v="2"/>
    <x v="1"/>
    <s v="Laptop"/>
    <s v="Product_166"/>
    <s v="Priya"/>
    <x v="0"/>
    <s v="Debit Card"/>
    <x v="1"/>
    <n v="1"/>
    <n v="4164"/>
    <n v="10"/>
    <n v="3747.6"/>
    <n v="-99.14"/>
  </r>
  <r>
    <s v="ORD00889"/>
    <x v="517"/>
    <x v="345"/>
    <x v="0"/>
    <s v="India"/>
    <s v="Gujarat"/>
    <s v="Chennai"/>
    <s v="CUST5752"/>
    <x v="1"/>
    <x v="2"/>
    <s v="Storage"/>
    <s v="Product_15"/>
    <s v="Neha"/>
    <x v="1"/>
    <s v="Debit Card"/>
    <x v="3"/>
    <n v="6"/>
    <n v="16965"/>
    <n v="20"/>
    <n v="81432"/>
    <n v="1051.17"/>
  </r>
  <r>
    <s v="ORD00890"/>
    <x v="191"/>
    <x v="335"/>
    <x v="0"/>
    <s v="India"/>
    <s v="Maharashtra"/>
    <s v="Mumbai"/>
    <s v="CUST6388"/>
    <x v="0"/>
    <x v="2"/>
    <s v="Mobile"/>
    <s v="Product_160"/>
    <s v="Neha"/>
    <x v="1"/>
    <s v="Cash"/>
    <x v="3"/>
    <n v="7"/>
    <n v="40731"/>
    <n v="15"/>
    <n v="242349.45"/>
    <n v="-21642.35"/>
  </r>
  <r>
    <s v="ORD00891"/>
    <x v="585"/>
    <x v="586"/>
    <x v="0"/>
    <s v="India"/>
    <s v="Karnataka"/>
    <s v="Chennai"/>
    <s v="CUST5601"/>
    <x v="1"/>
    <x v="0"/>
    <s v="Mobile"/>
    <s v="Product_62"/>
    <s v="Amit"/>
    <x v="1"/>
    <s v="Debit Card"/>
    <x v="3"/>
    <n v="8"/>
    <n v="17346"/>
    <n v="20"/>
    <n v="111014.39999999999"/>
    <n v="-15948.87"/>
  </r>
  <r>
    <s v="ORD00892"/>
    <x v="586"/>
    <x v="490"/>
    <x v="3"/>
    <s v="India"/>
    <s v="Gujarat"/>
    <s v="Bangalore"/>
    <s v="CUST7363"/>
    <x v="1"/>
    <x v="2"/>
    <s v="Chair"/>
    <s v="Product_125"/>
    <s v="Karan"/>
    <x v="0"/>
    <s v="Cash"/>
    <x v="3"/>
    <n v="6"/>
    <n v="10620"/>
    <n v="0"/>
    <n v="63720"/>
    <n v="17766.96"/>
  </r>
  <r>
    <s v="ORD00893"/>
    <x v="587"/>
    <x v="587"/>
    <x v="3"/>
    <s v="India"/>
    <s v="Maharashtra"/>
    <s v="Delhi"/>
    <s v="CUST3922"/>
    <x v="0"/>
    <x v="0"/>
    <s v="Chair"/>
    <s v="Product_24"/>
    <s v="Neha"/>
    <x v="1"/>
    <s v="Cash"/>
    <x v="1"/>
    <n v="3"/>
    <n v="1143"/>
    <n v="10"/>
    <n v="3086.1"/>
    <n v="-153.51"/>
  </r>
  <r>
    <s v="ORD00894"/>
    <x v="588"/>
    <x v="588"/>
    <x v="0"/>
    <s v="India"/>
    <s v="Karnataka"/>
    <s v="Ahmedabad"/>
    <s v="CUST3411"/>
    <x v="2"/>
    <x v="2"/>
    <s v="Chair"/>
    <s v="Product_122"/>
    <s v="Rahul"/>
    <x v="1"/>
    <s v="Net Banking"/>
    <x v="3"/>
    <n v="4"/>
    <n v="46429"/>
    <n v="20"/>
    <n v="148572.79999999999"/>
    <n v="10733.9"/>
  </r>
  <r>
    <s v="ORD00895"/>
    <x v="589"/>
    <x v="231"/>
    <x v="3"/>
    <s v="India"/>
    <s v="Tamil Nadu"/>
    <s v="Mumbai"/>
    <s v="CUST1183"/>
    <x v="1"/>
    <x v="0"/>
    <s v="Printer"/>
    <s v="Product_39"/>
    <s v="Amit"/>
    <x v="0"/>
    <s v="Net Banking"/>
    <x v="3"/>
    <n v="7"/>
    <n v="7781"/>
    <n v="0"/>
    <n v="54467"/>
    <n v="7379.19"/>
  </r>
  <r>
    <s v="ORD00896"/>
    <x v="331"/>
    <x v="589"/>
    <x v="1"/>
    <s v="India"/>
    <s v="Karnataka"/>
    <s v="Ahmedabad"/>
    <s v="CUST8711"/>
    <x v="2"/>
    <x v="2"/>
    <s v="Storage"/>
    <s v="Product_2"/>
    <s v="Amit"/>
    <x v="1"/>
    <s v="UPI"/>
    <x v="3"/>
    <n v="6"/>
    <n v="10196"/>
    <n v="0"/>
    <n v="61176"/>
    <n v="11740.46"/>
  </r>
  <r>
    <s v="ORD00897"/>
    <x v="590"/>
    <x v="125"/>
    <x v="3"/>
    <s v="India"/>
    <s v="Delhi"/>
    <s v="Delhi"/>
    <s v="CUST1515"/>
    <x v="2"/>
    <x v="1"/>
    <s v="Laptop"/>
    <s v="Product_6"/>
    <s v="Neha"/>
    <x v="0"/>
    <s v="UPI"/>
    <x v="3"/>
    <n v="5"/>
    <n v="30834"/>
    <n v="20"/>
    <n v="123336"/>
    <n v="3935.76"/>
  </r>
  <r>
    <s v="ORD00898"/>
    <x v="152"/>
    <x v="148"/>
    <x v="1"/>
    <s v="India"/>
    <s v="Delhi"/>
    <s v="Ahmedabad"/>
    <s v="CUST7570"/>
    <x v="0"/>
    <x v="2"/>
    <s v="Table"/>
    <s v="Product_188"/>
    <s v="Rahul"/>
    <x v="0"/>
    <s v="Cash"/>
    <x v="2"/>
    <n v="1"/>
    <n v="29169"/>
    <n v="20"/>
    <n v="23335.200000000001"/>
    <n v="-3308.69"/>
  </r>
  <r>
    <s v="ORD00899"/>
    <x v="591"/>
    <x v="53"/>
    <x v="2"/>
    <s v="India"/>
    <s v="Tamil Nadu"/>
    <s v="Chennai"/>
    <s v="CUST7361"/>
    <x v="1"/>
    <x v="1"/>
    <s v="Chair"/>
    <s v="Product_16"/>
    <s v="Amit"/>
    <x v="0"/>
    <s v="Debit Card"/>
    <x v="3"/>
    <n v="1"/>
    <n v="34113"/>
    <n v="20"/>
    <n v="27290.400000000001"/>
    <n v="-3083.32"/>
  </r>
  <r>
    <s v="ORD00900"/>
    <x v="592"/>
    <x v="443"/>
    <x v="2"/>
    <s v="India"/>
    <s v="Gujarat"/>
    <s v="Ahmedabad"/>
    <s v="CUST6831"/>
    <x v="2"/>
    <x v="1"/>
    <s v="Storage"/>
    <s v="Product_69"/>
    <s v="Neha"/>
    <x v="0"/>
    <s v="Credit Card"/>
    <x v="3"/>
    <n v="10"/>
    <n v="3437"/>
    <n v="20"/>
    <n v="27496"/>
    <n v="-211.73"/>
  </r>
  <r>
    <s v="ORD00901"/>
    <x v="593"/>
    <x v="590"/>
    <x v="1"/>
    <s v="India"/>
    <s v="Maharashtra"/>
    <s v="Chennai"/>
    <s v="CUST5055"/>
    <x v="1"/>
    <x v="0"/>
    <s v="Storage"/>
    <s v="Product_177"/>
    <s v="Karan"/>
    <x v="1"/>
    <s v="Debit Card"/>
    <x v="0"/>
    <n v="7"/>
    <n v="21100"/>
    <n v="20"/>
    <n v="118160"/>
    <n v="-18846.28"/>
  </r>
  <r>
    <s v="ORD00902"/>
    <x v="594"/>
    <x v="309"/>
    <x v="2"/>
    <s v="India"/>
    <s v="Delhi"/>
    <s v="Bangalore"/>
    <s v="CUST7640"/>
    <x v="2"/>
    <x v="2"/>
    <s v="Laptop"/>
    <s v="Product_100"/>
    <s v="Rahul"/>
    <x v="0"/>
    <s v="UPI"/>
    <x v="3"/>
    <n v="6"/>
    <n v="38036"/>
    <n v="0"/>
    <n v="228216"/>
    <n v="32758.23"/>
  </r>
  <r>
    <s v="ORD00903"/>
    <x v="421"/>
    <x v="340"/>
    <x v="3"/>
    <s v="India"/>
    <s v="Tamil Nadu"/>
    <s v="Chennai"/>
    <s v="CUST2187"/>
    <x v="1"/>
    <x v="1"/>
    <s v="Mobile"/>
    <s v="Product_135"/>
    <s v="Karan"/>
    <x v="1"/>
    <s v="Debit Card"/>
    <x v="2"/>
    <n v="9"/>
    <n v="45208"/>
    <n v="20"/>
    <n v="325497.59999999998"/>
    <n v="-3687.44"/>
  </r>
  <r>
    <s v="ORD00904"/>
    <x v="595"/>
    <x v="591"/>
    <x v="2"/>
    <s v="India"/>
    <s v="Tamil Nadu"/>
    <s v="Delhi"/>
    <s v="CUST4070"/>
    <x v="0"/>
    <x v="2"/>
    <s v="Mobile"/>
    <s v="Product_94"/>
    <s v="Priya"/>
    <x v="1"/>
    <s v="Cash"/>
    <x v="0"/>
    <n v="8"/>
    <n v="8787"/>
    <n v="20"/>
    <n v="56236.800000000003"/>
    <n v="-4278.79"/>
  </r>
  <r>
    <s v="ORD00905"/>
    <x v="161"/>
    <x v="492"/>
    <x v="0"/>
    <s v="India"/>
    <s v="Maharashtra"/>
    <s v="Delhi"/>
    <s v="CUST7142"/>
    <x v="2"/>
    <x v="0"/>
    <s v="Table"/>
    <s v="Product_137"/>
    <s v="Sneha"/>
    <x v="1"/>
    <s v="Credit Card"/>
    <x v="1"/>
    <n v="4"/>
    <n v="32837"/>
    <n v="20"/>
    <n v="105078.39999999999"/>
    <n v="5451.43"/>
  </r>
  <r>
    <s v="ORD00906"/>
    <x v="596"/>
    <x v="319"/>
    <x v="1"/>
    <s v="India"/>
    <s v="Tamil Nadu"/>
    <s v="Mumbai"/>
    <s v="CUST4041"/>
    <x v="1"/>
    <x v="2"/>
    <s v="Laptop"/>
    <s v="Product_127"/>
    <s v="Priya"/>
    <x v="1"/>
    <s v="Net Banking"/>
    <x v="3"/>
    <n v="1"/>
    <n v="7007"/>
    <n v="0"/>
    <n v="7007"/>
    <n v="944.43"/>
  </r>
  <r>
    <s v="ORD00907"/>
    <x v="200"/>
    <x v="592"/>
    <x v="3"/>
    <s v="India"/>
    <s v="Karnataka"/>
    <s v="Bangalore"/>
    <s v="CUST5864"/>
    <x v="2"/>
    <x v="0"/>
    <s v="Chair"/>
    <s v="Product_7"/>
    <s v="Karan"/>
    <x v="0"/>
    <s v="Debit Card"/>
    <x v="3"/>
    <n v="10"/>
    <n v="24093"/>
    <n v="0"/>
    <n v="240930"/>
    <n v="33640.370000000003"/>
  </r>
  <r>
    <s v="ORD00908"/>
    <x v="362"/>
    <x v="61"/>
    <x v="0"/>
    <s v="India"/>
    <s v="Gujarat"/>
    <s v="Ahmedabad"/>
    <s v="CUST5814"/>
    <x v="1"/>
    <x v="2"/>
    <s v="Printer"/>
    <s v="Product_47"/>
    <s v="Rahul"/>
    <x v="0"/>
    <s v="Credit Card"/>
    <x v="3"/>
    <n v="9"/>
    <n v="49599"/>
    <n v="10"/>
    <n v="401751.9"/>
    <n v="-13220.61"/>
  </r>
  <r>
    <s v="ORD00909"/>
    <x v="192"/>
    <x v="593"/>
    <x v="0"/>
    <s v="India"/>
    <s v="Delhi"/>
    <s v="Bangalore"/>
    <s v="CUST4785"/>
    <x v="1"/>
    <x v="0"/>
    <s v="Mobile"/>
    <s v="Product_195"/>
    <s v="Amit"/>
    <x v="0"/>
    <s v="Credit Card"/>
    <x v="2"/>
    <n v="5"/>
    <n v="12528"/>
    <n v="20"/>
    <n v="50112"/>
    <n v="-5420.92"/>
  </r>
  <r>
    <s v="ORD00910"/>
    <x v="245"/>
    <x v="56"/>
    <x v="0"/>
    <s v="India"/>
    <s v="Maharashtra"/>
    <s v="Ahmedabad"/>
    <s v="CUST5074"/>
    <x v="2"/>
    <x v="2"/>
    <s v="Mobile"/>
    <s v="Product_70"/>
    <s v="Neha"/>
    <x v="0"/>
    <s v="Net Banking"/>
    <x v="2"/>
    <n v="6"/>
    <n v="39336"/>
    <n v="0"/>
    <n v="236016"/>
    <n v="48838.25"/>
  </r>
  <r>
    <s v="ORD00911"/>
    <x v="597"/>
    <x v="21"/>
    <x v="0"/>
    <s v="India"/>
    <s v="Tamil Nadu"/>
    <s v="Bangalore"/>
    <s v="CUST8794"/>
    <x v="0"/>
    <x v="1"/>
    <s v="Chair"/>
    <s v="Product_164"/>
    <s v="Karan"/>
    <x v="1"/>
    <s v="Cash"/>
    <x v="0"/>
    <n v="8"/>
    <n v="2781"/>
    <n v="15"/>
    <n v="18910.8"/>
    <n v="834.27"/>
  </r>
  <r>
    <s v="ORD00912"/>
    <x v="598"/>
    <x v="100"/>
    <x v="3"/>
    <s v="India"/>
    <s v="Delhi"/>
    <s v="Delhi"/>
    <s v="CUST3275"/>
    <x v="2"/>
    <x v="1"/>
    <s v="Printer"/>
    <s v="Product_86"/>
    <s v="Rahul"/>
    <x v="1"/>
    <s v="Cash"/>
    <x v="1"/>
    <n v="4"/>
    <n v="49190"/>
    <n v="5"/>
    <n v="186922"/>
    <n v="26565.43"/>
  </r>
  <r>
    <s v="ORD00913"/>
    <x v="389"/>
    <x v="594"/>
    <x v="1"/>
    <s v="India"/>
    <s v="Gujarat"/>
    <s v="Chennai"/>
    <s v="CUST5412"/>
    <x v="1"/>
    <x v="2"/>
    <s v="Printer"/>
    <s v="Product_87"/>
    <s v="Rahul"/>
    <x v="1"/>
    <s v="Credit Card"/>
    <x v="1"/>
    <n v="1"/>
    <n v="39390"/>
    <n v="20"/>
    <n v="31512"/>
    <n v="-5795.73"/>
  </r>
  <r>
    <s v="ORD00914"/>
    <x v="514"/>
    <x v="517"/>
    <x v="0"/>
    <s v="India"/>
    <s v="Karnataka"/>
    <s v="Chennai"/>
    <s v="CUST2325"/>
    <x v="0"/>
    <x v="2"/>
    <s v="Storage"/>
    <s v="Product_175"/>
    <s v="Amit"/>
    <x v="0"/>
    <s v="Cash"/>
    <x v="3"/>
    <n v="8"/>
    <n v="29019"/>
    <n v="0"/>
    <n v="232152"/>
    <n v="22830.73"/>
  </r>
  <r>
    <s v="ORD00915"/>
    <x v="225"/>
    <x v="185"/>
    <x v="2"/>
    <s v="India"/>
    <s v="Karnataka"/>
    <s v="Mumbai"/>
    <s v="CUST8454"/>
    <x v="1"/>
    <x v="0"/>
    <s v="Table"/>
    <s v="Product_170"/>
    <s v="Sneha"/>
    <x v="0"/>
    <s v="Debit Card"/>
    <x v="3"/>
    <n v="3"/>
    <n v="31086"/>
    <n v="10"/>
    <n v="83932.2"/>
    <n v="575.46"/>
  </r>
  <r>
    <s v="ORD00916"/>
    <x v="599"/>
    <x v="595"/>
    <x v="3"/>
    <s v="India"/>
    <s v="Karnataka"/>
    <s v="Mumbai"/>
    <s v="CUST5624"/>
    <x v="0"/>
    <x v="1"/>
    <s v="Storage"/>
    <s v="Product_167"/>
    <s v="Priya"/>
    <x v="1"/>
    <s v="Cash"/>
    <x v="2"/>
    <n v="9"/>
    <n v="27088"/>
    <n v="5"/>
    <n v="231602.4"/>
    <n v="47880.01"/>
  </r>
  <r>
    <s v="ORD00917"/>
    <x v="600"/>
    <x v="596"/>
    <x v="1"/>
    <s v="India"/>
    <s v="Delhi"/>
    <s v="Ahmedabad"/>
    <s v="CUST3766"/>
    <x v="2"/>
    <x v="2"/>
    <s v="Table"/>
    <s v="Product_132"/>
    <s v="Sneha"/>
    <x v="0"/>
    <s v="Credit Card"/>
    <x v="2"/>
    <n v="4"/>
    <n v="18042"/>
    <n v="0"/>
    <n v="72168"/>
    <n v="15319.36"/>
  </r>
  <r>
    <s v="ORD00918"/>
    <x v="601"/>
    <x v="400"/>
    <x v="0"/>
    <s v="India"/>
    <s v="Delhi"/>
    <s v="Bangalore"/>
    <s v="CUST5670"/>
    <x v="1"/>
    <x v="1"/>
    <s v="Storage"/>
    <s v="Product_24"/>
    <s v="Amit"/>
    <x v="0"/>
    <s v="Debit Card"/>
    <x v="3"/>
    <n v="2"/>
    <n v="35700"/>
    <n v="20"/>
    <n v="57120"/>
    <n v="5841.08"/>
  </r>
  <r>
    <s v="ORD00919"/>
    <x v="392"/>
    <x v="597"/>
    <x v="2"/>
    <s v="India"/>
    <s v="Tamil Nadu"/>
    <s v="Delhi"/>
    <s v="CUST5940"/>
    <x v="0"/>
    <x v="0"/>
    <s v="Mobile"/>
    <s v="Product_130"/>
    <s v="Sneha"/>
    <x v="1"/>
    <s v="Net Banking"/>
    <x v="1"/>
    <n v="9"/>
    <n v="15337"/>
    <n v="5"/>
    <n v="131131.35"/>
    <n v="15633.69"/>
  </r>
  <r>
    <s v="ORD00920"/>
    <x v="252"/>
    <x v="211"/>
    <x v="3"/>
    <s v="India"/>
    <s v="Karnataka"/>
    <s v="Mumbai"/>
    <s v="CUST9392"/>
    <x v="0"/>
    <x v="1"/>
    <s v="Storage"/>
    <s v="Product_102"/>
    <s v="Sneha"/>
    <x v="1"/>
    <s v="Credit Card"/>
    <x v="2"/>
    <n v="7"/>
    <n v="19106"/>
    <n v="20"/>
    <n v="106993.60000000001"/>
    <n v="4172.76"/>
  </r>
  <r>
    <s v="ORD00921"/>
    <x v="309"/>
    <x v="383"/>
    <x v="2"/>
    <s v="India"/>
    <s v="Tamil Nadu"/>
    <s v="Ahmedabad"/>
    <s v="CUST2984"/>
    <x v="1"/>
    <x v="0"/>
    <s v="Table"/>
    <s v="Product_103"/>
    <s v="Sneha"/>
    <x v="1"/>
    <s v="Cash"/>
    <x v="2"/>
    <n v="6"/>
    <n v="13787"/>
    <n v="15"/>
    <n v="70313.7"/>
    <n v="-1160.3900000000001"/>
  </r>
  <r>
    <s v="ORD00922"/>
    <x v="602"/>
    <x v="598"/>
    <x v="0"/>
    <s v="India"/>
    <s v="Delhi"/>
    <s v="Mumbai"/>
    <s v="CUST1101"/>
    <x v="0"/>
    <x v="2"/>
    <s v="Laptop"/>
    <s v="Product_71"/>
    <s v="Rahul"/>
    <x v="1"/>
    <s v="Cash"/>
    <x v="0"/>
    <n v="3"/>
    <n v="1055"/>
    <n v="5"/>
    <n v="3006.75"/>
    <n v="128.91999999999999"/>
  </r>
  <r>
    <s v="ORD00923"/>
    <x v="603"/>
    <x v="599"/>
    <x v="1"/>
    <s v="India"/>
    <s v="Delhi"/>
    <s v="Ahmedabad"/>
    <s v="CUST7210"/>
    <x v="1"/>
    <x v="0"/>
    <s v="Mobile"/>
    <s v="Product_107"/>
    <s v="Karan"/>
    <x v="0"/>
    <s v="Cash"/>
    <x v="1"/>
    <n v="8"/>
    <n v="1560"/>
    <n v="5"/>
    <n v="11856"/>
    <n v="478.43"/>
  </r>
  <r>
    <s v="ORD00924"/>
    <x v="604"/>
    <x v="377"/>
    <x v="1"/>
    <s v="India"/>
    <s v="Karnataka"/>
    <s v="Delhi"/>
    <s v="CUST3318"/>
    <x v="1"/>
    <x v="1"/>
    <s v="Laptop"/>
    <s v="Product_75"/>
    <s v="Sneha"/>
    <x v="1"/>
    <s v="Credit Card"/>
    <x v="2"/>
    <n v="4"/>
    <n v="10221"/>
    <n v="0"/>
    <n v="40884"/>
    <n v="7530.25"/>
  </r>
  <r>
    <s v="ORD00925"/>
    <x v="605"/>
    <x v="600"/>
    <x v="1"/>
    <s v="India"/>
    <s v="Tamil Nadu"/>
    <s v="Mumbai"/>
    <s v="CUST8299"/>
    <x v="0"/>
    <x v="1"/>
    <s v="Printer"/>
    <s v="Product_171"/>
    <s v="Neha"/>
    <x v="0"/>
    <s v="UPI"/>
    <x v="2"/>
    <n v="2"/>
    <n v="45349"/>
    <n v="0"/>
    <n v="90698"/>
    <n v="14339.64"/>
  </r>
  <r>
    <s v="ORD00926"/>
    <x v="137"/>
    <x v="135"/>
    <x v="1"/>
    <s v="India"/>
    <s v="Gujarat"/>
    <s v="Mumbai"/>
    <s v="CUST1157"/>
    <x v="0"/>
    <x v="2"/>
    <s v="Laptop"/>
    <s v="Product_70"/>
    <s v="Neha"/>
    <x v="0"/>
    <s v="Net Banking"/>
    <x v="3"/>
    <n v="2"/>
    <n v="10912"/>
    <n v="20"/>
    <n v="17459.2"/>
    <n v="793.66"/>
  </r>
  <r>
    <s v="ORD00927"/>
    <x v="606"/>
    <x v="601"/>
    <x v="2"/>
    <s v="India"/>
    <s v="Tamil Nadu"/>
    <s v="Delhi"/>
    <s v="CUST2517"/>
    <x v="1"/>
    <x v="0"/>
    <s v="Chair"/>
    <s v="Product_189"/>
    <s v="Neha"/>
    <x v="0"/>
    <s v="Debit Card"/>
    <x v="3"/>
    <n v="2"/>
    <n v="48860"/>
    <n v="5"/>
    <n v="92834"/>
    <n v="2936.75"/>
  </r>
  <r>
    <s v="ORD00928"/>
    <x v="114"/>
    <x v="254"/>
    <x v="0"/>
    <s v="India"/>
    <s v="Karnataka"/>
    <s v="Delhi"/>
    <s v="CUST2217"/>
    <x v="0"/>
    <x v="2"/>
    <s v="Table"/>
    <s v="Product_116"/>
    <s v="Karan"/>
    <x v="1"/>
    <s v="Net Banking"/>
    <x v="0"/>
    <n v="5"/>
    <n v="26519"/>
    <n v="0"/>
    <n v="132595"/>
    <n v="27586.86"/>
  </r>
  <r>
    <s v="ORD00929"/>
    <x v="13"/>
    <x v="305"/>
    <x v="1"/>
    <s v="India"/>
    <s v="Tamil Nadu"/>
    <s v="Delhi"/>
    <s v="CUST3789"/>
    <x v="2"/>
    <x v="2"/>
    <s v="Mobile"/>
    <s v="Product_197"/>
    <s v="Sneha"/>
    <x v="0"/>
    <s v="UPI"/>
    <x v="3"/>
    <n v="10"/>
    <n v="44619"/>
    <n v="15"/>
    <n v="379261.5"/>
    <n v="333.13"/>
  </r>
  <r>
    <s v="ORD00930"/>
    <x v="607"/>
    <x v="180"/>
    <x v="3"/>
    <s v="India"/>
    <s v="Gujarat"/>
    <s v="Chennai"/>
    <s v="CUST7760"/>
    <x v="1"/>
    <x v="0"/>
    <s v="Chair"/>
    <s v="Product_9"/>
    <s v="Karan"/>
    <x v="1"/>
    <s v="UPI"/>
    <x v="3"/>
    <n v="6"/>
    <n v="7564"/>
    <n v="10"/>
    <n v="40845.599999999999"/>
    <n v="4365.88"/>
  </r>
  <r>
    <s v="ORD00931"/>
    <x v="493"/>
    <x v="289"/>
    <x v="2"/>
    <s v="India"/>
    <s v="Maharashtra"/>
    <s v="Chennai"/>
    <s v="CUST2830"/>
    <x v="0"/>
    <x v="0"/>
    <s v="Chair"/>
    <s v="Product_142"/>
    <s v="Neha"/>
    <x v="0"/>
    <s v="Debit Card"/>
    <x v="2"/>
    <n v="5"/>
    <n v="28872"/>
    <n v="10"/>
    <n v="129924"/>
    <n v="4155.6000000000004"/>
  </r>
  <r>
    <s v="ORD00932"/>
    <x v="598"/>
    <x v="193"/>
    <x v="2"/>
    <s v="India"/>
    <s v="Gujarat"/>
    <s v="Mumbai"/>
    <s v="CUST5831"/>
    <x v="1"/>
    <x v="2"/>
    <s v="Chair"/>
    <s v="Product_43"/>
    <s v="Sneha"/>
    <x v="0"/>
    <s v="Net Banking"/>
    <x v="1"/>
    <n v="10"/>
    <n v="18360"/>
    <n v="5"/>
    <n v="174420"/>
    <n v="21286.61"/>
  </r>
  <r>
    <s v="ORD00933"/>
    <x v="608"/>
    <x v="602"/>
    <x v="2"/>
    <s v="India"/>
    <s v="Delhi"/>
    <s v="Delhi"/>
    <s v="CUST5144"/>
    <x v="2"/>
    <x v="1"/>
    <s v="Storage"/>
    <s v="Product_138"/>
    <s v="Neha"/>
    <x v="1"/>
    <s v="Net Banking"/>
    <x v="3"/>
    <n v="6"/>
    <n v="8352"/>
    <n v="0"/>
    <n v="50112"/>
    <n v="4363.09"/>
  </r>
  <r>
    <s v="ORD00934"/>
    <x v="593"/>
    <x v="194"/>
    <x v="2"/>
    <s v="India"/>
    <s v="Maharashtra"/>
    <s v="Bangalore"/>
    <s v="CUST6902"/>
    <x v="2"/>
    <x v="1"/>
    <s v="Storage"/>
    <s v="Product_89"/>
    <s v="Karan"/>
    <x v="1"/>
    <s v="Net Banking"/>
    <x v="0"/>
    <n v="8"/>
    <n v="4668"/>
    <n v="15"/>
    <n v="31742.400000000001"/>
    <n v="4798.18"/>
  </r>
  <r>
    <s v="ORD00935"/>
    <x v="348"/>
    <x v="575"/>
    <x v="0"/>
    <s v="India"/>
    <s v="Delhi"/>
    <s v="Mumbai"/>
    <s v="CUST1736"/>
    <x v="2"/>
    <x v="0"/>
    <s v="Chair"/>
    <s v="Product_182"/>
    <s v="Neha"/>
    <x v="1"/>
    <s v="Net Banking"/>
    <x v="3"/>
    <n v="2"/>
    <n v="38482"/>
    <n v="15"/>
    <n v="65419.4"/>
    <n v="-787.62"/>
  </r>
  <r>
    <s v="ORD00936"/>
    <x v="376"/>
    <x v="63"/>
    <x v="2"/>
    <s v="India"/>
    <s v="Tamil Nadu"/>
    <s v="Bangalore"/>
    <s v="CUST7317"/>
    <x v="1"/>
    <x v="0"/>
    <s v="Chair"/>
    <s v="Product_119"/>
    <s v="Rahul"/>
    <x v="0"/>
    <s v="Cash"/>
    <x v="0"/>
    <n v="7"/>
    <n v="12133"/>
    <n v="15"/>
    <n v="72191.350000000006"/>
    <n v="-2126.4299999999998"/>
  </r>
  <r>
    <s v="ORD00937"/>
    <x v="167"/>
    <x v="357"/>
    <x v="1"/>
    <s v="India"/>
    <s v="Karnataka"/>
    <s v="Chennai"/>
    <s v="CUST8358"/>
    <x v="1"/>
    <x v="2"/>
    <s v="Printer"/>
    <s v="Product_89"/>
    <s v="Neha"/>
    <x v="1"/>
    <s v="Credit Card"/>
    <x v="0"/>
    <n v="1"/>
    <n v="24075"/>
    <n v="0"/>
    <n v="24075"/>
    <n v="1459.45"/>
  </r>
  <r>
    <s v="ORD00938"/>
    <x v="282"/>
    <x v="44"/>
    <x v="3"/>
    <s v="India"/>
    <s v="Delhi"/>
    <s v="Chennai"/>
    <s v="CUST2451"/>
    <x v="0"/>
    <x v="0"/>
    <s v="Laptop"/>
    <s v="Product_111"/>
    <s v="Sneha"/>
    <x v="1"/>
    <s v="Debit Card"/>
    <x v="0"/>
    <n v="8"/>
    <n v="41346"/>
    <n v="0"/>
    <n v="330768"/>
    <n v="20407.97"/>
  </r>
  <r>
    <s v="ORD00939"/>
    <x v="258"/>
    <x v="211"/>
    <x v="3"/>
    <s v="India"/>
    <s v="Tamil Nadu"/>
    <s v="Delhi"/>
    <s v="CUST5904"/>
    <x v="0"/>
    <x v="1"/>
    <s v="Laptop"/>
    <s v="Product_1"/>
    <s v="Neha"/>
    <x v="0"/>
    <s v="UPI"/>
    <x v="0"/>
    <n v="3"/>
    <n v="15441"/>
    <n v="5"/>
    <n v="44006.85"/>
    <n v="3297.46"/>
  </r>
  <r>
    <s v="ORD00940"/>
    <x v="297"/>
    <x v="603"/>
    <x v="1"/>
    <s v="India"/>
    <s v="Gujarat"/>
    <s v="Chennai"/>
    <s v="CUST4702"/>
    <x v="0"/>
    <x v="2"/>
    <s v="Mobile"/>
    <s v="Product_173"/>
    <s v="Priya"/>
    <x v="0"/>
    <s v="UPI"/>
    <x v="3"/>
    <n v="5"/>
    <n v="3795"/>
    <n v="5"/>
    <n v="18026.25"/>
    <n v="1652.25"/>
  </r>
  <r>
    <s v="ORD00941"/>
    <x v="356"/>
    <x v="604"/>
    <x v="0"/>
    <s v="India"/>
    <s v="Maharashtra"/>
    <s v="Delhi"/>
    <s v="CUST4884"/>
    <x v="2"/>
    <x v="2"/>
    <s v="Printer"/>
    <s v="Product_8"/>
    <s v="Sneha"/>
    <x v="1"/>
    <s v="UPI"/>
    <x v="0"/>
    <n v="6"/>
    <n v="15504"/>
    <n v="20"/>
    <n v="74419.199999999997"/>
    <n v="-11498.17"/>
  </r>
  <r>
    <s v="ORD00942"/>
    <x v="294"/>
    <x v="193"/>
    <x v="3"/>
    <s v="India"/>
    <s v="Delhi"/>
    <s v="Mumbai"/>
    <s v="CUST2066"/>
    <x v="1"/>
    <x v="1"/>
    <s v="Printer"/>
    <s v="Product_68"/>
    <s v="Sneha"/>
    <x v="1"/>
    <s v="Cash"/>
    <x v="3"/>
    <n v="9"/>
    <n v="43754"/>
    <n v="0"/>
    <n v="393786"/>
    <n v="97518.94"/>
  </r>
  <r>
    <s v="ORD00943"/>
    <x v="609"/>
    <x v="605"/>
    <x v="1"/>
    <s v="India"/>
    <s v="Gujarat"/>
    <s v="Ahmedabad"/>
    <s v="CUST8811"/>
    <x v="2"/>
    <x v="0"/>
    <s v="Mobile"/>
    <s v="Product_168"/>
    <s v="Amit"/>
    <x v="1"/>
    <s v="Credit Card"/>
    <x v="0"/>
    <n v="2"/>
    <n v="543"/>
    <n v="5"/>
    <n v="1031.7"/>
    <n v="127.6"/>
  </r>
  <r>
    <s v="ORD00944"/>
    <x v="304"/>
    <x v="472"/>
    <x v="1"/>
    <s v="India"/>
    <s v="Maharashtra"/>
    <s v="Chennai"/>
    <s v="CUST6337"/>
    <x v="0"/>
    <x v="1"/>
    <s v="Laptop"/>
    <s v="Product_122"/>
    <s v="Amit"/>
    <x v="0"/>
    <s v="Cash"/>
    <x v="1"/>
    <n v="5"/>
    <n v="15609"/>
    <n v="20"/>
    <n v="62436"/>
    <n v="6593.97"/>
  </r>
  <r>
    <s v="ORD00945"/>
    <x v="507"/>
    <x v="306"/>
    <x v="0"/>
    <s v="India"/>
    <s v="Tamil Nadu"/>
    <s v="Ahmedabad"/>
    <s v="CUST9662"/>
    <x v="1"/>
    <x v="2"/>
    <s v="Storage"/>
    <s v="Product_178"/>
    <s v="Karan"/>
    <x v="0"/>
    <s v="Net Banking"/>
    <x v="0"/>
    <n v="9"/>
    <n v="23527"/>
    <n v="5"/>
    <n v="201155.85"/>
    <n v="33348.67"/>
  </r>
  <r>
    <s v="ORD00946"/>
    <x v="610"/>
    <x v="606"/>
    <x v="3"/>
    <s v="India"/>
    <s v="Tamil Nadu"/>
    <s v="Bangalore"/>
    <s v="CUST1554"/>
    <x v="2"/>
    <x v="0"/>
    <s v="Table"/>
    <s v="Product_61"/>
    <s v="Neha"/>
    <x v="1"/>
    <s v="UPI"/>
    <x v="0"/>
    <n v="8"/>
    <n v="19391"/>
    <n v="0"/>
    <n v="155128"/>
    <n v="12668.86"/>
  </r>
  <r>
    <s v="ORD00947"/>
    <x v="244"/>
    <x v="449"/>
    <x v="1"/>
    <s v="India"/>
    <s v="Karnataka"/>
    <s v="Bangalore"/>
    <s v="CUST6387"/>
    <x v="0"/>
    <x v="2"/>
    <s v="Chair"/>
    <s v="Product_27"/>
    <s v="Neha"/>
    <x v="1"/>
    <s v="UPI"/>
    <x v="1"/>
    <n v="6"/>
    <n v="46202"/>
    <n v="5"/>
    <n v="263351.40000000002"/>
    <n v="9853.27"/>
  </r>
  <r>
    <s v="ORD00948"/>
    <x v="611"/>
    <x v="607"/>
    <x v="2"/>
    <s v="India"/>
    <s v="Maharashtra"/>
    <s v="Mumbai"/>
    <s v="CUST8866"/>
    <x v="0"/>
    <x v="2"/>
    <s v="Laptop"/>
    <s v="Product_154"/>
    <s v="Sneha"/>
    <x v="1"/>
    <s v="Debit Card"/>
    <x v="3"/>
    <n v="8"/>
    <n v="10311"/>
    <n v="10"/>
    <n v="74239.199999999997"/>
    <n v="-549.71"/>
  </r>
  <r>
    <s v="ORD00949"/>
    <x v="217"/>
    <x v="313"/>
    <x v="0"/>
    <s v="India"/>
    <s v="Maharashtra"/>
    <s v="Delhi"/>
    <s v="CUST6564"/>
    <x v="1"/>
    <x v="0"/>
    <s v="Storage"/>
    <s v="Product_99"/>
    <s v="Rahul"/>
    <x v="0"/>
    <s v="Cash"/>
    <x v="1"/>
    <n v="8"/>
    <n v="30606"/>
    <n v="20"/>
    <n v="195878.39999999999"/>
    <n v="7836.53"/>
  </r>
  <r>
    <s v="ORD00950"/>
    <x v="612"/>
    <x v="423"/>
    <x v="1"/>
    <s v="India"/>
    <s v="Karnataka"/>
    <s v="Delhi"/>
    <s v="CUST2011"/>
    <x v="2"/>
    <x v="1"/>
    <s v="Table"/>
    <s v="Product_181"/>
    <s v="Sneha"/>
    <x v="0"/>
    <s v="UPI"/>
    <x v="3"/>
    <n v="4"/>
    <n v="37260"/>
    <n v="0"/>
    <n v="149040"/>
    <n v="28470.45"/>
  </r>
  <r>
    <s v="ORD00951"/>
    <x v="613"/>
    <x v="78"/>
    <x v="2"/>
    <s v="India"/>
    <s v="Tamil Nadu"/>
    <s v="Ahmedabad"/>
    <s v="CUST3138"/>
    <x v="0"/>
    <x v="1"/>
    <s v="Table"/>
    <s v="Product_159"/>
    <s v="Neha"/>
    <x v="1"/>
    <s v="Credit Card"/>
    <x v="2"/>
    <n v="5"/>
    <n v="7217"/>
    <n v="10"/>
    <n v="32476.5"/>
    <n v="6547.77"/>
  </r>
  <r>
    <s v="ORD00952"/>
    <x v="614"/>
    <x v="608"/>
    <x v="1"/>
    <s v="India"/>
    <s v="Maharashtra"/>
    <s v="Mumbai"/>
    <s v="CUST6942"/>
    <x v="2"/>
    <x v="2"/>
    <s v="Storage"/>
    <s v="Product_181"/>
    <s v="Karan"/>
    <x v="0"/>
    <s v="UPI"/>
    <x v="3"/>
    <n v="4"/>
    <n v="41923"/>
    <n v="15"/>
    <n v="142538.20000000001"/>
    <n v="15145.85"/>
  </r>
  <r>
    <s v="ORD00953"/>
    <x v="516"/>
    <x v="514"/>
    <x v="2"/>
    <s v="India"/>
    <s v="Tamil Nadu"/>
    <s v="Chennai"/>
    <s v="CUST1439"/>
    <x v="0"/>
    <x v="0"/>
    <s v="Printer"/>
    <s v="Product_83"/>
    <s v="Rahul"/>
    <x v="1"/>
    <s v="UPI"/>
    <x v="0"/>
    <n v="3"/>
    <n v="44217"/>
    <n v="15"/>
    <n v="112753.35"/>
    <n v="10914.68"/>
  </r>
  <r>
    <s v="ORD00954"/>
    <x v="256"/>
    <x v="604"/>
    <x v="1"/>
    <s v="India"/>
    <s v="Gujarat"/>
    <s v="Mumbai"/>
    <s v="CUST9222"/>
    <x v="0"/>
    <x v="1"/>
    <s v="Storage"/>
    <s v="Product_95"/>
    <s v="Sneha"/>
    <x v="1"/>
    <s v="Cash"/>
    <x v="1"/>
    <n v="1"/>
    <n v="33160"/>
    <n v="0"/>
    <n v="33160"/>
    <n v="3729.13"/>
  </r>
  <r>
    <s v="ORD00955"/>
    <x v="232"/>
    <x v="344"/>
    <x v="2"/>
    <s v="India"/>
    <s v="Delhi"/>
    <s v="Mumbai"/>
    <s v="CUST1814"/>
    <x v="2"/>
    <x v="0"/>
    <s v="Printer"/>
    <s v="Product_56"/>
    <s v="Neha"/>
    <x v="0"/>
    <s v="Net Banking"/>
    <x v="2"/>
    <n v="5"/>
    <n v="49212"/>
    <n v="0"/>
    <n v="246060"/>
    <n v="52858.9"/>
  </r>
  <r>
    <s v="ORD00956"/>
    <x v="286"/>
    <x v="342"/>
    <x v="2"/>
    <s v="India"/>
    <s v="Maharashtra"/>
    <s v="Delhi"/>
    <s v="CUST1916"/>
    <x v="0"/>
    <x v="1"/>
    <s v="Mobile"/>
    <s v="Product_136"/>
    <s v="Rahul"/>
    <x v="1"/>
    <s v="UPI"/>
    <x v="3"/>
    <n v="9"/>
    <n v="18212"/>
    <n v="0"/>
    <n v="163908"/>
    <n v="32947.019999999997"/>
  </r>
  <r>
    <s v="ORD00957"/>
    <x v="125"/>
    <x v="609"/>
    <x v="3"/>
    <s v="India"/>
    <s v="Gujarat"/>
    <s v="Chennai"/>
    <s v="CUST9649"/>
    <x v="0"/>
    <x v="0"/>
    <s v="Chair"/>
    <s v="Product_96"/>
    <s v="Amit"/>
    <x v="0"/>
    <s v="UPI"/>
    <x v="1"/>
    <n v="6"/>
    <n v="6698"/>
    <n v="15"/>
    <n v="34159.800000000003"/>
    <n v="581.6"/>
  </r>
  <r>
    <s v="ORD00958"/>
    <x v="250"/>
    <x v="210"/>
    <x v="1"/>
    <s v="India"/>
    <s v="Delhi"/>
    <s v="Ahmedabad"/>
    <s v="CUST8956"/>
    <x v="1"/>
    <x v="0"/>
    <s v="Mobile"/>
    <s v="Product_196"/>
    <s v="Karan"/>
    <x v="1"/>
    <s v="Net Banking"/>
    <x v="0"/>
    <n v="10"/>
    <n v="42129"/>
    <n v="15"/>
    <n v="358096.5"/>
    <n v="42620.639999999999"/>
  </r>
  <r>
    <s v="ORD00959"/>
    <x v="516"/>
    <x v="176"/>
    <x v="2"/>
    <s v="India"/>
    <s v="Maharashtra"/>
    <s v="Ahmedabad"/>
    <s v="CUST7101"/>
    <x v="2"/>
    <x v="1"/>
    <s v="Table"/>
    <s v="Product_151"/>
    <s v="Sneha"/>
    <x v="0"/>
    <s v="Cash"/>
    <x v="2"/>
    <n v="7"/>
    <n v="31150"/>
    <n v="20"/>
    <n v="174440"/>
    <n v="2520.2199999999998"/>
  </r>
  <r>
    <s v="ORD00960"/>
    <x v="615"/>
    <x v="610"/>
    <x v="0"/>
    <s v="India"/>
    <s v="Karnataka"/>
    <s v="Delhi"/>
    <s v="CUST9732"/>
    <x v="0"/>
    <x v="1"/>
    <s v="Printer"/>
    <s v="Product_110"/>
    <s v="Neha"/>
    <x v="0"/>
    <s v="UPI"/>
    <x v="0"/>
    <n v="6"/>
    <n v="31781"/>
    <n v="20"/>
    <n v="152548.79999999999"/>
    <n v="-26593.03"/>
  </r>
  <r>
    <s v="ORD00961"/>
    <x v="445"/>
    <x v="611"/>
    <x v="2"/>
    <s v="India"/>
    <s v="Tamil Nadu"/>
    <s v="Delhi"/>
    <s v="CUST5642"/>
    <x v="2"/>
    <x v="2"/>
    <s v="Storage"/>
    <s v="Product_101"/>
    <s v="Karan"/>
    <x v="0"/>
    <s v="Debit Card"/>
    <x v="0"/>
    <n v="4"/>
    <n v="16282"/>
    <n v="20"/>
    <n v="52102.400000000001"/>
    <n v="2998.78"/>
  </r>
  <r>
    <s v="ORD00962"/>
    <x v="100"/>
    <x v="514"/>
    <x v="3"/>
    <s v="India"/>
    <s v="Tamil Nadu"/>
    <s v="Chennai"/>
    <s v="CUST3848"/>
    <x v="0"/>
    <x v="2"/>
    <s v="Storage"/>
    <s v="Product_191"/>
    <s v="Neha"/>
    <x v="1"/>
    <s v="Cash"/>
    <x v="0"/>
    <n v="10"/>
    <n v="19621"/>
    <n v="10"/>
    <n v="176589"/>
    <n v="29930.02"/>
  </r>
  <r>
    <s v="ORD00963"/>
    <x v="616"/>
    <x v="420"/>
    <x v="2"/>
    <s v="India"/>
    <s v="Delhi"/>
    <s v="Chennai"/>
    <s v="CUST3777"/>
    <x v="2"/>
    <x v="2"/>
    <s v="Table"/>
    <s v="Product_199"/>
    <s v="Neha"/>
    <x v="1"/>
    <s v="UPI"/>
    <x v="0"/>
    <n v="3"/>
    <n v="18731"/>
    <n v="0"/>
    <n v="56193"/>
    <n v="10521.23"/>
  </r>
  <r>
    <s v="ORD00964"/>
    <x v="18"/>
    <x v="18"/>
    <x v="3"/>
    <s v="India"/>
    <s v="Delhi"/>
    <s v="Mumbai"/>
    <s v="CUST2231"/>
    <x v="2"/>
    <x v="0"/>
    <s v="Chair"/>
    <s v="Product_181"/>
    <s v="Karan"/>
    <x v="1"/>
    <s v="UPI"/>
    <x v="0"/>
    <n v="6"/>
    <n v="26531"/>
    <n v="0"/>
    <n v="159186"/>
    <n v="31687.56"/>
  </r>
  <r>
    <s v="ORD00965"/>
    <x v="353"/>
    <x v="242"/>
    <x v="2"/>
    <s v="India"/>
    <s v="Karnataka"/>
    <s v="Chennai"/>
    <s v="CUST6806"/>
    <x v="1"/>
    <x v="1"/>
    <s v="Printer"/>
    <s v="Product_24"/>
    <s v="Rahul"/>
    <x v="0"/>
    <s v="UPI"/>
    <x v="0"/>
    <n v="9"/>
    <n v="17216"/>
    <n v="10"/>
    <n v="139449.60000000001"/>
    <n v="5640.81"/>
  </r>
  <r>
    <s v="ORD00966"/>
    <x v="338"/>
    <x v="441"/>
    <x v="3"/>
    <s v="India"/>
    <s v="Karnataka"/>
    <s v="Chennai"/>
    <s v="CUST4412"/>
    <x v="2"/>
    <x v="2"/>
    <s v="Printer"/>
    <s v="Product_1"/>
    <s v="Amit"/>
    <x v="0"/>
    <s v="Cash"/>
    <x v="1"/>
    <n v="1"/>
    <n v="1661"/>
    <n v="10"/>
    <n v="1494.9"/>
    <n v="-57.31"/>
  </r>
  <r>
    <s v="ORD00967"/>
    <x v="101"/>
    <x v="72"/>
    <x v="3"/>
    <s v="India"/>
    <s v="Maharashtra"/>
    <s v="Bangalore"/>
    <s v="CUST6845"/>
    <x v="2"/>
    <x v="0"/>
    <s v="Table"/>
    <s v="Product_44"/>
    <s v="Rahul"/>
    <x v="1"/>
    <s v="UPI"/>
    <x v="2"/>
    <n v="10"/>
    <n v="22861"/>
    <n v="0"/>
    <n v="228610"/>
    <n v="45761.41"/>
  </r>
  <r>
    <s v="ORD00968"/>
    <x v="617"/>
    <x v="612"/>
    <x v="3"/>
    <s v="India"/>
    <s v="Gujarat"/>
    <s v="Chennai"/>
    <s v="CUST6137"/>
    <x v="2"/>
    <x v="0"/>
    <s v="Chair"/>
    <s v="Product_78"/>
    <s v="Priya"/>
    <x v="0"/>
    <s v="Net Banking"/>
    <x v="2"/>
    <n v="1"/>
    <n v="33656"/>
    <n v="10"/>
    <n v="30290.400000000001"/>
    <n v="4737.78"/>
  </r>
  <r>
    <s v="ORD00969"/>
    <x v="19"/>
    <x v="151"/>
    <x v="3"/>
    <s v="India"/>
    <s v="Tamil Nadu"/>
    <s v="Mumbai"/>
    <s v="CUST1396"/>
    <x v="2"/>
    <x v="2"/>
    <s v="Mobile"/>
    <s v="Product_14"/>
    <s v="Rahul"/>
    <x v="1"/>
    <s v="Cash"/>
    <x v="0"/>
    <n v="3"/>
    <n v="37201"/>
    <n v="20"/>
    <n v="89282.4"/>
    <n v="-1333.48"/>
  </r>
  <r>
    <s v="ORD00970"/>
    <x v="519"/>
    <x v="613"/>
    <x v="3"/>
    <s v="India"/>
    <s v="Tamil Nadu"/>
    <s v="Bangalore"/>
    <s v="CUST3502"/>
    <x v="2"/>
    <x v="1"/>
    <s v="Mobile"/>
    <s v="Product_178"/>
    <s v="Sneha"/>
    <x v="0"/>
    <s v="Cash"/>
    <x v="2"/>
    <n v="4"/>
    <n v="43165"/>
    <n v="20"/>
    <n v="138128"/>
    <n v="-25213.65"/>
  </r>
  <r>
    <s v="ORD00971"/>
    <x v="474"/>
    <x v="517"/>
    <x v="1"/>
    <s v="India"/>
    <s v="Tamil Nadu"/>
    <s v="Delhi"/>
    <s v="CUST3091"/>
    <x v="0"/>
    <x v="2"/>
    <s v="Mobile"/>
    <s v="Product_174"/>
    <s v="Priya"/>
    <x v="0"/>
    <s v="Debit Card"/>
    <x v="0"/>
    <n v="8"/>
    <n v="34064"/>
    <n v="5"/>
    <n v="258886.39999999999"/>
    <n v="21463.9"/>
  </r>
  <r>
    <s v="ORD00972"/>
    <x v="14"/>
    <x v="14"/>
    <x v="1"/>
    <s v="India"/>
    <s v="Gujarat"/>
    <s v="Ahmedabad"/>
    <s v="CUST4969"/>
    <x v="2"/>
    <x v="0"/>
    <s v="Mobile"/>
    <s v="Product_189"/>
    <s v="Sneha"/>
    <x v="1"/>
    <s v="Net Banking"/>
    <x v="1"/>
    <n v="10"/>
    <n v="18603"/>
    <n v="10"/>
    <n v="167427"/>
    <n v="17841.23"/>
  </r>
  <r>
    <s v="ORD00973"/>
    <x v="110"/>
    <x v="208"/>
    <x v="0"/>
    <s v="India"/>
    <s v="Gujarat"/>
    <s v="Chennai"/>
    <s v="CUST8327"/>
    <x v="0"/>
    <x v="1"/>
    <s v="Chair"/>
    <s v="Product_130"/>
    <s v="Priya"/>
    <x v="1"/>
    <s v="Net Banking"/>
    <x v="1"/>
    <n v="8"/>
    <n v="36498"/>
    <n v="10"/>
    <n v="262785.59999999998"/>
    <n v="25270.46"/>
  </r>
  <r>
    <s v="ORD00974"/>
    <x v="484"/>
    <x v="203"/>
    <x v="0"/>
    <s v="India"/>
    <s v="Delhi"/>
    <s v="Ahmedabad"/>
    <s v="CUST5837"/>
    <x v="0"/>
    <x v="0"/>
    <s v="Laptop"/>
    <s v="Product_154"/>
    <s v="Amit"/>
    <x v="0"/>
    <s v="Credit Card"/>
    <x v="1"/>
    <n v="9"/>
    <n v="11853"/>
    <n v="0"/>
    <n v="106677"/>
    <n v="16721.68"/>
  </r>
  <r>
    <s v="ORD00975"/>
    <x v="156"/>
    <x v="614"/>
    <x v="0"/>
    <s v="India"/>
    <s v="Karnataka"/>
    <s v="Chennai"/>
    <s v="CUST7016"/>
    <x v="0"/>
    <x v="1"/>
    <s v="Printer"/>
    <s v="Product_85"/>
    <s v="Priya"/>
    <x v="0"/>
    <s v="Debit Card"/>
    <x v="2"/>
    <n v="3"/>
    <n v="46767"/>
    <n v="0"/>
    <n v="140301"/>
    <n v="13642.01"/>
  </r>
  <r>
    <s v="ORD00976"/>
    <x v="618"/>
    <x v="290"/>
    <x v="2"/>
    <s v="India"/>
    <s v="Maharashtra"/>
    <s v="Delhi"/>
    <s v="CUST1577"/>
    <x v="2"/>
    <x v="0"/>
    <s v="Printer"/>
    <s v="Product_57"/>
    <s v="Amit"/>
    <x v="1"/>
    <s v="Credit Card"/>
    <x v="2"/>
    <n v="9"/>
    <n v="11140"/>
    <n v="15"/>
    <n v="85221"/>
    <n v="9645.19"/>
  </r>
  <r>
    <s v="ORD00977"/>
    <x v="380"/>
    <x v="615"/>
    <x v="2"/>
    <s v="India"/>
    <s v="Delhi"/>
    <s v="Chennai"/>
    <s v="CUST7177"/>
    <x v="0"/>
    <x v="0"/>
    <s v="Table"/>
    <s v="Product_151"/>
    <s v="Priya"/>
    <x v="0"/>
    <s v="UPI"/>
    <x v="1"/>
    <n v="1"/>
    <n v="45603"/>
    <n v="20"/>
    <n v="36482.400000000001"/>
    <n v="-4944.74"/>
  </r>
  <r>
    <s v="ORD00978"/>
    <x v="619"/>
    <x v="616"/>
    <x v="0"/>
    <s v="India"/>
    <s v="Karnataka"/>
    <s v="Ahmedabad"/>
    <s v="CUST8616"/>
    <x v="2"/>
    <x v="2"/>
    <s v="Chair"/>
    <s v="Product_160"/>
    <s v="Sneha"/>
    <x v="1"/>
    <s v="Debit Card"/>
    <x v="1"/>
    <n v="6"/>
    <n v="38235"/>
    <n v="0"/>
    <n v="229410"/>
    <n v="24151.279999999999"/>
  </r>
  <r>
    <s v="ORD00979"/>
    <x v="620"/>
    <x v="410"/>
    <x v="2"/>
    <s v="India"/>
    <s v="Karnataka"/>
    <s v="Chennai"/>
    <s v="CUST6203"/>
    <x v="1"/>
    <x v="2"/>
    <s v="Storage"/>
    <s v="Product_122"/>
    <s v="Neha"/>
    <x v="0"/>
    <s v="Cash"/>
    <x v="3"/>
    <n v="9"/>
    <n v="37173"/>
    <n v="10"/>
    <n v="301101.3"/>
    <n v="19452.62"/>
  </r>
  <r>
    <s v="ORD00980"/>
    <x v="621"/>
    <x v="90"/>
    <x v="3"/>
    <s v="India"/>
    <s v="Karnataka"/>
    <s v="Delhi"/>
    <s v="CUST2191"/>
    <x v="1"/>
    <x v="0"/>
    <s v="Table"/>
    <s v="Product_174"/>
    <s v="Rahul"/>
    <x v="0"/>
    <s v="UPI"/>
    <x v="3"/>
    <n v="7"/>
    <n v="5147"/>
    <n v="10"/>
    <n v="32426.1"/>
    <n v="1993.23"/>
  </r>
  <r>
    <s v="ORD00981"/>
    <x v="622"/>
    <x v="142"/>
    <x v="3"/>
    <s v="India"/>
    <s v="Gujarat"/>
    <s v="Mumbai"/>
    <s v="CUST7722"/>
    <x v="0"/>
    <x v="2"/>
    <s v="Storage"/>
    <s v="Product_81"/>
    <s v="Priya"/>
    <x v="0"/>
    <s v="Credit Card"/>
    <x v="2"/>
    <n v="6"/>
    <n v="25771"/>
    <n v="15"/>
    <n v="131432.1"/>
    <n v="13899.77"/>
  </r>
  <r>
    <s v="ORD00982"/>
    <x v="455"/>
    <x v="372"/>
    <x v="1"/>
    <s v="India"/>
    <s v="Karnataka"/>
    <s v="Chennai"/>
    <s v="CUST4660"/>
    <x v="1"/>
    <x v="1"/>
    <s v="Storage"/>
    <s v="Product_100"/>
    <s v="Neha"/>
    <x v="1"/>
    <s v="Debit Card"/>
    <x v="2"/>
    <n v="5"/>
    <n v="33814"/>
    <n v="10"/>
    <n v="152163"/>
    <n v="13066.38"/>
  </r>
  <r>
    <s v="ORD00983"/>
    <x v="564"/>
    <x v="534"/>
    <x v="2"/>
    <s v="India"/>
    <s v="Delhi"/>
    <s v="Chennai"/>
    <s v="CUST5554"/>
    <x v="0"/>
    <x v="2"/>
    <s v="Table"/>
    <s v="Product_93"/>
    <s v="Amit"/>
    <x v="0"/>
    <s v="Debit Card"/>
    <x v="2"/>
    <n v="3"/>
    <n v="9584"/>
    <n v="0"/>
    <n v="28752"/>
    <n v="7083.37"/>
  </r>
  <r>
    <s v="ORD00984"/>
    <x v="623"/>
    <x v="617"/>
    <x v="0"/>
    <s v="India"/>
    <s v="Karnataka"/>
    <s v="Bangalore"/>
    <s v="CUST1943"/>
    <x v="1"/>
    <x v="1"/>
    <s v="Mobile"/>
    <s v="Product_48"/>
    <s v="Amit"/>
    <x v="0"/>
    <s v="UPI"/>
    <x v="0"/>
    <n v="5"/>
    <n v="24455"/>
    <n v="20"/>
    <n v="97820"/>
    <n v="-16037.51"/>
  </r>
  <r>
    <s v="ORD00985"/>
    <x v="624"/>
    <x v="155"/>
    <x v="3"/>
    <s v="India"/>
    <s v="Maharashtra"/>
    <s v="Ahmedabad"/>
    <s v="CUST9322"/>
    <x v="1"/>
    <x v="1"/>
    <s v="Printer"/>
    <s v="Product_151"/>
    <s v="Rahul"/>
    <x v="0"/>
    <s v="Cash"/>
    <x v="0"/>
    <n v="9"/>
    <n v="33362"/>
    <n v="10"/>
    <n v="270232.2"/>
    <n v="54541.41"/>
  </r>
  <r>
    <s v="ORD00986"/>
    <x v="625"/>
    <x v="618"/>
    <x v="0"/>
    <s v="India"/>
    <s v="Delhi"/>
    <s v="Mumbai"/>
    <s v="CUST1768"/>
    <x v="2"/>
    <x v="2"/>
    <s v="Chair"/>
    <s v="Product_105"/>
    <s v="Amit"/>
    <x v="1"/>
    <s v="Cash"/>
    <x v="2"/>
    <n v="5"/>
    <n v="27131"/>
    <n v="5"/>
    <n v="128872.25"/>
    <n v="6277.42"/>
  </r>
  <r>
    <s v="ORD00987"/>
    <x v="626"/>
    <x v="69"/>
    <x v="0"/>
    <s v="India"/>
    <s v="Gujarat"/>
    <s v="Bangalore"/>
    <s v="CUST5655"/>
    <x v="1"/>
    <x v="2"/>
    <s v="Mobile"/>
    <s v="Product_127"/>
    <s v="Neha"/>
    <x v="1"/>
    <s v="Net Banking"/>
    <x v="0"/>
    <n v="9"/>
    <n v="46711"/>
    <n v="0"/>
    <n v="420399"/>
    <n v="21291.31"/>
  </r>
  <r>
    <s v="ORD00988"/>
    <x v="197"/>
    <x v="185"/>
    <x v="2"/>
    <s v="India"/>
    <s v="Maharashtra"/>
    <s v="Bangalore"/>
    <s v="CUST2193"/>
    <x v="1"/>
    <x v="1"/>
    <s v="Storage"/>
    <s v="Product_144"/>
    <s v="Karan"/>
    <x v="0"/>
    <s v="Cash"/>
    <x v="3"/>
    <n v="4"/>
    <n v="17362"/>
    <n v="5"/>
    <n v="65975.600000000006"/>
    <n v="12558.32"/>
  </r>
  <r>
    <s v="ORD00989"/>
    <x v="279"/>
    <x v="160"/>
    <x v="2"/>
    <s v="India"/>
    <s v="Gujarat"/>
    <s v="Chennai"/>
    <s v="CUST8278"/>
    <x v="0"/>
    <x v="2"/>
    <s v="Storage"/>
    <s v="Product_167"/>
    <s v="Sneha"/>
    <x v="1"/>
    <s v="Net Banking"/>
    <x v="2"/>
    <n v="5"/>
    <n v="38485"/>
    <n v="0"/>
    <n v="192425"/>
    <n v="37359.89"/>
  </r>
  <r>
    <s v="ORD00990"/>
    <x v="627"/>
    <x v="540"/>
    <x v="2"/>
    <s v="India"/>
    <s v="Karnataka"/>
    <s v="Chennai"/>
    <s v="CUST5516"/>
    <x v="1"/>
    <x v="2"/>
    <s v="Table"/>
    <s v="Product_176"/>
    <s v="Amit"/>
    <x v="0"/>
    <s v="Cash"/>
    <x v="3"/>
    <n v="1"/>
    <n v="42328"/>
    <n v="15"/>
    <n v="35978.800000000003"/>
    <n v="-1610.14"/>
  </r>
  <r>
    <s v="ORD00991"/>
    <x v="628"/>
    <x v="173"/>
    <x v="2"/>
    <s v="India"/>
    <s v="Maharashtra"/>
    <s v="Mumbai"/>
    <s v="CUST1006"/>
    <x v="0"/>
    <x v="0"/>
    <s v="Chair"/>
    <s v="Product_24"/>
    <s v="Karan"/>
    <x v="0"/>
    <s v="UPI"/>
    <x v="0"/>
    <n v="5"/>
    <n v="16795"/>
    <n v="5"/>
    <n v="79776.25"/>
    <n v="19547.810000000001"/>
  </r>
  <r>
    <s v="ORD00992"/>
    <x v="629"/>
    <x v="619"/>
    <x v="1"/>
    <s v="India"/>
    <s v="Tamil Nadu"/>
    <s v="Bangalore"/>
    <s v="CUST8934"/>
    <x v="2"/>
    <x v="1"/>
    <s v="Printer"/>
    <s v="Product_156"/>
    <s v="Priya"/>
    <x v="0"/>
    <s v="Net Banking"/>
    <x v="0"/>
    <n v="10"/>
    <n v="22627"/>
    <n v="15"/>
    <n v="192329.5"/>
    <n v="9822.59"/>
  </r>
  <r>
    <s v="ORD00993"/>
    <x v="630"/>
    <x v="620"/>
    <x v="3"/>
    <s v="India"/>
    <s v="Karnataka"/>
    <s v="Chennai"/>
    <s v="CUST8185"/>
    <x v="1"/>
    <x v="1"/>
    <s v="Storage"/>
    <s v="Product_47"/>
    <s v="Priya"/>
    <x v="0"/>
    <s v="UPI"/>
    <x v="3"/>
    <n v="6"/>
    <n v="15305"/>
    <n v="20"/>
    <n v="73464"/>
    <n v="6847.42"/>
  </r>
  <r>
    <s v="ORD00994"/>
    <x v="543"/>
    <x v="295"/>
    <x v="0"/>
    <s v="India"/>
    <s v="Delhi"/>
    <s v="Bangalore"/>
    <s v="CUST9517"/>
    <x v="0"/>
    <x v="2"/>
    <s v="Laptop"/>
    <s v="Product_24"/>
    <s v="Neha"/>
    <x v="1"/>
    <s v="Credit Card"/>
    <x v="1"/>
    <n v="8"/>
    <n v="41429"/>
    <n v="15"/>
    <n v="281717.2"/>
    <n v="3641.66"/>
  </r>
  <r>
    <s v="ORD00995"/>
    <x v="631"/>
    <x v="347"/>
    <x v="2"/>
    <s v="India"/>
    <s v="Maharashtra"/>
    <s v="Bangalore"/>
    <s v="CUST6581"/>
    <x v="1"/>
    <x v="2"/>
    <s v="Laptop"/>
    <s v="Product_167"/>
    <s v="Amit"/>
    <x v="1"/>
    <s v="Debit Card"/>
    <x v="0"/>
    <n v="8"/>
    <n v="24582"/>
    <n v="20"/>
    <n v="157324.79999999999"/>
    <n v="-9868.99"/>
  </r>
  <r>
    <s v="ORD00996"/>
    <x v="300"/>
    <x v="583"/>
    <x v="1"/>
    <s v="India"/>
    <s v="Karnataka"/>
    <s v="Chennai"/>
    <s v="CUST4198"/>
    <x v="1"/>
    <x v="1"/>
    <s v="Chair"/>
    <s v="Product_192"/>
    <s v="Neha"/>
    <x v="1"/>
    <s v="UPI"/>
    <x v="0"/>
    <n v="4"/>
    <n v="17965"/>
    <n v="15"/>
    <n v="61081"/>
    <n v="8867.0499999999993"/>
  </r>
  <r>
    <s v="ORD00997"/>
    <x v="632"/>
    <x v="236"/>
    <x v="3"/>
    <s v="India"/>
    <s v="Maharashtra"/>
    <s v="Chennai"/>
    <s v="CUST9135"/>
    <x v="0"/>
    <x v="0"/>
    <s v="Mobile"/>
    <s v="Product_170"/>
    <s v="Sneha"/>
    <x v="1"/>
    <s v="UPI"/>
    <x v="0"/>
    <n v="1"/>
    <n v="19986"/>
    <n v="10"/>
    <n v="17987.400000000001"/>
    <n v="3552.68"/>
  </r>
  <r>
    <s v="ORD00998"/>
    <x v="633"/>
    <x v="621"/>
    <x v="2"/>
    <s v="India"/>
    <s v="Maharashtra"/>
    <s v="Delhi"/>
    <s v="CUST7366"/>
    <x v="1"/>
    <x v="1"/>
    <s v="Laptop"/>
    <s v="Product_73"/>
    <s v="Neha"/>
    <x v="0"/>
    <s v="Cash"/>
    <x v="1"/>
    <n v="2"/>
    <n v="13295"/>
    <n v="20"/>
    <n v="21272"/>
    <n v="1675.25"/>
  </r>
  <r>
    <s v="ORD00999"/>
    <x v="311"/>
    <x v="316"/>
    <x v="1"/>
    <s v="India"/>
    <s v="Delhi"/>
    <s v="Bangalore"/>
    <s v="CUST2769"/>
    <x v="2"/>
    <x v="2"/>
    <s v="Printer"/>
    <s v="Product_149"/>
    <s v="Karan"/>
    <x v="1"/>
    <s v="Debit Card"/>
    <x v="1"/>
    <n v="9"/>
    <n v="4235"/>
    <n v="5"/>
    <n v="36209.25"/>
    <n v="9261.06"/>
  </r>
  <r>
    <s v="ORD01000"/>
    <x v="381"/>
    <x v="622"/>
    <x v="1"/>
    <s v="India"/>
    <s v="Karnataka"/>
    <s v="Bangalore"/>
    <s v="CUST5186"/>
    <x v="0"/>
    <x v="2"/>
    <s v="Table"/>
    <s v="Product_25"/>
    <s v="Neha"/>
    <x v="1"/>
    <s v="Debit Card"/>
    <x v="3"/>
    <n v="5"/>
    <n v="2393"/>
    <n v="5"/>
    <n v="11366.75"/>
    <n v="1269.31"/>
  </r>
  <r>
    <s v="ORD01001"/>
    <x v="265"/>
    <x v="137"/>
    <x v="0"/>
    <s v="India"/>
    <s v="Tamil Nadu"/>
    <s v="Delhi"/>
    <s v="CUST2410"/>
    <x v="1"/>
    <x v="1"/>
    <s v="Storage"/>
    <s v="Product_46"/>
    <s v="Karan"/>
    <x v="1"/>
    <s v="Cash"/>
    <x v="1"/>
    <n v="6"/>
    <n v="7130"/>
    <n v="0"/>
    <n v="42780"/>
    <n v="12764.11"/>
  </r>
  <r>
    <s v="ORD01002"/>
    <x v="293"/>
    <x v="88"/>
    <x v="1"/>
    <s v="India"/>
    <s v="Maharashtra"/>
    <s v="Ahmedabad"/>
    <s v="CUST7240"/>
    <x v="2"/>
    <x v="0"/>
    <s v="Laptop"/>
    <s v="Product_24"/>
    <s v="Karan"/>
    <x v="0"/>
    <s v="Cash"/>
    <x v="2"/>
    <n v="1"/>
    <n v="10353"/>
    <n v="10"/>
    <n v="9317.7000000000007"/>
    <n v="-383.1"/>
  </r>
  <r>
    <s v="ORD01003"/>
    <x v="370"/>
    <x v="623"/>
    <x v="3"/>
    <s v="India"/>
    <s v="Gujarat"/>
    <s v="Chennai"/>
    <s v="CUST5540"/>
    <x v="1"/>
    <x v="0"/>
    <s v="Mobile"/>
    <s v="Product_11"/>
    <s v="Karan"/>
    <x v="1"/>
    <s v="Cash"/>
    <x v="3"/>
    <n v="2"/>
    <n v="29436"/>
    <n v="20"/>
    <n v="47097.599999999999"/>
    <n v="-3126.97"/>
  </r>
  <r>
    <s v="ORD01004"/>
    <x v="404"/>
    <x v="575"/>
    <x v="0"/>
    <s v="India"/>
    <s v="Delhi"/>
    <s v="Mumbai"/>
    <s v="CUST5856"/>
    <x v="1"/>
    <x v="1"/>
    <s v="Mobile"/>
    <s v="Product_99"/>
    <s v="Neha"/>
    <x v="0"/>
    <s v="Net Banking"/>
    <x v="2"/>
    <n v="7"/>
    <n v="32251"/>
    <n v="15"/>
    <n v="191893.45"/>
    <n v="-11114.82"/>
  </r>
  <r>
    <s v="ORD01005"/>
    <x v="361"/>
    <x v="248"/>
    <x v="3"/>
    <s v="India"/>
    <s v="Maharashtra"/>
    <s v="Ahmedabad"/>
    <s v="CUST2559"/>
    <x v="0"/>
    <x v="2"/>
    <s v="Storage"/>
    <s v="Product_22"/>
    <s v="Karan"/>
    <x v="0"/>
    <s v="Credit Card"/>
    <x v="1"/>
    <n v="7"/>
    <n v="7905"/>
    <n v="10"/>
    <n v="49801.5"/>
    <n v="276.52999999999997"/>
  </r>
  <r>
    <s v="ORD01006"/>
    <x v="634"/>
    <x v="285"/>
    <x v="0"/>
    <s v="India"/>
    <s v="Gujarat"/>
    <s v="Mumbai"/>
    <s v="CUST7773"/>
    <x v="0"/>
    <x v="1"/>
    <s v="Table"/>
    <s v="Product_89"/>
    <s v="Rahul"/>
    <x v="0"/>
    <s v="Debit Card"/>
    <x v="1"/>
    <n v="2"/>
    <n v="16664"/>
    <n v="5"/>
    <n v="31661.599999999999"/>
    <n v="5001.6099999999997"/>
  </r>
  <r>
    <s v="ORD01007"/>
    <x v="500"/>
    <x v="495"/>
    <x v="3"/>
    <s v="India"/>
    <s v="Karnataka"/>
    <s v="Mumbai"/>
    <s v="CUST7734"/>
    <x v="2"/>
    <x v="2"/>
    <s v="Storage"/>
    <s v="Product_126"/>
    <s v="Karan"/>
    <x v="0"/>
    <s v="Credit Card"/>
    <x v="2"/>
    <n v="6"/>
    <n v="31053"/>
    <n v="20"/>
    <n v="149054.39999999999"/>
    <n v="7044.21"/>
  </r>
  <r>
    <s v="ORD01008"/>
    <x v="505"/>
    <x v="33"/>
    <x v="0"/>
    <s v="India"/>
    <s v="Gujarat"/>
    <s v="Bangalore"/>
    <s v="CUST2004"/>
    <x v="1"/>
    <x v="0"/>
    <s v="Storage"/>
    <s v="Product_136"/>
    <s v="Amit"/>
    <x v="0"/>
    <s v="UPI"/>
    <x v="2"/>
    <n v="10"/>
    <n v="33334"/>
    <n v="0"/>
    <n v="333340"/>
    <n v="97377.85"/>
  </r>
  <r>
    <s v="ORD01009"/>
    <x v="320"/>
    <x v="159"/>
    <x v="1"/>
    <s v="India"/>
    <s v="Tamil Nadu"/>
    <s v="Ahmedabad"/>
    <s v="CUST2928"/>
    <x v="0"/>
    <x v="2"/>
    <s v="Mobile"/>
    <s v="Product_170"/>
    <s v="Neha"/>
    <x v="1"/>
    <s v="Credit Card"/>
    <x v="1"/>
    <n v="6"/>
    <n v="40497"/>
    <n v="15"/>
    <n v="206534.7"/>
    <n v="7768.6"/>
  </r>
  <r>
    <s v="ORD01010"/>
    <x v="619"/>
    <x v="624"/>
    <x v="1"/>
    <s v="India"/>
    <s v="Tamil Nadu"/>
    <s v="Ahmedabad"/>
    <s v="CUST3672"/>
    <x v="2"/>
    <x v="0"/>
    <s v="Chair"/>
    <s v="Product_191"/>
    <s v="Amit"/>
    <x v="1"/>
    <s v="Credit Card"/>
    <x v="2"/>
    <n v="6"/>
    <n v="24166"/>
    <n v="15"/>
    <n v="123246.6"/>
    <n v="7478.6"/>
  </r>
  <r>
    <s v="ORD01011"/>
    <x v="103"/>
    <x v="625"/>
    <x v="1"/>
    <s v="India"/>
    <s v="Maharashtra"/>
    <s v="Mumbai"/>
    <s v="CUST7082"/>
    <x v="2"/>
    <x v="1"/>
    <s v="Printer"/>
    <s v="Product_146"/>
    <s v="Amit"/>
    <x v="1"/>
    <s v="UPI"/>
    <x v="2"/>
    <n v="4"/>
    <n v="17264"/>
    <n v="15"/>
    <n v="58697.599999999999"/>
    <n v="-4905.58"/>
  </r>
  <r>
    <s v="ORD01012"/>
    <x v="635"/>
    <x v="626"/>
    <x v="2"/>
    <s v="India"/>
    <s v="Gujarat"/>
    <s v="Delhi"/>
    <s v="CUST5160"/>
    <x v="0"/>
    <x v="0"/>
    <s v="Mobile"/>
    <s v="Product_90"/>
    <s v="Karan"/>
    <x v="0"/>
    <s v="UPI"/>
    <x v="0"/>
    <n v="9"/>
    <n v="12887"/>
    <n v="5"/>
    <n v="110183.85"/>
    <n v="12948.63"/>
  </r>
  <r>
    <s v="ORD01013"/>
    <x v="133"/>
    <x v="395"/>
    <x v="2"/>
    <s v="India"/>
    <s v="Gujarat"/>
    <s v="Ahmedabad"/>
    <s v="CUST7902"/>
    <x v="2"/>
    <x v="0"/>
    <s v="Storage"/>
    <s v="Product_198"/>
    <s v="Rahul"/>
    <x v="1"/>
    <s v="Net Banking"/>
    <x v="3"/>
    <n v="7"/>
    <n v="29068"/>
    <n v="0"/>
    <n v="203476"/>
    <n v="34476.26"/>
  </r>
  <r>
    <s v="ORD01014"/>
    <x v="34"/>
    <x v="76"/>
    <x v="1"/>
    <s v="India"/>
    <s v="Gujarat"/>
    <s v="Delhi"/>
    <s v="CUST1559"/>
    <x v="1"/>
    <x v="0"/>
    <s v="Printer"/>
    <s v="Product_137"/>
    <s v="Priya"/>
    <x v="0"/>
    <s v="Credit Card"/>
    <x v="0"/>
    <n v="6"/>
    <n v="13089"/>
    <n v="10"/>
    <n v="70680.600000000006"/>
    <n v="7738.16"/>
  </r>
  <r>
    <s v="ORD01015"/>
    <x v="636"/>
    <x v="393"/>
    <x v="1"/>
    <s v="India"/>
    <s v="Gujarat"/>
    <s v="Ahmedabad"/>
    <s v="CUST3836"/>
    <x v="0"/>
    <x v="0"/>
    <s v="Table"/>
    <s v="Product_200"/>
    <s v="Neha"/>
    <x v="0"/>
    <s v="Debit Card"/>
    <x v="1"/>
    <n v="7"/>
    <n v="47845"/>
    <n v="15"/>
    <n v="284677.75"/>
    <n v="-11918.94"/>
  </r>
  <r>
    <s v="ORD01016"/>
    <x v="468"/>
    <x v="224"/>
    <x v="2"/>
    <s v="India"/>
    <s v="Karnataka"/>
    <s v="Chennai"/>
    <s v="CUST1213"/>
    <x v="2"/>
    <x v="2"/>
    <s v="Table"/>
    <s v="Product_147"/>
    <s v="Neha"/>
    <x v="0"/>
    <s v="UPI"/>
    <x v="2"/>
    <n v="5"/>
    <n v="33432"/>
    <n v="20"/>
    <n v="133728"/>
    <n v="-15993"/>
  </r>
  <r>
    <s v="ORD01017"/>
    <x v="535"/>
    <x v="562"/>
    <x v="0"/>
    <s v="India"/>
    <s v="Karnataka"/>
    <s v="Delhi"/>
    <s v="CUST9123"/>
    <x v="2"/>
    <x v="0"/>
    <s v="Laptop"/>
    <s v="Product_58"/>
    <s v="Rahul"/>
    <x v="1"/>
    <s v="Credit Card"/>
    <x v="1"/>
    <n v="8"/>
    <n v="13584"/>
    <n v="15"/>
    <n v="92371.199999999997"/>
    <n v="15788.72"/>
  </r>
  <r>
    <s v="ORD01018"/>
    <x v="637"/>
    <x v="627"/>
    <x v="3"/>
    <s v="India"/>
    <s v="Maharashtra"/>
    <s v="Bangalore"/>
    <s v="CUST7579"/>
    <x v="1"/>
    <x v="0"/>
    <s v="Chair"/>
    <s v="Product_180"/>
    <s v="Karan"/>
    <x v="0"/>
    <s v="UPI"/>
    <x v="1"/>
    <n v="2"/>
    <n v="6352"/>
    <n v="20"/>
    <n v="10163.200000000001"/>
    <n v="1258.77"/>
  </r>
  <r>
    <s v="ORD01019"/>
    <x v="638"/>
    <x v="628"/>
    <x v="3"/>
    <s v="India"/>
    <s v="Gujarat"/>
    <s v="Ahmedabad"/>
    <s v="CUST1837"/>
    <x v="2"/>
    <x v="1"/>
    <s v="Chair"/>
    <s v="Product_129"/>
    <s v="Neha"/>
    <x v="1"/>
    <s v="Debit Card"/>
    <x v="2"/>
    <n v="8"/>
    <n v="2149"/>
    <n v="10"/>
    <n v="15472.8"/>
    <n v="2028.05"/>
  </r>
  <r>
    <s v="ORD01020"/>
    <x v="639"/>
    <x v="629"/>
    <x v="1"/>
    <s v="India"/>
    <s v="Delhi"/>
    <s v="Chennai"/>
    <s v="CUST2585"/>
    <x v="1"/>
    <x v="2"/>
    <s v="Chair"/>
    <s v="Product_169"/>
    <s v="Neha"/>
    <x v="1"/>
    <s v="Credit Card"/>
    <x v="2"/>
    <n v="5"/>
    <n v="48968"/>
    <n v="20"/>
    <n v="195872"/>
    <n v="15899.3"/>
  </r>
  <r>
    <s v="ORD01021"/>
    <x v="640"/>
    <x v="66"/>
    <x v="1"/>
    <s v="India"/>
    <s v="Karnataka"/>
    <s v="Bangalore"/>
    <s v="CUST5040"/>
    <x v="2"/>
    <x v="2"/>
    <s v="Printer"/>
    <s v="Product_100"/>
    <s v="Neha"/>
    <x v="1"/>
    <s v="Credit Card"/>
    <x v="0"/>
    <n v="2"/>
    <n v="35323"/>
    <n v="10"/>
    <n v="63581.4"/>
    <n v="-2803.37"/>
  </r>
  <r>
    <s v="ORD01022"/>
    <x v="25"/>
    <x v="17"/>
    <x v="3"/>
    <s v="India"/>
    <s v="Delhi"/>
    <s v="Mumbai"/>
    <s v="CUST9154"/>
    <x v="2"/>
    <x v="2"/>
    <s v="Mobile"/>
    <s v="Product_190"/>
    <s v="Sneha"/>
    <x v="1"/>
    <s v="Debit Card"/>
    <x v="0"/>
    <n v="3"/>
    <n v="45889"/>
    <n v="5"/>
    <n v="130783.65"/>
    <n v="16446.46"/>
  </r>
  <r>
    <s v="ORD01023"/>
    <x v="641"/>
    <x v="178"/>
    <x v="1"/>
    <s v="India"/>
    <s v="Maharashtra"/>
    <s v="Mumbai"/>
    <s v="CUST7837"/>
    <x v="1"/>
    <x v="1"/>
    <s v="Storage"/>
    <s v="Product_59"/>
    <s v="Priya"/>
    <x v="0"/>
    <s v="Credit Card"/>
    <x v="0"/>
    <n v="3"/>
    <n v="35595"/>
    <n v="5"/>
    <n v="101445.75"/>
    <n v="1702.95"/>
  </r>
  <r>
    <s v="ORD01024"/>
    <x v="509"/>
    <x v="234"/>
    <x v="2"/>
    <s v="India"/>
    <s v="Gujarat"/>
    <s v="Delhi"/>
    <s v="CUST2933"/>
    <x v="0"/>
    <x v="2"/>
    <s v="Laptop"/>
    <s v="Product_167"/>
    <s v="Priya"/>
    <x v="0"/>
    <s v="Net Banking"/>
    <x v="0"/>
    <n v="8"/>
    <n v="43447"/>
    <n v="10"/>
    <n v="312818.40000000002"/>
    <n v="1251.71"/>
  </r>
  <r>
    <s v="ORD01025"/>
    <x v="429"/>
    <x v="502"/>
    <x v="1"/>
    <s v="India"/>
    <s v="Maharashtra"/>
    <s v="Delhi"/>
    <s v="CUST5484"/>
    <x v="0"/>
    <x v="0"/>
    <s v="Mobile"/>
    <s v="Product_11"/>
    <s v="Amit"/>
    <x v="0"/>
    <s v="Net Banking"/>
    <x v="0"/>
    <n v="1"/>
    <n v="43075"/>
    <n v="10"/>
    <n v="38767.5"/>
    <n v="2676.67"/>
  </r>
  <r>
    <s v="ORD01026"/>
    <x v="1"/>
    <x v="399"/>
    <x v="1"/>
    <s v="India"/>
    <s v="Maharashtra"/>
    <s v="Delhi"/>
    <s v="CUST1671"/>
    <x v="1"/>
    <x v="1"/>
    <s v="Table"/>
    <s v="Product_149"/>
    <s v="Rahul"/>
    <x v="0"/>
    <s v="Net Banking"/>
    <x v="2"/>
    <n v="5"/>
    <n v="14673"/>
    <n v="0"/>
    <n v="73365"/>
    <n v="18245.16"/>
  </r>
  <r>
    <s v="ORD01027"/>
    <x v="642"/>
    <x v="428"/>
    <x v="2"/>
    <s v="India"/>
    <s v="Tamil Nadu"/>
    <s v="Chennai"/>
    <s v="CUST8696"/>
    <x v="1"/>
    <x v="0"/>
    <s v="Laptop"/>
    <s v="Product_143"/>
    <s v="Rahul"/>
    <x v="0"/>
    <s v="Credit Card"/>
    <x v="2"/>
    <n v="7"/>
    <n v="949"/>
    <n v="20"/>
    <n v="5314.4"/>
    <n v="-390.73"/>
  </r>
  <r>
    <s v="ORD01028"/>
    <x v="296"/>
    <x v="630"/>
    <x v="0"/>
    <s v="India"/>
    <s v="Gujarat"/>
    <s v="Chennai"/>
    <s v="CUST2365"/>
    <x v="2"/>
    <x v="0"/>
    <s v="Printer"/>
    <s v="Product_59"/>
    <s v="Rahul"/>
    <x v="0"/>
    <s v="UPI"/>
    <x v="2"/>
    <n v="2"/>
    <n v="24958"/>
    <n v="15"/>
    <n v="42428.6"/>
    <n v="-3697.37"/>
  </r>
  <r>
    <s v="ORD01029"/>
    <x v="643"/>
    <x v="339"/>
    <x v="0"/>
    <s v="India"/>
    <s v="Tamil Nadu"/>
    <s v="Bangalore"/>
    <s v="CUST8242"/>
    <x v="1"/>
    <x v="1"/>
    <s v="Mobile"/>
    <s v="Product_2"/>
    <s v="Priya"/>
    <x v="0"/>
    <s v="Cash"/>
    <x v="2"/>
    <n v="5"/>
    <n v="10132"/>
    <n v="10"/>
    <n v="45594"/>
    <n v="-77.13"/>
  </r>
  <r>
    <s v="ORD01030"/>
    <x v="256"/>
    <x v="604"/>
    <x v="3"/>
    <s v="India"/>
    <s v="Delhi"/>
    <s v="Delhi"/>
    <s v="CUST9944"/>
    <x v="0"/>
    <x v="2"/>
    <s v="Table"/>
    <s v="Product_88"/>
    <s v="Priya"/>
    <x v="0"/>
    <s v="Credit Card"/>
    <x v="3"/>
    <n v="8"/>
    <n v="25404"/>
    <n v="5"/>
    <n v="193070.4"/>
    <n v="33245.660000000003"/>
  </r>
  <r>
    <s v="ORD01031"/>
    <x v="248"/>
    <x v="244"/>
    <x v="1"/>
    <s v="India"/>
    <s v="Karnataka"/>
    <s v="Chennai"/>
    <s v="CUST1243"/>
    <x v="2"/>
    <x v="2"/>
    <s v="Storage"/>
    <s v="Product_47"/>
    <s v="Amit"/>
    <x v="1"/>
    <s v="Net Banking"/>
    <x v="0"/>
    <n v="6"/>
    <n v="21636"/>
    <n v="20"/>
    <n v="103852.8"/>
    <n v="-18178.560000000001"/>
  </r>
  <r>
    <s v="ORD01032"/>
    <x v="644"/>
    <x v="156"/>
    <x v="0"/>
    <s v="India"/>
    <s v="Delhi"/>
    <s v="Bangalore"/>
    <s v="CUST4412"/>
    <x v="0"/>
    <x v="0"/>
    <s v="Laptop"/>
    <s v="Product_180"/>
    <s v="Rahul"/>
    <x v="1"/>
    <s v="Net Banking"/>
    <x v="3"/>
    <n v="1"/>
    <n v="44189"/>
    <n v="10"/>
    <n v="39770.1"/>
    <n v="-1413.6"/>
  </r>
  <r>
    <s v="ORD01033"/>
    <x v="132"/>
    <x v="631"/>
    <x v="2"/>
    <s v="India"/>
    <s v="Delhi"/>
    <s v="Bangalore"/>
    <s v="CUST5602"/>
    <x v="1"/>
    <x v="0"/>
    <s v="Chair"/>
    <s v="Product_14"/>
    <s v="Amit"/>
    <x v="1"/>
    <s v="Credit Card"/>
    <x v="0"/>
    <n v="3"/>
    <n v="47034"/>
    <n v="15"/>
    <n v="119936.7"/>
    <n v="3802.3"/>
  </r>
  <r>
    <s v="ORD01034"/>
    <x v="446"/>
    <x v="222"/>
    <x v="2"/>
    <s v="India"/>
    <s v="Karnataka"/>
    <s v="Mumbai"/>
    <s v="CUST1604"/>
    <x v="2"/>
    <x v="0"/>
    <s v="Printer"/>
    <s v="Product_100"/>
    <s v="Amit"/>
    <x v="0"/>
    <s v="UPI"/>
    <x v="1"/>
    <n v="8"/>
    <n v="49992"/>
    <n v="0"/>
    <n v="399936"/>
    <n v="50155.1"/>
  </r>
  <r>
    <s v="ORD01035"/>
    <x v="645"/>
    <x v="632"/>
    <x v="0"/>
    <s v="India"/>
    <s v="Tamil Nadu"/>
    <s v="Delhi"/>
    <s v="CUST1552"/>
    <x v="0"/>
    <x v="1"/>
    <s v="Chair"/>
    <s v="Product_113"/>
    <s v="Priya"/>
    <x v="0"/>
    <s v="Debit Card"/>
    <x v="0"/>
    <n v="5"/>
    <n v="17287"/>
    <n v="20"/>
    <n v="69148"/>
    <n v="-10564.52"/>
  </r>
  <r>
    <s v="ORD01036"/>
    <x v="646"/>
    <x v="633"/>
    <x v="0"/>
    <s v="India"/>
    <s v="Maharashtra"/>
    <s v="Mumbai"/>
    <s v="CUST8929"/>
    <x v="1"/>
    <x v="0"/>
    <s v="Printer"/>
    <s v="Product_101"/>
    <s v="Priya"/>
    <x v="1"/>
    <s v="Debit Card"/>
    <x v="2"/>
    <n v="6"/>
    <n v="32749"/>
    <n v="15"/>
    <n v="167019.9"/>
    <n v="27391.53"/>
  </r>
  <r>
    <s v="ORD01037"/>
    <x v="442"/>
    <x v="103"/>
    <x v="0"/>
    <s v="India"/>
    <s v="Delhi"/>
    <s v="Bangalore"/>
    <s v="CUST5176"/>
    <x v="1"/>
    <x v="1"/>
    <s v="Mobile"/>
    <s v="Product_29"/>
    <s v="Neha"/>
    <x v="1"/>
    <s v="Debit Card"/>
    <x v="3"/>
    <n v="5"/>
    <n v="27480"/>
    <n v="5"/>
    <n v="130530"/>
    <n v="26601.5"/>
  </r>
  <r>
    <s v="ORD01038"/>
    <x v="647"/>
    <x v="634"/>
    <x v="1"/>
    <s v="India"/>
    <s v="Karnataka"/>
    <s v="Bangalore"/>
    <s v="CUST3128"/>
    <x v="1"/>
    <x v="2"/>
    <s v="Printer"/>
    <s v="Product_186"/>
    <s v="Karan"/>
    <x v="1"/>
    <s v="Net Banking"/>
    <x v="3"/>
    <n v="5"/>
    <n v="34363"/>
    <n v="0"/>
    <n v="171815"/>
    <n v="38394.18"/>
  </r>
  <r>
    <s v="ORD01039"/>
    <x v="648"/>
    <x v="301"/>
    <x v="0"/>
    <s v="India"/>
    <s v="Maharashtra"/>
    <s v="Bangalore"/>
    <s v="CUST4139"/>
    <x v="1"/>
    <x v="2"/>
    <s v="Mobile"/>
    <s v="Product_161"/>
    <s v="Karan"/>
    <x v="1"/>
    <s v="Cash"/>
    <x v="1"/>
    <n v="9"/>
    <n v="9021"/>
    <n v="10"/>
    <n v="73070.100000000006"/>
    <n v="8623.57"/>
  </r>
  <r>
    <s v="ORD01040"/>
    <x v="121"/>
    <x v="362"/>
    <x v="2"/>
    <s v="India"/>
    <s v="Maharashtra"/>
    <s v="Mumbai"/>
    <s v="CUST9449"/>
    <x v="2"/>
    <x v="2"/>
    <s v="Printer"/>
    <s v="Product_9"/>
    <s v="Karan"/>
    <x v="1"/>
    <s v="Net Banking"/>
    <x v="1"/>
    <n v="10"/>
    <n v="19742"/>
    <n v="10"/>
    <n v="177678"/>
    <n v="-340.09"/>
  </r>
  <r>
    <s v="ORD01041"/>
    <x v="649"/>
    <x v="635"/>
    <x v="3"/>
    <s v="India"/>
    <s v="Tamil Nadu"/>
    <s v="Ahmedabad"/>
    <s v="CUST3459"/>
    <x v="2"/>
    <x v="0"/>
    <s v="Mobile"/>
    <s v="Product_74"/>
    <s v="Karan"/>
    <x v="1"/>
    <s v="UPI"/>
    <x v="2"/>
    <n v="6"/>
    <n v="42738"/>
    <n v="15"/>
    <n v="217963.8"/>
    <n v="17658.830000000002"/>
  </r>
  <r>
    <s v="ORD01042"/>
    <x v="650"/>
    <x v="412"/>
    <x v="2"/>
    <s v="India"/>
    <s v="Maharashtra"/>
    <s v="Chennai"/>
    <s v="CUST9323"/>
    <x v="0"/>
    <x v="2"/>
    <s v="Chair"/>
    <s v="Product_194"/>
    <s v="Karan"/>
    <x v="1"/>
    <s v="Debit Card"/>
    <x v="2"/>
    <n v="10"/>
    <n v="9753"/>
    <n v="15"/>
    <n v="82900.5"/>
    <n v="8274.6"/>
  </r>
  <r>
    <s v="ORD01043"/>
    <x v="651"/>
    <x v="615"/>
    <x v="0"/>
    <s v="India"/>
    <s v="Karnataka"/>
    <s v="Ahmedabad"/>
    <s v="CUST5979"/>
    <x v="1"/>
    <x v="2"/>
    <s v="Laptop"/>
    <s v="Product_159"/>
    <s v="Neha"/>
    <x v="0"/>
    <s v="Debit Card"/>
    <x v="1"/>
    <n v="8"/>
    <n v="21408"/>
    <n v="10"/>
    <n v="154137.60000000001"/>
    <n v="31900.15"/>
  </r>
  <r>
    <s v="ORD01044"/>
    <x v="652"/>
    <x v="621"/>
    <x v="1"/>
    <s v="India"/>
    <s v="Karnataka"/>
    <s v="Delhi"/>
    <s v="CUST9605"/>
    <x v="1"/>
    <x v="1"/>
    <s v="Mobile"/>
    <s v="Product_70"/>
    <s v="Priya"/>
    <x v="1"/>
    <s v="Cash"/>
    <x v="3"/>
    <n v="3"/>
    <n v="40263"/>
    <n v="5"/>
    <n v="114749.55"/>
    <n v="10827.48"/>
  </r>
  <r>
    <s v="ORD01045"/>
    <x v="246"/>
    <x v="199"/>
    <x v="2"/>
    <s v="India"/>
    <s v="Gujarat"/>
    <s v="Mumbai"/>
    <s v="CUST2122"/>
    <x v="2"/>
    <x v="0"/>
    <s v="Printer"/>
    <s v="Product_13"/>
    <s v="Rahul"/>
    <x v="0"/>
    <s v="Credit Card"/>
    <x v="0"/>
    <n v="8"/>
    <n v="41881"/>
    <n v="5"/>
    <n v="318295.59999999998"/>
    <n v="54537.86"/>
  </r>
  <r>
    <s v="ORD01046"/>
    <x v="476"/>
    <x v="441"/>
    <x v="3"/>
    <s v="India"/>
    <s v="Tamil Nadu"/>
    <s v="Delhi"/>
    <s v="CUST1028"/>
    <x v="1"/>
    <x v="2"/>
    <s v="Chair"/>
    <s v="Product_7"/>
    <s v="Rahul"/>
    <x v="1"/>
    <s v="Cash"/>
    <x v="1"/>
    <n v="3"/>
    <n v="28949"/>
    <n v="5"/>
    <n v="82504.649999999994"/>
    <n v="15151.13"/>
  </r>
  <r>
    <s v="ORD01047"/>
    <x v="33"/>
    <x v="628"/>
    <x v="3"/>
    <s v="India"/>
    <s v="Karnataka"/>
    <s v="Bangalore"/>
    <s v="CUST9566"/>
    <x v="1"/>
    <x v="2"/>
    <s v="Chair"/>
    <s v="Product_167"/>
    <s v="Neha"/>
    <x v="0"/>
    <s v="Net Banking"/>
    <x v="2"/>
    <n v="5"/>
    <n v="9264"/>
    <n v="20"/>
    <n v="37056"/>
    <n v="-6100.51"/>
  </r>
  <r>
    <s v="ORD01048"/>
    <x v="464"/>
    <x v="405"/>
    <x v="3"/>
    <s v="India"/>
    <s v="Gujarat"/>
    <s v="Delhi"/>
    <s v="CUST7159"/>
    <x v="0"/>
    <x v="2"/>
    <s v="Storage"/>
    <s v="Product_38"/>
    <s v="Karan"/>
    <x v="0"/>
    <s v="Debit Card"/>
    <x v="1"/>
    <n v="5"/>
    <n v="18219"/>
    <n v="5"/>
    <n v="86540.25"/>
    <n v="5099.84"/>
  </r>
  <r>
    <s v="ORD01049"/>
    <x v="653"/>
    <x v="14"/>
    <x v="3"/>
    <s v="India"/>
    <s v="Maharashtra"/>
    <s v="Bangalore"/>
    <s v="CUST7211"/>
    <x v="0"/>
    <x v="1"/>
    <s v="Mobile"/>
    <s v="Product_19"/>
    <s v="Neha"/>
    <x v="1"/>
    <s v="Credit Card"/>
    <x v="0"/>
    <n v="7"/>
    <n v="8255"/>
    <n v="20"/>
    <n v="46228"/>
    <n v="-5580.98"/>
  </r>
  <r>
    <s v="ORD01050"/>
    <x v="654"/>
    <x v="636"/>
    <x v="2"/>
    <s v="India"/>
    <s v="Karnataka"/>
    <s v="Mumbai"/>
    <s v="CUST1708"/>
    <x v="1"/>
    <x v="0"/>
    <s v="Chair"/>
    <s v="Product_6"/>
    <s v="Sneha"/>
    <x v="0"/>
    <s v="UPI"/>
    <x v="2"/>
    <n v="7"/>
    <n v="19053"/>
    <n v="5"/>
    <n v="126702.45"/>
    <n v="32531.74"/>
  </r>
  <r>
    <s v="ORD01051"/>
    <x v="367"/>
    <x v="637"/>
    <x v="0"/>
    <s v="India"/>
    <s v="Tamil Nadu"/>
    <s v="Ahmedabad"/>
    <s v="CUST7454"/>
    <x v="0"/>
    <x v="2"/>
    <s v="Laptop"/>
    <s v="Product_55"/>
    <s v="Karan"/>
    <x v="0"/>
    <s v="Debit Card"/>
    <x v="0"/>
    <n v="2"/>
    <n v="46680"/>
    <n v="15"/>
    <n v="79356"/>
    <n v="-7525.78"/>
  </r>
  <r>
    <s v="ORD01052"/>
    <x v="655"/>
    <x v="638"/>
    <x v="2"/>
    <s v="India"/>
    <s v="Gujarat"/>
    <s v="Mumbai"/>
    <s v="CUST9952"/>
    <x v="2"/>
    <x v="1"/>
    <s v="Laptop"/>
    <s v="Product_6"/>
    <s v="Rahul"/>
    <x v="1"/>
    <s v="Debit Card"/>
    <x v="3"/>
    <n v="9"/>
    <n v="35634"/>
    <n v="10"/>
    <n v="288635.40000000002"/>
    <n v="54073.85"/>
  </r>
  <r>
    <s v="ORD01053"/>
    <x v="474"/>
    <x v="639"/>
    <x v="1"/>
    <s v="India"/>
    <s v="Tamil Nadu"/>
    <s v="Bangalore"/>
    <s v="CUST4819"/>
    <x v="1"/>
    <x v="1"/>
    <s v="Table"/>
    <s v="Product_86"/>
    <s v="Neha"/>
    <x v="1"/>
    <s v="Cash"/>
    <x v="0"/>
    <n v="8"/>
    <n v="38190"/>
    <n v="15"/>
    <n v="259692"/>
    <n v="12403.82"/>
  </r>
  <r>
    <s v="ORD01054"/>
    <x v="68"/>
    <x v="640"/>
    <x v="2"/>
    <s v="India"/>
    <s v="Maharashtra"/>
    <s v="Delhi"/>
    <s v="CUST6358"/>
    <x v="0"/>
    <x v="1"/>
    <s v="Chair"/>
    <s v="Product_48"/>
    <s v="Priya"/>
    <x v="0"/>
    <s v="Credit Card"/>
    <x v="1"/>
    <n v="3"/>
    <n v="19378"/>
    <n v="0"/>
    <n v="58134"/>
    <n v="12861.62"/>
  </r>
  <r>
    <s v="ORD01055"/>
    <x v="656"/>
    <x v="290"/>
    <x v="2"/>
    <s v="India"/>
    <s v="Delhi"/>
    <s v="Delhi"/>
    <s v="CUST1916"/>
    <x v="0"/>
    <x v="1"/>
    <s v="Mobile"/>
    <s v="Product_78"/>
    <s v="Priya"/>
    <x v="1"/>
    <s v="Cash"/>
    <x v="1"/>
    <n v="2"/>
    <n v="26734"/>
    <n v="0"/>
    <n v="53468"/>
    <n v="13985.76"/>
  </r>
  <r>
    <s v="ORD01056"/>
    <x v="205"/>
    <x v="641"/>
    <x v="0"/>
    <s v="India"/>
    <s v="Karnataka"/>
    <s v="Chennai"/>
    <s v="CUST8772"/>
    <x v="1"/>
    <x v="2"/>
    <s v="Laptop"/>
    <s v="Product_197"/>
    <s v="Karan"/>
    <x v="1"/>
    <s v="Net Banking"/>
    <x v="3"/>
    <n v="6"/>
    <n v="49077"/>
    <n v="5"/>
    <n v="279738.90000000002"/>
    <n v="6606.76"/>
  </r>
  <r>
    <s v="ORD01057"/>
    <x v="388"/>
    <x v="489"/>
    <x v="2"/>
    <s v="India"/>
    <s v="Tamil Nadu"/>
    <s v="Ahmedabad"/>
    <s v="CUST7252"/>
    <x v="2"/>
    <x v="2"/>
    <s v="Printer"/>
    <s v="Product_98"/>
    <s v="Amit"/>
    <x v="1"/>
    <s v="UPI"/>
    <x v="3"/>
    <n v="4"/>
    <n v="40292"/>
    <n v="0"/>
    <n v="161168"/>
    <n v="37459.129999999997"/>
  </r>
  <r>
    <s v="ORD01058"/>
    <x v="486"/>
    <x v="445"/>
    <x v="0"/>
    <s v="India"/>
    <s v="Gujarat"/>
    <s v="Mumbai"/>
    <s v="CUST1010"/>
    <x v="0"/>
    <x v="2"/>
    <s v="Printer"/>
    <s v="Product_157"/>
    <s v="Sneha"/>
    <x v="0"/>
    <s v="Credit Card"/>
    <x v="2"/>
    <n v="3"/>
    <n v="42611"/>
    <n v="10"/>
    <n v="115049.7"/>
    <n v="18367.43"/>
  </r>
  <r>
    <s v="ORD01059"/>
    <x v="657"/>
    <x v="447"/>
    <x v="2"/>
    <s v="India"/>
    <s v="Maharashtra"/>
    <s v="Chennai"/>
    <s v="CUST8305"/>
    <x v="2"/>
    <x v="0"/>
    <s v="Printer"/>
    <s v="Product_174"/>
    <s v="Sneha"/>
    <x v="0"/>
    <s v="UPI"/>
    <x v="1"/>
    <n v="4"/>
    <n v="26058"/>
    <n v="0"/>
    <n v="104232"/>
    <n v="15888.67"/>
  </r>
  <r>
    <s v="ORD01060"/>
    <x v="202"/>
    <x v="193"/>
    <x v="1"/>
    <s v="India"/>
    <s v="Gujarat"/>
    <s v="Mumbai"/>
    <s v="CUST6951"/>
    <x v="2"/>
    <x v="0"/>
    <s v="Storage"/>
    <s v="Product_100"/>
    <s v="Karan"/>
    <x v="0"/>
    <s v="UPI"/>
    <x v="1"/>
    <n v="6"/>
    <n v="12635"/>
    <n v="15"/>
    <n v="64438.5"/>
    <n v="2653.28"/>
  </r>
  <r>
    <s v="ORD01061"/>
    <x v="489"/>
    <x v="642"/>
    <x v="0"/>
    <s v="India"/>
    <s v="Karnataka"/>
    <s v="Ahmedabad"/>
    <s v="CUST8128"/>
    <x v="1"/>
    <x v="0"/>
    <s v="Chair"/>
    <s v="Product_147"/>
    <s v="Sneha"/>
    <x v="1"/>
    <s v="Debit Card"/>
    <x v="3"/>
    <n v="7"/>
    <n v="9751"/>
    <n v="0"/>
    <n v="68257"/>
    <n v="5233.22"/>
  </r>
  <r>
    <s v="ORD01062"/>
    <x v="84"/>
    <x v="643"/>
    <x v="2"/>
    <s v="India"/>
    <s v="Delhi"/>
    <s v="Ahmedabad"/>
    <s v="CUST4302"/>
    <x v="2"/>
    <x v="1"/>
    <s v="Laptop"/>
    <s v="Product_184"/>
    <s v="Rahul"/>
    <x v="0"/>
    <s v="Debit Card"/>
    <x v="2"/>
    <n v="5"/>
    <n v="43362"/>
    <n v="10"/>
    <n v="195129"/>
    <n v="4245.84"/>
  </r>
  <r>
    <s v="ORD01063"/>
    <x v="658"/>
    <x v="284"/>
    <x v="1"/>
    <s v="India"/>
    <s v="Delhi"/>
    <s v="Mumbai"/>
    <s v="CUST6459"/>
    <x v="0"/>
    <x v="2"/>
    <s v="Chair"/>
    <s v="Product_65"/>
    <s v="Neha"/>
    <x v="1"/>
    <s v="Credit Card"/>
    <x v="1"/>
    <n v="5"/>
    <n v="21139"/>
    <n v="0"/>
    <n v="105695"/>
    <n v="14762.82"/>
  </r>
  <r>
    <s v="ORD01064"/>
    <x v="659"/>
    <x v="644"/>
    <x v="0"/>
    <s v="India"/>
    <s v="Maharashtra"/>
    <s v="Ahmedabad"/>
    <s v="CUST7230"/>
    <x v="1"/>
    <x v="1"/>
    <s v="Storage"/>
    <s v="Product_177"/>
    <s v="Rahul"/>
    <x v="0"/>
    <s v="UPI"/>
    <x v="0"/>
    <n v="7"/>
    <n v="25727"/>
    <n v="0"/>
    <n v="180089"/>
    <n v="41366.57"/>
  </r>
  <r>
    <s v="ORD01065"/>
    <x v="239"/>
    <x v="261"/>
    <x v="0"/>
    <s v="India"/>
    <s v="Gujarat"/>
    <s v="Delhi"/>
    <s v="CUST2443"/>
    <x v="1"/>
    <x v="1"/>
    <s v="Chair"/>
    <s v="Product_101"/>
    <s v="Rahul"/>
    <x v="0"/>
    <s v="Debit Card"/>
    <x v="1"/>
    <n v="6"/>
    <n v="9033"/>
    <n v="10"/>
    <n v="48778.2"/>
    <n v="-2616.14"/>
  </r>
  <r>
    <s v="ORD01066"/>
    <x v="660"/>
    <x v="362"/>
    <x v="1"/>
    <s v="India"/>
    <s v="Karnataka"/>
    <s v="Bangalore"/>
    <s v="CUST5269"/>
    <x v="2"/>
    <x v="0"/>
    <s v="Laptop"/>
    <s v="Product_29"/>
    <s v="Priya"/>
    <x v="1"/>
    <s v="UPI"/>
    <x v="0"/>
    <n v="4"/>
    <n v="30325"/>
    <n v="15"/>
    <n v="103105"/>
    <n v="-3420.21"/>
  </r>
  <r>
    <s v="ORD01067"/>
    <x v="661"/>
    <x v="552"/>
    <x v="0"/>
    <s v="India"/>
    <s v="Maharashtra"/>
    <s v="Chennai"/>
    <s v="CUST7261"/>
    <x v="2"/>
    <x v="1"/>
    <s v="Laptop"/>
    <s v="Product_8"/>
    <s v="Amit"/>
    <x v="1"/>
    <s v="Net Banking"/>
    <x v="2"/>
    <n v="4"/>
    <n v="46879"/>
    <n v="10"/>
    <n v="168764.4"/>
    <n v="37306.11"/>
  </r>
  <r>
    <s v="ORD01068"/>
    <x v="150"/>
    <x v="369"/>
    <x v="0"/>
    <s v="India"/>
    <s v="Delhi"/>
    <s v="Chennai"/>
    <s v="CUST4318"/>
    <x v="0"/>
    <x v="0"/>
    <s v="Chair"/>
    <s v="Product_155"/>
    <s v="Karan"/>
    <x v="0"/>
    <s v="Debit Card"/>
    <x v="1"/>
    <n v="2"/>
    <n v="6836"/>
    <n v="15"/>
    <n v="11621.2"/>
    <n v="-1058.3499999999999"/>
  </r>
  <r>
    <s v="ORD01069"/>
    <x v="293"/>
    <x v="545"/>
    <x v="0"/>
    <s v="India"/>
    <s v="Tamil Nadu"/>
    <s v="Ahmedabad"/>
    <s v="CUST8485"/>
    <x v="0"/>
    <x v="0"/>
    <s v="Storage"/>
    <s v="Product_39"/>
    <s v="Neha"/>
    <x v="0"/>
    <s v="Cash"/>
    <x v="1"/>
    <n v="4"/>
    <n v="28086"/>
    <n v="15"/>
    <n v="95492.4"/>
    <n v="2507.2800000000002"/>
  </r>
  <r>
    <s v="ORD01070"/>
    <x v="606"/>
    <x v="524"/>
    <x v="0"/>
    <s v="India"/>
    <s v="Delhi"/>
    <s v="Bangalore"/>
    <s v="CUST6654"/>
    <x v="1"/>
    <x v="0"/>
    <s v="Mobile"/>
    <s v="Product_48"/>
    <s v="Priya"/>
    <x v="1"/>
    <s v="Credit Card"/>
    <x v="0"/>
    <n v="6"/>
    <n v="6338"/>
    <n v="20"/>
    <n v="30422.400000000001"/>
    <n v="3076.8"/>
  </r>
  <r>
    <s v="ORD01071"/>
    <x v="654"/>
    <x v="220"/>
    <x v="3"/>
    <s v="India"/>
    <s v="Gujarat"/>
    <s v="Delhi"/>
    <s v="CUST2760"/>
    <x v="2"/>
    <x v="2"/>
    <s v="Chair"/>
    <s v="Product_35"/>
    <s v="Amit"/>
    <x v="1"/>
    <s v="Net Banking"/>
    <x v="2"/>
    <n v="2"/>
    <n v="42595"/>
    <n v="0"/>
    <n v="85190"/>
    <n v="18488.86"/>
  </r>
  <r>
    <s v="ORD01072"/>
    <x v="272"/>
    <x v="645"/>
    <x v="3"/>
    <s v="India"/>
    <s v="Karnataka"/>
    <s v="Chennai"/>
    <s v="CUST7525"/>
    <x v="0"/>
    <x v="0"/>
    <s v="Storage"/>
    <s v="Product_56"/>
    <s v="Amit"/>
    <x v="1"/>
    <s v="Credit Card"/>
    <x v="0"/>
    <n v="5"/>
    <n v="7274"/>
    <n v="20"/>
    <n v="29096"/>
    <n v="288.23"/>
  </r>
  <r>
    <s v="ORD01073"/>
    <x v="256"/>
    <x v="251"/>
    <x v="3"/>
    <s v="India"/>
    <s v="Tamil Nadu"/>
    <s v="Bangalore"/>
    <s v="CUST4191"/>
    <x v="2"/>
    <x v="2"/>
    <s v="Storage"/>
    <s v="Product_10"/>
    <s v="Amit"/>
    <x v="1"/>
    <s v="Cash"/>
    <x v="3"/>
    <n v="6"/>
    <n v="12912"/>
    <n v="0"/>
    <n v="77472"/>
    <n v="15520.81"/>
  </r>
  <r>
    <s v="ORD01074"/>
    <x v="46"/>
    <x v="646"/>
    <x v="1"/>
    <s v="India"/>
    <s v="Maharashtra"/>
    <s v="Delhi"/>
    <s v="CUST8574"/>
    <x v="1"/>
    <x v="0"/>
    <s v="Laptop"/>
    <s v="Product_47"/>
    <s v="Sneha"/>
    <x v="1"/>
    <s v="Net Banking"/>
    <x v="0"/>
    <n v="3"/>
    <n v="13451"/>
    <n v="0"/>
    <n v="40353"/>
    <n v="11941.23"/>
  </r>
  <r>
    <s v="ORD01075"/>
    <x v="662"/>
    <x v="647"/>
    <x v="3"/>
    <s v="India"/>
    <s v="Delhi"/>
    <s v="Chennai"/>
    <s v="CUST7150"/>
    <x v="2"/>
    <x v="0"/>
    <s v="Printer"/>
    <s v="Product_140"/>
    <s v="Sneha"/>
    <x v="0"/>
    <s v="UPI"/>
    <x v="0"/>
    <n v="10"/>
    <n v="12929"/>
    <n v="20"/>
    <n v="103432"/>
    <n v="4741.3999999999996"/>
  </r>
  <r>
    <s v="ORD01076"/>
    <x v="252"/>
    <x v="364"/>
    <x v="0"/>
    <s v="India"/>
    <s v="Tamil Nadu"/>
    <s v="Delhi"/>
    <s v="CUST9653"/>
    <x v="0"/>
    <x v="0"/>
    <s v="Chair"/>
    <s v="Product_121"/>
    <s v="Rahul"/>
    <x v="0"/>
    <s v="Debit Card"/>
    <x v="1"/>
    <n v="6"/>
    <n v="48934"/>
    <n v="0"/>
    <n v="293604"/>
    <n v="48602.61"/>
  </r>
  <r>
    <s v="ORD01077"/>
    <x v="597"/>
    <x v="648"/>
    <x v="2"/>
    <s v="India"/>
    <s v="Karnataka"/>
    <s v="Ahmedabad"/>
    <s v="CUST2926"/>
    <x v="0"/>
    <x v="2"/>
    <s v="Chair"/>
    <s v="Product_55"/>
    <s v="Sneha"/>
    <x v="1"/>
    <s v="Net Banking"/>
    <x v="3"/>
    <n v="1"/>
    <n v="10471"/>
    <n v="5"/>
    <n v="9947.4500000000007"/>
    <n v="556.87"/>
  </r>
  <r>
    <s v="ORD01078"/>
    <x v="656"/>
    <x v="649"/>
    <x v="2"/>
    <s v="India"/>
    <s v="Gujarat"/>
    <s v="Ahmedabad"/>
    <s v="CUST4366"/>
    <x v="0"/>
    <x v="2"/>
    <s v="Laptop"/>
    <s v="Product_54"/>
    <s v="Sneha"/>
    <x v="0"/>
    <s v="Cash"/>
    <x v="3"/>
    <n v="5"/>
    <n v="38552"/>
    <n v="10"/>
    <n v="173484"/>
    <n v="26507.06"/>
  </r>
  <r>
    <s v="ORD01079"/>
    <x v="663"/>
    <x v="60"/>
    <x v="0"/>
    <s v="India"/>
    <s v="Karnataka"/>
    <s v="Chennai"/>
    <s v="CUST2806"/>
    <x v="1"/>
    <x v="0"/>
    <s v="Mobile"/>
    <s v="Product_155"/>
    <s v="Priya"/>
    <x v="1"/>
    <s v="Debit Card"/>
    <x v="2"/>
    <n v="1"/>
    <n v="33206"/>
    <n v="10"/>
    <n v="29885.4"/>
    <n v="4513.9799999999996"/>
  </r>
  <r>
    <s v="ORD01080"/>
    <x v="664"/>
    <x v="95"/>
    <x v="2"/>
    <s v="India"/>
    <s v="Karnataka"/>
    <s v="Chennai"/>
    <s v="CUST3018"/>
    <x v="0"/>
    <x v="1"/>
    <s v="Laptop"/>
    <s v="Product_99"/>
    <s v="Priya"/>
    <x v="1"/>
    <s v="Debit Card"/>
    <x v="3"/>
    <n v="2"/>
    <n v="1213"/>
    <n v="0"/>
    <n v="2426"/>
    <n v="128.85"/>
  </r>
  <r>
    <s v="ORD01081"/>
    <x v="54"/>
    <x v="519"/>
    <x v="0"/>
    <s v="India"/>
    <s v="Maharashtra"/>
    <s v="Delhi"/>
    <s v="CUST5292"/>
    <x v="0"/>
    <x v="1"/>
    <s v="Mobile"/>
    <s v="Product_35"/>
    <s v="Karan"/>
    <x v="1"/>
    <s v="UPI"/>
    <x v="2"/>
    <n v="2"/>
    <n v="28496"/>
    <n v="10"/>
    <n v="51292.800000000003"/>
    <n v="391.49"/>
  </r>
  <r>
    <s v="ORD01082"/>
    <x v="665"/>
    <x v="650"/>
    <x v="1"/>
    <s v="India"/>
    <s v="Maharashtra"/>
    <s v="Mumbai"/>
    <s v="CUST3584"/>
    <x v="0"/>
    <x v="1"/>
    <s v="Printer"/>
    <s v="Product_67"/>
    <s v="Rahul"/>
    <x v="0"/>
    <s v="Cash"/>
    <x v="1"/>
    <n v="7"/>
    <n v="41612"/>
    <n v="15"/>
    <n v="247591.4"/>
    <n v="-11375.72"/>
  </r>
  <r>
    <s v="ORD01083"/>
    <x v="259"/>
    <x v="269"/>
    <x v="1"/>
    <s v="India"/>
    <s v="Tamil Nadu"/>
    <s v="Mumbai"/>
    <s v="CUST7681"/>
    <x v="0"/>
    <x v="1"/>
    <s v="Chair"/>
    <s v="Product_182"/>
    <s v="Rahul"/>
    <x v="0"/>
    <s v="Credit Card"/>
    <x v="1"/>
    <n v="9"/>
    <n v="47938"/>
    <n v="20"/>
    <n v="345153.6"/>
    <n v="-26570.12"/>
  </r>
  <r>
    <s v="ORD01084"/>
    <x v="452"/>
    <x v="126"/>
    <x v="1"/>
    <s v="India"/>
    <s v="Tamil Nadu"/>
    <s v="Delhi"/>
    <s v="CUST3965"/>
    <x v="2"/>
    <x v="2"/>
    <s v="Storage"/>
    <s v="Product_47"/>
    <s v="Neha"/>
    <x v="1"/>
    <s v="Credit Card"/>
    <x v="3"/>
    <n v="10"/>
    <n v="12254"/>
    <n v="15"/>
    <n v="104159"/>
    <n v="14878.41"/>
  </r>
  <r>
    <s v="ORD01085"/>
    <x v="103"/>
    <x v="651"/>
    <x v="0"/>
    <s v="India"/>
    <s v="Delhi"/>
    <s v="Bangalore"/>
    <s v="CUST8078"/>
    <x v="1"/>
    <x v="2"/>
    <s v="Laptop"/>
    <s v="Product_195"/>
    <s v="Neha"/>
    <x v="0"/>
    <s v="Debit Card"/>
    <x v="3"/>
    <n v="9"/>
    <n v="15097"/>
    <n v="0"/>
    <n v="135873"/>
    <n v="22722.560000000001"/>
  </r>
  <r>
    <s v="ORD01086"/>
    <x v="573"/>
    <x v="473"/>
    <x v="0"/>
    <s v="India"/>
    <s v="Maharashtra"/>
    <s v="Bangalore"/>
    <s v="CUST3481"/>
    <x v="2"/>
    <x v="2"/>
    <s v="Laptop"/>
    <s v="Product_193"/>
    <s v="Rahul"/>
    <x v="1"/>
    <s v="Credit Card"/>
    <x v="1"/>
    <n v="10"/>
    <n v="25014"/>
    <n v="15"/>
    <n v="212619"/>
    <n v="-12761.36"/>
  </r>
  <r>
    <s v="ORD01087"/>
    <x v="509"/>
    <x v="534"/>
    <x v="1"/>
    <s v="India"/>
    <s v="Tamil Nadu"/>
    <s v="Ahmedabad"/>
    <s v="CUST3632"/>
    <x v="0"/>
    <x v="1"/>
    <s v="Chair"/>
    <s v="Product_190"/>
    <s v="Neha"/>
    <x v="1"/>
    <s v="Credit Card"/>
    <x v="1"/>
    <n v="6"/>
    <n v="2272"/>
    <n v="10"/>
    <n v="12268.8"/>
    <n v="1840.42"/>
  </r>
  <r>
    <s v="ORD01088"/>
    <x v="609"/>
    <x v="649"/>
    <x v="1"/>
    <s v="India"/>
    <s v="Maharashtra"/>
    <s v="Chennai"/>
    <s v="CUST5216"/>
    <x v="2"/>
    <x v="2"/>
    <s v="Table"/>
    <s v="Product_166"/>
    <s v="Neha"/>
    <x v="0"/>
    <s v="Net Banking"/>
    <x v="0"/>
    <n v="8"/>
    <n v="47374"/>
    <n v="15"/>
    <n v="322143.2"/>
    <n v="48357.39"/>
  </r>
  <r>
    <s v="ORD01089"/>
    <x v="666"/>
    <x v="307"/>
    <x v="1"/>
    <s v="India"/>
    <s v="Delhi"/>
    <s v="Delhi"/>
    <s v="CUST5295"/>
    <x v="0"/>
    <x v="1"/>
    <s v="Chair"/>
    <s v="Product_23"/>
    <s v="Neha"/>
    <x v="1"/>
    <s v="Net Banking"/>
    <x v="2"/>
    <n v="4"/>
    <n v="29666"/>
    <n v="0"/>
    <n v="118664"/>
    <n v="13749.17"/>
  </r>
  <r>
    <s v="ORD01090"/>
    <x v="35"/>
    <x v="484"/>
    <x v="2"/>
    <s v="India"/>
    <s v="Tamil Nadu"/>
    <s v="Bangalore"/>
    <s v="CUST6842"/>
    <x v="2"/>
    <x v="2"/>
    <s v="Mobile"/>
    <s v="Product_43"/>
    <s v="Neha"/>
    <x v="1"/>
    <s v="Debit Card"/>
    <x v="0"/>
    <n v="3"/>
    <n v="21429"/>
    <n v="20"/>
    <n v="51429.599999999999"/>
    <n v="2605.7800000000002"/>
  </r>
  <r>
    <s v="ORD01091"/>
    <x v="95"/>
    <x v="489"/>
    <x v="1"/>
    <s v="India"/>
    <s v="Maharashtra"/>
    <s v="Mumbai"/>
    <s v="CUST5526"/>
    <x v="1"/>
    <x v="1"/>
    <s v="Table"/>
    <s v="Product_185"/>
    <s v="Neha"/>
    <x v="0"/>
    <s v="Credit Card"/>
    <x v="2"/>
    <n v="10"/>
    <n v="9296"/>
    <n v="0"/>
    <n v="92960"/>
    <n v="7550.06"/>
  </r>
  <r>
    <s v="ORD01092"/>
    <x v="92"/>
    <x v="66"/>
    <x v="1"/>
    <s v="India"/>
    <s v="Tamil Nadu"/>
    <s v="Chennai"/>
    <s v="CUST2789"/>
    <x v="1"/>
    <x v="2"/>
    <s v="Mobile"/>
    <s v="Product_181"/>
    <s v="Priya"/>
    <x v="1"/>
    <s v="UPI"/>
    <x v="0"/>
    <n v="1"/>
    <n v="23834"/>
    <n v="10"/>
    <n v="21450.6"/>
    <n v="326.16000000000003"/>
  </r>
  <r>
    <s v="ORD01093"/>
    <x v="667"/>
    <x v="652"/>
    <x v="2"/>
    <s v="India"/>
    <s v="Tamil Nadu"/>
    <s v="Chennai"/>
    <s v="CUST3609"/>
    <x v="2"/>
    <x v="2"/>
    <s v="Table"/>
    <s v="Product_87"/>
    <s v="Rahul"/>
    <x v="0"/>
    <s v="Credit Card"/>
    <x v="0"/>
    <n v="9"/>
    <n v="18472"/>
    <n v="5"/>
    <n v="157935.6"/>
    <n v="22453.35"/>
  </r>
  <r>
    <s v="ORD01094"/>
    <x v="588"/>
    <x v="121"/>
    <x v="0"/>
    <s v="India"/>
    <s v="Karnataka"/>
    <s v="Chennai"/>
    <s v="CUST9758"/>
    <x v="1"/>
    <x v="2"/>
    <s v="Chair"/>
    <s v="Product_128"/>
    <s v="Karan"/>
    <x v="0"/>
    <s v="Cash"/>
    <x v="0"/>
    <n v="3"/>
    <n v="29816"/>
    <n v="20"/>
    <n v="71558.399999999994"/>
    <n v="-11101.02"/>
  </r>
  <r>
    <s v="ORD01095"/>
    <x v="668"/>
    <x v="462"/>
    <x v="1"/>
    <s v="India"/>
    <s v="Gujarat"/>
    <s v="Bangalore"/>
    <s v="CUST9555"/>
    <x v="2"/>
    <x v="1"/>
    <s v="Mobile"/>
    <s v="Product_186"/>
    <s v="Karan"/>
    <x v="1"/>
    <s v="Credit Card"/>
    <x v="2"/>
    <n v="10"/>
    <n v="45641"/>
    <n v="5"/>
    <n v="433589.5"/>
    <n v="47774.54"/>
  </r>
  <r>
    <s v="ORD01096"/>
    <x v="116"/>
    <x v="450"/>
    <x v="3"/>
    <s v="India"/>
    <s v="Gujarat"/>
    <s v="Bangalore"/>
    <s v="CUST8566"/>
    <x v="2"/>
    <x v="2"/>
    <s v="Mobile"/>
    <s v="Product_157"/>
    <s v="Karan"/>
    <x v="1"/>
    <s v="Net Banking"/>
    <x v="1"/>
    <n v="1"/>
    <n v="37245"/>
    <n v="10"/>
    <n v="33520.5"/>
    <n v="5246.74"/>
  </r>
  <r>
    <s v="ORD01097"/>
    <x v="293"/>
    <x v="245"/>
    <x v="3"/>
    <s v="India"/>
    <s v="Tamil Nadu"/>
    <s v="Mumbai"/>
    <s v="CUST3306"/>
    <x v="1"/>
    <x v="0"/>
    <s v="Chair"/>
    <s v="Product_4"/>
    <s v="Amit"/>
    <x v="0"/>
    <s v="UPI"/>
    <x v="0"/>
    <n v="5"/>
    <n v="34964"/>
    <n v="10"/>
    <n v="157338"/>
    <n v="-2948.56"/>
  </r>
  <r>
    <s v="ORD01098"/>
    <x v="636"/>
    <x v="653"/>
    <x v="0"/>
    <s v="India"/>
    <s v="Delhi"/>
    <s v="Chennai"/>
    <s v="CUST4890"/>
    <x v="0"/>
    <x v="1"/>
    <s v="Chair"/>
    <s v="Product_13"/>
    <s v="Rahul"/>
    <x v="1"/>
    <s v="Credit Card"/>
    <x v="0"/>
    <n v="5"/>
    <n v="14258"/>
    <n v="0"/>
    <n v="71290"/>
    <n v="11941.06"/>
  </r>
  <r>
    <s v="ORD01099"/>
    <x v="579"/>
    <x v="654"/>
    <x v="3"/>
    <s v="India"/>
    <s v="Tamil Nadu"/>
    <s v="Chennai"/>
    <s v="CUST2556"/>
    <x v="2"/>
    <x v="2"/>
    <s v="Table"/>
    <s v="Product_86"/>
    <s v="Amit"/>
    <x v="1"/>
    <s v="Debit Card"/>
    <x v="2"/>
    <n v="1"/>
    <n v="39468"/>
    <n v="15"/>
    <n v="33547.800000000003"/>
    <n v="3114.55"/>
  </r>
  <r>
    <s v="ORD01100"/>
    <x v="669"/>
    <x v="291"/>
    <x v="2"/>
    <s v="India"/>
    <s v="Maharashtra"/>
    <s v="Mumbai"/>
    <s v="CUST7444"/>
    <x v="1"/>
    <x v="0"/>
    <s v="Storage"/>
    <s v="Product_9"/>
    <s v="Rahul"/>
    <x v="0"/>
    <s v="Net Banking"/>
    <x v="2"/>
    <n v="2"/>
    <n v="6918"/>
    <n v="5"/>
    <n v="13144.2"/>
    <n v="942.96"/>
  </r>
  <r>
    <s v="ORD01101"/>
    <x v="565"/>
    <x v="107"/>
    <x v="1"/>
    <s v="India"/>
    <s v="Delhi"/>
    <s v="Mumbai"/>
    <s v="CUST2659"/>
    <x v="0"/>
    <x v="2"/>
    <s v="Table"/>
    <s v="Product_109"/>
    <s v="Amit"/>
    <x v="0"/>
    <s v="UPI"/>
    <x v="1"/>
    <n v="9"/>
    <n v="9818"/>
    <n v="10"/>
    <n v="79525.8"/>
    <n v="-2040.02"/>
  </r>
  <r>
    <s v="ORD01102"/>
    <x v="193"/>
    <x v="655"/>
    <x v="2"/>
    <s v="India"/>
    <s v="Karnataka"/>
    <s v="Chennai"/>
    <s v="CUST6056"/>
    <x v="0"/>
    <x v="0"/>
    <s v="Printer"/>
    <s v="Product_76"/>
    <s v="Sneha"/>
    <x v="0"/>
    <s v="UPI"/>
    <x v="1"/>
    <n v="7"/>
    <n v="35000"/>
    <n v="10"/>
    <n v="220500"/>
    <n v="44019.79"/>
  </r>
  <r>
    <s v="ORD01103"/>
    <x v="670"/>
    <x v="656"/>
    <x v="1"/>
    <s v="India"/>
    <s v="Gujarat"/>
    <s v="Mumbai"/>
    <s v="CUST8951"/>
    <x v="0"/>
    <x v="0"/>
    <s v="Chair"/>
    <s v="Product_59"/>
    <s v="Rahul"/>
    <x v="1"/>
    <s v="Cash"/>
    <x v="3"/>
    <n v="8"/>
    <n v="24945"/>
    <n v="5"/>
    <n v="189582"/>
    <n v="16174.33"/>
  </r>
  <r>
    <s v="ORD01104"/>
    <x v="165"/>
    <x v="569"/>
    <x v="2"/>
    <s v="India"/>
    <s v="Karnataka"/>
    <s v="Ahmedabad"/>
    <s v="CUST3119"/>
    <x v="0"/>
    <x v="2"/>
    <s v="Storage"/>
    <s v="Product_109"/>
    <s v="Neha"/>
    <x v="0"/>
    <s v="Cash"/>
    <x v="2"/>
    <n v="5"/>
    <n v="18817"/>
    <n v="10"/>
    <n v="84676.5"/>
    <n v="-2458.5500000000002"/>
  </r>
  <r>
    <s v="ORD01105"/>
    <x v="671"/>
    <x v="657"/>
    <x v="3"/>
    <s v="India"/>
    <s v="Gujarat"/>
    <s v="Ahmedabad"/>
    <s v="CUST3820"/>
    <x v="2"/>
    <x v="2"/>
    <s v="Mobile"/>
    <s v="Product_176"/>
    <s v="Priya"/>
    <x v="1"/>
    <s v="Credit Card"/>
    <x v="1"/>
    <n v="5"/>
    <n v="29676"/>
    <n v="0"/>
    <n v="148380"/>
    <n v="7696.48"/>
  </r>
  <r>
    <s v="ORD01106"/>
    <x v="9"/>
    <x v="463"/>
    <x v="0"/>
    <s v="India"/>
    <s v="Delhi"/>
    <s v="Ahmedabad"/>
    <s v="CUST9911"/>
    <x v="0"/>
    <x v="2"/>
    <s v="Laptop"/>
    <s v="Product_114"/>
    <s v="Amit"/>
    <x v="0"/>
    <s v="Debit Card"/>
    <x v="1"/>
    <n v="10"/>
    <n v="44954"/>
    <n v="15"/>
    <n v="382109"/>
    <n v="19206.68"/>
  </r>
  <r>
    <s v="ORD01107"/>
    <x v="194"/>
    <x v="298"/>
    <x v="0"/>
    <s v="India"/>
    <s v="Delhi"/>
    <s v="Mumbai"/>
    <s v="CUST4038"/>
    <x v="1"/>
    <x v="0"/>
    <s v="Mobile"/>
    <s v="Product_73"/>
    <s v="Karan"/>
    <x v="0"/>
    <s v="Cash"/>
    <x v="3"/>
    <n v="1"/>
    <n v="17315"/>
    <n v="20"/>
    <n v="13852"/>
    <n v="386.02"/>
  </r>
  <r>
    <s v="ORD01108"/>
    <x v="158"/>
    <x v="658"/>
    <x v="1"/>
    <s v="India"/>
    <s v="Gujarat"/>
    <s v="Bangalore"/>
    <s v="CUST5799"/>
    <x v="0"/>
    <x v="2"/>
    <s v="Chair"/>
    <s v="Product_1"/>
    <s v="Rahul"/>
    <x v="0"/>
    <s v="Cash"/>
    <x v="1"/>
    <n v="6"/>
    <n v="1283"/>
    <n v="15"/>
    <n v="6543.3"/>
    <n v="-521.48"/>
  </r>
  <r>
    <s v="ORD01109"/>
    <x v="488"/>
    <x v="522"/>
    <x v="0"/>
    <s v="India"/>
    <s v="Karnataka"/>
    <s v="Bangalore"/>
    <s v="CUST7593"/>
    <x v="1"/>
    <x v="2"/>
    <s v="Chair"/>
    <s v="Product_10"/>
    <s v="Neha"/>
    <x v="0"/>
    <s v="Debit Card"/>
    <x v="2"/>
    <n v="7"/>
    <n v="9419"/>
    <n v="20"/>
    <n v="52746.400000000001"/>
    <n v="2209.6799999999998"/>
  </r>
  <r>
    <s v="ORD01110"/>
    <x v="473"/>
    <x v="659"/>
    <x v="1"/>
    <s v="India"/>
    <s v="Delhi"/>
    <s v="Bangalore"/>
    <s v="CUST1452"/>
    <x v="2"/>
    <x v="1"/>
    <s v="Chair"/>
    <s v="Product_187"/>
    <s v="Neha"/>
    <x v="0"/>
    <s v="Credit Card"/>
    <x v="1"/>
    <n v="5"/>
    <n v="40279"/>
    <n v="15"/>
    <n v="171185.75"/>
    <n v="29748.04"/>
  </r>
  <r>
    <s v="ORD01111"/>
    <x v="492"/>
    <x v="660"/>
    <x v="0"/>
    <s v="India"/>
    <s v="Karnataka"/>
    <s v="Bangalore"/>
    <s v="CUST9932"/>
    <x v="1"/>
    <x v="1"/>
    <s v="Storage"/>
    <s v="Product_35"/>
    <s v="Amit"/>
    <x v="1"/>
    <s v="Credit Card"/>
    <x v="2"/>
    <n v="8"/>
    <n v="49959"/>
    <n v="20"/>
    <n v="319737.59999999998"/>
    <n v="-40050.639999999999"/>
  </r>
  <r>
    <s v="ORD01112"/>
    <x v="16"/>
    <x v="482"/>
    <x v="3"/>
    <s v="India"/>
    <s v="Delhi"/>
    <s v="Ahmedabad"/>
    <s v="CUST8188"/>
    <x v="0"/>
    <x v="2"/>
    <s v="Chair"/>
    <s v="Product_41"/>
    <s v="Karan"/>
    <x v="0"/>
    <s v="Debit Card"/>
    <x v="0"/>
    <n v="7"/>
    <n v="2875"/>
    <n v="10"/>
    <n v="18112.5"/>
    <n v="-237.95"/>
  </r>
  <r>
    <s v="ORD01113"/>
    <x v="672"/>
    <x v="456"/>
    <x v="3"/>
    <s v="India"/>
    <s v="Tamil Nadu"/>
    <s v="Mumbai"/>
    <s v="CUST8769"/>
    <x v="2"/>
    <x v="1"/>
    <s v="Table"/>
    <s v="Product_128"/>
    <s v="Amit"/>
    <x v="0"/>
    <s v="Credit Card"/>
    <x v="2"/>
    <n v="5"/>
    <n v="46845"/>
    <n v="10"/>
    <n v="210802.5"/>
    <n v="-9215.1299999999992"/>
  </r>
  <r>
    <s v="ORD01114"/>
    <x v="382"/>
    <x v="382"/>
    <x v="1"/>
    <s v="India"/>
    <s v="Tamil Nadu"/>
    <s v="Mumbai"/>
    <s v="CUST9776"/>
    <x v="0"/>
    <x v="2"/>
    <s v="Chair"/>
    <s v="Product_22"/>
    <s v="Priya"/>
    <x v="1"/>
    <s v="Net Banking"/>
    <x v="3"/>
    <n v="8"/>
    <n v="48218"/>
    <n v="10"/>
    <n v="347169.6"/>
    <n v="38386.15"/>
  </r>
  <r>
    <s v="ORD01115"/>
    <x v="673"/>
    <x v="626"/>
    <x v="0"/>
    <s v="India"/>
    <s v="Karnataka"/>
    <s v="Chennai"/>
    <s v="CUST5426"/>
    <x v="1"/>
    <x v="2"/>
    <s v="Storage"/>
    <s v="Product_97"/>
    <s v="Karan"/>
    <x v="1"/>
    <s v="UPI"/>
    <x v="2"/>
    <n v="7"/>
    <n v="1031"/>
    <n v="20"/>
    <n v="5773.6"/>
    <n v="-754.78"/>
  </r>
  <r>
    <s v="ORD01116"/>
    <x v="674"/>
    <x v="661"/>
    <x v="0"/>
    <s v="India"/>
    <s v="Delhi"/>
    <s v="Delhi"/>
    <s v="CUST4950"/>
    <x v="0"/>
    <x v="0"/>
    <s v="Table"/>
    <s v="Product_117"/>
    <s v="Rahul"/>
    <x v="1"/>
    <s v="Credit Card"/>
    <x v="3"/>
    <n v="5"/>
    <n v="44038"/>
    <n v="20"/>
    <n v="176152"/>
    <n v="-27747.31"/>
  </r>
  <r>
    <s v="ORD01117"/>
    <x v="620"/>
    <x v="662"/>
    <x v="2"/>
    <s v="India"/>
    <s v="Delhi"/>
    <s v="Ahmedabad"/>
    <s v="CUST7981"/>
    <x v="1"/>
    <x v="1"/>
    <s v="Mobile"/>
    <s v="Product_54"/>
    <s v="Sneha"/>
    <x v="1"/>
    <s v="Net Banking"/>
    <x v="2"/>
    <n v="2"/>
    <n v="6248"/>
    <n v="15"/>
    <n v="10621.6"/>
    <n v="741.44"/>
  </r>
  <r>
    <s v="ORD01118"/>
    <x v="215"/>
    <x v="72"/>
    <x v="0"/>
    <s v="India"/>
    <s v="Karnataka"/>
    <s v="Ahmedabad"/>
    <s v="CUST4681"/>
    <x v="2"/>
    <x v="2"/>
    <s v="Storage"/>
    <s v="Product_188"/>
    <s v="Amit"/>
    <x v="0"/>
    <s v="Debit Card"/>
    <x v="0"/>
    <n v="9"/>
    <n v="28960"/>
    <n v="0"/>
    <n v="260640"/>
    <n v="46993.3"/>
  </r>
  <r>
    <s v="ORD01119"/>
    <x v="675"/>
    <x v="663"/>
    <x v="2"/>
    <s v="India"/>
    <s v="Tamil Nadu"/>
    <s v="Mumbai"/>
    <s v="CUST9280"/>
    <x v="1"/>
    <x v="1"/>
    <s v="Printer"/>
    <s v="Product_173"/>
    <s v="Rahul"/>
    <x v="0"/>
    <s v="Cash"/>
    <x v="2"/>
    <n v="6"/>
    <n v="10840"/>
    <n v="10"/>
    <n v="58536"/>
    <n v="6500.35"/>
  </r>
  <r>
    <s v="ORD01120"/>
    <x v="666"/>
    <x v="224"/>
    <x v="2"/>
    <s v="India"/>
    <s v="Delhi"/>
    <s v="Ahmedabad"/>
    <s v="CUST8808"/>
    <x v="1"/>
    <x v="1"/>
    <s v="Table"/>
    <s v="Product_98"/>
    <s v="Sneha"/>
    <x v="1"/>
    <s v="Cash"/>
    <x v="0"/>
    <n v="7"/>
    <n v="45152"/>
    <n v="5"/>
    <n v="300260.8"/>
    <n v="25330.799999999999"/>
  </r>
  <r>
    <s v="ORD01121"/>
    <x v="379"/>
    <x v="379"/>
    <x v="2"/>
    <s v="India"/>
    <s v="Delhi"/>
    <s v="Ahmedabad"/>
    <s v="CUST6249"/>
    <x v="1"/>
    <x v="0"/>
    <s v="Storage"/>
    <s v="Product_34"/>
    <s v="Priya"/>
    <x v="1"/>
    <s v="Credit Card"/>
    <x v="3"/>
    <n v="2"/>
    <n v="38746"/>
    <n v="5"/>
    <n v="73617.399999999994"/>
    <n v="4990.3599999999997"/>
  </r>
  <r>
    <s v="ORD01122"/>
    <x v="676"/>
    <x v="401"/>
    <x v="0"/>
    <s v="India"/>
    <s v="Tamil Nadu"/>
    <s v="Bangalore"/>
    <s v="CUST3427"/>
    <x v="2"/>
    <x v="0"/>
    <s v="Mobile"/>
    <s v="Product_42"/>
    <s v="Karan"/>
    <x v="1"/>
    <s v="Credit Card"/>
    <x v="2"/>
    <n v="8"/>
    <n v="41781"/>
    <n v="15"/>
    <n v="284110.8"/>
    <n v="-16757.86"/>
  </r>
  <r>
    <s v="ORD01123"/>
    <x v="399"/>
    <x v="573"/>
    <x v="2"/>
    <s v="India"/>
    <s v="Tamil Nadu"/>
    <s v="Mumbai"/>
    <s v="CUST9015"/>
    <x v="0"/>
    <x v="2"/>
    <s v="Table"/>
    <s v="Product_153"/>
    <s v="Priya"/>
    <x v="1"/>
    <s v="UPI"/>
    <x v="1"/>
    <n v="5"/>
    <n v="36571"/>
    <n v="10"/>
    <n v="164569.5"/>
    <n v="13838.98"/>
  </r>
  <r>
    <s v="ORD01124"/>
    <x v="412"/>
    <x v="664"/>
    <x v="2"/>
    <s v="India"/>
    <s v="Gujarat"/>
    <s v="Chennai"/>
    <s v="CUST2325"/>
    <x v="2"/>
    <x v="0"/>
    <s v="Mobile"/>
    <s v="Product_42"/>
    <s v="Rahul"/>
    <x v="0"/>
    <s v="Credit Card"/>
    <x v="1"/>
    <n v="7"/>
    <n v="16945"/>
    <n v="0"/>
    <n v="118615"/>
    <n v="32198.92"/>
  </r>
  <r>
    <s v="ORD01125"/>
    <x v="595"/>
    <x v="487"/>
    <x v="2"/>
    <s v="India"/>
    <s v="Karnataka"/>
    <s v="Delhi"/>
    <s v="CUST9238"/>
    <x v="0"/>
    <x v="1"/>
    <s v="Mobile"/>
    <s v="Product_199"/>
    <s v="Karan"/>
    <x v="0"/>
    <s v="Debit Card"/>
    <x v="2"/>
    <n v="8"/>
    <n v="6545"/>
    <n v="5"/>
    <n v="49742"/>
    <n v="11280.75"/>
  </r>
  <r>
    <s v="ORD01126"/>
    <x v="255"/>
    <x v="665"/>
    <x v="0"/>
    <s v="India"/>
    <s v="Karnataka"/>
    <s v="Bangalore"/>
    <s v="CUST1361"/>
    <x v="2"/>
    <x v="1"/>
    <s v="Chair"/>
    <s v="Product_76"/>
    <s v="Karan"/>
    <x v="1"/>
    <s v="UPI"/>
    <x v="0"/>
    <n v="9"/>
    <n v="23904"/>
    <n v="0"/>
    <n v="215136"/>
    <n v="63971.22"/>
  </r>
  <r>
    <s v="ORD01127"/>
    <x v="677"/>
    <x v="599"/>
    <x v="1"/>
    <s v="India"/>
    <s v="Karnataka"/>
    <s v="Mumbai"/>
    <s v="CUST5648"/>
    <x v="1"/>
    <x v="2"/>
    <s v="Mobile"/>
    <s v="Product_63"/>
    <s v="Amit"/>
    <x v="1"/>
    <s v="Credit Card"/>
    <x v="1"/>
    <n v="8"/>
    <n v="32990"/>
    <n v="5"/>
    <n v="250724"/>
    <n v="57824"/>
  </r>
  <r>
    <s v="ORD01128"/>
    <x v="468"/>
    <x v="666"/>
    <x v="3"/>
    <s v="India"/>
    <s v="Delhi"/>
    <s v="Mumbai"/>
    <s v="CUST8552"/>
    <x v="2"/>
    <x v="1"/>
    <s v="Table"/>
    <s v="Product_2"/>
    <s v="Karan"/>
    <x v="1"/>
    <s v="Debit Card"/>
    <x v="3"/>
    <n v="9"/>
    <n v="10203"/>
    <n v="20"/>
    <n v="73461.600000000006"/>
    <n v="-5839.38"/>
  </r>
  <r>
    <s v="ORD01129"/>
    <x v="241"/>
    <x v="645"/>
    <x v="0"/>
    <s v="India"/>
    <s v="Delhi"/>
    <s v="Ahmedabad"/>
    <s v="CUST4026"/>
    <x v="1"/>
    <x v="0"/>
    <s v="Storage"/>
    <s v="Product_193"/>
    <s v="Karan"/>
    <x v="1"/>
    <s v="Net Banking"/>
    <x v="3"/>
    <n v="1"/>
    <n v="31929"/>
    <n v="5"/>
    <n v="30332.55"/>
    <n v="4038.79"/>
  </r>
  <r>
    <s v="ORD01130"/>
    <x v="18"/>
    <x v="376"/>
    <x v="2"/>
    <s v="India"/>
    <s v="Maharashtra"/>
    <s v="Chennai"/>
    <s v="CUST5085"/>
    <x v="1"/>
    <x v="1"/>
    <s v="Table"/>
    <s v="Product_151"/>
    <s v="Rahul"/>
    <x v="1"/>
    <s v="Net Banking"/>
    <x v="0"/>
    <n v="4"/>
    <n v="12787"/>
    <n v="15"/>
    <n v="43475.8"/>
    <n v="5227.3999999999996"/>
  </r>
  <r>
    <s v="ORD01131"/>
    <x v="300"/>
    <x v="667"/>
    <x v="3"/>
    <s v="India"/>
    <s v="Delhi"/>
    <s v="Bangalore"/>
    <s v="CUST5704"/>
    <x v="1"/>
    <x v="2"/>
    <s v="Chair"/>
    <s v="Product_122"/>
    <s v="Karan"/>
    <x v="0"/>
    <s v="Net Banking"/>
    <x v="0"/>
    <n v="9"/>
    <n v="16818"/>
    <n v="10"/>
    <n v="136225.79999999999"/>
    <n v="-2332.29"/>
  </r>
  <r>
    <s v="ORD01132"/>
    <x v="384"/>
    <x v="514"/>
    <x v="0"/>
    <s v="India"/>
    <s v="Maharashtra"/>
    <s v="Mumbai"/>
    <s v="CUST8477"/>
    <x v="2"/>
    <x v="0"/>
    <s v="Laptop"/>
    <s v="Product_167"/>
    <s v="Karan"/>
    <x v="0"/>
    <s v="Net Banking"/>
    <x v="1"/>
    <n v="2"/>
    <n v="25497"/>
    <n v="20"/>
    <n v="40795.199999999997"/>
    <n v="4453.83"/>
  </r>
  <r>
    <s v="ORD01133"/>
    <x v="508"/>
    <x v="225"/>
    <x v="2"/>
    <s v="India"/>
    <s v="Gujarat"/>
    <s v="Bangalore"/>
    <s v="CUST8613"/>
    <x v="2"/>
    <x v="0"/>
    <s v="Storage"/>
    <s v="Product_172"/>
    <s v="Amit"/>
    <x v="0"/>
    <s v="Credit Card"/>
    <x v="0"/>
    <n v="9"/>
    <n v="41562"/>
    <n v="15"/>
    <n v="317949.3"/>
    <n v="46880.959999999999"/>
  </r>
  <r>
    <s v="ORD01134"/>
    <x v="305"/>
    <x v="500"/>
    <x v="1"/>
    <s v="India"/>
    <s v="Maharashtra"/>
    <s v="Chennai"/>
    <s v="CUST5888"/>
    <x v="1"/>
    <x v="1"/>
    <s v="Storage"/>
    <s v="Product_6"/>
    <s v="Neha"/>
    <x v="0"/>
    <s v="UPI"/>
    <x v="3"/>
    <n v="1"/>
    <n v="15096"/>
    <n v="10"/>
    <n v="13586.4"/>
    <n v="860.51"/>
  </r>
  <r>
    <s v="ORD01135"/>
    <x v="489"/>
    <x v="45"/>
    <x v="2"/>
    <s v="India"/>
    <s v="Karnataka"/>
    <s v="Chennai"/>
    <s v="CUST7789"/>
    <x v="0"/>
    <x v="2"/>
    <s v="Table"/>
    <s v="Product_137"/>
    <s v="Sneha"/>
    <x v="0"/>
    <s v="Credit Card"/>
    <x v="1"/>
    <n v="7"/>
    <n v="18409"/>
    <n v="15"/>
    <n v="109533.55"/>
    <n v="11214.35"/>
  </r>
  <r>
    <s v="ORD01136"/>
    <x v="302"/>
    <x v="347"/>
    <x v="1"/>
    <s v="India"/>
    <s v="Gujarat"/>
    <s v="Delhi"/>
    <s v="CUST7867"/>
    <x v="2"/>
    <x v="0"/>
    <s v="Mobile"/>
    <s v="Product_34"/>
    <s v="Neha"/>
    <x v="0"/>
    <s v="UPI"/>
    <x v="2"/>
    <n v="9"/>
    <n v="38675"/>
    <n v="0"/>
    <n v="348075"/>
    <n v="91012.13"/>
  </r>
  <r>
    <s v="ORD01137"/>
    <x v="370"/>
    <x v="303"/>
    <x v="2"/>
    <s v="India"/>
    <s v="Delhi"/>
    <s v="Bangalore"/>
    <s v="CUST8437"/>
    <x v="1"/>
    <x v="1"/>
    <s v="Storage"/>
    <s v="Product_168"/>
    <s v="Amit"/>
    <x v="1"/>
    <s v="Net Banking"/>
    <x v="0"/>
    <n v="6"/>
    <n v="14955"/>
    <n v="5"/>
    <n v="85243.5"/>
    <n v="323.87"/>
  </r>
  <r>
    <s v="ORD01138"/>
    <x v="557"/>
    <x v="558"/>
    <x v="0"/>
    <s v="India"/>
    <s v="Karnataka"/>
    <s v="Mumbai"/>
    <s v="CUST6459"/>
    <x v="0"/>
    <x v="1"/>
    <s v="Laptop"/>
    <s v="Product_65"/>
    <s v="Rahul"/>
    <x v="1"/>
    <s v="UPI"/>
    <x v="3"/>
    <n v="9"/>
    <n v="23343"/>
    <n v="5"/>
    <n v="199582.65"/>
    <n v="31834.55"/>
  </r>
  <r>
    <s v="ORD01139"/>
    <x v="100"/>
    <x v="174"/>
    <x v="2"/>
    <s v="India"/>
    <s v="Tamil Nadu"/>
    <s v="Mumbai"/>
    <s v="CUST1327"/>
    <x v="0"/>
    <x v="0"/>
    <s v="Mobile"/>
    <s v="Product_109"/>
    <s v="Neha"/>
    <x v="0"/>
    <s v="Cash"/>
    <x v="3"/>
    <n v="8"/>
    <n v="12445"/>
    <n v="20"/>
    <n v="79648"/>
    <n v="-9823.93"/>
  </r>
  <r>
    <s v="ORD01140"/>
    <x v="588"/>
    <x v="668"/>
    <x v="1"/>
    <s v="India"/>
    <s v="Maharashtra"/>
    <s v="Bangalore"/>
    <s v="CUST9063"/>
    <x v="2"/>
    <x v="2"/>
    <s v="Storage"/>
    <s v="Product_17"/>
    <s v="Amit"/>
    <x v="1"/>
    <s v="Debit Card"/>
    <x v="2"/>
    <n v="10"/>
    <n v="11012"/>
    <n v="0"/>
    <n v="110120"/>
    <n v="20900.79"/>
  </r>
  <r>
    <s v="ORD01141"/>
    <x v="678"/>
    <x v="669"/>
    <x v="2"/>
    <s v="India"/>
    <s v="Tamil Nadu"/>
    <s v="Bangalore"/>
    <s v="CUST2530"/>
    <x v="0"/>
    <x v="1"/>
    <s v="Table"/>
    <s v="Product_130"/>
    <s v="Amit"/>
    <x v="0"/>
    <s v="Net Banking"/>
    <x v="3"/>
    <n v="8"/>
    <n v="25769"/>
    <n v="5"/>
    <n v="195844.4"/>
    <n v="49621.45"/>
  </r>
  <r>
    <s v="ORD01142"/>
    <x v="469"/>
    <x v="670"/>
    <x v="1"/>
    <s v="India"/>
    <s v="Delhi"/>
    <s v="Delhi"/>
    <s v="CUST1228"/>
    <x v="1"/>
    <x v="0"/>
    <s v="Printer"/>
    <s v="Product_127"/>
    <s v="Amit"/>
    <x v="0"/>
    <s v="Net Banking"/>
    <x v="3"/>
    <n v="9"/>
    <n v="9406"/>
    <n v="15"/>
    <n v="71955.899999999994"/>
    <n v="3633.89"/>
  </r>
  <r>
    <s v="ORD01143"/>
    <x v="154"/>
    <x v="671"/>
    <x v="0"/>
    <s v="India"/>
    <s v="Tamil Nadu"/>
    <s v="Bangalore"/>
    <s v="CUST5383"/>
    <x v="0"/>
    <x v="2"/>
    <s v="Laptop"/>
    <s v="Product_84"/>
    <s v="Rahul"/>
    <x v="1"/>
    <s v="Cash"/>
    <x v="0"/>
    <n v="6"/>
    <n v="48203"/>
    <n v="20"/>
    <n v="231374.4"/>
    <n v="-28949.85"/>
  </r>
  <r>
    <s v="ORD01144"/>
    <x v="133"/>
    <x v="327"/>
    <x v="1"/>
    <s v="India"/>
    <s v="Gujarat"/>
    <s v="Ahmedabad"/>
    <s v="CUST2400"/>
    <x v="1"/>
    <x v="1"/>
    <s v="Storage"/>
    <s v="Product_9"/>
    <s v="Karan"/>
    <x v="0"/>
    <s v="Cash"/>
    <x v="1"/>
    <n v="7"/>
    <n v="27516"/>
    <n v="15"/>
    <n v="163720.20000000001"/>
    <n v="-465.34"/>
  </r>
  <r>
    <s v="ORD01145"/>
    <x v="429"/>
    <x v="672"/>
    <x v="2"/>
    <s v="India"/>
    <s v="Gujarat"/>
    <s v="Mumbai"/>
    <s v="CUST8706"/>
    <x v="2"/>
    <x v="1"/>
    <s v="Mobile"/>
    <s v="Product_57"/>
    <s v="Neha"/>
    <x v="1"/>
    <s v="UPI"/>
    <x v="0"/>
    <n v="8"/>
    <n v="12037"/>
    <n v="10"/>
    <n v="86666.4"/>
    <n v="11642.86"/>
  </r>
  <r>
    <s v="ORD01146"/>
    <x v="116"/>
    <x v="673"/>
    <x v="3"/>
    <s v="India"/>
    <s v="Karnataka"/>
    <s v="Bangalore"/>
    <s v="CUST2267"/>
    <x v="1"/>
    <x v="0"/>
    <s v="Laptop"/>
    <s v="Product_48"/>
    <s v="Neha"/>
    <x v="1"/>
    <s v="UPI"/>
    <x v="0"/>
    <n v="9"/>
    <n v="31107"/>
    <n v="10"/>
    <n v="251966.7"/>
    <n v="7215.42"/>
  </r>
  <r>
    <s v="ORD01147"/>
    <x v="460"/>
    <x v="674"/>
    <x v="1"/>
    <s v="India"/>
    <s v="Delhi"/>
    <s v="Bangalore"/>
    <s v="CUST6686"/>
    <x v="0"/>
    <x v="2"/>
    <s v="Mobile"/>
    <s v="Product_127"/>
    <s v="Neha"/>
    <x v="1"/>
    <s v="Net Banking"/>
    <x v="2"/>
    <n v="3"/>
    <n v="2196"/>
    <n v="15"/>
    <n v="5599.8"/>
    <n v="400.33"/>
  </r>
  <r>
    <s v="ORD01148"/>
    <x v="624"/>
    <x v="675"/>
    <x v="1"/>
    <s v="India"/>
    <s v="Tamil Nadu"/>
    <s v="Mumbai"/>
    <s v="CUST4933"/>
    <x v="2"/>
    <x v="1"/>
    <s v="Printer"/>
    <s v="Product_174"/>
    <s v="Sneha"/>
    <x v="1"/>
    <s v="Net Banking"/>
    <x v="2"/>
    <n v="3"/>
    <n v="39789"/>
    <n v="20"/>
    <n v="95493.6"/>
    <n v="-4028.96"/>
  </r>
  <r>
    <s v="ORD01149"/>
    <x v="430"/>
    <x v="524"/>
    <x v="2"/>
    <s v="India"/>
    <s v="Delhi"/>
    <s v="Ahmedabad"/>
    <s v="CUST7087"/>
    <x v="2"/>
    <x v="1"/>
    <s v="Laptop"/>
    <s v="Product_136"/>
    <s v="Rahul"/>
    <x v="1"/>
    <s v="UPI"/>
    <x v="2"/>
    <n v="2"/>
    <n v="32159"/>
    <n v="15"/>
    <n v="54670.3"/>
    <n v="5067.12"/>
  </r>
  <r>
    <s v="ORD01150"/>
    <x v="679"/>
    <x v="676"/>
    <x v="1"/>
    <s v="India"/>
    <s v="Tamil Nadu"/>
    <s v="Bangalore"/>
    <s v="CUST7917"/>
    <x v="0"/>
    <x v="2"/>
    <s v="Table"/>
    <s v="Product_44"/>
    <s v="Amit"/>
    <x v="1"/>
    <s v="Cash"/>
    <x v="2"/>
    <n v="1"/>
    <n v="32058"/>
    <n v="20"/>
    <n v="25646.400000000001"/>
    <n v="2302.73"/>
  </r>
  <r>
    <s v="ORD01151"/>
    <x v="680"/>
    <x v="249"/>
    <x v="0"/>
    <s v="India"/>
    <s v="Maharashtra"/>
    <s v="Chennai"/>
    <s v="CUST6925"/>
    <x v="0"/>
    <x v="0"/>
    <s v="Laptop"/>
    <s v="Product_109"/>
    <s v="Sneha"/>
    <x v="1"/>
    <s v="Cash"/>
    <x v="3"/>
    <n v="5"/>
    <n v="47429"/>
    <n v="0"/>
    <n v="237145"/>
    <n v="30687.07"/>
  </r>
  <r>
    <s v="ORD01152"/>
    <x v="681"/>
    <x v="662"/>
    <x v="3"/>
    <s v="India"/>
    <s v="Maharashtra"/>
    <s v="Chennai"/>
    <s v="CUST3449"/>
    <x v="1"/>
    <x v="1"/>
    <s v="Chair"/>
    <s v="Product_142"/>
    <s v="Neha"/>
    <x v="1"/>
    <s v="Debit Card"/>
    <x v="0"/>
    <n v="7"/>
    <n v="27311"/>
    <n v="10"/>
    <n v="172059.3"/>
    <n v="33678.980000000003"/>
  </r>
  <r>
    <s v="ORD01153"/>
    <x v="588"/>
    <x v="498"/>
    <x v="2"/>
    <s v="India"/>
    <s v="Maharashtra"/>
    <s v="Bangalore"/>
    <s v="CUST4207"/>
    <x v="0"/>
    <x v="2"/>
    <s v="Printer"/>
    <s v="Product_83"/>
    <s v="Rahul"/>
    <x v="1"/>
    <s v="Credit Card"/>
    <x v="1"/>
    <n v="8"/>
    <n v="43798"/>
    <n v="5"/>
    <n v="332864.8"/>
    <n v="41787.25"/>
  </r>
  <r>
    <s v="ORD01154"/>
    <x v="526"/>
    <x v="221"/>
    <x v="2"/>
    <s v="India"/>
    <s v="Maharashtra"/>
    <s v="Chennai"/>
    <s v="CUST6701"/>
    <x v="1"/>
    <x v="0"/>
    <s v="Chair"/>
    <s v="Product_57"/>
    <s v="Karan"/>
    <x v="1"/>
    <s v="Credit Card"/>
    <x v="1"/>
    <n v="1"/>
    <n v="22753"/>
    <n v="5"/>
    <n v="21615.35"/>
    <n v="1242.7"/>
  </r>
  <r>
    <s v="ORD01155"/>
    <x v="682"/>
    <x v="226"/>
    <x v="3"/>
    <s v="India"/>
    <s v="Karnataka"/>
    <s v="Delhi"/>
    <s v="CUST4321"/>
    <x v="0"/>
    <x v="2"/>
    <s v="Printer"/>
    <s v="Product_189"/>
    <s v="Karan"/>
    <x v="1"/>
    <s v="UPI"/>
    <x v="2"/>
    <n v="1"/>
    <n v="48897"/>
    <n v="5"/>
    <n v="46452.15"/>
    <n v="1315.5"/>
  </r>
  <r>
    <s v="ORD01156"/>
    <x v="683"/>
    <x v="223"/>
    <x v="2"/>
    <s v="India"/>
    <s v="Tamil Nadu"/>
    <s v="Mumbai"/>
    <s v="CUST6987"/>
    <x v="0"/>
    <x v="2"/>
    <s v="Chair"/>
    <s v="Product_46"/>
    <s v="Sneha"/>
    <x v="1"/>
    <s v="Net Banking"/>
    <x v="1"/>
    <n v="3"/>
    <n v="31070"/>
    <n v="5"/>
    <n v="88549.5"/>
    <n v="18881.41"/>
  </r>
  <r>
    <s v="ORD01157"/>
    <x v="331"/>
    <x v="677"/>
    <x v="2"/>
    <s v="India"/>
    <s v="Tamil Nadu"/>
    <s v="Mumbai"/>
    <s v="CUST9912"/>
    <x v="1"/>
    <x v="2"/>
    <s v="Table"/>
    <s v="Product_113"/>
    <s v="Karan"/>
    <x v="0"/>
    <s v="Debit Card"/>
    <x v="2"/>
    <n v="2"/>
    <n v="18052"/>
    <n v="10"/>
    <n v="32493.599999999999"/>
    <n v="5393.65"/>
  </r>
  <r>
    <s v="ORD01158"/>
    <x v="684"/>
    <x v="91"/>
    <x v="1"/>
    <s v="India"/>
    <s v="Gujarat"/>
    <s v="Ahmedabad"/>
    <s v="CUST5779"/>
    <x v="0"/>
    <x v="0"/>
    <s v="Printer"/>
    <s v="Product_37"/>
    <s v="Neha"/>
    <x v="1"/>
    <s v="UPI"/>
    <x v="1"/>
    <n v="10"/>
    <n v="16662"/>
    <n v="0"/>
    <n v="166620"/>
    <n v="31911.86"/>
  </r>
  <r>
    <s v="ORD01159"/>
    <x v="406"/>
    <x v="601"/>
    <x v="0"/>
    <s v="India"/>
    <s v="Tamil Nadu"/>
    <s v="Delhi"/>
    <s v="CUST6212"/>
    <x v="0"/>
    <x v="2"/>
    <s v="Storage"/>
    <s v="Product_144"/>
    <s v="Rahul"/>
    <x v="1"/>
    <s v="Cash"/>
    <x v="3"/>
    <n v="5"/>
    <n v="37242"/>
    <n v="0"/>
    <n v="186210"/>
    <n v="25726.46"/>
  </r>
  <r>
    <s v="ORD01160"/>
    <x v="685"/>
    <x v="678"/>
    <x v="1"/>
    <s v="India"/>
    <s v="Tamil Nadu"/>
    <s v="Bangalore"/>
    <s v="CUST8931"/>
    <x v="1"/>
    <x v="1"/>
    <s v="Printer"/>
    <s v="Product_102"/>
    <s v="Rahul"/>
    <x v="1"/>
    <s v="Debit Card"/>
    <x v="0"/>
    <n v="3"/>
    <n v="43512"/>
    <n v="0"/>
    <n v="130536"/>
    <n v="21259.73"/>
  </r>
  <r>
    <s v="ORD01161"/>
    <x v="564"/>
    <x v="3"/>
    <x v="2"/>
    <s v="India"/>
    <s v="Gujarat"/>
    <s v="Ahmedabad"/>
    <s v="CUST4985"/>
    <x v="2"/>
    <x v="1"/>
    <s v="Chair"/>
    <s v="Product_197"/>
    <s v="Rahul"/>
    <x v="0"/>
    <s v="UPI"/>
    <x v="3"/>
    <n v="8"/>
    <n v="16916"/>
    <n v="5"/>
    <n v="128561.60000000001"/>
    <n v="20180.93"/>
  </r>
  <r>
    <s v="ORD01162"/>
    <x v="353"/>
    <x v="679"/>
    <x v="0"/>
    <s v="India"/>
    <s v="Maharashtra"/>
    <s v="Delhi"/>
    <s v="CUST5805"/>
    <x v="0"/>
    <x v="0"/>
    <s v="Table"/>
    <s v="Product_44"/>
    <s v="Neha"/>
    <x v="0"/>
    <s v="Net Banking"/>
    <x v="3"/>
    <n v="4"/>
    <n v="11950"/>
    <n v="5"/>
    <n v="45410"/>
    <n v="1997.93"/>
  </r>
  <r>
    <s v="ORD01163"/>
    <x v="686"/>
    <x v="208"/>
    <x v="0"/>
    <s v="India"/>
    <s v="Gujarat"/>
    <s v="Chennai"/>
    <s v="CUST5091"/>
    <x v="0"/>
    <x v="1"/>
    <s v="Chair"/>
    <s v="Product_169"/>
    <s v="Amit"/>
    <x v="1"/>
    <s v="Debit Card"/>
    <x v="3"/>
    <n v="8"/>
    <n v="23064"/>
    <n v="20"/>
    <n v="147609.60000000001"/>
    <n v="-14855.84"/>
  </r>
  <r>
    <s v="ORD01164"/>
    <x v="266"/>
    <x v="61"/>
    <x v="1"/>
    <s v="India"/>
    <s v="Karnataka"/>
    <s v="Delhi"/>
    <s v="CUST1074"/>
    <x v="2"/>
    <x v="1"/>
    <s v="Laptop"/>
    <s v="Product_133"/>
    <s v="Sneha"/>
    <x v="1"/>
    <s v="Net Banking"/>
    <x v="3"/>
    <n v="10"/>
    <n v="33749"/>
    <n v="5"/>
    <n v="320615.5"/>
    <n v="16247.1"/>
  </r>
  <r>
    <s v="ORD01165"/>
    <x v="531"/>
    <x v="680"/>
    <x v="2"/>
    <s v="India"/>
    <s v="Maharashtra"/>
    <s v="Chennai"/>
    <s v="CUST4976"/>
    <x v="1"/>
    <x v="1"/>
    <s v="Chair"/>
    <s v="Product_172"/>
    <s v="Sneha"/>
    <x v="0"/>
    <s v="Cash"/>
    <x v="2"/>
    <n v="4"/>
    <n v="20732"/>
    <n v="20"/>
    <n v="66342.399999999994"/>
    <n v="-7582.97"/>
  </r>
  <r>
    <s v="ORD01166"/>
    <x v="687"/>
    <x v="501"/>
    <x v="1"/>
    <s v="India"/>
    <s v="Delhi"/>
    <s v="Delhi"/>
    <s v="CUST8219"/>
    <x v="2"/>
    <x v="0"/>
    <s v="Chair"/>
    <s v="Product_107"/>
    <s v="Sneha"/>
    <x v="0"/>
    <s v="Net Banking"/>
    <x v="3"/>
    <n v="8"/>
    <n v="16233"/>
    <n v="5"/>
    <n v="123370.8"/>
    <n v="10598.09"/>
  </r>
  <r>
    <s v="ORD01167"/>
    <x v="287"/>
    <x v="681"/>
    <x v="0"/>
    <s v="India"/>
    <s v="Gujarat"/>
    <s v="Mumbai"/>
    <s v="CUST9306"/>
    <x v="0"/>
    <x v="0"/>
    <s v="Mobile"/>
    <s v="Product_25"/>
    <s v="Sneha"/>
    <x v="1"/>
    <s v="Debit Card"/>
    <x v="1"/>
    <n v="8"/>
    <n v="48675"/>
    <n v="0"/>
    <n v="389400"/>
    <n v="96326.45"/>
  </r>
  <r>
    <s v="ORD01168"/>
    <x v="179"/>
    <x v="682"/>
    <x v="0"/>
    <s v="India"/>
    <s v="Karnataka"/>
    <s v="Ahmedabad"/>
    <s v="CUST1803"/>
    <x v="0"/>
    <x v="2"/>
    <s v="Printer"/>
    <s v="Product_48"/>
    <s v="Priya"/>
    <x v="0"/>
    <s v="Credit Card"/>
    <x v="3"/>
    <n v="5"/>
    <n v="19210"/>
    <n v="15"/>
    <n v="81642.5"/>
    <n v="-2749.53"/>
  </r>
  <r>
    <s v="ORD01169"/>
    <x v="164"/>
    <x v="158"/>
    <x v="3"/>
    <s v="India"/>
    <s v="Tamil Nadu"/>
    <s v="Chennai"/>
    <s v="CUST3256"/>
    <x v="1"/>
    <x v="0"/>
    <s v="Printer"/>
    <s v="Product_56"/>
    <s v="Priya"/>
    <x v="0"/>
    <s v="Credit Card"/>
    <x v="0"/>
    <n v="8"/>
    <n v="1479"/>
    <n v="15"/>
    <n v="10057.200000000001"/>
    <n v="966.82"/>
  </r>
  <r>
    <s v="ORD01170"/>
    <x v="688"/>
    <x v="312"/>
    <x v="0"/>
    <s v="India"/>
    <s v="Karnataka"/>
    <s v="Bangalore"/>
    <s v="CUST8914"/>
    <x v="1"/>
    <x v="2"/>
    <s v="Mobile"/>
    <s v="Product_90"/>
    <s v="Karan"/>
    <x v="0"/>
    <s v="Credit Card"/>
    <x v="2"/>
    <n v="6"/>
    <n v="39663"/>
    <n v="10"/>
    <n v="214180.2"/>
    <n v="35187.07"/>
  </r>
  <r>
    <s v="ORD01171"/>
    <x v="689"/>
    <x v="683"/>
    <x v="2"/>
    <s v="India"/>
    <s v="Karnataka"/>
    <s v="Delhi"/>
    <s v="CUST4249"/>
    <x v="0"/>
    <x v="2"/>
    <s v="Laptop"/>
    <s v="Product_57"/>
    <s v="Karan"/>
    <x v="1"/>
    <s v="Cash"/>
    <x v="3"/>
    <n v="1"/>
    <n v="26779"/>
    <n v="10"/>
    <n v="24101.1"/>
    <n v="3842.88"/>
  </r>
  <r>
    <s v="ORD01172"/>
    <x v="91"/>
    <x v="91"/>
    <x v="3"/>
    <s v="India"/>
    <s v="Gujarat"/>
    <s v="Ahmedabad"/>
    <s v="CUST2587"/>
    <x v="1"/>
    <x v="1"/>
    <s v="Laptop"/>
    <s v="Product_94"/>
    <s v="Karan"/>
    <x v="1"/>
    <s v="Credit Card"/>
    <x v="2"/>
    <n v="4"/>
    <n v="14684"/>
    <n v="15"/>
    <n v="49925.599999999999"/>
    <n v="-1493.69"/>
  </r>
  <r>
    <s v="ORD01173"/>
    <x v="280"/>
    <x v="274"/>
    <x v="2"/>
    <s v="India"/>
    <s v="Maharashtra"/>
    <s v="Delhi"/>
    <s v="CUST3096"/>
    <x v="1"/>
    <x v="0"/>
    <s v="Storage"/>
    <s v="Product_121"/>
    <s v="Amit"/>
    <x v="1"/>
    <s v="Cash"/>
    <x v="1"/>
    <n v="5"/>
    <n v="37447"/>
    <n v="5"/>
    <n v="177873.25"/>
    <n v="38853.800000000003"/>
  </r>
  <r>
    <s v="ORD01174"/>
    <x v="690"/>
    <x v="684"/>
    <x v="2"/>
    <s v="India"/>
    <s v="Karnataka"/>
    <s v="Mumbai"/>
    <s v="CUST2173"/>
    <x v="0"/>
    <x v="2"/>
    <s v="Storage"/>
    <s v="Product_18"/>
    <s v="Rahul"/>
    <x v="1"/>
    <s v="UPI"/>
    <x v="0"/>
    <n v="5"/>
    <n v="45314"/>
    <n v="10"/>
    <n v="203913"/>
    <n v="-4757.67"/>
  </r>
  <r>
    <s v="ORD01175"/>
    <x v="630"/>
    <x v="676"/>
    <x v="1"/>
    <s v="India"/>
    <s v="Tamil Nadu"/>
    <s v="Ahmedabad"/>
    <s v="CUST4692"/>
    <x v="0"/>
    <x v="2"/>
    <s v="Chair"/>
    <s v="Product_66"/>
    <s v="Amit"/>
    <x v="1"/>
    <s v="Credit Card"/>
    <x v="1"/>
    <n v="2"/>
    <n v="21122"/>
    <n v="20"/>
    <n v="33795.199999999997"/>
    <n v="-1171.3499999999999"/>
  </r>
  <r>
    <s v="ORD01176"/>
    <x v="310"/>
    <x v="310"/>
    <x v="3"/>
    <s v="India"/>
    <s v="Tamil Nadu"/>
    <s v="Ahmedabad"/>
    <s v="CUST6430"/>
    <x v="0"/>
    <x v="2"/>
    <s v="Mobile"/>
    <s v="Product_97"/>
    <s v="Amit"/>
    <x v="0"/>
    <s v="UPI"/>
    <x v="0"/>
    <n v="10"/>
    <n v="4559"/>
    <n v="10"/>
    <n v="41031"/>
    <n v="8835.19"/>
  </r>
  <r>
    <s v="ORD01177"/>
    <x v="691"/>
    <x v="584"/>
    <x v="2"/>
    <s v="India"/>
    <s v="Tamil Nadu"/>
    <s v="Bangalore"/>
    <s v="CUST3621"/>
    <x v="0"/>
    <x v="0"/>
    <s v="Table"/>
    <s v="Product_123"/>
    <s v="Rahul"/>
    <x v="1"/>
    <s v="Credit Card"/>
    <x v="1"/>
    <n v="6"/>
    <n v="27559"/>
    <n v="15"/>
    <n v="140550.9"/>
    <n v="-16087.84"/>
  </r>
  <r>
    <s v="ORD01178"/>
    <x v="542"/>
    <x v="685"/>
    <x v="1"/>
    <s v="India"/>
    <s v="Tamil Nadu"/>
    <s v="Bangalore"/>
    <s v="CUST7374"/>
    <x v="2"/>
    <x v="0"/>
    <s v="Storage"/>
    <s v="Product_8"/>
    <s v="Karan"/>
    <x v="0"/>
    <s v="UPI"/>
    <x v="1"/>
    <n v="6"/>
    <n v="43987"/>
    <n v="20"/>
    <n v="211137.6"/>
    <n v="-16341.51"/>
  </r>
  <r>
    <s v="ORD01179"/>
    <x v="692"/>
    <x v="466"/>
    <x v="1"/>
    <s v="India"/>
    <s v="Tamil Nadu"/>
    <s v="Delhi"/>
    <s v="CUST6582"/>
    <x v="0"/>
    <x v="1"/>
    <s v="Storage"/>
    <s v="Product_168"/>
    <s v="Amit"/>
    <x v="1"/>
    <s v="Cash"/>
    <x v="1"/>
    <n v="8"/>
    <n v="7304"/>
    <n v="0"/>
    <n v="58432"/>
    <n v="4683.43"/>
  </r>
  <r>
    <s v="ORD01180"/>
    <x v="1"/>
    <x v="33"/>
    <x v="1"/>
    <s v="India"/>
    <s v="Delhi"/>
    <s v="Delhi"/>
    <s v="CUST8167"/>
    <x v="1"/>
    <x v="2"/>
    <s v="Mobile"/>
    <s v="Product_56"/>
    <s v="Rahul"/>
    <x v="1"/>
    <s v="Net Banking"/>
    <x v="2"/>
    <n v="3"/>
    <n v="20398"/>
    <n v="20"/>
    <n v="48955.199999999997"/>
    <n v="-3777.29"/>
  </r>
  <r>
    <s v="ORD01181"/>
    <x v="693"/>
    <x v="191"/>
    <x v="3"/>
    <s v="India"/>
    <s v="Delhi"/>
    <s v="Bangalore"/>
    <s v="CUST1731"/>
    <x v="2"/>
    <x v="1"/>
    <s v="Table"/>
    <s v="Product_5"/>
    <s v="Priya"/>
    <x v="1"/>
    <s v="Net Banking"/>
    <x v="2"/>
    <n v="6"/>
    <n v="5245"/>
    <n v="0"/>
    <n v="31470"/>
    <n v="1821.75"/>
  </r>
  <r>
    <s v="ORD01182"/>
    <x v="694"/>
    <x v="686"/>
    <x v="3"/>
    <s v="India"/>
    <s v="Gujarat"/>
    <s v="Delhi"/>
    <s v="CUST6048"/>
    <x v="2"/>
    <x v="0"/>
    <s v="Table"/>
    <s v="Product_36"/>
    <s v="Karan"/>
    <x v="1"/>
    <s v="Credit Card"/>
    <x v="1"/>
    <n v="6"/>
    <n v="37512"/>
    <n v="20"/>
    <n v="180057.60000000001"/>
    <n v="-33727.769999999997"/>
  </r>
  <r>
    <s v="ORD01183"/>
    <x v="131"/>
    <x v="687"/>
    <x v="3"/>
    <s v="India"/>
    <s v="Tamil Nadu"/>
    <s v="Ahmedabad"/>
    <s v="CUST8354"/>
    <x v="1"/>
    <x v="1"/>
    <s v="Printer"/>
    <s v="Product_189"/>
    <s v="Neha"/>
    <x v="1"/>
    <s v="UPI"/>
    <x v="2"/>
    <n v="3"/>
    <n v="12982"/>
    <n v="15"/>
    <n v="33104.1"/>
    <n v="3741.25"/>
  </r>
  <r>
    <s v="ORD01184"/>
    <x v="138"/>
    <x v="424"/>
    <x v="1"/>
    <s v="India"/>
    <s v="Karnataka"/>
    <s v="Ahmedabad"/>
    <s v="CUST7068"/>
    <x v="1"/>
    <x v="1"/>
    <s v="Printer"/>
    <s v="Product_133"/>
    <s v="Amit"/>
    <x v="1"/>
    <s v="Cash"/>
    <x v="3"/>
    <n v="10"/>
    <n v="41351"/>
    <n v="10"/>
    <n v="372159"/>
    <n v="67278.38"/>
  </r>
  <r>
    <s v="ORD01185"/>
    <x v="625"/>
    <x v="340"/>
    <x v="1"/>
    <s v="India"/>
    <s v="Maharashtra"/>
    <s v="Ahmedabad"/>
    <s v="CUST2266"/>
    <x v="1"/>
    <x v="2"/>
    <s v="Storage"/>
    <s v="Product_165"/>
    <s v="Karan"/>
    <x v="1"/>
    <s v="Debit Card"/>
    <x v="2"/>
    <n v="2"/>
    <n v="5595"/>
    <n v="0"/>
    <n v="11190"/>
    <n v="776.1"/>
  </r>
  <r>
    <s v="ORD01186"/>
    <x v="695"/>
    <x v="688"/>
    <x v="2"/>
    <s v="India"/>
    <s v="Karnataka"/>
    <s v="Delhi"/>
    <s v="CUST2216"/>
    <x v="1"/>
    <x v="1"/>
    <s v="Printer"/>
    <s v="Product_13"/>
    <s v="Sneha"/>
    <x v="0"/>
    <s v="Debit Card"/>
    <x v="0"/>
    <n v="10"/>
    <n v="31145"/>
    <n v="10"/>
    <n v="280305"/>
    <n v="30244.04"/>
  </r>
  <r>
    <s v="ORD01187"/>
    <x v="696"/>
    <x v="689"/>
    <x v="1"/>
    <s v="India"/>
    <s v="Maharashtra"/>
    <s v="Ahmedabad"/>
    <s v="CUST3192"/>
    <x v="1"/>
    <x v="2"/>
    <s v="Table"/>
    <s v="Product_157"/>
    <s v="Karan"/>
    <x v="1"/>
    <s v="Net Banking"/>
    <x v="3"/>
    <n v="2"/>
    <n v="29160"/>
    <n v="5"/>
    <n v="55404"/>
    <n v="7793.34"/>
  </r>
  <r>
    <s v="ORD01188"/>
    <x v="10"/>
    <x v="10"/>
    <x v="3"/>
    <s v="India"/>
    <s v="Gujarat"/>
    <s v="Delhi"/>
    <s v="CUST2511"/>
    <x v="1"/>
    <x v="2"/>
    <s v="Laptop"/>
    <s v="Product_57"/>
    <s v="Neha"/>
    <x v="1"/>
    <s v="Cash"/>
    <x v="3"/>
    <n v="8"/>
    <n v="38855"/>
    <n v="10"/>
    <n v="279756"/>
    <n v="30356.19"/>
  </r>
  <r>
    <s v="ORD01189"/>
    <x v="455"/>
    <x v="186"/>
    <x v="0"/>
    <s v="India"/>
    <s v="Maharashtra"/>
    <s v="Mumbai"/>
    <s v="CUST7346"/>
    <x v="2"/>
    <x v="1"/>
    <s v="Printer"/>
    <s v="Product_196"/>
    <s v="Sneha"/>
    <x v="0"/>
    <s v="Credit Card"/>
    <x v="0"/>
    <n v="2"/>
    <n v="32451"/>
    <n v="15"/>
    <n v="55166.7"/>
    <n v="-2384.46"/>
  </r>
  <r>
    <s v="ORD01190"/>
    <x v="158"/>
    <x v="220"/>
    <x v="3"/>
    <s v="India"/>
    <s v="Maharashtra"/>
    <s v="Ahmedabad"/>
    <s v="CUST8081"/>
    <x v="2"/>
    <x v="1"/>
    <s v="Chair"/>
    <s v="Product_136"/>
    <s v="Rahul"/>
    <x v="1"/>
    <s v="Cash"/>
    <x v="3"/>
    <n v="9"/>
    <n v="37558"/>
    <n v="0"/>
    <n v="338022"/>
    <n v="33556.44"/>
  </r>
  <r>
    <s v="ORD01191"/>
    <x v="697"/>
    <x v="690"/>
    <x v="0"/>
    <s v="India"/>
    <s v="Delhi"/>
    <s v="Delhi"/>
    <s v="CUST4089"/>
    <x v="1"/>
    <x v="0"/>
    <s v="Mobile"/>
    <s v="Product_176"/>
    <s v="Priya"/>
    <x v="1"/>
    <s v="Net Banking"/>
    <x v="3"/>
    <n v="4"/>
    <n v="27562"/>
    <n v="0"/>
    <n v="110248"/>
    <n v="14677.75"/>
  </r>
  <r>
    <s v="ORD01192"/>
    <x v="446"/>
    <x v="636"/>
    <x v="0"/>
    <s v="India"/>
    <s v="Maharashtra"/>
    <s v="Chennai"/>
    <s v="CUST2383"/>
    <x v="1"/>
    <x v="2"/>
    <s v="Table"/>
    <s v="Product_180"/>
    <s v="Priya"/>
    <x v="0"/>
    <s v="Credit Card"/>
    <x v="1"/>
    <n v="10"/>
    <n v="21975"/>
    <n v="5"/>
    <n v="208762.5"/>
    <n v="34176.04"/>
  </r>
  <r>
    <s v="ORD01193"/>
    <x v="77"/>
    <x v="691"/>
    <x v="0"/>
    <s v="India"/>
    <s v="Tamil Nadu"/>
    <s v="Mumbai"/>
    <s v="CUST3770"/>
    <x v="1"/>
    <x v="2"/>
    <s v="Printer"/>
    <s v="Product_172"/>
    <s v="Sneha"/>
    <x v="1"/>
    <s v="UPI"/>
    <x v="2"/>
    <n v="10"/>
    <n v="5191"/>
    <n v="0"/>
    <n v="51910"/>
    <n v="4872.8900000000003"/>
  </r>
  <r>
    <s v="ORD01194"/>
    <x v="387"/>
    <x v="86"/>
    <x v="0"/>
    <s v="India"/>
    <s v="Maharashtra"/>
    <s v="Bangalore"/>
    <s v="CUST2751"/>
    <x v="2"/>
    <x v="0"/>
    <s v="Chair"/>
    <s v="Product_28"/>
    <s v="Sneha"/>
    <x v="1"/>
    <s v="Credit Card"/>
    <x v="1"/>
    <n v="9"/>
    <n v="49354"/>
    <n v="10"/>
    <n v="399767.4"/>
    <n v="81093.23"/>
  </r>
  <r>
    <s v="ORD01195"/>
    <x v="698"/>
    <x v="1"/>
    <x v="3"/>
    <s v="India"/>
    <s v="Karnataka"/>
    <s v="Bangalore"/>
    <s v="CUST5797"/>
    <x v="2"/>
    <x v="2"/>
    <s v="Table"/>
    <s v="Product_77"/>
    <s v="Priya"/>
    <x v="1"/>
    <s v="Net Banking"/>
    <x v="0"/>
    <n v="2"/>
    <n v="22721"/>
    <n v="20"/>
    <n v="36353.599999999999"/>
    <n v="-877.28"/>
  </r>
  <r>
    <s v="ORD01196"/>
    <x v="699"/>
    <x v="580"/>
    <x v="3"/>
    <s v="India"/>
    <s v="Gujarat"/>
    <s v="Bangalore"/>
    <s v="CUST3085"/>
    <x v="1"/>
    <x v="0"/>
    <s v="Chair"/>
    <s v="Product_192"/>
    <s v="Amit"/>
    <x v="0"/>
    <s v="Credit Card"/>
    <x v="1"/>
    <n v="5"/>
    <n v="34106"/>
    <n v="20"/>
    <n v="136424"/>
    <n v="-25312.11"/>
  </r>
  <r>
    <s v="ORD01197"/>
    <x v="700"/>
    <x v="156"/>
    <x v="3"/>
    <s v="India"/>
    <s v="Gujarat"/>
    <s v="Chennai"/>
    <s v="CUST9861"/>
    <x v="2"/>
    <x v="2"/>
    <s v="Printer"/>
    <s v="Product_193"/>
    <s v="Neha"/>
    <x v="1"/>
    <s v="Cash"/>
    <x v="0"/>
    <n v="2"/>
    <n v="32110"/>
    <n v="20"/>
    <n v="51376"/>
    <n v="-5707.57"/>
  </r>
  <r>
    <s v="ORD01198"/>
    <x v="701"/>
    <x v="320"/>
    <x v="2"/>
    <s v="India"/>
    <s v="Maharashtra"/>
    <s v="Ahmedabad"/>
    <s v="CUST8629"/>
    <x v="2"/>
    <x v="0"/>
    <s v="Table"/>
    <s v="Product_190"/>
    <s v="Rahul"/>
    <x v="1"/>
    <s v="UPI"/>
    <x v="0"/>
    <n v="1"/>
    <n v="866"/>
    <n v="15"/>
    <n v="736.1"/>
    <n v="-30.59"/>
  </r>
  <r>
    <s v="ORD01199"/>
    <x v="438"/>
    <x v="451"/>
    <x v="3"/>
    <s v="India"/>
    <s v="Karnataka"/>
    <s v="Chennai"/>
    <s v="CUST8415"/>
    <x v="1"/>
    <x v="1"/>
    <s v="Storage"/>
    <s v="Product_188"/>
    <s v="Priya"/>
    <x v="1"/>
    <s v="Credit Card"/>
    <x v="1"/>
    <n v="4"/>
    <n v="27436"/>
    <n v="20"/>
    <n v="87795.199999999997"/>
    <n v="6540.5"/>
  </r>
  <r>
    <s v="ORD01200"/>
    <x v="647"/>
    <x v="634"/>
    <x v="1"/>
    <s v="India"/>
    <s v="Karnataka"/>
    <s v="Bangalore"/>
    <s v="CUST8252"/>
    <x v="2"/>
    <x v="1"/>
    <s v="Chair"/>
    <s v="Product_110"/>
    <s v="Neha"/>
    <x v="1"/>
    <s v="Cash"/>
    <x v="0"/>
    <n v="2"/>
    <n v="21042"/>
    <n v="0"/>
    <n v="42084"/>
    <n v="11720.95"/>
  </r>
  <r>
    <s v="ORD01201"/>
    <x v="702"/>
    <x v="692"/>
    <x v="0"/>
    <s v="India"/>
    <s v="Delhi"/>
    <s v="Ahmedabad"/>
    <s v="CUST5840"/>
    <x v="0"/>
    <x v="1"/>
    <s v="Chair"/>
    <s v="Product_8"/>
    <s v="Neha"/>
    <x v="1"/>
    <s v="Credit Card"/>
    <x v="3"/>
    <n v="10"/>
    <n v="44765"/>
    <n v="20"/>
    <n v="358120"/>
    <n v="-58897.56"/>
  </r>
  <r>
    <s v="ORD01202"/>
    <x v="401"/>
    <x v="693"/>
    <x v="0"/>
    <s v="India"/>
    <s v="Gujarat"/>
    <s v="Mumbai"/>
    <s v="CUST1654"/>
    <x v="0"/>
    <x v="0"/>
    <s v="Storage"/>
    <s v="Product_60"/>
    <s v="Amit"/>
    <x v="0"/>
    <s v="Net Banking"/>
    <x v="0"/>
    <n v="9"/>
    <n v="28013"/>
    <n v="20"/>
    <n v="201693.6"/>
    <n v="-18058.349999999999"/>
  </r>
  <r>
    <s v="ORD01203"/>
    <x v="395"/>
    <x v="99"/>
    <x v="0"/>
    <s v="India"/>
    <s v="Delhi"/>
    <s v="Bangalore"/>
    <s v="CUST5467"/>
    <x v="1"/>
    <x v="1"/>
    <s v="Printer"/>
    <s v="Product_136"/>
    <s v="Neha"/>
    <x v="1"/>
    <s v="Net Banking"/>
    <x v="3"/>
    <n v="3"/>
    <n v="16912"/>
    <n v="10"/>
    <n v="45662.400000000001"/>
    <n v="1252.0999999999999"/>
  </r>
  <r>
    <s v="ORD01204"/>
    <x v="652"/>
    <x v="621"/>
    <x v="2"/>
    <s v="India"/>
    <s v="Karnataka"/>
    <s v="Ahmedabad"/>
    <s v="CUST2553"/>
    <x v="1"/>
    <x v="2"/>
    <s v="Mobile"/>
    <s v="Product_163"/>
    <s v="Priya"/>
    <x v="1"/>
    <s v="Debit Card"/>
    <x v="3"/>
    <n v="5"/>
    <n v="25312"/>
    <n v="10"/>
    <n v="113904"/>
    <n v="21095.09"/>
  </r>
  <r>
    <s v="ORD01205"/>
    <x v="703"/>
    <x v="694"/>
    <x v="3"/>
    <s v="India"/>
    <s v="Maharashtra"/>
    <s v="Chennai"/>
    <s v="CUST8364"/>
    <x v="1"/>
    <x v="1"/>
    <s v="Laptop"/>
    <s v="Product_149"/>
    <s v="Rahul"/>
    <x v="1"/>
    <s v="UPI"/>
    <x v="0"/>
    <n v="6"/>
    <n v="3451"/>
    <n v="15"/>
    <n v="17600.099999999999"/>
    <n v="1626.16"/>
  </r>
  <r>
    <s v="ORD01206"/>
    <x v="619"/>
    <x v="616"/>
    <x v="2"/>
    <s v="India"/>
    <s v="Delhi"/>
    <s v="Mumbai"/>
    <s v="CUST4650"/>
    <x v="2"/>
    <x v="2"/>
    <s v="Mobile"/>
    <s v="Product_99"/>
    <s v="Rahul"/>
    <x v="1"/>
    <s v="Net Banking"/>
    <x v="1"/>
    <n v="4"/>
    <n v="17966"/>
    <n v="10"/>
    <n v="64677.599999999999"/>
    <n v="13865.31"/>
  </r>
  <r>
    <s v="ORD01207"/>
    <x v="124"/>
    <x v="209"/>
    <x v="0"/>
    <s v="India"/>
    <s v="Gujarat"/>
    <s v="Delhi"/>
    <s v="CUST5560"/>
    <x v="2"/>
    <x v="1"/>
    <s v="Mobile"/>
    <s v="Product_98"/>
    <s v="Priya"/>
    <x v="0"/>
    <s v="UPI"/>
    <x v="1"/>
    <n v="6"/>
    <n v="27864"/>
    <n v="15"/>
    <n v="142106.4"/>
    <n v="-224.78"/>
  </r>
  <r>
    <s v="ORD01208"/>
    <x v="704"/>
    <x v="408"/>
    <x v="3"/>
    <s v="India"/>
    <s v="Gujarat"/>
    <s v="Chennai"/>
    <s v="CUST9402"/>
    <x v="0"/>
    <x v="2"/>
    <s v="Chair"/>
    <s v="Product_156"/>
    <s v="Neha"/>
    <x v="1"/>
    <s v="Cash"/>
    <x v="3"/>
    <n v="4"/>
    <n v="5757"/>
    <n v="20"/>
    <n v="18422.400000000001"/>
    <n v="-285.73"/>
  </r>
  <r>
    <s v="ORD01209"/>
    <x v="705"/>
    <x v="273"/>
    <x v="3"/>
    <s v="India"/>
    <s v="Karnataka"/>
    <s v="Ahmedabad"/>
    <s v="CUST1702"/>
    <x v="2"/>
    <x v="1"/>
    <s v="Storage"/>
    <s v="Product_39"/>
    <s v="Neha"/>
    <x v="0"/>
    <s v="Cash"/>
    <x v="3"/>
    <n v="2"/>
    <n v="35698"/>
    <n v="0"/>
    <n v="71396"/>
    <n v="4060.46"/>
  </r>
  <r>
    <s v="ORD01210"/>
    <x v="25"/>
    <x v="17"/>
    <x v="3"/>
    <s v="India"/>
    <s v="Tamil Nadu"/>
    <s v="Ahmedabad"/>
    <s v="CUST3071"/>
    <x v="2"/>
    <x v="1"/>
    <s v="Table"/>
    <s v="Product_17"/>
    <s v="Neha"/>
    <x v="0"/>
    <s v="UPI"/>
    <x v="1"/>
    <n v="3"/>
    <n v="37250"/>
    <n v="10"/>
    <n v="100575"/>
    <n v="22029.74"/>
  </r>
  <r>
    <s v="ORD01211"/>
    <x v="304"/>
    <x v="340"/>
    <x v="0"/>
    <s v="India"/>
    <s v="Gujarat"/>
    <s v="Ahmedabad"/>
    <s v="CUST2690"/>
    <x v="2"/>
    <x v="1"/>
    <s v="Laptop"/>
    <s v="Product_192"/>
    <s v="Karan"/>
    <x v="0"/>
    <s v="Net Banking"/>
    <x v="1"/>
    <n v="1"/>
    <n v="11160"/>
    <n v="5"/>
    <n v="10602"/>
    <n v="1667.82"/>
  </r>
  <r>
    <s v="ORD01212"/>
    <x v="706"/>
    <x v="666"/>
    <x v="2"/>
    <s v="India"/>
    <s v="Delhi"/>
    <s v="Chennai"/>
    <s v="CUST4544"/>
    <x v="1"/>
    <x v="1"/>
    <s v="Chair"/>
    <s v="Product_11"/>
    <s v="Sneha"/>
    <x v="0"/>
    <s v="Debit Card"/>
    <x v="1"/>
    <n v="4"/>
    <n v="43862"/>
    <n v="0"/>
    <n v="175448"/>
    <n v="32634.83"/>
  </r>
  <r>
    <s v="ORD01213"/>
    <x v="576"/>
    <x v="166"/>
    <x v="1"/>
    <s v="India"/>
    <s v="Delhi"/>
    <s v="Ahmedabad"/>
    <s v="CUST3279"/>
    <x v="0"/>
    <x v="2"/>
    <s v="Storage"/>
    <s v="Product_47"/>
    <s v="Priya"/>
    <x v="1"/>
    <s v="UPI"/>
    <x v="2"/>
    <n v="8"/>
    <n v="44971"/>
    <n v="0"/>
    <n v="359768"/>
    <n v="47725.15"/>
  </r>
  <r>
    <s v="ORD01214"/>
    <x v="707"/>
    <x v="695"/>
    <x v="0"/>
    <s v="India"/>
    <s v="Maharashtra"/>
    <s v="Delhi"/>
    <s v="CUST9715"/>
    <x v="2"/>
    <x v="1"/>
    <s v="Mobile"/>
    <s v="Product_165"/>
    <s v="Karan"/>
    <x v="0"/>
    <s v="UPI"/>
    <x v="0"/>
    <n v="1"/>
    <n v="46746"/>
    <n v="20"/>
    <n v="37396.800000000003"/>
    <n v="-1720.56"/>
  </r>
  <r>
    <s v="ORD01215"/>
    <x v="708"/>
    <x v="158"/>
    <x v="1"/>
    <s v="India"/>
    <s v="Gujarat"/>
    <s v="Mumbai"/>
    <s v="CUST7815"/>
    <x v="2"/>
    <x v="0"/>
    <s v="Chair"/>
    <s v="Product_182"/>
    <s v="Amit"/>
    <x v="0"/>
    <s v="UPI"/>
    <x v="0"/>
    <n v="10"/>
    <n v="36575"/>
    <n v="0"/>
    <n v="365750"/>
    <n v="43872.54"/>
  </r>
  <r>
    <s v="ORD01216"/>
    <x v="644"/>
    <x v="696"/>
    <x v="1"/>
    <s v="India"/>
    <s v="Maharashtra"/>
    <s v="Delhi"/>
    <s v="CUST4426"/>
    <x v="0"/>
    <x v="0"/>
    <s v="Table"/>
    <s v="Product_35"/>
    <s v="Priya"/>
    <x v="1"/>
    <s v="Credit Card"/>
    <x v="1"/>
    <n v="7"/>
    <n v="39783"/>
    <n v="0"/>
    <n v="278481"/>
    <n v="54095.360000000001"/>
  </r>
  <r>
    <s v="ORD01217"/>
    <x v="709"/>
    <x v="121"/>
    <x v="3"/>
    <s v="India"/>
    <s v="Maharashtra"/>
    <s v="Delhi"/>
    <s v="CUST5991"/>
    <x v="2"/>
    <x v="2"/>
    <s v="Laptop"/>
    <s v="Product_79"/>
    <s v="Amit"/>
    <x v="0"/>
    <s v="UPI"/>
    <x v="3"/>
    <n v="8"/>
    <n v="2462"/>
    <n v="10"/>
    <n v="17726.400000000001"/>
    <n v="654.65"/>
  </r>
  <r>
    <s v="ORD01218"/>
    <x v="710"/>
    <x v="697"/>
    <x v="0"/>
    <s v="India"/>
    <s v="Maharashtra"/>
    <s v="Chennai"/>
    <s v="CUST8528"/>
    <x v="0"/>
    <x v="2"/>
    <s v="Printer"/>
    <s v="Product_57"/>
    <s v="Sneha"/>
    <x v="1"/>
    <s v="UPI"/>
    <x v="2"/>
    <n v="10"/>
    <n v="36931"/>
    <n v="15"/>
    <n v="313913.5"/>
    <n v="4734.49"/>
  </r>
  <r>
    <s v="ORD01219"/>
    <x v="711"/>
    <x v="698"/>
    <x v="0"/>
    <s v="India"/>
    <s v="Gujarat"/>
    <s v="Ahmedabad"/>
    <s v="CUST6834"/>
    <x v="2"/>
    <x v="1"/>
    <s v="Storage"/>
    <s v="Product_28"/>
    <s v="Neha"/>
    <x v="0"/>
    <s v="Credit Card"/>
    <x v="3"/>
    <n v="10"/>
    <n v="23538"/>
    <n v="5"/>
    <n v="223611"/>
    <n v="46019.08"/>
  </r>
  <r>
    <s v="ORD01220"/>
    <x v="525"/>
    <x v="699"/>
    <x v="3"/>
    <s v="India"/>
    <s v="Delhi"/>
    <s v="Delhi"/>
    <s v="CUST9384"/>
    <x v="0"/>
    <x v="0"/>
    <s v="Storage"/>
    <s v="Product_93"/>
    <s v="Neha"/>
    <x v="0"/>
    <s v="Credit Card"/>
    <x v="1"/>
    <n v="10"/>
    <n v="21293"/>
    <n v="10"/>
    <n v="191637"/>
    <n v="16929.759999999998"/>
  </r>
  <r>
    <s v="ORD01221"/>
    <x v="191"/>
    <x v="165"/>
    <x v="0"/>
    <s v="India"/>
    <s v="Karnataka"/>
    <s v="Chennai"/>
    <s v="CUST6198"/>
    <x v="2"/>
    <x v="1"/>
    <s v="Chair"/>
    <s v="Product_141"/>
    <s v="Priya"/>
    <x v="0"/>
    <s v="Credit Card"/>
    <x v="2"/>
    <n v="5"/>
    <n v="24258"/>
    <n v="10"/>
    <n v="109161"/>
    <n v="4818.59"/>
  </r>
  <r>
    <s v="ORD01222"/>
    <x v="710"/>
    <x v="207"/>
    <x v="0"/>
    <s v="India"/>
    <s v="Maharashtra"/>
    <s v="Mumbai"/>
    <s v="CUST3008"/>
    <x v="0"/>
    <x v="2"/>
    <s v="Storage"/>
    <s v="Product_13"/>
    <s v="Priya"/>
    <x v="1"/>
    <s v="Debit Card"/>
    <x v="1"/>
    <n v="3"/>
    <n v="43112"/>
    <n v="0"/>
    <n v="129336"/>
    <n v="19618.650000000001"/>
  </r>
  <r>
    <s v="ORD01223"/>
    <x v="474"/>
    <x v="48"/>
    <x v="3"/>
    <s v="India"/>
    <s v="Delhi"/>
    <s v="Mumbai"/>
    <s v="CUST4705"/>
    <x v="0"/>
    <x v="2"/>
    <s v="Chair"/>
    <s v="Product_104"/>
    <s v="Sneha"/>
    <x v="0"/>
    <s v="Debit Card"/>
    <x v="2"/>
    <n v="3"/>
    <n v="35515"/>
    <n v="20"/>
    <n v="85236"/>
    <n v="-14789.92"/>
  </r>
  <r>
    <s v="ORD01224"/>
    <x v="712"/>
    <x v="553"/>
    <x v="1"/>
    <s v="India"/>
    <s v="Gujarat"/>
    <s v="Chennai"/>
    <s v="CUST9774"/>
    <x v="1"/>
    <x v="2"/>
    <s v="Storage"/>
    <s v="Product_81"/>
    <s v="Neha"/>
    <x v="1"/>
    <s v="Net Banking"/>
    <x v="1"/>
    <n v="7"/>
    <n v="8719"/>
    <n v="20"/>
    <n v="48826.400000000001"/>
    <n v="604.54999999999995"/>
  </r>
  <r>
    <s v="ORD01225"/>
    <x v="9"/>
    <x v="243"/>
    <x v="3"/>
    <s v="India"/>
    <s v="Maharashtra"/>
    <s v="Mumbai"/>
    <s v="CUST9761"/>
    <x v="1"/>
    <x v="2"/>
    <s v="Printer"/>
    <s v="Product_101"/>
    <s v="Karan"/>
    <x v="1"/>
    <s v="Debit Card"/>
    <x v="3"/>
    <n v="10"/>
    <n v="6350"/>
    <n v="10"/>
    <n v="57150"/>
    <n v="824.62"/>
  </r>
  <r>
    <s v="ORD01226"/>
    <x v="493"/>
    <x v="316"/>
    <x v="0"/>
    <s v="India"/>
    <s v="Delhi"/>
    <s v="Ahmedabad"/>
    <s v="CUST5064"/>
    <x v="0"/>
    <x v="2"/>
    <s v="Mobile"/>
    <s v="Product_107"/>
    <s v="Sneha"/>
    <x v="1"/>
    <s v="Credit Card"/>
    <x v="0"/>
    <n v="10"/>
    <n v="9357"/>
    <n v="10"/>
    <n v="84213"/>
    <n v="-4344.68"/>
  </r>
  <r>
    <s v="ORD01227"/>
    <x v="206"/>
    <x v="700"/>
    <x v="1"/>
    <s v="India"/>
    <s v="Tamil Nadu"/>
    <s v="Delhi"/>
    <s v="CUST1637"/>
    <x v="0"/>
    <x v="2"/>
    <s v="Laptop"/>
    <s v="Product_144"/>
    <s v="Rahul"/>
    <x v="0"/>
    <s v="Credit Card"/>
    <x v="2"/>
    <n v="7"/>
    <n v="38698"/>
    <n v="0"/>
    <n v="270886"/>
    <n v="51968.94"/>
  </r>
  <r>
    <s v="ORD01228"/>
    <x v="58"/>
    <x v="467"/>
    <x v="3"/>
    <s v="India"/>
    <s v="Tamil Nadu"/>
    <s v="Mumbai"/>
    <s v="CUST1939"/>
    <x v="2"/>
    <x v="2"/>
    <s v="Table"/>
    <s v="Product_132"/>
    <s v="Sneha"/>
    <x v="0"/>
    <s v="Net Banking"/>
    <x v="0"/>
    <n v="8"/>
    <n v="5086"/>
    <n v="20"/>
    <n v="32550.400000000001"/>
    <n v="-251.14"/>
  </r>
  <r>
    <s v="ORD01229"/>
    <x v="140"/>
    <x v="577"/>
    <x v="1"/>
    <s v="India"/>
    <s v="Delhi"/>
    <s v="Chennai"/>
    <s v="CUST9279"/>
    <x v="0"/>
    <x v="2"/>
    <s v="Storage"/>
    <s v="Product_153"/>
    <s v="Rahul"/>
    <x v="0"/>
    <s v="Net Banking"/>
    <x v="3"/>
    <n v="2"/>
    <n v="905"/>
    <n v="20"/>
    <n v="1448"/>
    <n v="134.94999999999999"/>
  </r>
  <r>
    <s v="ORD01230"/>
    <x v="713"/>
    <x v="309"/>
    <x v="1"/>
    <s v="India"/>
    <s v="Tamil Nadu"/>
    <s v="Mumbai"/>
    <s v="CUST8435"/>
    <x v="0"/>
    <x v="0"/>
    <s v="Laptop"/>
    <s v="Product_42"/>
    <s v="Neha"/>
    <x v="1"/>
    <s v="Debit Card"/>
    <x v="1"/>
    <n v="10"/>
    <n v="32895"/>
    <n v="10"/>
    <n v="296055"/>
    <n v="-4315.1099999999997"/>
  </r>
  <r>
    <s v="ORD01231"/>
    <x v="714"/>
    <x v="60"/>
    <x v="0"/>
    <s v="India"/>
    <s v="Delhi"/>
    <s v="Mumbai"/>
    <s v="CUST6952"/>
    <x v="1"/>
    <x v="0"/>
    <s v="Table"/>
    <s v="Product_32"/>
    <s v="Sneha"/>
    <x v="0"/>
    <s v="Net Banking"/>
    <x v="3"/>
    <n v="6"/>
    <n v="21962"/>
    <n v="5"/>
    <n v="125183.4"/>
    <n v="14893.7"/>
  </r>
  <r>
    <s v="ORD01232"/>
    <x v="400"/>
    <x v="251"/>
    <x v="3"/>
    <s v="India"/>
    <s v="Tamil Nadu"/>
    <s v="Bangalore"/>
    <s v="CUST4877"/>
    <x v="2"/>
    <x v="0"/>
    <s v="Table"/>
    <s v="Product_58"/>
    <s v="Sneha"/>
    <x v="0"/>
    <s v="Credit Card"/>
    <x v="3"/>
    <n v="9"/>
    <n v="49552"/>
    <n v="15"/>
    <n v="379072.8"/>
    <n v="12188.14"/>
  </r>
  <r>
    <s v="ORD01233"/>
    <x v="513"/>
    <x v="413"/>
    <x v="2"/>
    <s v="India"/>
    <s v="Karnataka"/>
    <s v="Bangalore"/>
    <s v="CUST2469"/>
    <x v="2"/>
    <x v="1"/>
    <s v="Table"/>
    <s v="Product_188"/>
    <s v="Priya"/>
    <x v="0"/>
    <s v="Debit Card"/>
    <x v="0"/>
    <n v="2"/>
    <n v="22349"/>
    <n v="5"/>
    <n v="42463.1"/>
    <n v="9789.4"/>
  </r>
  <r>
    <s v="ORD01234"/>
    <x v="410"/>
    <x v="479"/>
    <x v="3"/>
    <s v="India"/>
    <s v="Maharashtra"/>
    <s v="Bangalore"/>
    <s v="CUST3061"/>
    <x v="1"/>
    <x v="2"/>
    <s v="Chair"/>
    <s v="Product_159"/>
    <s v="Priya"/>
    <x v="0"/>
    <s v="Debit Card"/>
    <x v="0"/>
    <n v="2"/>
    <n v="12674"/>
    <n v="15"/>
    <n v="21545.8"/>
    <n v="1449.39"/>
  </r>
  <r>
    <s v="ORD01235"/>
    <x v="451"/>
    <x v="51"/>
    <x v="1"/>
    <s v="India"/>
    <s v="Tamil Nadu"/>
    <s v="Delhi"/>
    <s v="CUST6039"/>
    <x v="0"/>
    <x v="2"/>
    <s v="Mobile"/>
    <s v="Product_79"/>
    <s v="Rahul"/>
    <x v="1"/>
    <s v="Net Banking"/>
    <x v="0"/>
    <n v="1"/>
    <n v="1185"/>
    <n v="15"/>
    <n v="1007.25"/>
    <n v="-24.97"/>
  </r>
  <r>
    <s v="ORD01236"/>
    <x v="451"/>
    <x v="701"/>
    <x v="1"/>
    <s v="India"/>
    <s v="Karnataka"/>
    <s v="Ahmedabad"/>
    <s v="CUST6272"/>
    <x v="2"/>
    <x v="2"/>
    <s v="Storage"/>
    <s v="Product_4"/>
    <s v="Amit"/>
    <x v="0"/>
    <s v="Debit Card"/>
    <x v="0"/>
    <n v="3"/>
    <n v="10079"/>
    <n v="0"/>
    <n v="30237"/>
    <n v="6339.01"/>
  </r>
  <r>
    <s v="ORD01237"/>
    <x v="715"/>
    <x v="52"/>
    <x v="3"/>
    <s v="India"/>
    <s v="Delhi"/>
    <s v="Mumbai"/>
    <s v="CUST1934"/>
    <x v="1"/>
    <x v="0"/>
    <s v="Mobile"/>
    <s v="Product_6"/>
    <s v="Priya"/>
    <x v="0"/>
    <s v="UPI"/>
    <x v="1"/>
    <n v="6"/>
    <n v="20718"/>
    <n v="5"/>
    <n v="118092.6"/>
    <n v="10342.74"/>
  </r>
  <r>
    <s v="ORD01238"/>
    <x v="377"/>
    <x v="301"/>
    <x v="1"/>
    <s v="India"/>
    <s v="Karnataka"/>
    <s v="Bangalore"/>
    <s v="CUST9640"/>
    <x v="1"/>
    <x v="0"/>
    <s v="Table"/>
    <s v="Product_16"/>
    <s v="Priya"/>
    <x v="0"/>
    <s v="Credit Card"/>
    <x v="1"/>
    <n v="10"/>
    <n v="3729"/>
    <n v="15"/>
    <n v="31696.5"/>
    <n v="1969.24"/>
  </r>
  <r>
    <s v="ORD01239"/>
    <x v="580"/>
    <x v="412"/>
    <x v="1"/>
    <s v="India"/>
    <s v="Gujarat"/>
    <s v="Ahmedabad"/>
    <s v="CUST2522"/>
    <x v="0"/>
    <x v="1"/>
    <s v="Table"/>
    <s v="Product_164"/>
    <s v="Sneha"/>
    <x v="0"/>
    <s v="Debit Card"/>
    <x v="1"/>
    <n v="3"/>
    <n v="36174"/>
    <n v="0"/>
    <n v="108522"/>
    <n v="8453.23"/>
  </r>
  <r>
    <s v="ORD01240"/>
    <x v="117"/>
    <x v="116"/>
    <x v="2"/>
    <s v="India"/>
    <s v="Gujarat"/>
    <s v="Chennai"/>
    <s v="CUST9150"/>
    <x v="1"/>
    <x v="0"/>
    <s v="Mobile"/>
    <s v="Product_21"/>
    <s v="Sneha"/>
    <x v="1"/>
    <s v="Net Banking"/>
    <x v="0"/>
    <n v="2"/>
    <n v="47835"/>
    <n v="10"/>
    <n v="86103"/>
    <n v="13700.86"/>
  </r>
  <r>
    <s v="ORD01241"/>
    <x v="716"/>
    <x v="499"/>
    <x v="3"/>
    <s v="India"/>
    <s v="Maharashtra"/>
    <s v="Ahmedabad"/>
    <s v="CUST9151"/>
    <x v="0"/>
    <x v="0"/>
    <s v="Table"/>
    <s v="Product_17"/>
    <s v="Sneha"/>
    <x v="0"/>
    <s v="Credit Card"/>
    <x v="0"/>
    <n v="9"/>
    <n v="42213"/>
    <n v="20"/>
    <n v="303933.59999999998"/>
    <n v="5663.97"/>
  </r>
  <r>
    <s v="ORD01242"/>
    <x v="712"/>
    <x v="498"/>
    <x v="3"/>
    <s v="India"/>
    <s v="Maharashtra"/>
    <s v="Chennai"/>
    <s v="CUST7594"/>
    <x v="0"/>
    <x v="0"/>
    <s v="Table"/>
    <s v="Product_104"/>
    <s v="Amit"/>
    <x v="0"/>
    <s v="Debit Card"/>
    <x v="0"/>
    <n v="2"/>
    <n v="32145"/>
    <n v="15"/>
    <n v="54646.5"/>
    <n v="-6161.98"/>
  </r>
  <r>
    <s v="ORD01243"/>
    <x v="4"/>
    <x v="131"/>
    <x v="1"/>
    <s v="India"/>
    <s v="Tamil Nadu"/>
    <s v="Chennai"/>
    <s v="CUST6193"/>
    <x v="0"/>
    <x v="0"/>
    <s v="Table"/>
    <s v="Product_76"/>
    <s v="Karan"/>
    <x v="0"/>
    <s v="Net Banking"/>
    <x v="3"/>
    <n v="3"/>
    <n v="3621"/>
    <n v="15"/>
    <n v="9233.5499999999993"/>
    <n v="544.91"/>
  </r>
  <r>
    <s v="ORD01244"/>
    <x v="124"/>
    <x v="702"/>
    <x v="2"/>
    <s v="India"/>
    <s v="Maharashtra"/>
    <s v="Mumbai"/>
    <s v="CUST3875"/>
    <x v="0"/>
    <x v="1"/>
    <s v="Mobile"/>
    <s v="Product_121"/>
    <s v="Priya"/>
    <x v="0"/>
    <s v="Cash"/>
    <x v="1"/>
    <n v="1"/>
    <n v="16647"/>
    <n v="0"/>
    <n v="16647"/>
    <n v="3005.4"/>
  </r>
  <r>
    <s v="ORD01245"/>
    <x v="717"/>
    <x v="40"/>
    <x v="1"/>
    <s v="India"/>
    <s v="Karnataka"/>
    <s v="Ahmedabad"/>
    <s v="CUST6027"/>
    <x v="0"/>
    <x v="2"/>
    <s v="Laptop"/>
    <s v="Product_4"/>
    <s v="Sneha"/>
    <x v="0"/>
    <s v="Credit Card"/>
    <x v="3"/>
    <n v="4"/>
    <n v="10906"/>
    <n v="0"/>
    <n v="43624"/>
    <n v="6901.53"/>
  </r>
  <r>
    <s v="ORD01246"/>
    <x v="488"/>
    <x v="122"/>
    <x v="1"/>
    <s v="India"/>
    <s v="Delhi"/>
    <s v="Chennai"/>
    <s v="CUST5000"/>
    <x v="1"/>
    <x v="1"/>
    <s v="Chair"/>
    <s v="Product_163"/>
    <s v="Karan"/>
    <x v="0"/>
    <s v="Cash"/>
    <x v="3"/>
    <n v="8"/>
    <n v="21231"/>
    <n v="5"/>
    <n v="161355.6"/>
    <n v="10057.44"/>
  </r>
  <r>
    <s v="ORD01247"/>
    <x v="249"/>
    <x v="703"/>
    <x v="2"/>
    <s v="India"/>
    <s v="Tamil Nadu"/>
    <s v="Ahmedabad"/>
    <s v="CUST5712"/>
    <x v="0"/>
    <x v="0"/>
    <s v="Laptop"/>
    <s v="Product_156"/>
    <s v="Sneha"/>
    <x v="0"/>
    <s v="Credit Card"/>
    <x v="3"/>
    <n v="9"/>
    <n v="8353"/>
    <n v="0"/>
    <n v="75177"/>
    <n v="18751.7"/>
  </r>
  <r>
    <s v="ORD01248"/>
    <x v="570"/>
    <x v="675"/>
    <x v="2"/>
    <s v="India"/>
    <s v="Delhi"/>
    <s v="Delhi"/>
    <s v="CUST2377"/>
    <x v="2"/>
    <x v="1"/>
    <s v="Chair"/>
    <s v="Product_69"/>
    <s v="Neha"/>
    <x v="0"/>
    <s v="UPI"/>
    <x v="0"/>
    <n v="3"/>
    <n v="19113"/>
    <n v="10"/>
    <n v="51605.1"/>
    <n v="5882.13"/>
  </r>
  <r>
    <s v="ORD01249"/>
    <x v="616"/>
    <x v="704"/>
    <x v="0"/>
    <s v="India"/>
    <s v="Karnataka"/>
    <s v="Chennai"/>
    <s v="CUST3065"/>
    <x v="1"/>
    <x v="2"/>
    <s v="Printer"/>
    <s v="Product_192"/>
    <s v="Priya"/>
    <x v="1"/>
    <s v="Credit Card"/>
    <x v="0"/>
    <n v="5"/>
    <n v="7223"/>
    <n v="15"/>
    <n v="30697.75"/>
    <n v="1530.86"/>
  </r>
  <r>
    <s v="ORD01250"/>
    <x v="279"/>
    <x v="612"/>
    <x v="2"/>
    <s v="India"/>
    <s v="Delhi"/>
    <s v="Delhi"/>
    <s v="CUST4513"/>
    <x v="0"/>
    <x v="0"/>
    <s v="Mobile"/>
    <s v="Product_161"/>
    <s v="Neha"/>
    <x v="0"/>
    <s v="Net Banking"/>
    <x v="2"/>
    <n v="6"/>
    <n v="5425"/>
    <n v="0"/>
    <n v="32550"/>
    <n v="6014.8"/>
  </r>
  <r>
    <s v="ORD01251"/>
    <x v="718"/>
    <x v="271"/>
    <x v="2"/>
    <s v="India"/>
    <s v="Delhi"/>
    <s v="Chennai"/>
    <s v="CUST9572"/>
    <x v="0"/>
    <x v="2"/>
    <s v="Laptop"/>
    <s v="Product_43"/>
    <s v="Priya"/>
    <x v="1"/>
    <s v="Credit Card"/>
    <x v="2"/>
    <n v="2"/>
    <n v="13054"/>
    <n v="20"/>
    <n v="20886.400000000001"/>
    <n v="-1235.8499999999999"/>
  </r>
  <r>
    <s v="ORD01252"/>
    <x v="282"/>
    <x v="705"/>
    <x v="0"/>
    <s v="India"/>
    <s v="Maharashtra"/>
    <s v="Delhi"/>
    <s v="CUST9869"/>
    <x v="2"/>
    <x v="0"/>
    <s v="Table"/>
    <s v="Product_3"/>
    <s v="Neha"/>
    <x v="0"/>
    <s v="Cash"/>
    <x v="2"/>
    <n v="8"/>
    <n v="35947"/>
    <n v="5"/>
    <n v="273197.2"/>
    <n v="5086.07"/>
  </r>
  <r>
    <s v="ORD01253"/>
    <x v="292"/>
    <x v="706"/>
    <x v="3"/>
    <s v="India"/>
    <s v="Maharashtra"/>
    <s v="Ahmedabad"/>
    <s v="CUST9393"/>
    <x v="1"/>
    <x v="0"/>
    <s v="Mobile"/>
    <s v="Product_7"/>
    <s v="Rahul"/>
    <x v="1"/>
    <s v="Net Banking"/>
    <x v="1"/>
    <n v="9"/>
    <n v="17573"/>
    <n v="15"/>
    <n v="134433.45000000001"/>
    <n v="10650.8"/>
  </r>
  <r>
    <s v="ORD01254"/>
    <x v="365"/>
    <x v="707"/>
    <x v="2"/>
    <s v="India"/>
    <s v="Maharashtra"/>
    <s v="Chennai"/>
    <s v="CUST4460"/>
    <x v="0"/>
    <x v="0"/>
    <s v="Chair"/>
    <s v="Product_142"/>
    <s v="Neha"/>
    <x v="0"/>
    <s v="Credit Card"/>
    <x v="0"/>
    <n v="9"/>
    <n v="5822"/>
    <n v="10"/>
    <n v="47158.2"/>
    <n v="10464.57"/>
  </r>
  <r>
    <s v="ORD01255"/>
    <x v="567"/>
    <x v="708"/>
    <x v="3"/>
    <s v="India"/>
    <s v="Maharashtra"/>
    <s v="Bangalore"/>
    <s v="CUST4564"/>
    <x v="1"/>
    <x v="1"/>
    <s v="Chair"/>
    <s v="Product_158"/>
    <s v="Priya"/>
    <x v="1"/>
    <s v="Credit Card"/>
    <x v="1"/>
    <n v="9"/>
    <n v="2660"/>
    <n v="0"/>
    <n v="23940"/>
    <n v="1392.06"/>
  </r>
  <r>
    <s v="ORD01256"/>
    <x v="313"/>
    <x v="507"/>
    <x v="1"/>
    <s v="India"/>
    <s v="Gujarat"/>
    <s v="Bangalore"/>
    <s v="CUST1389"/>
    <x v="2"/>
    <x v="1"/>
    <s v="Laptop"/>
    <s v="Product_45"/>
    <s v="Amit"/>
    <x v="0"/>
    <s v="Cash"/>
    <x v="0"/>
    <n v="1"/>
    <n v="38075"/>
    <n v="5"/>
    <n v="36171.25"/>
    <n v="9165.44"/>
  </r>
  <r>
    <s v="ORD01257"/>
    <x v="17"/>
    <x v="478"/>
    <x v="2"/>
    <s v="India"/>
    <s v="Tamil Nadu"/>
    <s v="Chennai"/>
    <s v="CUST4335"/>
    <x v="2"/>
    <x v="0"/>
    <s v="Storage"/>
    <s v="Product_85"/>
    <s v="Priya"/>
    <x v="0"/>
    <s v="Net Banking"/>
    <x v="2"/>
    <n v="6"/>
    <n v="3843"/>
    <n v="10"/>
    <n v="20752.2"/>
    <n v="3386.3"/>
  </r>
  <r>
    <s v="ORD01258"/>
    <x v="321"/>
    <x v="377"/>
    <x v="1"/>
    <s v="India"/>
    <s v="Tamil Nadu"/>
    <s v="Delhi"/>
    <s v="CUST4405"/>
    <x v="2"/>
    <x v="1"/>
    <s v="Chair"/>
    <s v="Product_119"/>
    <s v="Neha"/>
    <x v="1"/>
    <s v="UPI"/>
    <x v="3"/>
    <n v="5"/>
    <n v="44413"/>
    <n v="5"/>
    <n v="210961.75"/>
    <n v="18925.490000000002"/>
  </r>
  <r>
    <s v="ORD01259"/>
    <x v="719"/>
    <x v="229"/>
    <x v="1"/>
    <s v="India"/>
    <s v="Tamil Nadu"/>
    <s v="Delhi"/>
    <s v="CUST1180"/>
    <x v="0"/>
    <x v="0"/>
    <s v="Storage"/>
    <s v="Product_22"/>
    <s v="Amit"/>
    <x v="1"/>
    <s v="Credit Card"/>
    <x v="1"/>
    <n v="6"/>
    <n v="37167"/>
    <n v="15"/>
    <n v="189551.7"/>
    <n v="31114.959999999999"/>
  </r>
  <r>
    <s v="ORD01260"/>
    <x v="653"/>
    <x v="653"/>
    <x v="1"/>
    <s v="India"/>
    <s v="Tamil Nadu"/>
    <s v="Delhi"/>
    <s v="CUST1266"/>
    <x v="2"/>
    <x v="2"/>
    <s v="Table"/>
    <s v="Product_45"/>
    <s v="Amit"/>
    <x v="1"/>
    <s v="Credit Card"/>
    <x v="2"/>
    <n v="3"/>
    <n v="45083"/>
    <n v="20"/>
    <n v="108199.2"/>
    <n v="10363.620000000001"/>
  </r>
  <r>
    <s v="ORD01261"/>
    <x v="720"/>
    <x v="558"/>
    <x v="3"/>
    <s v="India"/>
    <s v="Maharashtra"/>
    <s v="Delhi"/>
    <s v="CUST5502"/>
    <x v="2"/>
    <x v="0"/>
    <s v="Table"/>
    <s v="Product_53"/>
    <s v="Amit"/>
    <x v="0"/>
    <s v="Credit Card"/>
    <x v="1"/>
    <n v="7"/>
    <n v="39417"/>
    <n v="0"/>
    <n v="275919"/>
    <n v="56799.76"/>
  </r>
  <r>
    <s v="ORD01262"/>
    <x v="254"/>
    <x v="472"/>
    <x v="3"/>
    <s v="India"/>
    <s v="Karnataka"/>
    <s v="Mumbai"/>
    <s v="CUST4626"/>
    <x v="0"/>
    <x v="2"/>
    <s v="Mobile"/>
    <s v="Product_106"/>
    <s v="Karan"/>
    <x v="0"/>
    <s v="Cash"/>
    <x v="1"/>
    <n v="4"/>
    <n v="27316"/>
    <n v="5"/>
    <n v="103800.8"/>
    <n v="23254"/>
  </r>
  <r>
    <s v="ORD01263"/>
    <x v="538"/>
    <x v="709"/>
    <x v="2"/>
    <s v="India"/>
    <s v="Karnataka"/>
    <s v="Delhi"/>
    <s v="CUST8889"/>
    <x v="0"/>
    <x v="0"/>
    <s v="Table"/>
    <s v="Product_79"/>
    <s v="Sneha"/>
    <x v="1"/>
    <s v="Net Banking"/>
    <x v="2"/>
    <n v="8"/>
    <n v="46574"/>
    <n v="20"/>
    <n v="298073.59999999998"/>
    <n v="33130.06"/>
  </r>
  <r>
    <s v="ORD01264"/>
    <x v="347"/>
    <x v="710"/>
    <x v="2"/>
    <s v="India"/>
    <s v="Tamil Nadu"/>
    <s v="Bangalore"/>
    <s v="CUST4156"/>
    <x v="1"/>
    <x v="1"/>
    <s v="Laptop"/>
    <s v="Product_101"/>
    <s v="Priya"/>
    <x v="1"/>
    <s v="Cash"/>
    <x v="1"/>
    <n v="10"/>
    <n v="2331"/>
    <n v="10"/>
    <n v="20979"/>
    <n v="-461.65"/>
  </r>
  <r>
    <s v="ORD01265"/>
    <x v="295"/>
    <x v="454"/>
    <x v="3"/>
    <s v="India"/>
    <s v="Tamil Nadu"/>
    <s v="Mumbai"/>
    <s v="CUST3459"/>
    <x v="0"/>
    <x v="1"/>
    <s v="Table"/>
    <s v="Product_93"/>
    <s v="Karan"/>
    <x v="0"/>
    <s v="Net Banking"/>
    <x v="2"/>
    <n v="5"/>
    <n v="3718"/>
    <n v="0"/>
    <n v="18590"/>
    <n v="4556.28"/>
  </r>
  <r>
    <s v="ORD01266"/>
    <x v="504"/>
    <x v="398"/>
    <x v="2"/>
    <s v="India"/>
    <s v="Tamil Nadu"/>
    <s v="Mumbai"/>
    <s v="CUST5617"/>
    <x v="2"/>
    <x v="1"/>
    <s v="Mobile"/>
    <s v="Product_113"/>
    <s v="Karan"/>
    <x v="0"/>
    <s v="UPI"/>
    <x v="3"/>
    <n v="5"/>
    <n v="47644"/>
    <n v="0"/>
    <n v="238220"/>
    <n v="34937.589999999997"/>
  </r>
  <r>
    <s v="ORD01267"/>
    <x v="187"/>
    <x v="15"/>
    <x v="3"/>
    <s v="India"/>
    <s v="Gujarat"/>
    <s v="Delhi"/>
    <s v="CUST5820"/>
    <x v="0"/>
    <x v="0"/>
    <s v="Printer"/>
    <s v="Product_113"/>
    <s v="Neha"/>
    <x v="1"/>
    <s v="Debit Card"/>
    <x v="2"/>
    <n v="9"/>
    <n v="8455"/>
    <n v="15"/>
    <n v="64680.75"/>
    <n v="1634.91"/>
  </r>
  <r>
    <s v="ORD01268"/>
    <x v="171"/>
    <x v="658"/>
    <x v="0"/>
    <s v="India"/>
    <s v="Delhi"/>
    <s v="Chennai"/>
    <s v="CUST8264"/>
    <x v="2"/>
    <x v="1"/>
    <s v="Printer"/>
    <s v="Product_41"/>
    <s v="Karan"/>
    <x v="0"/>
    <s v="Cash"/>
    <x v="0"/>
    <n v="7"/>
    <n v="14213"/>
    <n v="15"/>
    <n v="84567.35"/>
    <n v="-8667.31"/>
  </r>
  <r>
    <s v="ORD01269"/>
    <x v="721"/>
    <x v="647"/>
    <x v="0"/>
    <s v="India"/>
    <s v="Delhi"/>
    <s v="Ahmedabad"/>
    <s v="CUST7328"/>
    <x v="0"/>
    <x v="1"/>
    <s v="Storage"/>
    <s v="Product_185"/>
    <s v="Karan"/>
    <x v="0"/>
    <s v="UPI"/>
    <x v="1"/>
    <n v="7"/>
    <n v="24091"/>
    <n v="5"/>
    <n v="160205.15"/>
    <n v="23802.81"/>
  </r>
  <r>
    <s v="ORD01270"/>
    <x v="719"/>
    <x v="514"/>
    <x v="1"/>
    <s v="India"/>
    <s v="Tamil Nadu"/>
    <s v="Ahmedabad"/>
    <s v="CUST7569"/>
    <x v="1"/>
    <x v="1"/>
    <s v="Mobile"/>
    <s v="Product_148"/>
    <s v="Neha"/>
    <x v="1"/>
    <s v="Cash"/>
    <x v="0"/>
    <n v="4"/>
    <n v="30662"/>
    <n v="10"/>
    <n v="110383.2"/>
    <n v="8968.5400000000009"/>
  </r>
  <r>
    <s v="ORD01271"/>
    <x v="75"/>
    <x v="393"/>
    <x v="3"/>
    <s v="India"/>
    <s v="Karnataka"/>
    <s v="Chennai"/>
    <s v="CUST8465"/>
    <x v="0"/>
    <x v="1"/>
    <s v="Printer"/>
    <s v="Product_129"/>
    <s v="Amit"/>
    <x v="1"/>
    <s v="Debit Card"/>
    <x v="0"/>
    <n v="9"/>
    <n v="6020"/>
    <n v="10"/>
    <n v="48762"/>
    <n v="6958.55"/>
  </r>
  <r>
    <s v="ORD01272"/>
    <x v="101"/>
    <x v="261"/>
    <x v="2"/>
    <s v="India"/>
    <s v="Tamil Nadu"/>
    <s v="Mumbai"/>
    <s v="CUST4270"/>
    <x v="1"/>
    <x v="2"/>
    <s v="Storage"/>
    <s v="Product_40"/>
    <s v="Amit"/>
    <x v="1"/>
    <s v="Cash"/>
    <x v="2"/>
    <n v="4"/>
    <n v="36763"/>
    <n v="0"/>
    <n v="147052"/>
    <n v="38569.61"/>
  </r>
  <r>
    <s v="ORD01273"/>
    <x v="228"/>
    <x v="626"/>
    <x v="2"/>
    <s v="India"/>
    <s v="Maharashtra"/>
    <s v="Mumbai"/>
    <s v="CUST4647"/>
    <x v="2"/>
    <x v="2"/>
    <s v="Mobile"/>
    <s v="Product_198"/>
    <s v="Rahul"/>
    <x v="1"/>
    <s v="Debit Card"/>
    <x v="3"/>
    <n v="2"/>
    <n v="7161"/>
    <n v="5"/>
    <n v="13605.9"/>
    <n v="620.42999999999995"/>
  </r>
  <r>
    <s v="ORD01274"/>
    <x v="672"/>
    <x v="298"/>
    <x v="1"/>
    <s v="India"/>
    <s v="Maharashtra"/>
    <s v="Chennai"/>
    <s v="CUST3637"/>
    <x v="1"/>
    <x v="0"/>
    <s v="Table"/>
    <s v="Product_44"/>
    <s v="Rahul"/>
    <x v="0"/>
    <s v="Debit Card"/>
    <x v="3"/>
    <n v="4"/>
    <n v="35293"/>
    <n v="0"/>
    <n v="141172"/>
    <n v="34111.31"/>
  </r>
  <r>
    <s v="ORD01275"/>
    <x v="720"/>
    <x v="711"/>
    <x v="2"/>
    <s v="India"/>
    <s v="Karnataka"/>
    <s v="Mumbai"/>
    <s v="CUST5313"/>
    <x v="2"/>
    <x v="0"/>
    <s v="Storage"/>
    <s v="Product_23"/>
    <s v="Karan"/>
    <x v="1"/>
    <s v="UPI"/>
    <x v="1"/>
    <n v="6"/>
    <n v="19871"/>
    <n v="5"/>
    <n v="113264.7"/>
    <n v="26618.83"/>
  </r>
  <r>
    <s v="ORD01276"/>
    <x v="324"/>
    <x v="153"/>
    <x v="0"/>
    <s v="India"/>
    <s v="Gujarat"/>
    <s v="Mumbai"/>
    <s v="CUST3815"/>
    <x v="1"/>
    <x v="2"/>
    <s v="Laptop"/>
    <s v="Product_68"/>
    <s v="Rahul"/>
    <x v="0"/>
    <s v="Cash"/>
    <x v="1"/>
    <n v="2"/>
    <n v="23750"/>
    <n v="15"/>
    <n v="40375"/>
    <n v="3169.12"/>
  </r>
  <r>
    <s v="ORD01277"/>
    <x v="722"/>
    <x v="712"/>
    <x v="1"/>
    <s v="India"/>
    <s v="Maharashtra"/>
    <s v="Bangalore"/>
    <s v="CUST3699"/>
    <x v="2"/>
    <x v="0"/>
    <s v="Table"/>
    <s v="Product_185"/>
    <s v="Rahul"/>
    <x v="0"/>
    <s v="Net Banking"/>
    <x v="3"/>
    <n v="7"/>
    <n v="45971"/>
    <n v="5"/>
    <n v="305707.15000000002"/>
    <n v="16859.560000000001"/>
  </r>
  <r>
    <s v="ORD01278"/>
    <x v="723"/>
    <x v="145"/>
    <x v="0"/>
    <s v="India"/>
    <s v="Maharashtra"/>
    <s v="Ahmedabad"/>
    <s v="CUST6077"/>
    <x v="2"/>
    <x v="2"/>
    <s v="Mobile"/>
    <s v="Product_168"/>
    <s v="Amit"/>
    <x v="1"/>
    <s v="Debit Card"/>
    <x v="1"/>
    <n v="9"/>
    <n v="25978"/>
    <n v="15"/>
    <n v="198731.7"/>
    <n v="-15763.77"/>
  </r>
  <r>
    <s v="ORD01279"/>
    <x v="609"/>
    <x v="23"/>
    <x v="1"/>
    <s v="India"/>
    <s v="Maharashtra"/>
    <s v="Chennai"/>
    <s v="CUST9256"/>
    <x v="2"/>
    <x v="0"/>
    <s v="Mobile"/>
    <s v="Product_63"/>
    <s v="Rahul"/>
    <x v="1"/>
    <s v="Debit Card"/>
    <x v="1"/>
    <n v="10"/>
    <n v="28297"/>
    <n v="15"/>
    <n v="240524.5"/>
    <n v="3545.4"/>
  </r>
  <r>
    <s v="ORD01280"/>
    <x v="90"/>
    <x v="623"/>
    <x v="1"/>
    <s v="India"/>
    <s v="Delhi"/>
    <s v="Bangalore"/>
    <s v="CUST6778"/>
    <x v="1"/>
    <x v="2"/>
    <s v="Chair"/>
    <s v="Product_92"/>
    <s v="Neha"/>
    <x v="0"/>
    <s v="Net Banking"/>
    <x v="1"/>
    <n v="7"/>
    <n v="11149"/>
    <n v="20"/>
    <n v="62434.400000000001"/>
    <n v="5791.26"/>
  </r>
  <r>
    <s v="ORD01281"/>
    <x v="296"/>
    <x v="713"/>
    <x v="1"/>
    <s v="India"/>
    <s v="Maharashtra"/>
    <s v="Ahmedabad"/>
    <s v="CUST3172"/>
    <x v="0"/>
    <x v="1"/>
    <s v="Printer"/>
    <s v="Product_40"/>
    <s v="Priya"/>
    <x v="1"/>
    <s v="Net Banking"/>
    <x v="1"/>
    <n v="4"/>
    <n v="29909"/>
    <n v="5"/>
    <n v="113654.2"/>
    <n v="25616.880000000001"/>
  </r>
  <r>
    <s v="ORD01282"/>
    <x v="53"/>
    <x v="310"/>
    <x v="3"/>
    <s v="India"/>
    <s v="Delhi"/>
    <s v="Delhi"/>
    <s v="CUST9172"/>
    <x v="1"/>
    <x v="0"/>
    <s v="Storage"/>
    <s v="Product_92"/>
    <s v="Karan"/>
    <x v="0"/>
    <s v="Net Banking"/>
    <x v="3"/>
    <n v="9"/>
    <n v="49285"/>
    <n v="5"/>
    <n v="421386.75"/>
    <n v="24548.77"/>
  </r>
  <r>
    <s v="ORD01283"/>
    <x v="724"/>
    <x v="496"/>
    <x v="1"/>
    <s v="India"/>
    <s v="Maharashtra"/>
    <s v="Delhi"/>
    <s v="CUST6150"/>
    <x v="1"/>
    <x v="2"/>
    <s v="Chair"/>
    <s v="Product_59"/>
    <s v="Neha"/>
    <x v="1"/>
    <s v="UPI"/>
    <x v="0"/>
    <n v="9"/>
    <n v="5660"/>
    <n v="15"/>
    <n v="43299"/>
    <n v="-2606.29"/>
  </r>
  <r>
    <s v="ORD01284"/>
    <x v="569"/>
    <x v="714"/>
    <x v="2"/>
    <s v="India"/>
    <s v="Delhi"/>
    <s v="Chennai"/>
    <s v="CUST9535"/>
    <x v="2"/>
    <x v="2"/>
    <s v="Mobile"/>
    <s v="Product_172"/>
    <s v="Priya"/>
    <x v="0"/>
    <s v="UPI"/>
    <x v="0"/>
    <n v="10"/>
    <n v="43461"/>
    <n v="20"/>
    <n v="347688"/>
    <n v="-4353.37"/>
  </r>
  <r>
    <s v="ORD01285"/>
    <x v="725"/>
    <x v="595"/>
    <x v="0"/>
    <s v="India"/>
    <s v="Tamil Nadu"/>
    <s v="Chennai"/>
    <s v="CUST6715"/>
    <x v="1"/>
    <x v="2"/>
    <s v="Laptop"/>
    <s v="Product_124"/>
    <s v="Priya"/>
    <x v="1"/>
    <s v="Credit Card"/>
    <x v="3"/>
    <n v="2"/>
    <n v="7103"/>
    <n v="20"/>
    <n v="11364.8"/>
    <n v="-1726.64"/>
  </r>
  <r>
    <s v="ORD01286"/>
    <x v="485"/>
    <x v="715"/>
    <x v="1"/>
    <s v="India"/>
    <s v="Karnataka"/>
    <s v="Delhi"/>
    <s v="CUST8955"/>
    <x v="0"/>
    <x v="1"/>
    <s v="Mobile"/>
    <s v="Product_67"/>
    <s v="Rahul"/>
    <x v="1"/>
    <s v="UPI"/>
    <x v="3"/>
    <n v="8"/>
    <n v="49083"/>
    <n v="0"/>
    <n v="392664"/>
    <n v="84092.89"/>
  </r>
  <r>
    <s v="ORD01287"/>
    <x v="445"/>
    <x v="73"/>
    <x v="2"/>
    <s v="India"/>
    <s v="Tamil Nadu"/>
    <s v="Delhi"/>
    <s v="CUST8183"/>
    <x v="2"/>
    <x v="1"/>
    <s v="Printer"/>
    <s v="Product_168"/>
    <s v="Rahul"/>
    <x v="0"/>
    <s v="Net Banking"/>
    <x v="3"/>
    <n v="10"/>
    <n v="14186"/>
    <n v="10"/>
    <n v="127674"/>
    <n v="9611.1"/>
  </r>
  <r>
    <s v="ORD01288"/>
    <x v="535"/>
    <x v="330"/>
    <x v="1"/>
    <s v="India"/>
    <s v="Maharashtra"/>
    <s v="Mumbai"/>
    <s v="CUST7061"/>
    <x v="1"/>
    <x v="2"/>
    <s v="Mobile"/>
    <s v="Product_84"/>
    <s v="Amit"/>
    <x v="0"/>
    <s v="Net Banking"/>
    <x v="1"/>
    <n v="8"/>
    <n v="3726"/>
    <n v="5"/>
    <n v="28317.599999999999"/>
    <n v="968.7"/>
  </r>
  <r>
    <s v="ORD01289"/>
    <x v="726"/>
    <x v="716"/>
    <x v="3"/>
    <s v="India"/>
    <s v="Karnataka"/>
    <s v="Ahmedabad"/>
    <s v="CUST8289"/>
    <x v="2"/>
    <x v="2"/>
    <s v="Table"/>
    <s v="Product_129"/>
    <s v="Neha"/>
    <x v="1"/>
    <s v="Cash"/>
    <x v="0"/>
    <n v="10"/>
    <n v="40257"/>
    <n v="0"/>
    <n v="402570"/>
    <n v="50605.32"/>
  </r>
  <r>
    <s v="ORD01290"/>
    <x v="387"/>
    <x v="566"/>
    <x v="0"/>
    <s v="India"/>
    <s v="Gujarat"/>
    <s v="Chennai"/>
    <s v="CUST2996"/>
    <x v="2"/>
    <x v="2"/>
    <s v="Laptop"/>
    <s v="Product_146"/>
    <s v="Amit"/>
    <x v="0"/>
    <s v="Debit Card"/>
    <x v="2"/>
    <n v="8"/>
    <n v="2897"/>
    <n v="10"/>
    <n v="20858.400000000001"/>
    <n v="2685.46"/>
  </r>
  <r>
    <s v="ORD01291"/>
    <x v="727"/>
    <x v="22"/>
    <x v="0"/>
    <s v="India"/>
    <s v="Delhi"/>
    <s v="Delhi"/>
    <s v="CUST2905"/>
    <x v="2"/>
    <x v="0"/>
    <s v="Mobile"/>
    <s v="Product_80"/>
    <s v="Rahul"/>
    <x v="1"/>
    <s v="Debit Card"/>
    <x v="3"/>
    <n v="5"/>
    <n v="6359"/>
    <n v="0"/>
    <n v="31795"/>
    <n v="6581.37"/>
  </r>
  <r>
    <s v="ORD01292"/>
    <x v="728"/>
    <x v="76"/>
    <x v="0"/>
    <s v="India"/>
    <s v="Maharashtra"/>
    <s v="Ahmedabad"/>
    <s v="CUST8901"/>
    <x v="0"/>
    <x v="1"/>
    <s v="Table"/>
    <s v="Product_100"/>
    <s v="Karan"/>
    <x v="0"/>
    <s v="Net Banking"/>
    <x v="0"/>
    <n v="2"/>
    <n v="48263"/>
    <n v="20"/>
    <n v="77220.800000000003"/>
    <n v="6288.93"/>
  </r>
  <r>
    <s v="ORD01293"/>
    <x v="666"/>
    <x v="468"/>
    <x v="2"/>
    <s v="India"/>
    <s v="Maharashtra"/>
    <s v="Chennai"/>
    <s v="CUST1534"/>
    <x v="0"/>
    <x v="0"/>
    <s v="Printer"/>
    <s v="Product_199"/>
    <s v="Priya"/>
    <x v="1"/>
    <s v="Net Banking"/>
    <x v="1"/>
    <n v="5"/>
    <n v="48739"/>
    <n v="5"/>
    <n v="231510.25"/>
    <n v="23095.34"/>
  </r>
  <r>
    <s v="ORD01294"/>
    <x v="729"/>
    <x v="637"/>
    <x v="0"/>
    <s v="India"/>
    <s v="Karnataka"/>
    <s v="Mumbai"/>
    <s v="CUST2811"/>
    <x v="2"/>
    <x v="1"/>
    <s v="Chair"/>
    <s v="Product_70"/>
    <s v="Amit"/>
    <x v="1"/>
    <s v="Cash"/>
    <x v="0"/>
    <n v="9"/>
    <n v="27744"/>
    <n v="0"/>
    <n v="249696"/>
    <n v="69493.25"/>
  </r>
  <r>
    <s v="ORD01295"/>
    <x v="399"/>
    <x v="573"/>
    <x v="2"/>
    <s v="India"/>
    <s v="Gujarat"/>
    <s v="Ahmedabad"/>
    <s v="CUST2668"/>
    <x v="2"/>
    <x v="1"/>
    <s v="Chair"/>
    <s v="Product_183"/>
    <s v="Amit"/>
    <x v="0"/>
    <s v="Debit Card"/>
    <x v="3"/>
    <n v="6"/>
    <n v="38060"/>
    <n v="0"/>
    <n v="228360"/>
    <n v="40318.379999999997"/>
  </r>
  <r>
    <s v="ORD01296"/>
    <x v="730"/>
    <x v="187"/>
    <x v="2"/>
    <s v="India"/>
    <s v="Karnataka"/>
    <s v="Mumbai"/>
    <s v="CUST6164"/>
    <x v="1"/>
    <x v="2"/>
    <s v="Printer"/>
    <s v="Product_61"/>
    <s v="Neha"/>
    <x v="1"/>
    <s v="Net Banking"/>
    <x v="2"/>
    <n v="3"/>
    <n v="35073"/>
    <n v="15"/>
    <n v="89436.15"/>
    <n v="7812.91"/>
  </r>
  <r>
    <s v="ORD01297"/>
    <x v="198"/>
    <x v="717"/>
    <x v="2"/>
    <s v="India"/>
    <s v="Delhi"/>
    <s v="Chennai"/>
    <s v="CUST9557"/>
    <x v="1"/>
    <x v="1"/>
    <s v="Laptop"/>
    <s v="Product_21"/>
    <s v="Karan"/>
    <x v="1"/>
    <s v="Debit Card"/>
    <x v="0"/>
    <n v="3"/>
    <n v="12936"/>
    <n v="20"/>
    <n v="31046.400000000001"/>
    <n v="-1585.51"/>
  </r>
  <r>
    <s v="ORD01298"/>
    <x v="731"/>
    <x v="642"/>
    <x v="2"/>
    <s v="India"/>
    <s v="Tamil Nadu"/>
    <s v="Bangalore"/>
    <s v="CUST5225"/>
    <x v="2"/>
    <x v="2"/>
    <s v="Chair"/>
    <s v="Product_147"/>
    <s v="Amit"/>
    <x v="0"/>
    <s v="Net Banking"/>
    <x v="2"/>
    <n v="8"/>
    <n v="33448"/>
    <n v="5"/>
    <n v="254204.79999999999"/>
    <n v="21990.44"/>
  </r>
  <r>
    <s v="ORD01299"/>
    <x v="539"/>
    <x v="718"/>
    <x v="3"/>
    <s v="India"/>
    <s v="Tamil Nadu"/>
    <s v="Ahmedabad"/>
    <s v="CUST9128"/>
    <x v="2"/>
    <x v="2"/>
    <s v="Storage"/>
    <s v="Product_87"/>
    <s v="Neha"/>
    <x v="1"/>
    <s v="Credit Card"/>
    <x v="2"/>
    <n v="3"/>
    <n v="4355"/>
    <n v="20"/>
    <n v="10452"/>
    <n v="-264.72000000000003"/>
  </r>
  <r>
    <s v="ORD01300"/>
    <x v="732"/>
    <x v="105"/>
    <x v="2"/>
    <s v="India"/>
    <s v="Tamil Nadu"/>
    <s v="Ahmedabad"/>
    <s v="CUST8326"/>
    <x v="2"/>
    <x v="2"/>
    <s v="Storage"/>
    <s v="Product_179"/>
    <s v="Neha"/>
    <x v="0"/>
    <s v="Net Banking"/>
    <x v="1"/>
    <n v="6"/>
    <n v="33843"/>
    <n v="10"/>
    <n v="182752.2"/>
    <n v="34711.879999999997"/>
  </r>
  <r>
    <s v="ORD01301"/>
    <x v="733"/>
    <x v="719"/>
    <x v="0"/>
    <s v="India"/>
    <s v="Delhi"/>
    <s v="Delhi"/>
    <s v="CUST8635"/>
    <x v="1"/>
    <x v="0"/>
    <s v="Table"/>
    <s v="Product_25"/>
    <s v="Neha"/>
    <x v="0"/>
    <s v="Credit Card"/>
    <x v="3"/>
    <n v="7"/>
    <n v="16699"/>
    <n v="10"/>
    <n v="105203.7"/>
    <n v="17082.89"/>
  </r>
  <r>
    <s v="ORD01302"/>
    <x v="734"/>
    <x v="662"/>
    <x v="1"/>
    <s v="India"/>
    <s v="Karnataka"/>
    <s v="Ahmedabad"/>
    <s v="CUST9202"/>
    <x v="2"/>
    <x v="0"/>
    <s v="Storage"/>
    <s v="Product_37"/>
    <s v="Neha"/>
    <x v="1"/>
    <s v="Credit Card"/>
    <x v="1"/>
    <n v="1"/>
    <n v="30877"/>
    <n v="20"/>
    <n v="24701.599999999999"/>
    <n v="-1607.2"/>
  </r>
  <r>
    <s v="ORD01303"/>
    <x v="394"/>
    <x v="617"/>
    <x v="3"/>
    <s v="India"/>
    <s v="Tamil Nadu"/>
    <s v="Mumbai"/>
    <s v="CUST5024"/>
    <x v="1"/>
    <x v="1"/>
    <s v="Chair"/>
    <s v="Product_200"/>
    <s v="Priya"/>
    <x v="0"/>
    <s v="UPI"/>
    <x v="1"/>
    <n v="5"/>
    <n v="46040"/>
    <n v="15"/>
    <n v="195670"/>
    <n v="-7150.33"/>
  </r>
  <r>
    <s v="ORD01304"/>
    <x v="286"/>
    <x v="458"/>
    <x v="3"/>
    <s v="India"/>
    <s v="Gujarat"/>
    <s v="Ahmedabad"/>
    <s v="CUST1566"/>
    <x v="1"/>
    <x v="0"/>
    <s v="Laptop"/>
    <s v="Product_17"/>
    <s v="Rahul"/>
    <x v="0"/>
    <s v="UPI"/>
    <x v="2"/>
    <n v="6"/>
    <n v="29998"/>
    <n v="10"/>
    <n v="161989.20000000001"/>
    <n v="24450.720000000001"/>
  </r>
  <r>
    <s v="ORD01305"/>
    <x v="524"/>
    <x v="154"/>
    <x v="3"/>
    <s v="India"/>
    <s v="Gujarat"/>
    <s v="Mumbai"/>
    <s v="CUST6960"/>
    <x v="2"/>
    <x v="0"/>
    <s v="Laptop"/>
    <s v="Product_79"/>
    <s v="Neha"/>
    <x v="1"/>
    <s v="Net Banking"/>
    <x v="0"/>
    <n v="1"/>
    <n v="24277"/>
    <n v="20"/>
    <n v="19421.599999999999"/>
    <n v="-770.04"/>
  </r>
  <r>
    <s v="ORD01306"/>
    <x v="209"/>
    <x v="521"/>
    <x v="0"/>
    <s v="India"/>
    <s v="Delhi"/>
    <s v="Ahmedabad"/>
    <s v="CUST3425"/>
    <x v="2"/>
    <x v="1"/>
    <s v="Table"/>
    <s v="Product_73"/>
    <s v="Karan"/>
    <x v="1"/>
    <s v="Debit Card"/>
    <x v="1"/>
    <n v="3"/>
    <n v="14731"/>
    <n v="20"/>
    <n v="35354.400000000001"/>
    <n v="82.65"/>
  </r>
  <r>
    <s v="ORD01307"/>
    <x v="209"/>
    <x v="291"/>
    <x v="0"/>
    <s v="India"/>
    <s v="Maharashtra"/>
    <s v="Mumbai"/>
    <s v="CUST4792"/>
    <x v="1"/>
    <x v="0"/>
    <s v="Table"/>
    <s v="Product_125"/>
    <s v="Karan"/>
    <x v="0"/>
    <s v="Cash"/>
    <x v="0"/>
    <n v="10"/>
    <n v="1334"/>
    <n v="10"/>
    <n v="12006"/>
    <n v="835.63"/>
  </r>
  <r>
    <s v="ORD01308"/>
    <x v="735"/>
    <x v="143"/>
    <x v="2"/>
    <s v="India"/>
    <s v="Karnataka"/>
    <s v="Ahmedabad"/>
    <s v="CUST9271"/>
    <x v="1"/>
    <x v="0"/>
    <s v="Mobile"/>
    <s v="Product_152"/>
    <s v="Karan"/>
    <x v="0"/>
    <s v="UPI"/>
    <x v="0"/>
    <n v="1"/>
    <n v="12026"/>
    <n v="20"/>
    <n v="9620.7999999999993"/>
    <n v="486.78"/>
  </r>
  <r>
    <s v="ORD01309"/>
    <x v="375"/>
    <x v="720"/>
    <x v="3"/>
    <s v="India"/>
    <s v="Maharashtra"/>
    <s v="Mumbai"/>
    <s v="CUST9388"/>
    <x v="1"/>
    <x v="0"/>
    <s v="Printer"/>
    <s v="Product_39"/>
    <s v="Neha"/>
    <x v="1"/>
    <s v="UPI"/>
    <x v="0"/>
    <n v="7"/>
    <n v="23003"/>
    <n v="0"/>
    <n v="161021"/>
    <n v="15561.12"/>
  </r>
  <r>
    <s v="ORD01310"/>
    <x v="736"/>
    <x v="507"/>
    <x v="1"/>
    <s v="India"/>
    <s v="Tamil Nadu"/>
    <s v="Bangalore"/>
    <s v="CUST4349"/>
    <x v="0"/>
    <x v="0"/>
    <s v="Storage"/>
    <s v="Product_178"/>
    <s v="Rahul"/>
    <x v="1"/>
    <s v="Debit Card"/>
    <x v="0"/>
    <n v="6"/>
    <n v="33978"/>
    <n v="5"/>
    <n v="193674.6"/>
    <n v="1338.73"/>
  </r>
  <r>
    <s v="ORD01311"/>
    <x v="737"/>
    <x v="646"/>
    <x v="1"/>
    <s v="India"/>
    <s v="Gujarat"/>
    <s v="Ahmedabad"/>
    <s v="CUST2554"/>
    <x v="2"/>
    <x v="1"/>
    <s v="Table"/>
    <s v="Product_128"/>
    <s v="Neha"/>
    <x v="1"/>
    <s v="Cash"/>
    <x v="0"/>
    <n v="8"/>
    <n v="37998"/>
    <n v="5"/>
    <n v="288784.8"/>
    <n v="45545.440000000002"/>
  </r>
  <r>
    <s v="ORD01312"/>
    <x v="632"/>
    <x v="619"/>
    <x v="0"/>
    <s v="India"/>
    <s v="Tamil Nadu"/>
    <s v="Chennai"/>
    <s v="CUST8297"/>
    <x v="1"/>
    <x v="2"/>
    <s v="Table"/>
    <s v="Product_56"/>
    <s v="Karan"/>
    <x v="0"/>
    <s v="UPI"/>
    <x v="2"/>
    <n v="5"/>
    <n v="48232"/>
    <n v="5"/>
    <n v="229102"/>
    <n v="20796.29"/>
  </r>
  <r>
    <s v="ORD01313"/>
    <x v="423"/>
    <x v="537"/>
    <x v="0"/>
    <s v="India"/>
    <s v="Tamil Nadu"/>
    <s v="Chennai"/>
    <s v="CUST4506"/>
    <x v="2"/>
    <x v="0"/>
    <s v="Table"/>
    <s v="Product_47"/>
    <s v="Neha"/>
    <x v="1"/>
    <s v="UPI"/>
    <x v="2"/>
    <n v="9"/>
    <n v="12585"/>
    <n v="20"/>
    <n v="90612"/>
    <n v="-4531.43"/>
  </r>
  <r>
    <s v="ORD01314"/>
    <x v="399"/>
    <x v="463"/>
    <x v="1"/>
    <s v="India"/>
    <s v="Gujarat"/>
    <s v="Ahmedabad"/>
    <s v="CUST9208"/>
    <x v="2"/>
    <x v="2"/>
    <s v="Printer"/>
    <s v="Product_99"/>
    <s v="Karan"/>
    <x v="1"/>
    <s v="UPI"/>
    <x v="0"/>
    <n v="8"/>
    <n v="11304"/>
    <n v="15"/>
    <n v="76867.199999999997"/>
    <n v="-7797.52"/>
  </r>
  <r>
    <s v="ORD01315"/>
    <x v="159"/>
    <x v="721"/>
    <x v="3"/>
    <s v="India"/>
    <s v="Karnataka"/>
    <s v="Delhi"/>
    <s v="CUST1875"/>
    <x v="0"/>
    <x v="0"/>
    <s v="Laptop"/>
    <s v="Product_75"/>
    <s v="Sneha"/>
    <x v="1"/>
    <s v="Credit Card"/>
    <x v="0"/>
    <n v="9"/>
    <n v="45175"/>
    <n v="20"/>
    <n v="325260"/>
    <n v="26468.58"/>
  </r>
  <r>
    <s v="ORD01316"/>
    <x v="393"/>
    <x v="218"/>
    <x v="1"/>
    <s v="India"/>
    <s v="Delhi"/>
    <s v="Delhi"/>
    <s v="CUST7032"/>
    <x v="2"/>
    <x v="1"/>
    <s v="Table"/>
    <s v="Product_104"/>
    <s v="Rahul"/>
    <x v="1"/>
    <s v="UPI"/>
    <x v="1"/>
    <n v="10"/>
    <n v="44658"/>
    <n v="5"/>
    <n v="424251"/>
    <n v="55464.44"/>
  </r>
  <r>
    <s v="ORD01317"/>
    <x v="601"/>
    <x v="270"/>
    <x v="1"/>
    <s v="India"/>
    <s v="Delhi"/>
    <s v="Mumbai"/>
    <s v="CUST1663"/>
    <x v="0"/>
    <x v="1"/>
    <s v="Mobile"/>
    <s v="Product_67"/>
    <s v="Priya"/>
    <x v="0"/>
    <s v="UPI"/>
    <x v="3"/>
    <n v="3"/>
    <n v="25447"/>
    <n v="5"/>
    <n v="72523.95"/>
    <n v="17279.59"/>
  </r>
  <r>
    <s v="ORD01318"/>
    <x v="738"/>
    <x v="714"/>
    <x v="3"/>
    <s v="India"/>
    <s v="Delhi"/>
    <s v="Chennai"/>
    <s v="CUST7566"/>
    <x v="1"/>
    <x v="0"/>
    <s v="Chair"/>
    <s v="Product_122"/>
    <s v="Amit"/>
    <x v="1"/>
    <s v="Cash"/>
    <x v="3"/>
    <n v="10"/>
    <n v="43987"/>
    <n v="20"/>
    <n v="351896"/>
    <n v="31388.66"/>
  </r>
  <r>
    <s v="ORD01319"/>
    <x v="739"/>
    <x v="722"/>
    <x v="0"/>
    <s v="India"/>
    <s v="Gujarat"/>
    <s v="Chennai"/>
    <s v="CUST7024"/>
    <x v="1"/>
    <x v="1"/>
    <s v="Mobile"/>
    <s v="Product_83"/>
    <s v="Karan"/>
    <x v="0"/>
    <s v="Net Banking"/>
    <x v="2"/>
    <n v="2"/>
    <n v="8338"/>
    <n v="5"/>
    <n v="15842.2"/>
    <n v="2114.31"/>
  </r>
  <r>
    <s v="ORD01320"/>
    <x v="394"/>
    <x v="723"/>
    <x v="0"/>
    <s v="India"/>
    <s v="Delhi"/>
    <s v="Bangalore"/>
    <s v="CUST4429"/>
    <x v="2"/>
    <x v="0"/>
    <s v="Printer"/>
    <s v="Product_172"/>
    <s v="Neha"/>
    <x v="1"/>
    <s v="Cash"/>
    <x v="3"/>
    <n v="4"/>
    <n v="26271"/>
    <n v="10"/>
    <n v="94575.6"/>
    <n v="16769.05"/>
  </r>
  <r>
    <s v="ORD01321"/>
    <x v="412"/>
    <x v="153"/>
    <x v="1"/>
    <s v="India"/>
    <s v="Maharashtra"/>
    <s v="Delhi"/>
    <s v="CUST1453"/>
    <x v="0"/>
    <x v="2"/>
    <s v="Laptop"/>
    <s v="Product_91"/>
    <s v="Amit"/>
    <x v="0"/>
    <s v="Debit Card"/>
    <x v="0"/>
    <n v="7"/>
    <n v="14328"/>
    <n v="10"/>
    <n v="90266.4"/>
    <n v="-4384.71"/>
  </r>
  <r>
    <s v="ORD01322"/>
    <x v="583"/>
    <x v="724"/>
    <x v="3"/>
    <s v="India"/>
    <s v="Karnataka"/>
    <s v="Mumbai"/>
    <s v="CUST8010"/>
    <x v="1"/>
    <x v="0"/>
    <s v="Storage"/>
    <s v="Product_62"/>
    <s v="Neha"/>
    <x v="0"/>
    <s v="UPI"/>
    <x v="2"/>
    <n v="1"/>
    <n v="28134"/>
    <n v="5"/>
    <n v="26727.3"/>
    <n v="1862.58"/>
  </r>
  <r>
    <s v="ORD01323"/>
    <x v="24"/>
    <x v="229"/>
    <x v="1"/>
    <s v="India"/>
    <s v="Maharashtra"/>
    <s v="Delhi"/>
    <s v="CUST3226"/>
    <x v="1"/>
    <x v="1"/>
    <s v="Chair"/>
    <s v="Product_20"/>
    <s v="Karan"/>
    <x v="0"/>
    <s v="Cash"/>
    <x v="3"/>
    <n v="9"/>
    <n v="45011"/>
    <n v="10"/>
    <n v="364589.1"/>
    <n v="66133.5"/>
  </r>
  <r>
    <s v="ORD01324"/>
    <x v="388"/>
    <x v="489"/>
    <x v="0"/>
    <s v="India"/>
    <s v="Gujarat"/>
    <s v="Bangalore"/>
    <s v="CUST4617"/>
    <x v="0"/>
    <x v="2"/>
    <s v="Table"/>
    <s v="Product_120"/>
    <s v="Priya"/>
    <x v="0"/>
    <s v="UPI"/>
    <x v="3"/>
    <n v="6"/>
    <n v="17259"/>
    <n v="10"/>
    <n v="93198.6"/>
    <n v="10237.77"/>
  </r>
  <r>
    <s v="ORD01325"/>
    <x v="375"/>
    <x v="720"/>
    <x v="1"/>
    <s v="India"/>
    <s v="Maharashtra"/>
    <s v="Mumbai"/>
    <s v="CUST8841"/>
    <x v="0"/>
    <x v="0"/>
    <s v="Laptop"/>
    <s v="Product_31"/>
    <s v="Sneha"/>
    <x v="0"/>
    <s v="Credit Card"/>
    <x v="0"/>
    <n v="4"/>
    <n v="23597"/>
    <n v="0"/>
    <n v="94388"/>
    <n v="12477.61"/>
  </r>
  <r>
    <s v="ORD01326"/>
    <x v="34"/>
    <x v="725"/>
    <x v="2"/>
    <s v="India"/>
    <s v="Delhi"/>
    <s v="Chennai"/>
    <s v="CUST4020"/>
    <x v="1"/>
    <x v="2"/>
    <s v="Mobile"/>
    <s v="Product_17"/>
    <s v="Priya"/>
    <x v="1"/>
    <s v="Net Banking"/>
    <x v="3"/>
    <n v="7"/>
    <n v="32833"/>
    <n v="20"/>
    <n v="183864.8"/>
    <n v="-30435.35"/>
  </r>
  <r>
    <s v="ORD01327"/>
    <x v="131"/>
    <x v="323"/>
    <x v="0"/>
    <s v="India"/>
    <s v="Delhi"/>
    <s v="Ahmedabad"/>
    <s v="CUST7664"/>
    <x v="1"/>
    <x v="2"/>
    <s v="Printer"/>
    <s v="Product_83"/>
    <s v="Sneha"/>
    <x v="1"/>
    <s v="Debit Card"/>
    <x v="3"/>
    <n v="9"/>
    <n v="41963"/>
    <n v="15"/>
    <n v="321016.95"/>
    <n v="-31538.7"/>
  </r>
  <r>
    <s v="ORD01328"/>
    <x v="740"/>
    <x v="726"/>
    <x v="3"/>
    <s v="India"/>
    <s v="Karnataka"/>
    <s v="Ahmedabad"/>
    <s v="CUST4646"/>
    <x v="1"/>
    <x v="1"/>
    <s v="Storage"/>
    <s v="Product_100"/>
    <s v="Neha"/>
    <x v="1"/>
    <s v="Cash"/>
    <x v="0"/>
    <n v="10"/>
    <n v="21360"/>
    <n v="15"/>
    <n v="181560"/>
    <n v="22808.27"/>
  </r>
  <r>
    <s v="ORD01329"/>
    <x v="673"/>
    <x v="387"/>
    <x v="0"/>
    <s v="India"/>
    <s v="Tamil Nadu"/>
    <s v="Ahmedabad"/>
    <s v="CUST5434"/>
    <x v="0"/>
    <x v="1"/>
    <s v="Mobile"/>
    <s v="Product_87"/>
    <s v="Karan"/>
    <x v="0"/>
    <s v="Credit Card"/>
    <x v="2"/>
    <n v="2"/>
    <n v="32659"/>
    <n v="5"/>
    <n v="62052.1"/>
    <n v="233.88"/>
  </r>
  <r>
    <s v="ORD01330"/>
    <x v="526"/>
    <x v="221"/>
    <x v="3"/>
    <s v="India"/>
    <s v="Maharashtra"/>
    <s v="Chennai"/>
    <s v="CUST1695"/>
    <x v="1"/>
    <x v="0"/>
    <s v="Printer"/>
    <s v="Product_87"/>
    <s v="Amit"/>
    <x v="0"/>
    <s v="Debit Card"/>
    <x v="0"/>
    <n v="8"/>
    <n v="33558"/>
    <n v="5"/>
    <n v="255040.8"/>
    <n v="2988.29"/>
  </r>
  <r>
    <s v="ORD01331"/>
    <x v="741"/>
    <x v="153"/>
    <x v="0"/>
    <s v="India"/>
    <s v="Karnataka"/>
    <s v="Ahmedabad"/>
    <s v="CUST6322"/>
    <x v="2"/>
    <x v="0"/>
    <s v="Table"/>
    <s v="Product_139"/>
    <s v="Amit"/>
    <x v="0"/>
    <s v="Credit Card"/>
    <x v="2"/>
    <n v="5"/>
    <n v="29002"/>
    <n v="5"/>
    <n v="137759.5"/>
    <n v="25982.13"/>
  </r>
  <r>
    <s v="ORD01332"/>
    <x v="72"/>
    <x v="72"/>
    <x v="2"/>
    <s v="India"/>
    <s v="Maharashtra"/>
    <s v="Mumbai"/>
    <s v="CUST6311"/>
    <x v="1"/>
    <x v="2"/>
    <s v="Printer"/>
    <s v="Product_129"/>
    <s v="Priya"/>
    <x v="0"/>
    <s v="Credit Card"/>
    <x v="3"/>
    <n v="9"/>
    <n v="34006"/>
    <n v="20"/>
    <n v="244843.2"/>
    <n v="-33783.360000000001"/>
  </r>
  <r>
    <s v="ORD01333"/>
    <x v="742"/>
    <x v="727"/>
    <x v="1"/>
    <s v="India"/>
    <s v="Gujarat"/>
    <s v="Ahmedabad"/>
    <s v="CUST6297"/>
    <x v="0"/>
    <x v="2"/>
    <s v="Table"/>
    <s v="Product_5"/>
    <s v="Amit"/>
    <x v="1"/>
    <s v="Credit Card"/>
    <x v="0"/>
    <n v="7"/>
    <n v="47951"/>
    <n v="5"/>
    <n v="318874.15000000002"/>
    <n v="13237.02"/>
  </r>
  <r>
    <s v="ORD01334"/>
    <x v="743"/>
    <x v="342"/>
    <x v="0"/>
    <s v="India"/>
    <s v="Tamil Nadu"/>
    <s v="Chennai"/>
    <s v="CUST7694"/>
    <x v="0"/>
    <x v="0"/>
    <s v="Mobile"/>
    <s v="Product_172"/>
    <s v="Neha"/>
    <x v="1"/>
    <s v="Credit Card"/>
    <x v="1"/>
    <n v="6"/>
    <n v="5475"/>
    <n v="15"/>
    <n v="27922.5"/>
    <n v="3680"/>
  </r>
  <r>
    <s v="ORD01335"/>
    <x v="16"/>
    <x v="728"/>
    <x v="2"/>
    <s v="India"/>
    <s v="Karnataka"/>
    <s v="Chennai"/>
    <s v="CUST2920"/>
    <x v="2"/>
    <x v="1"/>
    <s v="Printer"/>
    <s v="Product_139"/>
    <s v="Karan"/>
    <x v="0"/>
    <s v="Net Banking"/>
    <x v="2"/>
    <n v="5"/>
    <n v="29231"/>
    <n v="5"/>
    <n v="138847.25"/>
    <n v="20805.86"/>
  </r>
  <r>
    <s v="ORD01336"/>
    <x v="169"/>
    <x v="729"/>
    <x v="1"/>
    <s v="India"/>
    <s v="Gujarat"/>
    <s v="Bangalore"/>
    <s v="CUST7391"/>
    <x v="0"/>
    <x v="2"/>
    <s v="Mobile"/>
    <s v="Product_87"/>
    <s v="Karan"/>
    <x v="1"/>
    <s v="Debit Card"/>
    <x v="3"/>
    <n v="10"/>
    <n v="3831"/>
    <n v="20"/>
    <n v="30648"/>
    <n v="1278.82"/>
  </r>
  <r>
    <s v="ORD01337"/>
    <x v="345"/>
    <x v="730"/>
    <x v="2"/>
    <s v="India"/>
    <s v="Delhi"/>
    <s v="Chennai"/>
    <s v="CUST9023"/>
    <x v="2"/>
    <x v="0"/>
    <s v="Laptop"/>
    <s v="Product_117"/>
    <s v="Karan"/>
    <x v="0"/>
    <s v="UPI"/>
    <x v="2"/>
    <n v="10"/>
    <n v="16214"/>
    <n v="5"/>
    <n v="154033"/>
    <n v="30323.1"/>
  </r>
  <r>
    <s v="ORD01338"/>
    <x v="645"/>
    <x v="599"/>
    <x v="1"/>
    <s v="India"/>
    <s v="Gujarat"/>
    <s v="Chennai"/>
    <s v="CUST5437"/>
    <x v="0"/>
    <x v="2"/>
    <s v="Mobile"/>
    <s v="Product_147"/>
    <s v="Priya"/>
    <x v="0"/>
    <s v="Debit Card"/>
    <x v="1"/>
    <n v="3"/>
    <n v="35742"/>
    <n v="5"/>
    <n v="101864.7"/>
    <n v="15338.53"/>
  </r>
  <r>
    <s v="ORD01339"/>
    <x v="199"/>
    <x v="408"/>
    <x v="1"/>
    <s v="India"/>
    <s v="Maharashtra"/>
    <s v="Chennai"/>
    <s v="CUST1733"/>
    <x v="2"/>
    <x v="1"/>
    <s v="Laptop"/>
    <s v="Product_172"/>
    <s v="Karan"/>
    <x v="1"/>
    <s v="UPI"/>
    <x v="0"/>
    <n v="9"/>
    <n v="15365"/>
    <n v="20"/>
    <n v="110628"/>
    <n v="-6682.77"/>
  </r>
  <r>
    <s v="ORD01340"/>
    <x v="744"/>
    <x v="731"/>
    <x v="2"/>
    <s v="India"/>
    <s v="Gujarat"/>
    <s v="Mumbai"/>
    <s v="CUST4882"/>
    <x v="0"/>
    <x v="2"/>
    <s v="Mobile"/>
    <s v="Product_187"/>
    <s v="Amit"/>
    <x v="1"/>
    <s v="UPI"/>
    <x v="3"/>
    <n v="4"/>
    <n v="30907"/>
    <n v="5"/>
    <n v="117446.6"/>
    <n v="27706.17"/>
  </r>
  <r>
    <s v="ORD01341"/>
    <x v="349"/>
    <x v="732"/>
    <x v="1"/>
    <s v="India"/>
    <s v="Gujarat"/>
    <s v="Bangalore"/>
    <s v="CUST4416"/>
    <x v="1"/>
    <x v="0"/>
    <s v="Chair"/>
    <s v="Product_154"/>
    <s v="Sneha"/>
    <x v="1"/>
    <s v="Cash"/>
    <x v="3"/>
    <n v="8"/>
    <n v="9551"/>
    <n v="0"/>
    <n v="76408"/>
    <n v="9524.39"/>
  </r>
  <r>
    <s v="ORD01342"/>
    <x v="723"/>
    <x v="689"/>
    <x v="0"/>
    <s v="India"/>
    <s v="Maharashtra"/>
    <s v="Mumbai"/>
    <s v="CUST3343"/>
    <x v="2"/>
    <x v="1"/>
    <s v="Mobile"/>
    <s v="Product_130"/>
    <s v="Sneha"/>
    <x v="1"/>
    <s v="Debit Card"/>
    <x v="3"/>
    <n v="5"/>
    <n v="5592"/>
    <n v="20"/>
    <n v="22368"/>
    <n v="-4166.18"/>
  </r>
  <r>
    <s v="ORD01343"/>
    <x v="745"/>
    <x v="430"/>
    <x v="1"/>
    <s v="India"/>
    <s v="Karnataka"/>
    <s v="Bangalore"/>
    <s v="CUST7493"/>
    <x v="1"/>
    <x v="1"/>
    <s v="Laptop"/>
    <s v="Product_30"/>
    <s v="Rahul"/>
    <x v="1"/>
    <s v="Credit Card"/>
    <x v="2"/>
    <n v="10"/>
    <n v="22529"/>
    <n v="20"/>
    <n v="180232"/>
    <n v="-4456.46"/>
  </r>
  <r>
    <s v="ORD01344"/>
    <x v="158"/>
    <x v="502"/>
    <x v="2"/>
    <s v="India"/>
    <s v="Karnataka"/>
    <s v="Ahmedabad"/>
    <s v="CUST4018"/>
    <x v="0"/>
    <x v="1"/>
    <s v="Chair"/>
    <s v="Product_110"/>
    <s v="Rahul"/>
    <x v="0"/>
    <s v="Credit Card"/>
    <x v="0"/>
    <n v="5"/>
    <n v="1308"/>
    <n v="10"/>
    <n v="5886"/>
    <n v="1062.73"/>
  </r>
  <r>
    <s v="ORD01345"/>
    <x v="119"/>
    <x v="516"/>
    <x v="3"/>
    <s v="India"/>
    <s v="Maharashtra"/>
    <s v="Ahmedabad"/>
    <s v="CUST9687"/>
    <x v="2"/>
    <x v="1"/>
    <s v="Chair"/>
    <s v="Product_102"/>
    <s v="Neha"/>
    <x v="1"/>
    <s v="Debit Card"/>
    <x v="2"/>
    <n v="9"/>
    <n v="45485"/>
    <n v="10"/>
    <n v="368428.5"/>
    <n v="71824.350000000006"/>
  </r>
  <r>
    <s v="ORD01346"/>
    <x v="746"/>
    <x v="733"/>
    <x v="3"/>
    <s v="India"/>
    <s v="Gujarat"/>
    <s v="Ahmedabad"/>
    <s v="CUST1283"/>
    <x v="2"/>
    <x v="2"/>
    <s v="Mobile"/>
    <s v="Product_176"/>
    <s v="Karan"/>
    <x v="0"/>
    <s v="Net Banking"/>
    <x v="0"/>
    <n v="2"/>
    <n v="20128"/>
    <n v="15"/>
    <n v="34217.599999999999"/>
    <n v="-3730.06"/>
  </r>
  <r>
    <s v="ORD01347"/>
    <x v="105"/>
    <x v="405"/>
    <x v="3"/>
    <s v="India"/>
    <s v="Delhi"/>
    <s v="Ahmedabad"/>
    <s v="CUST6117"/>
    <x v="2"/>
    <x v="0"/>
    <s v="Mobile"/>
    <s v="Product_57"/>
    <s v="Priya"/>
    <x v="1"/>
    <s v="Debit Card"/>
    <x v="2"/>
    <n v="10"/>
    <n v="20669"/>
    <n v="5"/>
    <n v="196355.5"/>
    <n v="28042.97"/>
  </r>
  <r>
    <s v="ORD01348"/>
    <x v="455"/>
    <x v="734"/>
    <x v="2"/>
    <s v="India"/>
    <s v="Gujarat"/>
    <s v="Bangalore"/>
    <s v="CUST3732"/>
    <x v="1"/>
    <x v="1"/>
    <s v="Chair"/>
    <s v="Product_75"/>
    <s v="Amit"/>
    <x v="0"/>
    <s v="Net Banking"/>
    <x v="1"/>
    <n v="8"/>
    <n v="11832"/>
    <n v="20"/>
    <n v="75724.800000000003"/>
    <n v="7025.46"/>
  </r>
  <r>
    <s v="ORD01349"/>
    <x v="507"/>
    <x v="505"/>
    <x v="1"/>
    <s v="India"/>
    <s v="Gujarat"/>
    <s v="Mumbai"/>
    <s v="CUST4860"/>
    <x v="0"/>
    <x v="1"/>
    <s v="Storage"/>
    <s v="Product_167"/>
    <s v="Sneha"/>
    <x v="1"/>
    <s v="Credit Card"/>
    <x v="1"/>
    <n v="5"/>
    <n v="49984"/>
    <n v="20"/>
    <n v="199936"/>
    <n v="-10417.83"/>
  </r>
  <r>
    <s v="ORD01350"/>
    <x v="747"/>
    <x v="735"/>
    <x v="1"/>
    <s v="India"/>
    <s v="Maharashtra"/>
    <s v="Ahmedabad"/>
    <s v="CUST6616"/>
    <x v="2"/>
    <x v="1"/>
    <s v="Mobile"/>
    <s v="Product_196"/>
    <s v="Karan"/>
    <x v="0"/>
    <s v="Net Banking"/>
    <x v="3"/>
    <n v="9"/>
    <n v="42900"/>
    <n v="10"/>
    <n v="347490"/>
    <n v="63104.34"/>
  </r>
  <r>
    <s v="ORD01351"/>
    <x v="144"/>
    <x v="736"/>
    <x v="3"/>
    <s v="India"/>
    <s v="Tamil Nadu"/>
    <s v="Delhi"/>
    <s v="CUST1980"/>
    <x v="1"/>
    <x v="1"/>
    <s v="Laptop"/>
    <s v="Product_133"/>
    <s v="Neha"/>
    <x v="1"/>
    <s v="UPI"/>
    <x v="3"/>
    <n v="2"/>
    <n v="45267"/>
    <n v="10"/>
    <n v="81480.600000000006"/>
    <n v="3693.58"/>
  </r>
  <r>
    <s v="ORD01352"/>
    <x v="253"/>
    <x v="737"/>
    <x v="0"/>
    <s v="India"/>
    <s v="Tamil Nadu"/>
    <s v="Bangalore"/>
    <s v="CUST4183"/>
    <x v="2"/>
    <x v="2"/>
    <s v="Printer"/>
    <s v="Product_72"/>
    <s v="Karan"/>
    <x v="0"/>
    <s v="Net Banking"/>
    <x v="2"/>
    <n v="6"/>
    <n v="20967"/>
    <n v="20"/>
    <n v="100641.60000000001"/>
    <n v="-4476.78"/>
  </r>
  <r>
    <s v="ORD01353"/>
    <x v="748"/>
    <x v="441"/>
    <x v="0"/>
    <s v="India"/>
    <s v="Delhi"/>
    <s v="Bangalore"/>
    <s v="CUST6214"/>
    <x v="0"/>
    <x v="2"/>
    <s v="Laptop"/>
    <s v="Product_86"/>
    <s v="Priya"/>
    <x v="1"/>
    <s v="Debit Card"/>
    <x v="2"/>
    <n v="1"/>
    <n v="3485"/>
    <n v="20"/>
    <n v="2788"/>
    <n v="64.97"/>
  </r>
  <r>
    <s v="ORD01354"/>
    <x v="749"/>
    <x v="135"/>
    <x v="3"/>
    <s v="India"/>
    <s v="Delhi"/>
    <s v="Chennai"/>
    <s v="CUST6354"/>
    <x v="1"/>
    <x v="2"/>
    <s v="Printer"/>
    <s v="Product_111"/>
    <s v="Neha"/>
    <x v="1"/>
    <s v="Debit Card"/>
    <x v="1"/>
    <n v="6"/>
    <n v="17071"/>
    <n v="20"/>
    <n v="81940.800000000003"/>
    <n v="-2631.24"/>
  </r>
  <r>
    <s v="ORD01355"/>
    <x v="717"/>
    <x v="738"/>
    <x v="2"/>
    <s v="India"/>
    <s v="Delhi"/>
    <s v="Chennai"/>
    <s v="CUST6589"/>
    <x v="2"/>
    <x v="1"/>
    <s v="Chair"/>
    <s v="Product_16"/>
    <s v="Rahul"/>
    <x v="0"/>
    <s v="Net Banking"/>
    <x v="1"/>
    <n v="1"/>
    <n v="37157"/>
    <n v="5"/>
    <n v="35299.15"/>
    <n v="6312.43"/>
  </r>
  <r>
    <s v="ORD01356"/>
    <x v="75"/>
    <x v="739"/>
    <x v="2"/>
    <s v="India"/>
    <s v="Gujarat"/>
    <s v="Delhi"/>
    <s v="CUST9200"/>
    <x v="1"/>
    <x v="0"/>
    <s v="Laptop"/>
    <s v="Product_65"/>
    <s v="Priya"/>
    <x v="0"/>
    <s v="UPI"/>
    <x v="0"/>
    <n v="2"/>
    <n v="7585"/>
    <n v="10"/>
    <n v="13653"/>
    <n v="1236"/>
  </r>
  <r>
    <s v="ORD01357"/>
    <x v="203"/>
    <x v="740"/>
    <x v="3"/>
    <s v="India"/>
    <s v="Karnataka"/>
    <s v="Mumbai"/>
    <s v="CUST5530"/>
    <x v="1"/>
    <x v="1"/>
    <s v="Chair"/>
    <s v="Product_63"/>
    <s v="Rahul"/>
    <x v="1"/>
    <s v="Credit Card"/>
    <x v="3"/>
    <n v="2"/>
    <n v="14249"/>
    <n v="15"/>
    <n v="24223.3"/>
    <n v="-2312.11"/>
  </r>
  <r>
    <s v="ORD01358"/>
    <x v="692"/>
    <x v="167"/>
    <x v="0"/>
    <s v="India"/>
    <s v="Maharashtra"/>
    <s v="Chennai"/>
    <s v="CUST4523"/>
    <x v="2"/>
    <x v="1"/>
    <s v="Storage"/>
    <s v="Product_149"/>
    <s v="Amit"/>
    <x v="1"/>
    <s v="Cash"/>
    <x v="0"/>
    <n v="5"/>
    <n v="43670"/>
    <n v="20"/>
    <n v="174680"/>
    <n v="-29906.959999999999"/>
  </r>
  <r>
    <s v="ORD01359"/>
    <x v="750"/>
    <x v="741"/>
    <x v="1"/>
    <s v="India"/>
    <s v="Karnataka"/>
    <s v="Bangalore"/>
    <s v="CUST1938"/>
    <x v="0"/>
    <x v="1"/>
    <s v="Storage"/>
    <s v="Product_186"/>
    <s v="Rahul"/>
    <x v="0"/>
    <s v="Net Banking"/>
    <x v="1"/>
    <n v="7"/>
    <n v="8136"/>
    <n v="10"/>
    <n v="51256.800000000003"/>
    <n v="4137.21"/>
  </r>
  <r>
    <s v="ORD01360"/>
    <x v="350"/>
    <x v="678"/>
    <x v="3"/>
    <s v="India"/>
    <s v="Karnataka"/>
    <s v="Delhi"/>
    <s v="CUST4202"/>
    <x v="0"/>
    <x v="0"/>
    <s v="Printer"/>
    <s v="Product_129"/>
    <s v="Rahul"/>
    <x v="0"/>
    <s v="Debit Card"/>
    <x v="0"/>
    <n v="7"/>
    <n v="12549"/>
    <n v="20"/>
    <n v="70274.399999999994"/>
    <n v="-2895.57"/>
  </r>
  <r>
    <s v="ORD01361"/>
    <x v="375"/>
    <x v="742"/>
    <x v="2"/>
    <s v="India"/>
    <s v="Karnataka"/>
    <s v="Delhi"/>
    <s v="CUST8403"/>
    <x v="2"/>
    <x v="0"/>
    <s v="Laptop"/>
    <s v="Product_96"/>
    <s v="Sneha"/>
    <x v="1"/>
    <s v="Net Banking"/>
    <x v="0"/>
    <n v="1"/>
    <n v="44483"/>
    <n v="20"/>
    <n v="35586.400000000001"/>
    <n v="-4727.3999999999996"/>
  </r>
  <r>
    <s v="ORD01362"/>
    <x v="484"/>
    <x v="481"/>
    <x v="2"/>
    <s v="India"/>
    <s v="Maharashtra"/>
    <s v="Bangalore"/>
    <s v="CUST3420"/>
    <x v="0"/>
    <x v="0"/>
    <s v="Table"/>
    <s v="Product_19"/>
    <s v="Rahul"/>
    <x v="1"/>
    <s v="UPI"/>
    <x v="1"/>
    <n v="9"/>
    <n v="41294"/>
    <n v="0"/>
    <n v="371646"/>
    <n v="34877.18"/>
  </r>
  <r>
    <s v="ORD01363"/>
    <x v="34"/>
    <x v="319"/>
    <x v="1"/>
    <s v="India"/>
    <s v="Delhi"/>
    <s v="Ahmedabad"/>
    <s v="CUST2958"/>
    <x v="0"/>
    <x v="2"/>
    <s v="Laptop"/>
    <s v="Product_164"/>
    <s v="Neha"/>
    <x v="1"/>
    <s v="Credit Card"/>
    <x v="3"/>
    <n v="2"/>
    <n v="37935"/>
    <n v="20"/>
    <n v="60696"/>
    <n v="-11359.31"/>
  </r>
  <r>
    <s v="ORD01364"/>
    <x v="751"/>
    <x v="743"/>
    <x v="2"/>
    <s v="India"/>
    <s v="Gujarat"/>
    <s v="Bangalore"/>
    <s v="CUST1344"/>
    <x v="1"/>
    <x v="1"/>
    <s v="Mobile"/>
    <s v="Product_123"/>
    <s v="Neha"/>
    <x v="0"/>
    <s v="Credit Card"/>
    <x v="0"/>
    <n v="8"/>
    <n v="29686"/>
    <n v="5"/>
    <n v="225613.6"/>
    <n v="33800.32"/>
  </r>
  <r>
    <s v="ORD01365"/>
    <x v="138"/>
    <x v="444"/>
    <x v="2"/>
    <s v="India"/>
    <s v="Tamil Nadu"/>
    <s v="Chennai"/>
    <s v="CUST5652"/>
    <x v="2"/>
    <x v="0"/>
    <s v="Table"/>
    <s v="Product_167"/>
    <s v="Karan"/>
    <x v="1"/>
    <s v="Credit Card"/>
    <x v="0"/>
    <n v="7"/>
    <n v="46233"/>
    <n v="20"/>
    <n v="258904.8"/>
    <n v="13004.51"/>
  </r>
  <r>
    <s v="ORD01366"/>
    <x v="46"/>
    <x v="454"/>
    <x v="3"/>
    <s v="India"/>
    <s v="Delhi"/>
    <s v="Bangalore"/>
    <s v="CUST1841"/>
    <x v="1"/>
    <x v="1"/>
    <s v="Chair"/>
    <s v="Product_99"/>
    <s v="Rahul"/>
    <x v="1"/>
    <s v="UPI"/>
    <x v="0"/>
    <n v="1"/>
    <n v="11319"/>
    <n v="15"/>
    <n v="9621.15"/>
    <n v="1183.8699999999999"/>
  </r>
  <r>
    <s v="ORD01367"/>
    <x v="574"/>
    <x v="147"/>
    <x v="3"/>
    <s v="India"/>
    <s v="Karnataka"/>
    <s v="Bangalore"/>
    <s v="CUST5213"/>
    <x v="2"/>
    <x v="2"/>
    <s v="Table"/>
    <s v="Product_185"/>
    <s v="Neha"/>
    <x v="0"/>
    <s v="Cash"/>
    <x v="0"/>
    <n v="4"/>
    <n v="38465"/>
    <n v="5"/>
    <n v="146167"/>
    <n v="13576.05"/>
  </r>
  <r>
    <s v="ORD01368"/>
    <x v="282"/>
    <x v="404"/>
    <x v="2"/>
    <s v="India"/>
    <s v="Karnataka"/>
    <s v="Mumbai"/>
    <s v="CUST3775"/>
    <x v="2"/>
    <x v="1"/>
    <s v="Laptop"/>
    <s v="Product_126"/>
    <s v="Neha"/>
    <x v="0"/>
    <s v="UPI"/>
    <x v="0"/>
    <n v="6"/>
    <n v="18167"/>
    <n v="5"/>
    <n v="103551.9"/>
    <n v="16609.240000000002"/>
  </r>
  <r>
    <s v="ORD01369"/>
    <x v="53"/>
    <x v="744"/>
    <x v="0"/>
    <s v="India"/>
    <s v="Maharashtra"/>
    <s v="Mumbai"/>
    <s v="CUST9445"/>
    <x v="1"/>
    <x v="1"/>
    <s v="Printer"/>
    <s v="Product_149"/>
    <s v="Neha"/>
    <x v="0"/>
    <s v="Credit Card"/>
    <x v="0"/>
    <n v="1"/>
    <n v="20282"/>
    <n v="20"/>
    <n v="16225.6"/>
    <n v="580.03"/>
  </r>
  <r>
    <s v="ORD01370"/>
    <x v="119"/>
    <x v="550"/>
    <x v="3"/>
    <s v="India"/>
    <s v="Maharashtra"/>
    <s v="Mumbai"/>
    <s v="CUST7943"/>
    <x v="1"/>
    <x v="0"/>
    <s v="Storage"/>
    <s v="Product_115"/>
    <s v="Neha"/>
    <x v="0"/>
    <s v="Cash"/>
    <x v="1"/>
    <n v="6"/>
    <n v="27523"/>
    <n v="15"/>
    <n v="140367.29999999999"/>
    <n v="-13752.63"/>
  </r>
  <r>
    <s v="ORD01371"/>
    <x v="279"/>
    <x v="565"/>
    <x v="0"/>
    <s v="India"/>
    <s v="Delhi"/>
    <s v="Mumbai"/>
    <s v="CUST3783"/>
    <x v="1"/>
    <x v="1"/>
    <s v="Mobile"/>
    <s v="Product_154"/>
    <s v="Sneha"/>
    <x v="0"/>
    <s v="Net Banking"/>
    <x v="2"/>
    <n v="9"/>
    <n v="31556"/>
    <n v="15"/>
    <n v="241403.4"/>
    <n v="-22454.67"/>
  </r>
  <r>
    <s v="ORD01372"/>
    <x v="555"/>
    <x v="732"/>
    <x v="2"/>
    <s v="India"/>
    <s v="Karnataka"/>
    <s v="Delhi"/>
    <s v="CUST3260"/>
    <x v="0"/>
    <x v="1"/>
    <s v="Chair"/>
    <s v="Product_12"/>
    <s v="Karan"/>
    <x v="1"/>
    <s v="Debit Card"/>
    <x v="2"/>
    <n v="2"/>
    <n v="24043"/>
    <n v="15"/>
    <n v="40873.1"/>
    <n v="-460.32"/>
  </r>
  <r>
    <s v="ORD01373"/>
    <x v="752"/>
    <x v="745"/>
    <x v="1"/>
    <s v="India"/>
    <s v="Maharashtra"/>
    <s v="Bangalore"/>
    <s v="CUST1500"/>
    <x v="1"/>
    <x v="1"/>
    <s v="Chair"/>
    <s v="Product_44"/>
    <s v="Sneha"/>
    <x v="0"/>
    <s v="Debit Card"/>
    <x v="3"/>
    <n v="7"/>
    <n v="19483"/>
    <n v="5"/>
    <n v="129561.95"/>
    <n v="27125.919999999998"/>
  </r>
  <r>
    <s v="ORD01374"/>
    <x v="608"/>
    <x v="514"/>
    <x v="1"/>
    <s v="India"/>
    <s v="Maharashtra"/>
    <s v="Mumbai"/>
    <s v="CUST5864"/>
    <x v="1"/>
    <x v="2"/>
    <s v="Chair"/>
    <s v="Product_90"/>
    <s v="Amit"/>
    <x v="1"/>
    <s v="UPI"/>
    <x v="0"/>
    <n v="1"/>
    <n v="19400"/>
    <n v="15"/>
    <n v="16490"/>
    <n v="2447.4899999999998"/>
  </r>
  <r>
    <s v="ORD01375"/>
    <x v="720"/>
    <x v="746"/>
    <x v="3"/>
    <s v="India"/>
    <s v="Delhi"/>
    <s v="Ahmedabad"/>
    <s v="CUST7895"/>
    <x v="1"/>
    <x v="0"/>
    <s v="Laptop"/>
    <s v="Product_182"/>
    <s v="Rahul"/>
    <x v="1"/>
    <s v="UPI"/>
    <x v="0"/>
    <n v="4"/>
    <n v="25009"/>
    <n v="5"/>
    <n v="95034.2"/>
    <n v="14537.24"/>
  </r>
  <r>
    <s v="ORD01376"/>
    <x v="85"/>
    <x v="517"/>
    <x v="0"/>
    <s v="India"/>
    <s v="Gujarat"/>
    <s v="Bangalore"/>
    <s v="CUST4179"/>
    <x v="2"/>
    <x v="2"/>
    <s v="Laptop"/>
    <s v="Product_134"/>
    <s v="Neha"/>
    <x v="0"/>
    <s v="Net Banking"/>
    <x v="2"/>
    <n v="6"/>
    <n v="11402"/>
    <n v="20"/>
    <n v="54729.599999999999"/>
    <n v="6804.15"/>
  </r>
  <r>
    <s v="ORD01377"/>
    <x v="485"/>
    <x v="715"/>
    <x v="1"/>
    <s v="India"/>
    <s v="Gujarat"/>
    <s v="Delhi"/>
    <s v="CUST5686"/>
    <x v="1"/>
    <x v="1"/>
    <s v="Storage"/>
    <s v="Product_101"/>
    <s v="Neha"/>
    <x v="0"/>
    <s v="Credit Card"/>
    <x v="2"/>
    <n v="8"/>
    <n v="31262"/>
    <n v="0"/>
    <n v="250096"/>
    <n v="13717.51"/>
  </r>
  <r>
    <s v="ORD01378"/>
    <x v="753"/>
    <x v="747"/>
    <x v="2"/>
    <s v="India"/>
    <s v="Karnataka"/>
    <s v="Chennai"/>
    <s v="CUST4381"/>
    <x v="1"/>
    <x v="0"/>
    <s v="Mobile"/>
    <s v="Product_169"/>
    <s v="Rahul"/>
    <x v="0"/>
    <s v="Cash"/>
    <x v="2"/>
    <n v="2"/>
    <n v="17307"/>
    <n v="0"/>
    <n v="34614"/>
    <n v="3293.46"/>
  </r>
  <r>
    <s v="ORD01379"/>
    <x v="538"/>
    <x v="358"/>
    <x v="2"/>
    <s v="India"/>
    <s v="Maharashtra"/>
    <s v="Delhi"/>
    <s v="CUST2128"/>
    <x v="1"/>
    <x v="0"/>
    <s v="Storage"/>
    <s v="Product_30"/>
    <s v="Neha"/>
    <x v="0"/>
    <s v="Net Banking"/>
    <x v="2"/>
    <n v="4"/>
    <n v="24179"/>
    <n v="10"/>
    <n v="87044.4"/>
    <n v="14385.7"/>
  </r>
  <r>
    <s v="ORD01380"/>
    <x v="53"/>
    <x v="53"/>
    <x v="1"/>
    <s v="India"/>
    <s v="Delhi"/>
    <s v="Chennai"/>
    <s v="CUST2920"/>
    <x v="2"/>
    <x v="2"/>
    <s v="Mobile"/>
    <s v="Product_160"/>
    <s v="Amit"/>
    <x v="0"/>
    <s v="Cash"/>
    <x v="3"/>
    <n v="1"/>
    <n v="23202"/>
    <n v="15"/>
    <n v="19721.7"/>
    <n v="-2147.61"/>
  </r>
  <r>
    <s v="ORD01381"/>
    <x v="652"/>
    <x v="748"/>
    <x v="1"/>
    <s v="India"/>
    <s v="Gujarat"/>
    <s v="Chennai"/>
    <s v="CUST5392"/>
    <x v="0"/>
    <x v="1"/>
    <s v="Table"/>
    <s v="Product_113"/>
    <s v="Sneha"/>
    <x v="0"/>
    <s v="Debit Card"/>
    <x v="1"/>
    <n v="10"/>
    <n v="46600"/>
    <n v="20"/>
    <n v="372800"/>
    <n v="29107.34"/>
  </r>
  <r>
    <s v="ORD01382"/>
    <x v="624"/>
    <x v="336"/>
    <x v="1"/>
    <s v="India"/>
    <s v="Gujarat"/>
    <s v="Ahmedabad"/>
    <s v="CUST5974"/>
    <x v="1"/>
    <x v="0"/>
    <s v="Printer"/>
    <s v="Product_161"/>
    <s v="Priya"/>
    <x v="0"/>
    <s v="Net Banking"/>
    <x v="2"/>
    <n v="8"/>
    <n v="26977"/>
    <n v="5"/>
    <n v="205025.2"/>
    <n v="4608.7299999999996"/>
  </r>
  <r>
    <s v="ORD01383"/>
    <x v="534"/>
    <x v="472"/>
    <x v="0"/>
    <s v="India"/>
    <s v="Tamil Nadu"/>
    <s v="Chennai"/>
    <s v="CUST6813"/>
    <x v="1"/>
    <x v="2"/>
    <s v="Storage"/>
    <s v="Product_143"/>
    <s v="Amit"/>
    <x v="1"/>
    <s v="Debit Card"/>
    <x v="1"/>
    <n v="5"/>
    <n v="5390"/>
    <n v="10"/>
    <n v="24255"/>
    <n v="2521.4499999999998"/>
  </r>
  <r>
    <s v="ORD01384"/>
    <x v="677"/>
    <x v="22"/>
    <x v="3"/>
    <s v="India"/>
    <s v="Maharashtra"/>
    <s v="Delhi"/>
    <s v="CUST1829"/>
    <x v="1"/>
    <x v="2"/>
    <s v="Printer"/>
    <s v="Product_9"/>
    <s v="Amit"/>
    <x v="1"/>
    <s v="Credit Card"/>
    <x v="1"/>
    <n v="7"/>
    <n v="47655"/>
    <n v="5"/>
    <n v="316905.75"/>
    <n v="23238.83"/>
  </r>
  <r>
    <s v="ORD01385"/>
    <x v="326"/>
    <x v="749"/>
    <x v="1"/>
    <s v="India"/>
    <s v="Delhi"/>
    <s v="Mumbai"/>
    <s v="CUST4840"/>
    <x v="0"/>
    <x v="2"/>
    <s v="Printer"/>
    <s v="Product_37"/>
    <s v="Priya"/>
    <x v="1"/>
    <s v="Cash"/>
    <x v="0"/>
    <n v="6"/>
    <n v="44473"/>
    <n v="10"/>
    <n v="240154.2"/>
    <n v="40585.11"/>
  </r>
  <r>
    <s v="ORD01386"/>
    <x v="273"/>
    <x v="409"/>
    <x v="0"/>
    <s v="India"/>
    <s v="Tamil Nadu"/>
    <s v="Ahmedabad"/>
    <s v="CUST1914"/>
    <x v="2"/>
    <x v="1"/>
    <s v="Chair"/>
    <s v="Product_175"/>
    <s v="Amit"/>
    <x v="1"/>
    <s v="Debit Card"/>
    <x v="3"/>
    <n v="9"/>
    <n v="28181"/>
    <n v="0"/>
    <n v="253629"/>
    <n v="58475.14"/>
  </r>
  <r>
    <s v="ORD01387"/>
    <x v="754"/>
    <x v="750"/>
    <x v="2"/>
    <s v="India"/>
    <s v="Tamil Nadu"/>
    <s v="Delhi"/>
    <s v="CUST9158"/>
    <x v="1"/>
    <x v="0"/>
    <s v="Printer"/>
    <s v="Product_198"/>
    <s v="Rahul"/>
    <x v="1"/>
    <s v="UPI"/>
    <x v="3"/>
    <n v="10"/>
    <n v="11009"/>
    <n v="5"/>
    <n v="104585.5"/>
    <n v="11682.46"/>
  </r>
  <r>
    <s v="ORD01388"/>
    <x v="541"/>
    <x v="75"/>
    <x v="3"/>
    <s v="India"/>
    <s v="Maharashtra"/>
    <s v="Delhi"/>
    <s v="CUST5073"/>
    <x v="1"/>
    <x v="0"/>
    <s v="Mobile"/>
    <s v="Product_128"/>
    <s v="Sneha"/>
    <x v="1"/>
    <s v="Net Banking"/>
    <x v="2"/>
    <n v="9"/>
    <n v="49644"/>
    <n v="15"/>
    <n v="379776.6"/>
    <n v="-33233.339999999997"/>
  </r>
  <r>
    <s v="ORD01389"/>
    <x v="755"/>
    <x v="433"/>
    <x v="0"/>
    <s v="India"/>
    <s v="Gujarat"/>
    <s v="Delhi"/>
    <s v="CUST9604"/>
    <x v="2"/>
    <x v="1"/>
    <s v="Table"/>
    <s v="Product_62"/>
    <s v="Amit"/>
    <x v="1"/>
    <s v="Cash"/>
    <x v="1"/>
    <n v="4"/>
    <n v="20906"/>
    <n v="15"/>
    <n v="71080.399999999994"/>
    <n v="49.11"/>
  </r>
  <r>
    <s v="ORD01390"/>
    <x v="756"/>
    <x v="739"/>
    <x v="1"/>
    <s v="India"/>
    <s v="Karnataka"/>
    <s v="Mumbai"/>
    <s v="CUST7592"/>
    <x v="2"/>
    <x v="0"/>
    <s v="Table"/>
    <s v="Product_70"/>
    <s v="Amit"/>
    <x v="0"/>
    <s v="Net Banking"/>
    <x v="3"/>
    <n v="3"/>
    <n v="49345"/>
    <n v="5"/>
    <n v="140633.25"/>
    <n v="6967.79"/>
  </r>
  <r>
    <s v="ORD01391"/>
    <x v="757"/>
    <x v="600"/>
    <x v="0"/>
    <s v="India"/>
    <s v="Maharashtra"/>
    <s v="Bangalore"/>
    <s v="CUST4609"/>
    <x v="2"/>
    <x v="2"/>
    <s v="Laptop"/>
    <s v="Product_120"/>
    <s v="Amit"/>
    <x v="1"/>
    <s v="Credit Card"/>
    <x v="2"/>
    <n v="7"/>
    <n v="48636"/>
    <n v="15"/>
    <n v="289384.2"/>
    <n v="-7868.93"/>
  </r>
  <r>
    <s v="ORD01392"/>
    <x v="462"/>
    <x v="751"/>
    <x v="1"/>
    <s v="India"/>
    <s v="Tamil Nadu"/>
    <s v="Mumbai"/>
    <s v="CUST3472"/>
    <x v="2"/>
    <x v="0"/>
    <s v="Table"/>
    <s v="Product_120"/>
    <s v="Neha"/>
    <x v="1"/>
    <s v="Cash"/>
    <x v="3"/>
    <n v="7"/>
    <n v="40031"/>
    <n v="10"/>
    <n v="252195.3"/>
    <n v="54293.1"/>
  </r>
  <r>
    <s v="ORD01393"/>
    <x v="364"/>
    <x v="663"/>
    <x v="1"/>
    <s v="India"/>
    <s v="Gujarat"/>
    <s v="Chennai"/>
    <s v="CUST9826"/>
    <x v="1"/>
    <x v="2"/>
    <s v="Laptop"/>
    <s v="Product_64"/>
    <s v="Neha"/>
    <x v="1"/>
    <s v="UPI"/>
    <x v="1"/>
    <n v="7"/>
    <n v="28533"/>
    <n v="15"/>
    <n v="169771.35"/>
    <n v="-9818.2900000000009"/>
  </r>
  <r>
    <s v="ORD01394"/>
    <x v="175"/>
    <x v="650"/>
    <x v="3"/>
    <s v="India"/>
    <s v="Karnataka"/>
    <s v="Bangalore"/>
    <s v="CUST8056"/>
    <x v="2"/>
    <x v="0"/>
    <s v="Laptop"/>
    <s v="Product_75"/>
    <s v="Neha"/>
    <x v="0"/>
    <s v="Net Banking"/>
    <x v="1"/>
    <n v="8"/>
    <n v="16041"/>
    <n v="20"/>
    <n v="102662.39999999999"/>
    <n v="-5866.03"/>
  </r>
  <r>
    <s v="ORD01395"/>
    <x v="89"/>
    <x v="497"/>
    <x v="0"/>
    <s v="India"/>
    <s v="Karnataka"/>
    <s v="Delhi"/>
    <s v="CUST8844"/>
    <x v="0"/>
    <x v="1"/>
    <s v="Storage"/>
    <s v="Product_178"/>
    <s v="Neha"/>
    <x v="0"/>
    <s v="Net Banking"/>
    <x v="1"/>
    <n v="2"/>
    <n v="29195"/>
    <n v="5"/>
    <n v="55470.5"/>
    <n v="6621.14"/>
  </r>
  <r>
    <s v="ORD01396"/>
    <x v="352"/>
    <x v="47"/>
    <x v="2"/>
    <s v="India"/>
    <s v="Delhi"/>
    <s v="Mumbai"/>
    <s v="CUST3691"/>
    <x v="2"/>
    <x v="0"/>
    <s v="Table"/>
    <s v="Product_50"/>
    <s v="Karan"/>
    <x v="1"/>
    <s v="UPI"/>
    <x v="3"/>
    <n v="6"/>
    <n v="21229"/>
    <n v="10"/>
    <n v="114636.6"/>
    <n v="15159.07"/>
  </r>
  <r>
    <s v="ORD01397"/>
    <x v="250"/>
    <x v="179"/>
    <x v="2"/>
    <s v="India"/>
    <s v="Karnataka"/>
    <s v="Chennai"/>
    <s v="CUST6437"/>
    <x v="0"/>
    <x v="2"/>
    <s v="Laptop"/>
    <s v="Product_200"/>
    <s v="Sneha"/>
    <x v="1"/>
    <s v="UPI"/>
    <x v="1"/>
    <n v="6"/>
    <n v="4046"/>
    <n v="5"/>
    <n v="23062.2"/>
    <n v="3840.59"/>
  </r>
  <r>
    <s v="ORD01398"/>
    <x v="758"/>
    <x v="752"/>
    <x v="3"/>
    <s v="India"/>
    <s v="Maharashtra"/>
    <s v="Chennai"/>
    <s v="CUST9691"/>
    <x v="1"/>
    <x v="0"/>
    <s v="Laptop"/>
    <s v="Product_103"/>
    <s v="Neha"/>
    <x v="1"/>
    <s v="UPI"/>
    <x v="2"/>
    <n v="1"/>
    <n v="5941"/>
    <n v="0"/>
    <n v="5941"/>
    <n v="621.11"/>
  </r>
  <r>
    <s v="ORD01399"/>
    <x v="313"/>
    <x v="314"/>
    <x v="3"/>
    <s v="India"/>
    <s v="Karnataka"/>
    <s v="Mumbai"/>
    <s v="CUST6860"/>
    <x v="1"/>
    <x v="2"/>
    <s v="Laptop"/>
    <s v="Product_115"/>
    <s v="Karan"/>
    <x v="1"/>
    <s v="Cash"/>
    <x v="2"/>
    <n v="5"/>
    <n v="24927"/>
    <n v="0"/>
    <n v="124635"/>
    <n v="25913.67"/>
  </r>
  <r>
    <s v="ORD01400"/>
    <x v="759"/>
    <x v="252"/>
    <x v="1"/>
    <s v="India"/>
    <s v="Karnataka"/>
    <s v="Mumbai"/>
    <s v="CUST9244"/>
    <x v="2"/>
    <x v="1"/>
    <s v="Laptop"/>
    <s v="Product_52"/>
    <s v="Sneha"/>
    <x v="1"/>
    <s v="Cash"/>
    <x v="2"/>
    <n v="8"/>
    <n v="34187"/>
    <n v="15"/>
    <n v="232471.6"/>
    <n v="30544.71"/>
  </r>
  <r>
    <s v="ORD01401"/>
    <x v="569"/>
    <x v="290"/>
    <x v="3"/>
    <s v="India"/>
    <s v="Maharashtra"/>
    <s v="Bangalore"/>
    <s v="CUST6846"/>
    <x v="1"/>
    <x v="1"/>
    <s v="Storage"/>
    <s v="Product_118"/>
    <s v="Priya"/>
    <x v="1"/>
    <s v="Debit Card"/>
    <x v="3"/>
    <n v="7"/>
    <n v="39947"/>
    <n v="5"/>
    <n v="265647.55"/>
    <n v="23688.48"/>
  </r>
  <r>
    <s v="ORD01402"/>
    <x v="249"/>
    <x v="753"/>
    <x v="3"/>
    <s v="India"/>
    <s v="Tamil Nadu"/>
    <s v="Chennai"/>
    <s v="CUST2072"/>
    <x v="2"/>
    <x v="2"/>
    <s v="Laptop"/>
    <s v="Product_58"/>
    <s v="Priya"/>
    <x v="0"/>
    <s v="Credit Card"/>
    <x v="3"/>
    <n v="8"/>
    <n v="25205"/>
    <n v="5"/>
    <n v="191558"/>
    <n v="18341.599999999999"/>
  </r>
  <r>
    <s v="ORD01403"/>
    <x v="82"/>
    <x v="331"/>
    <x v="0"/>
    <s v="India"/>
    <s v="Tamil Nadu"/>
    <s v="Bangalore"/>
    <s v="CUST1327"/>
    <x v="2"/>
    <x v="2"/>
    <s v="Chair"/>
    <s v="Product_85"/>
    <s v="Priya"/>
    <x v="1"/>
    <s v="Cash"/>
    <x v="3"/>
    <n v="3"/>
    <n v="25739"/>
    <n v="0"/>
    <n v="77217"/>
    <n v="19453.25"/>
  </r>
  <r>
    <s v="ORD01404"/>
    <x v="557"/>
    <x v="604"/>
    <x v="0"/>
    <s v="India"/>
    <s v="Karnataka"/>
    <s v="Chennai"/>
    <s v="CUST2213"/>
    <x v="0"/>
    <x v="2"/>
    <s v="Storage"/>
    <s v="Product_7"/>
    <s v="Sneha"/>
    <x v="0"/>
    <s v="UPI"/>
    <x v="2"/>
    <n v="1"/>
    <n v="16536"/>
    <n v="20"/>
    <n v="13228.8"/>
    <n v="193.64"/>
  </r>
  <r>
    <s v="ORD01405"/>
    <x v="197"/>
    <x v="419"/>
    <x v="3"/>
    <s v="India"/>
    <s v="Karnataka"/>
    <s v="Mumbai"/>
    <s v="CUST7572"/>
    <x v="2"/>
    <x v="1"/>
    <s v="Storage"/>
    <s v="Product_73"/>
    <s v="Neha"/>
    <x v="1"/>
    <s v="Net Banking"/>
    <x v="2"/>
    <n v="7"/>
    <n v="2552"/>
    <n v="10"/>
    <n v="16077.6"/>
    <n v="2693.18"/>
  </r>
  <r>
    <s v="ORD01406"/>
    <x v="153"/>
    <x v="149"/>
    <x v="1"/>
    <s v="India"/>
    <s v="Gujarat"/>
    <s v="Chennai"/>
    <s v="CUST3923"/>
    <x v="1"/>
    <x v="1"/>
    <s v="Storage"/>
    <s v="Product_182"/>
    <s v="Karan"/>
    <x v="0"/>
    <s v="Net Banking"/>
    <x v="0"/>
    <n v="6"/>
    <n v="26730"/>
    <n v="15"/>
    <n v="136323"/>
    <n v="-6361.61"/>
  </r>
  <r>
    <s v="ORD01407"/>
    <x v="348"/>
    <x v="631"/>
    <x v="1"/>
    <s v="India"/>
    <s v="Maharashtra"/>
    <s v="Bangalore"/>
    <s v="CUST5737"/>
    <x v="0"/>
    <x v="2"/>
    <s v="Table"/>
    <s v="Product_77"/>
    <s v="Neha"/>
    <x v="0"/>
    <s v="UPI"/>
    <x v="0"/>
    <n v="5"/>
    <n v="13527"/>
    <n v="15"/>
    <n v="57489.75"/>
    <n v="4647.4799999999996"/>
  </r>
  <r>
    <s v="ORD01408"/>
    <x v="760"/>
    <x v="74"/>
    <x v="2"/>
    <s v="India"/>
    <s v="Tamil Nadu"/>
    <s v="Delhi"/>
    <s v="CUST3013"/>
    <x v="1"/>
    <x v="1"/>
    <s v="Storage"/>
    <s v="Product_124"/>
    <s v="Neha"/>
    <x v="0"/>
    <s v="UPI"/>
    <x v="1"/>
    <n v="2"/>
    <n v="36452"/>
    <n v="15"/>
    <n v="61968.4"/>
    <n v="10737.94"/>
  </r>
  <r>
    <s v="ORD01409"/>
    <x v="760"/>
    <x v="754"/>
    <x v="2"/>
    <s v="India"/>
    <s v="Delhi"/>
    <s v="Ahmedabad"/>
    <s v="CUST2615"/>
    <x v="2"/>
    <x v="0"/>
    <s v="Printer"/>
    <s v="Product_141"/>
    <s v="Neha"/>
    <x v="1"/>
    <s v="UPI"/>
    <x v="0"/>
    <n v="5"/>
    <n v="22723"/>
    <n v="5"/>
    <n v="107934.25"/>
    <n v="21875.71"/>
  </r>
  <r>
    <s v="ORD01410"/>
    <x v="241"/>
    <x v="235"/>
    <x v="2"/>
    <s v="India"/>
    <s v="Tamil Nadu"/>
    <s v="Ahmedabad"/>
    <s v="CUST6853"/>
    <x v="1"/>
    <x v="0"/>
    <s v="Chair"/>
    <s v="Product_168"/>
    <s v="Rahul"/>
    <x v="1"/>
    <s v="Net Banking"/>
    <x v="3"/>
    <n v="5"/>
    <n v="3432"/>
    <n v="5"/>
    <n v="16302"/>
    <n v="343.48"/>
  </r>
  <r>
    <s v="ORD01411"/>
    <x v="189"/>
    <x v="618"/>
    <x v="3"/>
    <s v="India"/>
    <s v="Karnataka"/>
    <s v="Mumbai"/>
    <s v="CUST2633"/>
    <x v="0"/>
    <x v="0"/>
    <s v="Storage"/>
    <s v="Product_48"/>
    <s v="Priya"/>
    <x v="0"/>
    <s v="Net Banking"/>
    <x v="0"/>
    <n v="3"/>
    <n v="28048"/>
    <n v="10"/>
    <n v="75729.600000000006"/>
    <n v="11526.14"/>
  </r>
  <r>
    <s v="ORD01412"/>
    <x v="518"/>
    <x v="755"/>
    <x v="0"/>
    <s v="India"/>
    <s v="Maharashtra"/>
    <s v="Delhi"/>
    <s v="CUST3871"/>
    <x v="1"/>
    <x v="2"/>
    <s v="Chair"/>
    <s v="Product_33"/>
    <s v="Amit"/>
    <x v="1"/>
    <s v="Cash"/>
    <x v="1"/>
    <n v="6"/>
    <n v="24269"/>
    <n v="20"/>
    <n v="116491.2"/>
    <n v="-12196.05"/>
  </r>
  <r>
    <s v="ORD01413"/>
    <x v="268"/>
    <x v="704"/>
    <x v="2"/>
    <s v="India"/>
    <s v="Tamil Nadu"/>
    <s v="Bangalore"/>
    <s v="CUST2731"/>
    <x v="2"/>
    <x v="0"/>
    <s v="Laptop"/>
    <s v="Product_14"/>
    <s v="Neha"/>
    <x v="0"/>
    <s v="Credit Card"/>
    <x v="0"/>
    <n v="3"/>
    <n v="31416"/>
    <n v="10"/>
    <n v="84823.2"/>
    <n v="14221.5"/>
  </r>
  <r>
    <s v="ORD01414"/>
    <x v="761"/>
    <x v="187"/>
    <x v="3"/>
    <s v="India"/>
    <s v="Delhi"/>
    <s v="Delhi"/>
    <s v="CUST9948"/>
    <x v="0"/>
    <x v="0"/>
    <s v="Laptop"/>
    <s v="Product_73"/>
    <s v="Sneha"/>
    <x v="0"/>
    <s v="Credit Card"/>
    <x v="0"/>
    <n v="2"/>
    <n v="21176"/>
    <n v="0"/>
    <n v="42352"/>
    <n v="11236.6"/>
  </r>
  <r>
    <s v="ORD01415"/>
    <x v="241"/>
    <x v="408"/>
    <x v="3"/>
    <s v="India"/>
    <s v="Tamil Nadu"/>
    <s v="Chennai"/>
    <s v="CUST6064"/>
    <x v="1"/>
    <x v="0"/>
    <s v="Chair"/>
    <s v="Product_136"/>
    <s v="Sneha"/>
    <x v="0"/>
    <s v="Net Banking"/>
    <x v="0"/>
    <n v="7"/>
    <n v="14953"/>
    <n v="5"/>
    <n v="99437.45"/>
    <n v="4482.68"/>
  </r>
  <r>
    <s v="ORD01416"/>
    <x v="762"/>
    <x v="81"/>
    <x v="0"/>
    <s v="India"/>
    <s v="Gujarat"/>
    <s v="Ahmedabad"/>
    <s v="CUST5669"/>
    <x v="0"/>
    <x v="2"/>
    <s v="Printer"/>
    <s v="Product_181"/>
    <s v="Sneha"/>
    <x v="0"/>
    <s v="Debit Card"/>
    <x v="2"/>
    <n v="10"/>
    <n v="24608"/>
    <n v="10"/>
    <n v="221472"/>
    <n v="-7465.32"/>
  </r>
  <r>
    <s v="ORD01417"/>
    <x v="370"/>
    <x v="756"/>
    <x v="1"/>
    <s v="India"/>
    <s v="Karnataka"/>
    <s v="Ahmedabad"/>
    <s v="CUST6597"/>
    <x v="1"/>
    <x v="1"/>
    <s v="Storage"/>
    <s v="Product_75"/>
    <s v="Amit"/>
    <x v="1"/>
    <s v="UPI"/>
    <x v="1"/>
    <n v="9"/>
    <n v="45408"/>
    <n v="5"/>
    <n v="388238.4"/>
    <n v="39506.620000000003"/>
  </r>
  <r>
    <s v="ORD01418"/>
    <x v="366"/>
    <x v="199"/>
    <x v="1"/>
    <s v="India"/>
    <s v="Delhi"/>
    <s v="Delhi"/>
    <s v="CUST5528"/>
    <x v="2"/>
    <x v="2"/>
    <s v="Chair"/>
    <s v="Product_187"/>
    <s v="Amit"/>
    <x v="0"/>
    <s v="UPI"/>
    <x v="0"/>
    <n v="3"/>
    <n v="5312"/>
    <n v="5"/>
    <n v="15139.2"/>
    <n v="353.38"/>
  </r>
  <r>
    <s v="ORD01419"/>
    <x v="763"/>
    <x v="338"/>
    <x v="0"/>
    <s v="India"/>
    <s v="Tamil Nadu"/>
    <s v="Bangalore"/>
    <s v="CUST2762"/>
    <x v="1"/>
    <x v="0"/>
    <s v="Chair"/>
    <s v="Product_120"/>
    <s v="Amit"/>
    <x v="0"/>
    <s v="UPI"/>
    <x v="2"/>
    <n v="1"/>
    <n v="8920"/>
    <n v="0"/>
    <n v="8920"/>
    <n v="778.53"/>
  </r>
  <r>
    <s v="ORD01420"/>
    <x v="764"/>
    <x v="757"/>
    <x v="2"/>
    <s v="India"/>
    <s v="Delhi"/>
    <s v="Delhi"/>
    <s v="CUST8912"/>
    <x v="0"/>
    <x v="1"/>
    <s v="Mobile"/>
    <s v="Product_183"/>
    <s v="Sneha"/>
    <x v="0"/>
    <s v="Net Banking"/>
    <x v="1"/>
    <n v="1"/>
    <n v="11128"/>
    <n v="15"/>
    <n v="9458.7999999999993"/>
    <n v="-252.2"/>
  </r>
  <r>
    <s v="ORD01421"/>
    <x v="58"/>
    <x v="58"/>
    <x v="0"/>
    <s v="India"/>
    <s v="Maharashtra"/>
    <s v="Chennai"/>
    <s v="CUST9897"/>
    <x v="2"/>
    <x v="1"/>
    <s v="Table"/>
    <s v="Product_50"/>
    <s v="Priya"/>
    <x v="1"/>
    <s v="Debit Card"/>
    <x v="3"/>
    <n v="9"/>
    <n v="35348"/>
    <n v="20"/>
    <n v="254505.60000000001"/>
    <n v="-30476.52"/>
  </r>
  <r>
    <s v="ORD01422"/>
    <x v="765"/>
    <x v="758"/>
    <x v="0"/>
    <s v="India"/>
    <s v="Maharashtra"/>
    <s v="Ahmedabad"/>
    <s v="CUST7564"/>
    <x v="0"/>
    <x v="2"/>
    <s v="Storage"/>
    <s v="Product_31"/>
    <s v="Priya"/>
    <x v="1"/>
    <s v="UPI"/>
    <x v="0"/>
    <n v="2"/>
    <n v="30894"/>
    <n v="15"/>
    <n v="52519.8"/>
    <n v="-2354.2600000000002"/>
  </r>
  <r>
    <s v="ORD01423"/>
    <x v="766"/>
    <x v="454"/>
    <x v="3"/>
    <s v="India"/>
    <s v="Tamil Nadu"/>
    <s v="Delhi"/>
    <s v="CUST6373"/>
    <x v="0"/>
    <x v="0"/>
    <s v="Table"/>
    <s v="Product_191"/>
    <s v="Amit"/>
    <x v="0"/>
    <s v="Credit Card"/>
    <x v="1"/>
    <n v="3"/>
    <n v="42109"/>
    <n v="5"/>
    <n v="120010.65"/>
    <n v="12248.14"/>
  </r>
  <r>
    <s v="ORD01424"/>
    <x v="474"/>
    <x v="517"/>
    <x v="1"/>
    <s v="India"/>
    <s v="Delhi"/>
    <s v="Mumbai"/>
    <s v="CUST1727"/>
    <x v="0"/>
    <x v="2"/>
    <s v="Chair"/>
    <s v="Product_165"/>
    <s v="Rahul"/>
    <x v="1"/>
    <s v="Credit Card"/>
    <x v="0"/>
    <n v="5"/>
    <n v="14264"/>
    <n v="10"/>
    <n v="64188"/>
    <n v="4925.09"/>
  </r>
  <r>
    <s v="ORD01425"/>
    <x v="438"/>
    <x v="451"/>
    <x v="1"/>
    <s v="India"/>
    <s v="Gujarat"/>
    <s v="Mumbai"/>
    <s v="CUST1879"/>
    <x v="2"/>
    <x v="0"/>
    <s v="Printer"/>
    <s v="Product_154"/>
    <s v="Rahul"/>
    <x v="0"/>
    <s v="UPI"/>
    <x v="3"/>
    <n v="6"/>
    <n v="15037"/>
    <n v="10"/>
    <n v="81199.8"/>
    <n v="15830.02"/>
  </r>
  <r>
    <s v="ORD01426"/>
    <x v="404"/>
    <x v="677"/>
    <x v="0"/>
    <s v="India"/>
    <s v="Tamil Nadu"/>
    <s v="Ahmedabad"/>
    <s v="CUST1730"/>
    <x v="0"/>
    <x v="0"/>
    <s v="Printer"/>
    <s v="Product_18"/>
    <s v="Sneha"/>
    <x v="0"/>
    <s v="Cash"/>
    <x v="3"/>
    <n v="5"/>
    <n v="13510"/>
    <n v="5"/>
    <n v="64172.5"/>
    <n v="4379.58"/>
  </r>
  <r>
    <s v="ORD01427"/>
    <x v="758"/>
    <x v="759"/>
    <x v="3"/>
    <s v="India"/>
    <s v="Maharashtra"/>
    <s v="Ahmedabad"/>
    <s v="CUST2419"/>
    <x v="0"/>
    <x v="1"/>
    <s v="Chair"/>
    <s v="Product_170"/>
    <s v="Priya"/>
    <x v="0"/>
    <s v="Cash"/>
    <x v="0"/>
    <n v="3"/>
    <n v="3599"/>
    <n v="5"/>
    <n v="10257.15"/>
    <n v="1925.51"/>
  </r>
  <r>
    <s v="ORD01428"/>
    <x v="385"/>
    <x v="196"/>
    <x v="2"/>
    <s v="India"/>
    <s v="Delhi"/>
    <s v="Delhi"/>
    <s v="CUST2473"/>
    <x v="2"/>
    <x v="0"/>
    <s v="Table"/>
    <s v="Product_8"/>
    <s v="Rahul"/>
    <x v="0"/>
    <s v="Debit Card"/>
    <x v="0"/>
    <n v="2"/>
    <n v="23539"/>
    <n v="0"/>
    <n v="47078"/>
    <n v="12538.73"/>
  </r>
  <r>
    <s v="ORD01429"/>
    <x v="329"/>
    <x v="731"/>
    <x v="2"/>
    <s v="India"/>
    <s v="Delhi"/>
    <s v="Ahmedabad"/>
    <s v="CUST4388"/>
    <x v="2"/>
    <x v="0"/>
    <s v="Printer"/>
    <s v="Product_78"/>
    <s v="Sneha"/>
    <x v="0"/>
    <s v="UPI"/>
    <x v="3"/>
    <n v="9"/>
    <n v="40873"/>
    <n v="15"/>
    <n v="312678.45"/>
    <n v="33097.21"/>
  </r>
  <r>
    <s v="ORD01430"/>
    <x v="330"/>
    <x v="74"/>
    <x v="3"/>
    <s v="India"/>
    <s v="Delhi"/>
    <s v="Delhi"/>
    <s v="CUST3159"/>
    <x v="0"/>
    <x v="0"/>
    <s v="Mobile"/>
    <s v="Product_174"/>
    <s v="Sneha"/>
    <x v="1"/>
    <s v="Net Banking"/>
    <x v="2"/>
    <n v="10"/>
    <n v="14386"/>
    <n v="20"/>
    <n v="115088"/>
    <n v="-16260.79"/>
  </r>
  <r>
    <s v="ORD01431"/>
    <x v="395"/>
    <x v="760"/>
    <x v="2"/>
    <s v="India"/>
    <s v="Tamil Nadu"/>
    <s v="Mumbai"/>
    <s v="CUST9760"/>
    <x v="2"/>
    <x v="2"/>
    <s v="Table"/>
    <s v="Product_112"/>
    <s v="Sneha"/>
    <x v="0"/>
    <s v="Net Banking"/>
    <x v="3"/>
    <n v="5"/>
    <n v="21025"/>
    <n v="20"/>
    <n v="84100"/>
    <n v="-5834.09"/>
  </r>
  <r>
    <s v="ORD01432"/>
    <x v="697"/>
    <x v="679"/>
    <x v="1"/>
    <s v="India"/>
    <s v="Delhi"/>
    <s v="Delhi"/>
    <s v="CUST8620"/>
    <x v="2"/>
    <x v="0"/>
    <s v="Storage"/>
    <s v="Product_142"/>
    <s v="Amit"/>
    <x v="1"/>
    <s v="Debit Card"/>
    <x v="2"/>
    <n v="4"/>
    <n v="46210"/>
    <n v="15"/>
    <n v="157114"/>
    <n v="-947.83"/>
  </r>
  <r>
    <s v="ORD01433"/>
    <x v="486"/>
    <x v="392"/>
    <x v="0"/>
    <s v="India"/>
    <s v="Delhi"/>
    <s v="Bangalore"/>
    <s v="CUST1776"/>
    <x v="1"/>
    <x v="0"/>
    <s v="Table"/>
    <s v="Product_129"/>
    <s v="Priya"/>
    <x v="0"/>
    <s v="Credit Card"/>
    <x v="3"/>
    <n v="6"/>
    <n v="3903"/>
    <n v="0"/>
    <n v="23418"/>
    <n v="4992.68"/>
  </r>
  <r>
    <s v="ORD01434"/>
    <x v="177"/>
    <x v="277"/>
    <x v="0"/>
    <s v="India"/>
    <s v="Karnataka"/>
    <s v="Delhi"/>
    <s v="CUST8418"/>
    <x v="1"/>
    <x v="0"/>
    <s v="Storage"/>
    <s v="Product_106"/>
    <s v="Rahul"/>
    <x v="0"/>
    <s v="Debit Card"/>
    <x v="3"/>
    <n v="2"/>
    <n v="29014"/>
    <n v="15"/>
    <n v="49323.8"/>
    <n v="6966.5"/>
  </r>
  <r>
    <s v="ORD01435"/>
    <x v="246"/>
    <x v="761"/>
    <x v="1"/>
    <s v="India"/>
    <s v="Delhi"/>
    <s v="Bangalore"/>
    <s v="CUST7181"/>
    <x v="2"/>
    <x v="0"/>
    <s v="Chair"/>
    <s v="Product_164"/>
    <s v="Rahul"/>
    <x v="0"/>
    <s v="Cash"/>
    <x v="3"/>
    <n v="8"/>
    <n v="40237"/>
    <n v="10"/>
    <n v="289706.40000000002"/>
    <n v="53472.77"/>
  </r>
  <r>
    <s v="ORD01436"/>
    <x v="30"/>
    <x v="266"/>
    <x v="3"/>
    <s v="India"/>
    <s v="Delhi"/>
    <s v="Ahmedabad"/>
    <s v="CUST1121"/>
    <x v="2"/>
    <x v="0"/>
    <s v="Printer"/>
    <s v="Product_15"/>
    <s v="Neha"/>
    <x v="0"/>
    <s v="UPI"/>
    <x v="3"/>
    <n v="5"/>
    <n v="11020"/>
    <n v="15"/>
    <n v="46835"/>
    <n v="1353.29"/>
  </r>
  <r>
    <s v="ORD01437"/>
    <x v="636"/>
    <x v="131"/>
    <x v="2"/>
    <s v="India"/>
    <s v="Tamil Nadu"/>
    <s v="Bangalore"/>
    <s v="CUST5214"/>
    <x v="0"/>
    <x v="0"/>
    <s v="Table"/>
    <s v="Product_44"/>
    <s v="Neha"/>
    <x v="1"/>
    <s v="UPI"/>
    <x v="1"/>
    <n v="4"/>
    <n v="38661"/>
    <n v="15"/>
    <n v="131447.4"/>
    <n v="20935.87"/>
  </r>
  <r>
    <s v="ORD01438"/>
    <x v="82"/>
    <x v="224"/>
    <x v="2"/>
    <s v="India"/>
    <s v="Tamil Nadu"/>
    <s v="Bangalore"/>
    <s v="CUST7726"/>
    <x v="2"/>
    <x v="1"/>
    <s v="Chair"/>
    <s v="Product_4"/>
    <s v="Priya"/>
    <x v="1"/>
    <s v="UPI"/>
    <x v="1"/>
    <n v="2"/>
    <n v="12445"/>
    <n v="20"/>
    <n v="19912"/>
    <n v="-2966.78"/>
  </r>
  <r>
    <s v="ORD01439"/>
    <x v="675"/>
    <x v="572"/>
    <x v="3"/>
    <s v="India"/>
    <s v="Maharashtra"/>
    <s v="Bangalore"/>
    <s v="CUST3031"/>
    <x v="2"/>
    <x v="2"/>
    <s v="Printer"/>
    <s v="Product_100"/>
    <s v="Priya"/>
    <x v="0"/>
    <s v="Debit Card"/>
    <x v="2"/>
    <n v="3"/>
    <n v="13095"/>
    <n v="5"/>
    <n v="37320.75"/>
    <n v="5740.92"/>
  </r>
  <r>
    <s v="ORD01440"/>
    <x v="458"/>
    <x v="762"/>
    <x v="2"/>
    <s v="India"/>
    <s v="Gujarat"/>
    <s v="Ahmedabad"/>
    <s v="CUST8787"/>
    <x v="1"/>
    <x v="1"/>
    <s v="Storage"/>
    <s v="Product_35"/>
    <s v="Rahul"/>
    <x v="1"/>
    <s v="Debit Card"/>
    <x v="3"/>
    <n v="5"/>
    <n v="49119"/>
    <n v="20"/>
    <n v="196476"/>
    <n v="-10222.049999999999"/>
  </r>
  <r>
    <s v="ORD01441"/>
    <x v="303"/>
    <x v="432"/>
    <x v="1"/>
    <s v="India"/>
    <s v="Tamil Nadu"/>
    <s v="Mumbai"/>
    <s v="CUST1979"/>
    <x v="1"/>
    <x v="2"/>
    <s v="Mobile"/>
    <s v="Product_53"/>
    <s v="Rahul"/>
    <x v="1"/>
    <s v="Credit Card"/>
    <x v="1"/>
    <n v="1"/>
    <n v="28939"/>
    <n v="5"/>
    <n v="27492.05"/>
    <n v="1701.18"/>
  </r>
  <r>
    <s v="ORD01442"/>
    <x v="721"/>
    <x v="763"/>
    <x v="3"/>
    <s v="India"/>
    <s v="Karnataka"/>
    <s v="Bangalore"/>
    <s v="CUST1325"/>
    <x v="1"/>
    <x v="1"/>
    <s v="Printer"/>
    <s v="Product_26"/>
    <s v="Priya"/>
    <x v="0"/>
    <s v="Debit Card"/>
    <x v="0"/>
    <n v="10"/>
    <n v="23034"/>
    <n v="5"/>
    <n v="218823"/>
    <n v="2904.94"/>
  </r>
  <r>
    <s v="ORD01443"/>
    <x v="39"/>
    <x v="762"/>
    <x v="0"/>
    <s v="India"/>
    <s v="Gujarat"/>
    <s v="Ahmedabad"/>
    <s v="CUST1373"/>
    <x v="0"/>
    <x v="1"/>
    <s v="Printer"/>
    <s v="Product_92"/>
    <s v="Karan"/>
    <x v="1"/>
    <s v="Credit Card"/>
    <x v="0"/>
    <n v="1"/>
    <n v="32945"/>
    <n v="10"/>
    <n v="29650.5"/>
    <n v="5831.72"/>
  </r>
  <r>
    <s v="ORD01444"/>
    <x v="114"/>
    <x v="111"/>
    <x v="1"/>
    <s v="India"/>
    <s v="Delhi"/>
    <s v="Ahmedabad"/>
    <s v="CUST2205"/>
    <x v="1"/>
    <x v="0"/>
    <s v="Chair"/>
    <s v="Product_166"/>
    <s v="Sneha"/>
    <x v="1"/>
    <s v="Cash"/>
    <x v="2"/>
    <n v="6"/>
    <n v="9246"/>
    <n v="15"/>
    <n v="47154.6"/>
    <n v="-1152.53"/>
  </r>
  <r>
    <s v="ORD01445"/>
    <x v="767"/>
    <x v="496"/>
    <x v="0"/>
    <s v="India"/>
    <s v="Delhi"/>
    <s v="Mumbai"/>
    <s v="CUST3795"/>
    <x v="2"/>
    <x v="1"/>
    <s v="Chair"/>
    <s v="Product_146"/>
    <s v="Priya"/>
    <x v="0"/>
    <s v="Debit Card"/>
    <x v="2"/>
    <n v="7"/>
    <n v="41012"/>
    <n v="5"/>
    <n v="272729.8"/>
    <n v="36812.800000000003"/>
  </r>
  <r>
    <s v="ORD01446"/>
    <x v="651"/>
    <x v="710"/>
    <x v="2"/>
    <s v="India"/>
    <s v="Karnataka"/>
    <s v="Mumbai"/>
    <s v="CUST9840"/>
    <x v="2"/>
    <x v="0"/>
    <s v="Storage"/>
    <s v="Product_165"/>
    <s v="Neha"/>
    <x v="0"/>
    <s v="Cash"/>
    <x v="0"/>
    <n v="2"/>
    <n v="46788"/>
    <n v="15"/>
    <n v="79539.600000000006"/>
    <n v="8279.84"/>
  </r>
  <r>
    <s v="ORD01447"/>
    <x v="768"/>
    <x v="740"/>
    <x v="2"/>
    <s v="India"/>
    <s v="Maharashtra"/>
    <s v="Mumbai"/>
    <s v="CUST7918"/>
    <x v="2"/>
    <x v="0"/>
    <s v="Laptop"/>
    <s v="Product_49"/>
    <s v="Sneha"/>
    <x v="0"/>
    <s v="Debit Card"/>
    <x v="2"/>
    <n v="8"/>
    <n v="37891"/>
    <n v="15"/>
    <n v="257658.8"/>
    <n v="12377.17"/>
  </r>
  <r>
    <s v="ORD01448"/>
    <x v="281"/>
    <x v="276"/>
    <x v="0"/>
    <s v="India"/>
    <s v="Tamil Nadu"/>
    <s v="Mumbai"/>
    <s v="CUST2024"/>
    <x v="2"/>
    <x v="1"/>
    <s v="Storage"/>
    <s v="Product_190"/>
    <s v="Priya"/>
    <x v="1"/>
    <s v="Debit Card"/>
    <x v="1"/>
    <n v="9"/>
    <n v="11684"/>
    <n v="15"/>
    <n v="89382.6"/>
    <n v="-7734.37"/>
  </r>
  <r>
    <s v="ORD01449"/>
    <x v="769"/>
    <x v="764"/>
    <x v="1"/>
    <s v="India"/>
    <s v="Tamil Nadu"/>
    <s v="Mumbai"/>
    <s v="CUST5844"/>
    <x v="2"/>
    <x v="0"/>
    <s v="Chair"/>
    <s v="Product_53"/>
    <s v="Priya"/>
    <x v="1"/>
    <s v="Cash"/>
    <x v="2"/>
    <n v="2"/>
    <n v="47552"/>
    <n v="10"/>
    <n v="85593.600000000006"/>
    <n v="3364.32"/>
  </r>
  <r>
    <s v="ORD01450"/>
    <x v="770"/>
    <x v="634"/>
    <x v="0"/>
    <s v="India"/>
    <s v="Delhi"/>
    <s v="Bangalore"/>
    <s v="CUST8936"/>
    <x v="0"/>
    <x v="2"/>
    <s v="Printer"/>
    <s v="Product_20"/>
    <s v="Karan"/>
    <x v="0"/>
    <s v="UPI"/>
    <x v="3"/>
    <n v="3"/>
    <n v="40624"/>
    <n v="5"/>
    <n v="115778.4"/>
    <n v="18459.150000000001"/>
  </r>
  <r>
    <s v="ORD01451"/>
    <x v="771"/>
    <x v="765"/>
    <x v="0"/>
    <s v="India"/>
    <s v="Tamil Nadu"/>
    <s v="Delhi"/>
    <s v="CUST4543"/>
    <x v="2"/>
    <x v="0"/>
    <s v="Mobile"/>
    <s v="Product_19"/>
    <s v="Priya"/>
    <x v="1"/>
    <s v="Net Banking"/>
    <x v="3"/>
    <n v="10"/>
    <n v="41179"/>
    <n v="20"/>
    <n v="329432"/>
    <n v="-24864.85"/>
  </r>
  <r>
    <s v="ORD01452"/>
    <x v="758"/>
    <x v="766"/>
    <x v="1"/>
    <s v="India"/>
    <s v="Karnataka"/>
    <s v="Chennai"/>
    <s v="CUST7901"/>
    <x v="1"/>
    <x v="1"/>
    <s v="Storage"/>
    <s v="Product_48"/>
    <s v="Neha"/>
    <x v="0"/>
    <s v="Cash"/>
    <x v="3"/>
    <n v="4"/>
    <n v="10793"/>
    <n v="20"/>
    <n v="34537.599999999999"/>
    <n v="4000.18"/>
  </r>
  <r>
    <s v="ORD01453"/>
    <x v="772"/>
    <x v="767"/>
    <x v="1"/>
    <s v="India"/>
    <s v="Gujarat"/>
    <s v="Ahmedabad"/>
    <s v="CUST5494"/>
    <x v="1"/>
    <x v="0"/>
    <s v="Mobile"/>
    <s v="Product_134"/>
    <s v="Neha"/>
    <x v="0"/>
    <s v="UPI"/>
    <x v="1"/>
    <n v="1"/>
    <n v="41014"/>
    <n v="5"/>
    <n v="38963.300000000003"/>
    <n v="9406.84"/>
  </r>
  <r>
    <s v="ORD01454"/>
    <x v="183"/>
    <x v="570"/>
    <x v="1"/>
    <s v="India"/>
    <s v="Delhi"/>
    <s v="Mumbai"/>
    <s v="CUST4206"/>
    <x v="2"/>
    <x v="2"/>
    <s v="Chair"/>
    <s v="Product_120"/>
    <s v="Priya"/>
    <x v="0"/>
    <s v="Net Banking"/>
    <x v="3"/>
    <n v="9"/>
    <n v="29081"/>
    <n v="15"/>
    <n v="222469.65"/>
    <n v="25127.77"/>
  </r>
  <r>
    <s v="ORD01455"/>
    <x v="229"/>
    <x v="415"/>
    <x v="2"/>
    <s v="India"/>
    <s v="Karnataka"/>
    <s v="Bangalore"/>
    <s v="CUST2615"/>
    <x v="2"/>
    <x v="2"/>
    <s v="Table"/>
    <s v="Product_176"/>
    <s v="Sneha"/>
    <x v="0"/>
    <s v="Debit Card"/>
    <x v="1"/>
    <n v="7"/>
    <n v="4482"/>
    <n v="15"/>
    <n v="26667.9"/>
    <n v="110.59"/>
  </r>
  <r>
    <s v="ORD01456"/>
    <x v="773"/>
    <x v="38"/>
    <x v="1"/>
    <s v="India"/>
    <s v="Tamil Nadu"/>
    <s v="Ahmedabad"/>
    <s v="CUST3623"/>
    <x v="0"/>
    <x v="1"/>
    <s v="Storage"/>
    <s v="Product_73"/>
    <s v="Priya"/>
    <x v="0"/>
    <s v="Credit Card"/>
    <x v="2"/>
    <n v="9"/>
    <n v="30030"/>
    <n v="5"/>
    <n v="256756.5"/>
    <n v="1296.47"/>
  </r>
  <r>
    <s v="ORD01457"/>
    <x v="349"/>
    <x v="119"/>
    <x v="2"/>
    <s v="India"/>
    <s v="Karnataka"/>
    <s v="Delhi"/>
    <s v="CUST5217"/>
    <x v="1"/>
    <x v="0"/>
    <s v="Chair"/>
    <s v="Product_69"/>
    <s v="Sneha"/>
    <x v="1"/>
    <s v="Cash"/>
    <x v="1"/>
    <n v="9"/>
    <n v="33577"/>
    <n v="15"/>
    <n v="256864.05"/>
    <n v="15648.91"/>
  </r>
  <r>
    <s v="ORD01458"/>
    <x v="626"/>
    <x v="270"/>
    <x v="3"/>
    <s v="India"/>
    <s v="Tamil Nadu"/>
    <s v="Bangalore"/>
    <s v="CUST5648"/>
    <x v="0"/>
    <x v="1"/>
    <s v="Storage"/>
    <s v="Product_80"/>
    <s v="Rahul"/>
    <x v="0"/>
    <s v="UPI"/>
    <x v="3"/>
    <n v="10"/>
    <n v="5035"/>
    <n v="5"/>
    <n v="47832.5"/>
    <n v="1906.98"/>
  </r>
  <r>
    <s v="ORD01459"/>
    <x v="597"/>
    <x v="490"/>
    <x v="1"/>
    <s v="India"/>
    <s v="Karnataka"/>
    <s v="Mumbai"/>
    <s v="CUST2326"/>
    <x v="2"/>
    <x v="1"/>
    <s v="Storage"/>
    <s v="Product_197"/>
    <s v="Priya"/>
    <x v="0"/>
    <s v="Credit Card"/>
    <x v="2"/>
    <n v="3"/>
    <n v="42196"/>
    <n v="0"/>
    <n v="126588"/>
    <n v="35510.129999999997"/>
  </r>
  <r>
    <s v="ORD01460"/>
    <x v="774"/>
    <x v="272"/>
    <x v="3"/>
    <s v="India"/>
    <s v="Maharashtra"/>
    <s v="Bangalore"/>
    <s v="CUST6210"/>
    <x v="1"/>
    <x v="0"/>
    <s v="Storage"/>
    <s v="Product_42"/>
    <s v="Priya"/>
    <x v="0"/>
    <s v="Net Banking"/>
    <x v="3"/>
    <n v="6"/>
    <n v="13763"/>
    <n v="10"/>
    <n v="74320.2"/>
    <n v="3220.99"/>
  </r>
  <r>
    <s v="ORD01461"/>
    <x v="15"/>
    <x v="768"/>
    <x v="2"/>
    <s v="India"/>
    <s v="Karnataka"/>
    <s v="Bangalore"/>
    <s v="CUST6497"/>
    <x v="0"/>
    <x v="1"/>
    <s v="Mobile"/>
    <s v="Product_116"/>
    <s v="Sneha"/>
    <x v="0"/>
    <s v="Credit Card"/>
    <x v="2"/>
    <n v="2"/>
    <n v="1333"/>
    <n v="15"/>
    <n v="2266.1"/>
    <n v="-252.84"/>
  </r>
  <r>
    <s v="ORD01462"/>
    <x v="508"/>
    <x v="495"/>
    <x v="0"/>
    <s v="India"/>
    <s v="Gujarat"/>
    <s v="Delhi"/>
    <s v="CUST7830"/>
    <x v="0"/>
    <x v="0"/>
    <s v="Storage"/>
    <s v="Product_148"/>
    <s v="Karan"/>
    <x v="0"/>
    <s v="Debit Card"/>
    <x v="1"/>
    <n v="3"/>
    <n v="10327"/>
    <n v="15"/>
    <n v="26333.85"/>
    <n v="2732.32"/>
  </r>
  <r>
    <s v="ORD01463"/>
    <x v="212"/>
    <x v="769"/>
    <x v="1"/>
    <s v="India"/>
    <s v="Maharashtra"/>
    <s v="Chennai"/>
    <s v="CUST1337"/>
    <x v="2"/>
    <x v="2"/>
    <s v="Printer"/>
    <s v="Product_126"/>
    <s v="Amit"/>
    <x v="1"/>
    <s v="Debit Card"/>
    <x v="2"/>
    <n v="8"/>
    <n v="48609"/>
    <n v="10"/>
    <n v="349984.8"/>
    <n v="61884.4"/>
  </r>
  <r>
    <s v="ORD01464"/>
    <x v="775"/>
    <x v="374"/>
    <x v="1"/>
    <s v="India"/>
    <s v="Maharashtra"/>
    <s v="Bangalore"/>
    <s v="CUST3199"/>
    <x v="0"/>
    <x v="1"/>
    <s v="Chair"/>
    <s v="Product_36"/>
    <s v="Neha"/>
    <x v="1"/>
    <s v="Cash"/>
    <x v="0"/>
    <n v="6"/>
    <n v="15395"/>
    <n v="10"/>
    <n v="83133"/>
    <n v="2623.86"/>
  </r>
  <r>
    <s v="ORD01465"/>
    <x v="776"/>
    <x v="760"/>
    <x v="2"/>
    <s v="India"/>
    <s v="Karnataka"/>
    <s v="Delhi"/>
    <s v="CUST1902"/>
    <x v="2"/>
    <x v="2"/>
    <s v="Storage"/>
    <s v="Product_7"/>
    <s v="Rahul"/>
    <x v="1"/>
    <s v="UPI"/>
    <x v="0"/>
    <n v="10"/>
    <n v="18608"/>
    <n v="0"/>
    <n v="186080"/>
    <n v="13633.39"/>
  </r>
  <r>
    <s v="ORD01466"/>
    <x v="555"/>
    <x v="458"/>
    <x v="3"/>
    <s v="India"/>
    <s v="Karnataka"/>
    <s v="Ahmedabad"/>
    <s v="CUST9730"/>
    <x v="0"/>
    <x v="1"/>
    <s v="Storage"/>
    <s v="Product_47"/>
    <s v="Rahul"/>
    <x v="0"/>
    <s v="Debit Card"/>
    <x v="0"/>
    <n v="6"/>
    <n v="23767"/>
    <n v="15"/>
    <n v="121211.7"/>
    <n v="-4512.62"/>
  </r>
  <r>
    <s v="ORD01467"/>
    <x v="777"/>
    <x v="498"/>
    <x v="1"/>
    <s v="India"/>
    <s v="Karnataka"/>
    <s v="Delhi"/>
    <s v="CUST3376"/>
    <x v="0"/>
    <x v="2"/>
    <s v="Storage"/>
    <s v="Product_148"/>
    <s v="Neha"/>
    <x v="0"/>
    <s v="Debit Card"/>
    <x v="2"/>
    <n v="3"/>
    <n v="16727"/>
    <n v="5"/>
    <n v="47671.95"/>
    <n v="6612.53"/>
  </r>
  <r>
    <s v="ORD01468"/>
    <x v="662"/>
    <x v="770"/>
    <x v="2"/>
    <s v="India"/>
    <s v="Karnataka"/>
    <s v="Delhi"/>
    <s v="CUST5395"/>
    <x v="1"/>
    <x v="0"/>
    <s v="Storage"/>
    <s v="Product_156"/>
    <s v="Karan"/>
    <x v="0"/>
    <s v="Net Banking"/>
    <x v="3"/>
    <n v="4"/>
    <n v="36198"/>
    <n v="20"/>
    <n v="115833.60000000001"/>
    <n v="5757.42"/>
  </r>
  <r>
    <s v="ORD01469"/>
    <x v="778"/>
    <x v="759"/>
    <x v="3"/>
    <s v="India"/>
    <s v="Karnataka"/>
    <s v="Chennai"/>
    <s v="CUST7216"/>
    <x v="0"/>
    <x v="0"/>
    <s v="Chair"/>
    <s v="Product_137"/>
    <s v="Amit"/>
    <x v="0"/>
    <s v="Cash"/>
    <x v="3"/>
    <n v="2"/>
    <n v="13961"/>
    <n v="0"/>
    <n v="27922"/>
    <n v="4558.2"/>
  </r>
  <r>
    <s v="ORD01470"/>
    <x v="71"/>
    <x v="771"/>
    <x v="3"/>
    <s v="India"/>
    <s v="Gujarat"/>
    <s v="Ahmedabad"/>
    <s v="CUST4445"/>
    <x v="2"/>
    <x v="2"/>
    <s v="Chair"/>
    <s v="Product_180"/>
    <s v="Sneha"/>
    <x v="0"/>
    <s v="Net Banking"/>
    <x v="1"/>
    <n v="4"/>
    <n v="4273"/>
    <n v="0"/>
    <n v="17092"/>
    <n v="3400.13"/>
  </r>
  <r>
    <s v="ORD01471"/>
    <x v="66"/>
    <x v="323"/>
    <x v="1"/>
    <s v="India"/>
    <s v="Gujarat"/>
    <s v="Chennai"/>
    <s v="CUST2515"/>
    <x v="2"/>
    <x v="0"/>
    <s v="Chair"/>
    <s v="Product_101"/>
    <s v="Amit"/>
    <x v="1"/>
    <s v="Net Banking"/>
    <x v="3"/>
    <n v="5"/>
    <n v="32451"/>
    <n v="10"/>
    <n v="146029.5"/>
    <n v="-6852.42"/>
  </r>
  <r>
    <s v="ORD01472"/>
    <x v="779"/>
    <x v="459"/>
    <x v="1"/>
    <s v="India"/>
    <s v="Gujarat"/>
    <s v="Bangalore"/>
    <s v="CUST3042"/>
    <x v="2"/>
    <x v="1"/>
    <s v="Chair"/>
    <s v="Product_82"/>
    <s v="Priya"/>
    <x v="1"/>
    <s v="Cash"/>
    <x v="2"/>
    <n v="10"/>
    <n v="29099"/>
    <n v="10"/>
    <n v="261891"/>
    <n v="-3363.45"/>
  </r>
  <r>
    <s v="ORD01473"/>
    <x v="37"/>
    <x v="772"/>
    <x v="1"/>
    <s v="India"/>
    <s v="Tamil Nadu"/>
    <s v="Mumbai"/>
    <s v="CUST5723"/>
    <x v="2"/>
    <x v="1"/>
    <s v="Table"/>
    <s v="Product_75"/>
    <s v="Priya"/>
    <x v="1"/>
    <s v="UPI"/>
    <x v="2"/>
    <n v="4"/>
    <n v="11780"/>
    <n v="15"/>
    <n v="40052"/>
    <n v="-2782.96"/>
  </r>
  <r>
    <s v="ORD01474"/>
    <x v="780"/>
    <x v="452"/>
    <x v="0"/>
    <s v="India"/>
    <s v="Gujarat"/>
    <s v="Bangalore"/>
    <s v="CUST9362"/>
    <x v="1"/>
    <x v="1"/>
    <s v="Printer"/>
    <s v="Product_98"/>
    <s v="Sneha"/>
    <x v="0"/>
    <s v="Net Banking"/>
    <x v="3"/>
    <n v="8"/>
    <n v="39148"/>
    <n v="15"/>
    <n v="266206.40000000002"/>
    <n v="-8340.92"/>
  </r>
  <r>
    <s v="ORD01475"/>
    <x v="108"/>
    <x v="773"/>
    <x v="1"/>
    <s v="India"/>
    <s v="Tamil Nadu"/>
    <s v="Chennai"/>
    <s v="CUST9666"/>
    <x v="1"/>
    <x v="2"/>
    <s v="Storage"/>
    <s v="Product_97"/>
    <s v="Amit"/>
    <x v="1"/>
    <s v="Net Banking"/>
    <x v="1"/>
    <n v="1"/>
    <n v="7149"/>
    <n v="0"/>
    <n v="7149"/>
    <n v="1161.67"/>
  </r>
  <r>
    <s v="ORD01476"/>
    <x v="700"/>
    <x v="519"/>
    <x v="3"/>
    <s v="India"/>
    <s v="Karnataka"/>
    <s v="Chennai"/>
    <s v="CUST9529"/>
    <x v="2"/>
    <x v="2"/>
    <s v="Storage"/>
    <s v="Product_152"/>
    <s v="Karan"/>
    <x v="1"/>
    <s v="Debit Card"/>
    <x v="1"/>
    <n v="8"/>
    <n v="2392"/>
    <n v="20"/>
    <n v="15308.8"/>
    <n v="161.43"/>
  </r>
  <r>
    <s v="ORD01477"/>
    <x v="781"/>
    <x v="276"/>
    <x v="2"/>
    <s v="India"/>
    <s v="Tamil Nadu"/>
    <s v="Chennai"/>
    <s v="CUST7062"/>
    <x v="1"/>
    <x v="0"/>
    <s v="Printer"/>
    <s v="Product_15"/>
    <s v="Rahul"/>
    <x v="0"/>
    <s v="Net Banking"/>
    <x v="2"/>
    <n v="5"/>
    <n v="20325"/>
    <n v="10"/>
    <n v="91462.5"/>
    <n v="635.38"/>
  </r>
  <r>
    <s v="ORD01478"/>
    <x v="617"/>
    <x v="612"/>
    <x v="1"/>
    <s v="India"/>
    <s v="Tamil Nadu"/>
    <s v="Chennai"/>
    <s v="CUST5040"/>
    <x v="1"/>
    <x v="2"/>
    <s v="Storage"/>
    <s v="Product_76"/>
    <s v="Sneha"/>
    <x v="1"/>
    <s v="Debit Card"/>
    <x v="2"/>
    <n v="4"/>
    <n v="6652"/>
    <n v="10"/>
    <n v="23947.200000000001"/>
    <n v="2280.0500000000002"/>
  </r>
  <r>
    <s v="ORD01479"/>
    <x v="176"/>
    <x v="634"/>
    <x v="3"/>
    <s v="India"/>
    <s v="Gujarat"/>
    <s v="Bangalore"/>
    <s v="CUST6103"/>
    <x v="1"/>
    <x v="0"/>
    <s v="Mobile"/>
    <s v="Product_54"/>
    <s v="Neha"/>
    <x v="0"/>
    <s v="Net Banking"/>
    <x v="0"/>
    <n v="7"/>
    <n v="5349"/>
    <n v="20"/>
    <n v="29954.400000000001"/>
    <n v="-454.56"/>
  </r>
  <r>
    <s v="ORD01480"/>
    <x v="65"/>
    <x v="164"/>
    <x v="2"/>
    <s v="India"/>
    <s v="Gujarat"/>
    <s v="Ahmedabad"/>
    <s v="CUST4736"/>
    <x v="2"/>
    <x v="2"/>
    <s v="Table"/>
    <s v="Product_64"/>
    <s v="Rahul"/>
    <x v="1"/>
    <s v="Net Banking"/>
    <x v="1"/>
    <n v="3"/>
    <n v="3541"/>
    <n v="10"/>
    <n v="9560.7000000000007"/>
    <n v="573.5"/>
  </r>
  <r>
    <s v="ORD01481"/>
    <x v="756"/>
    <x v="739"/>
    <x v="0"/>
    <s v="India"/>
    <s v="Delhi"/>
    <s v="Delhi"/>
    <s v="CUST9593"/>
    <x v="1"/>
    <x v="2"/>
    <s v="Storage"/>
    <s v="Product_142"/>
    <s v="Karan"/>
    <x v="1"/>
    <s v="Credit Card"/>
    <x v="3"/>
    <n v="2"/>
    <n v="22156"/>
    <n v="0"/>
    <n v="44312"/>
    <n v="6027.13"/>
  </r>
  <r>
    <s v="ORD01482"/>
    <x v="782"/>
    <x v="774"/>
    <x v="1"/>
    <s v="India"/>
    <s v="Tamil Nadu"/>
    <s v="Mumbai"/>
    <s v="CUST6335"/>
    <x v="1"/>
    <x v="2"/>
    <s v="Mobile"/>
    <s v="Product_3"/>
    <s v="Priya"/>
    <x v="1"/>
    <s v="UPI"/>
    <x v="3"/>
    <n v="3"/>
    <n v="11784"/>
    <n v="20"/>
    <n v="28281.599999999999"/>
    <n v="-2071.7800000000002"/>
  </r>
  <r>
    <s v="ORD01483"/>
    <x v="153"/>
    <x v="775"/>
    <x v="0"/>
    <s v="India"/>
    <s v="Maharashtra"/>
    <s v="Bangalore"/>
    <s v="CUST9912"/>
    <x v="2"/>
    <x v="2"/>
    <s v="Mobile"/>
    <s v="Product_55"/>
    <s v="Sneha"/>
    <x v="0"/>
    <s v="UPI"/>
    <x v="2"/>
    <n v="1"/>
    <n v="3974"/>
    <n v="5"/>
    <n v="3775.3"/>
    <n v="723.22"/>
  </r>
  <r>
    <s v="ORD01484"/>
    <x v="783"/>
    <x v="776"/>
    <x v="2"/>
    <s v="India"/>
    <s v="Tamil Nadu"/>
    <s v="Bangalore"/>
    <s v="CUST4728"/>
    <x v="0"/>
    <x v="2"/>
    <s v="Table"/>
    <s v="Product_69"/>
    <s v="Amit"/>
    <x v="0"/>
    <s v="Net Banking"/>
    <x v="3"/>
    <n v="10"/>
    <n v="37886"/>
    <n v="20"/>
    <n v="303088"/>
    <n v="34249.199999999997"/>
  </r>
  <r>
    <s v="ORD01485"/>
    <x v="490"/>
    <x v="752"/>
    <x v="3"/>
    <s v="India"/>
    <s v="Karnataka"/>
    <s v="Bangalore"/>
    <s v="CUST8139"/>
    <x v="1"/>
    <x v="2"/>
    <s v="Printer"/>
    <s v="Product_16"/>
    <s v="Neha"/>
    <x v="1"/>
    <s v="Credit Card"/>
    <x v="1"/>
    <n v="7"/>
    <n v="7756"/>
    <n v="20"/>
    <n v="43433.599999999999"/>
    <n v="-1951.32"/>
  </r>
  <r>
    <s v="ORD01486"/>
    <x v="625"/>
    <x v="80"/>
    <x v="1"/>
    <s v="India"/>
    <s v="Tamil Nadu"/>
    <s v="Mumbai"/>
    <s v="CUST9190"/>
    <x v="0"/>
    <x v="0"/>
    <s v="Chair"/>
    <s v="Product_121"/>
    <s v="Priya"/>
    <x v="1"/>
    <s v="Debit Card"/>
    <x v="1"/>
    <n v="6"/>
    <n v="31391"/>
    <n v="10"/>
    <n v="169511.4"/>
    <n v="23711.29"/>
  </r>
  <r>
    <s v="ORD01487"/>
    <x v="561"/>
    <x v="396"/>
    <x v="2"/>
    <s v="India"/>
    <s v="Delhi"/>
    <s v="Chennai"/>
    <s v="CUST1097"/>
    <x v="1"/>
    <x v="2"/>
    <s v="Chair"/>
    <s v="Product_144"/>
    <s v="Priya"/>
    <x v="1"/>
    <s v="Debit Card"/>
    <x v="1"/>
    <n v="6"/>
    <n v="41555"/>
    <n v="15"/>
    <n v="211930.5"/>
    <n v="25719.33"/>
  </r>
  <r>
    <s v="ORD01488"/>
    <x v="216"/>
    <x v="649"/>
    <x v="2"/>
    <s v="India"/>
    <s v="Tamil Nadu"/>
    <s v="Mumbai"/>
    <s v="CUST4595"/>
    <x v="2"/>
    <x v="0"/>
    <s v="Storage"/>
    <s v="Product_26"/>
    <s v="Karan"/>
    <x v="1"/>
    <s v="Debit Card"/>
    <x v="3"/>
    <n v="1"/>
    <n v="14447"/>
    <n v="10"/>
    <n v="13002.3"/>
    <n v="-109.59"/>
  </r>
  <r>
    <s v="ORD01489"/>
    <x v="63"/>
    <x v="158"/>
    <x v="2"/>
    <s v="India"/>
    <s v="Maharashtra"/>
    <s v="Chennai"/>
    <s v="CUST2688"/>
    <x v="2"/>
    <x v="0"/>
    <s v="Laptop"/>
    <s v="Product_178"/>
    <s v="Neha"/>
    <x v="1"/>
    <s v="UPI"/>
    <x v="3"/>
    <n v="10"/>
    <n v="9389"/>
    <n v="10"/>
    <n v="84501"/>
    <n v="2927.42"/>
  </r>
  <r>
    <s v="ORD01490"/>
    <x v="646"/>
    <x v="695"/>
    <x v="3"/>
    <s v="India"/>
    <s v="Maharashtra"/>
    <s v="Bangalore"/>
    <s v="CUST1758"/>
    <x v="2"/>
    <x v="0"/>
    <s v="Laptop"/>
    <s v="Product_185"/>
    <s v="Priya"/>
    <x v="0"/>
    <s v="Cash"/>
    <x v="2"/>
    <n v="3"/>
    <n v="4109"/>
    <n v="0"/>
    <n v="12327"/>
    <n v="1102.53"/>
  </r>
  <r>
    <s v="ORD01491"/>
    <x v="420"/>
    <x v="777"/>
    <x v="1"/>
    <s v="India"/>
    <s v="Maharashtra"/>
    <s v="Ahmedabad"/>
    <s v="CUST2070"/>
    <x v="2"/>
    <x v="1"/>
    <s v="Printer"/>
    <s v="Product_59"/>
    <s v="Neha"/>
    <x v="0"/>
    <s v="UPI"/>
    <x v="1"/>
    <n v="4"/>
    <n v="35680"/>
    <n v="0"/>
    <n v="142720"/>
    <n v="29448.43"/>
  </r>
  <r>
    <s v="ORD01492"/>
    <x v="452"/>
    <x v="611"/>
    <x v="1"/>
    <s v="India"/>
    <s v="Tamil Nadu"/>
    <s v="Delhi"/>
    <s v="CUST9946"/>
    <x v="1"/>
    <x v="0"/>
    <s v="Printer"/>
    <s v="Product_43"/>
    <s v="Rahul"/>
    <x v="0"/>
    <s v="Net Banking"/>
    <x v="3"/>
    <n v="9"/>
    <n v="9230"/>
    <n v="15"/>
    <n v="70609.5"/>
    <n v="4150.7"/>
  </r>
  <r>
    <s v="ORD01493"/>
    <x v="77"/>
    <x v="508"/>
    <x v="0"/>
    <s v="India"/>
    <s v="Tamil Nadu"/>
    <s v="Chennai"/>
    <s v="CUST8364"/>
    <x v="0"/>
    <x v="1"/>
    <s v="Chair"/>
    <s v="Product_166"/>
    <s v="Karan"/>
    <x v="0"/>
    <s v="Debit Card"/>
    <x v="2"/>
    <n v="1"/>
    <n v="27331"/>
    <n v="10"/>
    <n v="24597.9"/>
    <n v="-1343.39"/>
  </r>
  <r>
    <s v="ORD01494"/>
    <x v="758"/>
    <x v="464"/>
    <x v="3"/>
    <s v="India"/>
    <s v="Maharashtra"/>
    <s v="Bangalore"/>
    <s v="CUST8522"/>
    <x v="1"/>
    <x v="2"/>
    <s v="Laptop"/>
    <s v="Product_138"/>
    <s v="Karan"/>
    <x v="1"/>
    <s v="Net Banking"/>
    <x v="2"/>
    <n v="7"/>
    <n v="27908"/>
    <n v="20"/>
    <n v="156284.79999999999"/>
    <n v="15470.32"/>
  </r>
  <r>
    <s v="ORD01495"/>
    <x v="784"/>
    <x v="101"/>
    <x v="2"/>
    <s v="India"/>
    <s v="Karnataka"/>
    <s v="Bangalore"/>
    <s v="CUST4975"/>
    <x v="2"/>
    <x v="0"/>
    <s v="Chair"/>
    <s v="Product_127"/>
    <s v="Karan"/>
    <x v="0"/>
    <s v="Credit Card"/>
    <x v="1"/>
    <n v="5"/>
    <n v="40842"/>
    <n v="20"/>
    <n v="163368"/>
    <n v="14502.56"/>
  </r>
  <r>
    <s v="ORD01496"/>
    <x v="735"/>
    <x v="244"/>
    <x v="0"/>
    <s v="India"/>
    <s v="Delhi"/>
    <s v="Mumbai"/>
    <s v="CUST5606"/>
    <x v="0"/>
    <x v="0"/>
    <s v="Mobile"/>
    <s v="Product_97"/>
    <s v="Karan"/>
    <x v="0"/>
    <s v="UPI"/>
    <x v="2"/>
    <n v="10"/>
    <n v="28951"/>
    <n v="10"/>
    <n v="260559"/>
    <n v="46493.17"/>
  </r>
  <r>
    <s v="ORD01497"/>
    <x v="707"/>
    <x v="695"/>
    <x v="2"/>
    <s v="India"/>
    <s v="Karnataka"/>
    <s v="Ahmedabad"/>
    <s v="CUST8112"/>
    <x v="0"/>
    <x v="2"/>
    <s v="Table"/>
    <s v="Product_160"/>
    <s v="Rahul"/>
    <x v="0"/>
    <s v="Credit Card"/>
    <x v="1"/>
    <n v="9"/>
    <n v="47065"/>
    <n v="15"/>
    <n v="360047.25"/>
    <n v="9282.84"/>
  </r>
  <r>
    <s v="ORD01498"/>
    <x v="176"/>
    <x v="66"/>
    <x v="1"/>
    <s v="India"/>
    <s v="Gujarat"/>
    <s v="Bangalore"/>
    <s v="CUST4163"/>
    <x v="2"/>
    <x v="2"/>
    <s v="Laptop"/>
    <s v="Product_16"/>
    <s v="Rahul"/>
    <x v="0"/>
    <s v="Credit Card"/>
    <x v="2"/>
    <n v="10"/>
    <n v="19558"/>
    <n v="15"/>
    <n v="166243"/>
    <n v="22479.35"/>
  </r>
  <r>
    <s v="ORD01499"/>
    <x v="380"/>
    <x v="667"/>
    <x v="3"/>
    <s v="India"/>
    <s v="Delhi"/>
    <s v="Delhi"/>
    <s v="CUST7804"/>
    <x v="0"/>
    <x v="1"/>
    <s v="Laptop"/>
    <s v="Product_5"/>
    <s v="Neha"/>
    <x v="1"/>
    <s v="UPI"/>
    <x v="1"/>
    <n v="10"/>
    <n v="3819"/>
    <n v="0"/>
    <n v="38190"/>
    <n v="4559.9799999999996"/>
  </r>
  <r>
    <s v="ORD01500"/>
    <x v="346"/>
    <x v="778"/>
    <x v="3"/>
    <s v="India"/>
    <s v="Karnataka"/>
    <s v="Mumbai"/>
    <s v="CUST9444"/>
    <x v="1"/>
    <x v="1"/>
    <s v="Storage"/>
    <s v="Product_115"/>
    <s v="Karan"/>
    <x v="1"/>
    <s v="Credit Card"/>
    <x v="0"/>
    <n v="7"/>
    <n v="15678"/>
    <n v="0"/>
    <n v="109746"/>
    <n v="1096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s v="ORD00001"/>
    <x v="0"/>
    <d v="2023-03-18T00:00:00"/>
    <s v="North"/>
    <s v="India"/>
    <s v="Gujarat"/>
    <s v="Delhi"/>
    <x v="0"/>
    <x v="0"/>
    <s v="Office Supplies"/>
    <s v="Laptop"/>
    <s v="Product_71"/>
    <x v="0"/>
    <x v="0"/>
    <s v="UPI"/>
    <s v="Critical"/>
    <n v="10"/>
    <n v="20306"/>
    <n v="0"/>
    <n v="203060"/>
    <n v="57509.34"/>
    <x v="0"/>
  </r>
  <r>
    <s v="ORD00002"/>
    <x v="1"/>
    <d v="2024-03-11T00:00:00"/>
    <s v="East"/>
    <s v="India"/>
    <s v="Tamil Nadu"/>
    <s v="Ahmedabad"/>
    <x v="1"/>
    <x v="1"/>
    <s v="Office Supplies"/>
    <s v="Mobile"/>
    <s v="Product_81"/>
    <x v="0"/>
    <x v="0"/>
    <s v="Debit Card"/>
    <s v="Low"/>
    <n v="2"/>
    <n v="14582"/>
    <n v="15"/>
    <n v="24789.4"/>
    <n v="-613.97"/>
    <x v="0"/>
  </r>
  <r>
    <s v="ORD00003"/>
    <x v="2"/>
    <d v="2022-01-18T00:00:00"/>
    <s v="East"/>
    <s v="India"/>
    <s v="Gujarat"/>
    <s v="Delhi"/>
    <x v="2"/>
    <x v="0"/>
    <s v="Office Supplies"/>
    <s v="Laptop"/>
    <s v="Product_67"/>
    <x v="1"/>
    <x v="1"/>
    <s v="UPI"/>
    <s v="Low"/>
    <n v="10"/>
    <n v="13952"/>
    <n v="5"/>
    <n v="132544"/>
    <n v="9084.16"/>
    <x v="1"/>
  </r>
  <r>
    <s v="ORD00004"/>
    <x v="3"/>
    <d v="2023-01-29T00:00:00"/>
    <s v="North"/>
    <s v="India"/>
    <s v="Maharashtra"/>
    <s v="Chennai"/>
    <x v="3"/>
    <x v="2"/>
    <s v="Furniture"/>
    <s v="Printer"/>
    <s v="Product_104"/>
    <x v="2"/>
    <x v="1"/>
    <s v="Credit Card"/>
    <s v="Low"/>
    <n v="5"/>
    <n v="11152"/>
    <n v="0"/>
    <n v="55760"/>
    <n v="4747.33"/>
    <x v="1"/>
  </r>
  <r>
    <s v="ORD00005"/>
    <x v="4"/>
    <d v="2022-03-29T00:00:00"/>
    <s v="North"/>
    <s v="India"/>
    <s v="Karnataka"/>
    <s v="Ahmedabad"/>
    <x v="4"/>
    <x v="1"/>
    <s v="Furniture"/>
    <s v="Printer"/>
    <s v="Product_174"/>
    <x v="3"/>
    <x v="1"/>
    <s v="UPI"/>
    <s v="Medium"/>
    <n v="1"/>
    <n v="32301"/>
    <n v="15"/>
    <n v="27455.85"/>
    <n v="3462.48"/>
    <x v="0"/>
  </r>
  <r>
    <s v="ORD00006"/>
    <x v="5"/>
    <d v="2023-07-04T00:00:00"/>
    <s v="East"/>
    <s v="India"/>
    <s v="Tamil Nadu"/>
    <s v="Ahmedabad"/>
    <x v="5"/>
    <x v="2"/>
    <s v="Electronics"/>
    <s v="Printer"/>
    <s v="Product_26"/>
    <x v="4"/>
    <x v="0"/>
    <s v="Net Banking"/>
    <s v="Low"/>
    <n v="9"/>
    <n v="7072"/>
    <n v="0"/>
    <n v="63648"/>
    <n v="7268.29"/>
    <x v="2"/>
  </r>
  <r>
    <s v="ORD00007"/>
    <x v="6"/>
    <d v="2024-06-21T00:00:00"/>
    <s v="North"/>
    <s v="India"/>
    <s v="Gujarat"/>
    <s v="Delhi"/>
    <x v="6"/>
    <x v="0"/>
    <s v="Office Supplies"/>
    <s v="Table"/>
    <s v="Product_45"/>
    <x v="1"/>
    <x v="1"/>
    <s v="Debit Card"/>
    <s v="High"/>
    <n v="9"/>
    <n v="19348"/>
    <n v="15"/>
    <n v="148012.20000000001"/>
    <n v="24591.64"/>
    <x v="2"/>
  </r>
  <r>
    <s v="ORD00008"/>
    <x v="7"/>
    <d v="2023-02-02T00:00:00"/>
    <s v="East"/>
    <s v="India"/>
    <s v="Tamil Nadu"/>
    <s v="Mumbai"/>
    <x v="7"/>
    <x v="2"/>
    <s v="Electronics"/>
    <s v="Table"/>
    <s v="Product_41"/>
    <x v="5"/>
    <x v="1"/>
    <s v="Credit Card"/>
    <s v="Medium"/>
    <n v="3"/>
    <n v="46710"/>
    <n v="5"/>
    <n v="133123.5"/>
    <n v="25471.3"/>
    <x v="1"/>
  </r>
  <r>
    <s v="ORD00009"/>
    <x v="8"/>
    <d v="2023-11-06T00:00:00"/>
    <s v="South"/>
    <s v="India"/>
    <s v="Tamil Nadu"/>
    <s v="Bangalore"/>
    <x v="8"/>
    <x v="2"/>
    <s v="Office Supplies"/>
    <s v="Storage"/>
    <s v="Product_191"/>
    <x v="1"/>
    <x v="1"/>
    <s v="Net Banking"/>
    <s v="Medium"/>
    <n v="1"/>
    <n v="10787"/>
    <n v="5"/>
    <n v="10247.65"/>
    <n v="387.96"/>
    <x v="3"/>
  </r>
  <r>
    <s v="ORD00010"/>
    <x v="9"/>
    <d v="2024-05-21T00:00:00"/>
    <s v="East"/>
    <s v="India"/>
    <s v="Tamil Nadu"/>
    <s v="Chennai"/>
    <x v="9"/>
    <x v="0"/>
    <s v="Furniture"/>
    <s v="Printer"/>
    <s v="Product_174"/>
    <x v="4"/>
    <x v="1"/>
    <s v="Credit Card"/>
    <s v="Medium"/>
    <n v="2"/>
    <n v="46827"/>
    <n v="20"/>
    <n v="74923.199999999997"/>
    <n v="-7411.97"/>
    <x v="4"/>
  </r>
  <r>
    <s v="ORD00011"/>
    <x v="10"/>
    <d v="2022-06-04T00:00:00"/>
    <s v="South"/>
    <s v="India"/>
    <s v="Karnataka"/>
    <s v="Ahmedabad"/>
    <x v="10"/>
    <x v="1"/>
    <s v="Office Supplies"/>
    <s v="Printer"/>
    <s v="Product_121"/>
    <x v="5"/>
    <x v="1"/>
    <s v="Debit Card"/>
    <s v="Critical"/>
    <n v="7"/>
    <n v="18329"/>
    <n v="20"/>
    <n v="102642.4"/>
    <n v="-6604.92"/>
    <x v="4"/>
  </r>
  <r>
    <s v="ORD00012"/>
    <x v="11"/>
    <d v="2023-02-26T00:00:00"/>
    <s v="North"/>
    <s v="India"/>
    <s v="Delhi"/>
    <s v="Chennai"/>
    <x v="11"/>
    <x v="0"/>
    <s v="Electronics"/>
    <s v="Table"/>
    <s v="Product_21"/>
    <x v="4"/>
    <x v="1"/>
    <s v="Credit Card"/>
    <s v="High"/>
    <n v="8"/>
    <n v="49805"/>
    <n v="15"/>
    <n v="338674"/>
    <n v="55957.29"/>
    <x v="5"/>
  </r>
  <r>
    <s v="ORD00013"/>
    <x v="12"/>
    <d v="2022-05-22T00:00:00"/>
    <s v="South"/>
    <s v="India"/>
    <s v="Gujarat"/>
    <s v="Ahmedabad"/>
    <x v="12"/>
    <x v="0"/>
    <s v="Furniture"/>
    <s v="Printer"/>
    <s v="Product_38"/>
    <x v="3"/>
    <x v="1"/>
    <s v="Cash"/>
    <s v="Low"/>
    <n v="6"/>
    <n v="1782"/>
    <n v="15"/>
    <n v="9088.2000000000007"/>
    <n v="140.79"/>
    <x v="4"/>
  </r>
  <r>
    <s v="ORD00014"/>
    <x v="13"/>
    <d v="2022-02-22T00:00:00"/>
    <s v="West"/>
    <s v="India"/>
    <s v="Gujarat"/>
    <s v="Chennai"/>
    <x v="13"/>
    <x v="2"/>
    <s v="Furniture"/>
    <s v="Storage"/>
    <s v="Product_189"/>
    <x v="1"/>
    <x v="0"/>
    <s v="Cash"/>
    <s v="Medium"/>
    <n v="10"/>
    <n v="43616"/>
    <n v="10"/>
    <n v="392544"/>
    <n v="76026.78"/>
    <x v="5"/>
  </r>
  <r>
    <s v="ORD00015"/>
    <x v="14"/>
    <d v="2022-03-21T00:00:00"/>
    <s v="North"/>
    <s v="India"/>
    <s v="Maharashtra"/>
    <s v="Delhi"/>
    <x v="14"/>
    <x v="0"/>
    <s v="Furniture"/>
    <s v="Laptop"/>
    <s v="Product_171"/>
    <x v="5"/>
    <x v="0"/>
    <s v="Credit Card"/>
    <s v="High"/>
    <n v="1"/>
    <n v="45833"/>
    <n v="20"/>
    <n v="36666.400000000001"/>
    <n v="2315.79"/>
    <x v="0"/>
  </r>
  <r>
    <s v="ORD00016"/>
    <x v="15"/>
    <d v="2022-01-14T00:00:00"/>
    <s v="West"/>
    <s v="India"/>
    <s v="Delhi"/>
    <s v="Delhi"/>
    <x v="15"/>
    <x v="1"/>
    <s v="Electronics"/>
    <s v="Laptop"/>
    <s v="Product_162"/>
    <x v="4"/>
    <x v="0"/>
    <s v="Debit Card"/>
    <s v="Critical"/>
    <n v="5"/>
    <n v="48554"/>
    <n v="10"/>
    <n v="218493"/>
    <n v="-7450.51"/>
    <x v="1"/>
  </r>
  <r>
    <s v="ORD00017"/>
    <x v="16"/>
    <d v="2022-03-15T00:00:00"/>
    <s v="North"/>
    <s v="India"/>
    <s v="Gujarat"/>
    <s v="Bangalore"/>
    <x v="16"/>
    <x v="2"/>
    <s v="Office Supplies"/>
    <s v="Printer"/>
    <s v="Product_53"/>
    <x v="5"/>
    <x v="1"/>
    <s v="Cash"/>
    <s v="Low"/>
    <n v="1"/>
    <n v="11708"/>
    <n v="20"/>
    <n v="9366.4"/>
    <n v="446.8"/>
    <x v="0"/>
  </r>
  <r>
    <s v="ORD00018"/>
    <x v="17"/>
    <d v="2022-04-15T00:00:00"/>
    <s v="West"/>
    <s v="India"/>
    <s v="Delhi"/>
    <s v="Mumbai"/>
    <x v="17"/>
    <x v="1"/>
    <s v="Electronics"/>
    <s v="Storage"/>
    <s v="Product_110"/>
    <x v="5"/>
    <x v="0"/>
    <s v="Credit Card"/>
    <s v="Critical"/>
    <n v="1"/>
    <n v="33837"/>
    <n v="5"/>
    <n v="32145.15"/>
    <n v="7005.04"/>
    <x v="6"/>
  </r>
  <r>
    <s v="ORD00019"/>
    <x v="18"/>
    <d v="2022-05-10T00:00:00"/>
    <s v="North"/>
    <s v="India"/>
    <s v="Delhi"/>
    <s v="Mumbai"/>
    <x v="18"/>
    <x v="2"/>
    <s v="Electronics"/>
    <s v="Storage"/>
    <s v="Product_96"/>
    <x v="4"/>
    <x v="0"/>
    <s v="Credit Card"/>
    <s v="Low"/>
    <n v="5"/>
    <n v="31535"/>
    <n v="5"/>
    <n v="149791.25"/>
    <n v="19517.580000000002"/>
    <x v="4"/>
  </r>
  <r>
    <s v="ORD00020"/>
    <x v="19"/>
    <d v="2023-09-25T00:00:00"/>
    <s v="South"/>
    <s v="India"/>
    <s v="Maharashtra"/>
    <s v="Ahmedabad"/>
    <x v="19"/>
    <x v="0"/>
    <s v="Office Supplies"/>
    <s v="Chair"/>
    <s v="Product_199"/>
    <x v="2"/>
    <x v="1"/>
    <s v="UPI"/>
    <s v="Low"/>
    <n v="5"/>
    <n v="22152"/>
    <n v="20"/>
    <n v="88608"/>
    <n v="-199.08"/>
    <x v="7"/>
  </r>
  <r>
    <s v="ORD00021"/>
    <x v="20"/>
    <d v="2023-08-23T00:00:00"/>
    <s v="East"/>
    <s v="India"/>
    <s v="Karnataka"/>
    <s v="Ahmedabad"/>
    <x v="20"/>
    <x v="0"/>
    <s v="Electronics"/>
    <s v="Mobile"/>
    <s v="Product_167"/>
    <x v="5"/>
    <x v="1"/>
    <s v="Debit Card"/>
    <s v="High"/>
    <n v="5"/>
    <n v="12672"/>
    <n v="20"/>
    <n v="50688"/>
    <n v="-8257.99"/>
    <x v="8"/>
  </r>
  <r>
    <s v="ORD00022"/>
    <x v="21"/>
    <d v="2022-04-08T00:00:00"/>
    <s v="North"/>
    <s v="India"/>
    <s v="Tamil Nadu"/>
    <s v="Chennai"/>
    <x v="21"/>
    <x v="1"/>
    <s v="Furniture"/>
    <s v="Laptop"/>
    <s v="Product_198"/>
    <x v="3"/>
    <x v="1"/>
    <s v="Credit Card"/>
    <s v="Medium"/>
    <n v="1"/>
    <n v="27817"/>
    <n v="0"/>
    <n v="27817"/>
    <n v="4426.18"/>
    <x v="6"/>
  </r>
  <r>
    <s v="ORD00023"/>
    <x v="22"/>
    <d v="2024-04-14T00:00:00"/>
    <s v="East"/>
    <s v="India"/>
    <s v="Karnataka"/>
    <s v="Bangalore"/>
    <x v="22"/>
    <x v="0"/>
    <s v="Furniture"/>
    <s v="Mobile"/>
    <s v="Product_149"/>
    <x v="5"/>
    <x v="0"/>
    <s v="Credit Card"/>
    <s v="Medium"/>
    <n v="4"/>
    <n v="48278"/>
    <n v="5"/>
    <n v="183456.4"/>
    <n v="33650.5"/>
    <x v="6"/>
  </r>
  <r>
    <s v="ORD00024"/>
    <x v="23"/>
    <d v="2022-08-26T00:00:00"/>
    <s v="North"/>
    <s v="India"/>
    <s v="Maharashtra"/>
    <s v="Ahmedabad"/>
    <x v="23"/>
    <x v="0"/>
    <s v="Electronics"/>
    <s v="Mobile"/>
    <s v="Product_113"/>
    <x v="2"/>
    <x v="1"/>
    <s v="Cash"/>
    <s v="High"/>
    <n v="10"/>
    <n v="38128"/>
    <n v="10"/>
    <n v="343152"/>
    <n v="-1019.84"/>
    <x v="8"/>
  </r>
  <r>
    <s v="ORD00025"/>
    <x v="24"/>
    <d v="2022-09-14T00:00:00"/>
    <s v="North"/>
    <s v="India"/>
    <s v="Tamil Nadu"/>
    <s v="Mumbai"/>
    <x v="24"/>
    <x v="1"/>
    <s v="Electronics"/>
    <s v="Chair"/>
    <s v="Product_140"/>
    <x v="0"/>
    <x v="0"/>
    <s v="Net Banking"/>
    <s v="Critical"/>
    <n v="8"/>
    <n v="22162"/>
    <n v="5"/>
    <n v="168431.2"/>
    <n v="8707.5400000000009"/>
    <x v="7"/>
  </r>
  <r>
    <s v="ORD00026"/>
    <x v="25"/>
    <d v="2022-04-19T00:00:00"/>
    <s v="East"/>
    <s v="India"/>
    <s v="Gujarat"/>
    <s v="Chennai"/>
    <x v="25"/>
    <x v="0"/>
    <s v="Office Supplies"/>
    <s v="Storage"/>
    <s v="Product_183"/>
    <x v="3"/>
    <x v="0"/>
    <s v="UPI"/>
    <s v="Low"/>
    <n v="2"/>
    <n v="12053"/>
    <n v="20"/>
    <n v="19284.8"/>
    <n v="1865.84"/>
    <x v="6"/>
  </r>
  <r>
    <s v="ORD00027"/>
    <x v="26"/>
    <d v="2023-12-07T00:00:00"/>
    <s v="North"/>
    <s v="India"/>
    <s v="Maharashtra"/>
    <s v="Mumbai"/>
    <x v="26"/>
    <x v="2"/>
    <s v="Office Supplies"/>
    <s v="Chair"/>
    <s v="Product_100"/>
    <x v="3"/>
    <x v="1"/>
    <s v="Debit Card"/>
    <s v="Critical"/>
    <n v="2"/>
    <n v="17652"/>
    <n v="10"/>
    <n v="31773.599999999999"/>
    <n v="1569.28"/>
    <x v="9"/>
  </r>
  <r>
    <s v="ORD00028"/>
    <x v="27"/>
    <d v="2024-04-01T00:00:00"/>
    <s v="East"/>
    <s v="India"/>
    <s v="Karnataka"/>
    <s v="Ahmedabad"/>
    <x v="27"/>
    <x v="0"/>
    <s v="Office Supplies"/>
    <s v="Mobile"/>
    <s v="Product_143"/>
    <x v="3"/>
    <x v="1"/>
    <s v="Cash"/>
    <s v="Critical"/>
    <n v="8"/>
    <n v="46160"/>
    <n v="0"/>
    <n v="369280"/>
    <n v="107362.33"/>
    <x v="0"/>
  </r>
  <r>
    <s v="ORD00029"/>
    <x v="3"/>
    <d v="2023-01-31T00:00:00"/>
    <s v="West"/>
    <s v="India"/>
    <s v="Maharashtra"/>
    <s v="Ahmedabad"/>
    <x v="28"/>
    <x v="1"/>
    <s v="Office Supplies"/>
    <s v="Chair"/>
    <s v="Product_102"/>
    <x v="0"/>
    <x v="0"/>
    <s v="Net Banking"/>
    <s v="Low"/>
    <n v="2"/>
    <n v="22972"/>
    <n v="15"/>
    <n v="39052.400000000001"/>
    <n v="1511.19"/>
    <x v="1"/>
  </r>
  <r>
    <s v="ORD00030"/>
    <x v="28"/>
    <d v="2022-10-24T00:00:00"/>
    <s v="West"/>
    <s v="India"/>
    <s v="Tamil Nadu"/>
    <s v="Bangalore"/>
    <x v="29"/>
    <x v="0"/>
    <s v="Electronics"/>
    <s v="Mobile"/>
    <s v="Product_192"/>
    <x v="3"/>
    <x v="0"/>
    <s v="UPI"/>
    <s v="Low"/>
    <n v="6"/>
    <n v="4276"/>
    <n v="20"/>
    <n v="20524.8"/>
    <n v="1634.75"/>
    <x v="10"/>
  </r>
  <r>
    <s v="ORD00031"/>
    <x v="29"/>
    <d v="2024-06-15T00:00:00"/>
    <s v="South"/>
    <s v="India"/>
    <s v="Gujarat"/>
    <s v="Bangalore"/>
    <x v="30"/>
    <x v="0"/>
    <s v="Furniture"/>
    <s v="Chair"/>
    <s v="Product_63"/>
    <x v="3"/>
    <x v="0"/>
    <s v="Net Banking"/>
    <s v="High"/>
    <n v="5"/>
    <n v="28873"/>
    <n v="10"/>
    <n v="129928.5"/>
    <n v="-3398.82"/>
    <x v="2"/>
  </r>
  <r>
    <s v="ORD00032"/>
    <x v="30"/>
    <d v="2023-01-13T00:00:00"/>
    <s v="South"/>
    <s v="India"/>
    <s v="Karnataka"/>
    <s v="Ahmedabad"/>
    <x v="31"/>
    <x v="2"/>
    <s v="Electronics"/>
    <s v="Storage"/>
    <s v="Product_79"/>
    <x v="2"/>
    <x v="1"/>
    <s v="Cash"/>
    <s v="High"/>
    <n v="9"/>
    <n v="49562"/>
    <n v="10"/>
    <n v="401452.2"/>
    <n v="9254.7900000000009"/>
    <x v="1"/>
  </r>
  <r>
    <s v="ORD00033"/>
    <x v="31"/>
    <d v="2024-06-03T00:00:00"/>
    <s v="East"/>
    <s v="India"/>
    <s v="Maharashtra"/>
    <s v="Ahmedabad"/>
    <x v="32"/>
    <x v="0"/>
    <s v="Furniture"/>
    <s v="Laptop"/>
    <s v="Product_32"/>
    <x v="5"/>
    <x v="0"/>
    <s v="UPI"/>
    <s v="Medium"/>
    <n v="9"/>
    <n v="12298"/>
    <n v="15"/>
    <n v="94079.7"/>
    <n v="-4681.93"/>
    <x v="4"/>
  </r>
  <r>
    <s v="ORD00034"/>
    <x v="32"/>
    <d v="2024-03-09T00:00:00"/>
    <s v="South"/>
    <s v="India"/>
    <s v="Tamil Nadu"/>
    <s v="Chennai"/>
    <x v="33"/>
    <x v="2"/>
    <s v="Furniture"/>
    <s v="Storage"/>
    <s v="Product_42"/>
    <x v="5"/>
    <x v="1"/>
    <s v="Credit Card"/>
    <s v="Medium"/>
    <n v="10"/>
    <n v="28052"/>
    <n v="0"/>
    <n v="280520"/>
    <n v="37539.019999999997"/>
    <x v="0"/>
  </r>
  <r>
    <s v="ORD00035"/>
    <x v="33"/>
    <d v="2023-08-13T00:00:00"/>
    <s v="North"/>
    <s v="India"/>
    <s v="Delhi"/>
    <s v="Mumbai"/>
    <x v="34"/>
    <x v="2"/>
    <s v="Office Supplies"/>
    <s v="Mobile"/>
    <s v="Product_160"/>
    <x v="2"/>
    <x v="0"/>
    <s v="Cash"/>
    <s v="Critical"/>
    <n v="9"/>
    <n v="44223"/>
    <n v="15"/>
    <n v="338305.95"/>
    <n v="40479.160000000003"/>
    <x v="8"/>
  </r>
  <r>
    <s v="ORD00036"/>
    <x v="34"/>
    <d v="2023-04-21T00:00:00"/>
    <s v="East"/>
    <s v="India"/>
    <s v="Karnataka"/>
    <s v="Delhi"/>
    <x v="35"/>
    <x v="2"/>
    <s v="Office Supplies"/>
    <s v="Chair"/>
    <s v="Product_88"/>
    <x v="4"/>
    <x v="0"/>
    <s v="Net Banking"/>
    <s v="Low"/>
    <n v="9"/>
    <n v="24314"/>
    <n v="0"/>
    <n v="218826"/>
    <n v="39737.33"/>
    <x v="6"/>
  </r>
  <r>
    <s v="ORD00037"/>
    <x v="35"/>
    <d v="2022-10-04T00:00:00"/>
    <s v="North"/>
    <s v="India"/>
    <s v="Karnataka"/>
    <s v="Ahmedabad"/>
    <x v="36"/>
    <x v="2"/>
    <s v="Office Supplies"/>
    <s v="Laptop"/>
    <s v="Product_39"/>
    <x v="2"/>
    <x v="0"/>
    <s v="Credit Card"/>
    <s v="Medium"/>
    <n v="5"/>
    <n v="2210"/>
    <n v="10"/>
    <n v="9945"/>
    <n v="2039.84"/>
    <x v="7"/>
  </r>
  <r>
    <s v="ORD00038"/>
    <x v="36"/>
    <d v="2023-05-13T00:00:00"/>
    <s v="North"/>
    <s v="India"/>
    <s v="Gujarat"/>
    <s v="Ahmedabad"/>
    <x v="37"/>
    <x v="1"/>
    <s v="Electronics"/>
    <s v="Mobile"/>
    <s v="Product_47"/>
    <x v="5"/>
    <x v="0"/>
    <s v="Credit Card"/>
    <s v="High"/>
    <n v="8"/>
    <n v="17701"/>
    <n v="10"/>
    <n v="127447.2"/>
    <n v="26222.99"/>
    <x v="4"/>
  </r>
  <r>
    <s v="ORD00039"/>
    <x v="37"/>
    <d v="2024-02-28T00:00:00"/>
    <s v="East"/>
    <s v="India"/>
    <s v="Maharashtra"/>
    <s v="Bangalore"/>
    <x v="38"/>
    <x v="0"/>
    <s v="Office Supplies"/>
    <s v="Storage"/>
    <s v="Product_131"/>
    <x v="0"/>
    <x v="0"/>
    <s v="Net Banking"/>
    <s v="High"/>
    <n v="9"/>
    <n v="19442"/>
    <n v="20"/>
    <n v="139982.39999999999"/>
    <n v="-10571.29"/>
    <x v="5"/>
  </r>
  <r>
    <s v="ORD00040"/>
    <x v="38"/>
    <d v="2023-04-11T00:00:00"/>
    <s v="North"/>
    <s v="India"/>
    <s v="Tamil Nadu"/>
    <s v="Delhi"/>
    <x v="39"/>
    <x v="2"/>
    <s v="Furniture"/>
    <s v="Laptop"/>
    <s v="Product_190"/>
    <x v="1"/>
    <x v="0"/>
    <s v="Cash"/>
    <s v="High"/>
    <n v="9"/>
    <n v="13193"/>
    <n v="5"/>
    <n v="112800.15"/>
    <n v="15206.58"/>
    <x v="6"/>
  </r>
  <r>
    <s v="ORD00041"/>
    <x v="39"/>
    <d v="2024-05-09T00:00:00"/>
    <s v="West"/>
    <s v="India"/>
    <s v="Karnataka"/>
    <s v="Bangalore"/>
    <x v="40"/>
    <x v="0"/>
    <s v="Office Supplies"/>
    <s v="Storage"/>
    <s v="Product_138"/>
    <x v="2"/>
    <x v="0"/>
    <s v="UPI"/>
    <s v="Critical"/>
    <n v="6"/>
    <n v="2013"/>
    <n v="20"/>
    <n v="9662.4"/>
    <n v="-455.29"/>
    <x v="6"/>
  </r>
  <r>
    <s v="ORD00042"/>
    <x v="40"/>
    <d v="2023-12-13T00:00:00"/>
    <s v="North"/>
    <s v="India"/>
    <s v="Delhi"/>
    <s v="Mumbai"/>
    <x v="41"/>
    <x v="0"/>
    <s v="Electronics"/>
    <s v="Table"/>
    <s v="Product_143"/>
    <x v="1"/>
    <x v="0"/>
    <s v="Debit Card"/>
    <s v="Medium"/>
    <n v="9"/>
    <n v="2647"/>
    <n v="10"/>
    <n v="21440.7"/>
    <n v="-284.89"/>
    <x v="9"/>
  </r>
  <r>
    <s v="ORD00043"/>
    <x v="41"/>
    <d v="2023-06-22T00:00:00"/>
    <s v="South"/>
    <s v="India"/>
    <s v="Delhi"/>
    <s v="Mumbai"/>
    <x v="42"/>
    <x v="1"/>
    <s v="Furniture"/>
    <s v="Mobile"/>
    <s v="Product_141"/>
    <x v="0"/>
    <x v="0"/>
    <s v="Cash"/>
    <s v="Medium"/>
    <n v="1"/>
    <n v="37076"/>
    <n v="5"/>
    <n v="35222.199999999997"/>
    <n v="2673.32"/>
    <x v="2"/>
  </r>
  <r>
    <s v="ORD00044"/>
    <x v="42"/>
    <d v="2022-08-21T00:00:00"/>
    <s v="South"/>
    <s v="India"/>
    <s v="Karnataka"/>
    <s v="Ahmedabad"/>
    <x v="43"/>
    <x v="2"/>
    <s v="Electronics"/>
    <s v="Laptop"/>
    <s v="Product_111"/>
    <x v="4"/>
    <x v="1"/>
    <s v="Cash"/>
    <s v="High"/>
    <n v="1"/>
    <n v="5395"/>
    <n v="20"/>
    <n v="4316"/>
    <n v="298.14999999999998"/>
    <x v="8"/>
  </r>
  <r>
    <s v="ORD00045"/>
    <x v="43"/>
    <d v="2022-07-20T00:00:00"/>
    <s v="East"/>
    <s v="India"/>
    <s v="Maharashtra"/>
    <s v="Bangalore"/>
    <x v="44"/>
    <x v="2"/>
    <s v="Furniture"/>
    <s v="Laptop"/>
    <s v="Product_63"/>
    <x v="2"/>
    <x v="0"/>
    <s v="Net Banking"/>
    <s v="Medium"/>
    <n v="3"/>
    <n v="42319"/>
    <n v="0"/>
    <n v="126957"/>
    <n v="35149.85"/>
    <x v="11"/>
  </r>
  <r>
    <s v="ORD00046"/>
    <x v="44"/>
    <d v="2022-08-21T00:00:00"/>
    <s v="South"/>
    <s v="India"/>
    <s v="Delhi"/>
    <s v="Bangalore"/>
    <x v="45"/>
    <x v="1"/>
    <s v="Electronics"/>
    <s v="Storage"/>
    <s v="Product_98"/>
    <x v="3"/>
    <x v="0"/>
    <s v="Credit Card"/>
    <s v="High"/>
    <n v="1"/>
    <n v="10408"/>
    <n v="10"/>
    <n v="9367.2000000000007"/>
    <n v="1859.89"/>
    <x v="8"/>
  </r>
  <r>
    <s v="ORD00047"/>
    <x v="45"/>
    <d v="2022-06-05T00:00:00"/>
    <s v="North"/>
    <s v="India"/>
    <s v="Tamil Nadu"/>
    <s v="Ahmedabad"/>
    <x v="46"/>
    <x v="2"/>
    <s v="Furniture"/>
    <s v="Mobile"/>
    <s v="Product_3"/>
    <x v="5"/>
    <x v="0"/>
    <s v="UPI"/>
    <s v="Critical"/>
    <n v="7"/>
    <n v="6480"/>
    <n v="15"/>
    <n v="38556"/>
    <n v="1119.9000000000001"/>
    <x v="4"/>
  </r>
  <r>
    <s v="ORD00048"/>
    <x v="46"/>
    <d v="2024-08-03T00:00:00"/>
    <s v="East"/>
    <s v="India"/>
    <s v="Maharashtra"/>
    <s v="Mumbai"/>
    <x v="47"/>
    <x v="1"/>
    <s v="Electronics"/>
    <s v="Storage"/>
    <s v="Product_163"/>
    <x v="3"/>
    <x v="0"/>
    <s v="UPI"/>
    <s v="High"/>
    <n v="3"/>
    <n v="38540"/>
    <n v="0"/>
    <n v="115620"/>
    <n v="18664.79"/>
    <x v="11"/>
  </r>
  <r>
    <s v="ORD00049"/>
    <x v="47"/>
    <d v="2023-05-02T00:00:00"/>
    <s v="North"/>
    <s v="India"/>
    <s v="Tamil Nadu"/>
    <s v="Mumbai"/>
    <x v="48"/>
    <x v="2"/>
    <s v="Office Supplies"/>
    <s v="Storage"/>
    <s v="Product_46"/>
    <x v="5"/>
    <x v="0"/>
    <s v="Net Banking"/>
    <s v="High"/>
    <n v="9"/>
    <n v="39582"/>
    <n v="15"/>
    <n v="302802.3"/>
    <n v="-18114.96"/>
    <x v="6"/>
  </r>
  <r>
    <s v="ORD00050"/>
    <x v="48"/>
    <d v="2023-07-19T00:00:00"/>
    <s v="North"/>
    <s v="India"/>
    <s v="Karnataka"/>
    <s v="Delhi"/>
    <x v="49"/>
    <x v="0"/>
    <s v="Electronics"/>
    <s v="Table"/>
    <s v="Product_162"/>
    <x v="1"/>
    <x v="0"/>
    <s v="Cash"/>
    <s v="Medium"/>
    <n v="7"/>
    <n v="2517"/>
    <n v="0"/>
    <n v="17619"/>
    <n v="2195.6799999999998"/>
    <x v="11"/>
  </r>
  <r>
    <s v="ORD00051"/>
    <x v="49"/>
    <d v="2022-07-13T00:00:00"/>
    <s v="North"/>
    <s v="India"/>
    <s v="Maharashtra"/>
    <s v="Delhi"/>
    <x v="50"/>
    <x v="2"/>
    <s v="Electronics"/>
    <s v="Table"/>
    <s v="Product_10"/>
    <x v="2"/>
    <x v="1"/>
    <s v="Cash"/>
    <s v="Critical"/>
    <n v="2"/>
    <n v="27999"/>
    <n v="5"/>
    <n v="53198.1"/>
    <n v="11279.91"/>
    <x v="11"/>
  </r>
  <r>
    <s v="ORD00052"/>
    <x v="50"/>
    <d v="2024-07-11T00:00:00"/>
    <s v="West"/>
    <s v="India"/>
    <s v="Gujarat"/>
    <s v="Chennai"/>
    <x v="51"/>
    <x v="1"/>
    <s v="Office Supplies"/>
    <s v="Storage"/>
    <s v="Product_172"/>
    <x v="2"/>
    <x v="0"/>
    <s v="Cash"/>
    <s v="Critical"/>
    <n v="9"/>
    <n v="22737"/>
    <n v="10"/>
    <n v="184169.7"/>
    <n v="22380.92"/>
    <x v="11"/>
  </r>
  <r>
    <s v="ORD00053"/>
    <x v="51"/>
    <d v="2023-12-10T00:00:00"/>
    <s v="West"/>
    <s v="India"/>
    <s v="Gujarat"/>
    <s v="Bangalore"/>
    <x v="52"/>
    <x v="0"/>
    <s v="Office Supplies"/>
    <s v="Printer"/>
    <s v="Product_74"/>
    <x v="3"/>
    <x v="0"/>
    <s v="UPI"/>
    <s v="Low"/>
    <n v="6"/>
    <n v="16655"/>
    <n v="5"/>
    <n v="94933.5"/>
    <n v="9695.2199999999993"/>
    <x v="9"/>
  </r>
  <r>
    <s v="ORD00054"/>
    <x v="52"/>
    <d v="2022-01-31T00:00:00"/>
    <s v="South"/>
    <s v="India"/>
    <s v="Tamil Nadu"/>
    <s v="Ahmedabad"/>
    <x v="53"/>
    <x v="0"/>
    <s v="Office Supplies"/>
    <s v="Mobile"/>
    <s v="Product_195"/>
    <x v="1"/>
    <x v="0"/>
    <s v="Cash"/>
    <s v="Low"/>
    <n v="1"/>
    <n v="7269"/>
    <n v="15"/>
    <n v="6178.65"/>
    <n v="624.47"/>
    <x v="1"/>
  </r>
  <r>
    <s v="ORD00055"/>
    <x v="53"/>
    <d v="2024-09-14T00:00:00"/>
    <s v="North"/>
    <s v="India"/>
    <s v="Gujarat"/>
    <s v="Ahmedabad"/>
    <x v="54"/>
    <x v="0"/>
    <s v="Office Supplies"/>
    <s v="Mobile"/>
    <s v="Product_36"/>
    <x v="3"/>
    <x v="1"/>
    <s v="UPI"/>
    <s v="Critical"/>
    <n v="6"/>
    <n v="31953"/>
    <n v="15"/>
    <n v="162960.29999999999"/>
    <n v="21267.11"/>
    <x v="7"/>
  </r>
  <r>
    <s v="ORD00056"/>
    <x v="54"/>
    <d v="2023-01-10T00:00:00"/>
    <s v="East"/>
    <s v="India"/>
    <s v="Delhi"/>
    <s v="Chennai"/>
    <x v="55"/>
    <x v="1"/>
    <s v="Office Supplies"/>
    <s v="Storage"/>
    <s v="Product_127"/>
    <x v="4"/>
    <x v="0"/>
    <s v="UPI"/>
    <s v="Low"/>
    <n v="3"/>
    <n v="22029"/>
    <n v="10"/>
    <n v="59478.3"/>
    <n v="9170.7800000000007"/>
    <x v="1"/>
  </r>
  <r>
    <s v="ORD00057"/>
    <x v="55"/>
    <d v="2024-05-12T00:00:00"/>
    <s v="North"/>
    <s v="India"/>
    <s v="Karnataka"/>
    <s v="Chennai"/>
    <x v="56"/>
    <x v="2"/>
    <s v="Electronics"/>
    <s v="Laptop"/>
    <s v="Product_33"/>
    <x v="1"/>
    <x v="0"/>
    <s v="Net Banking"/>
    <s v="Critical"/>
    <n v="3"/>
    <n v="21721"/>
    <n v="20"/>
    <n v="52130.400000000001"/>
    <n v="-7441.28"/>
    <x v="4"/>
  </r>
  <r>
    <s v="ORD00058"/>
    <x v="56"/>
    <d v="2022-12-09T00:00:00"/>
    <s v="North"/>
    <s v="India"/>
    <s v="Maharashtra"/>
    <s v="Chennai"/>
    <x v="57"/>
    <x v="0"/>
    <s v="Furniture"/>
    <s v="Laptop"/>
    <s v="Product_168"/>
    <x v="4"/>
    <x v="1"/>
    <s v="Debit Card"/>
    <s v="Medium"/>
    <n v="1"/>
    <n v="3069"/>
    <n v="15"/>
    <n v="2608.65"/>
    <n v="25.61"/>
    <x v="9"/>
  </r>
  <r>
    <s v="ORD00059"/>
    <x v="57"/>
    <d v="2024-08-21T00:00:00"/>
    <s v="South"/>
    <s v="India"/>
    <s v="Tamil Nadu"/>
    <s v="Chennai"/>
    <x v="58"/>
    <x v="2"/>
    <s v="Electronics"/>
    <s v="Mobile"/>
    <s v="Product_94"/>
    <x v="1"/>
    <x v="1"/>
    <s v="UPI"/>
    <s v="Critical"/>
    <n v="1"/>
    <n v="11582"/>
    <n v="5"/>
    <n v="11002.9"/>
    <n v="1490.66"/>
    <x v="8"/>
  </r>
  <r>
    <s v="ORD00060"/>
    <x v="58"/>
    <d v="2024-04-24T00:00:00"/>
    <s v="East"/>
    <s v="India"/>
    <s v="Maharashtra"/>
    <s v="Bangalore"/>
    <x v="59"/>
    <x v="0"/>
    <s v="Electronics"/>
    <s v="Chair"/>
    <s v="Product_5"/>
    <x v="4"/>
    <x v="1"/>
    <s v="Cash"/>
    <s v="Medium"/>
    <n v="1"/>
    <n v="16985"/>
    <n v="15"/>
    <n v="14437.25"/>
    <n v="1726.85"/>
    <x v="6"/>
  </r>
  <r>
    <s v="ORD00061"/>
    <x v="59"/>
    <d v="2024-08-08T00:00:00"/>
    <s v="West"/>
    <s v="India"/>
    <s v="Maharashtra"/>
    <s v="Delhi"/>
    <x v="60"/>
    <x v="1"/>
    <s v="Furniture"/>
    <s v="Storage"/>
    <s v="Product_123"/>
    <x v="2"/>
    <x v="1"/>
    <s v="Credit Card"/>
    <s v="Critical"/>
    <n v="9"/>
    <n v="40039"/>
    <n v="10"/>
    <n v="324315.90000000002"/>
    <n v="-15534.79"/>
    <x v="8"/>
  </r>
  <r>
    <s v="ORD00062"/>
    <x v="60"/>
    <d v="2023-02-18T00:00:00"/>
    <s v="West"/>
    <s v="India"/>
    <s v="Tamil Nadu"/>
    <s v="Bangalore"/>
    <x v="61"/>
    <x v="2"/>
    <s v="Electronics"/>
    <s v="Chair"/>
    <s v="Product_90"/>
    <x v="3"/>
    <x v="0"/>
    <s v="Debit Card"/>
    <s v="Low"/>
    <n v="2"/>
    <n v="6526"/>
    <n v="20"/>
    <n v="10441.6"/>
    <n v="463.53"/>
    <x v="5"/>
  </r>
  <r>
    <s v="ORD00063"/>
    <x v="61"/>
    <d v="2022-08-12T00:00:00"/>
    <s v="West"/>
    <s v="India"/>
    <s v="Tamil Nadu"/>
    <s v="Delhi"/>
    <x v="62"/>
    <x v="2"/>
    <s v="Furniture"/>
    <s v="Printer"/>
    <s v="Product_31"/>
    <x v="4"/>
    <x v="1"/>
    <s v="Net Banking"/>
    <s v="Medium"/>
    <n v="10"/>
    <n v="29843"/>
    <n v="0"/>
    <n v="298430"/>
    <n v="34998.629999999997"/>
    <x v="8"/>
  </r>
  <r>
    <s v="ORD00064"/>
    <x v="62"/>
    <d v="2022-11-09T00:00:00"/>
    <s v="South"/>
    <s v="India"/>
    <s v="Delhi"/>
    <s v="Chennai"/>
    <x v="63"/>
    <x v="1"/>
    <s v="Furniture"/>
    <s v="Chair"/>
    <s v="Product_127"/>
    <x v="1"/>
    <x v="1"/>
    <s v="UPI"/>
    <s v="Critical"/>
    <n v="9"/>
    <n v="21033"/>
    <n v="5"/>
    <n v="179832.15"/>
    <n v="4508.28"/>
    <x v="3"/>
  </r>
  <r>
    <s v="ORD00065"/>
    <x v="63"/>
    <d v="2022-04-28T00:00:00"/>
    <s v="West"/>
    <s v="India"/>
    <s v="Gujarat"/>
    <s v="Bangalore"/>
    <x v="64"/>
    <x v="2"/>
    <s v="Electronics"/>
    <s v="Laptop"/>
    <s v="Product_32"/>
    <x v="0"/>
    <x v="1"/>
    <s v="Net Banking"/>
    <s v="Low"/>
    <n v="6"/>
    <n v="48891"/>
    <n v="15"/>
    <n v="249344.1"/>
    <n v="28904.81"/>
    <x v="6"/>
  </r>
  <r>
    <s v="ORD00066"/>
    <x v="64"/>
    <d v="2024-03-27T00:00:00"/>
    <s v="West"/>
    <s v="India"/>
    <s v="Tamil Nadu"/>
    <s v="Bangalore"/>
    <x v="65"/>
    <x v="1"/>
    <s v="Electronics"/>
    <s v="Chair"/>
    <s v="Product_32"/>
    <x v="5"/>
    <x v="1"/>
    <s v="UPI"/>
    <s v="Low"/>
    <n v="2"/>
    <n v="40993"/>
    <n v="15"/>
    <n v="69688.100000000006"/>
    <n v="9290.5"/>
    <x v="0"/>
  </r>
  <r>
    <s v="ORD00067"/>
    <x v="65"/>
    <d v="2024-01-22T00:00:00"/>
    <s v="East"/>
    <s v="India"/>
    <s v="Tamil Nadu"/>
    <s v="Bangalore"/>
    <x v="66"/>
    <x v="2"/>
    <s v="Furniture"/>
    <s v="Chair"/>
    <s v="Product_47"/>
    <x v="5"/>
    <x v="1"/>
    <s v="Debit Card"/>
    <s v="Low"/>
    <n v="1"/>
    <n v="49746"/>
    <n v="10"/>
    <n v="44771.4"/>
    <n v="9525.2000000000007"/>
    <x v="1"/>
  </r>
  <r>
    <s v="ORD00068"/>
    <x v="66"/>
    <d v="2023-04-06T00:00:00"/>
    <s v="West"/>
    <s v="India"/>
    <s v="Gujarat"/>
    <s v="Delhi"/>
    <x v="67"/>
    <x v="2"/>
    <s v="Office Supplies"/>
    <s v="Table"/>
    <s v="Product_34"/>
    <x v="1"/>
    <x v="1"/>
    <s v="Cash"/>
    <s v="Critical"/>
    <n v="8"/>
    <n v="33743"/>
    <n v="0"/>
    <n v="269944"/>
    <n v="41092.99"/>
    <x v="0"/>
  </r>
  <r>
    <s v="ORD00069"/>
    <x v="67"/>
    <d v="2024-01-18T00:00:00"/>
    <s v="North"/>
    <s v="India"/>
    <s v="Delhi"/>
    <s v="Delhi"/>
    <x v="68"/>
    <x v="0"/>
    <s v="Furniture"/>
    <s v="Storage"/>
    <s v="Product_192"/>
    <x v="2"/>
    <x v="0"/>
    <s v="Credit Card"/>
    <s v="Critical"/>
    <n v="6"/>
    <n v="22810"/>
    <n v="15"/>
    <n v="116331"/>
    <n v="-6227.99"/>
    <x v="1"/>
  </r>
  <r>
    <s v="ORD00070"/>
    <x v="68"/>
    <d v="2022-10-19T00:00:00"/>
    <s v="West"/>
    <s v="India"/>
    <s v="Tamil Nadu"/>
    <s v="Bangalore"/>
    <x v="69"/>
    <x v="0"/>
    <s v="Office Supplies"/>
    <s v="Laptop"/>
    <s v="Product_57"/>
    <x v="1"/>
    <x v="0"/>
    <s v="Cash"/>
    <s v="Critical"/>
    <n v="3"/>
    <n v="19919"/>
    <n v="10"/>
    <n v="53781.3"/>
    <n v="-94.41"/>
    <x v="10"/>
  </r>
  <r>
    <s v="ORD00071"/>
    <x v="69"/>
    <d v="2022-04-29T00:00:00"/>
    <s v="East"/>
    <s v="India"/>
    <s v="Tamil Nadu"/>
    <s v="Bangalore"/>
    <x v="70"/>
    <x v="2"/>
    <s v="Electronics"/>
    <s v="Mobile"/>
    <s v="Product_182"/>
    <x v="5"/>
    <x v="0"/>
    <s v="Net Banking"/>
    <s v="Critical"/>
    <n v="7"/>
    <n v="46901"/>
    <n v="0"/>
    <n v="328307"/>
    <n v="79228.19"/>
    <x v="6"/>
  </r>
  <r>
    <s v="ORD00072"/>
    <x v="70"/>
    <d v="2022-07-07T00:00:00"/>
    <s v="North"/>
    <s v="India"/>
    <s v="Tamil Nadu"/>
    <s v="Delhi"/>
    <x v="71"/>
    <x v="1"/>
    <s v="Office Supplies"/>
    <s v="Laptop"/>
    <s v="Product_53"/>
    <x v="2"/>
    <x v="1"/>
    <s v="UPI"/>
    <s v="Low"/>
    <n v="10"/>
    <n v="13575"/>
    <n v="20"/>
    <n v="108600"/>
    <n v="-8226.32"/>
    <x v="11"/>
  </r>
  <r>
    <s v="ORD00073"/>
    <x v="71"/>
    <d v="2023-08-27T00:00:00"/>
    <s v="North"/>
    <s v="India"/>
    <s v="Tamil Nadu"/>
    <s v="Mumbai"/>
    <x v="72"/>
    <x v="1"/>
    <s v="Electronics"/>
    <s v="Printer"/>
    <s v="Product_158"/>
    <x v="0"/>
    <x v="1"/>
    <s v="Net Banking"/>
    <s v="Medium"/>
    <n v="2"/>
    <n v="46265"/>
    <n v="20"/>
    <n v="74024"/>
    <n v="8076.27"/>
    <x v="8"/>
  </r>
  <r>
    <s v="ORD00074"/>
    <x v="72"/>
    <d v="2023-03-16T00:00:00"/>
    <s v="North"/>
    <s v="India"/>
    <s v="Gujarat"/>
    <s v="Mumbai"/>
    <x v="73"/>
    <x v="0"/>
    <s v="Electronics"/>
    <s v="Mobile"/>
    <s v="Product_80"/>
    <x v="4"/>
    <x v="1"/>
    <s v="Net Banking"/>
    <s v="High"/>
    <n v="1"/>
    <n v="34505"/>
    <n v="0"/>
    <n v="34505"/>
    <n v="4695.21"/>
    <x v="0"/>
  </r>
  <r>
    <s v="ORD00075"/>
    <x v="73"/>
    <d v="2022-06-30T00:00:00"/>
    <s v="North"/>
    <s v="India"/>
    <s v="Delhi"/>
    <s v="Delhi"/>
    <x v="74"/>
    <x v="0"/>
    <s v="Furniture"/>
    <s v="Storage"/>
    <s v="Product_81"/>
    <x v="1"/>
    <x v="1"/>
    <s v="UPI"/>
    <s v="High"/>
    <n v="6"/>
    <n v="31758"/>
    <n v="10"/>
    <n v="171493.2"/>
    <n v="23715.74"/>
    <x v="2"/>
  </r>
  <r>
    <s v="ORD00076"/>
    <x v="74"/>
    <d v="2022-11-16T00:00:00"/>
    <s v="North"/>
    <s v="India"/>
    <s v="Karnataka"/>
    <s v="Mumbai"/>
    <x v="75"/>
    <x v="2"/>
    <s v="Office Supplies"/>
    <s v="Storage"/>
    <s v="Product_142"/>
    <x v="4"/>
    <x v="1"/>
    <s v="Credit Card"/>
    <s v="Low"/>
    <n v="1"/>
    <n v="20483"/>
    <n v="5"/>
    <n v="19458.849999999999"/>
    <n v="4675.03"/>
    <x v="3"/>
  </r>
  <r>
    <s v="ORD00077"/>
    <x v="75"/>
    <d v="2022-03-28T00:00:00"/>
    <s v="South"/>
    <s v="India"/>
    <s v="Karnataka"/>
    <s v="Bangalore"/>
    <x v="76"/>
    <x v="0"/>
    <s v="Electronics"/>
    <s v="Printer"/>
    <s v="Product_143"/>
    <x v="3"/>
    <x v="0"/>
    <s v="Debit Card"/>
    <s v="Medium"/>
    <n v="2"/>
    <n v="43128"/>
    <n v="0"/>
    <n v="86256"/>
    <n v="8414.7999999999993"/>
    <x v="0"/>
  </r>
  <r>
    <s v="ORD00078"/>
    <x v="76"/>
    <d v="2022-06-05T00:00:00"/>
    <s v="South"/>
    <s v="India"/>
    <s v="Delhi"/>
    <s v="Delhi"/>
    <x v="77"/>
    <x v="1"/>
    <s v="Office Supplies"/>
    <s v="Chair"/>
    <s v="Product_162"/>
    <x v="4"/>
    <x v="1"/>
    <s v="Credit Card"/>
    <s v="Low"/>
    <n v="4"/>
    <n v="23649"/>
    <n v="15"/>
    <n v="80406.600000000006"/>
    <n v="-154.80000000000001"/>
    <x v="2"/>
  </r>
  <r>
    <s v="ORD00079"/>
    <x v="77"/>
    <d v="2023-04-25T00:00:00"/>
    <s v="West"/>
    <s v="India"/>
    <s v="Karnataka"/>
    <s v="Bangalore"/>
    <x v="78"/>
    <x v="1"/>
    <s v="Electronics"/>
    <s v="Chair"/>
    <s v="Product_37"/>
    <x v="0"/>
    <x v="1"/>
    <s v="Net Banking"/>
    <s v="Medium"/>
    <n v="1"/>
    <n v="10430"/>
    <n v="20"/>
    <n v="8344"/>
    <n v="897.55"/>
    <x v="6"/>
  </r>
  <r>
    <s v="ORD00080"/>
    <x v="78"/>
    <d v="2023-07-06T00:00:00"/>
    <s v="West"/>
    <s v="India"/>
    <s v="Gujarat"/>
    <s v="Chennai"/>
    <x v="79"/>
    <x v="0"/>
    <s v="Office Supplies"/>
    <s v="Chair"/>
    <s v="Product_7"/>
    <x v="0"/>
    <x v="1"/>
    <s v="Net Banking"/>
    <s v="Critical"/>
    <n v="3"/>
    <n v="47483"/>
    <n v="10"/>
    <n v="128204.1"/>
    <n v="27673.09"/>
    <x v="11"/>
  </r>
  <r>
    <s v="ORD00081"/>
    <x v="79"/>
    <d v="2024-07-05T00:00:00"/>
    <s v="West"/>
    <s v="India"/>
    <s v="Delhi"/>
    <s v="Mumbai"/>
    <x v="80"/>
    <x v="1"/>
    <s v="Electronics"/>
    <s v="Table"/>
    <s v="Product_35"/>
    <x v="2"/>
    <x v="0"/>
    <s v="Debit Card"/>
    <s v="Critical"/>
    <n v="1"/>
    <n v="7749"/>
    <n v="10"/>
    <n v="6974.1"/>
    <n v="-93.3"/>
    <x v="11"/>
  </r>
  <r>
    <s v="ORD00082"/>
    <x v="80"/>
    <d v="2023-03-05T00:00:00"/>
    <s v="West"/>
    <s v="India"/>
    <s v="Maharashtra"/>
    <s v="Ahmedabad"/>
    <x v="81"/>
    <x v="1"/>
    <s v="Furniture"/>
    <s v="Mobile"/>
    <s v="Product_189"/>
    <x v="4"/>
    <x v="0"/>
    <s v="UPI"/>
    <s v="High"/>
    <n v="4"/>
    <n v="38305"/>
    <n v="5"/>
    <n v="145559"/>
    <n v="2401.2600000000002"/>
    <x v="0"/>
  </r>
  <r>
    <s v="ORD00083"/>
    <x v="81"/>
    <d v="2023-01-19T00:00:00"/>
    <s v="South"/>
    <s v="India"/>
    <s v="Gujarat"/>
    <s v="Chennai"/>
    <x v="82"/>
    <x v="1"/>
    <s v="Furniture"/>
    <s v="Laptop"/>
    <s v="Product_78"/>
    <x v="0"/>
    <x v="1"/>
    <s v="Cash"/>
    <s v="Medium"/>
    <n v="9"/>
    <n v="44147"/>
    <n v="5"/>
    <n v="377456.85"/>
    <n v="12759.5"/>
    <x v="1"/>
  </r>
  <r>
    <s v="ORD00084"/>
    <x v="82"/>
    <d v="2024-08-17T00:00:00"/>
    <s v="South"/>
    <s v="India"/>
    <s v="Tamil Nadu"/>
    <s v="Delhi"/>
    <x v="83"/>
    <x v="1"/>
    <s v="Furniture"/>
    <s v="Mobile"/>
    <s v="Product_74"/>
    <x v="3"/>
    <x v="1"/>
    <s v="UPI"/>
    <s v="Critical"/>
    <n v="3"/>
    <n v="22823"/>
    <n v="10"/>
    <n v="61622.1"/>
    <n v="1323.26"/>
    <x v="8"/>
  </r>
  <r>
    <s v="ORD00085"/>
    <x v="83"/>
    <d v="2022-07-02T00:00:00"/>
    <s v="South"/>
    <s v="India"/>
    <s v="Delhi"/>
    <s v="Delhi"/>
    <x v="84"/>
    <x v="1"/>
    <s v="Furniture"/>
    <s v="Printer"/>
    <s v="Product_89"/>
    <x v="5"/>
    <x v="1"/>
    <s v="Credit Card"/>
    <s v="Medium"/>
    <n v="9"/>
    <n v="45015"/>
    <n v="5"/>
    <n v="384878.25"/>
    <n v="78778.2"/>
    <x v="2"/>
  </r>
  <r>
    <s v="ORD00086"/>
    <x v="84"/>
    <d v="2022-07-16T00:00:00"/>
    <s v="North"/>
    <s v="India"/>
    <s v="Gujarat"/>
    <s v="Ahmedabad"/>
    <x v="85"/>
    <x v="1"/>
    <s v="Furniture"/>
    <s v="Laptop"/>
    <s v="Product_138"/>
    <x v="5"/>
    <x v="1"/>
    <s v="Net Banking"/>
    <s v="Critical"/>
    <n v="8"/>
    <n v="1845"/>
    <n v="5"/>
    <n v="14022"/>
    <n v="639.20000000000005"/>
    <x v="11"/>
  </r>
  <r>
    <s v="ORD00087"/>
    <x v="85"/>
    <d v="2023-07-08T00:00:00"/>
    <s v="North"/>
    <s v="India"/>
    <s v="Maharashtra"/>
    <s v="Delhi"/>
    <x v="86"/>
    <x v="1"/>
    <s v="Furniture"/>
    <s v="Storage"/>
    <s v="Product_67"/>
    <x v="0"/>
    <x v="0"/>
    <s v="Debit Card"/>
    <s v="Low"/>
    <n v="8"/>
    <n v="39976"/>
    <n v="10"/>
    <n v="287827.20000000001"/>
    <n v="-5343.6"/>
    <x v="11"/>
  </r>
  <r>
    <s v="ORD00088"/>
    <x v="72"/>
    <d v="2023-03-17T00:00:00"/>
    <s v="West"/>
    <s v="India"/>
    <s v="Delhi"/>
    <s v="Ahmedabad"/>
    <x v="87"/>
    <x v="0"/>
    <s v="Furniture"/>
    <s v="Table"/>
    <s v="Product_56"/>
    <x v="3"/>
    <x v="1"/>
    <s v="Debit Card"/>
    <s v="Low"/>
    <n v="7"/>
    <n v="34006"/>
    <n v="5"/>
    <n v="226139.9"/>
    <n v="52832.74"/>
    <x v="0"/>
  </r>
  <r>
    <s v="ORD00089"/>
    <x v="86"/>
    <d v="2024-07-21T00:00:00"/>
    <s v="North"/>
    <s v="India"/>
    <s v="Gujarat"/>
    <s v="Bangalore"/>
    <x v="88"/>
    <x v="0"/>
    <s v="Furniture"/>
    <s v="Table"/>
    <s v="Product_97"/>
    <x v="3"/>
    <x v="1"/>
    <s v="Cash"/>
    <s v="High"/>
    <n v="1"/>
    <n v="49524"/>
    <n v="20"/>
    <n v="39619.199999999997"/>
    <n v="-4328.33"/>
    <x v="11"/>
  </r>
  <r>
    <s v="ORD00090"/>
    <x v="87"/>
    <d v="2024-01-06T00:00:00"/>
    <s v="East"/>
    <s v="India"/>
    <s v="Maharashtra"/>
    <s v="Mumbai"/>
    <x v="89"/>
    <x v="2"/>
    <s v="Office Supplies"/>
    <s v="Laptop"/>
    <s v="Product_21"/>
    <x v="3"/>
    <x v="0"/>
    <s v="Net Banking"/>
    <s v="Medium"/>
    <n v="2"/>
    <n v="31121"/>
    <n v="0"/>
    <n v="62242"/>
    <n v="16875.41"/>
    <x v="1"/>
  </r>
  <r>
    <s v="ORD00091"/>
    <x v="88"/>
    <d v="2023-03-21T00:00:00"/>
    <s v="West"/>
    <s v="India"/>
    <s v="Maharashtra"/>
    <s v="Mumbai"/>
    <x v="90"/>
    <x v="1"/>
    <s v="Office Supplies"/>
    <s v="Storage"/>
    <s v="Product_195"/>
    <x v="1"/>
    <x v="1"/>
    <s v="Cash"/>
    <s v="Low"/>
    <n v="6"/>
    <n v="8947"/>
    <n v="20"/>
    <n v="42945.599999999999"/>
    <n v="-6338.81"/>
    <x v="0"/>
  </r>
  <r>
    <s v="ORD00092"/>
    <x v="89"/>
    <d v="2022-10-10T00:00:00"/>
    <s v="North"/>
    <s v="India"/>
    <s v="Maharashtra"/>
    <s v="Bangalore"/>
    <x v="91"/>
    <x v="2"/>
    <s v="Electronics"/>
    <s v="Storage"/>
    <s v="Product_138"/>
    <x v="3"/>
    <x v="0"/>
    <s v="UPI"/>
    <s v="High"/>
    <n v="4"/>
    <n v="15181"/>
    <n v="20"/>
    <n v="48579.199999999997"/>
    <n v="-1049.79"/>
    <x v="10"/>
  </r>
  <r>
    <s v="ORD00093"/>
    <x v="90"/>
    <d v="2022-09-20T00:00:00"/>
    <s v="North"/>
    <s v="India"/>
    <s v="Gujarat"/>
    <s v="Mumbai"/>
    <x v="92"/>
    <x v="2"/>
    <s v="Furniture"/>
    <s v="Mobile"/>
    <s v="Product_49"/>
    <x v="1"/>
    <x v="0"/>
    <s v="UPI"/>
    <s v="Low"/>
    <n v="7"/>
    <n v="15832"/>
    <n v="15"/>
    <n v="94200.4"/>
    <n v="9994.42"/>
    <x v="7"/>
  </r>
  <r>
    <s v="ORD00094"/>
    <x v="91"/>
    <d v="2022-04-02T00:00:00"/>
    <s v="North"/>
    <s v="India"/>
    <s v="Karnataka"/>
    <s v="Ahmedabad"/>
    <x v="93"/>
    <x v="2"/>
    <s v="Electronics"/>
    <s v="Laptop"/>
    <s v="Product_178"/>
    <x v="4"/>
    <x v="0"/>
    <s v="Cash"/>
    <s v="Medium"/>
    <n v="5"/>
    <n v="22130"/>
    <n v="15"/>
    <n v="94052.5"/>
    <n v="11262.15"/>
    <x v="0"/>
  </r>
  <r>
    <s v="ORD00095"/>
    <x v="92"/>
    <d v="2023-04-04T00:00:00"/>
    <s v="West"/>
    <s v="India"/>
    <s v="Delhi"/>
    <s v="Ahmedabad"/>
    <x v="94"/>
    <x v="0"/>
    <s v="Office Supplies"/>
    <s v="Mobile"/>
    <s v="Product_159"/>
    <x v="4"/>
    <x v="0"/>
    <s v="Cash"/>
    <s v="Medium"/>
    <n v="7"/>
    <n v="5830"/>
    <n v="10"/>
    <n v="36729"/>
    <n v="3466.42"/>
    <x v="0"/>
  </r>
  <r>
    <s v="ORD00096"/>
    <x v="93"/>
    <d v="2022-01-22T00:00:00"/>
    <s v="West"/>
    <s v="India"/>
    <s v="Tamil Nadu"/>
    <s v="Ahmedabad"/>
    <x v="95"/>
    <x v="2"/>
    <s v="Office Supplies"/>
    <s v="Storage"/>
    <s v="Product_177"/>
    <x v="0"/>
    <x v="0"/>
    <s v="UPI"/>
    <s v="High"/>
    <n v="8"/>
    <n v="20595"/>
    <n v="15"/>
    <n v="140046"/>
    <n v="8084.29"/>
    <x v="1"/>
  </r>
  <r>
    <s v="ORD00097"/>
    <x v="94"/>
    <d v="2023-03-08T00:00:00"/>
    <s v="West"/>
    <s v="India"/>
    <s v="Gujarat"/>
    <s v="Chennai"/>
    <x v="96"/>
    <x v="1"/>
    <s v="Furniture"/>
    <s v="Printer"/>
    <s v="Product_116"/>
    <x v="5"/>
    <x v="0"/>
    <s v="UPI"/>
    <s v="Medium"/>
    <n v="6"/>
    <n v="31309"/>
    <n v="0"/>
    <n v="187854"/>
    <n v="34743.599999999999"/>
    <x v="5"/>
  </r>
  <r>
    <s v="ORD00098"/>
    <x v="74"/>
    <d v="2022-11-09T00:00:00"/>
    <s v="South"/>
    <s v="India"/>
    <s v="Maharashtra"/>
    <s v="Bangalore"/>
    <x v="97"/>
    <x v="2"/>
    <s v="Furniture"/>
    <s v="Mobile"/>
    <s v="Product_27"/>
    <x v="5"/>
    <x v="1"/>
    <s v="UPI"/>
    <s v="Medium"/>
    <n v="7"/>
    <n v="14125"/>
    <n v="10"/>
    <n v="88987.5"/>
    <n v="14467.68"/>
    <x v="3"/>
  </r>
  <r>
    <s v="ORD00099"/>
    <x v="95"/>
    <d v="2022-01-18T00:00:00"/>
    <s v="West"/>
    <s v="India"/>
    <s v="Gujarat"/>
    <s v="Mumbai"/>
    <x v="98"/>
    <x v="1"/>
    <s v="Furniture"/>
    <s v="Mobile"/>
    <s v="Product_158"/>
    <x v="3"/>
    <x v="1"/>
    <s v="Credit Card"/>
    <s v="Critical"/>
    <n v="4"/>
    <n v="46327"/>
    <n v="20"/>
    <n v="148246.39999999999"/>
    <n v="15403.74"/>
    <x v="1"/>
  </r>
  <r>
    <s v="ORD00100"/>
    <x v="96"/>
    <d v="2022-05-04T00:00:00"/>
    <s v="East"/>
    <s v="India"/>
    <s v="Gujarat"/>
    <s v="Chennai"/>
    <x v="99"/>
    <x v="2"/>
    <s v="Office Supplies"/>
    <s v="Table"/>
    <s v="Product_154"/>
    <x v="1"/>
    <x v="0"/>
    <s v="Debit Card"/>
    <s v="Medium"/>
    <n v="5"/>
    <n v="37007"/>
    <n v="5"/>
    <n v="175783.25"/>
    <n v="30785.91"/>
    <x v="6"/>
  </r>
  <r>
    <s v="ORD00101"/>
    <x v="97"/>
    <d v="2024-04-25T00:00:00"/>
    <s v="East"/>
    <s v="India"/>
    <s v="Gujarat"/>
    <s v="Mumbai"/>
    <x v="100"/>
    <x v="0"/>
    <s v="Furniture"/>
    <s v="Printer"/>
    <s v="Product_8"/>
    <x v="3"/>
    <x v="1"/>
    <s v="UPI"/>
    <s v="Medium"/>
    <n v="5"/>
    <n v="27167"/>
    <n v="5"/>
    <n v="129043.25"/>
    <n v="3705.82"/>
    <x v="6"/>
  </r>
  <r>
    <s v="ORD00102"/>
    <x v="98"/>
    <d v="2023-05-13T00:00:00"/>
    <s v="West"/>
    <s v="India"/>
    <s v="Karnataka"/>
    <s v="Delhi"/>
    <x v="101"/>
    <x v="1"/>
    <s v="Furniture"/>
    <s v="Laptop"/>
    <s v="Product_91"/>
    <x v="5"/>
    <x v="0"/>
    <s v="Cash"/>
    <s v="Medium"/>
    <n v="10"/>
    <n v="42405"/>
    <n v="5"/>
    <n v="402847.5"/>
    <n v="21646.7"/>
    <x v="4"/>
  </r>
  <r>
    <s v="ORD00103"/>
    <x v="99"/>
    <d v="2022-05-04T00:00:00"/>
    <s v="West"/>
    <s v="India"/>
    <s v="Gujarat"/>
    <s v="Delhi"/>
    <x v="102"/>
    <x v="2"/>
    <s v="Electronics"/>
    <s v="Mobile"/>
    <s v="Product_85"/>
    <x v="3"/>
    <x v="0"/>
    <s v="Debit Card"/>
    <s v="Medium"/>
    <n v="3"/>
    <n v="31668"/>
    <n v="10"/>
    <n v="85503.6"/>
    <n v="-1091.32"/>
    <x v="4"/>
  </r>
  <r>
    <s v="ORD00104"/>
    <x v="100"/>
    <d v="2022-09-09T00:00:00"/>
    <s v="North"/>
    <s v="India"/>
    <s v="Tamil Nadu"/>
    <s v="Ahmedabad"/>
    <x v="103"/>
    <x v="0"/>
    <s v="Office Supplies"/>
    <s v="Mobile"/>
    <s v="Product_10"/>
    <x v="1"/>
    <x v="0"/>
    <s v="Credit Card"/>
    <s v="High"/>
    <n v="6"/>
    <n v="41947"/>
    <n v="15"/>
    <n v="213929.7"/>
    <n v="9647.39"/>
    <x v="7"/>
  </r>
  <r>
    <s v="ORD00105"/>
    <x v="101"/>
    <d v="2023-03-10T00:00:00"/>
    <s v="South"/>
    <s v="India"/>
    <s v="Delhi"/>
    <s v="Mumbai"/>
    <x v="104"/>
    <x v="0"/>
    <s v="Office Supplies"/>
    <s v="Table"/>
    <s v="Product_56"/>
    <x v="5"/>
    <x v="1"/>
    <s v="Cash"/>
    <s v="High"/>
    <n v="6"/>
    <n v="13704"/>
    <n v="15"/>
    <n v="69890.399999999994"/>
    <n v="5566.02"/>
    <x v="0"/>
  </r>
  <r>
    <s v="ORD00106"/>
    <x v="102"/>
    <d v="2023-10-16T00:00:00"/>
    <s v="South"/>
    <s v="India"/>
    <s v="Maharashtra"/>
    <s v="Chennai"/>
    <x v="105"/>
    <x v="0"/>
    <s v="Electronics"/>
    <s v="Chair"/>
    <s v="Product_89"/>
    <x v="0"/>
    <x v="0"/>
    <s v="UPI"/>
    <s v="Medium"/>
    <n v="8"/>
    <n v="25509"/>
    <n v="10"/>
    <n v="183664.8"/>
    <n v="-3295.76"/>
    <x v="10"/>
  </r>
  <r>
    <s v="ORD00107"/>
    <x v="103"/>
    <d v="2023-05-23T00:00:00"/>
    <s v="East"/>
    <s v="India"/>
    <s v="Tamil Nadu"/>
    <s v="Bangalore"/>
    <x v="106"/>
    <x v="0"/>
    <s v="Furniture"/>
    <s v="Printer"/>
    <s v="Product_46"/>
    <x v="1"/>
    <x v="0"/>
    <s v="Cash"/>
    <s v="Low"/>
    <n v="10"/>
    <n v="13028"/>
    <n v="10"/>
    <n v="117252"/>
    <n v="2243.0300000000002"/>
    <x v="4"/>
  </r>
  <r>
    <s v="ORD00108"/>
    <x v="104"/>
    <d v="2023-09-06T00:00:00"/>
    <s v="East"/>
    <s v="India"/>
    <s v="Delhi"/>
    <s v="Mumbai"/>
    <x v="107"/>
    <x v="0"/>
    <s v="Furniture"/>
    <s v="Table"/>
    <s v="Product_120"/>
    <x v="1"/>
    <x v="0"/>
    <s v="UPI"/>
    <s v="Critical"/>
    <n v="4"/>
    <n v="2153"/>
    <n v="15"/>
    <n v="7320.2"/>
    <n v="-435.9"/>
    <x v="7"/>
  </r>
  <r>
    <s v="ORD00109"/>
    <x v="105"/>
    <d v="2024-05-17T00:00:00"/>
    <s v="West"/>
    <s v="India"/>
    <s v="Delhi"/>
    <s v="Bangalore"/>
    <x v="108"/>
    <x v="1"/>
    <s v="Furniture"/>
    <s v="Chair"/>
    <s v="Product_54"/>
    <x v="0"/>
    <x v="1"/>
    <s v="UPI"/>
    <s v="Medium"/>
    <n v="2"/>
    <n v="49340"/>
    <n v="20"/>
    <n v="78944"/>
    <n v="-3671.92"/>
    <x v="4"/>
  </r>
  <r>
    <s v="ORD00110"/>
    <x v="106"/>
    <d v="2023-06-16T00:00:00"/>
    <s v="East"/>
    <s v="India"/>
    <s v="Gujarat"/>
    <s v="Bangalore"/>
    <x v="109"/>
    <x v="2"/>
    <s v="Office Supplies"/>
    <s v="Table"/>
    <s v="Product_167"/>
    <x v="0"/>
    <x v="1"/>
    <s v="Cash"/>
    <s v="High"/>
    <n v="9"/>
    <n v="21596"/>
    <n v="10"/>
    <n v="174927.6"/>
    <n v="16114.26"/>
    <x v="2"/>
  </r>
  <r>
    <s v="ORD00111"/>
    <x v="107"/>
    <d v="2023-09-30T00:00:00"/>
    <s v="West"/>
    <s v="India"/>
    <s v="Karnataka"/>
    <s v="Delhi"/>
    <x v="110"/>
    <x v="1"/>
    <s v="Electronics"/>
    <s v="Laptop"/>
    <s v="Product_101"/>
    <x v="1"/>
    <x v="0"/>
    <s v="Net Banking"/>
    <s v="Low"/>
    <n v="7"/>
    <n v="12942"/>
    <n v="15"/>
    <n v="77004.899999999994"/>
    <n v="-6995.02"/>
    <x v="7"/>
  </r>
  <r>
    <s v="ORD00112"/>
    <x v="108"/>
    <d v="2024-04-08T00:00:00"/>
    <s v="North"/>
    <s v="India"/>
    <s v="Delhi"/>
    <s v="Ahmedabad"/>
    <x v="111"/>
    <x v="1"/>
    <s v="Office Supplies"/>
    <s v="Table"/>
    <s v="Product_120"/>
    <x v="5"/>
    <x v="0"/>
    <s v="Debit Card"/>
    <s v="Low"/>
    <n v="5"/>
    <n v="30062"/>
    <n v="10"/>
    <n v="135279"/>
    <n v="25378.04"/>
    <x v="6"/>
  </r>
  <r>
    <s v="ORD00113"/>
    <x v="109"/>
    <d v="2024-05-31T00:00:00"/>
    <s v="West"/>
    <s v="India"/>
    <s v="Gujarat"/>
    <s v="Delhi"/>
    <x v="112"/>
    <x v="2"/>
    <s v="Furniture"/>
    <s v="Storage"/>
    <s v="Product_164"/>
    <x v="1"/>
    <x v="1"/>
    <s v="Debit Card"/>
    <s v="Medium"/>
    <n v="4"/>
    <n v="2069"/>
    <n v="20"/>
    <n v="6620.8"/>
    <n v="87.42"/>
    <x v="4"/>
  </r>
  <r>
    <s v="ORD00114"/>
    <x v="110"/>
    <d v="2024-07-18T00:00:00"/>
    <s v="North"/>
    <s v="India"/>
    <s v="Karnataka"/>
    <s v="Mumbai"/>
    <x v="113"/>
    <x v="2"/>
    <s v="Office Supplies"/>
    <s v="Mobile"/>
    <s v="Product_154"/>
    <x v="5"/>
    <x v="0"/>
    <s v="UPI"/>
    <s v="Medium"/>
    <n v="1"/>
    <n v="18308"/>
    <n v="15"/>
    <n v="15561.8"/>
    <n v="-366.5"/>
    <x v="11"/>
  </r>
  <r>
    <s v="ORD00115"/>
    <x v="111"/>
    <d v="2022-01-21T00:00:00"/>
    <s v="North"/>
    <s v="India"/>
    <s v="Maharashtra"/>
    <s v="Mumbai"/>
    <x v="114"/>
    <x v="1"/>
    <s v="Furniture"/>
    <s v="Printer"/>
    <s v="Product_11"/>
    <x v="2"/>
    <x v="1"/>
    <s v="Cash"/>
    <s v="High"/>
    <n v="5"/>
    <n v="39480"/>
    <n v="15"/>
    <n v="167790"/>
    <n v="-1671.9"/>
    <x v="1"/>
  </r>
  <r>
    <s v="ORD00116"/>
    <x v="112"/>
    <d v="2024-05-16T00:00:00"/>
    <s v="West"/>
    <s v="India"/>
    <s v="Karnataka"/>
    <s v="Delhi"/>
    <x v="115"/>
    <x v="2"/>
    <s v="Office Supplies"/>
    <s v="Laptop"/>
    <s v="Product_119"/>
    <x v="1"/>
    <x v="0"/>
    <s v="UPI"/>
    <s v="Critical"/>
    <n v="2"/>
    <n v="24523"/>
    <n v="20"/>
    <n v="39236.800000000003"/>
    <n v="-3684.99"/>
    <x v="4"/>
  </r>
  <r>
    <s v="ORD00117"/>
    <x v="113"/>
    <d v="2023-04-24T00:00:00"/>
    <s v="East"/>
    <s v="India"/>
    <s v="Maharashtra"/>
    <s v="Ahmedabad"/>
    <x v="116"/>
    <x v="0"/>
    <s v="Furniture"/>
    <s v="Laptop"/>
    <s v="Product_105"/>
    <x v="1"/>
    <x v="1"/>
    <s v="Net Banking"/>
    <s v="Low"/>
    <n v="1"/>
    <n v="34628"/>
    <n v="5"/>
    <n v="32896.6"/>
    <n v="7296.36"/>
    <x v="6"/>
  </r>
  <r>
    <s v="ORD00118"/>
    <x v="114"/>
    <d v="2024-02-18T00:00:00"/>
    <s v="East"/>
    <s v="India"/>
    <s v="Karnataka"/>
    <s v="Ahmedabad"/>
    <x v="117"/>
    <x v="2"/>
    <s v="Electronics"/>
    <s v="Laptop"/>
    <s v="Product_126"/>
    <x v="3"/>
    <x v="0"/>
    <s v="Net Banking"/>
    <s v="Medium"/>
    <n v="7"/>
    <n v="4025"/>
    <n v="10"/>
    <n v="25357.5"/>
    <n v="-1354"/>
    <x v="5"/>
  </r>
  <r>
    <s v="ORD00119"/>
    <x v="42"/>
    <d v="2022-08-23T00:00:00"/>
    <s v="South"/>
    <s v="India"/>
    <s v="Gujarat"/>
    <s v="Chennai"/>
    <x v="118"/>
    <x v="1"/>
    <s v="Office Supplies"/>
    <s v="Laptop"/>
    <s v="Product_47"/>
    <x v="0"/>
    <x v="0"/>
    <s v="Net Banking"/>
    <s v="Medium"/>
    <n v="5"/>
    <n v="6988"/>
    <n v="20"/>
    <n v="27952"/>
    <n v="70.22"/>
    <x v="8"/>
  </r>
  <r>
    <s v="ORD00120"/>
    <x v="115"/>
    <d v="2022-07-05T00:00:00"/>
    <s v="North"/>
    <s v="India"/>
    <s v="Karnataka"/>
    <s v="Ahmedabad"/>
    <x v="119"/>
    <x v="2"/>
    <s v="Office Supplies"/>
    <s v="Storage"/>
    <s v="Product_67"/>
    <x v="4"/>
    <x v="1"/>
    <s v="UPI"/>
    <s v="High"/>
    <n v="9"/>
    <n v="22228"/>
    <n v="10"/>
    <n v="180046.8"/>
    <n v="16543.689999999999"/>
    <x v="2"/>
  </r>
  <r>
    <s v="ORD00121"/>
    <x v="58"/>
    <d v="2024-04-24T00:00:00"/>
    <s v="North"/>
    <s v="India"/>
    <s v="Tamil Nadu"/>
    <s v="Ahmedabad"/>
    <x v="120"/>
    <x v="1"/>
    <s v="Furniture"/>
    <s v="Table"/>
    <s v="Product_175"/>
    <x v="2"/>
    <x v="0"/>
    <s v="Net Banking"/>
    <s v="Medium"/>
    <n v="10"/>
    <n v="45174"/>
    <n v="10"/>
    <n v="406566"/>
    <n v="24674.84"/>
    <x v="6"/>
  </r>
  <r>
    <s v="ORD00122"/>
    <x v="116"/>
    <d v="2023-10-09T00:00:00"/>
    <s v="South"/>
    <s v="India"/>
    <s v="Delhi"/>
    <s v="Mumbai"/>
    <x v="121"/>
    <x v="2"/>
    <s v="Furniture"/>
    <s v="Mobile"/>
    <s v="Product_125"/>
    <x v="5"/>
    <x v="1"/>
    <s v="Cash"/>
    <s v="Critical"/>
    <n v="4"/>
    <n v="45801"/>
    <n v="5"/>
    <n v="174043.8"/>
    <n v="43967.13"/>
    <x v="7"/>
  </r>
  <r>
    <s v="ORD00123"/>
    <x v="21"/>
    <d v="2022-04-05T00:00:00"/>
    <s v="South"/>
    <s v="India"/>
    <s v="Maharashtra"/>
    <s v="Ahmedabad"/>
    <x v="122"/>
    <x v="0"/>
    <s v="Office Supplies"/>
    <s v="Chair"/>
    <s v="Product_52"/>
    <x v="0"/>
    <x v="0"/>
    <s v="Net Banking"/>
    <s v="High"/>
    <n v="6"/>
    <n v="27161"/>
    <n v="15"/>
    <n v="138521.1"/>
    <n v="12853.29"/>
    <x v="6"/>
  </r>
  <r>
    <s v="ORD00124"/>
    <x v="117"/>
    <d v="2023-12-30T00:00:00"/>
    <s v="West"/>
    <s v="India"/>
    <s v="Delhi"/>
    <s v="Bangalore"/>
    <x v="123"/>
    <x v="2"/>
    <s v="Office Supplies"/>
    <s v="Mobile"/>
    <s v="Product_181"/>
    <x v="1"/>
    <x v="1"/>
    <s v="UPI"/>
    <s v="Medium"/>
    <n v="1"/>
    <n v="29362"/>
    <n v="10"/>
    <n v="26425.8"/>
    <n v="2079.91"/>
    <x v="9"/>
  </r>
  <r>
    <s v="ORD00125"/>
    <x v="118"/>
    <d v="2023-04-25T00:00:00"/>
    <s v="East"/>
    <s v="India"/>
    <s v="Gujarat"/>
    <s v="Mumbai"/>
    <x v="124"/>
    <x v="1"/>
    <s v="Electronics"/>
    <s v="Table"/>
    <s v="Product_146"/>
    <x v="1"/>
    <x v="0"/>
    <s v="Debit Card"/>
    <s v="Medium"/>
    <n v="10"/>
    <n v="24093"/>
    <n v="0"/>
    <n v="240930"/>
    <n v="61771.47"/>
    <x v="6"/>
  </r>
  <r>
    <s v="ORD00126"/>
    <x v="119"/>
    <d v="2023-02-18T00:00:00"/>
    <s v="West"/>
    <s v="India"/>
    <s v="Gujarat"/>
    <s v="Bangalore"/>
    <x v="125"/>
    <x v="1"/>
    <s v="Office Supplies"/>
    <s v="Chair"/>
    <s v="Product_132"/>
    <x v="1"/>
    <x v="1"/>
    <s v="Credit Card"/>
    <s v="Medium"/>
    <n v="4"/>
    <n v="31203"/>
    <n v="15"/>
    <n v="106090.2"/>
    <n v="-2188.88"/>
    <x v="5"/>
  </r>
  <r>
    <s v="ORD00127"/>
    <x v="120"/>
    <d v="2024-03-08T00:00:00"/>
    <s v="West"/>
    <s v="India"/>
    <s v="Maharashtra"/>
    <s v="Delhi"/>
    <x v="126"/>
    <x v="0"/>
    <s v="Furniture"/>
    <s v="Storage"/>
    <s v="Product_161"/>
    <x v="3"/>
    <x v="1"/>
    <s v="UPI"/>
    <s v="Critical"/>
    <n v="3"/>
    <n v="12673"/>
    <n v="0"/>
    <n v="38019"/>
    <n v="5444.54"/>
    <x v="0"/>
  </r>
  <r>
    <s v="ORD00128"/>
    <x v="121"/>
    <d v="2022-04-18T00:00:00"/>
    <s v="North"/>
    <s v="India"/>
    <s v="Karnataka"/>
    <s v="Ahmedabad"/>
    <x v="127"/>
    <x v="2"/>
    <s v="Furniture"/>
    <s v="Laptop"/>
    <s v="Product_159"/>
    <x v="2"/>
    <x v="0"/>
    <s v="UPI"/>
    <s v="Medium"/>
    <n v="4"/>
    <n v="27474"/>
    <n v="5"/>
    <n v="104401.2"/>
    <n v="11374.65"/>
    <x v="6"/>
  </r>
  <r>
    <s v="ORD00129"/>
    <x v="122"/>
    <d v="2024-02-05T00:00:00"/>
    <s v="North"/>
    <s v="India"/>
    <s v="Tamil Nadu"/>
    <s v="Bangalore"/>
    <x v="128"/>
    <x v="1"/>
    <s v="Electronics"/>
    <s v="Table"/>
    <s v="Product_75"/>
    <x v="3"/>
    <x v="0"/>
    <s v="Cash"/>
    <s v="Low"/>
    <n v="10"/>
    <n v="2990"/>
    <n v="10"/>
    <n v="26910"/>
    <n v="464.73"/>
    <x v="5"/>
  </r>
  <r>
    <s v="ORD00130"/>
    <x v="123"/>
    <d v="2022-06-08T00:00:00"/>
    <s v="North"/>
    <s v="India"/>
    <s v="Tamil Nadu"/>
    <s v="Chennai"/>
    <x v="129"/>
    <x v="2"/>
    <s v="Furniture"/>
    <s v="Storage"/>
    <s v="Product_137"/>
    <x v="4"/>
    <x v="0"/>
    <s v="UPI"/>
    <s v="Critical"/>
    <n v="9"/>
    <n v="40609"/>
    <n v="20"/>
    <n v="292384.8"/>
    <n v="-53345.04"/>
    <x v="4"/>
  </r>
  <r>
    <s v="ORD00131"/>
    <x v="124"/>
    <d v="2023-09-02T00:00:00"/>
    <s v="North"/>
    <s v="India"/>
    <s v="Gujarat"/>
    <s v="Ahmedabad"/>
    <x v="130"/>
    <x v="0"/>
    <s v="Office Supplies"/>
    <s v="Storage"/>
    <s v="Product_157"/>
    <x v="1"/>
    <x v="1"/>
    <s v="Credit Card"/>
    <s v="High"/>
    <n v="9"/>
    <n v="27389"/>
    <n v="0"/>
    <n v="246501"/>
    <n v="20501.509999999998"/>
    <x v="8"/>
  </r>
  <r>
    <s v="ORD00132"/>
    <x v="125"/>
    <d v="2024-09-08T00:00:00"/>
    <s v="East"/>
    <s v="India"/>
    <s v="Tamil Nadu"/>
    <s v="Bangalore"/>
    <x v="131"/>
    <x v="2"/>
    <s v="Electronics"/>
    <s v="Chair"/>
    <s v="Product_22"/>
    <x v="2"/>
    <x v="1"/>
    <s v="Net Banking"/>
    <s v="Medium"/>
    <n v="1"/>
    <n v="18115"/>
    <n v="5"/>
    <n v="17209.25"/>
    <n v="2292.79"/>
    <x v="7"/>
  </r>
  <r>
    <s v="ORD00133"/>
    <x v="126"/>
    <d v="2023-06-11T00:00:00"/>
    <s v="South"/>
    <s v="India"/>
    <s v="Tamil Nadu"/>
    <s v="Ahmedabad"/>
    <x v="132"/>
    <x v="2"/>
    <s v="Furniture"/>
    <s v="Laptop"/>
    <s v="Product_50"/>
    <x v="2"/>
    <x v="1"/>
    <s v="UPI"/>
    <s v="Critical"/>
    <n v="3"/>
    <n v="825"/>
    <n v="0"/>
    <n v="2475"/>
    <n v="465.97"/>
    <x v="2"/>
  </r>
  <r>
    <s v="ORD00134"/>
    <x v="127"/>
    <d v="2023-12-18T00:00:00"/>
    <s v="East"/>
    <s v="India"/>
    <s v="Karnataka"/>
    <s v="Delhi"/>
    <x v="133"/>
    <x v="2"/>
    <s v="Furniture"/>
    <s v="Printer"/>
    <s v="Product_93"/>
    <x v="1"/>
    <x v="0"/>
    <s v="Cash"/>
    <s v="Low"/>
    <n v="9"/>
    <n v="42635"/>
    <n v="20"/>
    <n v="306972"/>
    <n v="-54348.98"/>
    <x v="9"/>
  </r>
  <r>
    <s v="ORD00135"/>
    <x v="128"/>
    <d v="2023-03-11T00:00:00"/>
    <s v="East"/>
    <s v="India"/>
    <s v="Gujarat"/>
    <s v="Ahmedabad"/>
    <x v="134"/>
    <x v="0"/>
    <s v="Electronics"/>
    <s v="Chair"/>
    <s v="Product_159"/>
    <x v="1"/>
    <x v="0"/>
    <s v="UPI"/>
    <s v="Low"/>
    <n v="9"/>
    <n v="38832"/>
    <n v="5"/>
    <n v="332013.59999999998"/>
    <n v="24393.31"/>
    <x v="0"/>
  </r>
  <r>
    <s v="ORD00136"/>
    <x v="129"/>
    <d v="2022-06-28T00:00:00"/>
    <s v="North"/>
    <s v="India"/>
    <s v="Karnataka"/>
    <s v="Chennai"/>
    <x v="135"/>
    <x v="1"/>
    <s v="Furniture"/>
    <s v="Laptop"/>
    <s v="Product_105"/>
    <x v="1"/>
    <x v="0"/>
    <s v="UPI"/>
    <s v="Medium"/>
    <n v="10"/>
    <n v="49565"/>
    <n v="10"/>
    <n v="446085"/>
    <n v="-23868.67"/>
    <x v="2"/>
  </r>
  <r>
    <s v="ORD00137"/>
    <x v="130"/>
    <d v="2023-05-07T00:00:00"/>
    <s v="South"/>
    <s v="India"/>
    <s v="Gujarat"/>
    <s v="Ahmedabad"/>
    <x v="136"/>
    <x v="2"/>
    <s v="Furniture"/>
    <s v="Table"/>
    <s v="Product_146"/>
    <x v="5"/>
    <x v="1"/>
    <s v="Debit Card"/>
    <s v="Medium"/>
    <n v="5"/>
    <n v="10892"/>
    <n v="0"/>
    <n v="54460"/>
    <n v="8454.7999999999993"/>
    <x v="6"/>
  </r>
  <r>
    <s v="ORD00138"/>
    <x v="131"/>
    <d v="2023-04-06T00:00:00"/>
    <s v="East"/>
    <s v="India"/>
    <s v="Karnataka"/>
    <s v="Bangalore"/>
    <x v="137"/>
    <x v="2"/>
    <s v="Furniture"/>
    <s v="Storage"/>
    <s v="Product_172"/>
    <x v="3"/>
    <x v="1"/>
    <s v="Cash"/>
    <s v="High"/>
    <n v="3"/>
    <n v="48025"/>
    <n v="15"/>
    <n v="122463.75"/>
    <n v="18840.650000000001"/>
    <x v="0"/>
  </r>
  <r>
    <s v="ORD00139"/>
    <x v="114"/>
    <d v="2024-02-11T00:00:00"/>
    <s v="North"/>
    <s v="India"/>
    <s v="Gujarat"/>
    <s v="Ahmedabad"/>
    <x v="138"/>
    <x v="1"/>
    <s v="Furniture"/>
    <s v="Printer"/>
    <s v="Product_192"/>
    <x v="0"/>
    <x v="1"/>
    <s v="UPI"/>
    <s v="Medium"/>
    <n v="1"/>
    <n v="42848"/>
    <n v="20"/>
    <n v="34278.400000000001"/>
    <n v="-2280.83"/>
    <x v="5"/>
  </r>
  <r>
    <s v="ORD00140"/>
    <x v="132"/>
    <d v="2022-06-21T00:00:00"/>
    <s v="West"/>
    <s v="India"/>
    <s v="Delhi"/>
    <s v="Bangalore"/>
    <x v="139"/>
    <x v="2"/>
    <s v="Electronics"/>
    <s v="Table"/>
    <s v="Product_60"/>
    <x v="3"/>
    <x v="1"/>
    <s v="Credit Card"/>
    <s v="High"/>
    <n v="6"/>
    <n v="43458"/>
    <n v="0"/>
    <n v="260748"/>
    <n v="33804.050000000003"/>
    <x v="2"/>
  </r>
  <r>
    <s v="ORD00141"/>
    <x v="133"/>
    <d v="2023-10-03T00:00:00"/>
    <s v="South"/>
    <s v="India"/>
    <s v="Karnataka"/>
    <s v="Chennai"/>
    <x v="140"/>
    <x v="0"/>
    <s v="Office Supplies"/>
    <s v="Laptop"/>
    <s v="Product_179"/>
    <x v="4"/>
    <x v="1"/>
    <s v="Credit Card"/>
    <s v="Low"/>
    <n v="1"/>
    <n v="623"/>
    <n v="5"/>
    <n v="591.85"/>
    <n v="42.54"/>
    <x v="7"/>
  </r>
  <r>
    <s v="ORD00142"/>
    <x v="134"/>
    <d v="2022-03-23T00:00:00"/>
    <s v="East"/>
    <s v="India"/>
    <s v="Maharashtra"/>
    <s v="Mumbai"/>
    <x v="141"/>
    <x v="1"/>
    <s v="Electronics"/>
    <s v="Chair"/>
    <s v="Product_18"/>
    <x v="5"/>
    <x v="1"/>
    <s v="UPI"/>
    <s v="High"/>
    <n v="9"/>
    <n v="21663"/>
    <n v="10"/>
    <n v="175470.3"/>
    <n v="34498.36"/>
    <x v="0"/>
  </r>
  <r>
    <s v="ORD00143"/>
    <x v="59"/>
    <d v="2024-08-15T00:00:00"/>
    <s v="East"/>
    <s v="India"/>
    <s v="Gujarat"/>
    <s v="Bangalore"/>
    <x v="142"/>
    <x v="1"/>
    <s v="Electronics"/>
    <s v="Printer"/>
    <s v="Product_200"/>
    <x v="1"/>
    <x v="0"/>
    <s v="Debit Card"/>
    <s v="Low"/>
    <n v="1"/>
    <n v="20973"/>
    <n v="10"/>
    <n v="18875.7"/>
    <n v="1098.19"/>
    <x v="8"/>
  </r>
  <r>
    <s v="ORD00144"/>
    <x v="135"/>
    <d v="2024-06-27T00:00:00"/>
    <s v="West"/>
    <s v="India"/>
    <s v="Karnataka"/>
    <s v="Delhi"/>
    <x v="143"/>
    <x v="2"/>
    <s v="Furniture"/>
    <s v="Chair"/>
    <s v="Product_37"/>
    <x v="2"/>
    <x v="0"/>
    <s v="Debit Card"/>
    <s v="Critical"/>
    <n v="1"/>
    <n v="40265"/>
    <n v="0"/>
    <n v="40265"/>
    <n v="9305.2999999999993"/>
    <x v="2"/>
  </r>
  <r>
    <s v="ORD00145"/>
    <x v="136"/>
    <d v="2024-04-26T00:00:00"/>
    <s v="West"/>
    <s v="India"/>
    <s v="Tamil Nadu"/>
    <s v="Bangalore"/>
    <x v="144"/>
    <x v="0"/>
    <s v="Office Supplies"/>
    <s v="Laptop"/>
    <s v="Product_39"/>
    <x v="0"/>
    <x v="0"/>
    <s v="Cash"/>
    <s v="Medium"/>
    <n v="6"/>
    <n v="39040"/>
    <n v="5"/>
    <n v="222528"/>
    <n v="12524.99"/>
    <x v="6"/>
  </r>
  <r>
    <s v="ORD00146"/>
    <x v="137"/>
    <d v="2023-08-15T00:00:00"/>
    <s v="West"/>
    <s v="India"/>
    <s v="Maharashtra"/>
    <s v="Delhi"/>
    <x v="145"/>
    <x v="0"/>
    <s v="Electronics"/>
    <s v="Printer"/>
    <s v="Product_73"/>
    <x v="1"/>
    <x v="1"/>
    <s v="Debit Card"/>
    <s v="Critical"/>
    <n v="7"/>
    <n v="23221"/>
    <n v="0"/>
    <n v="162547"/>
    <n v="17518.46"/>
    <x v="8"/>
  </r>
  <r>
    <s v="ORD00147"/>
    <x v="138"/>
    <d v="2023-10-21T00:00:00"/>
    <s v="North"/>
    <s v="India"/>
    <s v="Delhi"/>
    <s v="Bangalore"/>
    <x v="146"/>
    <x v="1"/>
    <s v="Furniture"/>
    <s v="Printer"/>
    <s v="Product_199"/>
    <x v="1"/>
    <x v="0"/>
    <s v="Cash"/>
    <s v="Low"/>
    <n v="7"/>
    <n v="23380"/>
    <n v="15"/>
    <n v="139111"/>
    <n v="-13632.15"/>
    <x v="10"/>
  </r>
  <r>
    <s v="ORD00148"/>
    <x v="139"/>
    <d v="2022-10-18T00:00:00"/>
    <s v="East"/>
    <s v="India"/>
    <s v="Delhi"/>
    <s v="Chennai"/>
    <x v="147"/>
    <x v="1"/>
    <s v="Electronics"/>
    <s v="Chair"/>
    <s v="Product_197"/>
    <x v="1"/>
    <x v="1"/>
    <s v="Debit Card"/>
    <s v="Medium"/>
    <n v="6"/>
    <n v="25035"/>
    <n v="20"/>
    <n v="120168"/>
    <n v="9269.2999999999993"/>
    <x v="10"/>
  </r>
  <r>
    <s v="ORD00149"/>
    <x v="140"/>
    <d v="2024-03-27T00:00:00"/>
    <s v="South"/>
    <s v="India"/>
    <s v="Karnataka"/>
    <s v="Delhi"/>
    <x v="148"/>
    <x v="1"/>
    <s v="Electronics"/>
    <s v="Table"/>
    <s v="Product_19"/>
    <x v="4"/>
    <x v="1"/>
    <s v="Debit Card"/>
    <s v="Medium"/>
    <n v="2"/>
    <n v="22573"/>
    <n v="10"/>
    <n v="40631.4"/>
    <n v="-1837.32"/>
    <x v="0"/>
  </r>
  <r>
    <s v="ORD00150"/>
    <x v="141"/>
    <d v="2024-04-09T00:00:00"/>
    <s v="West"/>
    <s v="India"/>
    <s v="Gujarat"/>
    <s v="Bangalore"/>
    <x v="149"/>
    <x v="0"/>
    <s v="Furniture"/>
    <s v="Table"/>
    <s v="Product_9"/>
    <x v="3"/>
    <x v="0"/>
    <s v="Cash"/>
    <s v="High"/>
    <n v="8"/>
    <n v="32941"/>
    <n v="10"/>
    <n v="237175.2"/>
    <n v="45140.13"/>
    <x v="6"/>
  </r>
  <r>
    <s v="ORD00151"/>
    <x v="142"/>
    <d v="2023-03-25T00:00:00"/>
    <s v="North"/>
    <s v="India"/>
    <s v="Tamil Nadu"/>
    <s v="Chennai"/>
    <x v="150"/>
    <x v="2"/>
    <s v="Office Supplies"/>
    <s v="Printer"/>
    <s v="Product_148"/>
    <x v="2"/>
    <x v="1"/>
    <s v="Cash"/>
    <s v="Medium"/>
    <n v="3"/>
    <n v="41349"/>
    <n v="15"/>
    <n v="105439.95"/>
    <n v="-2783.98"/>
    <x v="0"/>
  </r>
  <r>
    <s v="ORD00152"/>
    <x v="143"/>
    <d v="2022-05-08T00:00:00"/>
    <s v="North"/>
    <s v="India"/>
    <s v="Delhi"/>
    <s v="Mumbai"/>
    <x v="151"/>
    <x v="1"/>
    <s v="Furniture"/>
    <s v="Printer"/>
    <s v="Product_192"/>
    <x v="5"/>
    <x v="1"/>
    <s v="Net Banking"/>
    <s v="High"/>
    <n v="9"/>
    <n v="17641"/>
    <n v="10"/>
    <n v="142892.1"/>
    <n v="6782.92"/>
    <x v="6"/>
  </r>
  <r>
    <s v="ORD00153"/>
    <x v="144"/>
    <d v="2023-07-30T00:00:00"/>
    <s v="West"/>
    <s v="India"/>
    <s v="Delhi"/>
    <s v="Delhi"/>
    <x v="152"/>
    <x v="0"/>
    <s v="Electronics"/>
    <s v="Table"/>
    <s v="Product_123"/>
    <x v="3"/>
    <x v="0"/>
    <s v="UPI"/>
    <s v="High"/>
    <n v="9"/>
    <n v="24882"/>
    <n v="15"/>
    <n v="190347.3"/>
    <n v="-18209.009999999998"/>
    <x v="11"/>
  </r>
  <r>
    <s v="ORD00154"/>
    <x v="145"/>
    <d v="2023-05-02T00:00:00"/>
    <s v="West"/>
    <s v="India"/>
    <s v="Maharashtra"/>
    <s v="Chennai"/>
    <x v="153"/>
    <x v="2"/>
    <s v="Electronics"/>
    <s v="Storage"/>
    <s v="Product_44"/>
    <x v="4"/>
    <x v="1"/>
    <s v="Debit Card"/>
    <s v="Critical"/>
    <n v="3"/>
    <n v="5687"/>
    <n v="15"/>
    <n v="14501.85"/>
    <n v="1676.48"/>
    <x v="6"/>
  </r>
  <r>
    <s v="ORD00155"/>
    <x v="146"/>
    <d v="2022-08-15T00:00:00"/>
    <s v="West"/>
    <s v="India"/>
    <s v="Maharashtra"/>
    <s v="Bangalore"/>
    <x v="154"/>
    <x v="2"/>
    <s v="Electronics"/>
    <s v="Storage"/>
    <s v="Product_25"/>
    <x v="4"/>
    <x v="1"/>
    <s v="UPI"/>
    <s v="Low"/>
    <n v="8"/>
    <n v="23350"/>
    <n v="5"/>
    <n v="177460"/>
    <n v="25368.52"/>
    <x v="8"/>
  </r>
  <r>
    <s v="ORD00156"/>
    <x v="47"/>
    <d v="2023-04-25T00:00:00"/>
    <s v="South"/>
    <s v="India"/>
    <s v="Maharashtra"/>
    <s v="Chennai"/>
    <x v="155"/>
    <x v="1"/>
    <s v="Furniture"/>
    <s v="Table"/>
    <s v="Product_154"/>
    <x v="4"/>
    <x v="1"/>
    <s v="Debit Card"/>
    <s v="Medium"/>
    <n v="10"/>
    <n v="45045"/>
    <n v="15"/>
    <n v="382882.5"/>
    <n v="37538.870000000003"/>
    <x v="6"/>
  </r>
  <r>
    <s v="ORD00157"/>
    <x v="147"/>
    <d v="2022-07-02T00:00:00"/>
    <s v="West"/>
    <s v="India"/>
    <s v="Tamil Nadu"/>
    <s v="Bangalore"/>
    <x v="156"/>
    <x v="2"/>
    <s v="Electronics"/>
    <s v="Storage"/>
    <s v="Product_76"/>
    <x v="2"/>
    <x v="1"/>
    <s v="Cash"/>
    <s v="High"/>
    <n v="8"/>
    <n v="32898"/>
    <n v="0"/>
    <n v="263184"/>
    <n v="36282.699999999997"/>
    <x v="2"/>
  </r>
  <r>
    <s v="ORD00158"/>
    <x v="148"/>
    <d v="2022-12-21T00:00:00"/>
    <s v="North"/>
    <s v="India"/>
    <s v="Tamil Nadu"/>
    <s v="Bangalore"/>
    <x v="157"/>
    <x v="2"/>
    <s v="Furniture"/>
    <s v="Mobile"/>
    <s v="Product_97"/>
    <x v="0"/>
    <x v="1"/>
    <s v="UPI"/>
    <s v="Medium"/>
    <n v="10"/>
    <n v="21142"/>
    <n v="10"/>
    <n v="190278"/>
    <n v="4928.51"/>
    <x v="9"/>
  </r>
  <r>
    <s v="ORD00159"/>
    <x v="149"/>
    <d v="2023-10-10T00:00:00"/>
    <s v="East"/>
    <s v="India"/>
    <s v="Delhi"/>
    <s v="Mumbai"/>
    <x v="158"/>
    <x v="2"/>
    <s v="Office Supplies"/>
    <s v="Chair"/>
    <s v="Product_96"/>
    <x v="2"/>
    <x v="0"/>
    <s v="Debit Card"/>
    <s v="Critical"/>
    <n v="6"/>
    <n v="10190"/>
    <n v="20"/>
    <n v="48912"/>
    <n v="2528.27"/>
    <x v="10"/>
  </r>
  <r>
    <s v="ORD00160"/>
    <x v="150"/>
    <d v="2022-02-06T00:00:00"/>
    <s v="North"/>
    <s v="India"/>
    <s v="Tamil Nadu"/>
    <s v="Delhi"/>
    <x v="159"/>
    <x v="2"/>
    <s v="Office Supplies"/>
    <s v="Mobile"/>
    <s v="Product_62"/>
    <x v="4"/>
    <x v="0"/>
    <s v="Net Banking"/>
    <s v="Low"/>
    <n v="2"/>
    <n v="35924"/>
    <n v="10"/>
    <n v="64663.199999999997"/>
    <n v="11881.29"/>
    <x v="1"/>
  </r>
  <r>
    <s v="ORD00161"/>
    <x v="151"/>
    <d v="2024-01-05T00:00:00"/>
    <s v="West"/>
    <s v="India"/>
    <s v="Delhi"/>
    <s v="Mumbai"/>
    <x v="160"/>
    <x v="1"/>
    <s v="Furniture"/>
    <s v="Printer"/>
    <s v="Product_53"/>
    <x v="3"/>
    <x v="0"/>
    <s v="Debit Card"/>
    <s v="Low"/>
    <n v="1"/>
    <n v="47013"/>
    <n v="20"/>
    <n v="37610.400000000001"/>
    <n v="-3887.47"/>
    <x v="9"/>
  </r>
  <r>
    <s v="ORD00162"/>
    <x v="45"/>
    <d v="2022-06-03T00:00:00"/>
    <s v="West"/>
    <s v="India"/>
    <s v="Tamil Nadu"/>
    <s v="Mumbai"/>
    <x v="161"/>
    <x v="2"/>
    <s v="Furniture"/>
    <s v="Storage"/>
    <s v="Product_127"/>
    <x v="4"/>
    <x v="0"/>
    <s v="UPI"/>
    <s v="High"/>
    <n v="8"/>
    <n v="31431"/>
    <n v="10"/>
    <n v="226303.2"/>
    <n v="22957.21"/>
    <x v="4"/>
  </r>
  <r>
    <s v="ORD00163"/>
    <x v="152"/>
    <d v="2023-12-03T00:00:00"/>
    <s v="West"/>
    <s v="India"/>
    <s v="Karnataka"/>
    <s v="Mumbai"/>
    <x v="162"/>
    <x v="0"/>
    <s v="Electronics"/>
    <s v="Laptop"/>
    <s v="Product_3"/>
    <x v="0"/>
    <x v="0"/>
    <s v="Debit Card"/>
    <s v="Low"/>
    <n v="4"/>
    <n v="2024"/>
    <n v="5"/>
    <n v="7691.2"/>
    <n v="800.69"/>
    <x v="3"/>
  </r>
  <r>
    <s v="ORD00164"/>
    <x v="153"/>
    <d v="2023-04-07T00:00:00"/>
    <s v="East"/>
    <s v="India"/>
    <s v="Delhi"/>
    <s v="Bangalore"/>
    <x v="163"/>
    <x v="2"/>
    <s v="Office Supplies"/>
    <s v="Printer"/>
    <s v="Product_155"/>
    <x v="5"/>
    <x v="0"/>
    <s v="Debit Card"/>
    <s v="Medium"/>
    <n v="7"/>
    <n v="36714"/>
    <n v="0"/>
    <n v="256998"/>
    <n v="66176.72"/>
    <x v="6"/>
  </r>
  <r>
    <s v="ORD00165"/>
    <x v="154"/>
    <d v="2022-05-22T00:00:00"/>
    <s v="North"/>
    <s v="India"/>
    <s v="Maharashtra"/>
    <s v="Chennai"/>
    <x v="164"/>
    <x v="2"/>
    <s v="Office Supplies"/>
    <s v="Table"/>
    <s v="Product_156"/>
    <x v="4"/>
    <x v="1"/>
    <s v="Debit Card"/>
    <s v="Critical"/>
    <n v="1"/>
    <n v="42682"/>
    <n v="10"/>
    <n v="38413.800000000003"/>
    <n v="-1671.04"/>
    <x v="4"/>
  </r>
  <r>
    <s v="ORD00166"/>
    <x v="24"/>
    <d v="2022-09-11T00:00:00"/>
    <s v="East"/>
    <s v="India"/>
    <s v="Tamil Nadu"/>
    <s v="Delhi"/>
    <x v="165"/>
    <x v="0"/>
    <s v="Electronics"/>
    <s v="Storage"/>
    <s v="Product_9"/>
    <x v="5"/>
    <x v="1"/>
    <s v="Cash"/>
    <s v="Critical"/>
    <n v="5"/>
    <n v="34489"/>
    <n v="0"/>
    <n v="172445"/>
    <n v="23245.17"/>
    <x v="7"/>
  </r>
  <r>
    <s v="ORD00167"/>
    <x v="155"/>
    <d v="2023-09-27T00:00:00"/>
    <s v="South"/>
    <s v="India"/>
    <s v="Karnataka"/>
    <s v="Delhi"/>
    <x v="166"/>
    <x v="0"/>
    <s v="Furniture"/>
    <s v="Printer"/>
    <s v="Product_130"/>
    <x v="0"/>
    <x v="0"/>
    <s v="Cash"/>
    <s v="Medium"/>
    <n v="4"/>
    <n v="32817"/>
    <n v="15"/>
    <n v="111577.8"/>
    <n v="-11064.66"/>
    <x v="7"/>
  </r>
  <r>
    <s v="ORD00168"/>
    <x v="156"/>
    <d v="2023-06-17T00:00:00"/>
    <s v="West"/>
    <s v="India"/>
    <s v="Delhi"/>
    <s v="Ahmedabad"/>
    <x v="167"/>
    <x v="0"/>
    <s v="Electronics"/>
    <s v="Storage"/>
    <s v="Product_42"/>
    <x v="1"/>
    <x v="0"/>
    <s v="Credit Card"/>
    <s v="Medium"/>
    <n v="1"/>
    <n v="17690"/>
    <n v="10"/>
    <n v="15921"/>
    <n v="1869.6"/>
    <x v="2"/>
  </r>
  <r>
    <s v="ORD00169"/>
    <x v="107"/>
    <d v="2023-10-06T00:00:00"/>
    <s v="North"/>
    <s v="India"/>
    <s v="Maharashtra"/>
    <s v="Chennai"/>
    <x v="168"/>
    <x v="0"/>
    <s v="Office Supplies"/>
    <s v="Storage"/>
    <s v="Product_23"/>
    <x v="2"/>
    <x v="1"/>
    <s v="UPI"/>
    <s v="High"/>
    <n v="10"/>
    <n v="1975"/>
    <n v="5"/>
    <n v="18762.5"/>
    <n v="1610.89"/>
    <x v="7"/>
  </r>
  <r>
    <s v="ORD00170"/>
    <x v="138"/>
    <d v="2023-10-21T00:00:00"/>
    <s v="North"/>
    <s v="India"/>
    <s v="Gujarat"/>
    <s v="Ahmedabad"/>
    <x v="169"/>
    <x v="1"/>
    <s v="Office Supplies"/>
    <s v="Laptop"/>
    <s v="Product_36"/>
    <x v="5"/>
    <x v="0"/>
    <s v="Cash"/>
    <s v="Medium"/>
    <n v="4"/>
    <n v="11211"/>
    <n v="5"/>
    <n v="42601.8"/>
    <n v="6092.62"/>
    <x v="10"/>
  </r>
  <r>
    <s v="ORD00171"/>
    <x v="157"/>
    <d v="2024-08-21T00:00:00"/>
    <s v="East"/>
    <s v="India"/>
    <s v="Delhi"/>
    <s v="Mumbai"/>
    <x v="170"/>
    <x v="0"/>
    <s v="Office Supplies"/>
    <s v="Chair"/>
    <s v="Product_114"/>
    <x v="1"/>
    <x v="0"/>
    <s v="Cash"/>
    <s v="High"/>
    <n v="9"/>
    <n v="37631"/>
    <n v="0"/>
    <n v="338679"/>
    <n v="88302.25"/>
    <x v="8"/>
  </r>
  <r>
    <s v="ORD00172"/>
    <x v="158"/>
    <d v="2022-05-20T00:00:00"/>
    <s v="South"/>
    <s v="India"/>
    <s v="Karnataka"/>
    <s v="Delhi"/>
    <x v="171"/>
    <x v="1"/>
    <s v="Electronics"/>
    <s v="Table"/>
    <s v="Product_49"/>
    <x v="1"/>
    <x v="1"/>
    <s v="Net Banking"/>
    <s v="High"/>
    <n v="1"/>
    <n v="13444"/>
    <n v="10"/>
    <n v="12099.6"/>
    <n v="1227.96"/>
    <x v="4"/>
  </r>
  <r>
    <s v="ORD00173"/>
    <x v="159"/>
    <d v="2023-06-28T00:00:00"/>
    <s v="North"/>
    <s v="India"/>
    <s v="Karnataka"/>
    <s v="Chennai"/>
    <x v="172"/>
    <x v="1"/>
    <s v="Office Supplies"/>
    <s v="Storage"/>
    <s v="Product_42"/>
    <x v="5"/>
    <x v="0"/>
    <s v="Credit Card"/>
    <s v="Medium"/>
    <n v="1"/>
    <n v="47482"/>
    <n v="20"/>
    <n v="37985.599999999999"/>
    <n v="389.27"/>
    <x v="2"/>
  </r>
  <r>
    <s v="ORD00174"/>
    <x v="160"/>
    <d v="2024-05-31T00:00:00"/>
    <s v="West"/>
    <s v="India"/>
    <s v="Tamil Nadu"/>
    <s v="Mumbai"/>
    <x v="173"/>
    <x v="0"/>
    <s v="Office Supplies"/>
    <s v="Chair"/>
    <s v="Product_27"/>
    <x v="3"/>
    <x v="0"/>
    <s v="Debit Card"/>
    <s v="Critical"/>
    <n v="4"/>
    <n v="42146"/>
    <n v="20"/>
    <n v="134867.20000000001"/>
    <n v="14623.41"/>
    <x v="4"/>
  </r>
  <r>
    <s v="ORD00175"/>
    <x v="161"/>
    <d v="2023-01-08T00:00:00"/>
    <s v="West"/>
    <s v="India"/>
    <s v="Tamil Nadu"/>
    <s v="Ahmedabad"/>
    <x v="174"/>
    <x v="0"/>
    <s v="Electronics"/>
    <s v="Storage"/>
    <s v="Product_113"/>
    <x v="2"/>
    <x v="0"/>
    <s v="Debit Card"/>
    <s v="High"/>
    <n v="10"/>
    <n v="48186"/>
    <n v="5"/>
    <n v="457767"/>
    <n v="30083.48"/>
    <x v="9"/>
  </r>
  <r>
    <s v="ORD00176"/>
    <x v="162"/>
    <d v="2023-09-25T00:00:00"/>
    <s v="South"/>
    <s v="India"/>
    <s v="Gujarat"/>
    <s v="Chennai"/>
    <x v="175"/>
    <x v="1"/>
    <s v="Office Supplies"/>
    <s v="Printer"/>
    <s v="Product_70"/>
    <x v="5"/>
    <x v="0"/>
    <s v="Cash"/>
    <s v="Medium"/>
    <n v="2"/>
    <n v="29157"/>
    <n v="20"/>
    <n v="46651.199999999997"/>
    <n v="-4229.54"/>
    <x v="7"/>
  </r>
  <r>
    <s v="ORD00177"/>
    <x v="163"/>
    <d v="2024-06-07T00:00:00"/>
    <s v="East"/>
    <s v="India"/>
    <s v="Karnataka"/>
    <s v="Mumbai"/>
    <x v="176"/>
    <x v="1"/>
    <s v="Furniture"/>
    <s v="Table"/>
    <s v="Product_162"/>
    <x v="1"/>
    <x v="0"/>
    <s v="Net Banking"/>
    <s v="Critical"/>
    <n v="9"/>
    <n v="15882"/>
    <n v="10"/>
    <n v="128644.2"/>
    <n v="2927.87"/>
    <x v="2"/>
  </r>
  <r>
    <s v="ORD00178"/>
    <x v="73"/>
    <d v="2022-06-30T00:00:00"/>
    <s v="West"/>
    <s v="India"/>
    <s v="Delhi"/>
    <s v="Chennai"/>
    <x v="177"/>
    <x v="1"/>
    <s v="Furniture"/>
    <s v="Storage"/>
    <s v="Product_71"/>
    <x v="1"/>
    <x v="1"/>
    <s v="UPI"/>
    <s v="Critical"/>
    <n v="4"/>
    <n v="42607"/>
    <n v="10"/>
    <n v="153385.20000000001"/>
    <n v="9626.74"/>
    <x v="2"/>
  </r>
  <r>
    <s v="ORD00179"/>
    <x v="164"/>
    <d v="2022-04-26T00:00:00"/>
    <s v="South"/>
    <s v="India"/>
    <s v="Gujarat"/>
    <s v="Ahmedabad"/>
    <x v="178"/>
    <x v="2"/>
    <s v="Electronics"/>
    <s v="Chair"/>
    <s v="Product_11"/>
    <x v="3"/>
    <x v="1"/>
    <s v="Net Banking"/>
    <s v="Low"/>
    <n v="6"/>
    <n v="44727"/>
    <n v="15"/>
    <n v="228107.7"/>
    <n v="-21694.01"/>
    <x v="6"/>
  </r>
  <r>
    <s v="ORD00180"/>
    <x v="165"/>
    <d v="2023-10-25T00:00:00"/>
    <s v="East"/>
    <s v="India"/>
    <s v="Gujarat"/>
    <s v="Bangalore"/>
    <x v="179"/>
    <x v="1"/>
    <s v="Electronics"/>
    <s v="Table"/>
    <s v="Product_2"/>
    <x v="1"/>
    <x v="0"/>
    <s v="Net Banking"/>
    <s v="Low"/>
    <n v="5"/>
    <n v="27654"/>
    <n v="10"/>
    <n v="124443"/>
    <n v="-2654.71"/>
    <x v="10"/>
  </r>
  <r>
    <s v="ORD00181"/>
    <x v="140"/>
    <d v="2024-04-01T00:00:00"/>
    <s v="North"/>
    <s v="India"/>
    <s v="Tamil Nadu"/>
    <s v="Mumbai"/>
    <x v="180"/>
    <x v="1"/>
    <s v="Furniture"/>
    <s v="Storage"/>
    <s v="Product_184"/>
    <x v="0"/>
    <x v="1"/>
    <s v="Net Banking"/>
    <s v="High"/>
    <n v="7"/>
    <n v="15287"/>
    <n v="15"/>
    <n v="90957.65"/>
    <n v="-1583.66"/>
    <x v="0"/>
  </r>
  <r>
    <s v="ORD00182"/>
    <x v="166"/>
    <d v="2024-05-13T00:00:00"/>
    <s v="North"/>
    <s v="India"/>
    <s v="Tamil Nadu"/>
    <s v="Ahmedabad"/>
    <x v="181"/>
    <x v="1"/>
    <s v="Electronics"/>
    <s v="Chair"/>
    <s v="Product_95"/>
    <x v="4"/>
    <x v="0"/>
    <s v="Cash"/>
    <s v="Medium"/>
    <n v="5"/>
    <n v="34923"/>
    <n v="10"/>
    <n v="157153.5"/>
    <n v="26007.11"/>
    <x v="4"/>
  </r>
  <r>
    <s v="ORD00183"/>
    <x v="167"/>
    <d v="2024-09-12T00:00:00"/>
    <s v="North"/>
    <s v="India"/>
    <s v="Tamil Nadu"/>
    <s v="Chennai"/>
    <x v="182"/>
    <x v="0"/>
    <s v="Electronics"/>
    <s v="Mobile"/>
    <s v="Product_183"/>
    <x v="4"/>
    <x v="1"/>
    <s v="Net Banking"/>
    <s v="Low"/>
    <n v="10"/>
    <n v="2961"/>
    <n v="10"/>
    <n v="26649"/>
    <n v="1417.88"/>
    <x v="7"/>
  </r>
  <r>
    <s v="ORD00184"/>
    <x v="168"/>
    <d v="2024-05-16T00:00:00"/>
    <s v="North"/>
    <s v="India"/>
    <s v="Delhi"/>
    <s v="Ahmedabad"/>
    <x v="183"/>
    <x v="2"/>
    <s v="Office Supplies"/>
    <s v="Table"/>
    <s v="Product_175"/>
    <x v="3"/>
    <x v="1"/>
    <s v="Cash"/>
    <s v="Medium"/>
    <n v="8"/>
    <n v="45439"/>
    <n v="10"/>
    <n v="327160.8"/>
    <n v="34324.92"/>
    <x v="4"/>
  </r>
  <r>
    <s v="ORD00185"/>
    <x v="169"/>
    <d v="2022-07-22T00:00:00"/>
    <s v="West"/>
    <s v="India"/>
    <s v="Karnataka"/>
    <s v="Chennai"/>
    <x v="184"/>
    <x v="1"/>
    <s v="Electronics"/>
    <s v="Printer"/>
    <s v="Product_83"/>
    <x v="3"/>
    <x v="0"/>
    <s v="UPI"/>
    <s v="High"/>
    <n v="2"/>
    <n v="43985"/>
    <n v="15"/>
    <n v="74774.5"/>
    <n v="-6122.81"/>
    <x v="11"/>
  </r>
  <r>
    <s v="ORD00186"/>
    <x v="4"/>
    <d v="2022-03-30T00:00:00"/>
    <s v="West"/>
    <s v="India"/>
    <s v="Gujarat"/>
    <s v="Bangalore"/>
    <x v="185"/>
    <x v="1"/>
    <s v="Furniture"/>
    <s v="Table"/>
    <s v="Product_176"/>
    <x v="0"/>
    <x v="0"/>
    <s v="UPI"/>
    <s v="Low"/>
    <n v="10"/>
    <n v="30708"/>
    <n v="0"/>
    <n v="307080"/>
    <n v="58716.49"/>
    <x v="0"/>
  </r>
  <r>
    <s v="ORD00187"/>
    <x v="170"/>
    <d v="2023-03-17T00:00:00"/>
    <s v="East"/>
    <s v="India"/>
    <s v="Tamil Nadu"/>
    <s v="Mumbai"/>
    <x v="186"/>
    <x v="0"/>
    <s v="Furniture"/>
    <s v="Printer"/>
    <s v="Product_35"/>
    <x v="2"/>
    <x v="0"/>
    <s v="Net Banking"/>
    <s v="Critical"/>
    <n v="6"/>
    <n v="2168"/>
    <n v="15"/>
    <n v="11056.8"/>
    <n v="240.31"/>
    <x v="0"/>
  </r>
  <r>
    <s v="ORD00188"/>
    <x v="171"/>
    <d v="2022-05-22T00:00:00"/>
    <s v="South"/>
    <s v="India"/>
    <s v="Gujarat"/>
    <s v="Chennai"/>
    <x v="187"/>
    <x v="2"/>
    <s v="Furniture"/>
    <s v="Mobile"/>
    <s v="Product_104"/>
    <x v="5"/>
    <x v="0"/>
    <s v="Credit Card"/>
    <s v="High"/>
    <n v="3"/>
    <n v="16459"/>
    <n v="15"/>
    <n v="41970.45"/>
    <n v="4881.57"/>
    <x v="4"/>
  </r>
  <r>
    <s v="ORD00189"/>
    <x v="172"/>
    <d v="2024-01-23T00:00:00"/>
    <s v="South"/>
    <s v="India"/>
    <s v="Karnataka"/>
    <s v="Mumbai"/>
    <x v="188"/>
    <x v="2"/>
    <s v="Office Supplies"/>
    <s v="Mobile"/>
    <s v="Product_198"/>
    <x v="1"/>
    <x v="0"/>
    <s v="Net Banking"/>
    <s v="High"/>
    <n v="9"/>
    <n v="27586"/>
    <n v="0"/>
    <n v="248274"/>
    <n v="71414.63"/>
    <x v="1"/>
  </r>
  <r>
    <s v="ORD00190"/>
    <x v="173"/>
    <d v="2024-04-20T00:00:00"/>
    <s v="East"/>
    <s v="India"/>
    <s v="Delhi"/>
    <s v="Mumbai"/>
    <x v="189"/>
    <x v="0"/>
    <s v="Office Supplies"/>
    <s v="Chair"/>
    <s v="Product_40"/>
    <x v="0"/>
    <x v="0"/>
    <s v="Net Banking"/>
    <s v="Medium"/>
    <n v="9"/>
    <n v="15801"/>
    <n v="20"/>
    <n v="113767.2"/>
    <n v="13119.23"/>
    <x v="6"/>
  </r>
  <r>
    <s v="ORD00191"/>
    <x v="174"/>
    <d v="2022-12-14T00:00:00"/>
    <s v="West"/>
    <s v="India"/>
    <s v="Karnataka"/>
    <s v="Mumbai"/>
    <x v="190"/>
    <x v="1"/>
    <s v="Office Supplies"/>
    <s v="Mobile"/>
    <s v="Product_84"/>
    <x v="0"/>
    <x v="1"/>
    <s v="UPI"/>
    <s v="Low"/>
    <n v="10"/>
    <n v="47805"/>
    <n v="0"/>
    <n v="478050"/>
    <n v="44622.99"/>
    <x v="9"/>
  </r>
  <r>
    <s v="ORD00192"/>
    <x v="175"/>
    <d v="2024-01-06T00:00:00"/>
    <s v="East"/>
    <s v="India"/>
    <s v="Delhi"/>
    <s v="Chennai"/>
    <x v="191"/>
    <x v="2"/>
    <s v="Electronics"/>
    <s v="Mobile"/>
    <s v="Product_143"/>
    <x v="1"/>
    <x v="1"/>
    <s v="Debit Card"/>
    <s v="Low"/>
    <n v="6"/>
    <n v="40809"/>
    <n v="0"/>
    <n v="244854"/>
    <n v="28353.71"/>
    <x v="1"/>
  </r>
  <r>
    <s v="ORD00193"/>
    <x v="176"/>
    <d v="2023-04-07T00:00:00"/>
    <s v="North"/>
    <s v="India"/>
    <s v="Maharashtra"/>
    <s v="Delhi"/>
    <x v="192"/>
    <x v="0"/>
    <s v="Furniture"/>
    <s v="Chair"/>
    <s v="Product_106"/>
    <x v="2"/>
    <x v="1"/>
    <s v="Credit Card"/>
    <s v="Critical"/>
    <n v="8"/>
    <n v="25803"/>
    <n v="20"/>
    <n v="165139.20000000001"/>
    <n v="6891.93"/>
    <x v="6"/>
  </r>
  <r>
    <s v="ORD00194"/>
    <x v="177"/>
    <d v="2024-01-22T00:00:00"/>
    <s v="North"/>
    <s v="India"/>
    <s v="Delhi"/>
    <s v="Delhi"/>
    <x v="193"/>
    <x v="1"/>
    <s v="Electronics"/>
    <s v="Mobile"/>
    <s v="Product_179"/>
    <x v="4"/>
    <x v="0"/>
    <s v="Debit Card"/>
    <s v="Medium"/>
    <n v="7"/>
    <n v="32297"/>
    <n v="5"/>
    <n v="214775.05"/>
    <n v="34886.99"/>
    <x v="1"/>
  </r>
  <r>
    <s v="ORD00195"/>
    <x v="178"/>
    <d v="2022-01-09T00:00:00"/>
    <s v="North"/>
    <s v="India"/>
    <s v="Delhi"/>
    <s v="Chennai"/>
    <x v="194"/>
    <x v="0"/>
    <s v="Furniture"/>
    <s v="Mobile"/>
    <s v="Product_23"/>
    <x v="2"/>
    <x v="0"/>
    <s v="Cash"/>
    <s v="Low"/>
    <n v="8"/>
    <n v="49319"/>
    <n v="5"/>
    <n v="374824.4"/>
    <n v="19894.41"/>
    <x v="1"/>
  </r>
  <r>
    <s v="ORD00196"/>
    <x v="62"/>
    <d v="2022-11-08T00:00:00"/>
    <s v="West"/>
    <s v="India"/>
    <s v="Karnataka"/>
    <s v="Bangalore"/>
    <x v="195"/>
    <x v="2"/>
    <s v="Electronics"/>
    <s v="Mobile"/>
    <s v="Product_83"/>
    <x v="4"/>
    <x v="1"/>
    <s v="UPI"/>
    <s v="Medium"/>
    <n v="10"/>
    <n v="32830"/>
    <n v="15"/>
    <n v="279055"/>
    <n v="45742.8"/>
    <x v="3"/>
  </r>
  <r>
    <s v="ORD00197"/>
    <x v="179"/>
    <d v="2024-01-14T00:00:00"/>
    <s v="South"/>
    <s v="India"/>
    <s v="Maharashtra"/>
    <s v="Ahmedabad"/>
    <x v="196"/>
    <x v="0"/>
    <s v="Electronics"/>
    <s v="Printer"/>
    <s v="Product_112"/>
    <x v="1"/>
    <x v="0"/>
    <s v="Credit Card"/>
    <s v="Critical"/>
    <n v="8"/>
    <n v="44573"/>
    <n v="15"/>
    <n v="303096.40000000002"/>
    <n v="569.28"/>
    <x v="1"/>
  </r>
  <r>
    <s v="ORD00198"/>
    <x v="180"/>
    <d v="2023-04-10T00:00:00"/>
    <s v="North"/>
    <s v="India"/>
    <s v="Karnataka"/>
    <s v="Delhi"/>
    <x v="197"/>
    <x v="2"/>
    <s v="Electronics"/>
    <s v="Storage"/>
    <s v="Product_77"/>
    <x v="3"/>
    <x v="0"/>
    <s v="Net Banking"/>
    <s v="Low"/>
    <n v="1"/>
    <n v="1898"/>
    <n v="5"/>
    <n v="1803.1"/>
    <n v="63.11"/>
    <x v="6"/>
  </r>
  <r>
    <s v="ORD00199"/>
    <x v="1"/>
    <d v="2024-03-07T00:00:00"/>
    <s v="East"/>
    <s v="India"/>
    <s v="Maharashtra"/>
    <s v="Ahmedabad"/>
    <x v="198"/>
    <x v="1"/>
    <s v="Furniture"/>
    <s v="Printer"/>
    <s v="Product_17"/>
    <x v="1"/>
    <x v="1"/>
    <s v="Cash"/>
    <s v="High"/>
    <n v="7"/>
    <n v="28469"/>
    <n v="5"/>
    <n v="189318.85"/>
    <n v="20895.830000000002"/>
    <x v="0"/>
  </r>
  <r>
    <s v="ORD00200"/>
    <x v="181"/>
    <d v="2023-01-01T00:00:00"/>
    <s v="East"/>
    <s v="India"/>
    <s v="Karnataka"/>
    <s v="Mumbai"/>
    <x v="199"/>
    <x v="1"/>
    <s v="Electronics"/>
    <s v="Chair"/>
    <s v="Product_94"/>
    <x v="1"/>
    <x v="1"/>
    <s v="Net Banking"/>
    <s v="Medium"/>
    <n v="1"/>
    <n v="33273"/>
    <n v="10"/>
    <n v="29945.7"/>
    <n v="1501.99"/>
    <x v="9"/>
  </r>
  <r>
    <s v="ORD00201"/>
    <x v="182"/>
    <d v="2024-01-06T00:00:00"/>
    <s v="South"/>
    <s v="India"/>
    <s v="Gujarat"/>
    <s v="Delhi"/>
    <x v="200"/>
    <x v="2"/>
    <s v="Furniture"/>
    <s v="Printer"/>
    <s v="Product_5"/>
    <x v="2"/>
    <x v="0"/>
    <s v="Debit Card"/>
    <s v="Critical"/>
    <n v="4"/>
    <n v="48403"/>
    <n v="20"/>
    <n v="154889.60000000001"/>
    <n v="10721.22"/>
    <x v="1"/>
  </r>
  <r>
    <s v="ORD00202"/>
    <x v="0"/>
    <d v="2023-03-18T00:00:00"/>
    <s v="North"/>
    <s v="India"/>
    <s v="Tamil Nadu"/>
    <s v="Mumbai"/>
    <x v="201"/>
    <x v="1"/>
    <s v="Furniture"/>
    <s v="Mobile"/>
    <s v="Product_188"/>
    <x v="5"/>
    <x v="1"/>
    <s v="Debit Card"/>
    <s v="Low"/>
    <n v="3"/>
    <n v="1720"/>
    <n v="20"/>
    <n v="4128"/>
    <n v="-503.55"/>
    <x v="0"/>
  </r>
  <r>
    <s v="ORD00203"/>
    <x v="19"/>
    <d v="2023-09-20T00:00:00"/>
    <s v="East"/>
    <s v="India"/>
    <s v="Karnataka"/>
    <s v="Mumbai"/>
    <x v="202"/>
    <x v="1"/>
    <s v="Electronics"/>
    <s v="Chair"/>
    <s v="Product_107"/>
    <x v="4"/>
    <x v="1"/>
    <s v="UPI"/>
    <s v="Critical"/>
    <n v="6"/>
    <n v="31064"/>
    <n v="20"/>
    <n v="149107.20000000001"/>
    <n v="-7381.27"/>
    <x v="7"/>
  </r>
  <r>
    <s v="ORD00204"/>
    <x v="183"/>
    <d v="2022-04-08T00:00:00"/>
    <s v="South"/>
    <s v="India"/>
    <s v="Delhi"/>
    <s v="Delhi"/>
    <x v="203"/>
    <x v="1"/>
    <s v="Furniture"/>
    <s v="Printer"/>
    <s v="Product_66"/>
    <x v="4"/>
    <x v="0"/>
    <s v="Debit Card"/>
    <s v="Critical"/>
    <n v="1"/>
    <n v="49166"/>
    <n v="5"/>
    <n v="46707.7"/>
    <n v="9717.99"/>
    <x v="6"/>
  </r>
  <r>
    <s v="ORD00205"/>
    <x v="184"/>
    <d v="2022-09-15T00:00:00"/>
    <s v="East"/>
    <s v="India"/>
    <s v="Delhi"/>
    <s v="Mumbai"/>
    <x v="204"/>
    <x v="0"/>
    <s v="Office Supplies"/>
    <s v="Printer"/>
    <s v="Product_125"/>
    <x v="2"/>
    <x v="0"/>
    <s v="UPI"/>
    <s v="Low"/>
    <n v="4"/>
    <n v="41075"/>
    <n v="10"/>
    <n v="147870"/>
    <n v="533.54999999999995"/>
    <x v="7"/>
  </r>
  <r>
    <s v="ORD00206"/>
    <x v="185"/>
    <d v="2022-05-27T00:00:00"/>
    <s v="South"/>
    <s v="India"/>
    <s v="Tamil Nadu"/>
    <s v="Mumbai"/>
    <x v="205"/>
    <x v="2"/>
    <s v="Furniture"/>
    <s v="Laptop"/>
    <s v="Product_130"/>
    <x v="3"/>
    <x v="0"/>
    <s v="UPI"/>
    <s v="Critical"/>
    <n v="10"/>
    <n v="32299"/>
    <n v="10"/>
    <n v="290691"/>
    <n v="47862.46"/>
    <x v="4"/>
  </r>
  <r>
    <s v="ORD00207"/>
    <x v="186"/>
    <d v="2022-09-07T00:00:00"/>
    <s v="South"/>
    <s v="India"/>
    <s v="Tamil Nadu"/>
    <s v="Delhi"/>
    <x v="206"/>
    <x v="2"/>
    <s v="Furniture"/>
    <s v="Mobile"/>
    <s v="Product_13"/>
    <x v="1"/>
    <x v="0"/>
    <s v="Credit Card"/>
    <s v="Medium"/>
    <n v="1"/>
    <n v="39755"/>
    <n v="0"/>
    <n v="39755"/>
    <n v="4374.43"/>
    <x v="7"/>
  </r>
  <r>
    <s v="ORD00208"/>
    <x v="187"/>
    <d v="2022-01-18T00:00:00"/>
    <s v="South"/>
    <s v="India"/>
    <s v="Karnataka"/>
    <s v="Delhi"/>
    <x v="207"/>
    <x v="0"/>
    <s v="Furniture"/>
    <s v="Laptop"/>
    <s v="Product_138"/>
    <x v="1"/>
    <x v="0"/>
    <s v="Net Banking"/>
    <s v="Critical"/>
    <n v="7"/>
    <n v="33581"/>
    <n v="0"/>
    <n v="235067"/>
    <n v="22227.18"/>
    <x v="1"/>
  </r>
  <r>
    <s v="ORD00209"/>
    <x v="188"/>
    <d v="2024-09-16T00:00:00"/>
    <s v="West"/>
    <s v="India"/>
    <s v="Karnataka"/>
    <s v="Mumbai"/>
    <x v="208"/>
    <x v="0"/>
    <s v="Office Supplies"/>
    <s v="Storage"/>
    <s v="Product_61"/>
    <x v="5"/>
    <x v="1"/>
    <s v="Credit Card"/>
    <s v="Low"/>
    <n v="10"/>
    <n v="32001"/>
    <n v="0"/>
    <n v="320010"/>
    <n v="70989.36"/>
    <x v="7"/>
  </r>
  <r>
    <s v="ORD00210"/>
    <x v="189"/>
    <d v="2023-01-12T00:00:00"/>
    <s v="South"/>
    <s v="India"/>
    <s v="Karnataka"/>
    <s v="Ahmedabad"/>
    <x v="209"/>
    <x v="0"/>
    <s v="Furniture"/>
    <s v="Chair"/>
    <s v="Product_84"/>
    <x v="1"/>
    <x v="1"/>
    <s v="Cash"/>
    <s v="High"/>
    <n v="2"/>
    <n v="47013"/>
    <n v="15"/>
    <n v="79922.100000000006"/>
    <n v="-637.99"/>
    <x v="1"/>
  </r>
  <r>
    <s v="ORD00211"/>
    <x v="190"/>
    <d v="2024-03-27T00:00:00"/>
    <s v="West"/>
    <s v="India"/>
    <s v="Maharashtra"/>
    <s v="Delhi"/>
    <x v="210"/>
    <x v="1"/>
    <s v="Office Supplies"/>
    <s v="Printer"/>
    <s v="Product_97"/>
    <x v="0"/>
    <x v="1"/>
    <s v="UPI"/>
    <s v="Medium"/>
    <n v="9"/>
    <n v="34481"/>
    <n v="5"/>
    <n v="294812.55"/>
    <n v="74784.289999999994"/>
    <x v="0"/>
  </r>
  <r>
    <s v="ORD00212"/>
    <x v="191"/>
    <d v="2024-04-21T00:00:00"/>
    <s v="South"/>
    <s v="India"/>
    <s v="Maharashtra"/>
    <s v="Chennai"/>
    <x v="211"/>
    <x v="2"/>
    <s v="Office Supplies"/>
    <s v="Mobile"/>
    <s v="Product_150"/>
    <x v="0"/>
    <x v="0"/>
    <s v="Debit Card"/>
    <s v="Low"/>
    <n v="6"/>
    <n v="15940"/>
    <n v="0"/>
    <n v="95640"/>
    <n v="25291.74"/>
    <x v="6"/>
  </r>
  <r>
    <s v="ORD00213"/>
    <x v="44"/>
    <d v="2022-08-19T00:00:00"/>
    <s v="West"/>
    <s v="India"/>
    <s v="Karnataka"/>
    <s v="Bangalore"/>
    <x v="212"/>
    <x v="0"/>
    <s v="Office Supplies"/>
    <s v="Storage"/>
    <s v="Product_178"/>
    <x v="0"/>
    <x v="1"/>
    <s v="Net Banking"/>
    <s v="Critical"/>
    <n v="5"/>
    <n v="19246"/>
    <n v="20"/>
    <n v="76984"/>
    <n v="-12493.06"/>
    <x v="8"/>
  </r>
  <r>
    <s v="ORD00214"/>
    <x v="192"/>
    <d v="2022-12-29T00:00:00"/>
    <s v="North"/>
    <s v="India"/>
    <s v="Karnataka"/>
    <s v="Mumbai"/>
    <x v="213"/>
    <x v="1"/>
    <s v="Office Supplies"/>
    <s v="Storage"/>
    <s v="Product_157"/>
    <x v="5"/>
    <x v="0"/>
    <s v="Credit Card"/>
    <s v="Low"/>
    <n v="7"/>
    <n v="8217"/>
    <n v="20"/>
    <n v="46015.199999999997"/>
    <n v="5191.6499999999996"/>
    <x v="9"/>
  </r>
  <r>
    <s v="ORD00215"/>
    <x v="193"/>
    <d v="2022-05-12T00:00:00"/>
    <s v="West"/>
    <s v="India"/>
    <s v="Delhi"/>
    <s v="Mumbai"/>
    <x v="214"/>
    <x v="0"/>
    <s v="Electronics"/>
    <s v="Chair"/>
    <s v="Product_47"/>
    <x v="3"/>
    <x v="1"/>
    <s v="Debit Card"/>
    <s v="Low"/>
    <n v="6"/>
    <n v="22924"/>
    <n v="5"/>
    <n v="130666.8"/>
    <n v="14266.24"/>
    <x v="4"/>
  </r>
  <r>
    <s v="ORD00216"/>
    <x v="194"/>
    <d v="2023-02-11T00:00:00"/>
    <s v="South"/>
    <s v="India"/>
    <s v="Maharashtra"/>
    <s v="Ahmedabad"/>
    <x v="215"/>
    <x v="2"/>
    <s v="Furniture"/>
    <s v="Mobile"/>
    <s v="Product_26"/>
    <x v="5"/>
    <x v="0"/>
    <s v="Net Banking"/>
    <s v="High"/>
    <n v="1"/>
    <n v="17387"/>
    <n v="15"/>
    <n v="14778.95"/>
    <n v="658.19"/>
    <x v="5"/>
  </r>
  <r>
    <s v="ORD00217"/>
    <x v="195"/>
    <d v="2022-08-09T00:00:00"/>
    <s v="East"/>
    <s v="India"/>
    <s v="Gujarat"/>
    <s v="Delhi"/>
    <x v="216"/>
    <x v="2"/>
    <s v="Electronics"/>
    <s v="Laptop"/>
    <s v="Product_74"/>
    <x v="4"/>
    <x v="1"/>
    <s v="Net Banking"/>
    <s v="Medium"/>
    <n v="10"/>
    <n v="32337"/>
    <n v="5"/>
    <n v="307201.5"/>
    <n v="35627.15"/>
    <x v="8"/>
  </r>
  <r>
    <s v="ORD00218"/>
    <x v="196"/>
    <d v="2023-05-30T00:00:00"/>
    <s v="North"/>
    <s v="India"/>
    <s v="Maharashtra"/>
    <s v="Bangalore"/>
    <x v="217"/>
    <x v="0"/>
    <s v="Furniture"/>
    <s v="Chair"/>
    <s v="Product_58"/>
    <x v="3"/>
    <x v="0"/>
    <s v="Debit Card"/>
    <s v="Medium"/>
    <n v="10"/>
    <n v="14071"/>
    <n v="0"/>
    <n v="140710"/>
    <n v="16649.8"/>
    <x v="4"/>
  </r>
  <r>
    <s v="ORD00219"/>
    <x v="46"/>
    <d v="2024-07-28T00:00:00"/>
    <s v="North"/>
    <s v="India"/>
    <s v="Tamil Nadu"/>
    <s v="Ahmedabad"/>
    <x v="218"/>
    <x v="2"/>
    <s v="Office Supplies"/>
    <s v="Table"/>
    <s v="Product_113"/>
    <x v="3"/>
    <x v="0"/>
    <s v="Debit Card"/>
    <s v="Low"/>
    <n v="8"/>
    <n v="24418"/>
    <n v="5"/>
    <n v="185576.8"/>
    <n v="2199.8200000000002"/>
    <x v="11"/>
  </r>
  <r>
    <s v="ORD00220"/>
    <x v="197"/>
    <d v="2023-05-27T00:00:00"/>
    <s v="South"/>
    <s v="India"/>
    <s v="Karnataka"/>
    <s v="Chennai"/>
    <x v="219"/>
    <x v="0"/>
    <s v="Office Supplies"/>
    <s v="Table"/>
    <s v="Product_67"/>
    <x v="5"/>
    <x v="1"/>
    <s v="UPI"/>
    <s v="Low"/>
    <n v="7"/>
    <n v="28918"/>
    <n v="0"/>
    <n v="202426"/>
    <n v="47506.27"/>
    <x v="4"/>
  </r>
  <r>
    <s v="ORD00221"/>
    <x v="198"/>
    <d v="2023-02-25T00:00:00"/>
    <s v="East"/>
    <s v="India"/>
    <s v="Karnataka"/>
    <s v="Delhi"/>
    <x v="220"/>
    <x v="0"/>
    <s v="Electronics"/>
    <s v="Laptop"/>
    <s v="Product_196"/>
    <x v="5"/>
    <x v="0"/>
    <s v="Credit Card"/>
    <s v="Critical"/>
    <n v="2"/>
    <n v="28238"/>
    <n v="5"/>
    <n v="53652.2"/>
    <n v="8096.91"/>
    <x v="5"/>
  </r>
  <r>
    <s v="ORD00222"/>
    <x v="199"/>
    <d v="2022-10-10T00:00:00"/>
    <s v="West"/>
    <s v="India"/>
    <s v="Maharashtra"/>
    <s v="Mumbai"/>
    <x v="221"/>
    <x v="1"/>
    <s v="Furniture"/>
    <s v="Laptop"/>
    <s v="Product_172"/>
    <x v="1"/>
    <x v="1"/>
    <s v="Cash"/>
    <s v="Low"/>
    <n v="7"/>
    <n v="29617"/>
    <n v="20"/>
    <n v="165855.20000000001"/>
    <n v="-5261.29"/>
    <x v="10"/>
  </r>
  <r>
    <s v="ORD00223"/>
    <x v="200"/>
    <d v="2024-02-16T00:00:00"/>
    <s v="West"/>
    <s v="India"/>
    <s v="Tamil Nadu"/>
    <s v="Chennai"/>
    <x v="222"/>
    <x v="1"/>
    <s v="Furniture"/>
    <s v="Mobile"/>
    <s v="Product_185"/>
    <x v="1"/>
    <x v="1"/>
    <s v="Credit Card"/>
    <s v="Critical"/>
    <n v="3"/>
    <n v="21458"/>
    <n v="20"/>
    <n v="51499.199999999997"/>
    <n v="-5388.01"/>
    <x v="5"/>
  </r>
  <r>
    <s v="ORD00224"/>
    <x v="201"/>
    <d v="2022-09-05T00:00:00"/>
    <s v="East"/>
    <s v="India"/>
    <s v="Gujarat"/>
    <s v="Bangalore"/>
    <x v="223"/>
    <x v="2"/>
    <s v="Office Supplies"/>
    <s v="Mobile"/>
    <s v="Product_82"/>
    <x v="3"/>
    <x v="0"/>
    <s v="Debit Card"/>
    <s v="Low"/>
    <n v="7"/>
    <n v="6371"/>
    <n v="10"/>
    <n v="40137.300000000003"/>
    <n v="-303.3"/>
    <x v="8"/>
  </r>
  <r>
    <s v="ORD00225"/>
    <x v="202"/>
    <d v="2023-05-15T00:00:00"/>
    <s v="West"/>
    <s v="India"/>
    <s v="Karnataka"/>
    <s v="Bangalore"/>
    <x v="224"/>
    <x v="0"/>
    <s v="Office Supplies"/>
    <s v="Printer"/>
    <s v="Product_106"/>
    <x v="0"/>
    <x v="1"/>
    <s v="Debit Card"/>
    <s v="Low"/>
    <n v="5"/>
    <n v="28783"/>
    <n v="5"/>
    <n v="136719.25"/>
    <n v="12796.07"/>
    <x v="4"/>
  </r>
  <r>
    <s v="ORD00226"/>
    <x v="203"/>
    <d v="2023-12-20T00:00:00"/>
    <s v="South"/>
    <s v="India"/>
    <s v="Gujarat"/>
    <s v="Bangalore"/>
    <x v="225"/>
    <x v="2"/>
    <s v="Electronics"/>
    <s v="Printer"/>
    <s v="Product_58"/>
    <x v="1"/>
    <x v="1"/>
    <s v="Credit Card"/>
    <s v="Critical"/>
    <n v="7"/>
    <n v="7997"/>
    <n v="20"/>
    <n v="44783.199999999997"/>
    <n v="4441.22"/>
    <x v="9"/>
  </r>
  <r>
    <s v="ORD00227"/>
    <x v="197"/>
    <d v="2023-05-22T00:00:00"/>
    <s v="West"/>
    <s v="India"/>
    <s v="Gujarat"/>
    <s v="Chennai"/>
    <x v="226"/>
    <x v="2"/>
    <s v="Furniture"/>
    <s v="Laptop"/>
    <s v="Product_200"/>
    <x v="5"/>
    <x v="1"/>
    <s v="UPI"/>
    <s v="Low"/>
    <n v="9"/>
    <n v="37052"/>
    <n v="20"/>
    <n v="266774.40000000002"/>
    <n v="-28101.26"/>
    <x v="4"/>
  </r>
  <r>
    <s v="ORD00228"/>
    <x v="204"/>
    <d v="2024-07-01T00:00:00"/>
    <s v="South"/>
    <s v="India"/>
    <s v="Delhi"/>
    <s v="Mumbai"/>
    <x v="227"/>
    <x v="0"/>
    <s v="Electronics"/>
    <s v="Table"/>
    <s v="Product_81"/>
    <x v="5"/>
    <x v="1"/>
    <s v="Debit Card"/>
    <s v="Low"/>
    <n v="1"/>
    <n v="33087"/>
    <n v="10"/>
    <n v="29778.3"/>
    <n v="2881.36"/>
    <x v="2"/>
  </r>
  <r>
    <s v="ORD00229"/>
    <x v="205"/>
    <d v="2024-06-05T00:00:00"/>
    <s v="East"/>
    <s v="India"/>
    <s v="Gujarat"/>
    <s v="Mumbai"/>
    <x v="228"/>
    <x v="2"/>
    <s v="Furniture"/>
    <s v="Storage"/>
    <s v="Product_136"/>
    <x v="4"/>
    <x v="0"/>
    <s v="Debit Card"/>
    <s v="Medium"/>
    <n v="9"/>
    <n v="23916"/>
    <n v="0"/>
    <n v="215244"/>
    <n v="64399.15"/>
    <x v="2"/>
  </r>
  <r>
    <s v="ORD00230"/>
    <x v="206"/>
    <d v="2023-12-18T00:00:00"/>
    <s v="West"/>
    <s v="India"/>
    <s v="Delhi"/>
    <s v="Bangalore"/>
    <x v="229"/>
    <x v="0"/>
    <s v="Furniture"/>
    <s v="Storage"/>
    <s v="Product_166"/>
    <x v="4"/>
    <x v="0"/>
    <s v="Cash"/>
    <s v="High"/>
    <n v="9"/>
    <n v="48246"/>
    <n v="15"/>
    <n v="369081.9"/>
    <n v="-42955.519999999997"/>
    <x v="9"/>
  </r>
  <r>
    <s v="ORD00231"/>
    <x v="202"/>
    <d v="2023-05-22T00:00:00"/>
    <s v="North"/>
    <s v="India"/>
    <s v="Delhi"/>
    <s v="Delhi"/>
    <x v="230"/>
    <x v="1"/>
    <s v="Electronics"/>
    <s v="Printer"/>
    <s v="Product_23"/>
    <x v="2"/>
    <x v="1"/>
    <s v="UPI"/>
    <s v="Low"/>
    <n v="9"/>
    <n v="31572"/>
    <n v="0"/>
    <n v="284148"/>
    <n v="45424.7"/>
    <x v="4"/>
  </r>
  <r>
    <s v="ORD00232"/>
    <x v="4"/>
    <d v="2022-03-28T00:00:00"/>
    <s v="North"/>
    <s v="India"/>
    <s v="Karnataka"/>
    <s v="Mumbai"/>
    <x v="231"/>
    <x v="2"/>
    <s v="Office Supplies"/>
    <s v="Storage"/>
    <s v="Product_102"/>
    <x v="5"/>
    <x v="0"/>
    <s v="UPI"/>
    <s v="Critical"/>
    <n v="1"/>
    <n v="30365"/>
    <n v="15"/>
    <n v="25810.25"/>
    <n v="-1278.67"/>
    <x v="0"/>
  </r>
  <r>
    <s v="ORD00233"/>
    <x v="207"/>
    <d v="2024-08-26T00:00:00"/>
    <s v="West"/>
    <s v="India"/>
    <s v="Gujarat"/>
    <s v="Chennai"/>
    <x v="232"/>
    <x v="0"/>
    <s v="Electronics"/>
    <s v="Storage"/>
    <s v="Product_67"/>
    <x v="4"/>
    <x v="1"/>
    <s v="Cash"/>
    <s v="Critical"/>
    <n v="3"/>
    <n v="2400"/>
    <n v="15"/>
    <n v="6120"/>
    <n v="427.69"/>
    <x v="8"/>
  </r>
  <r>
    <s v="ORD00234"/>
    <x v="208"/>
    <d v="2024-02-17T00:00:00"/>
    <s v="North"/>
    <s v="India"/>
    <s v="Delhi"/>
    <s v="Chennai"/>
    <x v="233"/>
    <x v="1"/>
    <s v="Furniture"/>
    <s v="Storage"/>
    <s v="Product_159"/>
    <x v="5"/>
    <x v="0"/>
    <s v="Credit Card"/>
    <s v="Medium"/>
    <n v="1"/>
    <n v="45578"/>
    <n v="5"/>
    <n v="43299.1"/>
    <n v="2564.0700000000002"/>
    <x v="5"/>
  </r>
  <r>
    <s v="ORD00235"/>
    <x v="209"/>
    <d v="2022-05-15T00:00:00"/>
    <s v="West"/>
    <s v="India"/>
    <s v="Gujarat"/>
    <s v="Chennai"/>
    <x v="234"/>
    <x v="1"/>
    <s v="Office Supplies"/>
    <s v="Chair"/>
    <s v="Product_68"/>
    <x v="4"/>
    <x v="1"/>
    <s v="Net Banking"/>
    <s v="High"/>
    <n v="1"/>
    <n v="47078"/>
    <n v="15"/>
    <n v="40016.300000000003"/>
    <n v="-512.47"/>
    <x v="4"/>
  </r>
  <r>
    <s v="ORD00236"/>
    <x v="210"/>
    <d v="2022-03-05T00:00:00"/>
    <s v="South"/>
    <s v="India"/>
    <s v="Tamil Nadu"/>
    <s v="Bangalore"/>
    <x v="235"/>
    <x v="0"/>
    <s v="Office Supplies"/>
    <s v="Laptop"/>
    <s v="Product_191"/>
    <x v="0"/>
    <x v="1"/>
    <s v="Cash"/>
    <s v="Critical"/>
    <n v="7"/>
    <n v="3799"/>
    <n v="20"/>
    <n v="21274.400000000001"/>
    <n v="-2214.75"/>
    <x v="5"/>
  </r>
  <r>
    <s v="ORD00237"/>
    <x v="211"/>
    <d v="2022-11-10T00:00:00"/>
    <s v="East"/>
    <s v="India"/>
    <s v="Delhi"/>
    <s v="Delhi"/>
    <x v="236"/>
    <x v="0"/>
    <s v="Furniture"/>
    <s v="Table"/>
    <s v="Product_48"/>
    <x v="0"/>
    <x v="1"/>
    <s v="Net Banking"/>
    <s v="Critical"/>
    <n v="1"/>
    <n v="13367"/>
    <n v="15"/>
    <n v="11361.95"/>
    <n v="-154.09"/>
    <x v="3"/>
  </r>
  <r>
    <s v="ORD00238"/>
    <x v="212"/>
    <d v="2024-06-16T00:00:00"/>
    <s v="West"/>
    <s v="India"/>
    <s v="Tamil Nadu"/>
    <s v="Delhi"/>
    <x v="237"/>
    <x v="0"/>
    <s v="Furniture"/>
    <s v="Laptop"/>
    <s v="Product_30"/>
    <x v="3"/>
    <x v="1"/>
    <s v="Debit Card"/>
    <s v="Medium"/>
    <n v="7"/>
    <n v="3197"/>
    <n v="5"/>
    <n v="21260.05"/>
    <n v="2359.87"/>
    <x v="2"/>
  </r>
  <r>
    <s v="ORD00239"/>
    <x v="213"/>
    <d v="2022-08-08T00:00:00"/>
    <s v="South"/>
    <s v="India"/>
    <s v="Tamil Nadu"/>
    <s v="Delhi"/>
    <x v="238"/>
    <x v="0"/>
    <s v="Electronics"/>
    <s v="Storage"/>
    <s v="Product_92"/>
    <x v="0"/>
    <x v="0"/>
    <s v="Credit Card"/>
    <s v="Medium"/>
    <n v="10"/>
    <n v="45679"/>
    <n v="15"/>
    <n v="388271.5"/>
    <n v="28274.880000000001"/>
    <x v="8"/>
  </r>
  <r>
    <s v="ORD00240"/>
    <x v="138"/>
    <d v="2023-10-25T00:00:00"/>
    <s v="North"/>
    <s v="India"/>
    <s v="Karnataka"/>
    <s v="Delhi"/>
    <x v="239"/>
    <x v="1"/>
    <s v="Office Supplies"/>
    <s v="Mobile"/>
    <s v="Product_105"/>
    <x v="5"/>
    <x v="0"/>
    <s v="Cash"/>
    <s v="Low"/>
    <n v="5"/>
    <n v="4812"/>
    <n v="5"/>
    <n v="22857"/>
    <n v="3986.1"/>
    <x v="10"/>
  </r>
  <r>
    <s v="ORD00241"/>
    <x v="214"/>
    <d v="2024-09-28T00:00:00"/>
    <s v="West"/>
    <s v="India"/>
    <s v="Maharashtra"/>
    <s v="Chennai"/>
    <x v="33"/>
    <x v="0"/>
    <s v="Furniture"/>
    <s v="Storage"/>
    <s v="Product_35"/>
    <x v="5"/>
    <x v="0"/>
    <s v="Debit Card"/>
    <s v="Low"/>
    <n v="8"/>
    <n v="12716"/>
    <n v="5"/>
    <n v="96641.600000000006"/>
    <n v="14227.23"/>
    <x v="7"/>
  </r>
  <r>
    <s v="ORD00242"/>
    <x v="215"/>
    <d v="2023-03-20T00:00:00"/>
    <s v="East"/>
    <s v="India"/>
    <s v="Gujarat"/>
    <s v="Bangalore"/>
    <x v="240"/>
    <x v="1"/>
    <s v="Office Supplies"/>
    <s v="Printer"/>
    <s v="Product_127"/>
    <x v="4"/>
    <x v="0"/>
    <s v="Debit Card"/>
    <s v="Low"/>
    <n v="5"/>
    <n v="36658"/>
    <n v="5"/>
    <n v="174125.5"/>
    <n v="36611.18"/>
    <x v="0"/>
  </r>
  <r>
    <s v="ORD00243"/>
    <x v="216"/>
    <d v="2022-08-24T00:00:00"/>
    <s v="West"/>
    <s v="India"/>
    <s v="Karnataka"/>
    <s v="Mumbai"/>
    <x v="241"/>
    <x v="0"/>
    <s v="Office Supplies"/>
    <s v="Mobile"/>
    <s v="Product_195"/>
    <x v="2"/>
    <x v="1"/>
    <s v="Net Banking"/>
    <s v="High"/>
    <n v="8"/>
    <n v="24638"/>
    <n v="10"/>
    <n v="177393.6"/>
    <n v="-463.86"/>
    <x v="8"/>
  </r>
  <r>
    <s v="ORD00244"/>
    <x v="217"/>
    <d v="2022-07-07T00:00:00"/>
    <s v="East"/>
    <s v="India"/>
    <s v="Delhi"/>
    <s v="Ahmedabad"/>
    <x v="242"/>
    <x v="1"/>
    <s v="Electronics"/>
    <s v="Chair"/>
    <s v="Product_116"/>
    <x v="1"/>
    <x v="1"/>
    <s v="Cash"/>
    <s v="Low"/>
    <n v="5"/>
    <n v="28145"/>
    <n v="0"/>
    <n v="140725"/>
    <n v="10691.24"/>
    <x v="11"/>
  </r>
  <r>
    <s v="ORD00245"/>
    <x v="218"/>
    <d v="2022-08-26T00:00:00"/>
    <s v="West"/>
    <s v="India"/>
    <s v="Tamil Nadu"/>
    <s v="Mumbai"/>
    <x v="243"/>
    <x v="1"/>
    <s v="Office Supplies"/>
    <s v="Table"/>
    <s v="Product_62"/>
    <x v="1"/>
    <x v="0"/>
    <s v="Cash"/>
    <s v="Medium"/>
    <n v="2"/>
    <n v="38280"/>
    <n v="15"/>
    <n v="65076"/>
    <n v="-6551.27"/>
    <x v="8"/>
  </r>
  <r>
    <s v="ORD00246"/>
    <x v="125"/>
    <d v="2024-09-12T00:00:00"/>
    <s v="East"/>
    <s v="India"/>
    <s v="Tamil Nadu"/>
    <s v="Chennai"/>
    <x v="244"/>
    <x v="2"/>
    <s v="Electronics"/>
    <s v="Laptop"/>
    <s v="Product_65"/>
    <x v="1"/>
    <x v="1"/>
    <s v="Cash"/>
    <s v="Medium"/>
    <n v="3"/>
    <n v="7084"/>
    <n v="10"/>
    <n v="19126.8"/>
    <n v="1231.3599999999999"/>
    <x v="7"/>
  </r>
  <r>
    <s v="ORD00247"/>
    <x v="219"/>
    <d v="2024-06-09T00:00:00"/>
    <s v="South"/>
    <s v="India"/>
    <s v="Delhi"/>
    <s v="Bangalore"/>
    <x v="245"/>
    <x v="2"/>
    <s v="Office Supplies"/>
    <s v="Mobile"/>
    <s v="Product_86"/>
    <x v="0"/>
    <x v="1"/>
    <s v="Net Banking"/>
    <s v="High"/>
    <n v="7"/>
    <n v="48499"/>
    <n v="0"/>
    <n v="339493"/>
    <n v="50145.17"/>
    <x v="2"/>
  </r>
  <r>
    <s v="ORD00248"/>
    <x v="220"/>
    <d v="2022-09-15T00:00:00"/>
    <s v="South"/>
    <s v="India"/>
    <s v="Karnataka"/>
    <s v="Ahmedabad"/>
    <x v="246"/>
    <x v="1"/>
    <s v="Electronics"/>
    <s v="Chair"/>
    <s v="Product_182"/>
    <x v="1"/>
    <x v="0"/>
    <s v="Debit Card"/>
    <s v="Medium"/>
    <n v="7"/>
    <n v="7445"/>
    <n v="15"/>
    <n v="44297.75"/>
    <n v="-4499.9399999999996"/>
    <x v="7"/>
  </r>
  <r>
    <s v="ORD00249"/>
    <x v="142"/>
    <d v="2023-03-25T00:00:00"/>
    <s v="North"/>
    <s v="India"/>
    <s v="Delhi"/>
    <s v="Bangalore"/>
    <x v="247"/>
    <x v="0"/>
    <s v="Furniture"/>
    <s v="Chair"/>
    <s v="Product_50"/>
    <x v="3"/>
    <x v="0"/>
    <s v="Debit Card"/>
    <s v="Medium"/>
    <n v="4"/>
    <n v="23590"/>
    <n v="5"/>
    <n v="89642"/>
    <n v="10772.17"/>
    <x v="0"/>
  </r>
  <r>
    <s v="ORD00250"/>
    <x v="221"/>
    <d v="2022-08-01T00:00:00"/>
    <s v="North"/>
    <s v="India"/>
    <s v="Gujarat"/>
    <s v="Bangalore"/>
    <x v="248"/>
    <x v="2"/>
    <s v="Electronics"/>
    <s v="Laptop"/>
    <s v="Product_134"/>
    <x v="3"/>
    <x v="0"/>
    <s v="Credit Card"/>
    <s v="Medium"/>
    <n v="5"/>
    <n v="27352"/>
    <n v="15"/>
    <n v="116246"/>
    <n v="16058.3"/>
    <x v="11"/>
  </r>
  <r>
    <s v="ORD00251"/>
    <x v="222"/>
    <d v="2024-07-14T00:00:00"/>
    <s v="East"/>
    <s v="India"/>
    <s v="Gujarat"/>
    <s v="Ahmedabad"/>
    <x v="249"/>
    <x v="0"/>
    <s v="Office Supplies"/>
    <s v="Chair"/>
    <s v="Product_200"/>
    <x v="1"/>
    <x v="1"/>
    <s v="Credit Card"/>
    <s v="Critical"/>
    <n v="1"/>
    <n v="14495"/>
    <n v="15"/>
    <n v="12320.75"/>
    <n v="130.08000000000001"/>
    <x v="11"/>
  </r>
  <r>
    <s v="ORD00252"/>
    <x v="223"/>
    <d v="2023-08-30T00:00:00"/>
    <s v="South"/>
    <s v="India"/>
    <s v="Delhi"/>
    <s v="Mumbai"/>
    <x v="250"/>
    <x v="1"/>
    <s v="Electronics"/>
    <s v="Chair"/>
    <s v="Product_85"/>
    <x v="4"/>
    <x v="0"/>
    <s v="Cash"/>
    <s v="High"/>
    <n v="3"/>
    <n v="45095"/>
    <n v="20"/>
    <n v="108228"/>
    <n v="11277.41"/>
    <x v="8"/>
  </r>
  <r>
    <s v="ORD00253"/>
    <x v="224"/>
    <d v="2024-04-27T00:00:00"/>
    <s v="North"/>
    <s v="India"/>
    <s v="Maharashtra"/>
    <s v="Chennai"/>
    <x v="251"/>
    <x v="1"/>
    <s v="Furniture"/>
    <s v="Laptop"/>
    <s v="Product_110"/>
    <x v="5"/>
    <x v="1"/>
    <s v="Credit Card"/>
    <s v="Critical"/>
    <n v="9"/>
    <n v="35531"/>
    <n v="0"/>
    <n v="319779"/>
    <n v="70546.990000000005"/>
    <x v="6"/>
  </r>
  <r>
    <s v="ORD00254"/>
    <x v="225"/>
    <d v="2023-06-06T00:00:00"/>
    <s v="West"/>
    <s v="India"/>
    <s v="Tamil Nadu"/>
    <s v="Delhi"/>
    <x v="252"/>
    <x v="0"/>
    <s v="Office Supplies"/>
    <s v="Laptop"/>
    <s v="Product_13"/>
    <x v="1"/>
    <x v="0"/>
    <s v="Net Banking"/>
    <s v="Medium"/>
    <n v="3"/>
    <n v="33677"/>
    <n v="20"/>
    <n v="80824.800000000003"/>
    <n v="-1249.81"/>
    <x v="4"/>
  </r>
  <r>
    <s v="ORD00255"/>
    <x v="226"/>
    <d v="2023-09-18T00:00:00"/>
    <s v="South"/>
    <s v="India"/>
    <s v="Maharashtra"/>
    <s v="Chennai"/>
    <x v="253"/>
    <x v="1"/>
    <s v="Electronics"/>
    <s v="Chair"/>
    <s v="Product_34"/>
    <x v="0"/>
    <x v="0"/>
    <s v="Cash"/>
    <s v="Medium"/>
    <n v="10"/>
    <n v="29244"/>
    <n v="0"/>
    <n v="292440"/>
    <n v="19766.419999999998"/>
    <x v="7"/>
  </r>
  <r>
    <s v="ORD00256"/>
    <x v="168"/>
    <d v="2024-05-14T00:00:00"/>
    <s v="North"/>
    <s v="India"/>
    <s v="Tamil Nadu"/>
    <s v="Ahmedabad"/>
    <x v="254"/>
    <x v="1"/>
    <s v="Electronics"/>
    <s v="Chair"/>
    <s v="Product_93"/>
    <x v="3"/>
    <x v="0"/>
    <s v="Net Banking"/>
    <s v="High"/>
    <n v="6"/>
    <n v="1701"/>
    <n v="15"/>
    <n v="8675.1"/>
    <n v="-314.39999999999998"/>
    <x v="4"/>
  </r>
  <r>
    <s v="ORD00257"/>
    <x v="227"/>
    <d v="2023-02-05T00:00:00"/>
    <s v="South"/>
    <s v="India"/>
    <s v="Karnataka"/>
    <s v="Delhi"/>
    <x v="255"/>
    <x v="2"/>
    <s v="Electronics"/>
    <s v="Mobile"/>
    <s v="Product_31"/>
    <x v="5"/>
    <x v="0"/>
    <s v="Credit Card"/>
    <s v="High"/>
    <n v="4"/>
    <n v="27537"/>
    <n v="5"/>
    <n v="104640.6"/>
    <n v="18765.09"/>
    <x v="1"/>
  </r>
  <r>
    <s v="ORD00258"/>
    <x v="104"/>
    <d v="2023-09-13T00:00:00"/>
    <s v="East"/>
    <s v="India"/>
    <s v="Gujarat"/>
    <s v="Bangalore"/>
    <x v="256"/>
    <x v="2"/>
    <s v="Furniture"/>
    <s v="Mobile"/>
    <s v="Product_170"/>
    <x v="5"/>
    <x v="0"/>
    <s v="Net Banking"/>
    <s v="Critical"/>
    <n v="5"/>
    <n v="7125"/>
    <n v="10"/>
    <n v="32062.5"/>
    <n v="-973.67"/>
    <x v="7"/>
  </r>
  <r>
    <s v="ORD00259"/>
    <x v="228"/>
    <d v="2024-06-10T00:00:00"/>
    <s v="North"/>
    <s v="India"/>
    <s v="Karnataka"/>
    <s v="Bangalore"/>
    <x v="257"/>
    <x v="1"/>
    <s v="Office Supplies"/>
    <s v="Printer"/>
    <s v="Product_162"/>
    <x v="1"/>
    <x v="0"/>
    <s v="Net Banking"/>
    <s v="High"/>
    <n v="6"/>
    <n v="10636"/>
    <n v="20"/>
    <n v="51052.800000000003"/>
    <n v="-5115.3500000000004"/>
    <x v="2"/>
  </r>
  <r>
    <s v="ORD00260"/>
    <x v="229"/>
    <d v="2022-09-13T00:00:00"/>
    <s v="West"/>
    <s v="India"/>
    <s v="Tamil Nadu"/>
    <s v="Mumbai"/>
    <x v="258"/>
    <x v="0"/>
    <s v="Furniture"/>
    <s v="Chair"/>
    <s v="Product_86"/>
    <x v="5"/>
    <x v="0"/>
    <s v="Debit Card"/>
    <s v="Low"/>
    <n v="7"/>
    <n v="28200"/>
    <n v="20"/>
    <n v="157920"/>
    <n v="-1013.54"/>
    <x v="7"/>
  </r>
  <r>
    <s v="ORD00261"/>
    <x v="120"/>
    <d v="2024-03-10T00:00:00"/>
    <s v="South"/>
    <s v="India"/>
    <s v="Karnataka"/>
    <s v="Delhi"/>
    <x v="259"/>
    <x v="1"/>
    <s v="Electronics"/>
    <s v="Laptop"/>
    <s v="Product_157"/>
    <x v="5"/>
    <x v="1"/>
    <s v="UPI"/>
    <s v="High"/>
    <n v="4"/>
    <n v="39633"/>
    <n v="20"/>
    <n v="126825.60000000001"/>
    <n v="12927.64"/>
    <x v="0"/>
  </r>
  <r>
    <s v="ORD00262"/>
    <x v="230"/>
    <d v="2022-05-30T00:00:00"/>
    <s v="East"/>
    <s v="India"/>
    <s v="Delhi"/>
    <s v="Ahmedabad"/>
    <x v="260"/>
    <x v="0"/>
    <s v="Electronics"/>
    <s v="Laptop"/>
    <s v="Product_54"/>
    <x v="0"/>
    <x v="0"/>
    <s v="Net Banking"/>
    <s v="Critical"/>
    <n v="1"/>
    <n v="1051"/>
    <n v="0"/>
    <n v="1051"/>
    <n v="135.01"/>
    <x v="4"/>
  </r>
  <r>
    <s v="ORD00263"/>
    <x v="231"/>
    <d v="2022-05-23T00:00:00"/>
    <s v="East"/>
    <s v="India"/>
    <s v="Karnataka"/>
    <s v="Mumbai"/>
    <x v="261"/>
    <x v="1"/>
    <s v="Office Supplies"/>
    <s v="Mobile"/>
    <s v="Product_70"/>
    <x v="4"/>
    <x v="0"/>
    <s v="Net Banking"/>
    <s v="Medium"/>
    <n v="1"/>
    <n v="13564"/>
    <n v="0"/>
    <n v="13564"/>
    <n v="2488.59"/>
    <x v="4"/>
  </r>
  <r>
    <s v="ORD00264"/>
    <x v="15"/>
    <d v="2022-01-10T00:00:00"/>
    <s v="South"/>
    <s v="India"/>
    <s v="Karnataka"/>
    <s v="Chennai"/>
    <x v="262"/>
    <x v="0"/>
    <s v="Electronics"/>
    <s v="Table"/>
    <s v="Product_199"/>
    <x v="4"/>
    <x v="0"/>
    <s v="Debit Card"/>
    <s v="Low"/>
    <n v="2"/>
    <n v="45190"/>
    <n v="0"/>
    <n v="90380"/>
    <n v="12213.64"/>
    <x v="1"/>
  </r>
  <r>
    <s v="ORD00265"/>
    <x v="185"/>
    <d v="2022-06-02T00:00:00"/>
    <s v="West"/>
    <s v="India"/>
    <s v="Karnataka"/>
    <s v="Delhi"/>
    <x v="263"/>
    <x v="0"/>
    <s v="Furniture"/>
    <s v="Printer"/>
    <s v="Product_179"/>
    <x v="4"/>
    <x v="0"/>
    <s v="Credit Card"/>
    <s v="High"/>
    <n v="3"/>
    <n v="36219"/>
    <n v="15"/>
    <n v="92358.45"/>
    <n v="-7752.88"/>
    <x v="4"/>
  </r>
  <r>
    <s v="ORD00266"/>
    <x v="232"/>
    <d v="2023-02-24T00:00:00"/>
    <s v="South"/>
    <s v="India"/>
    <s v="Gujarat"/>
    <s v="Mumbai"/>
    <x v="264"/>
    <x v="0"/>
    <s v="Electronics"/>
    <s v="Chair"/>
    <s v="Product_15"/>
    <x v="3"/>
    <x v="1"/>
    <s v="UPI"/>
    <s v="High"/>
    <n v="6"/>
    <n v="5517"/>
    <n v="0"/>
    <n v="33102"/>
    <n v="3114.67"/>
    <x v="5"/>
  </r>
  <r>
    <s v="ORD00267"/>
    <x v="233"/>
    <d v="2024-08-19T00:00:00"/>
    <s v="South"/>
    <s v="India"/>
    <s v="Karnataka"/>
    <s v="Bangalore"/>
    <x v="265"/>
    <x v="1"/>
    <s v="Office Supplies"/>
    <s v="Table"/>
    <s v="Product_183"/>
    <x v="5"/>
    <x v="1"/>
    <s v="Cash"/>
    <s v="Critical"/>
    <n v="10"/>
    <n v="17368"/>
    <n v="15"/>
    <n v="147628"/>
    <n v="-2510.0100000000002"/>
    <x v="8"/>
  </r>
  <r>
    <s v="ORD00268"/>
    <x v="234"/>
    <d v="2023-07-12T00:00:00"/>
    <s v="North"/>
    <s v="India"/>
    <s v="Maharashtra"/>
    <s v="Bangalore"/>
    <x v="266"/>
    <x v="1"/>
    <s v="Electronics"/>
    <s v="Printer"/>
    <s v="Product_143"/>
    <x v="5"/>
    <x v="1"/>
    <s v="Credit Card"/>
    <s v="Medium"/>
    <n v="1"/>
    <n v="10711"/>
    <n v="10"/>
    <n v="9639.9"/>
    <n v="-222.88"/>
    <x v="11"/>
  </r>
  <r>
    <s v="ORD00269"/>
    <x v="235"/>
    <d v="2023-09-21T00:00:00"/>
    <s v="West"/>
    <s v="India"/>
    <s v="Delhi"/>
    <s v="Bangalore"/>
    <x v="267"/>
    <x v="0"/>
    <s v="Office Supplies"/>
    <s v="Chair"/>
    <s v="Product_46"/>
    <x v="4"/>
    <x v="0"/>
    <s v="Debit Card"/>
    <s v="Critical"/>
    <n v="5"/>
    <n v="33817"/>
    <n v="0"/>
    <n v="169085"/>
    <n v="35116.81"/>
    <x v="7"/>
  </r>
  <r>
    <s v="ORD00270"/>
    <x v="236"/>
    <d v="2022-09-06T00:00:00"/>
    <s v="West"/>
    <s v="India"/>
    <s v="Maharashtra"/>
    <s v="Chennai"/>
    <x v="268"/>
    <x v="2"/>
    <s v="Furniture"/>
    <s v="Table"/>
    <s v="Product_56"/>
    <x v="5"/>
    <x v="0"/>
    <s v="UPI"/>
    <s v="Low"/>
    <n v="3"/>
    <n v="15058"/>
    <n v="5"/>
    <n v="42915.3"/>
    <n v="9643.9500000000007"/>
    <x v="8"/>
  </r>
  <r>
    <s v="ORD00271"/>
    <x v="237"/>
    <d v="2022-01-15T00:00:00"/>
    <s v="East"/>
    <s v="India"/>
    <s v="Maharashtra"/>
    <s v="Delhi"/>
    <x v="269"/>
    <x v="2"/>
    <s v="Office Supplies"/>
    <s v="Storage"/>
    <s v="Product_178"/>
    <x v="4"/>
    <x v="1"/>
    <s v="Net Banking"/>
    <s v="Low"/>
    <n v="5"/>
    <n v="11361"/>
    <n v="5"/>
    <n v="53964.75"/>
    <n v="4633.83"/>
    <x v="1"/>
  </r>
  <r>
    <s v="ORD00272"/>
    <x v="238"/>
    <d v="2022-09-12T00:00:00"/>
    <s v="East"/>
    <s v="India"/>
    <s v="Gujarat"/>
    <s v="Ahmedabad"/>
    <x v="270"/>
    <x v="0"/>
    <s v="Office Supplies"/>
    <s v="Storage"/>
    <s v="Product_21"/>
    <x v="1"/>
    <x v="0"/>
    <s v="Debit Card"/>
    <s v="Medium"/>
    <n v="9"/>
    <n v="35687"/>
    <n v="0"/>
    <n v="321183"/>
    <n v="91177.91"/>
    <x v="7"/>
  </r>
  <r>
    <s v="ORD00273"/>
    <x v="179"/>
    <d v="2024-01-15T00:00:00"/>
    <s v="North"/>
    <s v="India"/>
    <s v="Delhi"/>
    <s v="Bangalore"/>
    <x v="271"/>
    <x v="2"/>
    <s v="Office Supplies"/>
    <s v="Laptop"/>
    <s v="Product_91"/>
    <x v="0"/>
    <x v="0"/>
    <s v="Debit Card"/>
    <s v="Critical"/>
    <n v="9"/>
    <n v="21849"/>
    <n v="20"/>
    <n v="157312.79999999999"/>
    <n v="4664.3999999999996"/>
    <x v="1"/>
  </r>
  <r>
    <s v="ORD00274"/>
    <x v="239"/>
    <d v="2023-03-15T00:00:00"/>
    <s v="North"/>
    <s v="India"/>
    <s v="Tamil Nadu"/>
    <s v="Ahmedabad"/>
    <x v="272"/>
    <x v="2"/>
    <s v="Furniture"/>
    <s v="Laptop"/>
    <s v="Product_88"/>
    <x v="4"/>
    <x v="1"/>
    <s v="Debit Card"/>
    <s v="Medium"/>
    <n v="9"/>
    <n v="8371"/>
    <n v="5"/>
    <n v="71572.05"/>
    <n v="9909.5"/>
    <x v="0"/>
  </r>
  <r>
    <s v="ORD00275"/>
    <x v="240"/>
    <d v="2023-12-29T00:00:00"/>
    <s v="East"/>
    <s v="India"/>
    <s v="Tamil Nadu"/>
    <s v="Ahmedabad"/>
    <x v="273"/>
    <x v="0"/>
    <s v="Office Supplies"/>
    <s v="Chair"/>
    <s v="Product_152"/>
    <x v="2"/>
    <x v="0"/>
    <s v="UPI"/>
    <s v="Medium"/>
    <n v="9"/>
    <n v="21972"/>
    <n v="15"/>
    <n v="168085.8"/>
    <n v="24221.78"/>
    <x v="9"/>
  </r>
  <r>
    <s v="ORD00276"/>
    <x v="27"/>
    <d v="2024-03-25T00:00:00"/>
    <s v="South"/>
    <s v="India"/>
    <s v="Maharashtra"/>
    <s v="Bangalore"/>
    <x v="274"/>
    <x v="1"/>
    <s v="Electronics"/>
    <s v="Laptop"/>
    <s v="Product_70"/>
    <x v="2"/>
    <x v="0"/>
    <s v="Net Banking"/>
    <s v="Critical"/>
    <n v="8"/>
    <n v="24456"/>
    <n v="0"/>
    <n v="195648"/>
    <n v="37498.75"/>
    <x v="0"/>
  </r>
  <r>
    <s v="ORD00277"/>
    <x v="7"/>
    <d v="2023-01-30T00:00:00"/>
    <s v="North"/>
    <s v="India"/>
    <s v="Gujarat"/>
    <s v="Mumbai"/>
    <x v="275"/>
    <x v="1"/>
    <s v="Office Supplies"/>
    <s v="Mobile"/>
    <s v="Product_91"/>
    <x v="1"/>
    <x v="1"/>
    <s v="Net Banking"/>
    <s v="Medium"/>
    <n v="1"/>
    <n v="22985"/>
    <n v="20"/>
    <n v="18388"/>
    <n v="-2208.59"/>
    <x v="1"/>
  </r>
  <r>
    <s v="ORD00278"/>
    <x v="241"/>
    <d v="2022-10-03T00:00:00"/>
    <s v="South"/>
    <s v="India"/>
    <s v="Delhi"/>
    <s v="Delhi"/>
    <x v="276"/>
    <x v="1"/>
    <s v="Electronics"/>
    <s v="Mobile"/>
    <s v="Product_174"/>
    <x v="2"/>
    <x v="1"/>
    <s v="Debit Card"/>
    <s v="Low"/>
    <n v="7"/>
    <n v="21531"/>
    <n v="20"/>
    <n v="120573.6"/>
    <n v="-13696.29"/>
    <x v="7"/>
  </r>
  <r>
    <s v="ORD00279"/>
    <x v="242"/>
    <d v="2022-07-29T00:00:00"/>
    <s v="South"/>
    <s v="India"/>
    <s v="Delhi"/>
    <s v="Bangalore"/>
    <x v="277"/>
    <x v="2"/>
    <s v="Furniture"/>
    <s v="Chair"/>
    <s v="Product_113"/>
    <x v="4"/>
    <x v="1"/>
    <s v="Credit Card"/>
    <s v="High"/>
    <n v="8"/>
    <n v="46960"/>
    <n v="10"/>
    <n v="338112"/>
    <n v="27759.23"/>
    <x v="11"/>
  </r>
  <r>
    <s v="ORD00280"/>
    <x v="179"/>
    <d v="2024-01-18T00:00:00"/>
    <s v="North"/>
    <s v="India"/>
    <s v="Maharashtra"/>
    <s v="Chennai"/>
    <x v="278"/>
    <x v="1"/>
    <s v="Office Supplies"/>
    <s v="Laptop"/>
    <s v="Product_80"/>
    <x v="5"/>
    <x v="0"/>
    <s v="Cash"/>
    <s v="High"/>
    <n v="2"/>
    <n v="45215"/>
    <n v="20"/>
    <n v="72344"/>
    <n v="8636.2800000000007"/>
    <x v="1"/>
  </r>
  <r>
    <s v="ORD00281"/>
    <x v="243"/>
    <d v="2022-12-21T00:00:00"/>
    <s v="South"/>
    <s v="India"/>
    <s v="Delhi"/>
    <s v="Ahmedabad"/>
    <x v="279"/>
    <x v="1"/>
    <s v="Electronics"/>
    <s v="Mobile"/>
    <s v="Product_108"/>
    <x v="3"/>
    <x v="1"/>
    <s v="Cash"/>
    <s v="Low"/>
    <n v="1"/>
    <n v="18480"/>
    <n v="0"/>
    <n v="18480"/>
    <n v="4225.3100000000004"/>
    <x v="9"/>
  </r>
  <r>
    <s v="ORD00282"/>
    <x v="77"/>
    <d v="2023-04-22T00:00:00"/>
    <s v="South"/>
    <s v="India"/>
    <s v="Tamil Nadu"/>
    <s v="Chennai"/>
    <x v="280"/>
    <x v="2"/>
    <s v="Office Supplies"/>
    <s v="Storage"/>
    <s v="Product_111"/>
    <x v="5"/>
    <x v="0"/>
    <s v="Net Banking"/>
    <s v="Critical"/>
    <n v="10"/>
    <n v="10045"/>
    <n v="20"/>
    <n v="80360"/>
    <n v="-3667.8"/>
    <x v="6"/>
  </r>
  <r>
    <s v="ORD00283"/>
    <x v="244"/>
    <d v="2023-03-06T00:00:00"/>
    <s v="East"/>
    <s v="India"/>
    <s v="Gujarat"/>
    <s v="Bangalore"/>
    <x v="281"/>
    <x v="1"/>
    <s v="Office Supplies"/>
    <s v="Table"/>
    <s v="Product_90"/>
    <x v="4"/>
    <x v="0"/>
    <s v="Credit Card"/>
    <s v="High"/>
    <n v="1"/>
    <n v="10766"/>
    <n v="20"/>
    <n v="8612.7999999999993"/>
    <n v="995.7"/>
    <x v="5"/>
  </r>
  <r>
    <s v="ORD00284"/>
    <x v="45"/>
    <d v="2022-06-01T00:00:00"/>
    <s v="East"/>
    <s v="India"/>
    <s v="Karnataka"/>
    <s v="Ahmedabad"/>
    <x v="282"/>
    <x v="2"/>
    <s v="Furniture"/>
    <s v="Storage"/>
    <s v="Product_194"/>
    <x v="1"/>
    <x v="0"/>
    <s v="UPI"/>
    <s v="Medium"/>
    <n v="9"/>
    <n v="32058"/>
    <n v="5"/>
    <n v="274095.90000000002"/>
    <n v="20550.7"/>
    <x v="4"/>
  </r>
  <r>
    <s v="ORD00285"/>
    <x v="135"/>
    <d v="2024-06-23T00:00:00"/>
    <s v="South"/>
    <s v="India"/>
    <s v="Tamil Nadu"/>
    <s v="Chennai"/>
    <x v="283"/>
    <x v="2"/>
    <s v="Office Supplies"/>
    <s v="Laptop"/>
    <s v="Product_78"/>
    <x v="4"/>
    <x v="0"/>
    <s v="Credit Card"/>
    <s v="Critical"/>
    <n v="6"/>
    <n v="20287"/>
    <n v="0"/>
    <n v="121722"/>
    <n v="20298.099999999999"/>
    <x v="2"/>
  </r>
  <r>
    <s v="ORD00286"/>
    <x v="201"/>
    <d v="2022-08-29T00:00:00"/>
    <s v="North"/>
    <s v="India"/>
    <s v="Karnataka"/>
    <s v="Delhi"/>
    <x v="284"/>
    <x v="0"/>
    <s v="Office Supplies"/>
    <s v="Storage"/>
    <s v="Product_75"/>
    <x v="2"/>
    <x v="0"/>
    <s v="Debit Card"/>
    <s v="Medium"/>
    <n v="7"/>
    <n v="38594"/>
    <n v="20"/>
    <n v="216126.4"/>
    <n v="10114.48"/>
    <x v="8"/>
  </r>
  <r>
    <s v="ORD00287"/>
    <x v="245"/>
    <d v="2022-12-11T00:00:00"/>
    <s v="West"/>
    <s v="India"/>
    <s v="Karnataka"/>
    <s v="Ahmedabad"/>
    <x v="285"/>
    <x v="2"/>
    <s v="Electronics"/>
    <s v="Storage"/>
    <s v="Product_98"/>
    <x v="2"/>
    <x v="1"/>
    <s v="Credit Card"/>
    <s v="Medium"/>
    <n v="10"/>
    <n v="34366"/>
    <n v="15"/>
    <n v="292111"/>
    <n v="-22225.47"/>
    <x v="9"/>
  </r>
  <r>
    <s v="ORD00288"/>
    <x v="246"/>
    <d v="2022-03-05T00:00:00"/>
    <s v="East"/>
    <s v="India"/>
    <s v="Gujarat"/>
    <s v="Chennai"/>
    <x v="286"/>
    <x v="2"/>
    <s v="Office Supplies"/>
    <s v="Laptop"/>
    <s v="Product_140"/>
    <x v="0"/>
    <x v="0"/>
    <s v="Credit Card"/>
    <s v="Critical"/>
    <n v="10"/>
    <n v="44447"/>
    <n v="10"/>
    <n v="400023"/>
    <n v="23211.64"/>
    <x v="5"/>
  </r>
  <r>
    <s v="ORD00289"/>
    <x v="247"/>
    <d v="2024-05-28T00:00:00"/>
    <s v="West"/>
    <s v="India"/>
    <s v="Karnataka"/>
    <s v="Mumbai"/>
    <x v="287"/>
    <x v="1"/>
    <s v="Office Supplies"/>
    <s v="Mobile"/>
    <s v="Product_178"/>
    <x v="4"/>
    <x v="0"/>
    <s v="Debit Card"/>
    <s v="Medium"/>
    <n v="1"/>
    <n v="17868"/>
    <n v="10"/>
    <n v="16081.2"/>
    <n v="1862.65"/>
    <x v="4"/>
  </r>
  <r>
    <s v="ORD00290"/>
    <x v="248"/>
    <d v="2022-12-24T00:00:00"/>
    <s v="North"/>
    <s v="India"/>
    <s v="Gujarat"/>
    <s v="Chennai"/>
    <x v="288"/>
    <x v="1"/>
    <s v="Office Supplies"/>
    <s v="Mobile"/>
    <s v="Product_168"/>
    <x v="4"/>
    <x v="1"/>
    <s v="Debit Card"/>
    <s v="Medium"/>
    <n v="8"/>
    <n v="33667"/>
    <n v="5"/>
    <n v="255869.2"/>
    <n v="62745.79"/>
    <x v="9"/>
  </r>
  <r>
    <s v="ORD00291"/>
    <x v="249"/>
    <d v="2023-03-24T00:00:00"/>
    <s v="North"/>
    <s v="India"/>
    <s v="Maharashtra"/>
    <s v="Ahmedabad"/>
    <x v="289"/>
    <x v="2"/>
    <s v="Office Supplies"/>
    <s v="Mobile"/>
    <s v="Product_60"/>
    <x v="3"/>
    <x v="1"/>
    <s v="Net Banking"/>
    <s v="Low"/>
    <n v="9"/>
    <n v="22806"/>
    <n v="0"/>
    <n v="205254"/>
    <n v="37675.01"/>
    <x v="0"/>
  </r>
  <r>
    <s v="ORD00292"/>
    <x v="250"/>
    <d v="2024-04-18T00:00:00"/>
    <s v="South"/>
    <s v="India"/>
    <s v="Maharashtra"/>
    <s v="Delhi"/>
    <x v="138"/>
    <x v="2"/>
    <s v="Furniture"/>
    <s v="Chair"/>
    <s v="Product_182"/>
    <x v="5"/>
    <x v="1"/>
    <s v="Cash"/>
    <s v="Critical"/>
    <n v="10"/>
    <n v="10825"/>
    <n v="15"/>
    <n v="92012.5"/>
    <n v="10002.049999999999"/>
    <x v="6"/>
  </r>
  <r>
    <s v="ORD00293"/>
    <x v="251"/>
    <d v="2023-12-17T00:00:00"/>
    <s v="West"/>
    <s v="India"/>
    <s v="Maharashtra"/>
    <s v="Delhi"/>
    <x v="290"/>
    <x v="0"/>
    <s v="Furniture"/>
    <s v="Laptop"/>
    <s v="Product_90"/>
    <x v="1"/>
    <x v="0"/>
    <s v="Cash"/>
    <s v="High"/>
    <n v="3"/>
    <n v="5782"/>
    <n v="15"/>
    <n v="14744.1"/>
    <n v="2217.5100000000002"/>
    <x v="9"/>
  </r>
  <r>
    <s v="ORD00294"/>
    <x v="252"/>
    <d v="2023-06-07T00:00:00"/>
    <s v="North"/>
    <s v="India"/>
    <s v="Gujarat"/>
    <s v="Mumbai"/>
    <x v="291"/>
    <x v="2"/>
    <s v="Electronics"/>
    <s v="Chair"/>
    <s v="Product_140"/>
    <x v="4"/>
    <x v="0"/>
    <s v="UPI"/>
    <s v="High"/>
    <n v="10"/>
    <n v="19240"/>
    <n v="5"/>
    <n v="182780"/>
    <n v="34979.26"/>
    <x v="2"/>
  </r>
  <r>
    <s v="ORD00295"/>
    <x v="253"/>
    <d v="2022-12-25T00:00:00"/>
    <s v="West"/>
    <s v="India"/>
    <s v="Gujarat"/>
    <s v="Ahmedabad"/>
    <x v="292"/>
    <x v="1"/>
    <s v="Electronics"/>
    <s v="Table"/>
    <s v="Product_145"/>
    <x v="2"/>
    <x v="1"/>
    <s v="Net Banking"/>
    <s v="High"/>
    <n v="7"/>
    <n v="14627"/>
    <n v="5"/>
    <n v="97269.55"/>
    <n v="15492.36"/>
    <x v="9"/>
  </r>
  <r>
    <s v="ORD00296"/>
    <x v="254"/>
    <d v="2023-01-25T00:00:00"/>
    <s v="South"/>
    <s v="India"/>
    <s v="Delhi"/>
    <s v="Bangalore"/>
    <x v="293"/>
    <x v="1"/>
    <s v="Furniture"/>
    <s v="Chair"/>
    <s v="Product_189"/>
    <x v="3"/>
    <x v="1"/>
    <s v="Cash"/>
    <s v="Low"/>
    <n v="3"/>
    <n v="44497"/>
    <n v="10"/>
    <n v="120141.9"/>
    <n v="9184.01"/>
    <x v="1"/>
  </r>
  <r>
    <s v="ORD00297"/>
    <x v="255"/>
    <d v="2024-02-11T00:00:00"/>
    <s v="South"/>
    <s v="India"/>
    <s v="Tamil Nadu"/>
    <s v="Mumbai"/>
    <x v="294"/>
    <x v="1"/>
    <s v="Electronics"/>
    <s v="Printer"/>
    <s v="Product_27"/>
    <x v="0"/>
    <x v="0"/>
    <s v="Cash"/>
    <s v="Low"/>
    <n v="7"/>
    <n v="47092"/>
    <n v="0"/>
    <n v="329644"/>
    <n v="59748.33"/>
    <x v="5"/>
  </r>
  <r>
    <s v="ORD00298"/>
    <x v="256"/>
    <d v="2022-03-09T00:00:00"/>
    <s v="South"/>
    <s v="India"/>
    <s v="Tamil Nadu"/>
    <s v="Mumbai"/>
    <x v="295"/>
    <x v="0"/>
    <s v="Furniture"/>
    <s v="Printer"/>
    <s v="Product_177"/>
    <x v="4"/>
    <x v="1"/>
    <s v="Credit Card"/>
    <s v="Medium"/>
    <n v="2"/>
    <n v="21314"/>
    <n v="15"/>
    <n v="36233.800000000003"/>
    <n v="3849.43"/>
    <x v="5"/>
  </r>
  <r>
    <s v="ORD00299"/>
    <x v="257"/>
    <d v="2024-09-26T00:00:00"/>
    <s v="North"/>
    <s v="India"/>
    <s v="Karnataka"/>
    <s v="Delhi"/>
    <x v="296"/>
    <x v="0"/>
    <s v="Electronics"/>
    <s v="Table"/>
    <s v="Product_34"/>
    <x v="2"/>
    <x v="0"/>
    <s v="Cash"/>
    <s v="Low"/>
    <n v="7"/>
    <n v="8443"/>
    <n v="20"/>
    <n v="47280.800000000003"/>
    <n v="4499.91"/>
    <x v="7"/>
  </r>
  <r>
    <s v="ORD00300"/>
    <x v="258"/>
    <d v="2023-06-14T00:00:00"/>
    <s v="East"/>
    <s v="India"/>
    <s v="Gujarat"/>
    <s v="Delhi"/>
    <x v="297"/>
    <x v="1"/>
    <s v="Electronics"/>
    <s v="Storage"/>
    <s v="Product_108"/>
    <x v="3"/>
    <x v="1"/>
    <s v="Cash"/>
    <s v="Medium"/>
    <n v="5"/>
    <n v="38786"/>
    <n v="15"/>
    <n v="164840.5"/>
    <n v="25398.95"/>
    <x v="2"/>
  </r>
  <r>
    <s v="ORD00301"/>
    <x v="114"/>
    <d v="2024-02-14T00:00:00"/>
    <s v="North"/>
    <s v="India"/>
    <s v="Gujarat"/>
    <s v="Mumbai"/>
    <x v="298"/>
    <x v="0"/>
    <s v="Office Supplies"/>
    <s v="Laptop"/>
    <s v="Product_40"/>
    <x v="1"/>
    <x v="1"/>
    <s v="Net Banking"/>
    <s v="Critical"/>
    <n v="8"/>
    <n v="13304"/>
    <n v="5"/>
    <n v="101110.39999999999"/>
    <n v="12879.21"/>
    <x v="5"/>
  </r>
  <r>
    <s v="ORD00302"/>
    <x v="259"/>
    <d v="2023-11-24T00:00:00"/>
    <s v="East"/>
    <s v="India"/>
    <s v="Tamil Nadu"/>
    <s v="Bangalore"/>
    <x v="299"/>
    <x v="2"/>
    <s v="Furniture"/>
    <s v="Table"/>
    <s v="Product_11"/>
    <x v="0"/>
    <x v="0"/>
    <s v="Debit Card"/>
    <s v="Critical"/>
    <n v="9"/>
    <n v="11095"/>
    <n v="20"/>
    <n v="79884"/>
    <n v="-10372.69"/>
    <x v="3"/>
  </r>
  <r>
    <s v="ORD00303"/>
    <x v="260"/>
    <d v="2023-03-29T00:00:00"/>
    <s v="North"/>
    <s v="India"/>
    <s v="Delhi"/>
    <s v="Chennai"/>
    <x v="300"/>
    <x v="1"/>
    <s v="Furniture"/>
    <s v="Table"/>
    <s v="Product_32"/>
    <x v="0"/>
    <x v="1"/>
    <s v="UPI"/>
    <s v="Low"/>
    <n v="9"/>
    <n v="23435"/>
    <n v="20"/>
    <n v="168732"/>
    <n v="-1030.6199999999999"/>
    <x v="0"/>
  </r>
  <r>
    <s v="ORD00304"/>
    <x v="261"/>
    <d v="2023-04-03T00:00:00"/>
    <s v="West"/>
    <s v="India"/>
    <s v="Gujarat"/>
    <s v="Chennai"/>
    <x v="301"/>
    <x v="0"/>
    <s v="Office Supplies"/>
    <s v="Chair"/>
    <s v="Product_128"/>
    <x v="0"/>
    <x v="1"/>
    <s v="Net Banking"/>
    <s v="Medium"/>
    <n v="6"/>
    <n v="5106"/>
    <n v="0"/>
    <n v="30636"/>
    <n v="1828.99"/>
    <x v="6"/>
  </r>
  <r>
    <s v="ORD00305"/>
    <x v="262"/>
    <d v="2023-05-06T00:00:00"/>
    <s v="West"/>
    <s v="India"/>
    <s v="Karnataka"/>
    <s v="Ahmedabad"/>
    <x v="302"/>
    <x v="2"/>
    <s v="Electronics"/>
    <s v="Printer"/>
    <s v="Product_75"/>
    <x v="5"/>
    <x v="1"/>
    <s v="UPI"/>
    <s v="Medium"/>
    <n v="4"/>
    <n v="34926"/>
    <n v="10"/>
    <n v="125733.6"/>
    <n v="24493.08"/>
    <x v="4"/>
  </r>
  <r>
    <s v="ORD00306"/>
    <x v="137"/>
    <d v="2023-08-08T00:00:00"/>
    <s v="West"/>
    <s v="India"/>
    <s v="Karnataka"/>
    <s v="Ahmedabad"/>
    <x v="303"/>
    <x v="1"/>
    <s v="Office Supplies"/>
    <s v="Chair"/>
    <s v="Product_97"/>
    <x v="5"/>
    <x v="1"/>
    <s v="Net Banking"/>
    <s v="Low"/>
    <n v="2"/>
    <n v="42750"/>
    <n v="0"/>
    <n v="85500"/>
    <n v="24502.75"/>
    <x v="8"/>
  </r>
  <r>
    <s v="ORD00307"/>
    <x v="263"/>
    <d v="2023-07-19T00:00:00"/>
    <s v="South"/>
    <s v="India"/>
    <s v="Maharashtra"/>
    <s v="Delhi"/>
    <x v="304"/>
    <x v="1"/>
    <s v="Electronics"/>
    <s v="Table"/>
    <s v="Product_157"/>
    <x v="2"/>
    <x v="1"/>
    <s v="Net Banking"/>
    <s v="Critical"/>
    <n v="1"/>
    <n v="47604"/>
    <n v="10"/>
    <n v="42843.6"/>
    <n v="-1515.53"/>
    <x v="11"/>
  </r>
  <r>
    <s v="ORD00308"/>
    <x v="264"/>
    <d v="2023-10-16T00:00:00"/>
    <s v="West"/>
    <s v="India"/>
    <s v="Gujarat"/>
    <s v="Bangalore"/>
    <x v="305"/>
    <x v="1"/>
    <s v="Furniture"/>
    <s v="Printer"/>
    <s v="Product_153"/>
    <x v="0"/>
    <x v="0"/>
    <s v="Debit Card"/>
    <s v="Critical"/>
    <n v="1"/>
    <n v="23598"/>
    <n v="0"/>
    <n v="23598"/>
    <n v="3107.88"/>
    <x v="10"/>
  </r>
  <r>
    <s v="ORD00309"/>
    <x v="265"/>
    <d v="2022-10-13T00:00:00"/>
    <s v="North"/>
    <s v="India"/>
    <s v="Delhi"/>
    <s v="Mumbai"/>
    <x v="306"/>
    <x v="1"/>
    <s v="Office Supplies"/>
    <s v="Mobile"/>
    <s v="Product_136"/>
    <x v="4"/>
    <x v="0"/>
    <s v="Net Banking"/>
    <s v="Critical"/>
    <n v="4"/>
    <n v="45437"/>
    <n v="10"/>
    <n v="163573.20000000001"/>
    <n v="35769.85"/>
    <x v="10"/>
  </r>
  <r>
    <s v="ORD00310"/>
    <x v="0"/>
    <d v="2023-03-12T00:00:00"/>
    <s v="North"/>
    <s v="India"/>
    <s v="Maharashtra"/>
    <s v="Bangalore"/>
    <x v="307"/>
    <x v="0"/>
    <s v="Electronics"/>
    <s v="Table"/>
    <s v="Product_89"/>
    <x v="4"/>
    <x v="0"/>
    <s v="Net Banking"/>
    <s v="High"/>
    <n v="2"/>
    <n v="34467"/>
    <n v="10"/>
    <n v="62040.6"/>
    <n v="268.06"/>
    <x v="0"/>
  </r>
  <r>
    <s v="ORD00311"/>
    <x v="266"/>
    <d v="2022-08-19T00:00:00"/>
    <s v="West"/>
    <s v="India"/>
    <s v="Delhi"/>
    <s v="Bangalore"/>
    <x v="308"/>
    <x v="1"/>
    <s v="Furniture"/>
    <s v="Table"/>
    <s v="Product_77"/>
    <x v="1"/>
    <x v="0"/>
    <s v="Net Banking"/>
    <s v="Critical"/>
    <n v="5"/>
    <n v="23079"/>
    <n v="5"/>
    <n v="109625.25"/>
    <n v="28013.51"/>
    <x v="8"/>
  </r>
  <r>
    <s v="ORD00312"/>
    <x v="267"/>
    <d v="2022-06-27T00:00:00"/>
    <s v="North"/>
    <s v="India"/>
    <s v="Delhi"/>
    <s v="Chennai"/>
    <x v="309"/>
    <x v="1"/>
    <s v="Electronics"/>
    <s v="Storage"/>
    <s v="Product_70"/>
    <x v="0"/>
    <x v="1"/>
    <s v="Cash"/>
    <s v="Medium"/>
    <n v="1"/>
    <n v="25487"/>
    <n v="0"/>
    <n v="25487"/>
    <n v="3363.05"/>
    <x v="2"/>
  </r>
  <r>
    <s v="ORD00313"/>
    <x v="268"/>
    <d v="2024-08-27T00:00:00"/>
    <s v="East"/>
    <s v="India"/>
    <s v="Gujarat"/>
    <s v="Ahmedabad"/>
    <x v="310"/>
    <x v="2"/>
    <s v="Electronics"/>
    <s v="Laptop"/>
    <s v="Product_132"/>
    <x v="1"/>
    <x v="1"/>
    <s v="Credit Card"/>
    <s v="Critical"/>
    <n v="10"/>
    <n v="42250"/>
    <n v="20"/>
    <n v="338000"/>
    <n v="-27475.5"/>
    <x v="8"/>
  </r>
  <r>
    <s v="ORD00314"/>
    <x v="269"/>
    <d v="2022-07-12T00:00:00"/>
    <s v="East"/>
    <s v="India"/>
    <s v="Gujarat"/>
    <s v="Chennai"/>
    <x v="311"/>
    <x v="2"/>
    <s v="Office Supplies"/>
    <s v="Mobile"/>
    <s v="Product_25"/>
    <x v="5"/>
    <x v="1"/>
    <s v="Debit Card"/>
    <s v="Medium"/>
    <n v="4"/>
    <n v="6510"/>
    <n v="20"/>
    <n v="20832"/>
    <n v="1051.8"/>
    <x v="11"/>
  </r>
  <r>
    <s v="ORD00315"/>
    <x v="145"/>
    <d v="2023-05-03T00:00:00"/>
    <s v="East"/>
    <s v="India"/>
    <s v="Karnataka"/>
    <s v="Ahmedabad"/>
    <x v="312"/>
    <x v="1"/>
    <s v="Furniture"/>
    <s v="Printer"/>
    <s v="Product_175"/>
    <x v="5"/>
    <x v="1"/>
    <s v="Debit Card"/>
    <s v="Critical"/>
    <n v="1"/>
    <n v="11864"/>
    <n v="15"/>
    <n v="10084.4"/>
    <n v="650.36"/>
    <x v="6"/>
  </r>
  <r>
    <s v="ORD00316"/>
    <x v="189"/>
    <d v="2023-01-15T00:00:00"/>
    <s v="East"/>
    <s v="India"/>
    <s v="Karnataka"/>
    <s v="Mumbai"/>
    <x v="313"/>
    <x v="0"/>
    <s v="Electronics"/>
    <s v="Storage"/>
    <s v="Product_96"/>
    <x v="4"/>
    <x v="1"/>
    <s v="Debit Card"/>
    <s v="Low"/>
    <n v="10"/>
    <n v="33838"/>
    <n v="10"/>
    <n v="304542"/>
    <n v="15644.29"/>
    <x v="1"/>
  </r>
  <r>
    <s v="ORD00317"/>
    <x v="270"/>
    <d v="2022-11-20T00:00:00"/>
    <s v="West"/>
    <s v="India"/>
    <s v="Tamil Nadu"/>
    <s v="Delhi"/>
    <x v="314"/>
    <x v="1"/>
    <s v="Electronics"/>
    <s v="Chair"/>
    <s v="Product_103"/>
    <x v="1"/>
    <x v="1"/>
    <s v="Cash"/>
    <s v="Medium"/>
    <n v="4"/>
    <n v="49141"/>
    <n v="20"/>
    <n v="157251.20000000001"/>
    <n v="-2616.23"/>
    <x v="3"/>
  </r>
  <r>
    <s v="ORD00318"/>
    <x v="271"/>
    <d v="2022-01-23T00:00:00"/>
    <s v="North"/>
    <s v="India"/>
    <s v="Maharashtra"/>
    <s v="Chennai"/>
    <x v="315"/>
    <x v="1"/>
    <s v="Office Supplies"/>
    <s v="Table"/>
    <s v="Product_33"/>
    <x v="0"/>
    <x v="1"/>
    <s v="Debit Card"/>
    <s v="Medium"/>
    <n v="3"/>
    <n v="18556"/>
    <n v="15"/>
    <n v="47317.8"/>
    <n v="-4095.91"/>
    <x v="1"/>
  </r>
  <r>
    <s v="ORD00319"/>
    <x v="272"/>
    <d v="2022-10-03T00:00:00"/>
    <s v="West"/>
    <s v="India"/>
    <s v="Maharashtra"/>
    <s v="Bangalore"/>
    <x v="316"/>
    <x v="0"/>
    <s v="Electronics"/>
    <s v="Laptop"/>
    <s v="Product_123"/>
    <x v="1"/>
    <x v="1"/>
    <s v="Cash"/>
    <s v="Low"/>
    <n v="4"/>
    <n v="14592"/>
    <n v="0"/>
    <n v="58368"/>
    <n v="16677.34"/>
    <x v="7"/>
  </r>
  <r>
    <s v="ORD00320"/>
    <x v="259"/>
    <d v="2023-11-17T00:00:00"/>
    <s v="North"/>
    <s v="India"/>
    <s v="Delhi"/>
    <s v="Chennai"/>
    <x v="317"/>
    <x v="2"/>
    <s v="Electronics"/>
    <s v="Printer"/>
    <s v="Product_170"/>
    <x v="2"/>
    <x v="0"/>
    <s v="Credit Card"/>
    <s v="Medium"/>
    <n v="8"/>
    <n v="39185"/>
    <n v="20"/>
    <n v="250784"/>
    <n v="26344.7"/>
    <x v="3"/>
  </r>
  <r>
    <s v="ORD00321"/>
    <x v="273"/>
    <d v="2024-06-03T00:00:00"/>
    <s v="East"/>
    <s v="India"/>
    <s v="Karnataka"/>
    <s v="Bangalore"/>
    <x v="318"/>
    <x v="1"/>
    <s v="Furniture"/>
    <s v="Mobile"/>
    <s v="Product_112"/>
    <x v="3"/>
    <x v="0"/>
    <s v="UPI"/>
    <s v="Critical"/>
    <n v="2"/>
    <n v="20162"/>
    <n v="15"/>
    <n v="34275.4"/>
    <n v="-114.65"/>
    <x v="4"/>
  </r>
  <r>
    <s v="ORD00322"/>
    <x v="274"/>
    <d v="2022-04-25T00:00:00"/>
    <s v="North"/>
    <s v="India"/>
    <s v="Tamil Nadu"/>
    <s v="Chennai"/>
    <x v="319"/>
    <x v="2"/>
    <s v="Office Supplies"/>
    <s v="Storage"/>
    <s v="Product_55"/>
    <x v="5"/>
    <x v="1"/>
    <s v="Net Banking"/>
    <s v="Critical"/>
    <n v="3"/>
    <n v="24302"/>
    <n v="20"/>
    <n v="58324.800000000003"/>
    <n v="-10762.13"/>
    <x v="6"/>
  </r>
  <r>
    <s v="ORD00323"/>
    <x v="275"/>
    <d v="2023-02-11T00:00:00"/>
    <s v="East"/>
    <s v="India"/>
    <s v="Delhi"/>
    <s v="Ahmedabad"/>
    <x v="320"/>
    <x v="0"/>
    <s v="Electronics"/>
    <s v="Printer"/>
    <s v="Product_37"/>
    <x v="2"/>
    <x v="0"/>
    <s v="Credit Card"/>
    <s v="High"/>
    <n v="7"/>
    <n v="44288"/>
    <n v="10"/>
    <n v="279014.40000000002"/>
    <n v="-8770.33"/>
    <x v="5"/>
  </r>
  <r>
    <s v="ORD00324"/>
    <x v="276"/>
    <d v="2022-09-23T00:00:00"/>
    <s v="South"/>
    <s v="India"/>
    <s v="Gujarat"/>
    <s v="Ahmedabad"/>
    <x v="321"/>
    <x v="0"/>
    <s v="Electronics"/>
    <s v="Laptop"/>
    <s v="Product_59"/>
    <x v="2"/>
    <x v="1"/>
    <s v="Credit Card"/>
    <s v="High"/>
    <n v="3"/>
    <n v="14161"/>
    <n v="20"/>
    <n v="33986.400000000001"/>
    <n v="-4788.0600000000004"/>
    <x v="7"/>
  </r>
  <r>
    <s v="ORD00325"/>
    <x v="48"/>
    <d v="2023-07-19T00:00:00"/>
    <s v="West"/>
    <s v="India"/>
    <s v="Tamil Nadu"/>
    <s v="Bangalore"/>
    <x v="322"/>
    <x v="0"/>
    <s v="Electronics"/>
    <s v="Storage"/>
    <s v="Product_125"/>
    <x v="2"/>
    <x v="1"/>
    <s v="Debit Card"/>
    <s v="Low"/>
    <n v="9"/>
    <n v="25683"/>
    <n v="5"/>
    <n v="219589.65"/>
    <n v="25973.439999999999"/>
    <x v="11"/>
  </r>
  <r>
    <s v="ORD00326"/>
    <x v="277"/>
    <d v="2023-12-21T00:00:00"/>
    <s v="North"/>
    <s v="India"/>
    <s v="Tamil Nadu"/>
    <s v="Chennai"/>
    <x v="323"/>
    <x v="0"/>
    <s v="Electronics"/>
    <s v="Printer"/>
    <s v="Product_10"/>
    <x v="5"/>
    <x v="0"/>
    <s v="Net Banking"/>
    <s v="Critical"/>
    <n v="7"/>
    <n v="39181"/>
    <n v="0"/>
    <n v="274267"/>
    <n v="75894.710000000006"/>
    <x v="9"/>
  </r>
  <r>
    <s v="ORD00327"/>
    <x v="278"/>
    <d v="2024-02-03T00:00:00"/>
    <s v="North"/>
    <s v="India"/>
    <s v="Tamil Nadu"/>
    <s v="Ahmedabad"/>
    <x v="324"/>
    <x v="1"/>
    <s v="Office Supplies"/>
    <s v="Printer"/>
    <s v="Product_156"/>
    <x v="1"/>
    <x v="0"/>
    <s v="Net Banking"/>
    <s v="Medium"/>
    <n v="3"/>
    <n v="47397"/>
    <n v="5"/>
    <n v="135081.45000000001"/>
    <n v="34363.949999999997"/>
    <x v="1"/>
  </r>
  <r>
    <s v="ORD00328"/>
    <x v="279"/>
    <d v="2024-05-09T00:00:00"/>
    <s v="East"/>
    <s v="India"/>
    <s v="Maharashtra"/>
    <s v="Bangalore"/>
    <x v="325"/>
    <x v="2"/>
    <s v="Office Supplies"/>
    <s v="Laptop"/>
    <s v="Product_82"/>
    <x v="0"/>
    <x v="0"/>
    <s v="Cash"/>
    <s v="Medium"/>
    <n v="6"/>
    <n v="7014"/>
    <n v="20"/>
    <n v="33667.199999999997"/>
    <n v="3366.47"/>
    <x v="4"/>
  </r>
  <r>
    <s v="ORD00329"/>
    <x v="280"/>
    <d v="2024-09-13T00:00:00"/>
    <s v="East"/>
    <s v="India"/>
    <s v="Delhi"/>
    <s v="Delhi"/>
    <x v="326"/>
    <x v="0"/>
    <s v="Office Supplies"/>
    <s v="Chair"/>
    <s v="Product_80"/>
    <x v="4"/>
    <x v="1"/>
    <s v="UPI"/>
    <s v="High"/>
    <n v="9"/>
    <n v="33503"/>
    <n v="0"/>
    <n v="301527"/>
    <n v="31062.13"/>
    <x v="7"/>
  </r>
  <r>
    <s v="ORD00330"/>
    <x v="121"/>
    <d v="2022-04-22T00:00:00"/>
    <s v="North"/>
    <s v="India"/>
    <s v="Tamil Nadu"/>
    <s v="Bangalore"/>
    <x v="327"/>
    <x v="2"/>
    <s v="Office Supplies"/>
    <s v="Table"/>
    <s v="Product_79"/>
    <x v="0"/>
    <x v="1"/>
    <s v="Debit Card"/>
    <s v="Critical"/>
    <n v="10"/>
    <n v="12429"/>
    <n v="10"/>
    <n v="111861"/>
    <n v="1087.92"/>
    <x v="6"/>
  </r>
  <r>
    <s v="ORD00331"/>
    <x v="281"/>
    <d v="2024-03-04T00:00:00"/>
    <s v="East"/>
    <s v="India"/>
    <s v="Maharashtra"/>
    <s v="Ahmedabad"/>
    <x v="328"/>
    <x v="2"/>
    <s v="Office Supplies"/>
    <s v="Printer"/>
    <s v="Product_166"/>
    <x v="4"/>
    <x v="0"/>
    <s v="Credit Card"/>
    <s v="High"/>
    <n v="6"/>
    <n v="13149"/>
    <n v="15"/>
    <n v="67059.899999999994"/>
    <n v="1789.69"/>
    <x v="5"/>
  </r>
  <r>
    <s v="ORD00332"/>
    <x v="282"/>
    <d v="2022-07-16T00:00:00"/>
    <s v="South"/>
    <s v="India"/>
    <s v="Karnataka"/>
    <s v="Delhi"/>
    <x v="329"/>
    <x v="2"/>
    <s v="Furniture"/>
    <s v="Laptop"/>
    <s v="Product_149"/>
    <x v="5"/>
    <x v="0"/>
    <s v="Net Banking"/>
    <s v="Critical"/>
    <n v="6"/>
    <n v="36332"/>
    <n v="15"/>
    <n v="185293.2"/>
    <n v="-5447.2"/>
    <x v="11"/>
  </r>
  <r>
    <s v="ORD00333"/>
    <x v="172"/>
    <d v="2024-01-24T00:00:00"/>
    <s v="South"/>
    <s v="India"/>
    <s v="Delhi"/>
    <s v="Ahmedabad"/>
    <x v="330"/>
    <x v="1"/>
    <s v="Furniture"/>
    <s v="Storage"/>
    <s v="Product_35"/>
    <x v="2"/>
    <x v="0"/>
    <s v="UPI"/>
    <s v="Medium"/>
    <n v="2"/>
    <n v="2567"/>
    <n v="5"/>
    <n v="4877.3"/>
    <n v="1003.54"/>
    <x v="1"/>
  </r>
  <r>
    <s v="ORD00334"/>
    <x v="240"/>
    <d v="2024-01-04T00:00:00"/>
    <s v="South"/>
    <s v="India"/>
    <s v="Maharashtra"/>
    <s v="Delhi"/>
    <x v="331"/>
    <x v="0"/>
    <s v="Electronics"/>
    <s v="Chair"/>
    <s v="Product_102"/>
    <x v="4"/>
    <x v="0"/>
    <s v="Credit Card"/>
    <s v="High"/>
    <n v="4"/>
    <n v="23157"/>
    <n v="20"/>
    <n v="74102.399999999994"/>
    <n v="-2662.68"/>
    <x v="9"/>
  </r>
  <r>
    <s v="ORD00335"/>
    <x v="283"/>
    <d v="2023-07-11T00:00:00"/>
    <s v="South"/>
    <s v="India"/>
    <s v="Karnataka"/>
    <s v="Chennai"/>
    <x v="332"/>
    <x v="1"/>
    <s v="Office Supplies"/>
    <s v="Storage"/>
    <s v="Product_4"/>
    <x v="0"/>
    <x v="0"/>
    <s v="Net Banking"/>
    <s v="Critical"/>
    <n v="1"/>
    <n v="882"/>
    <n v="15"/>
    <n v="749.7"/>
    <n v="48.53"/>
    <x v="11"/>
  </r>
  <r>
    <s v="ORD00336"/>
    <x v="160"/>
    <d v="2024-06-03T00:00:00"/>
    <s v="North"/>
    <s v="India"/>
    <s v="Gujarat"/>
    <s v="Chennai"/>
    <x v="333"/>
    <x v="1"/>
    <s v="Electronics"/>
    <s v="Storage"/>
    <s v="Product_126"/>
    <x v="3"/>
    <x v="1"/>
    <s v="Debit Card"/>
    <s v="Medium"/>
    <n v="6"/>
    <n v="26178"/>
    <n v="20"/>
    <n v="125654.39999999999"/>
    <n v="15303.58"/>
    <x v="4"/>
  </r>
  <r>
    <s v="ORD00337"/>
    <x v="284"/>
    <d v="2023-10-11T00:00:00"/>
    <s v="East"/>
    <s v="India"/>
    <s v="Delhi"/>
    <s v="Ahmedabad"/>
    <x v="334"/>
    <x v="1"/>
    <s v="Furniture"/>
    <s v="Laptop"/>
    <s v="Product_13"/>
    <x v="0"/>
    <x v="0"/>
    <s v="Cash"/>
    <s v="Low"/>
    <n v="6"/>
    <n v="22346"/>
    <n v="5"/>
    <n v="127372.2"/>
    <n v="6565.53"/>
    <x v="10"/>
  </r>
  <r>
    <s v="ORD00338"/>
    <x v="285"/>
    <d v="2024-06-30T00:00:00"/>
    <s v="North"/>
    <s v="India"/>
    <s v="Tamil Nadu"/>
    <s v="Delhi"/>
    <x v="335"/>
    <x v="2"/>
    <s v="Furniture"/>
    <s v="Laptop"/>
    <s v="Product_165"/>
    <x v="5"/>
    <x v="0"/>
    <s v="UPI"/>
    <s v="Medium"/>
    <n v="2"/>
    <n v="10434"/>
    <n v="15"/>
    <n v="17737.8"/>
    <n v="934.95"/>
    <x v="2"/>
  </r>
  <r>
    <s v="ORD00339"/>
    <x v="286"/>
    <d v="2024-01-25T00:00:00"/>
    <s v="West"/>
    <s v="India"/>
    <s v="Karnataka"/>
    <s v="Delhi"/>
    <x v="336"/>
    <x v="1"/>
    <s v="Office Supplies"/>
    <s v="Chair"/>
    <s v="Product_185"/>
    <x v="1"/>
    <x v="1"/>
    <s v="Net Banking"/>
    <s v="Medium"/>
    <n v="6"/>
    <n v="1386"/>
    <n v="0"/>
    <n v="8316"/>
    <n v="547.41"/>
    <x v="1"/>
  </r>
  <r>
    <s v="ORD00340"/>
    <x v="117"/>
    <d v="2023-12-24T00:00:00"/>
    <s v="South"/>
    <s v="India"/>
    <s v="Karnataka"/>
    <s v="Delhi"/>
    <x v="337"/>
    <x v="0"/>
    <s v="Electronics"/>
    <s v="Laptop"/>
    <s v="Product_176"/>
    <x v="4"/>
    <x v="0"/>
    <s v="Net Banking"/>
    <s v="Medium"/>
    <n v="3"/>
    <n v="1194"/>
    <n v="10"/>
    <n v="3223.8"/>
    <n v="138.87"/>
    <x v="9"/>
  </r>
  <r>
    <s v="ORD00341"/>
    <x v="287"/>
    <d v="2023-09-22T00:00:00"/>
    <s v="North"/>
    <s v="India"/>
    <s v="Delhi"/>
    <s v="Ahmedabad"/>
    <x v="338"/>
    <x v="1"/>
    <s v="Office Supplies"/>
    <s v="Table"/>
    <s v="Product_116"/>
    <x v="3"/>
    <x v="1"/>
    <s v="Cash"/>
    <s v="High"/>
    <n v="10"/>
    <n v="43409"/>
    <n v="5"/>
    <n v="412385.5"/>
    <n v="17474.97"/>
    <x v="7"/>
  </r>
  <r>
    <s v="ORD00342"/>
    <x v="57"/>
    <d v="2024-08-19T00:00:00"/>
    <s v="South"/>
    <s v="India"/>
    <s v="Maharashtra"/>
    <s v="Ahmedabad"/>
    <x v="339"/>
    <x v="1"/>
    <s v="Furniture"/>
    <s v="Storage"/>
    <s v="Product_36"/>
    <x v="2"/>
    <x v="1"/>
    <s v="Debit Card"/>
    <s v="Low"/>
    <n v="7"/>
    <n v="28167"/>
    <n v="20"/>
    <n v="157735.20000000001"/>
    <n v="6316.82"/>
    <x v="8"/>
  </r>
  <r>
    <s v="ORD00343"/>
    <x v="288"/>
    <d v="2022-11-25T00:00:00"/>
    <s v="West"/>
    <s v="India"/>
    <s v="Karnataka"/>
    <s v="Delhi"/>
    <x v="340"/>
    <x v="1"/>
    <s v="Office Supplies"/>
    <s v="Storage"/>
    <s v="Product_172"/>
    <x v="1"/>
    <x v="1"/>
    <s v="UPI"/>
    <s v="Low"/>
    <n v="5"/>
    <n v="16893"/>
    <n v="10"/>
    <n v="76018.5"/>
    <n v="1328.17"/>
    <x v="3"/>
  </r>
  <r>
    <s v="ORD00344"/>
    <x v="289"/>
    <d v="2024-07-08T00:00:00"/>
    <s v="North"/>
    <s v="India"/>
    <s v="Gujarat"/>
    <s v="Chennai"/>
    <x v="341"/>
    <x v="2"/>
    <s v="Electronics"/>
    <s v="Laptop"/>
    <s v="Product_102"/>
    <x v="3"/>
    <x v="0"/>
    <s v="Credit Card"/>
    <s v="Critical"/>
    <n v="6"/>
    <n v="1968"/>
    <n v="0"/>
    <n v="11808"/>
    <n v="3284.76"/>
    <x v="11"/>
  </r>
  <r>
    <s v="ORD00345"/>
    <x v="290"/>
    <d v="2023-06-03T00:00:00"/>
    <s v="West"/>
    <s v="India"/>
    <s v="Karnataka"/>
    <s v="Mumbai"/>
    <x v="342"/>
    <x v="2"/>
    <s v="Electronics"/>
    <s v="Table"/>
    <s v="Product_26"/>
    <x v="0"/>
    <x v="1"/>
    <s v="Net Banking"/>
    <s v="Low"/>
    <n v="1"/>
    <n v="26228"/>
    <n v="0"/>
    <n v="26228"/>
    <n v="4585.29"/>
    <x v="4"/>
  </r>
  <r>
    <s v="ORD00346"/>
    <x v="263"/>
    <d v="2023-07-18T00:00:00"/>
    <s v="North"/>
    <s v="India"/>
    <s v="Tamil Nadu"/>
    <s v="Chennai"/>
    <x v="343"/>
    <x v="0"/>
    <s v="Electronics"/>
    <s v="Laptop"/>
    <s v="Product_10"/>
    <x v="0"/>
    <x v="1"/>
    <s v="Net Banking"/>
    <s v="Medium"/>
    <n v="2"/>
    <n v="31632"/>
    <n v="20"/>
    <n v="50611.199999999997"/>
    <n v="-8074.1"/>
    <x v="11"/>
  </r>
  <r>
    <s v="ORD00347"/>
    <x v="234"/>
    <d v="2023-07-05T00:00:00"/>
    <s v="West"/>
    <s v="India"/>
    <s v="Gujarat"/>
    <s v="Ahmedabad"/>
    <x v="344"/>
    <x v="1"/>
    <s v="Electronics"/>
    <s v="Storage"/>
    <s v="Product_72"/>
    <x v="0"/>
    <x v="1"/>
    <s v="Debit Card"/>
    <s v="Critical"/>
    <n v="2"/>
    <n v="32873"/>
    <n v="0"/>
    <n v="65746"/>
    <n v="12924.14"/>
    <x v="11"/>
  </r>
  <r>
    <s v="ORD00348"/>
    <x v="197"/>
    <d v="2023-05-27T00:00:00"/>
    <s v="North"/>
    <s v="India"/>
    <s v="Maharashtra"/>
    <s v="Ahmedabad"/>
    <x v="345"/>
    <x v="1"/>
    <s v="Office Supplies"/>
    <s v="Table"/>
    <s v="Product_129"/>
    <x v="4"/>
    <x v="0"/>
    <s v="Debit Card"/>
    <s v="Low"/>
    <n v="10"/>
    <n v="17395"/>
    <n v="20"/>
    <n v="139160"/>
    <n v="16624.45"/>
    <x v="4"/>
  </r>
  <r>
    <s v="ORD00349"/>
    <x v="23"/>
    <d v="2022-08-27T00:00:00"/>
    <s v="East"/>
    <s v="India"/>
    <s v="Karnataka"/>
    <s v="Bangalore"/>
    <x v="346"/>
    <x v="1"/>
    <s v="Office Supplies"/>
    <s v="Table"/>
    <s v="Product_166"/>
    <x v="0"/>
    <x v="0"/>
    <s v="Debit Card"/>
    <s v="High"/>
    <n v="2"/>
    <n v="8234"/>
    <n v="0"/>
    <n v="16468"/>
    <n v="1503.95"/>
    <x v="8"/>
  </r>
  <r>
    <s v="ORD00350"/>
    <x v="30"/>
    <d v="2023-01-12T00:00:00"/>
    <s v="North"/>
    <s v="India"/>
    <s v="Tamil Nadu"/>
    <s v="Bangalore"/>
    <x v="347"/>
    <x v="1"/>
    <s v="Furniture"/>
    <s v="Printer"/>
    <s v="Product_155"/>
    <x v="3"/>
    <x v="1"/>
    <s v="UPI"/>
    <s v="High"/>
    <n v="9"/>
    <n v="39469"/>
    <n v="0"/>
    <n v="355221"/>
    <n v="85845.17"/>
    <x v="1"/>
  </r>
  <r>
    <s v="ORD00351"/>
    <x v="18"/>
    <d v="2022-05-11T00:00:00"/>
    <s v="East"/>
    <s v="India"/>
    <s v="Maharashtra"/>
    <s v="Ahmedabad"/>
    <x v="348"/>
    <x v="0"/>
    <s v="Electronics"/>
    <s v="Laptop"/>
    <s v="Product_80"/>
    <x v="1"/>
    <x v="0"/>
    <s v="Net Banking"/>
    <s v="Medium"/>
    <n v="8"/>
    <n v="14654"/>
    <n v="5"/>
    <n v="111370.4"/>
    <n v="18303.189999999999"/>
    <x v="4"/>
  </r>
  <r>
    <s v="ORD00352"/>
    <x v="291"/>
    <d v="2023-09-23T00:00:00"/>
    <s v="East"/>
    <s v="India"/>
    <s v="Gujarat"/>
    <s v="Bangalore"/>
    <x v="349"/>
    <x v="0"/>
    <s v="Office Supplies"/>
    <s v="Laptop"/>
    <s v="Product_66"/>
    <x v="4"/>
    <x v="0"/>
    <s v="UPI"/>
    <s v="Critical"/>
    <n v="8"/>
    <n v="24235"/>
    <n v="10"/>
    <n v="174492"/>
    <n v="18484.89"/>
    <x v="7"/>
  </r>
  <r>
    <s v="ORD00353"/>
    <x v="292"/>
    <d v="2023-09-10T00:00:00"/>
    <s v="West"/>
    <s v="India"/>
    <s v="Delhi"/>
    <s v="Chennai"/>
    <x v="350"/>
    <x v="2"/>
    <s v="Electronics"/>
    <s v="Laptop"/>
    <s v="Product_83"/>
    <x v="4"/>
    <x v="0"/>
    <s v="Debit Card"/>
    <s v="High"/>
    <n v="3"/>
    <n v="29633"/>
    <n v="5"/>
    <n v="84454.05"/>
    <n v="16667.29"/>
    <x v="7"/>
  </r>
  <r>
    <s v="ORD00354"/>
    <x v="144"/>
    <d v="2023-07-31T00:00:00"/>
    <s v="East"/>
    <s v="India"/>
    <s v="Gujarat"/>
    <s v="Bangalore"/>
    <x v="351"/>
    <x v="1"/>
    <s v="Furniture"/>
    <s v="Laptop"/>
    <s v="Product_117"/>
    <x v="5"/>
    <x v="0"/>
    <s v="Cash"/>
    <s v="High"/>
    <n v="8"/>
    <n v="7875"/>
    <n v="0"/>
    <n v="63000"/>
    <n v="14690.86"/>
    <x v="11"/>
  </r>
  <r>
    <s v="ORD00355"/>
    <x v="293"/>
    <d v="2023-03-27T00:00:00"/>
    <s v="West"/>
    <s v="India"/>
    <s v="Maharashtra"/>
    <s v="Ahmedabad"/>
    <x v="352"/>
    <x v="1"/>
    <s v="Electronics"/>
    <s v="Printer"/>
    <s v="Product_102"/>
    <x v="4"/>
    <x v="0"/>
    <s v="Debit Card"/>
    <s v="Low"/>
    <n v="9"/>
    <n v="49336"/>
    <n v="5"/>
    <n v="421822.8"/>
    <n v="68119.06"/>
    <x v="0"/>
  </r>
  <r>
    <s v="ORD00356"/>
    <x v="294"/>
    <d v="2023-05-14T00:00:00"/>
    <s v="East"/>
    <s v="India"/>
    <s v="Tamil Nadu"/>
    <s v="Ahmedabad"/>
    <x v="353"/>
    <x v="0"/>
    <s v="Electronics"/>
    <s v="Mobile"/>
    <s v="Product_95"/>
    <x v="4"/>
    <x v="1"/>
    <s v="Debit Card"/>
    <s v="Critical"/>
    <n v="10"/>
    <n v="19395"/>
    <n v="5"/>
    <n v="184252.5"/>
    <n v="1149.51"/>
    <x v="4"/>
  </r>
  <r>
    <s v="ORD00357"/>
    <x v="295"/>
    <d v="2024-08-04T00:00:00"/>
    <s v="West"/>
    <s v="India"/>
    <s v="Tamil Nadu"/>
    <s v="Chennai"/>
    <x v="354"/>
    <x v="2"/>
    <s v="Furniture"/>
    <s v="Table"/>
    <s v="Product_170"/>
    <x v="1"/>
    <x v="1"/>
    <s v="Net Banking"/>
    <s v="Critical"/>
    <n v="5"/>
    <n v="25687"/>
    <n v="5"/>
    <n v="122013.25"/>
    <n v="11128.51"/>
    <x v="11"/>
  </r>
  <r>
    <s v="ORD00358"/>
    <x v="31"/>
    <d v="2024-06-03T00:00:00"/>
    <s v="West"/>
    <s v="India"/>
    <s v="Maharashtra"/>
    <s v="Ahmedabad"/>
    <x v="355"/>
    <x v="0"/>
    <s v="Furniture"/>
    <s v="Mobile"/>
    <s v="Product_36"/>
    <x v="5"/>
    <x v="0"/>
    <s v="Cash"/>
    <s v="Low"/>
    <n v="3"/>
    <n v="48914"/>
    <n v="0"/>
    <n v="146742"/>
    <n v="27143.51"/>
    <x v="4"/>
  </r>
  <r>
    <s v="ORD00359"/>
    <x v="296"/>
    <d v="2022-11-16T00:00:00"/>
    <s v="East"/>
    <s v="India"/>
    <s v="Gujarat"/>
    <s v="Ahmedabad"/>
    <x v="356"/>
    <x v="2"/>
    <s v="Furniture"/>
    <s v="Chair"/>
    <s v="Product_66"/>
    <x v="0"/>
    <x v="1"/>
    <s v="UPI"/>
    <s v="Low"/>
    <n v="7"/>
    <n v="17114"/>
    <n v="20"/>
    <n v="95838.399999999994"/>
    <n v="5663.36"/>
    <x v="3"/>
  </r>
  <r>
    <s v="ORD00360"/>
    <x v="275"/>
    <d v="2023-02-08T00:00:00"/>
    <s v="North"/>
    <s v="India"/>
    <s v="Maharashtra"/>
    <s v="Mumbai"/>
    <x v="105"/>
    <x v="2"/>
    <s v="Furniture"/>
    <s v="Mobile"/>
    <s v="Product_113"/>
    <x v="4"/>
    <x v="0"/>
    <s v="UPI"/>
    <s v="High"/>
    <n v="3"/>
    <n v="4329"/>
    <n v="10"/>
    <n v="11688.3"/>
    <n v="2056.15"/>
    <x v="5"/>
  </r>
  <r>
    <s v="ORD00361"/>
    <x v="297"/>
    <d v="2023-03-12T00:00:00"/>
    <s v="West"/>
    <s v="India"/>
    <s v="Gujarat"/>
    <s v="Delhi"/>
    <x v="357"/>
    <x v="2"/>
    <s v="Electronics"/>
    <s v="Storage"/>
    <s v="Product_127"/>
    <x v="5"/>
    <x v="1"/>
    <s v="Net Banking"/>
    <s v="High"/>
    <n v="10"/>
    <n v="1340"/>
    <n v="10"/>
    <n v="12060"/>
    <n v="871.1"/>
    <x v="0"/>
  </r>
  <r>
    <s v="ORD00362"/>
    <x v="298"/>
    <d v="2022-09-12T00:00:00"/>
    <s v="East"/>
    <s v="India"/>
    <s v="Karnataka"/>
    <s v="Delhi"/>
    <x v="358"/>
    <x v="0"/>
    <s v="Electronics"/>
    <s v="Chair"/>
    <s v="Product_161"/>
    <x v="2"/>
    <x v="0"/>
    <s v="Cash"/>
    <s v="Medium"/>
    <n v="4"/>
    <n v="21606"/>
    <n v="5"/>
    <n v="82102.8"/>
    <n v="13389.45"/>
    <x v="7"/>
  </r>
  <r>
    <s v="ORD00363"/>
    <x v="299"/>
    <d v="2023-05-15T00:00:00"/>
    <s v="South"/>
    <s v="India"/>
    <s v="Delhi"/>
    <s v="Bangalore"/>
    <x v="359"/>
    <x v="0"/>
    <s v="Office Supplies"/>
    <s v="Laptop"/>
    <s v="Product_78"/>
    <x v="0"/>
    <x v="0"/>
    <s v="Credit Card"/>
    <s v="Low"/>
    <n v="9"/>
    <n v="24852"/>
    <n v="5"/>
    <n v="212484.6"/>
    <n v="17289.79"/>
    <x v="4"/>
  </r>
  <r>
    <s v="ORD00364"/>
    <x v="258"/>
    <d v="2023-06-09T00:00:00"/>
    <s v="North"/>
    <s v="India"/>
    <s v="Delhi"/>
    <s v="Bangalore"/>
    <x v="360"/>
    <x v="0"/>
    <s v="Office Supplies"/>
    <s v="Printer"/>
    <s v="Product_120"/>
    <x v="0"/>
    <x v="0"/>
    <s v="Credit Card"/>
    <s v="Medium"/>
    <n v="2"/>
    <n v="1001"/>
    <n v="10"/>
    <n v="1801.8"/>
    <n v="239.66"/>
    <x v="2"/>
  </r>
  <r>
    <s v="ORD00365"/>
    <x v="300"/>
    <d v="2023-11-04T00:00:00"/>
    <s v="South"/>
    <s v="India"/>
    <s v="Karnataka"/>
    <s v="Bangalore"/>
    <x v="361"/>
    <x v="0"/>
    <s v="Furniture"/>
    <s v="Laptop"/>
    <s v="Product_198"/>
    <x v="0"/>
    <x v="1"/>
    <s v="Debit Card"/>
    <s v="High"/>
    <n v="1"/>
    <n v="36768"/>
    <n v="15"/>
    <n v="31252.799999999999"/>
    <n v="-321.75"/>
    <x v="3"/>
  </r>
  <r>
    <s v="ORD00366"/>
    <x v="54"/>
    <d v="2023-01-15T00:00:00"/>
    <s v="North"/>
    <s v="India"/>
    <s v="Gujarat"/>
    <s v="Chennai"/>
    <x v="362"/>
    <x v="2"/>
    <s v="Furniture"/>
    <s v="Storage"/>
    <s v="Product_47"/>
    <x v="3"/>
    <x v="1"/>
    <s v="Net Banking"/>
    <s v="Critical"/>
    <n v="10"/>
    <n v="25786"/>
    <n v="10"/>
    <n v="232074"/>
    <n v="14613.04"/>
    <x v="1"/>
  </r>
  <r>
    <s v="ORD00367"/>
    <x v="301"/>
    <d v="2023-02-18T00:00:00"/>
    <s v="South"/>
    <s v="India"/>
    <s v="Karnataka"/>
    <s v="Bangalore"/>
    <x v="363"/>
    <x v="1"/>
    <s v="Office Supplies"/>
    <s v="Table"/>
    <s v="Product_123"/>
    <x v="0"/>
    <x v="0"/>
    <s v="Credit Card"/>
    <s v="Low"/>
    <n v="8"/>
    <n v="39182"/>
    <n v="10"/>
    <n v="282110.40000000002"/>
    <n v="39042.519999999997"/>
    <x v="5"/>
  </r>
  <r>
    <s v="ORD00368"/>
    <x v="302"/>
    <d v="2023-07-26T00:00:00"/>
    <s v="South"/>
    <s v="India"/>
    <s v="Tamil Nadu"/>
    <s v="Ahmedabad"/>
    <x v="364"/>
    <x v="2"/>
    <s v="Electronics"/>
    <s v="Table"/>
    <s v="Product_132"/>
    <x v="5"/>
    <x v="0"/>
    <s v="Net Banking"/>
    <s v="Critical"/>
    <n v="6"/>
    <n v="17611"/>
    <n v="15"/>
    <n v="89816.1"/>
    <n v="14228.15"/>
    <x v="11"/>
  </r>
  <r>
    <s v="ORD00369"/>
    <x v="303"/>
    <d v="2022-09-26T00:00:00"/>
    <s v="North"/>
    <s v="India"/>
    <s v="Karnataka"/>
    <s v="Delhi"/>
    <x v="365"/>
    <x v="2"/>
    <s v="Electronics"/>
    <s v="Mobile"/>
    <s v="Product_200"/>
    <x v="5"/>
    <x v="0"/>
    <s v="Credit Card"/>
    <s v="Critical"/>
    <n v="1"/>
    <n v="21836"/>
    <n v="5"/>
    <n v="20744.2"/>
    <n v="4322.5"/>
    <x v="7"/>
  </r>
  <r>
    <s v="ORD00370"/>
    <x v="298"/>
    <d v="2022-09-19T00:00:00"/>
    <s v="West"/>
    <s v="India"/>
    <s v="Maharashtra"/>
    <s v="Mumbai"/>
    <x v="366"/>
    <x v="1"/>
    <s v="Office Supplies"/>
    <s v="Mobile"/>
    <s v="Product_95"/>
    <x v="5"/>
    <x v="0"/>
    <s v="Credit Card"/>
    <s v="Medium"/>
    <n v="4"/>
    <n v="31987"/>
    <n v="20"/>
    <n v="102358.39999999999"/>
    <n v="-15367"/>
    <x v="7"/>
  </r>
  <r>
    <s v="ORD00371"/>
    <x v="304"/>
    <d v="2023-01-21T00:00:00"/>
    <s v="North"/>
    <s v="India"/>
    <s v="Gujarat"/>
    <s v="Delhi"/>
    <x v="367"/>
    <x v="0"/>
    <s v="Office Supplies"/>
    <s v="Chair"/>
    <s v="Product_115"/>
    <x v="3"/>
    <x v="1"/>
    <s v="Cash"/>
    <s v="High"/>
    <n v="6"/>
    <n v="13449"/>
    <n v="5"/>
    <n v="76659.3"/>
    <n v="13967.29"/>
    <x v="1"/>
  </r>
  <r>
    <s v="ORD00372"/>
    <x v="305"/>
    <d v="2022-02-14T00:00:00"/>
    <s v="North"/>
    <s v="India"/>
    <s v="Karnataka"/>
    <s v="Ahmedabad"/>
    <x v="368"/>
    <x v="0"/>
    <s v="Electronics"/>
    <s v="Storage"/>
    <s v="Product_22"/>
    <x v="3"/>
    <x v="0"/>
    <s v="Credit Card"/>
    <s v="Medium"/>
    <n v="10"/>
    <n v="23095"/>
    <n v="5"/>
    <n v="219402.5"/>
    <n v="55000.639999999999"/>
    <x v="5"/>
  </r>
  <r>
    <s v="ORD00373"/>
    <x v="306"/>
    <d v="2024-03-19T00:00:00"/>
    <s v="East"/>
    <s v="India"/>
    <s v="Karnataka"/>
    <s v="Mumbai"/>
    <x v="369"/>
    <x v="2"/>
    <s v="Furniture"/>
    <s v="Laptop"/>
    <s v="Product_181"/>
    <x v="5"/>
    <x v="1"/>
    <s v="Cash"/>
    <s v="High"/>
    <n v="7"/>
    <n v="14688"/>
    <n v="15"/>
    <n v="87393.600000000006"/>
    <n v="3533.46"/>
    <x v="0"/>
  </r>
  <r>
    <s v="ORD00374"/>
    <x v="157"/>
    <d v="2024-08-22T00:00:00"/>
    <s v="West"/>
    <s v="India"/>
    <s v="Maharashtra"/>
    <s v="Mumbai"/>
    <x v="370"/>
    <x v="0"/>
    <s v="Electronics"/>
    <s v="Printer"/>
    <s v="Product_183"/>
    <x v="2"/>
    <x v="1"/>
    <s v="Cash"/>
    <s v="Critical"/>
    <n v="3"/>
    <n v="26008"/>
    <n v="20"/>
    <n v="62419.199999999997"/>
    <n v="-279.92"/>
    <x v="8"/>
  </r>
  <r>
    <s v="ORD00375"/>
    <x v="256"/>
    <d v="2022-03-03T00:00:00"/>
    <s v="East"/>
    <s v="India"/>
    <s v="Gujarat"/>
    <s v="Bangalore"/>
    <x v="371"/>
    <x v="0"/>
    <s v="Electronics"/>
    <s v="Mobile"/>
    <s v="Product_167"/>
    <x v="0"/>
    <x v="1"/>
    <s v="UPI"/>
    <s v="Medium"/>
    <n v="2"/>
    <n v="26784"/>
    <n v="5"/>
    <n v="50889.599999999999"/>
    <n v="9845.6200000000008"/>
    <x v="5"/>
  </r>
  <r>
    <s v="ORD00376"/>
    <x v="307"/>
    <d v="2023-05-11T00:00:00"/>
    <s v="South"/>
    <s v="India"/>
    <s v="Karnataka"/>
    <s v="Delhi"/>
    <x v="372"/>
    <x v="1"/>
    <s v="Electronics"/>
    <s v="Laptop"/>
    <s v="Product_136"/>
    <x v="4"/>
    <x v="0"/>
    <s v="Debit Card"/>
    <s v="Critical"/>
    <n v="6"/>
    <n v="46325"/>
    <n v="15"/>
    <n v="236257.5"/>
    <n v="-9844.24"/>
    <x v="4"/>
  </r>
  <r>
    <s v="ORD00377"/>
    <x v="308"/>
    <d v="2024-09-15T00:00:00"/>
    <s v="West"/>
    <s v="India"/>
    <s v="Karnataka"/>
    <s v="Mumbai"/>
    <x v="373"/>
    <x v="0"/>
    <s v="Office Supplies"/>
    <s v="Chair"/>
    <s v="Product_115"/>
    <x v="1"/>
    <x v="0"/>
    <s v="Debit Card"/>
    <s v="Low"/>
    <n v="5"/>
    <n v="34684"/>
    <n v="20"/>
    <n v="138736"/>
    <n v="14180.66"/>
    <x v="7"/>
  </r>
  <r>
    <s v="ORD00378"/>
    <x v="309"/>
    <d v="2024-07-10T00:00:00"/>
    <s v="North"/>
    <s v="India"/>
    <s v="Tamil Nadu"/>
    <s v="Delhi"/>
    <x v="374"/>
    <x v="2"/>
    <s v="Furniture"/>
    <s v="Printer"/>
    <s v="Product_184"/>
    <x v="1"/>
    <x v="0"/>
    <s v="Credit Card"/>
    <s v="Critical"/>
    <n v="9"/>
    <n v="25332"/>
    <n v="10"/>
    <n v="205189.2"/>
    <n v="30255.71"/>
    <x v="11"/>
  </r>
  <r>
    <s v="ORD00379"/>
    <x v="310"/>
    <d v="2024-09-15T00:00:00"/>
    <s v="East"/>
    <s v="India"/>
    <s v="Tamil Nadu"/>
    <s v="Chennai"/>
    <x v="375"/>
    <x v="0"/>
    <s v="Electronics"/>
    <s v="Mobile"/>
    <s v="Product_132"/>
    <x v="2"/>
    <x v="1"/>
    <s v="Cash"/>
    <s v="Critical"/>
    <n v="1"/>
    <n v="11902"/>
    <n v="15"/>
    <n v="10116.700000000001"/>
    <n v="1542.62"/>
    <x v="7"/>
  </r>
  <r>
    <s v="ORD00380"/>
    <x v="311"/>
    <d v="2023-06-24T00:00:00"/>
    <s v="North"/>
    <s v="India"/>
    <s v="Delhi"/>
    <s v="Chennai"/>
    <x v="214"/>
    <x v="1"/>
    <s v="Furniture"/>
    <s v="Table"/>
    <s v="Product_42"/>
    <x v="3"/>
    <x v="1"/>
    <s v="UPI"/>
    <s v="High"/>
    <n v="6"/>
    <n v="3406"/>
    <n v="20"/>
    <n v="16348.8"/>
    <n v="-625.97"/>
    <x v="2"/>
  </r>
  <r>
    <s v="ORD00381"/>
    <x v="312"/>
    <d v="2022-07-10T00:00:00"/>
    <s v="South"/>
    <s v="India"/>
    <s v="Delhi"/>
    <s v="Chennai"/>
    <x v="376"/>
    <x v="1"/>
    <s v="Office Supplies"/>
    <s v="Table"/>
    <s v="Product_138"/>
    <x v="3"/>
    <x v="0"/>
    <s v="Credit Card"/>
    <s v="Critical"/>
    <n v="10"/>
    <n v="3334"/>
    <n v="15"/>
    <n v="28339"/>
    <n v="1613.15"/>
    <x v="11"/>
  </r>
  <r>
    <s v="ORD00382"/>
    <x v="313"/>
    <d v="2022-10-21T00:00:00"/>
    <s v="East"/>
    <s v="India"/>
    <s v="Gujarat"/>
    <s v="Bangalore"/>
    <x v="377"/>
    <x v="2"/>
    <s v="Office Supplies"/>
    <s v="Chair"/>
    <s v="Product_181"/>
    <x v="2"/>
    <x v="1"/>
    <s v="Credit Card"/>
    <s v="Low"/>
    <n v="5"/>
    <n v="18123"/>
    <n v="20"/>
    <n v="72492"/>
    <n v="-7767.17"/>
    <x v="10"/>
  </r>
  <r>
    <s v="ORD00383"/>
    <x v="314"/>
    <d v="2024-08-07T00:00:00"/>
    <s v="East"/>
    <s v="India"/>
    <s v="Tamil Nadu"/>
    <s v="Chennai"/>
    <x v="378"/>
    <x v="1"/>
    <s v="Office Supplies"/>
    <s v="Table"/>
    <s v="Product_18"/>
    <x v="3"/>
    <x v="0"/>
    <s v="UPI"/>
    <s v="Critical"/>
    <n v="7"/>
    <n v="3020"/>
    <n v="10"/>
    <n v="19026"/>
    <n v="-985.59"/>
    <x v="11"/>
  </r>
  <r>
    <s v="ORD00384"/>
    <x v="186"/>
    <d v="2022-09-12T00:00:00"/>
    <s v="West"/>
    <s v="India"/>
    <s v="Delhi"/>
    <s v="Ahmedabad"/>
    <x v="379"/>
    <x v="2"/>
    <s v="Furniture"/>
    <s v="Table"/>
    <s v="Product_186"/>
    <x v="5"/>
    <x v="0"/>
    <s v="Cash"/>
    <s v="Medium"/>
    <n v="4"/>
    <n v="16536"/>
    <n v="5"/>
    <n v="62836.800000000003"/>
    <n v="9998.98"/>
    <x v="7"/>
  </r>
  <r>
    <s v="ORD00385"/>
    <x v="315"/>
    <d v="2023-12-03T00:00:00"/>
    <s v="East"/>
    <s v="India"/>
    <s v="Maharashtra"/>
    <s v="Bangalore"/>
    <x v="380"/>
    <x v="1"/>
    <s v="Electronics"/>
    <s v="Chair"/>
    <s v="Product_14"/>
    <x v="4"/>
    <x v="0"/>
    <s v="Debit Card"/>
    <s v="Critical"/>
    <n v="7"/>
    <n v="1210"/>
    <n v="15"/>
    <n v="7199.5"/>
    <n v="-205.58"/>
    <x v="3"/>
  </r>
  <r>
    <s v="ORD00386"/>
    <x v="316"/>
    <d v="2023-07-01T00:00:00"/>
    <s v="East"/>
    <s v="India"/>
    <s v="Delhi"/>
    <s v="Chennai"/>
    <x v="381"/>
    <x v="2"/>
    <s v="Office Supplies"/>
    <s v="Mobile"/>
    <s v="Product_157"/>
    <x v="4"/>
    <x v="0"/>
    <s v="Cash"/>
    <s v="Critical"/>
    <n v="8"/>
    <n v="34958"/>
    <n v="5"/>
    <n v="265680.8"/>
    <n v="46970.25"/>
    <x v="2"/>
  </r>
  <r>
    <s v="ORD00387"/>
    <x v="317"/>
    <d v="2022-01-21T00:00:00"/>
    <s v="East"/>
    <s v="India"/>
    <s v="Karnataka"/>
    <s v="Chennai"/>
    <x v="382"/>
    <x v="2"/>
    <s v="Office Supplies"/>
    <s v="Table"/>
    <s v="Product_50"/>
    <x v="1"/>
    <x v="0"/>
    <s v="Net Banking"/>
    <s v="Medium"/>
    <n v="3"/>
    <n v="32855"/>
    <n v="20"/>
    <n v="78852"/>
    <n v="-5424.75"/>
    <x v="1"/>
  </r>
  <r>
    <s v="ORD00388"/>
    <x v="318"/>
    <d v="2023-09-29T00:00:00"/>
    <s v="East"/>
    <s v="India"/>
    <s v="Tamil Nadu"/>
    <s v="Ahmedabad"/>
    <x v="383"/>
    <x v="2"/>
    <s v="Office Supplies"/>
    <s v="Mobile"/>
    <s v="Product_108"/>
    <x v="4"/>
    <x v="0"/>
    <s v="Net Banking"/>
    <s v="High"/>
    <n v="7"/>
    <n v="38505"/>
    <n v="20"/>
    <n v="215628"/>
    <n v="-29139.05"/>
    <x v="7"/>
  </r>
  <r>
    <s v="ORD00389"/>
    <x v="256"/>
    <d v="2022-02-28T00:00:00"/>
    <s v="West"/>
    <s v="India"/>
    <s v="Delhi"/>
    <s v="Mumbai"/>
    <x v="384"/>
    <x v="0"/>
    <s v="Electronics"/>
    <s v="Table"/>
    <s v="Product_168"/>
    <x v="3"/>
    <x v="1"/>
    <s v="Debit Card"/>
    <s v="High"/>
    <n v="7"/>
    <n v="48188"/>
    <n v="20"/>
    <n v="269852.79999999999"/>
    <n v="995.06"/>
    <x v="5"/>
  </r>
  <r>
    <s v="ORD00390"/>
    <x v="113"/>
    <d v="2023-04-20T00:00:00"/>
    <s v="North"/>
    <s v="India"/>
    <s v="Karnataka"/>
    <s v="Chennai"/>
    <x v="385"/>
    <x v="0"/>
    <s v="Electronics"/>
    <s v="Laptop"/>
    <s v="Product_185"/>
    <x v="1"/>
    <x v="0"/>
    <s v="Cash"/>
    <s v="Low"/>
    <n v="1"/>
    <n v="45800"/>
    <n v="0"/>
    <n v="45800"/>
    <n v="9670.18"/>
    <x v="6"/>
  </r>
  <r>
    <s v="ORD00391"/>
    <x v="319"/>
    <d v="2023-11-19T00:00:00"/>
    <s v="South"/>
    <s v="India"/>
    <s v="Karnataka"/>
    <s v="Delhi"/>
    <x v="386"/>
    <x v="1"/>
    <s v="Electronics"/>
    <s v="Chair"/>
    <s v="Product_160"/>
    <x v="5"/>
    <x v="0"/>
    <s v="Net Banking"/>
    <s v="Low"/>
    <n v="4"/>
    <n v="8692"/>
    <n v="0"/>
    <n v="34768"/>
    <n v="6970.71"/>
    <x v="3"/>
  </r>
  <r>
    <s v="ORD00392"/>
    <x v="320"/>
    <d v="2023-10-27T00:00:00"/>
    <s v="East"/>
    <s v="India"/>
    <s v="Gujarat"/>
    <s v="Delhi"/>
    <x v="387"/>
    <x v="1"/>
    <s v="Electronics"/>
    <s v="Storage"/>
    <s v="Product_5"/>
    <x v="4"/>
    <x v="0"/>
    <s v="Cash"/>
    <s v="Medium"/>
    <n v="10"/>
    <n v="35801"/>
    <n v="10"/>
    <n v="322209"/>
    <n v="-4477.54"/>
    <x v="10"/>
  </r>
  <r>
    <s v="ORD00393"/>
    <x v="51"/>
    <d v="2023-12-15T00:00:00"/>
    <s v="South"/>
    <s v="India"/>
    <s v="Karnataka"/>
    <s v="Ahmedabad"/>
    <x v="388"/>
    <x v="1"/>
    <s v="Electronics"/>
    <s v="Printer"/>
    <s v="Product_153"/>
    <x v="2"/>
    <x v="1"/>
    <s v="Net Banking"/>
    <s v="Medium"/>
    <n v="3"/>
    <n v="3974"/>
    <n v="0"/>
    <n v="11922"/>
    <n v="3498.04"/>
    <x v="9"/>
  </r>
  <r>
    <s v="ORD00394"/>
    <x v="176"/>
    <d v="2023-04-08T00:00:00"/>
    <s v="East"/>
    <s v="India"/>
    <s v="Gujarat"/>
    <s v="Bangalore"/>
    <x v="389"/>
    <x v="1"/>
    <s v="Electronics"/>
    <s v="Storage"/>
    <s v="Product_180"/>
    <x v="2"/>
    <x v="0"/>
    <s v="Net Banking"/>
    <s v="Medium"/>
    <n v="9"/>
    <n v="27287"/>
    <n v="10"/>
    <n v="221024.7"/>
    <n v="27018.3"/>
    <x v="6"/>
  </r>
  <r>
    <s v="ORD00395"/>
    <x v="321"/>
    <d v="2023-07-30T00:00:00"/>
    <s v="North"/>
    <s v="India"/>
    <s v="Maharashtra"/>
    <s v="Chennai"/>
    <x v="390"/>
    <x v="2"/>
    <s v="Office Supplies"/>
    <s v="Chair"/>
    <s v="Product_144"/>
    <x v="3"/>
    <x v="1"/>
    <s v="Cash"/>
    <s v="Low"/>
    <n v="5"/>
    <n v="744"/>
    <n v="15"/>
    <n v="3162"/>
    <n v="-176.44"/>
    <x v="11"/>
  </r>
  <r>
    <s v="ORD00396"/>
    <x v="322"/>
    <d v="2023-03-14T00:00:00"/>
    <s v="West"/>
    <s v="India"/>
    <s v="Tamil Nadu"/>
    <s v="Chennai"/>
    <x v="391"/>
    <x v="1"/>
    <s v="Electronics"/>
    <s v="Table"/>
    <s v="Product_194"/>
    <x v="5"/>
    <x v="1"/>
    <s v="UPI"/>
    <s v="Low"/>
    <n v="4"/>
    <n v="30338"/>
    <n v="20"/>
    <n v="97081.600000000006"/>
    <n v="2313.63"/>
    <x v="0"/>
  </r>
  <r>
    <s v="ORD00397"/>
    <x v="323"/>
    <d v="2023-02-22T00:00:00"/>
    <s v="North"/>
    <s v="India"/>
    <s v="Gujarat"/>
    <s v="Bangalore"/>
    <x v="392"/>
    <x v="1"/>
    <s v="Office Supplies"/>
    <s v="Laptop"/>
    <s v="Product_47"/>
    <x v="3"/>
    <x v="1"/>
    <s v="Net Banking"/>
    <s v="Low"/>
    <n v="9"/>
    <n v="23200"/>
    <n v="20"/>
    <n v="167040"/>
    <n v="3872.7"/>
    <x v="5"/>
  </r>
  <r>
    <s v="ORD00398"/>
    <x v="187"/>
    <d v="2022-01-19T00:00:00"/>
    <s v="West"/>
    <s v="India"/>
    <s v="Maharashtra"/>
    <s v="Mumbai"/>
    <x v="393"/>
    <x v="1"/>
    <s v="Office Supplies"/>
    <s v="Mobile"/>
    <s v="Product_126"/>
    <x v="3"/>
    <x v="0"/>
    <s v="Net Banking"/>
    <s v="Critical"/>
    <n v="10"/>
    <n v="17220"/>
    <n v="10"/>
    <n v="154980"/>
    <n v="3905.79"/>
    <x v="1"/>
  </r>
  <r>
    <s v="ORD00399"/>
    <x v="19"/>
    <d v="2023-09-24T00:00:00"/>
    <s v="South"/>
    <s v="India"/>
    <s v="Delhi"/>
    <s v="Delhi"/>
    <x v="394"/>
    <x v="1"/>
    <s v="Furniture"/>
    <s v="Chair"/>
    <s v="Product_9"/>
    <x v="4"/>
    <x v="1"/>
    <s v="Net Banking"/>
    <s v="High"/>
    <n v="5"/>
    <n v="7131"/>
    <n v="10"/>
    <n v="32089.5"/>
    <n v="177.6"/>
    <x v="7"/>
  </r>
  <r>
    <s v="ORD00400"/>
    <x v="68"/>
    <d v="2022-10-24T00:00:00"/>
    <s v="South"/>
    <s v="India"/>
    <s v="Karnataka"/>
    <s v="Bangalore"/>
    <x v="395"/>
    <x v="1"/>
    <s v="Office Supplies"/>
    <s v="Storage"/>
    <s v="Product_195"/>
    <x v="5"/>
    <x v="0"/>
    <s v="Net Banking"/>
    <s v="Critical"/>
    <n v="1"/>
    <n v="1212"/>
    <n v="15"/>
    <n v="1030.2"/>
    <n v="152.72999999999999"/>
    <x v="10"/>
  </r>
  <r>
    <s v="ORD00401"/>
    <x v="324"/>
    <d v="2023-10-02T00:00:00"/>
    <s v="South"/>
    <s v="India"/>
    <s v="Delhi"/>
    <s v="Bangalore"/>
    <x v="396"/>
    <x v="1"/>
    <s v="Electronics"/>
    <s v="Printer"/>
    <s v="Product_14"/>
    <x v="5"/>
    <x v="0"/>
    <s v="UPI"/>
    <s v="Low"/>
    <n v="10"/>
    <n v="26555"/>
    <n v="15"/>
    <n v="225717.5"/>
    <n v="10196.459999999999"/>
    <x v="7"/>
  </r>
  <r>
    <s v="ORD00402"/>
    <x v="278"/>
    <d v="2024-02-03T00:00:00"/>
    <s v="North"/>
    <s v="India"/>
    <s v="Delhi"/>
    <s v="Bangalore"/>
    <x v="397"/>
    <x v="1"/>
    <s v="Office Supplies"/>
    <s v="Table"/>
    <s v="Product_41"/>
    <x v="3"/>
    <x v="1"/>
    <s v="Cash"/>
    <s v="High"/>
    <n v="8"/>
    <n v="41393"/>
    <n v="20"/>
    <n v="264915.20000000001"/>
    <n v="-31916.6"/>
    <x v="1"/>
  </r>
  <r>
    <s v="ORD00403"/>
    <x v="220"/>
    <d v="2022-09-23T00:00:00"/>
    <s v="West"/>
    <s v="India"/>
    <s v="Karnataka"/>
    <s v="Delhi"/>
    <x v="398"/>
    <x v="2"/>
    <s v="Office Supplies"/>
    <s v="Laptop"/>
    <s v="Product_39"/>
    <x v="0"/>
    <x v="1"/>
    <s v="Debit Card"/>
    <s v="High"/>
    <n v="4"/>
    <n v="31385"/>
    <n v="10"/>
    <n v="112986"/>
    <n v="3173.18"/>
    <x v="7"/>
  </r>
  <r>
    <s v="ORD00404"/>
    <x v="325"/>
    <d v="2023-10-30T00:00:00"/>
    <s v="East"/>
    <s v="India"/>
    <s v="Gujarat"/>
    <s v="Delhi"/>
    <x v="399"/>
    <x v="1"/>
    <s v="Electronics"/>
    <s v="Storage"/>
    <s v="Product_135"/>
    <x v="5"/>
    <x v="0"/>
    <s v="Debit Card"/>
    <s v="Low"/>
    <n v="9"/>
    <n v="41757"/>
    <n v="5"/>
    <n v="357022.35"/>
    <n v="13218.62"/>
    <x v="10"/>
  </r>
  <r>
    <s v="ORD00405"/>
    <x v="326"/>
    <d v="2023-01-29T00:00:00"/>
    <s v="East"/>
    <s v="India"/>
    <s v="Delhi"/>
    <s v="Ahmedabad"/>
    <x v="400"/>
    <x v="1"/>
    <s v="Office Supplies"/>
    <s v="Printer"/>
    <s v="Product_171"/>
    <x v="2"/>
    <x v="1"/>
    <s v="Cash"/>
    <s v="Low"/>
    <n v="8"/>
    <n v="42306"/>
    <n v="15"/>
    <n v="287680.8"/>
    <n v="13968.97"/>
    <x v="1"/>
  </r>
  <r>
    <s v="ORD00406"/>
    <x v="327"/>
    <d v="2022-12-11T00:00:00"/>
    <s v="North"/>
    <s v="India"/>
    <s v="Delhi"/>
    <s v="Bangalore"/>
    <x v="401"/>
    <x v="2"/>
    <s v="Furniture"/>
    <s v="Table"/>
    <s v="Product_158"/>
    <x v="3"/>
    <x v="0"/>
    <s v="Credit Card"/>
    <s v="Medium"/>
    <n v="5"/>
    <n v="41478"/>
    <n v="0"/>
    <n v="207390"/>
    <n v="16784.060000000001"/>
    <x v="9"/>
  </r>
  <r>
    <s v="ORD00407"/>
    <x v="243"/>
    <d v="2022-12-26T00:00:00"/>
    <s v="East"/>
    <s v="India"/>
    <s v="Gujarat"/>
    <s v="Delhi"/>
    <x v="402"/>
    <x v="1"/>
    <s v="Electronics"/>
    <s v="Mobile"/>
    <s v="Product_15"/>
    <x v="4"/>
    <x v="0"/>
    <s v="Debit Card"/>
    <s v="High"/>
    <n v="6"/>
    <n v="19620"/>
    <n v="20"/>
    <n v="94176"/>
    <n v="818.64"/>
    <x v="9"/>
  </r>
  <r>
    <s v="ORD00408"/>
    <x v="328"/>
    <d v="2024-08-13T00:00:00"/>
    <s v="South"/>
    <s v="India"/>
    <s v="Delhi"/>
    <s v="Bangalore"/>
    <x v="403"/>
    <x v="0"/>
    <s v="Furniture"/>
    <s v="Printer"/>
    <s v="Product_92"/>
    <x v="2"/>
    <x v="0"/>
    <s v="Credit Card"/>
    <s v="Medium"/>
    <n v="4"/>
    <n v="34764"/>
    <n v="10"/>
    <n v="125150.39999999999"/>
    <n v="7704.73"/>
    <x v="8"/>
  </r>
  <r>
    <s v="ORD00409"/>
    <x v="329"/>
    <d v="2024-05-30T00:00:00"/>
    <s v="North"/>
    <s v="India"/>
    <s v="Maharashtra"/>
    <s v="Delhi"/>
    <x v="404"/>
    <x v="0"/>
    <s v="Office Supplies"/>
    <s v="Mobile"/>
    <s v="Product_25"/>
    <x v="2"/>
    <x v="1"/>
    <s v="Debit Card"/>
    <s v="Critical"/>
    <n v="8"/>
    <n v="43685"/>
    <n v="15"/>
    <n v="297058"/>
    <n v="30804.799999999999"/>
    <x v="4"/>
  </r>
  <r>
    <s v="ORD00410"/>
    <x v="330"/>
    <d v="2022-11-14T00:00:00"/>
    <s v="North"/>
    <s v="India"/>
    <s v="Delhi"/>
    <s v="Bangalore"/>
    <x v="405"/>
    <x v="0"/>
    <s v="Office Supplies"/>
    <s v="Storage"/>
    <s v="Product_30"/>
    <x v="1"/>
    <x v="0"/>
    <s v="Cash"/>
    <s v="Low"/>
    <n v="10"/>
    <n v="5881"/>
    <n v="20"/>
    <n v="47048"/>
    <n v="1138.97"/>
    <x v="3"/>
  </r>
  <r>
    <s v="ORD00411"/>
    <x v="331"/>
    <d v="2022-06-07T00:00:00"/>
    <s v="East"/>
    <s v="India"/>
    <s v="Gujarat"/>
    <s v="Chennai"/>
    <x v="406"/>
    <x v="1"/>
    <s v="Electronics"/>
    <s v="Mobile"/>
    <s v="Product_2"/>
    <x v="2"/>
    <x v="1"/>
    <s v="Net Banking"/>
    <s v="High"/>
    <n v="9"/>
    <n v="18053"/>
    <n v="0"/>
    <n v="162477"/>
    <n v="9170.6200000000008"/>
    <x v="2"/>
  </r>
  <r>
    <s v="ORD00412"/>
    <x v="195"/>
    <d v="2022-08-09T00:00:00"/>
    <s v="South"/>
    <s v="India"/>
    <s v="Gujarat"/>
    <s v="Ahmedabad"/>
    <x v="407"/>
    <x v="2"/>
    <s v="Furniture"/>
    <s v="Chair"/>
    <s v="Product_157"/>
    <x v="5"/>
    <x v="0"/>
    <s v="Net Banking"/>
    <s v="Low"/>
    <n v="4"/>
    <n v="43407"/>
    <n v="20"/>
    <n v="138902.39999999999"/>
    <n v="9793.7999999999993"/>
    <x v="8"/>
  </r>
  <r>
    <s v="ORD00413"/>
    <x v="332"/>
    <d v="2023-12-17T00:00:00"/>
    <s v="South"/>
    <s v="India"/>
    <s v="Gujarat"/>
    <s v="Chennai"/>
    <x v="408"/>
    <x v="0"/>
    <s v="Electronics"/>
    <s v="Laptop"/>
    <s v="Product_54"/>
    <x v="5"/>
    <x v="1"/>
    <s v="Cash"/>
    <s v="Critical"/>
    <n v="5"/>
    <n v="45720"/>
    <n v="5"/>
    <n v="217170"/>
    <n v="11272.93"/>
    <x v="9"/>
  </r>
  <r>
    <s v="ORD00414"/>
    <x v="333"/>
    <d v="2023-06-28T00:00:00"/>
    <s v="North"/>
    <s v="India"/>
    <s v="Maharashtra"/>
    <s v="Bangalore"/>
    <x v="409"/>
    <x v="2"/>
    <s v="Furniture"/>
    <s v="Printer"/>
    <s v="Product_72"/>
    <x v="4"/>
    <x v="1"/>
    <s v="Cash"/>
    <s v="Low"/>
    <n v="1"/>
    <n v="8311"/>
    <n v="0"/>
    <n v="8311"/>
    <n v="661.48"/>
    <x v="2"/>
  </r>
  <r>
    <s v="ORD00415"/>
    <x v="334"/>
    <d v="2023-12-29T00:00:00"/>
    <s v="West"/>
    <s v="India"/>
    <s v="Maharashtra"/>
    <s v="Chennai"/>
    <x v="410"/>
    <x v="0"/>
    <s v="Office Supplies"/>
    <s v="Table"/>
    <s v="Product_180"/>
    <x v="4"/>
    <x v="0"/>
    <s v="Cash"/>
    <s v="Medium"/>
    <n v="7"/>
    <n v="19423"/>
    <n v="10"/>
    <n v="122364.9"/>
    <n v="26218.6"/>
    <x v="9"/>
  </r>
  <r>
    <s v="ORD00416"/>
    <x v="224"/>
    <d v="2024-04-22T00:00:00"/>
    <s v="North"/>
    <s v="India"/>
    <s v="Gujarat"/>
    <s v="Ahmedabad"/>
    <x v="411"/>
    <x v="2"/>
    <s v="Office Supplies"/>
    <s v="Laptop"/>
    <s v="Product_66"/>
    <x v="5"/>
    <x v="1"/>
    <s v="Debit Card"/>
    <s v="Low"/>
    <n v="8"/>
    <n v="37470"/>
    <n v="0"/>
    <n v="299760"/>
    <n v="69250.149999999994"/>
    <x v="6"/>
  </r>
  <r>
    <s v="ORD00417"/>
    <x v="335"/>
    <d v="2023-06-27T00:00:00"/>
    <s v="West"/>
    <s v="India"/>
    <s v="Karnataka"/>
    <s v="Bangalore"/>
    <x v="138"/>
    <x v="0"/>
    <s v="Electronics"/>
    <s v="Mobile"/>
    <s v="Product_41"/>
    <x v="2"/>
    <x v="0"/>
    <s v="Debit Card"/>
    <s v="Critical"/>
    <n v="1"/>
    <n v="32871"/>
    <n v="20"/>
    <n v="26296.799999999999"/>
    <n v="-4881.95"/>
    <x v="2"/>
  </r>
  <r>
    <s v="ORD00418"/>
    <x v="336"/>
    <d v="2022-03-25T00:00:00"/>
    <s v="East"/>
    <s v="India"/>
    <s v="Gujarat"/>
    <s v="Delhi"/>
    <x v="412"/>
    <x v="1"/>
    <s v="Electronics"/>
    <s v="Chair"/>
    <s v="Product_67"/>
    <x v="4"/>
    <x v="1"/>
    <s v="UPI"/>
    <s v="Low"/>
    <n v="2"/>
    <n v="20407"/>
    <n v="5"/>
    <n v="38773.300000000003"/>
    <n v="5009.47"/>
    <x v="0"/>
  </r>
  <r>
    <s v="ORD00419"/>
    <x v="337"/>
    <d v="2022-08-02T00:00:00"/>
    <s v="West"/>
    <s v="India"/>
    <s v="Tamil Nadu"/>
    <s v="Delhi"/>
    <x v="413"/>
    <x v="2"/>
    <s v="Furniture"/>
    <s v="Storage"/>
    <s v="Product_152"/>
    <x v="0"/>
    <x v="0"/>
    <s v="Debit Card"/>
    <s v="Medium"/>
    <n v="6"/>
    <n v="19414"/>
    <n v="15"/>
    <n v="99011.4"/>
    <n v="-1083.06"/>
    <x v="11"/>
  </r>
  <r>
    <s v="ORD00420"/>
    <x v="67"/>
    <d v="2024-01-19T00:00:00"/>
    <s v="North"/>
    <s v="India"/>
    <s v="Delhi"/>
    <s v="Delhi"/>
    <x v="414"/>
    <x v="0"/>
    <s v="Furniture"/>
    <s v="Chair"/>
    <s v="Product_154"/>
    <x v="4"/>
    <x v="0"/>
    <s v="Debit Card"/>
    <s v="Medium"/>
    <n v="3"/>
    <n v="20378"/>
    <n v="0"/>
    <n v="61134"/>
    <n v="12962.17"/>
    <x v="1"/>
  </r>
  <r>
    <s v="ORD00421"/>
    <x v="338"/>
    <d v="2024-03-25T00:00:00"/>
    <s v="South"/>
    <s v="India"/>
    <s v="Tamil Nadu"/>
    <s v="Delhi"/>
    <x v="415"/>
    <x v="0"/>
    <s v="Office Supplies"/>
    <s v="Storage"/>
    <s v="Product_80"/>
    <x v="2"/>
    <x v="0"/>
    <s v="Debit Card"/>
    <s v="Critical"/>
    <n v="10"/>
    <n v="48923"/>
    <n v="10"/>
    <n v="440307"/>
    <n v="60472.24"/>
    <x v="0"/>
  </r>
  <r>
    <s v="ORD00422"/>
    <x v="30"/>
    <d v="2023-01-20T00:00:00"/>
    <s v="South"/>
    <s v="India"/>
    <s v="Delhi"/>
    <s v="Delhi"/>
    <x v="416"/>
    <x v="1"/>
    <s v="Furniture"/>
    <s v="Chair"/>
    <s v="Product_169"/>
    <x v="1"/>
    <x v="1"/>
    <s v="Cash"/>
    <s v="Critical"/>
    <n v="6"/>
    <n v="41653"/>
    <n v="20"/>
    <n v="199934.4"/>
    <n v="-15916.08"/>
    <x v="1"/>
  </r>
  <r>
    <s v="ORD00423"/>
    <x v="309"/>
    <d v="2024-07-12T00:00:00"/>
    <s v="East"/>
    <s v="India"/>
    <s v="Maharashtra"/>
    <s v="Ahmedabad"/>
    <x v="417"/>
    <x v="1"/>
    <s v="Furniture"/>
    <s v="Table"/>
    <s v="Product_117"/>
    <x v="1"/>
    <x v="1"/>
    <s v="Debit Card"/>
    <s v="Medium"/>
    <n v="5"/>
    <n v="7436"/>
    <n v="10"/>
    <n v="33462"/>
    <n v="1014.43"/>
    <x v="11"/>
  </r>
  <r>
    <s v="ORD00424"/>
    <x v="339"/>
    <d v="2024-01-26T00:00:00"/>
    <s v="North"/>
    <s v="India"/>
    <s v="Tamil Nadu"/>
    <s v="Ahmedabad"/>
    <x v="418"/>
    <x v="0"/>
    <s v="Electronics"/>
    <s v="Table"/>
    <s v="Product_164"/>
    <x v="3"/>
    <x v="1"/>
    <s v="Credit Card"/>
    <s v="High"/>
    <n v="7"/>
    <n v="46419"/>
    <n v="20"/>
    <n v="259946.4"/>
    <n v="-36199.769999999997"/>
    <x v="1"/>
  </r>
  <r>
    <s v="ORD00425"/>
    <x v="340"/>
    <d v="2023-06-06T00:00:00"/>
    <s v="West"/>
    <s v="India"/>
    <s v="Maharashtra"/>
    <s v="Delhi"/>
    <x v="419"/>
    <x v="1"/>
    <s v="Office Supplies"/>
    <s v="Mobile"/>
    <s v="Product_3"/>
    <x v="3"/>
    <x v="1"/>
    <s v="Cash"/>
    <s v="Medium"/>
    <n v="2"/>
    <n v="29024"/>
    <n v="15"/>
    <n v="49340.800000000003"/>
    <n v="-3150.76"/>
    <x v="2"/>
  </r>
  <r>
    <s v="ORD00426"/>
    <x v="341"/>
    <d v="2023-07-20T00:00:00"/>
    <s v="North"/>
    <s v="India"/>
    <s v="Maharashtra"/>
    <s v="Delhi"/>
    <x v="420"/>
    <x v="1"/>
    <s v="Furniture"/>
    <s v="Table"/>
    <s v="Product_123"/>
    <x v="3"/>
    <x v="1"/>
    <s v="UPI"/>
    <s v="Critical"/>
    <n v="7"/>
    <n v="23493"/>
    <n v="10"/>
    <n v="148005.9"/>
    <n v="25287.31"/>
    <x v="11"/>
  </r>
  <r>
    <s v="ORD00427"/>
    <x v="342"/>
    <d v="2023-02-27T00:00:00"/>
    <s v="East"/>
    <s v="India"/>
    <s v="Delhi"/>
    <s v="Chennai"/>
    <x v="421"/>
    <x v="2"/>
    <s v="Office Supplies"/>
    <s v="Table"/>
    <s v="Product_89"/>
    <x v="0"/>
    <x v="0"/>
    <s v="Debit Card"/>
    <s v="High"/>
    <n v="10"/>
    <n v="25424"/>
    <n v="15"/>
    <n v="216104"/>
    <n v="37171.61"/>
    <x v="5"/>
  </r>
  <r>
    <s v="ORD00428"/>
    <x v="117"/>
    <d v="2023-12-31T00:00:00"/>
    <s v="South"/>
    <s v="India"/>
    <s v="Maharashtra"/>
    <s v="Ahmedabad"/>
    <x v="422"/>
    <x v="0"/>
    <s v="Office Supplies"/>
    <s v="Chair"/>
    <s v="Product_38"/>
    <x v="3"/>
    <x v="1"/>
    <s v="Debit Card"/>
    <s v="Critical"/>
    <n v="9"/>
    <n v="21839"/>
    <n v="20"/>
    <n v="157240.79999999999"/>
    <n v="14693.51"/>
    <x v="9"/>
  </r>
  <r>
    <s v="ORD00429"/>
    <x v="343"/>
    <d v="2022-03-03T00:00:00"/>
    <s v="West"/>
    <s v="India"/>
    <s v="Tamil Nadu"/>
    <s v="Bangalore"/>
    <x v="423"/>
    <x v="1"/>
    <s v="Office Supplies"/>
    <s v="Laptop"/>
    <s v="Product_119"/>
    <x v="0"/>
    <x v="1"/>
    <s v="Net Banking"/>
    <s v="Low"/>
    <n v="7"/>
    <n v="14106"/>
    <n v="15"/>
    <n v="83930.7"/>
    <n v="-700.05"/>
    <x v="0"/>
  </r>
  <r>
    <s v="ORD00430"/>
    <x v="260"/>
    <d v="2023-04-03T00:00:00"/>
    <s v="South"/>
    <s v="India"/>
    <s v="Maharashtra"/>
    <s v="Delhi"/>
    <x v="424"/>
    <x v="0"/>
    <s v="Office Supplies"/>
    <s v="Laptop"/>
    <s v="Product_129"/>
    <x v="5"/>
    <x v="1"/>
    <s v="Credit Card"/>
    <s v="Low"/>
    <n v="7"/>
    <n v="24049"/>
    <n v="15"/>
    <n v="143091.54999999999"/>
    <n v="-10161.85"/>
    <x v="0"/>
  </r>
  <r>
    <s v="ORD00431"/>
    <x v="14"/>
    <d v="2022-03-14T00:00:00"/>
    <s v="East"/>
    <s v="India"/>
    <s v="Delhi"/>
    <s v="Chennai"/>
    <x v="425"/>
    <x v="2"/>
    <s v="Furniture"/>
    <s v="Table"/>
    <s v="Product_122"/>
    <x v="3"/>
    <x v="0"/>
    <s v="Net Banking"/>
    <s v="Low"/>
    <n v="10"/>
    <n v="6574"/>
    <n v="0"/>
    <n v="65740"/>
    <n v="6091.17"/>
    <x v="0"/>
  </r>
  <r>
    <s v="ORD00432"/>
    <x v="245"/>
    <d v="2022-12-11T00:00:00"/>
    <s v="South"/>
    <s v="India"/>
    <s v="Gujarat"/>
    <s v="Chennai"/>
    <x v="426"/>
    <x v="1"/>
    <s v="Furniture"/>
    <s v="Laptop"/>
    <s v="Product_157"/>
    <x v="0"/>
    <x v="0"/>
    <s v="Credit Card"/>
    <s v="Medium"/>
    <n v="8"/>
    <n v="12083"/>
    <n v="15"/>
    <n v="82164.399999999994"/>
    <n v="8753.0499999999993"/>
    <x v="9"/>
  </r>
  <r>
    <s v="ORD00433"/>
    <x v="325"/>
    <d v="2023-10-25T00:00:00"/>
    <s v="North"/>
    <s v="India"/>
    <s v="Maharashtra"/>
    <s v="Mumbai"/>
    <x v="427"/>
    <x v="0"/>
    <s v="Office Supplies"/>
    <s v="Table"/>
    <s v="Product_97"/>
    <x v="4"/>
    <x v="0"/>
    <s v="Credit Card"/>
    <s v="High"/>
    <n v="4"/>
    <n v="34623"/>
    <n v="15"/>
    <n v="117718.2"/>
    <n v="-10072.969999999999"/>
    <x v="10"/>
  </r>
  <r>
    <s v="ORD00434"/>
    <x v="344"/>
    <d v="2023-08-03T00:00:00"/>
    <s v="East"/>
    <s v="India"/>
    <s v="Karnataka"/>
    <s v="Ahmedabad"/>
    <x v="428"/>
    <x v="2"/>
    <s v="Electronics"/>
    <s v="Laptop"/>
    <s v="Product_93"/>
    <x v="3"/>
    <x v="1"/>
    <s v="Net Banking"/>
    <s v="High"/>
    <n v="5"/>
    <n v="44059"/>
    <n v="0"/>
    <n v="220295"/>
    <n v="63662.879999999997"/>
    <x v="11"/>
  </r>
  <r>
    <s v="ORD00435"/>
    <x v="345"/>
    <d v="2023-12-01T00:00:00"/>
    <s v="South"/>
    <s v="India"/>
    <s v="Karnataka"/>
    <s v="Delhi"/>
    <x v="429"/>
    <x v="0"/>
    <s v="Electronics"/>
    <s v="Chair"/>
    <s v="Product_169"/>
    <x v="3"/>
    <x v="0"/>
    <s v="Credit Card"/>
    <s v="Low"/>
    <n v="7"/>
    <n v="46718"/>
    <n v="5"/>
    <n v="310674.7"/>
    <n v="8676.36"/>
    <x v="3"/>
  </r>
  <r>
    <s v="ORD00436"/>
    <x v="346"/>
    <d v="2024-09-03T00:00:00"/>
    <s v="South"/>
    <s v="India"/>
    <s v="Tamil Nadu"/>
    <s v="Mumbai"/>
    <x v="430"/>
    <x v="1"/>
    <s v="Electronics"/>
    <s v="Chair"/>
    <s v="Product_29"/>
    <x v="3"/>
    <x v="1"/>
    <s v="Credit Card"/>
    <s v="Medium"/>
    <n v="5"/>
    <n v="17360"/>
    <n v="15"/>
    <n v="73780"/>
    <n v="11795.02"/>
    <x v="8"/>
  </r>
  <r>
    <s v="ORD00437"/>
    <x v="347"/>
    <d v="2023-11-14T00:00:00"/>
    <s v="South"/>
    <s v="India"/>
    <s v="Karnataka"/>
    <s v="Delhi"/>
    <x v="431"/>
    <x v="0"/>
    <s v="Furniture"/>
    <s v="Storage"/>
    <s v="Product_57"/>
    <x v="0"/>
    <x v="0"/>
    <s v="Net Banking"/>
    <s v="High"/>
    <n v="5"/>
    <n v="13673"/>
    <n v="15"/>
    <n v="58110.25"/>
    <n v="3784.94"/>
    <x v="3"/>
  </r>
  <r>
    <s v="ORD00438"/>
    <x v="127"/>
    <d v="2023-12-26T00:00:00"/>
    <s v="North"/>
    <s v="India"/>
    <s v="Maharashtra"/>
    <s v="Bangalore"/>
    <x v="432"/>
    <x v="1"/>
    <s v="Office Supplies"/>
    <s v="Chair"/>
    <s v="Product_119"/>
    <x v="2"/>
    <x v="0"/>
    <s v="Net Banking"/>
    <s v="Low"/>
    <n v="1"/>
    <n v="7768"/>
    <n v="5"/>
    <n v="7379.6"/>
    <n v="504.53"/>
    <x v="9"/>
  </r>
  <r>
    <s v="ORD00439"/>
    <x v="348"/>
    <d v="2022-06-11T00:00:00"/>
    <s v="West"/>
    <s v="India"/>
    <s v="Karnataka"/>
    <s v="Delhi"/>
    <x v="433"/>
    <x v="1"/>
    <s v="Electronics"/>
    <s v="Mobile"/>
    <s v="Product_60"/>
    <x v="4"/>
    <x v="0"/>
    <s v="UPI"/>
    <s v="Low"/>
    <n v="1"/>
    <n v="15147"/>
    <n v="0"/>
    <n v="15147"/>
    <n v="1058.8"/>
    <x v="2"/>
  </r>
  <r>
    <s v="ORD00440"/>
    <x v="349"/>
    <d v="2024-02-03T00:00:00"/>
    <s v="North"/>
    <s v="India"/>
    <s v="Delhi"/>
    <s v="Ahmedabad"/>
    <x v="434"/>
    <x v="2"/>
    <s v="Office Supplies"/>
    <s v="Chair"/>
    <s v="Product_93"/>
    <x v="2"/>
    <x v="0"/>
    <s v="Cash"/>
    <s v="Critical"/>
    <n v="6"/>
    <n v="2037"/>
    <n v="15"/>
    <n v="10388.700000000001"/>
    <n v="1449.86"/>
    <x v="1"/>
  </r>
  <r>
    <s v="ORD00441"/>
    <x v="350"/>
    <d v="2023-08-19T00:00:00"/>
    <s v="East"/>
    <s v="India"/>
    <s v="Gujarat"/>
    <s v="Ahmedabad"/>
    <x v="435"/>
    <x v="0"/>
    <s v="Office Supplies"/>
    <s v="Printer"/>
    <s v="Product_49"/>
    <x v="2"/>
    <x v="0"/>
    <s v="Net Banking"/>
    <s v="Medium"/>
    <n v="9"/>
    <n v="1451"/>
    <n v="0"/>
    <n v="13059"/>
    <n v="1825.11"/>
    <x v="8"/>
  </r>
  <r>
    <s v="ORD00442"/>
    <x v="331"/>
    <d v="2022-06-07T00:00:00"/>
    <s v="East"/>
    <s v="India"/>
    <s v="Karnataka"/>
    <s v="Chennai"/>
    <x v="436"/>
    <x v="2"/>
    <s v="Furniture"/>
    <s v="Printer"/>
    <s v="Product_29"/>
    <x v="2"/>
    <x v="0"/>
    <s v="Credit Card"/>
    <s v="High"/>
    <n v="1"/>
    <n v="25410"/>
    <n v="5"/>
    <n v="24139.5"/>
    <n v="1270.3"/>
    <x v="2"/>
  </r>
  <r>
    <s v="ORD00443"/>
    <x v="351"/>
    <d v="2022-01-27T00:00:00"/>
    <s v="West"/>
    <s v="India"/>
    <s v="Tamil Nadu"/>
    <s v="Chennai"/>
    <x v="437"/>
    <x v="0"/>
    <s v="Furniture"/>
    <s v="Chair"/>
    <s v="Product_120"/>
    <x v="2"/>
    <x v="1"/>
    <s v="Net Banking"/>
    <s v="High"/>
    <n v="3"/>
    <n v="39750"/>
    <n v="20"/>
    <n v="95400"/>
    <n v="6741.01"/>
    <x v="1"/>
  </r>
  <r>
    <s v="ORD00444"/>
    <x v="325"/>
    <d v="2023-10-29T00:00:00"/>
    <s v="South"/>
    <s v="India"/>
    <s v="Gujarat"/>
    <s v="Chennai"/>
    <x v="438"/>
    <x v="0"/>
    <s v="Electronics"/>
    <s v="Storage"/>
    <s v="Product_17"/>
    <x v="5"/>
    <x v="0"/>
    <s v="Net Banking"/>
    <s v="Critical"/>
    <n v="5"/>
    <n v="14122"/>
    <n v="5"/>
    <n v="67079.5"/>
    <n v="10085.17"/>
    <x v="10"/>
  </r>
  <r>
    <s v="ORD00445"/>
    <x v="352"/>
    <d v="2023-05-07T00:00:00"/>
    <s v="North"/>
    <s v="India"/>
    <s v="Delhi"/>
    <s v="Mumbai"/>
    <x v="439"/>
    <x v="1"/>
    <s v="Electronics"/>
    <s v="Chair"/>
    <s v="Product_87"/>
    <x v="2"/>
    <x v="1"/>
    <s v="Debit Card"/>
    <s v="Medium"/>
    <n v="10"/>
    <n v="33890"/>
    <n v="5"/>
    <n v="321955"/>
    <n v="63068.54"/>
    <x v="4"/>
  </r>
  <r>
    <s v="ORD00446"/>
    <x v="37"/>
    <d v="2024-02-27T00:00:00"/>
    <s v="South"/>
    <s v="India"/>
    <s v="Maharashtra"/>
    <s v="Delhi"/>
    <x v="440"/>
    <x v="1"/>
    <s v="Electronics"/>
    <s v="Table"/>
    <s v="Product_52"/>
    <x v="3"/>
    <x v="0"/>
    <s v="Net Banking"/>
    <s v="Low"/>
    <n v="1"/>
    <n v="39839"/>
    <n v="15"/>
    <n v="33863.15"/>
    <n v="531.88"/>
    <x v="5"/>
  </r>
  <r>
    <s v="ORD00447"/>
    <x v="125"/>
    <d v="2024-09-10T00:00:00"/>
    <s v="South"/>
    <s v="India"/>
    <s v="Gujarat"/>
    <s v="Ahmedabad"/>
    <x v="441"/>
    <x v="0"/>
    <s v="Electronics"/>
    <s v="Mobile"/>
    <s v="Product_26"/>
    <x v="3"/>
    <x v="1"/>
    <s v="Credit Card"/>
    <s v="Low"/>
    <n v="6"/>
    <n v="21515"/>
    <n v="0"/>
    <n v="129090"/>
    <n v="27462.69"/>
    <x v="7"/>
  </r>
  <r>
    <s v="ORD00448"/>
    <x v="337"/>
    <d v="2022-08-01T00:00:00"/>
    <s v="South"/>
    <s v="India"/>
    <s v="Karnataka"/>
    <s v="Ahmedabad"/>
    <x v="442"/>
    <x v="0"/>
    <s v="Electronics"/>
    <s v="Printer"/>
    <s v="Product_154"/>
    <x v="0"/>
    <x v="1"/>
    <s v="UPI"/>
    <s v="Medium"/>
    <n v="9"/>
    <n v="36574"/>
    <n v="0"/>
    <n v="329166"/>
    <n v="83800.13"/>
    <x v="11"/>
  </r>
  <r>
    <s v="ORD00449"/>
    <x v="353"/>
    <d v="2022-12-12T00:00:00"/>
    <s v="East"/>
    <s v="India"/>
    <s v="Maharashtra"/>
    <s v="Chennai"/>
    <x v="443"/>
    <x v="1"/>
    <s v="Furniture"/>
    <s v="Laptop"/>
    <s v="Product_175"/>
    <x v="2"/>
    <x v="0"/>
    <s v="Cash"/>
    <s v="Medium"/>
    <n v="8"/>
    <n v="23232"/>
    <n v="10"/>
    <n v="167270.39999999999"/>
    <n v="-626.05999999999995"/>
    <x v="9"/>
  </r>
  <r>
    <s v="ORD00450"/>
    <x v="354"/>
    <d v="2024-05-02T00:00:00"/>
    <s v="West"/>
    <s v="India"/>
    <s v="Delhi"/>
    <s v="Chennai"/>
    <x v="444"/>
    <x v="2"/>
    <s v="Office Supplies"/>
    <s v="Laptop"/>
    <s v="Product_169"/>
    <x v="2"/>
    <x v="1"/>
    <s v="UPI"/>
    <s v="Critical"/>
    <n v="9"/>
    <n v="29959"/>
    <n v="10"/>
    <n v="242667.9"/>
    <n v="26426.15"/>
    <x v="4"/>
  </r>
  <r>
    <s v="ORD00451"/>
    <x v="355"/>
    <d v="2024-02-22T00:00:00"/>
    <s v="East"/>
    <s v="India"/>
    <s v="Tamil Nadu"/>
    <s v="Mumbai"/>
    <x v="445"/>
    <x v="0"/>
    <s v="Office Supplies"/>
    <s v="Printer"/>
    <s v="Product_21"/>
    <x v="3"/>
    <x v="1"/>
    <s v="Cash"/>
    <s v="Medium"/>
    <n v="7"/>
    <n v="37700"/>
    <n v="0"/>
    <n v="263900"/>
    <n v="78778.61"/>
    <x v="5"/>
  </r>
  <r>
    <s v="ORD00452"/>
    <x v="356"/>
    <d v="2022-03-07T00:00:00"/>
    <s v="West"/>
    <s v="India"/>
    <s v="Delhi"/>
    <s v="Ahmedabad"/>
    <x v="446"/>
    <x v="1"/>
    <s v="Office Supplies"/>
    <s v="Laptop"/>
    <s v="Product_140"/>
    <x v="4"/>
    <x v="0"/>
    <s v="Net Banking"/>
    <s v="High"/>
    <n v="8"/>
    <n v="31636"/>
    <n v="15"/>
    <n v="215124.8"/>
    <n v="2236.39"/>
    <x v="5"/>
  </r>
  <r>
    <s v="ORD00453"/>
    <x v="357"/>
    <d v="2023-02-11T00:00:00"/>
    <s v="East"/>
    <s v="India"/>
    <s v="Karnataka"/>
    <s v="Chennai"/>
    <x v="447"/>
    <x v="2"/>
    <s v="Furniture"/>
    <s v="Storage"/>
    <s v="Product_112"/>
    <x v="5"/>
    <x v="0"/>
    <s v="Debit Card"/>
    <s v="Low"/>
    <n v="10"/>
    <n v="27682"/>
    <n v="5"/>
    <n v="262979"/>
    <n v="8739.2999999999993"/>
    <x v="5"/>
  </r>
  <r>
    <s v="ORD00454"/>
    <x v="358"/>
    <d v="2022-04-17T00:00:00"/>
    <s v="West"/>
    <s v="India"/>
    <s v="Tamil Nadu"/>
    <s v="Ahmedabad"/>
    <x v="448"/>
    <x v="1"/>
    <s v="Office Supplies"/>
    <s v="Table"/>
    <s v="Product_137"/>
    <x v="3"/>
    <x v="1"/>
    <s v="UPI"/>
    <s v="High"/>
    <n v="1"/>
    <n v="23102"/>
    <n v="5"/>
    <n v="21946.9"/>
    <n v="2592.36"/>
    <x v="6"/>
  </r>
  <r>
    <s v="ORD00455"/>
    <x v="51"/>
    <d v="2023-12-07T00:00:00"/>
    <s v="North"/>
    <s v="India"/>
    <s v="Gujarat"/>
    <s v="Chennai"/>
    <x v="200"/>
    <x v="1"/>
    <s v="Electronics"/>
    <s v="Printer"/>
    <s v="Product_181"/>
    <x v="5"/>
    <x v="0"/>
    <s v="Cash"/>
    <s v="High"/>
    <n v="9"/>
    <n v="12616"/>
    <n v="10"/>
    <n v="102189.6"/>
    <n v="12142.21"/>
    <x v="9"/>
  </r>
  <r>
    <s v="ORD00456"/>
    <x v="359"/>
    <d v="2023-08-27T00:00:00"/>
    <s v="South"/>
    <s v="India"/>
    <s v="Delhi"/>
    <s v="Mumbai"/>
    <x v="449"/>
    <x v="0"/>
    <s v="Furniture"/>
    <s v="Printer"/>
    <s v="Product_71"/>
    <x v="1"/>
    <x v="0"/>
    <s v="Net Banking"/>
    <s v="Critical"/>
    <n v="10"/>
    <n v="7662"/>
    <n v="20"/>
    <n v="61296"/>
    <n v="-4343.13"/>
    <x v="8"/>
  </r>
  <r>
    <s v="ORD00457"/>
    <x v="360"/>
    <d v="2023-01-30T00:00:00"/>
    <s v="West"/>
    <s v="India"/>
    <s v="Maharashtra"/>
    <s v="Ahmedabad"/>
    <x v="325"/>
    <x v="0"/>
    <s v="Electronics"/>
    <s v="Laptop"/>
    <s v="Product_144"/>
    <x v="1"/>
    <x v="1"/>
    <s v="Cash"/>
    <s v="Critical"/>
    <n v="1"/>
    <n v="9008"/>
    <n v="0"/>
    <n v="9008"/>
    <n v="1804.77"/>
    <x v="1"/>
  </r>
  <r>
    <s v="ORD00458"/>
    <x v="22"/>
    <d v="2024-04-11T00:00:00"/>
    <s v="North"/>
    <s v="India"/>
    <s v="Gujarat"/>
    <s v="Mumbai"/>
    <x v="450"/>
    <x v="1"/>
    <s v="Electronics"/>
    <s v="Chair"/>
    <s v="Product_173"/>
    <x v="3"/>
    <x v="1"/>
    <s v="UPI"/>
    <s v="Medium"/>
    <n v="8"/>
    <n v="16289"/>
    <n v="0"/>
    <n v="130312"/>
    <n v="25093.39"/>
    <x v="6"/>
  </r>
  <r>
    <s v="ORD00459"/>
    <x v="361"/>
    <d v="2023-06-10T00:00:00"/>
    <s v="North"/>
    <s v="India"/>
    <s v="Delhi"/>
    <s v="Ahmedabad"/>
    <x v="451"/>
    <x v="1"/>
    <s v="Electronics"/>
    <s v="Chair"/>
    <s v="Product_21"/>
    <x v="1"/>
    <x v="1"/>
    <s v="Debit Card"/>
    <s v="Critical"/>
    <n v="3"/>
    <n v="7420"/>
    <n v="15"/>
    <n v="18921"/>
    <n v="1808.29"/>
    <x v="2"/>
  </r>
  <r>
    <s v="ORD00460"/>
    <x v="362"/>
    <d v="2022-08-15T00:00:00"/>
    <s v="South"/>
    <s v="India"/>
    <s v="Karnataka"/>
    <s v="Ahmedabad"/>
    <x v="452"/>
    <x v="2"/>
    <s v="Office Supplies"/>
    <s v="Chair"/>
    <s v="Product_65"/>
    <x v="2"/>
    <x v="0"/>
    <s v="Cash"/>
    <s v="Medium"/>
    <n v="1"/>
    <n v="36553"/>
    <n v="10"/>
    <n v="32897.699999999997"/>
    <n v="3924.32"/>
    <x v="8"/>
  </r>
  <r>
    <s v="ORD00461"/>
    <x v="298"/>
    <d v="2022-09-15T00:00:00"/>
    <s v="West"/>
    <s v="India"/>
    <s v="Karnataka"/>
    <s v="Mumbai"/>
    <x v="453"/>
    <x v="2"/>
    <s v="Furniture"/>
    <s v="Chair"/>
    <s v="Product_96"/>
    <x v="3"/>
    <x v="1"/>
    <s v="Cash"/>
    <s v="Medium"/>
    <n v="8"/>
    <n v="9384"/>
    <n v="20"/>
    <n v="60057.599999999999"/>
    <n v="-2492.02"/>
    <x v="7"/>
  </r>
  <r>
    <s v="ORD00462"/>
    <x v="213"/>
    <d v="2022-08-12T00:00:00"/>
    <s v="East"/>
    <s v="India"/>
    <s v="Tamil Nadu"/>
    <s v="Bangalore"/>
    <x v="454"/>
    <x v="2"/>
    <s v="Office Supplies"/>
    <s v="Storage"/>
    <s v="Product_85"/>
    <x v="2"/>
    <x v="1"/>
    <s v="UPI"/>
    <s v="Low"/>
    <n v="9"/>
    <n v="18198"/>
    <n v="10"/>
    <n v="147403.79999999999"/>
    <n v="6419.06"/>
    <x v="8"/>
  </r>
  <r>
    <s v="ORD00463"/>
    <x v="363"/>
    <d v="2024-07-28T00:00:00"/>
    <s v="East"/>
    <s v="India"/>
    <s v="Karnataka"/>
    <s v="Ahmedabad"/>
    <x v="455"/>
    <x v="0"/>
    <s v="Office Supplies"/>
    <s v="Storage"/>
    <s v="Product_169"/>
    <x v="1"/>
    <x v="0"/>
    <s v="Debit Card"/>
    <s v="Low"/>
    <n v="9"/>
    <n v="16867"/>
    <n v="20"/>
    <n v="121442.4"/>
    <n v="-4139.91"/>
    <x v="11"/>
  </r>
  <r>
    <s v="ORD00464"/>
    <x v="364"/>
    <d v="2022-12-19T00:00:00"/>
    <s v="South"/>
    <s v="India"/>
    <s v="Maharashtra"/>
    <s v="Delhi"/>
    <x v="456"/>
    <x v="0"/>
    <s v="Office Supplies"/>
    <s v="Chair"/>
    <s v="Product_155"/>
    <x v="4"/>
    <x v="0"/>
    <s v="Debit Card"/>
    <s v="Medium"/>
    <n v="1"/>
    <n v="1706"/>
    <n v="0"/>
    <n v="1706"/>
    <n v="489.86"/>
    <x v="9"/>
  </r>
  <r>
    <s v="ORD00465"/>
    <x v="365"/>
    <d v="2022-11-29T00:00:00"/>
    <s v="South"/>
    <s v="India"/>
    <s v="Delhi"/>
    <s v="Chennai"/>
    <x v="457"/>
    <x v="2"/>
    <s v="Office Supplies"/>
    <s v="Chair"/>
    <s v="Product_140"/>
    <x v="0"/>
    <x v="1"/>
    <s v="UPI"/>
    <s v="Critical"/>
    <n v="8"/>
    <n v="49040"/>
    <n v="15"/>
    <n v="333472"/>
    <n v="-35558.29"/>
    <x v="3"/>
  </r>
  <r>
    <s v="ORD00466"/>
    <x v="171"/>
    <d v="2022-05-18T00:00:00"/>
    <s v="East"/>
    <s v="India"/>
    <s v="Tamil Nadu"/>
    <s v="Mumbai"/>
    <x v="458"/>
    <x v="0"/>
    <s v="Furniture"/>
    <s v="Chair"/>
    <s v="Product_181"/>
    <x v="0"/>
    <x v="1"/>
    <s v="Credit Card"/>
    <s v="Critical"/>
    <n v="1"/>
    <n v="34946"/>
    <n v="5"/>
    <n v="33198.699999999997"/>
    <n v="1560.08"/>
    <x v="4"/>
  </r>
  <r>
    <s v="ORD00467"/>
    <x v="366"/>
    <d v="2022-03-06T00:00:00"/>
    <s v="East"/>
    <s v="India"/>
    <s v="Delhi"/>
    <s v="Ahmedabad"/>
    <x v="459"/>
    <x v="1"/>
    <s v="Furniture"/>
    <s v="Mobile"/>
    <s v="Product_132"/>
    <x v="5"/>
    <x v="0"/>
    <s v="UPI"/>
    <s v="Medium"/>
    <n v="7"/>
    <n v="1804"/>
    <n v="10"/>
    <n v="11365.2"/>
    <n v="1240.4000000000001"/>
    <x v="5"/>
  </r>
  <r>
    <s v="ORD00468"/>
    <x v="367"/>
    <d v="2022-02-01T00:00:00"/>
    <s v="South"/>
    <s v="India"/>
    <s v="Maharashtra"/>
    <s v="Bangalore"/>
    <x v="460"/>
    <x v="2"/>
    <s v="Furniture"/>
    <s v="Laptop"/>
    <s v="Product_134"/>
    <x v="0"/>
    <x v="1"/>
    <s v="Net Banking"/>
    <s v="Critical"/>
    <n v="8"/>
    <n v="17327"/>
    <n v="10"/>
    <n v="124754.4"/>
    <n v="26941.89"/>
    <x v="1"/>
  </r>
  <r>
    <s v="ORD00469"/>
    <x v="368"/>
    <d v="2022-02-17T00:00:00"/>
    <s v="East"/>
    <s v="India"/>
    <s v="Delhi"/>
    <s v="Mumbai"/>
    <x v="461"/>
    <x v="0"/>
    <s v="Furniture"/>
    <s v="Table"/>
    <s v="Product_64"/>
    <x v="2"/>
    <x v="1"/>
    <s v="Cash"/>
    <s v="Medium"/>
    <n v="4"/>
    <n v="31096"/>
    <n v="20"/>
    <n v="99507.199999999997"/>
    <n v="11285.73"/>
    <x v="5"/>
  </r>
  <r>
    <s v="ORD00470"/>
    <x v="369"/>
    <d v="2022-09-27T00:00:00"/>
    <s v="West"/>
    <s v="India"/>
    <s v="Delhi"/>
    <s v="Ahmedabad"/>
    <x v="462"/>
    <x v="0"/>
    <s v="Electronics"/>
    <s v="Laptop"/>
    <s v="Product_167"/>
    <x v="2"/>
    <x v="0"/>
    <s v="Cash"/>
    <s v="Critical"/>
    <n v="1"/>
    <n v="17712"/>
    <n v="20"/>
    <n v="14169.6"/>
    <n v="830.51"/>
    <x v="7"/>
  </r>
  <r>
    <s v="ORD00471"/>
    <x v="370"/>
    <d v="2022-09-12T00:00:00"/>
    <s v="West"/>
    <s v="India"/>
    <s v="Gujarat"/>
    <s v="Ahmedabad"/>
    <x v="463"/>
    <x v="2"/>
    <s v="Electronics"/>
    <s v="Table"/>
    <s v="Product_16"/>
    <x v="5"/>
    <x v="0"/>
    <s v="Debit Card"/>
    <s v="Critical"/>
    <n v="1"/>
    <n v="7147"/>
    <n v="20"/>
    <n v="5717.6"/>
    <n v="-773.57"/>
    <x v="7"/>
  </r>
  <r>
    <s v="ORD00472"/>
    <x v="371"/>
    <d v="2022-05-20T00:00:00"/>
    <s v="East"/>
    <s v="India"/>
    <s v="Gujarat"/>
    <s v="Ahmedabad"/>
    <x v="464"/>
    <x v="0"/>
    <s v="Electronics"/>
    <s v="Storage"/>
    <s v="Product_113"/>
    <x v="2"/>
    <x v="1"/>
    <s v="UPI"/>
    <s v="High"/>
    <n v="5"/>
    <n v="22046"/>
    <n v="15"/>
    <n v="93695.5"/>
    <n v="5641.39"/>
    <x v="4"/>
  </r>
  <r>
    <s v="ORD00473"/>
    <x v="372"/>
    <d v="2024-07-24T00:00:00"/>
    <s v="South"/>
    <s v="India"/>
    <s v="Gujarat"/>
    <s v="Ahmedabad"/>
    <x v="465"/>
    <x v="2"/>
    <s v="Office Supplies"/>
    <s v="Laptop"/>
    <s v="Product_23"/>
    <x v="0"/>
    <x v="0"/>
    <s v="UPI"/>
    <s v="High"/>
    <n v="3"/>
    <n v="27514"/>
    <n v="15"/>
    <n v="70160.7"/>
    <n v="3346.57"/>
    <x v="11"/>
  </r>
  <r>
    <s v="ORD00474"/>
    <x v="373"/>
    <d v="2023-08-27T00:00:00"/>
    <s v="West"/>
    <s v="India"/>
    <s v="Gujarat"/>
    <s v="Ahmedabad"/>
    <x v="466"/>
    <x v="1"/>
    <s v="Furniture"/>
    <s v="Chair"/>
    <s v="Product_164"/>
    <x v="2"/>
    <x v="0"/>
    <s v="Cash"/>
    <s v="Critical"/>
    <n v="1"/>
    <n v="2705"/>
    <n v="5"/>
    <n v="2569.75"/>
    <n v="59.11"/>
    <x v="8"/>
  </r>
  <r>
    <s v="ORD00475"/>
    <x v="374"/>
    <d v="2023-08-26T00:00:00"/>
    <s v="South"/>
    <s v="India"/>
    <s v="Gujarat"/>
    <s v="Mumbai"/>
    <x v="467"/>
    <x v="2"/>
    <s v="Furniture"/>
    <s v="Chair"/>
    <s v="Product_62"/>
    <x v="3"/>
    <x v="0"/>
    <s v="Credit Card"/>
    <s v="Low"/>
    <n v="8"/>
    <n v="8351"/>
    <n v="20"/>
    <n v="53446.400000000001"/>
    <n v="-5357.41"/>
    <x v="8"/>
  </r>
  <r>
    <s v="ORD00476"/>
    <x v="375"/>
    <d v="2023-08-07T00:00:00"/>
    <s v="South"/>
    <s v="India"/>
    <s v="Maharashtra"/>
    <s v="Ahmedabad"/>
    <x v="468"/>
    <x v="0"/>
    <s v="Electronics"/>
    <s v="Storage"/>
    <s v="Product_39"/>
    <x v="5"/>
    <x v="1"/>
    <s v="UPI"/>
    <s v="Low"/>
    <n v="5"/>
    <n v="3157"/>
    <n v="10"/>
    <n v="14206.5"/>
    <n v="1155.99"/>
    <x v="8"/>
  </r>
  <r>
    <s v="ORD00477"/>
    <x v="113"/>
    <d v="2023-04-22T00:00:00"/>
    <s v="South"/>
    <s v="India"/>
    <s v="Delhi"/>
    <s v="Chennai"/>
    <x v="469"/>
    <x v="1"/>
    <s v="Furniture"/>
    <s v="Table"/>
    <s v="Product_28"/>
    <x v="5"/>
    <x v="1"/>
    <s v="Cash"/>
    <s v="Low"/>
    <n v="9"/>
    <n v="41895"/>
    <n v="0"/>
    <n v="377055"/>
    <n v="23982.71"/>
    <x v="6"/>
  </r>
  <r>
    <s v="ORD00478"/>
    <x v="310"/>
    <d v="2024-09-14T00:00:00"/>
    <s v="East"/>
    <s v="India"/>
    <s v="Delhi"/>
    <s v="Mumbai"/>
    <x v="470"/>
    <x v="0"/>
    <s v="Office Supplies"/>
    <s v="Storage"/>
    <s v="Product_116"/>
    <x v="4"/>
    <x v="1"/>
    <s v="UPI"/>
    <s v="Low"/>
    <n v="6"/>
    <n v="20327"/>
    <n v="0"/>
    <n v="121962"/>
    <n v="24160.31"/>
    <x v="7"/>
  </r>
  <r>
    <s v="ORD00479"/>
    <x v="47"/>
    <d v="2023-04-26T00:00:00"/>
    <s v="North"/>
    <s v="India"/>
    <s v="Karnataka"/>
    <s v="Ahmedabad"/>
    <x v="471"/>
    <x v="2"/>
    <s v="Furniture"/>
    <s v="Storage"/>
    <s v="Product_103"/>
    <x v="2"/>
    <x v="1"/>
    <s v="Debit Card"/>
    <s v="Medium"/>
    <n v="5"/>
    <n v="17504"/>
    <n v="20"/>
    <n v="70016"/>
    <n v="-524.41999999999996"/>
    <x v="6"/>
  </r>
  <r>
    <s v="ORD00480"/>
    <x v="376"/>
    <d v="2022-05-02T00:00:00"/>
    <s v="South"/>
    <s v="India"/>
    <s v="Maharashtra"/>
    <s v="Delhi"/>
    <x v="472"/>
    <x v="1"/>
    <s v="Office Supplies"/>
    <s v="Printer"/>
    <s v="Product_123"/>
    <x v="3"/>
    <x v="0"/>
    <s v="Cash"/>
    <s v="High"/>
    <n v="7"/>
    <n v="47748"/>
    <n v="10"/>
    <n v="300812.40000000002"/>
    <n v="51809.42"/>
    <x v="6"/>
  </r>
  <r>
    <s v="ORD00481"/>
    <x v="377"/>
    <d v="2023-07-29T00:00:00"/>
    <s v="East"/>
    <s v="India"/>
    <s v="Gujarat"/>
    <s v="Chennai"/>
    <x v="473"/>
    <x v="0"/>
    <s v="Electronics"/>
    <s v="Storage"/>
    <s v="Product_23"/>
    <x v="0"/>
    <x v="0"/>
    <s v="Cash"/>
    <s v="Low"/>
    <n v="6"/>
    <n v="16886"/>
    <n v="20"/>
    <n v="81052.800000000003"/>
    <n v="6792.07"/>
    <x v="11"/>
  </r>
  <r>
    <s v="ORD00482"/>
    <x v="378"/>
    <d v="2022-10-17T00:00:00"/>
    <s v="West"/>
    <s v="India"/>
    <s v="Karnataka"/>
    <s v="Bangalore"/>
    <x v="474"/>
    <x v="2"/>
    <s v="Electronics"/>
    <s v="Table"/>
    <s v="Product_35"/>
    <x v="0"/>
    <x v="1"/>
    <s v="Credit Card"/>
    <s v="Medium"/>
    <n v="8"/>
    <n v="29149"/>
    <n v="20"/>
    <n v="186553.60000000001"/>
    <n v="-13254.55"/>
    <x v="10"/>
  </r>
  <r>
    <s v="ORD00483"/>
    <x v="277"/>
    <d v="2023-12-21T00:00:00"/>
    <s v="East"/>
    <s v="India"/>
    <s v="Karnataka"/>
    <s v="Mumbai"/>
    <x v="475"/>
    <x v="0"/>
    <s v="Office Supplies"/>
    <s v="Storage"/>
    <s v="Product_92"/>
    <x v="1"/>
    <x v="1"/>
    <s v="Cash"/>
    <s v="Low"/>
    <n v="7"/>
    <n v="23991"/>
    <n v="5"/>
    <n v="159540.15"/>
    <n v="26798.42"/>
    <x v="9"/>
  </r>
  <r>
    <s v="ORD00484"/>
    <x v="379"/>
    <d v="2022-10-01T00:00:00"/>
    <s v="North"/>
    <s v="India"/>
    <s v="Gujarat"/>
    <s v="Bangalore"/>
    <x v="476"/>
    <x v="1"/>
    <s v="Electronics"/>
    <s v="Laptop"/>
    <s v="Product_103"/>
    <x v="3"/>
    <x v="1"/>
    <s v="Cash"/>
    <s v="Critical"/>
    <n v="1"/>
    <n v="36702"/>
    <n v="20"/>
    <n v="29361.599999999999"/>
    <n v="2160.0300000000002"/>
    <x v="7"/>
  </r>
  <r>
    <s v="ORD00485"/>
    <x v="101"/>
    <d v="2023-03-10T00:00:00"/>
    <s v="South"/>
    <s v="India"/>
    <s v="Maharashtra"/>
    <s v="Delhi"/>
    <x v="477"/>
    <x v="2"/>
    <s v="Office Supplies"/>
    <s v="Laptop"/>
    <s v="Product_93"/>
    <x v="3"/>
    <x v="0"/>
    <s v="UPI"/>
    <s v="High"/>
    <n v="8"/>
    <n v="19171"/>
    <n v="20"/>
    <n v="122694.39999999999"/>
    <n v="6518.37"/>
    <x v="0"/>
  </r>
  <r>
    <s v="ORD00486"/>
    <x v="317"/>
    <d v="2022-01-22T00:00:00"/>
    <s v="North"/>
    <s v="India"/>
    <s v="Gujarat"/>
    <s v="Ahmedabad"/>
    <x v="478"/>
    <x v="1"/>
    <s v="Electronics"/>
    <s v="Chair"/>
    <s v="Product_47"/>
    <x v="4"/>
    <x v="1"/>
    <s v="Credit Card"/>
    <s v="Medium"/>
    <n v="7"/>
    <n v="18143"/>
    <n v="10"/>
    <n v="114300.9"/>
    <n v="15885.8"/>
    <x v="1"/>
  </r>
  <r>
    <s v="ORD00487"/>
    <x v="380"/>
    <d v="2023-11-09T00:00:00"/>
    <s v="East"/>
    <s v="India"/>
    <s v="Maharashtra"/>
    <s v="Delhi"/>
    <x v="479"/>
    <x v="0"/>
    <s v="Furniture"/>
    <s v="Mobile"/>
    <s v="Product_3"/>
    <x v="1"/>
    <x v="1"/>
    <s v="Net Banking"/>
    <s v="Medium"/>
    <n v="1"/>
    <n v="3673"/>
    <n v="15"/>
    <n v="3122.05"/>
    <n v="-140.34"/>
    <x v="3"/>
  </r>
  <r>
    <s v="ORD00488"/>
    <x v="381"/>
    <d v="2023-09-19T00:00:00"/>
    <s v="West"/>
    <s v="India"/>
    <s v="Delhi"/>
    <s v="Delhi"/>
    <x v="480"/>
    <x v="0"/>
    <s v="Electronics"/>
    <s v="Mobile"/>
    <s v="Product_3"/>
    <x v="0"/>
    <x v="0"/>
    <s v="Credit Card"/>
    <s v="Medium"/>
    <n v="1"/>
    <n v="21229"/>
    <n v="10"/>
    <n v="19106.099999999999"/>
    <n v="3541.51"/>
    <x v="7"/>
  </r>
  <r>
    <s v="ORD00489"/>
    <x v="382"/>
    <d v="2024-06-13T00:00:00"/>
    <s v="East"/>
    <s v="India"/>
    <s v="Gujarat"/>
    <s v="Bangalore"/>
    <x v="481"/>
    <x v="1"/>
    <s v="Electronics"/>
    <s v="Storage"/>
    <s v="Product_36"/>
    <x v="0"/>
    <x v="0"/>
    <s v="UPI"/>
    <s v="Critical"/>
    <n v="7"/>
    <n v="21888"/>
    <n v="15"/>
    <n v="130233.60000000001"/>
    <n v="1446.95"/>
    <x v="2"/>
  </r>
  <r>
    <s v="ORD00490"/>
    <x v="204"/>
    <d v="2024-07-06T00:00:00"/>
    <s v="East"/>
    <s v="India"/>
    <s v="Tamil Nadu"/>
    <s v="Mumbai"/>
    <x v="482"/>
    <x v="0"/>
    <s v="Furniture"/>
    <s v="Table"/>
    <s v="Product_126"/>
    <x v="2"/>
    <x v="1"/>
    <s v="UPI"/>
    <s v="High"/>
    <n v="5"/>
    <n v="6679"/>
    <n v="0"/>
    <n v="33395"/>
    <n v="3615.08"/>
    <x v="2"/>
  </r>
  <r>
    <s v="ORD00491"/>
    <x v="240"/>
    <d v="2023-12-31T00:00:00"/>
    <s v="West"/>
    <s v="India"/>
    <s v="Maharashtra"/>
    <s v="Mumbai"/>
    <x v="483"/>
    <x v="1"/>
    <s v="Electronics"/>
    <s v="Laptop"/>
    <s v="Product_51"/>
    <x v="3"/>
    <x v="1"/>
    <s v="Cash"/>
    <s v="Low"/>
    <n v="4"/>
    <n v="31110"/>
    <n v="0"/>
    <n v="124440"/>
    <n v="27780.39"/>
    <x v="9"/>
  </r>
  <r>
    <s v="ORD00492"/>
    <x v="329"/>
    <d v="2024-05-24T00:00:00"/>
    <s v="South"/>
    <s v="India"/>
    <s v="Tamil Nadu"/>
    <s v="Chennai"/>
    <x v="484"/>
    <x v="2"/>
    <s v="Office Supplies"/>
    <s v="Table"/>
    <s v="Product_50"/>
    <x v="5"/>
    <x v="1"/>
    <s v="UPI"/>
    <s v="High"/>
    <n v="1"/>
    <n v="29936"/>
    <n v="10"/>
    <n v="26942.400000000001"/>
    <n v="836.28"/>
    <x v="4"/>
  </r>
  <r>
    <s v="ORD00493"/>
    <x v="383"/>
    <d v="2023-01-14T00:00:00"/>
    <s v="East"/>
    <s v="India"/>
    <s v="Delhi"/>
    <s v="Mumbai"/>
    <x v="485"/>
    <x v="1"/>
    <s v="Electronics"/>
    <s v="Printer"/>
    <s v="Product_199"/>
    <x v="1"/>
    <x v="0"/>
    <s v="Cash"/>
    <s v="Low"/>
    <n v="3"/>
    <n v="23662"/>
    <n v="20"/>
    <n v="56788.800000000003"/>
    <n v="4326.6499999999996"/>
    <x v="1"/>
  </r>
  <r>
    <s v="ORD00494"/>
    <x v="339"/>
    <d v="2024-01-22T00:00:00"/>
    <s v="West"/>
    <s v="India"/>
    <s v="Maharashtra"/>
    <s v="Delhi"/>
    <x v="486"/>
    <x v="0"/>
    <s v="Electronics"/>
    <s v="Printer"/>
    <s v="Product_165"/>
    <x v="5"/>
    <x v="1"/>
    <s v="Credit Card"/>
    <s v="High"/>
    <n v="1"/>
    <n v="3587"/>
    <n v="10"/>
    <n v="3228.3"/>
    <n v="357.7"/>
    <x v="1"/>
  </r>
  <r>
    <s v="ORD00495"/>
    <x v="384"/>
    <d v="2022-09-11T00:00:00"/>
    <s v="South"/>
    <s v="India"/>
    <s v="Delhi"/>
    <s v="Chennai"/>
    <x v="487"/>
    <x v="0"/>
    <s v="Electronics"/>
    <s v="Storage"/>
    <s v="Product_165"/>
    <x v="5"/>
    <x v="1"/>
    <s v="Cash"/>
    <s v="Critical"/>
    <n v="2"/>
    <n v="22411"/>
    <n v="5"/>
    <n v="42580.9"/>
    <n v="1445.98"/>
    <x v="7"/>
  </r>
  <r>
    <s v="ORD00496"/>
    <x v="257"/>
    <d v="2024-09-25T00:00:00"/>
    <s v="West"/>
    <s v="India"/>
    <s v="Delhi"/>
    <s v="Ahmedabad"/>
    <x v="488"/>
    <x v="2"/>
    <s v="Office Supplies"/>
    <s v="Chair"/>
    <s v="Product_139"/>
    <x v="2"/>
    <x v="1"/>
    <s v="Credit Card"/>
    <s v="Critical"/>
    <n v="3"/>
    <n v="25712"/>
    <n v="20"/>
    <n v="61708.800000000003"/>
    <n v="-1110.6099999999999"/>
    <x v="7"/>
  </r>
  <r>
    <s v="ORD00497"/>
    <x v="212"/>
    <d v="2024-06-12T00:00:00"/>
    <s v="North"/>
    <s v="India"/>
    <s v="Maharashtra"/>
    <s v="Ahmedabad"/>
    <x v="489"/>
    <x v="2"/>
    <s v="Electronics"/>
    <s v="Chair"/>
    <s v="Product_117"/>
    <x v="1"/>
    <x v="1"/>
    <s v="UPI"/>
    <s v="Medium"/>
    <n v="7"/>
    <n v="2352"/>
    <n v="15"/>
    <n v="13994.4"/>
    <n v="970.45"/>
    <x v="2"/>
  </r>
  <r>
    <s v="ORD00498"/>
    <x v="385"/>
    <d v="2024-08-26T00:00:00"/>
    <s v="North"/>
    <s v="India"/>
    <s v="Delhi"/>
    <s v="Mumbai"/>
    <x v="490"/>
    <x v="0"/>
    <s v="Electronics"/>
    <s v="Table"/>
    <s v="Product_93"/>
    <x v="3"/>
    <x v="0"/>
    <s v="Cash"/>
    <s v="High"/>
    <n v="9"/>
    <n v="45499"/>
    <n v="15"/>
    <n v="348067.35"/>
    <n v="-30990.720000000001"/>
    <x v="8"/>
  </r>
  <r>
    <s v="ORD00499"/>
    <x v="266"/>
    <d v="2022-08-10T00:00:00"/>
    <s v="North"/>
    <s v="India"/>
    <s v="Delhi"/>
    <s v="Chennai"/>
    <x v="491"/>
    <x v="2"/>
    <s v="Furniture"/>
    <s v="Table"/>
    <s v="Product_29"/>
    <x v="1"/>
    <x v="0"/>
    <s v="Debit Card"/>
    <s v="High"/>
    <n v="3"/>
    <n v="2744"/>
    <n v="0"/>
    <n v="8232"/>
    <n v="2196.86"/>
    <x v="8"/>
  </r>
  <r>
    <s v="ORD00500"/>
    <x v="386"/>
    <d v="2023-11-13T00:00:00"/>
    <s v="East"/>
    <s v="India"/>
    <s v="Karnataka"/>
    <s v="Chennai"/>
    <x v="492"/>
    <x v="2"/>
    <s v="Electronics"/>
    <s v="Chair"/>
    <s v="Product_192"/>
    <x v="5"/>
    <x v="0"/>
    <s v="UPI"/>
    <s v="Medium"/>
    <n v="9"/>
    <n v="33479"/>
    <n v="5"/>
    <n v="286245.45"/>
    <n v="33730.1"/>
    <x v="3"/>
  </r>
  <r>
    <s v="ORD00501"/>
    <x v="323"/>
    <d v="2023-02-18T00:00:00"/>
    <s v="North"/>
    <s v="India"/>
    <s v="Tamil Nadu"/>
    <s v="Ahmedabad"/>
    <x v="493"/>
    <x v="0"/>
    <s v="Furniture"/>
    <s v="Laptop"/>
    <s v="Product_17"/>
    <x v="3"/>
    <x v="0"/>
    <s v="Credit Card"/>
    <s v="Critical"/>
    <n v="2"/>
    <n v="23207"/>
    <n v="0"/>
    <n v="46414"/>
    <n v="11433.22"/>
    <x v="5"/>
  </r>
  <r>
    <s v="ORD00502"/>
    <x v="210"/>
    <d v="2022-02-26T00:00:00"/>
    <s v="North"/>
    <s v="India"/>
    <s v="Tamil Nadu"/>
    <s v="Ahmedabad"/>
    <x v="494"/>
    <x v="1"/>
    <s v="Electronics"/>
    <s v="Laptop"/>
    <s v="Product_127"/>
    <x v="3"/>
    <x v="1"/>
    <s v="UPI"/>
    <s v="Critical"/>
    <n v="9"/>
    <n v="19017"/>
    <n v="5"/>
    <n v="162595.35"/>
    <n v="31365.77"/>
    <x v="5"/>
  </r>
  <r>
    <s v="ORD00503"/>
    <x v="387"/>
    <d v="2024-07-24T00:00:00"/>
    <s v="West"/>
    <s v="India"/>
    <s v="Delhi"/>
    <s v="Mumbai"/>
    <x v="495"/>
    <x v="0"/>
    <s v="Office Supplies"/>
    <s v="Chair"/>
    <s v="Product_126"/>
    <x v="4"/>
    <x v="1"/>
    <s v="Credit Card"/>
    <s v="Medium"/>
    <n v="4"/>
    <n v="29015"/>
    <n v="20"/>
    <n v="92848"/>
    <n v="-4676.54"/>
    <x v="11"/>
  </r>
  <r>
    <s v="ORD00504"/>
    <x v="179"/>
    <d v="2024-01-15T00:00:00"/>
    <s v="East"/>
    <s v="India"/>
    <s v="Karnataka"/>
    <s v="Bangalore"/>
    <x v="496"/>
    <x v="1"/>
    <s v="Office Supplies"/>
    <s v="Laptop"/>
    <s v="Product_196"/>
    <x v="5"/>
    <x v="0"/>
    <s v="Debit Card"/>
    <s v="Medium"/>
    <n v="10"/>
    <n v="46266"/>
    <n v="10"/>
    <n v="416394"/>
    <n v="14544.46"/>
    <x v="1"/>
  </r>
  <r>
    <s v="ORD00505"/>
    <x v="388"/>
    <d v="2022-01-21T00:00:00"/>
    <s v="West"/>
    <s v="India"/>
    <s v="Tamil Nadu"/>
    <s v="Bangalore"/>
    <x v="497"/>
    <x v="1"/>
    <s v="Electronics"/>
    <s v="Mobile"/>
    <s v="Product_38"/>
    <x v="2"/>
    <x v="0"/>
    <s v="Net Banking"/>
    <s v="Medium"/>
    <n v="6"/>
    <n v="14998"/>
    <n v="20"/>
    <n v="71990.399999999994"/>
    <n v="-5710.64"/>
    <x v="1"/>
  </r>
  <r>
    <s v="ORD00506"/>
    <x v="389"/>
    <d v="2023-01-30T00:00:00"/>
    <s v="West"/>
    <s v="India"/>
    <s v="Maharashtra"/>
    <s v="Mumbai"/>
    <x v="498"/>
    <x v="1"/>
    <s v="Office Supplies"/>
    <s v="Mobile"/>
    <s v="Product_104"/>
    <x v="2"/>
    <x v="1"/>
    <s v="Debit Card"/>
    <s v="Medium"/>
    <n v="4"/>
    <n v="18075"/>
    <n v="15"/>
    <n v="61455"/>
    <n v="-1512.24"/>
    <x v="1"/>
  </r>
  <r>
    <s v="ORD00507"/>
    <x v="33"/>
    <d v="2023-08-17T00:00:00"/>
    <s v="North"/>
    <s v="India"/>
    <s v="Delhi"/>
    <s v="Mumbai"/>
    <x v="499"/>
    <x v="0"/>
    <s v="Electronics"/>
    <s v="Mobile"/>
    <s v="Product_98"/>
    <x v="1"/>
    <x v="0"/>
    <s v="Debit Card"/>
    <s v="Medium"/>
    <n v="8"/>
    <n v="34878"/>
    <n v="15"/>
    <n v="237170.4"/>
    <n v="31326.17"/>
    <x v="8"/>
  </r>
  <r>
    <s v="ORD00508"/>
    <x v="89"/>
    <d v="2022-10-12T00:00:00"/>
    <s v="West"/>
    <s v="India"/>
    <s v="Maharashtra"/>
    <s v="Delhi"/>
    <x v="500"/>
    <x v="2"/>
    <s v="Office Supplies"/>
    <s v="Printer"/>
    <s v="Product_19"/>
    <x v="0"/>
    <x v="0"/>
    <s v="Cash"/>
    <s v="High"/>
    <n v="10"/>
    <n v="43748"/>
    <n v="0"/>
    <n v="437480"/>
    <n v="125013.25"/>
    <x v="10"/>
  </r>
  <r>
    <s v="ORD00509"/>
    <x v="390"/>
    <d v="2022-03-27T00:00:00"/>
    <s v="South"/>
    <s v="India"/>
    <s v="Tamil Nadu"/>
    <s v="Bangalore"/>
    <x v="501"/>
    <x v="0"/>
    <s v="Office Supplies"/>
    <s v="Table"/>
    <s v="Product_103"/>
    <x v="2"/>
    <x v="0"/>
    <s v="Debit Card"/>
    <s v="High"/>
    <n v="2"/>
    <n v="15845"/>
    <n v="20"/>
    <n v="25352"/>
    <n v="1169.82"/>
    <x v="0"/>
  </r>
  <r>
    <s v="ORD00510"/>
    <x v="391"/>
    <d v="2024-08-02T00:00:00"/>
    <s v="North"/>
    <s v="India"/>
    <s v="Tamil Nadu"/>
    <s v="Ahmedabad"/>
    <x v="502"/>
    <x v="1"/>
    <s v="Furniture"/>
    <s v="Printer"/>
    <s v="Product_69"/>
    <x v="3"/>
    <x v="0"/>
    <s v="Net Banking"/>
    <s v="High"/>
    <n v="6"/>
    <n v="32294"/>
    <n v="15"/>
    <n v="164699.4"/>
    <n v="6327.42"/>
    <x v="11"/>
  </r>
  <r>
    <s v="ORD00511"/>
    <x v="291"/>
    <d v="2023-09-28T00:00:00"/>
    <s v="South"/>
    <s v="India"/>
    <s v="Gujarat"/>
    <s v="Bangalore"/>
    <x v="503"/>
    <x v="1"/>
    <s v="Office Supplies"/>
    <s v="Chair"/>
    <s v="Product_165"/>
    <x v="2"/>
    <x v="0"/>
    <s v="Credit Card"/>
    <s v="High"/>
    <n v="6"/>
    <n v="14870"/>
    <n v="5"/>
    <n v="84759"/>
    <n v="16937.97"/>
    <x v="7"/>
  </r>
  <r>
    <s v="ORD00512"/>
    <x v="392"/>
    <d v="2024-02-09T00:00:00"/>
    <s v="North"/>
    <s v="India"/>
    <s v="Delhi"/>
    <s v="Mumbai"/>
    <x v="504"/>
    <x v="1"/>
    <s v="Electronics"/>
    <s v="Chair"/>
    <s v="Product_163"/>
    <x v="4"/>
    <x v="0"/>
    <s v="Debit Card"/>
    <s v="Critical"/>
    <n v="10"/>
    <n v="37202"/>
    <n v="15"/>
    <n v="316217"/>
    <n v="26378.92"/>
    <x v="5"/>
  </r>
  <r>
    <s v="ORD00513"/>
    <x v="387"/>
    <d v="2024-07-29T00:00:00"/>
    <s v="North"/>
    <s v="India"/>
    <s v="Delhi"/>
    <s v="Ahmedabad"/>
    <x v="505"/>
    <x v="1"/>
    <s v="Furniture"/>
    <s v="Table"/>
    <s v="Product_119"/>
    <x v="1"/>
    <x v="0"/>
    <s v="Cash"/>
    <s v="Low"/>
    <n v="7"/>
    <n v="44095"/>
    <n v="20"/>
    <n v="246932"/>
    <n v="-38413.06"/>
    <x v="11"/>
  </r>
  <r>
    <s v="ORD00514"/>
    <x v="135"/>
    <d v="2024-06-28T00:00:00"/>
    <s v="South"/>
    <s v="India"/>
    <s v="Karnataka"/>
    <s v="Chennai"/>
    <x v="506"/>
    <x v="1"/>
    <s v="Furniture"/>
    <s v="Printer"/>
    <s v="Product_193"/>
    <x v="1"/>
    <x v="0"/>
    <s v="UPI"/>
    <s v="Critical"/>
    <n v="1"/>
    <n v="2760"/>
    <n v="5"/>
    <n v="2622"/>
    <n v="371.87"/>
    <x v="2"/>
  </r>
  <r>
    <s v="ORD00515"/>
    <x v="393"/>
    <d v="2024-03-12T00:00:00"/>
    <s v="South"/>
    <s v="India"/>
    <s v="Maharashtra"/>
    <s v="Chennai"/>
    <x v="507"/>
    <x v="2"/>
    <s v="Office Supplies"/>
    <s v="Table"/>
    <s v="Product_183"/>
    <x v="2"/>
    <x v="0"/>
    <s v="UPI"/>
    <s v="Medium"/>
    <n v="4"/>
    <n v="6118"/>
    <n v="0"/>
    <n v="24472"/>
    <n v="5041.97"/>
    <x v="0"/>
  </r>
  <r>
    <s v="ORD00516"/>
    <x v="394"/>
    <d v="2024-08-26T00:00:00"/>
    <s v="North"/>
    <s v="India"/>
    <s v="Gujarat"/>
    <s v="Ahmedabad"/>
    <x v="508"/>
    <x v="2"/>
    <s v="Office Supplies"/>
    <s v="Storage"/>
    <s v="Product_147"/>
    <x v="0"/>
    <x v="0"/>
    <s v="Net Banking"/>
    <s v="Critical"/>
    <n v="10"/>
    <n v="19986"/>
    <n v="5"/>
    <n v="189867"/>
    <n v="11278.88"/>
    <x v="8"/>
  </r>
  <r>
    <s v="ORD00517"/>
    <x v="63"/>
    <d v="2022-04-23T00:00:00"/>
    <s v="South"/>
    <s v="India"/>
    <s v="Maharashtra"/>
    <s v="Mumbai"/>
    <x v="509"/>
    <x v="2"/>
    <s v="Furniture"/>
    <s v="Laptop"/>
    <s v="Product_63"/>
    <x v="2"/>
    <x v="1"/>
    <s v="Credit Card"/>
    <s v="Medium"/>
    <n v="6"/>
    <n v="4646"/>
    <n v="15"/>
    <n v="23694.6"/>
    <n v="-2034.89"/>
    <x v="6"/>
  </r>
  <r>
    <s v="ORD00518"/>
    <x v="395"/>
    <d v="2023-10-19T00:00:00"/>
    <s v="South"/>
    <s v="India"/>
    <s v="Tamil Nadu"/>
    <s v="Chennai"/>
    <x v="260"/>
    <x v="0"/>
    <s v="Furniture"/>
    <s v="Laptop"/>
    <s v="Product_21"/>
    <x v="2"/>
    <x v="1"/>
    <s v="Net Banking"/>
    <s v="Critical"/>
    <n v="3"/>
    <n v="5050"/>
    <n v="20"/>
    <n v="12120"/>
    <n v="-2257.77"/>
    <x v="10"/>
  </r>
  <r>
    <s v="ORD00519"/>
    <x v="396"/>
    <d v="2022-03-13T00:00:00"/>
    <s v="West"/>
    <s v="India"/>
    <s v="Maharashtra"/>
    <s v="Delhi"/>
    <x v="510"/>
    <x v="2"/>
    <s v="Furniture"/>
    <s v="Table"/>
    <s v="Product_66"/>
    <x v="5"/>
    <x v="0"/>
    <s v="Credit Card"/>
    <s v="Medium"/>
    <n v="5"/>
    <n v="27956"/>
    <n v="0"/>
    <n v="139780"/>
    <n v="12542.38"/>
    <x v="0"/>
  </r>
  <r>
    <s v="ORD00520"/>
    <x v="397"/>
    <d v="2024-09-24T00:00:00"/>
    <s v="North"/>
    <s v="India"/>
    <s v="Karnataka"/>
    <s v="Mumbai"/>
    <x v="511"/>
    <x v="1"/>
    <s v="Office Supplies"/>
    <s v="Mobile"/>
    <s v="Product_73"/>
    <x v="1"/>
    <x v="1"/>
    <s v="Debit Card"/>
    <s v="Medium"/>
    <n v="6"/>
    <n v="49426"/>
    <n v="10"/>
    <n v="266900.40000000002"/>
    <n v="-12686.65"/>
    <x v="7"/>
  </r>
  <r>
    <s v="ORD00521"/>
    <x v="256"/>
    <d v="2022-03-05T00:00:00"/>
    <s v="West"/>
    <s v="India"/>
    <s v="Maharashtra"/>
    <s v="Mumbai"/>
    <x v="512"/>
    <x v="0"/>
    <s v="Electronics"/>
    <s v="Chair"/>
    <s v="Product_114"/>
    <x v="1"/>
    <x v="1"/>
    <s v="Credit Card"/>
    <s v="High"/>
    <n v="10"/>
    <n v="24590"/>
    <n v="5"/>
    <n v="233605"/>
    <n v="57687.32"/>
    <x v="5"/>
  </r>
  <r>
    <s v="ORD00522"/>
    <x v="398"/>
    <d v="2022-07-18T00:00:00"/>
    <s v="South"/>
    <s v="India"/>
    <s v="Maharashtra"/>
    <s v="Chennai"/>
    <x v="513"/>
    <x v="2"/>
    <s v="Electronics"/>
    <s v="Mobile"/>
    <s v="Product_146"/>
    <x v="0"/>
    <x v="0"/>
    <s v="UPI"/>
    <s v="Low"/>
    <n v="8"/>
    <n v="39214"/>
    <n v="10"/>
    <n v="282340.8"/>
    <n v="23676.9"/>
    <x v="11"/>
  </r>
  <r>
    <s v="ORD00523"/>
    <x v="399"/>
    <d v="2024-05-20T00:00:00"/>
    <s v="South"/>
    <s v="India"/>
    <s v="Karnataka"/>
    <s v="Ahmedabad"/>
    <x v="514"/>
    <x v="1"/>
    <s v="Furniture"/>
    <s v="Chair"/>
    <s v="Product_71"/>
    <x v="4"/>
    <x v="0"/>
    <s v="Debit Card"/>
    <s v="Medium"/>
    <n v="5"/>
    <n v="45633"/>
    <n v="0"/>
    <n v="228165"/>
    <n v="30227.94"/>
    <x v="4"/>
  </r>
  <r>
    <s v="ORD00524"/>
    <x v="400"/>
    <d v="2022-03-07T00:00:00"/>
    <s v="North"/>
    <s v="India"/>
    <s v="Tamil Nadu"/>
    <s v="Bangalore"/>
    <x v="515"/>
    <x v="1"/>
    <s v="Furniture"/>
    <s v="Storage"/>
    <s v="Product_31"/>
    <x v="1"/>
    <x v="1"/>
    <s v="UPI"/>
    <s v="High"/>
    <n v="5"/>
    <n v="8184"/>
    <n v="0"/>
    <n v="40920"/>
    <n v="9552.08"/>
    <x v="0"/>
  </r>
  <r>
    <s v="ORD00525"/>
    <x v="401"/>
    <d v="2023-04-18T00:00:00"/>
    <s v="West"/>
    <s v="India"/>
    <s v="Gujarat"/>
    <s v="Delhi"/>
    <x v="516"/>
    <x v="0"/>
    <s v="Furniture"/>
    <s v="Printer"/>
    <s v="Product_184"/>
    <x v="4"/>
    <x v="1"/>
    <s v="Debit Card"/>
    <s v="Medium"/>
    <n v="1"/>
    <n v="17345"/>
    <n v="0"/>
    <n v="17345"/>
    <n v="1710.57"/>
    <x v="6"/>
  </r>
  <r>
    <s v="ORD00526"/>
    <x v="402"/>
    <d v="2023-12-05T00:00:00"/>
    <s v="North"/>
    <s v="India"/>
    <s v="Tamil Nadu"/>
    <s v="Chennai"/>
    <x v="517"/>
    <x v="1"/>
    <s v="Furniture"/>
    <s v="Mobile"/>
    <s v="Product_173"/>
    <x v="3"/>
    <x v="1"/>
    <s v="Cash"/>
    <s v="Low"/>
    <n v="3"/>
    <n v="41284"/>
    <n v="20"/>
    <n v="99081.600000000006"/>
    <n v="-3713.72"/>
    <x v="3"/>
  </r>
  <r>
    <s v="ORD00527"/>
    <x v="35"/>
    <d v="2022-10-06T00:00:00"/>
    <s v="East"/>
    <s v="India"/>
    <s v="Karnataka"/>
    <s v="Ahmedabad"/>
    <x v="518"/>
    <x v="2"/>
    <s v="Office Supplies"/>
    <s v="Laptop"/>
    <s v="Product_194"/>
    <x v="4"/>
    <x v="1"/>
    <s v="Debit Card"/>
    <s v="Critical"/>
    <n v="6"/>
    <n v="34214"/>
    <n v="15"/>
    <n v="174491.4"/>
    <n v="23874.09"/>
    <x v="7"/>
  </r>
  <r>
    <s v="ORD00528"/>
    <x v="403"/>
    <d v="2023-03-27T00:00:00"/>
    <s v="North"/>
    <s v="India"/>
    <s v="Tamil Nadu"/>
    <s v="Ahmedabad"/>
    <x v="519"/>
    <x v="0"/>
    <s v="Furniture"/>
    <s v="Table"/>
    <s v="Product_141"/>
    <x v="4"/>
    <x v="0"/>
    <s v="Debit Card"/>
    <s v="Medium"/>
    <n v="8"/>
    <n v="43540"/>
    <n v="10"/>
    <n v="313488"/>
    <n v="64735.519999999997"/>
    <x v="0"/>
  </r>
  <r>
    <s v="ORD00529"/>
    <x v="228"/>
    <d v="2024-06-06T00:00:00"/>
    <s v="North"/>
    <s v="India"/>
    <s v="Tamil Nadu"/>
    <s v="Bangalore"/>
    <x v="520"/>
    <x v="2"/>
    <s v="Office Supplies"/>
    <s v="Laptop"/>
    <s v="Product_74"/>
    <x v="2"/>
    <x v="0"/>
    <s v="Net Banking"/>
    <s v="Medium"/>
    <n v="10"/>
    <n v="8065"/>
    <n v="15"/>
    <n v="68552.5"/>
    <n v="8076.76"/>
    <x v="2"/>
  </r>
  <r>
    <s v="ORD00530"/>
    <x v="404"/>
    <d v="2022-06-11T00:00:00"/>
    <s v="East"/>
    <s v="India"/>
    <s v="Tamil Nadu"/>
    <s v="Mumbai"/>
    <x v="521"/>
    <x v="2"/>
    <s v="Furniture"/>
    <s v="Storage"/>
    <s v="Product_176"/>
    <x v="5"/>
    <x v="0"/>
    <s v="UPI"/>
    <s v="Low"/>
    <n v="8"/>
    <n v="11214"/>
    <n v="10"/>
    <n v="80740.800000000003"/>
    <n v="-3148.64"/>
    <x v="2"/>
  </r>
  <r>
    <s v="ORD00531"/>
    <x v="405"/>
    <d v="2022-07-31T00:00:00"/>
    <s v="East"/>
    <s v="India"/>
    <s v="Gujarat"/>
    <s v="Ahmedabad"/>
    <x v="522"/>
    <x v="0"/>
    <s v="Furniture"/>
    <s v="Storage"/>
    <s v="Product_157"/>
    <x v="2"/>
    <x v="0"/>
    <s v="Cash"/>
    <s v="High"/>
    <n v="9"/>
    <n v="45582"/>
    <n v="5"/>
    <n v="389726.1"/>
    <n v="46579.86"/>
    <x v="11"/>
  </r>
  <r>
    <s v="ORD00532"/>
    <x v="406"/>
    <d v="2022-02-06T00:00:00"/>
    <s v="West"/>
    <s v="India"/>
    <s v="Karnataka"/>
    <s v="Bangalore"/>
    <x v="523"/>
    <x v="1"/>
    <s v="Electronics"/>
    <s v="Chair"/>
    <s v="Product_95"/>
    <x v="4"/>
    <x v="0"/>
    <s v="Debit Card"/>
    <s v="High"/>
    <n v="4"/>
    <n v="48300"/>
    <n v="10"/>
    <n v="173880"/>
    <n v="13196.71"/>
    <x v="1"/>
  </r>
  <r>
    <s v="ORD00533"/>
    <x v="407"/>
    <d v="2022-11-09T00:00:00"/>
    <s v="North"/>
    <s v="India"/>
    <s v="Delhi"/>
    <s v="Ahmedabad"/>
    <x v="524"/>
    <x v="0"/>
    <s v="Office Supplies"/>
    <s v="Table"/>
    <s v="Product_153"/>
    <x v="3"/>
    <x v="0"/>
    <s v="UPI"/>
    <s v="Critical"/>
    <n v="4"/>
    <n v="10362"/>
    <n v="15"/>
    <n v="35230.800000000003"/>
    <n v="1222.8900000000001"/>
    <x v="3"/>
  </r>
  <r>
    <s v="ORD00534"/>
    <x v="408"/>
    <d v="2022-04-13T00:00:00"/>
    <s v="West"/>
    <s v="India"/>
    <s v="Delhi"/>
    <s v="Delhi"/>
    <x v="525"/>
    <x v="0"/>
    <s v="Electronics"/>
    <s v="Table"/>
    <s v="Product_199"/>
    <x v="4"/>
    <x v="0"/>
    <s v="Cash"/>
    <s v="Low"/>
    <n v="2"/>
    <n v="27739"/>
    <n v="20"/>
    <n v="44382.400000000001"/>
    <n v="-8045.57"/>
    <x v="6"/>
  </r>
  <r>
    <s v="ORD00535"/>
    <x v="172"/>
    <d v="2024-01-30T00:00:00"/>
    <s v="North"/>
    <s v="India"/>
    <s v="Tamil Nadu"/>
    <s v="Mumbai"/>
    <x v="526"/>
    <x v="1"/>
    <s v="Furniture"/>
    <s v="Storage"/>
    <s v="Product_122"/>
    <x v="3"/>
    <x v="1"/>
    <s v="Debit Card"/>
    <s v="High"/>
    <n v="5"/>
    <n v="40424"/>
    <n v="0"/>
    <n v="202120"/>
    <n v="47663.32"/>
    <x v="1"/>
  </r>
  <r>
    <s v="ORD00536"/>
    <x v="409"/>
    <d v="2024-07-15T00:00:00"/>
    <s v="South"/>
    <s v="India"/>
    <s v="Delhi"/>
    <s v="Chennai"/>
    <x v="527"/>
    <x v="0"/>
    <s v="Electronics"/>
    <s v="Storage"/>
    <s v="Product_26"/>
    <x v="0"/>
    <x v="1"/>
    <s v="Net Banking"/>
    <s v="High"/>
    <n v="4"/>
    <n v="23387"/>
    <n v="5"/>
    <n v="88870.6"/>
    <n v="14561.8"/>
    <x v="11"/>
  </r>
  <r>
    <s v="ORD00537"/>
    <x v="354"/>
    <d v="2024-05-05T00:00:00"/>
    <s v="East"/>
    <s v="India"/>
    <s v="Gujarat"/>
    <s v="Mumbai"/>
    <x v="304"/>
    <x v="0"/>
    <s v="Furniture"/>
    <s v="Laptop"/>
    <s v="Product_44"/>
    <x v="0"/>
    <x v="1"/>
    <s v="Cash"/>
    <s v="Medium"/>
    <n v="4"/>
    <n v="26836"/>
    <n v="5"/>
    <n v="101976.8"/>
    <n v="24414.61"/>
    <x v="4"/>
  </r>
  <r>
    <s v="ORD00538"/>
    <x v="184"/>
    <d v="2022-09-16T00:00:00"/>
    <s v="South"/>
    <s v="India"/>
    <s v="Maharashtra"/>
    <s v="Bangalore"/>
    <x v="528"/>
    <x v="1"/>
    <s v="Electronics"/>
    <s v="Mobile"/>
    <s v="Product_159"/>
    <x v="3"/>
    <x v="0"/>
    <s v="Net Banking"/>
    <s v="Low"/>
    <n v="10"/>
    <n v="22469"/>
    <n v="0"/>
    <n v="224690"/>
    <n v="62063.12"/>
    <x v="7"/>
  </r>
  <r>
    <s v="ORD00539"/>
    <x v="410"/>
    <d v="2024-01-14T00:00:00"/>
    <s v="North"/>
    <s v="India"/>
    <s v="Gujarat"/>
    <s v="Ahmedabad"/>
    <x v="529"/>
    <x v="2"/>
    <s v="Furniture"/>
    <s v="Chair"/>
    <s v="Product_37"/>
    <x v="0"/>
    <x v="0"/>
    <s v="Debit Card"/>
    <s v="Low"/>
    <n v="4"/>
    <n v="13762"/>
    <n v="5"/>
    <n v="52295.6"/>
    <n v="10121.5"/>
    <x v="1"/>
  </r>
  <r>
    <s v="ORD00540"/>
    <x v="32"/>
    <d v="2024-03-13T00:00:00"/>
    <s v="West"/>
    <s v="India"/>
    <s v="Karnataka"/>
    <s v="Mumbai"/>
    <x v="530"/>
    <x v="2"/>
    <s v="Office Supplies"/>
    <s v="Table"/>
    <s v="Product_153"/>
    <x v="1"/>
    <x v="1"/>
    <s v="Cash"/>
    <s v="Critical"/>
    <n v="2"/>
    <n v="21518"/>
    <n v="0"/>
    <n v="43036"/>
    <n v="8740.75"/>
    <x v="0"/>
  </r>
  <r>
    <s v="ORD00541"/>
    <x v="411"/>
    <d v="2024-06-19T00:00:00"/>
    <s v="South"/>
    <s v="India"/>
    <s v="Tamil Nadu"/>
    <s v="Delhi"/>
    <x v="531"/>
    <x v="1"/>
    <s v="Office Supplies"/>
    <s v="Storage"/>
    <s v="Product_174"/>
    <x v="4"/>
    <x v="0"/>
    <s v="Net Banking"/>
    <s v="Critical"/>
    <n v="1"/>
    <n v="44402"/>
    <n v="15"/>
    <n v="37741.699999999997"/>
    <n v="2802.79"/>
    <x v="2"/>
  </r>
  <r>
    <s v="ORD00542"/>
    <x v="195"/>
    <d v="2022-08-12T00:00:00"/>
    <s v="South"/>
    <s v="India"/>
    <s v="Maharashtra"/>
    <s v="Bangalore"/>
    <x v="532"/>
    <x v="1"/>
    <s v="Office Supplies"/>
    <s v="Storage"/>
    <s v="Product_84"/>
    <x v="2"/>
    <x v="0"/>
    <s v="Cash"/>
    <s v="High"/>
    <n v="10"/>
    <n v="18814"/>
    <n v="20"/>
    <n v="150512"/>
    <n v="-14159.14"/>
    <x v="8"/>
  </r>
  <r>
    <s v="ORD00543"/>
    <x v="213"/>
    <d v="2022-08-09T00:00:00"/>
    <s v="East"/>
    <s v="India"/>
    <s v="Tamil Nadu"/>
    <s v="Chennai"/>
    <x v="360"/>
    <x v="0"/>
    <s v="Office Supplies"/>
    <s v="Table"/>
    <s v="Product_157"/>
    <x v="3"/>
    <x v="1"/>
    <s v="Debit Card"/>
    <s v="Critical"/>
    <n v="5"/>
    <n v="14028"/>
    <n v="20"/>
    <n v="56112"/>
    <n v="4579.3"/>
    <x v="8"/>
  </r>
  <r>
    <s v="ORD00544"/>
    <x v="376"/>
    <d v="2022-04-28T00:00:00"/>
    <s v="South"/>
    <s v="India"/>
    <s v="Karnataka"/>
    <s v="Ahmedabad"/>
    <x v="533"/>
    <x v="0"/>
    <s v="Furniture"/>
    <s v="Printer"/>
    <s v="Product_50"/>
    <x v="1"/>
    <x v="0"/>
    <s v="UPI"/>
    <s v="Critical"/>
    <n v="4"/>
    <n v="9172"/>
    <n v="15"/>
    <n v="31184.799999999999"/>
    <n v="4616.37"/>
    <x v="6"/>
  </r>
  <r>
    <s v="ORD00545"/>
    <x v="412"/>
    <d v="2023-10-10T00:00:00"/>
    <s v="West"/>
    <s v="India"/>
    <s v="Tamil Nadu"/>
    <s v="Mumbai"/>
    <x v="534"/>
    <x v="1"/>
    <s v="Furniture"/>
    <s v="Laptop"/>
    <s v="Product_15"/>
    <x v="0"/>
    <x v="1"/>
    <s v="Credit Card"/>
    <s v="Medium"/>
    <n v="8"/>
    <n v="10342"/>
    <n v="10"/>
    <n v="74462.399999999994"/>
    <n v="9527.07"/>
    <x v="10"/>
  </r>
  <r>
    <s v="ORD00546"/>
    <x v="413"/>
    <d v="2023-01-05T00:00:00"/>
    <s v="North"/>
    <s v="India"/>
    <s v="Maharashtra"/>
    <s v="Ahmedabad"/>
    <x v="535"/>
    <x v="0"/>
    <s v="Electronics"/>
    <s v="Storage"/>
    <s v="Product_107"/>
    <x v="5"/>
    <x v="0"/>
    <s v="Debit Card"/>
    <s v="Low"/>
    <n v="5"/>
    <n v="32552"/>
    <n v="20"/>
    <n v="130208"/>
    <n v="-66.489999999999995"/>
    <x v="9"/>
  </r>
  <r>
    <s v="ORD00547"/>
    <x v="414"/>
    <d v="2023-05-24T00:00:00"/>
    <s v="North"/>
    <s v="India"/>
    <s v="Delhi"/>
    <s v="Chennai"/>
    <x v="335"/>
    <x v="1"/>
    <s v="Furniture"/>
    <s v="Storage"/>
    <s v="Product_70"/>
    <x v="1"/>
    <x v="1"/>
    <s v="Cash"/>
    <s v="Low"/>
    <n v="4"/>
    <n v="17586"/>
    <n v="15"/>
    <n v="59792.4"/>
    <n v="9850.4"/>
    <x v="4"/>
  </r>
  <r>
    <s v="ORD00548"/>
    <x v="415"/>
    <d v="2022-06-21T00:00:00"/>
    <s v="North"/>
    <s v="India"/>
    <s v="Maharashtra"/>
    <s v="Ahmedabad"/>
    <x v="536"/>
    <x v="0"/>
    <s v="Furniture"/>
    <s v="Chair"/>
    <s v="Product_77"/>
    <x v="3"/>
    <x v="1"/>
    <s v="Credit Card"/>
    <s v="Medium"/>
    <n v="5"/>
    <n v="43474"/>
    <n v="15"/>
    <n v="184764.5"/>
    <n v="3161.55"/>
    <x v="2"/>
  </r>
  <r>
    <s v="ORD00549"/>
    <x v="385"/>
    <d v="2024-08-23T00:00:00"/>
    <s v="West"/>
    <s v="India"/>
    <s v="Gujarat"/>
    <s v="Ahmedabad"/>
    <x v="537"/>
    <x v="1"/>
    <s v="Electronics"/>
    <s v="Storage"/>
    <s v="Product_30"/>
    <x v="3"/>
    <x v="1"/>
    <s v="Cash"/>
    <s v="High"/>
    <n v="6"/>
    <n v="2527"/>
    <n v="5"/>
    <n v="14403.9"/>
    <n v="1452.43"/>
    <x v="8"/>
  </r>
  <r>
    <s v="ORD00550"/>
    <x v="1"/>
    <d v="2024-03-08T00:00:00"/>
    <s v="East"/>
    <s v="India"/>
    <s v="Maharashtra"/>
    <s v="Mumbai"/>
    <x v="538"/>
    <x v="2"/>
    <s v="Electronics"/>
    <s v="Storage"/>
    <s v="Product_162"/>
    <x v="3"/>
    <x v="0"/>
    <s v="Net Banking"/>
    <s v="Medium"/>
    <n v="6"/>
    <n v="3671"/>
    <n v="0"/>
    <n v="22026"/>
    <n v="3563.29"/>
    <x v="0"/>
  </r>
  <r>
    <s v="ORD00551"/>
    <x v="314"/>
    <d v="2024-07-30T00:00:00"/>
    <s v="South"/>
    <s v="India"/>
    <s v="Gujarat"/>
    <s v="Mumbai"/>
    <x v="539"/>
    <x v="2"/>
    <s v="Furniture"/>
    <s v="Mobile"/>
    <s v="Product_43"/>
    <x v="1"/>
    <x v="0"/>
    <s v="Net Banking"/>
    <s v="High"/>
    <n v="2"/>
    <n v="5015"/>
    <n v="10"/>
    <n v="9027"/>
    <n v="1968.19"/>
    <x v="11"/>
  </r>
  <r>
    <s v="ORD00552"/>
    <x v="416"/>
    <d v="2022-01-09T00:00:00"/>
    <s v="West"/>
    <s v="India"/>
    <s v="Gujarat"/>
    <s v="Ahmedabad"/>
    <x v="540"/>
    <x v="2"/>
    <s v="Electronics"/>
    <s v="Printer"/>
    <s v="Product_184"/>
    <x v="0"/>
    <x v="0"/>
    <s v="Debit Card"/>
    <s v="Medium"/>
    <n v="10"/>
    <n v="49613"/>
    <n v="0"/>
    <n v="496130"/>
    <n v="54803.47"/>
    <x v="1"/>
  </r>
  <r>
    <s v="ORD00553"/>
    <x v="201"/>
    <d v="2022-09-05T00:00:00"/>
    <s v="East"/>
    <s v="India"/>
    <s v="Maharashtra"/>
    <s v="Mumbai"/>
    <x v="541"/>
    <x v="1"/>
    <s v="Furniture"/>
    <s v="Mobile"/>
    <s v="Product_186"/>
    <x v="1"/>
    <x v="0"/>
    <s v="Cash"/>
    <s v="Critical"/>
    <n v="1"/>
    <n v="3130"/>
    <n v="15"/>
    <n v="2660.5"/>
    <n v="-261.12"/>
    <x v="8"/>
  </r>
  <r>
    <s v="ORD00554"/>
    <x v="417"/>
    <d v="2022-10-28T00:00:00"/>
    <s v="South"/>
    <s v="India"/>
    <s v="Maharashtra"/>
    <s v="Ahmedabad"/>
    <x v="542"/>
    <x v="0"/>
    <s v="Office Supplies"/>
    <s v="Storage"/>
    <s v="Product_35"/>
    <x v="3"/>
    <x v="1"/>
    <s v="Credit Card"/>
    <s v="Critical"/>
    <n v="10"/>
    <n v="19969"/>
    <n v="10"/>
    <n v="179721"/>
    <n v="-5277.93"/>
    <x v="10"/>
  </r>
  <r>
    <s v="ORD00555"/>
    <x v="201"/>
    <d v="2022-08-31T00:00:00"/>
    <s v="South"/>
    <s v="India"/>
    <s v="Maharashtra"/>
    <s v="Mumbai"/>
    <x v="543"/>
    <x v="0"/>
    <s v="Office Supplies"/>
    <s v="Chair"/>
    <s v="Product_134"/>
    <x v="0"/>
    <x v="1"/>
    <s v="UPI"/>
    <s v="Low"/>
    <n v="9"/>
    <n v="10300"/>
    <n v="0"/>
    <n v="92700"/>
    <n v="10640.25"/>
    <x v="8"/>
  </r>
  <r>
    <s v="ORD00556"/>
    <x v="104"/>
    <d v="2023-09-06T00:00:00"/>
    <s v="North"/>
    <s v="India"/>
    <s v="Karnataka"/>
    <s v="Chennai"/>
    <x v="544"/>
    <x v="1"/>
    <s v="Furniture"/>
    <s v="Chair"/>
    <s v="Product_156"/>
    <x v="2"/>
    <x v="1"/>
    <s v="UPI"/>
    <s v="High"/>
    <n v="3"/>
    <n v="48879"/>
    <n v="15"/>
    <n v="124641.45"/>
    <n v="20311.72"/>
    <x v="7"/>
  </r>
  <r>
    <s v="ORD00557"/>
    <x v="239"/>
    <d v="2023-03-15T00:00:00"/>
    <s v="South"/>
    <s v="India"/>
    <s v="Maharashtra"/>
    <s v="Mumbai"/>
    <x v="419"/>
    <x v="2"/>
    <s v="Electronics"/>
    <s v="Table"/>
    <s v="Product_183"/>
    <x v="0"/>
    <x v="0"/>
    <s v="Debit Card"/>
    <s v="High"/>
    <n v="1"/>
    <n v="33993"/>
    <n v="0"/>
    <n v="33993"/>
    <n v="6963.85"/>
    <x v="0"/>
  </r>
  <r>
    <s v="ORD00558"/>
    <x v="320"/>
    <d v="2023-10-24T00:00:00"/>
    <s v="East"/>
    <s v="India"/>
    <s v="Gujarat"/>
    <s v="Bangalore"/>
    <x v="545"/>
    <x v="2"/>
    <s v="Office Supplies"/>
    <s v="Mobile"/>
    <s v="Product_120"/>
    <x v="0"/>
    <x v="0"/>
    <s v="Credit Card"/>
    <s v="Medium"/>
    <n v="5"/>
    <n v="28175"/>
    <n v="15"/>
    <n v="119743.75"/>
    <n v="18243.310000000001"/>
    <x v="10"/>
  </r>
  <r>
    <s v="ORD00559"/>
    <x v="418"/>
    <d v="2023-07-13T00:00:00"/>
    <s v="North"/>
    <s v="India"/>
    <s v="Karnataka"/>
    <s v="Chennai"/>
    <x v="209"/>
    <x v="2"/>
    <s v="Furniture"/>
    <s v="Table"/>
    <s v="Product_169"/>
    <x v="4"/>
    <x v="1"/>
    <s v="Credit Card"/>
    <s v="Critical"/>
    <n v="3"/>
    <n v="11442"/>
    <n v="5"/>
    <n v="32609.7"/>
    <n v="7865.49"/>
    <x v="11"/>
  </r>
  <r>
    <s v="ORD00560"/>
    <x v="56"/>
    <d v="2022-12-04T00:00:00"/>
    <s v="West"/>
    <s v="India"/>
    <s v="Tamil Nadu"/>
    <s v="Delhi"/>
    <x v="546"/>
    <x v="1"/>
    <s v="Office Supplies"/>
    <s v="Printer"/>
    <s v="Product_45"/>
    <x v="5"/>
    <x v="1"/>
    <s v="Debit Card"/>
    <s v="Critical"/>
    <n v="3"/>
    <n v="45174"/>
    <n v="5"/>
    <n v="128745.9"/>
    <n v="4624.1400000000003"/>
    <x v="9"/>
  </r>
  <r>
    <s v="ORD00561"/>
    <x v="419"/>
    <d v="2022-02-06T00:00:00"/>
    <s v="South"/>
    <s v="India"/>
    <s v="Maharashtra"/>
    <s v="Mumbai"/>
    <x v="547"/>
    <x v="2"/>
    <s v="Electronics"/>
    <s v="Mobile"/>
    <s v="Product_189"/>
    <x v="4"/>
    <x v="1"/>
    <s v="Cash"/>
    <s v="Low"/>
    <n v="2"/>
    <n v="40790"/>
    <n v="0"/>
    <n v="81580"/>
    <n v="12280.62"/>
    <x v="5"/>
  </r>
  <r>
    <s v="ORD00562"/>
    <x v="420"/>
    <d v="2023-02-15T00:00:00"/>
    <s v="West"/>
    <s v="India"/>
    <s v="Delhi"/>
    <s v="Chennai"/>
    <x v="548"/>
    <x v="1"/>
    <s v="Office Supplies"/>
    <s v="Printer"/>
    <s v="Product_29"/>
    <x v="2"/>
    <x v="0"/>
    <s v="UPI"/>
    <s v="Critical"/>
    <n v="1"/>
    <n v="31855"/>
    <n v="5"/>
    <n v="30262.25"/>
    <n v="4812.18"/>
    <x v="5"/>
  </r>
  <r>
    <s v="ORD00563"/>
    <x v="46"/>
    <d v="2024-08-05T00:00:00"/>
    <s v="West"/>
    <s v="India"/>
    <s v="Maharashtra"/>
    <s v="Chennai"/>
    <x v="549"/>
    <x v="2"/>
    <s v="Office Supplies"/>
    <s v="Laptop"/>
    <s v="Product_77"/>
    <x v="3"/>
    <x v="0"/>
    <s v="Credit Card"/>
    <s v="Low"/>
    <n v="6"/>
    <n v="10290"/>
    <n v="20"/>
    <n v="49392"/>
    <n v="133.85"/>
    <x v="11"/>
  </r>
  <r>
    <s v="ORD00564"/>
    <x v="421"/>
    <d v="2023-01-22T00:00:00"/>
    <s v="North"/>
    <s v="India"/>
    <s v="Maharashtra"/>
    <s v="Ahmedabad"/>
    <x v="550"/>
    <x v="2"/>
    <s v="Electronics"/>
    <s v="Mobile"/>
    <s v="Product_41"/>
    <x v="5"/>
    <x v="1"/>
    <s v="Credit Card"/>
    <s v="High"/>
    <n v="2"/>
    <n v="4286"/>
    <n v="5"/>
    <n v="8143.4"/>
    <n v="829.17"/>
    <x v="1"/>
  </r>
  <r>
    <s v="ORD00565"/>
    <x v="422"/>
    <d v="2023-09-11T00:00:00"/>
    <s v="South"/>
    <s v="India"/>
    <s v="Gujarat"/>
    <s v="Delhi"/>
    <x v="551"/>
    <x v="1"/>
    <s v="Electronics"/>
    <s v="Mobile"/>
    <s v="Product_186"/>
    <x v="3"/>
    <x v="0"/>
    <s v="Debit Card"/>
    <s v="High"/>
    <n v="9"/>
    <n v="18677"/>
    <n v="0"/>
    <n v="168093"/>
    <n v="43860.49"/>
    <x v="7"/>
  </r>
  <r>
    <s v="ORD00566"/>
    <x v="423"/>
    <d v="2023-06-16T00:00:00"/>
    <s v="South"/>
    <s v="India"/>
    <s v="Maharashtra"/>
    <s v="Ahmedabad"/>
    <x v="552"/>
    <x v="0"/>
    <s v="Furniture"/>
    <s v="Chair"/>
    <s v="Product_9"/>
    <x v="0"/>
    <x v="1"/>
    <s v="UPI"/>
    <s v="Critical"/>
    <n v="2"/>
    <n v="6632"/>
    <n v="5"/>
    <n v="12600.8"/>
    <n v="2278.1"/>
    <x v="2"/>
  </r>
  <r>
    <s v="ORD00567"/>
    <x v="424"/>
    <d v="2024-04-14T00:00:00"/>
    <s v="South"/>
    <s v="India"/>
    <s v="Delhi"/>
    <s v="Delhi"/>
    <x v="553"/>
    <x v="1"/>
    <s v="Furniture"/>
    <s v="Laptop"/>
    <s v="Product_19"/>
    <x v="4"/>
    <x v="0"/>
    <s v="Debit Card"/>
    <s v="Medium"/>
    <n v="3"/>
    <n v="49295"/>
    <n v="5"/>
    <n v="140490.75"/>
    <n v="33540.57"/>
    <x v="6"/>
  </r>
  <r>
    <s v="ORD00568"/>
    <x v="425"/>
    <d v="2022-04-29T00:00:00"/>
    <s v="East"/>
    <s v="India"/>
    <s v="Tamil Nadu"/>
    <s v="Bangalore"/>
    <x v="554"/>
    <x v="2"/>
    <s v="Furniture"/>
    <s v="Chair"/>
    <s v="Product_16"/>
    <x v="0"/>
    <x v="0"/>
    <s v="UPI"/>
    <s v="Low"/>
    <n v="2"/>
    <n v="48424"/>
    <n v="10"/>
    <n v="87163.199999999997"/>
    <n v="1080.23"/>
    <x v="6"/>
  </r>
  <r>
    <s v="ORD00569"/>
    <x v="426"/>
    <d v="2022-12-23T00:00:00"/>
    <s v="South"/>
    <s v="India"/>
    <s v="Gujarat"/>
    <s v="Mumbai"/>
    <x v="555"/>
    <x v="2"/>
    <s v="Furniture"/>
    <s v="Printer"/>
    <s v="Product_117"/>
    <x v="5"/>
    <x v="0"/>
    <s v="UPI"/>
    <s v="High"/>
    <n v="2"/>
    <n v="48474"/>
    <n v="10"/>
    <n v="87253.2"/>
    <n v="12526.63"/>
    <x v="9"/>
  </r>
  <r>
    <s v="ORD00570"/>
    <x v="35"/>
    <d v="2022-10-02T00:00:00"/>
    <s v="South"/>
    <s v="India"/>
    <s v="Delhi"/>
    <s v="Bangalore"/>
    <x v="556"/>
    <x v="2"/>
    <s v="Furniture"/>
    <s v="Mobile"/>
    <s v="Product_159"/>
    <x v="3"/>
    <x v="1"/>
    <s v="Credit Card"/>
    <s v="Medium"/>
    <n v="8"/>
    <n v="19336"/>
    <n v="0"/>
    <n v="154688"/>
    <n v="24615.7"/>
    <x v="7"/>
  </r>
  <r>
    <s v="ORD00571"/>
    <x v="427"/>
    <d v="2023-02-12T00:00:00"/>
    <s v="North"/>
    <s v="India"/>
    <s v="Karnataka"/>
    <s v="Ahmedabad"/>
    <x v="557"/>
    <x v="2"/>
    <s v="Electronics"/>
    <s v="Mobile"/>
    <s v="Product_58"/>
    <x v="0"/>
    <x v="1"/>
    <s v="Credit Card"/>
    <s v="High"/>
    <n v="5"/>
    <n v="15366"/>
    <n v="15"/>
    <n v="65305.5"/>
    <n v="1278.77"/>
    <x v="5"/>
  </r>
  <r>
    <s v="ORD00572"/>
    <x v="428"/>
    <d v="2023-11-22T00:00:00"/>
    <s v="East"/>
    <s v="India"/>
    <s v="Gujarat"/>
    <s v="Mumbai"/>
    <x v="558"/>
    <x v="0"/>
    <s v="Furniture"/>
    <s v="Chair"/>
    <s v="Product_11"/>
    <x v="2"/>
    <x v="0"/>
    <s v="Net Banking"/>
    <s v="Medium"/>
    <n v="8"/>
    <n v="6177"/>
    <n v="10"/>
    <n v="44474.400000000001"/>
    <n v="9540.81"/>
    <x v="3"/>
  </r>
  <r>
    <s v="ORD00573"/>
    <x v="429"/>
    <d v="2022-05-22T00:00:00"/>
    <s v="East"/>
    <s v="India"/>
    <s v="Tamil Nadu"/>
    <s v="Chennai"/>
    <x v="559"/>
    <x v="2"/>
    <s v="Electronics"/>
    <s v="Chair"/>
    <s v="Product_73"/>
    <x v="4"/>
    <x v="1"/>
    <s v="Cash"/>
    <s v="Low"/>
    <n v="10"/>
    <n v="1379"/>
    <n v="15"/>
    <n v="11721.5"/>
    <n v="-6.5"/>
    <x v="4"/>
  </r>
  <r>
    <s v="ORD00574"/>
    <x v="430"/>
    <d v="2022-02-09T00:00:00"/>
    <s v="North"/>
    <s v="India"/>
    <s v="Tamil Nadu"/>
    <s v="Ahmedabad"/>
    <x v="560"/>
    <x v="2"/>
    <s v="Electronics"/>
    <s v="Storage"/>
    <s v="Product_35"/>
    <x v="3"/>
    <x v="0"/>
    <s v="UPI"/>
    <s v="High"/>
    <n v="2"/>
    <n v="29402"/>
    <n v="10"/>
    <n v="52923.6"/>
    <n v="-1810.82"/>
    <x v="5"/>
  </r>
  <r>
    <s v="ORD00575"/>
    <x v="431"/>
    <d v="2022-12-26T00:00:00"/>
    <s v="South"/>
    <s v="India"/>
    <s v="Delhi"/>
    <s v="Delhi"/>
    <x v="561"/>
    <x v="2"/>
    <s v="Office Supplies"/>
    <s v="Mobile"/>
    <s v="Product_53"/>
    <x v="5"/>
    <x v="0"/>
    <s v="Net Banking"/>
    <s v="Low"/>
    <n v="4"/>
    <n v="31807"/>
    <n v="0"/>
    <n v="127228"/>
    <n v="24616.78"/>
    <x v="9"/>
  </r>
  <r>
    <s v="ORD00576"/>
    <x v="78"/>
    <d v="2023-07-10T00:00:00"/>
    <s v="South"/>
    <s v="India"/>
    <s v="Delhi"/>
    <s v="Chennai"/>
    <x v="562"/>
    <x v="1"/>
    <s v="Electronics"/>
    <s v="Laptop"/>
    <s v="Product_4"/>
    <x v="2"/>
    <x v="0"/>
    <s v="Credit Card"/>
    <s v="Medium"/>
    <n v="7"/>
    <n v="12152"/>
    <n v="15"/>
    <n v="72304.399999999994"/>
    <n v="4946.22"/>
    <x v="11"/>
  </r>
  <r>
    <s v="ORD00577"/>
    <x v="272"/>
    <d v="2022-09-28T00:00:00"/>
    <s v="West"/>
    <s v="India"/>
    <s v="Karnataka"/>
    <s v="Mumbai"/>
    <x v="563"/>
    <x v="2"/>
    <s v="Electronics"/>
    <s v="Chair"/>
    <s v="Product_77"/>
    <x v="0"/>
    <x v="0"/>
    <s v="Debit Card"/>
    <s v="High"/>
    <n v="9"/>
    <n v="11908"/>
    <n v="5"/>
    <n v="101813.4"/>
    <n v="23866.89"/>
    <x v="7"/>
  </r>
  <r>
    <s v="ORD00578"/>
    <x v="432"/>
    <d v="2022-06-04T00:00:00"/>
    <s v="East"/>
    <s v="India"/>
    <s v="Maharashtra"/>
    <s v="Chennai"/>
    <x v="564"/>
    <x v="1"/>
    <s v="Office Supplies"/>
    <s v="Storage"/>
    <s v="Product_36"/>
    <x v="0"/>
    <x v="0"/>
    <s v="Cash"/>
    <s v="Low"/>
    <n v="1"/>
    <n v="13789"/>
    <n v="20"/>
    <n v="11031.2"/>
    <n v="-922.13"/>
    <x v="2"/>
  </r>
  <r>
    <s v="ORD00579"/>
    <x v="123"/>
    <d v="2022-06-06T00:00:00"/>
    <s v="West"/>
    <s v="India"/>
    <s v="Tamil Nadu"/>
    <s v="Ahmedabad"/>
    <x v="565"/>
    <x v="0"/>
    <s v="Electronics"/>
    <s v="Storage"/>
    <s v="Product_189"/>
    <x v="5"/>
    <x v="1"/>
    <s v="Debit Card"/>
    <s v="Low"/>
    <n v="10"/>
    <n v="33336"/>
    <n v="0"/>
    <n v="333360"/>
    <n v="94878.51"/>
    <x v="4"/>
  </r>
  <r>
    <s v="ORD00580"/>
    <x v="433"/>
    <d v="2022-02-18T00:00:00"/>
    <s v="South"/>
    <s v="India"/>
    <s v="Karnataka"/>
    <s v="Chennai"/>
    <x v="566"/>
    <x v="2"/>
    <s v="Electronics"/>
    <s v="Table"/>
    <s v="Product_95"/>
    <x v="3"/>
    <x v="0"/>
    <s v="Cash"/>
    <s v="Medium"/>
    <n v="1"/>
    <n v="40526"/>
    <n v="20"/>
    <n v="32420.799999999999"/>
    <n v="3270.5"/>
    <x v="5"/>
  </r>
  <r>
    <s v="ORD00581"/>
    <x v="434"/>
    <d v="2022-06-16T00:00:00"/>
    <s v="North"/>
    <s v="India"/>
    <s v="Maharashtra"/>
    <s v="Mumbai"/>
    <x v="567"/>
    <x v="1"/>
    <s v="Office Supplies"/>
    <s v="Mobile"/>
    <s v="Product_193"/>
    <x v="5"/>
    <x v="1"/>
    <s v="UPI"/>
    <s v="Critical"/>
    <n v="6"/>
    <n v="16540"/>
    <n v="15"/>
    <n v="84354"/>
    <n v="7253.35"/>
    <x v="2"/>
  </r>
  <r>
    <s v="ORD00582"/>
    <x v="435"/>
    <d v="2024-03-10T00:00:00"/>
    <s v="North"/>
    <s v="India"/>
    <s v="Tamil Nadu"/>
    <s v="Chennai"/>
    <x v="568"/>
    <x v="0"/>
    <s v="Electronics"/>
    <s v="Chair"/>
    <s v="Product_156"/>
    <x v="3"/>
    <x v="0"/>
    <s v="Cash"/>
    <s v="Medium"/>
    <n v="3"/>
    <n v="48620"/>
    <n v="0"/>
    <n v="145860"/>
    <n v="26113.79"/>
    <x v="0"/>
  </r>
  <r>
    <s v="ORD00583"/>
    <x v="436"/>
    <d v="2024-03-17T00:00:00"/>
    <s v="North"/>
    <s v="India"/>
    <s v="Delhi"/>
    <s v="Bangalore"/>
    <x v="569"/>
    <x v="2"/>
    <s v="Furniture"/>
    <s v="Table"/>
    <s v="Product_42"/>
    <x v="3"/>
    <x v="1"/>
    <s v="Cash"/>
    <s v="Critical"/>
    <n v="7"/>
    <n v="25749"/>
    <n v="0"/>
    <n v="180243"/>
    <n v="46870.28"/>
    <x v="0"/>
  </r>
  <r>
    <s v="ORD00584"/>
    <x v="437"/>
    <d v="2024-09-26T00:00:00"/>
    <s v="West"/>
    <s v="India"/>
    <s v="Maharashtra"/>
    <s v="Bangalore"/>
    <x v="570"/>
    <x v="2"/>
    <s v="Office Supplies"/>
    <s v="Printer"/>
    <s v="Product_128"/>
    <x v="2"/>
    <x v="1"/>
    <s v="Debit Card"/>
    <s v="Critical"/>
    <n v="1"/>
    <n v="33483"/>
    <n v="20"/>
    <n v="26786.400000000001"/>
    <n v="-1592.41"/>
    <x v="7"/>
  </r>
  <r>
    <s v="ORD00585"/>
    <x v="412"/>
    <d v="2023-10-12T00:00:00"/>
    <s v="South"/>
    <s v="India"/>
    <s v="Karnataka"/>
    <s v="Chennai"/>
    <x v="571"/>
    <x v="1"/>
    <s v="Electronics"/>
    <s v="Chair"/>
    <s v="Product_61"/>
    <x v="1"/>
    <x v="1"/>
    <s v="Debit Card"/>
    <s v="Medium"/>
    <n v="1"/>
    <n v="5097"/>
    <n v="15"/>
    <n v="4332.45"/>
    <n v="-478.69"/>
    <x v="10"/>
  </r>
  <r>
    <s v="ORD00586"/>
    <x v="438"/>
    <d v="2022-03-27T00:00:00"/>
    <s v="East"/>
    <s v="India"/>
    <s v="Karnataka"/>
    <s v="Delhi"/>
    <x v="572"/>
    <x v="0"/>
    <s v="Furniture"/>
    <s v="Laptop"/>
    <s v="Product_11"/>
    <x v="4"/>
    <x v="1"/>
    <s v="Debit Card"/>
    <s v="Low"/>
    <n v="2"/>
    <n v="38060"/>
    <n v="15"/>
    <n v="64702"/>
    <n v="1099.94"/>
    <x v="0"/>
  </r>
  <r>
    <s v="ORD00587"/>
    <x v="439"/>
    <d v="2024-01-25T00:00:00"/>
    <s v="North"/>
    <s v="India"/>
    <s v="Tamil Nadu"/>
    <s v="Bangalore"/>
    <x v="573"/>
    <x v="1"/>
    <s v="Office Supplies"/>
    <s v="Printer"/>
    <s v="Product_54"/>
    <x v="1"/>
    <x v="1"/>
    <s v="Net Banking"/>
    <s v="Medium"/>
    <n v="3"/>
    <n v="11455"/>
    <n v="10"/>
    <n v="30928.5"/>
    <n v="741.88"/>
    <x v="1"/>
  </r>
  <r>
    <s v="ORD00588"/>
    <x v="190"/>
    <d v="2024-03-27T00:00:00"/>
    <s v="South"/>
    <s v="India"/>
    <s v="Gujarat"/>
    <s v="Mumbai"/>
    <x v="574"/>
    <x v="2"/>
    <s v="Electronics"/>
    <s v="Storage"/>
    <s v="Product_40"/>
    <x v="1"/>
    <x v="0"/>
    <s v="Cash"/>
    <s v="Low"/>
    <n v="10"/>
    <n v="17171"/>
    <n v="0"/>
    <n v="171710"/>
    <n v="12316.59"/>
    <x v="0"/>
  </r>
  <r>
    <s v="ORD00589"/>
    <x v="235"/>
    <d v="2023-09-20T00:00:00"/>
    <s v="West"/>
    <s v="India"/>
    <s v="Gujarat"/>
    <s v="Delhi"/>
    <x v="575"/>
    <x v="1"/>
    <s v="Furniture"/>
    <s v="Mobile"/>
    <s v="Product_138"/>
    <x v="4"/>
    <x v="1"/>
    <s v="Credit Card"/>
    <s v="High"/>
    <n v="3"/>
    <n v="8460"/>
    <n v="10"/>
    <n v="22842"/>
    <n v="4363.3900000000003"/>
    <x v="7"/>
  </r>
  <r>
    <s v="ORD00590"/>
    <x v="440"/>
    <d v="2022-12-02T00:00:00"/>
    <s v="West"/>
    <s v="India"/>
    <s v="Karnataka"/>
    <s v="Mumbai"/>
    <x v="576"/>
    <x v="0"/>
    <s v="Electronics"/>
    <s v="Chair"/>
    <s v="Product_95"/>
    <x v="0"/>
    <x v="0"/>
    <s v="UPI"/>
    <s v="Low"/>
    <n v="2"/>
    <n v="3141"/>
    <n v="0"/>
    <n v="6282"/>
    <n v="1139.26"/>
    <x v="3"/>
  </r>
  <r>
    <s v="ORD00591"/>
    <x v="441"/>
    <d v="2024-09-08T00:00:00"/>
    <s v="South"/>
    <s v="India"/>
    <s v="Tamil Nadu"/>
    <s v="Bangalore"/>
    <x v="577"/>
    <x v="1"/>
    <s v="Electronics"/>
    <s v="Chair"/>
    <s v="Product_90"/>
    <x v="2"/>
    <x v="0"/>
    <s v="Debit Card"/>
    <s v="High"/>
    <n v="7"/>
    <n v="33252"/>
    <n v="10"/>
    <n v="209487.6"/>
    <n v="45461.17"/>
    <x v="8"/>
  </r>
  <r>
    <s v="ORD00592"/>
    <x v="442"/>
    <d v="2023-06-17T00:00:00"/>
    <s v="North"/>
    <s v="India"/>
    <s v="Maharashtra"/>
    <s v="Ahmedabad"/>
    <x v="578"/>
    <x v="2"/>
    <s v="Electronics"/>
    <s v="Laptop"/>
    <s v="Product_38"/>
    <x v="4"/>
    <x v="0"/>
    <s v="Cash"/>
    <s v="Medium"/>
    <n v="10"/>
    <n v="49581"/>
    <n v="10"/>
    <n v="446229"/>
    <n v="60787.199999999997"/>
    <x v="2"/>
  </r>
  <r>
    <s v="ORD00593"/>
    <x v="443"/>
    <d v="2022-03-21T00:00:00"/>
    <s v="South"/>
    <s v="India"/>
    <s v="Tamil Nadu"/>
    <s v="Delhi"/>
    <x v="579"/>
    <x v="0"/>
    <s v="Office Supplies"/>
    <s v="Table"/>
    <s v="Product_106"/>
    <x v="5"/>
    <x v="0"/>
    <s v="Credit Card"/>
    <s v="Medium"/>
    <n v="5"/>
    <n v="8816"/>
    <n v="20"/>
    <n v="35264"/>
    <n v="-323.58999999999997"/>
    <x v="0"/>
  </r>
  <r>
    <s v="ORD00594"/>
    <x v="444"/>
    <d v="2023-10-26T00:00:00"/>
    <s v="East"/>
    <s v="India"/>
    <s v="Maharashtra"/>
    <s v="Chennai"/>
    <x v="580"/>
    <x v="2"/>
    <s v="Furniture"/>
    <s v="Laptop"/>
    <s v="Product_69"/>
    <x v="0"/>
    <x v="0"/>
    <s v="Debit Card"/>
    <s v="Critical"/>
    <n v="6"/>
    <n v="47344"/>
    <n v="10"/>
    <n v="255657.60000000001"/>
    <n v="45014.75"/>
    <x v="10"/>
  </r>
  <r>
    <s v="ORD00595"/>
    <x v="325"/>
    <d v="2023-10-30T00:00:00"/>
    <s v="West"/>
    <s v="India"/>
    <s v="Tamil Nadu"/>
    <s v="Mumbai"/>
    <x v="581"/>
    <x v="2"/>
    <s v="Furniture"/>
    <s v="Mobile"/>
    <s v="Product_89"/>
    <x v="1"/>
    <x v="1"/>
    <s v="Credit Card"/>
    <s v="Critical"/>
    <n v="4"/>
    <n v="7290"/>
    <n v="5"/>
    <n v="27702"/>
    <n v="3573.32"/>
    <x v="10"/>
  </r>
  <r>
    <s v="ORD00596"/>
    <x v="445"/>
    <d v="2022-06-28T00:00:00"/>
    <s v="East"/>
    <s v="India"/>
    <s v="Maharashtra"/>
    <s v="Delhi"/>
    <x v="582"/>
    <x v="2"/>
    <s v="Office Supplies"/>
    <s v="Storage"/>
    <s v="Product_118"/>
    <x v="4"/>
    <x v="1"/>
    <s v="Credit Card"/>
    <s v="Critical"/>
    <n v="9"/>
    <n v="25579"/>
    <n v="0"/>
    <n v="230211"/>
    <n v="46648.62"/>
    <x v="2"/>
  </r>
  <r>
    <s v="ORD00597"/>
    <x v="265"/>
    <d v="2022-10-11T00:00:00"/>
    <s v="East"/>
    <s v="India"/>
    <s v="Gujarat"/>
    <s v="Bangalore"/>
    <x v="583"/>
    <x v="1"/>
    <s v="Office Supplies"/>
    <s v="Mobile"/>
    <s v="Product_195"/>
    <x v="3"/>
    <x v="1"/>
    <s v="Net Banking"/>
    <s v="Critical"/>
    <n v="4"/>
    <n v="34501"/>
    <n v="0"/>
    <n v="138004"/>
    <n v="23496.53"/>
    <x v="10"/>
  </r>
  <r>
    <s v="ORD00598"/>
    <x v="446"/>
    <d v="2022-06-01T00:00:00"/>
    <s v="North"/>
    <s v="India"/>
    <s v="Gujarat"/>
    <s v="Chennai"/>
    <x v="584"/>
    <x v="0"/>
    <s v="Office Supplies"/>
    <s v="Laptop"/>
    <s v="Product_163"/>
    <x v="1"/>
    <x v="0"/>
    <s v="Net Banking"/>
    <s v="Critical"/>
    <n v="8"/>
    <n v="23472"/>
    <n v="5"/>
    <n v="178387.20000000001"/>
    <n v="44504.99"/>
    <x v="4"/>
  </r>
  <r>
    <s v="ORD00599"/>
    <x v="424"/>
    <d v="2024-04-09T00:00:00"/>
    <s v="South"/>
    <s v="India"/>
    <s v="Delhi"/>
    <s v="Delhi"/>
    <x v="585"/>
    <x v="1"/>
    <s v="Office Supplies"/>
    <s v="Storage"/>
    <s v="Product_143"/>
    <x v="4"/>
    <x v="0"/>
    <s v="UPI"/>
    <s v="Medium"/>
    <n v="4"/>
    <n v="45555"/>
    <n v="0"/>
    <n v="182220"/>
    <n v="34607.519999999997"/>
    <x v="6"/>
  </r>
  <r>
    <s v="ORD00600"/>
    <x v="447"/>
    <d v="2023-05-09T00:00:00"/>
    <s v="North"/>
    <s v="India"/>
    <s v="Gujarat"/>
    <s v="Chennai"/>
    <x v="586"/>
    <x v="1"/>
    <s v="Furniture"/>
    <s v="Chair"/>
    <s v="Product_175"/>
    <x v="1"/>
    <x v="0"/>
    <s v="Credit Card"/>
    <s v="Low"/>
    <n v="7"/>
    <n v="49461"/>
    <n v="15"/>
    <n v="294292.95"/>
    <n v="30663.46"/>
    <x v="4"/>
  </r>
  <r>
    <s v="ORD00601"/>
    <x v="448"/>
    <d v="2023-07-03T00:00:00"/>
    <s v="South"/>
    <s v="India"/>
    <s v="Delhi"/>
    <s v="Chennai"/>
    <x v="587"/>
    <x v="2"/>
    <s v="Electronics"/>
    <s v="Table"/>
    <s v="Product_137"/>
    <x v="0"/>
    <x v="1"/>
    <s v="Credit Card"/>
    <s v="Critical"/>
    <n v="4"/>
    <n v="34073"/>
    <n v="15"/>
    <n v="115848.2"/>
    <n v="8518.98"/>
    <x v="2"/>
  </r>
  <r>
    <s v="ORD00602"/>
    <x v="331"/>
    <d v="2022-06-12T00:00:00"/>
    <s v="North"/>
    <s v="India"/>
    <s v="Tamil Nadu"/>
    <s v="Mumbai"/>
    <x v="588"/>
    <x v="0"/>
    <s v="Electronics"/>
    <s v="Printer"/>
    <s v="Product_7"/>
    <x v="1"/>
    <x v="1"/>
    <s v="Credit Card"/>
    <s v="Low"/>
    <n v="7"/>
    <n v="43066"/>
    <n v="15"/>
    <n v="256242.7"/>
    <n v="-2165.54"/>
    <x v="2"/>
  </r>
  <r>
    <s v="ORD00603"/>
    <x v="449"/>
    <d v="2023-03-04T00:00:00"/>
    <s v="East"/>
    <s v="India"/>
    <s v="Gujarat"/>
    <s v="Ahmedabad"/>
    <x v="589"/>
    <x v="1"/>
    <s v="Electronics"/>
    <s v="Printer"/>
    <s v="Product_11"/>
    <x v="5"/>
    <x v="1"/>
    <s v="Net Banking"/>
    <s v="Medium"/>
    <n v="6"/>
    <n v="4199"/>
    <n v="0"/>
    <n v="25194"/>
    <n v="1974.94"/>
    <x v="5"/>
  </r>
  <r>
    <s v="ORD00604"/>
    <x v="450"/>
    <d v="2022-03-14T00:00:00"/>
    <s v="South"/>
    <s v="India"/>
    <s v="Tamil Nadu"/>
    <s v="Delhi"/>
    <x v="263"/>
    <x v="1"/>
    <s v="Electronics"/>
    <s v="Storage"/>
    <s v="Product_124"/>
    <x v="1"/>
    <x v="1"/>
    <s v="Credit Card"/>
    <s v="Medium"/>
    <n v="5"/>
    <n v="28604"/>
    <n v="10"/>
    <n v="128718"/>
    <n v="22176.98"/>
    <x v="0"/>
  </r>
  <r>
    <s v="ORD00605"/>
    <x v="451"/>
    <d v="2023-12-17T00:00:00"/>
    <s v="North"/>
    <s v="India"/>
    <s v="Delhi"/>
    <s v="Delhi"/>
    <x v="590"/>
    <x v="0"/>
    <s v="Electronics"/>
    <s v="Laptop"/>
    <s v="Product_161"/>
    <x v="4"/>
    <x v="0"/>
    <s v="Net Banking"/>
    <s v="Critical"/>
    <n v="5"/>
    <n v="47346"/>
    <n v="20"/>
    <n v="189384"/>
    <n v="8200.5499999999993"/>
    <x v="9"/>
  </r>
  <r>
    <s v="ORD00606"/>
    <x v="452"/>
    <d v="2022-06-30T00:00:00"/>
    <s v="North"/>
    <s v="India"/>
    <s v="Tamil Nadu"/>
    <s v="Ahmedabad"/>
    <x v="591"/>
    <x v="0"/>
    <s v="Office Supplies"/>
    <s v="Storage"/>
    <s v="Product_124"/>
    <x v="1"/>
    <x v="1"/>
    <s v="Cash"/>
    <s v="Medium"/>
    <n v="5"/>
    <n v="5358"/>
    <n v="15"/>
    <n v="22771.5"/>
    <n v="1965.06"/>
    <x v="2"/>
  </r>
  <r>
    <s v="ORD00607"/>
    <x v="453"/>
    <d v="2023-10-05T00:00:00"/>
    <s v="West"/>
    <s v="India"/>
    <s v="Delhi"/>
    <s v="Chennai"/>
    <x v="592"/>
    <x v="1"/>
    <s v="Furniture"/>
    <s v="Table"/>
    <s v="Product_179"/>
    <x v="0"/>
    <x v="1"/>
    <s v="Credit Card"/>
    <s v="Critical"/>
    <n v="2"/>
    <n v="20406"/>
    <n v="10"/>
    <n v="36730.800000000003"/>
    <n v="5338.53"/>
    <x v="10"/>
  </r>
  <r>
    <s v="ORD00608"/>
    <x v="390"/>
    <d v="2022-03-26T00:00:00"/>
    <s v="West"/>
    <s v="India"/>
    <s v="Delhi"/>
    <s v="Ahmedabad"/>
    <x v="593"/>
    <x v="0"/>
    <s v="Office Supplies"/>
    <s v="Table"/>
    <s v="Product_82"/>
    <x v="1"/>
    <x v="1"/>
    <s v="Cash"/>
    <s v="High"/>
    <n v="2"/>
    <n v="26012"/>
    <n v="10"/>
    <n v="46821.599999999999"/>
    <n v="5240.54"/>
    <x v="0"/>
  </r>
  <r>
    <s v="ORD00609"/>
    <x v="454"/>
    <d v="2023-04-18T00:00:00"/>
    <s v="East"/>
    <s v="India"/>
    <s v="Tamil Nadu"/>
    <s v="Delhi"/>
    <x v="594"/>
    <x v="2"/>
    <s v="Electronics"/>
    <s v="Mobile"/>
    <s v="Product_35"/>
    <x v="2"/>
    <x v="0"/>
    <s v="Credit Card"/>
    <s v="Low"/>
    <n v="6"/>
    <n v="7755"/>
    <n v="5"/>
    <n v="44203.5"/>
    <n v="2357.13"/>
    <x v="6"/>
  </r>
  <r>
    <s v="ORD00610"/>
    <x v="381"/>
    <d v="2023-09-14T00:00:00"/>
    <s v="East"/>
    <s v="India"/>
    <s v="Gujarat"/>
    <s v="Ahmedabad"/>
    <x v="595"/>
    <x v="0"/>
    <s v="Electronics"/>
    <s v="Table"/>
    <s v="Product_82"/>
    <x v="5"/>
    <x v="0"/>
    <s v="Credit Card"/>
    <s v="Medium"/>
    <n v="2"/>
    <n v="2743"/>
    <n v="10"/>
    <n v="4937.3999999999996"/>
    <n v="881.76"/>
    <x v="7"/>
  </r>
  <r>
    <s v="ORD00611"/>
    <x v="92"/>
    <d v="2023-03-30T00:00:00"/>
    <s v="North"/>
    <s v="India"/>
    <s v="Delhi"/>
    <s v="Mumbai"/>
    <x v="596"/>
    <x v="2"/>
    <s v="Furniture"/>
    <s v="Table"/>
    <s v="Product_172"/>
    <x v="2"/>
    <x v="1"/>
    <s v="Cash"/>
    <s v="Critical"/>
    <n v="10"/>
    <n v="3494"/>
    <n v="20"/>
    <n v="27952"/>
    <n v="2441.09"/>
    <x v="0"/>
  </r>
  <r>
    <s v="ORD00612"/>
    <x v="455"/>
    <d v="2024-08-01T00:00:00"/>
    <s v="South"/>
    <s v="India"/>
    <s v="Maharashtra"/>
    <s v="Delhi"/>
    <x v="579"/>
    <x v="0"/>
    <s v="Furniture"/>
    <s v="Table"/>
    <s v="Product_49"/>
    <x v="0"/>
    <x v="0"/>
    <s v="Cash"/>
    <s v="High"/>
    <n v="1"/>
    <n v="20748"/>
    <n v="10"/>
    <n v="18673.2"/>
    <n v="1224.6400000000001"/>
    <x v="11"/>
  </r>
  <r>
    <s v="ORD00613"/>
    <x v="456"/>
    <d v="2022-11-17T00:00:00"/>
    <s v="South"/>
    <s v="India"/>
    <s v="Karnataka"/>
    <s v="Chennai"/>
    <x v="597"/>
    <x v="1"/>
    <s v="Electronics"/>
    <s v="Chair"/>
    <s v="Product_185"/>
    <x v="3"/>
    <x v="1"/>
    <s v="Debit Card"/>
    <s v="Medium"/>
    <n v="2"/>
    <n v="38964"/>
    <n v="0"/>
    <n v="77928"/>
    <n v="16977.2"/>
    <x v="3"/>
  </r>
  <r>
    <s v="ORD00614"/>
    <x v="360"/>
    <d v="2023-02-01T00:00:00"/>
    <s v="South"/>
    <s v="India"/>
    <s v="Delhi"/>
    <s v="Delhi"/>
    <x v="598"/>
    <x v="1"/>
    <s v="Furniture"/>
    <s v="Printer"/>
    <s v="Product_1"/>
    <x v="5"/>
    <x v="1"/>
    <s v="Debit Card"/>
    <s v="Low"/>
    <n v="7"/>
    <n v="45909"/>
    <n v="15"/>
    <n v="273158.55"/>
    <n v="40042.47"/>
    <x v="1"/>
  </r>
  <r>
    <s v="ORD00615"/>
    <x v="132"/>
    <d v="2022-06-28T00:00:00"/>
    <s v="East"/>
    <s v="India"/>
    <s v="Delhi"/>
    <s v="Bangalore"/>
    <x v="599"/>
    <x v="0"/>
    <s v="Furniture"/>
    <s v="Chair"/>
    <s v="Product_139"/>
    <x v="2"/>
    <x v="1"/>
    <s v="Debit Card"/>
    <s v="Medium"/>
    <n v="8"/>
    <n v="21910"/>
    <n v="5"/>
    <n v="166516"/>
    <n v="10699.32"/>
    <x v="2"/>
  </r>
  <r>
    <s v="ORD00616"/>
    <x v="25"/>
    <d v="2022-04-11T00:00:00"/>
    <s v="North"/>
    <s v="India"/>
    <s v="Tamil Nadu"/>
    <s v="Mumbai"/>
    <x v="600"/>
    <x v="0"/>
    <s v="Electronics"/>
    <s v="Storage"/>
    <s v="Product_2"/>
    <x v="3"/>
    <x v="0"/>
    <s v="Cash"/>
    <s v="Medium"/>
    <n v="1"/>
    <n v="36661"/>
    <n v="20"/>
    <n v="29328.799999999999"/>
    <n v="-4139.54"/>
    <x v="6"/>
  </r>
  <r>
    <s v="ORD00617"/>
    <x v="457"/>
    <d v="2024-02-02T00:00:00"/>
    <s v="North"/>
    <s v="India"/>
    <s v="Tamil Nadu"/>
    <s v="Bangalore"/>
    <x v="601"/>
    <x v="1"/>
    <s v="Electronics"/>
    <s v="Laptop"/>
    <s v="Product_66"/>
    <x v="3"/>
    <x v="0"/>
    <s v="Credit Card"/>
    <s v="Critical"/>
    <n v="9"/>
    <n v="33679"/>
    <n v="5"/>
    <n v="287955.45"/>
    <n v="25278.35"/>
    <x v="1"/>
  </r>
  <r>
    <s v="ORD00618"/>
    <x v="458"/>
    <d v="2024-05-05T00:00:00"/>
    <s v="East"/>
    <s v="India"/>
    <s v="Tamil Nadu"/>
    <s v="Bangalore"/>
    <x v="602"/>
    <x v="2"/>
    <s v="Office Supplies"/>
    <s v="Laptop"/>
    <s v="Product_25"/>
    <x v="5"/>
    <x v="1"/>
    <s v="Net Banking"/>
    <s v="Low"/>
    <n v="7"/>
    <n v="47410"/>
    <n v="0"/>
    <n v="331870"/>
    <n v="33571.07"/>
    <x v="6"/>
  </r>
  <r>
    <s v="ORD00619"/>
    <x v="43"/>
    <d v="2022-07-27T00:00:00"/>
    <s v="East"/>
    <s v="India"/>
    <s v="Maharashtra"/>
    <s v="Delhi"/>
    <x v="156"/>
    <x v="0"/>
    <s v="Furniture"/>
    <s v="Storage"/>
    <s v="Product_59"/>
    <x v="3"/>
    <x v="0"/>
    <s v="Credit Card"/>
    <s v="High"/>
    <n v="3"/>
    <n v="27879"/>
    <n v="0"/>
    <n v="83637"/>
    <n v="23635.07"/>
    <x v="11"/>
  </r>
  <r>
    <s v="ORD00620"/>
    <x v="459"/>
    <d v="2024-01-11T00:00:00"/>
    <s v="West"/>
    <s v="India"/>
    <s v="Maharashtra"/>
    <s v="Chennai"/>
    <x v="603"/>
    <x v="0"/>
    <s v="Office Supplies"/>
    <s v="Printer"/>
    <s v="Product_200"/>
    <x v="0"/>
    <x v="1"/>
    <s v="Net Banking"/>
    <s v="Critical"/>
    <n v="6"/>
    <n v="33596"/>
    <n v="10"/>
    <n v="181418.4"/>
    <n v="26148.98"/>
    <x v="1"/>
  </r>
  <r>
    <s v="ORD00621"/>
    <x v="460"/>
    <d v="2023-05-07T00:00:00"/>
    <s v="West"/>
    <s v="India"/>
    <s v="Delhi"/>
    <s v="Ahmedabad"/>
    <x v="604"/>
    <x v="0"/>
    <s v="Electronics"/>
    <s v="Table"/>
    <s v="Product_87"/>
    <x v="0"/>
    <x v="1"/>
    <s v="Cash"/>
    <s v="High"/>
    <n v="1"/>
    <n v="30341"/>
    <n v="10"/>
    <n v="27306.9"/>
    <n v="4303.97"/>
    <x v="6"/>
  </r>
  <r>
    <s v="ORD00622"/>
    <x v="351"/>
    <d v="2022-01-30T00:00:00"/>
    <s v="East"/>
    <s v="India"/>
    <s v="Maharashtra"/>
    <s v="Ahmedabad"/>
    <x v="605"/>
    <x v="1"/>
    <s v="Office Supplies"/>
    <s v="Storage"/>
    <s v="Product_183"/>
    <x v="2"/>
    <x v="1"/>
    <s v="Net Banking"/>
    <s v="Low"/>
    <n v="8"/>
    <n v="38374"/>
    <n v="20"/>
    <n v="245593.60000000001"/>
    <n v="664.05"/>
    <x v="1"/>
  </r>
  <r>
    <s v="ORD00623"/>
    <x v="461"/>
    <d v="2022-02-14T00:00:00"/>
    <s v="South"/>
    <s v="India"/>
    <s v="Tamil Nadu"/>
    <s v="Delhi"/>
    <x v="606"/>
    <x v="2"/>
    <s v="Electronics"/>
    <s v="Printer"/>
    <s v="Product_98"/>
    <x v="0"/>
    <x v="0"/>
    <s v="Debit Card"/>
    <s v="Medium"/>
    <n v="8"/>
    <n v="30127"/>
    <n v="0"/>
    <n v="241016"/>
    <n v="55054.17"/>
    <x v="5"/>
  </r>
  <r>
    <s v="ORD00624"/>
    <x v="161"/>
    <d v="2023-01-02T00:00:00"/>
    <s v="South"/>
    <s v="India"/>
    <s v="Gujarat"/>
    <s v="Chennai"/>
    <x v="607"/>
    <x v="1"/>
    <s v="Furniture"/>
    <s v="Laptop"/>
    <s v="Product_153"/>
    <x v="2"/>
    <x v="1"/>
    <s v="Cash"/>
    <s v="Critical"/>
    <n v="10"/>
    <n v="30315"/>
    <n v="0"/>
    <n v="303150"/>
    <n v="18803.72"/>
    <x v="9"/>
  </r>
  <r>
    <s v="ORD00625"/>
    <x v="462"/>
    <d v="2022-02-06T00:00:00"/>
    <s v="East"/>
    <s v="India"/>
    <s v="Karnataka"/>
    <s v="Mumbai"/>
    <x v="608"/>
    <x v="0"/>
    <s v="Electronics"/>
    <s v="Laptop"/>
    <s v="Product_194"/>
    <x v="5"/>
    <x v="1"/>
    <s v="UPI"/>
    <s v="Critical"/>
    <n v="1"/>
    <n v="28398"/>
    <n v="20"/>
    <n v="22718.400000000001"/>
    <n v="-283.22000000000003"/>
    <x v="1"/>
  </r>
  <r>
    <s v="ORD00626"/>
    <x v="463"/>
    <d v="2023-09-10T00:00:00"/>
    <s v="West"/>
    <s v="India"/>
    <s v="Tamil Nadu"/>
    <s v="Chennai"/>
    <x v="609"/>
    <x v="1"/>
    <s v="Furniture"/>
    <s v="Table"/>
    <s v="Product_39"/>
    <x v="3"/>
    <x v="0"/>
    <s v="Credit Card"/>
    <s v="Critical"/>
    <n v="5"/>
    <n v="6950"/>
    <n v="20"/>
    <n v="27800"/>
    <n v="-1580.09"/>
    <x v="7"/>
  </r>
  <r>
    <s v="ORD00627"/>
    <x v="464"/>
    <d v="2024-05-23T00:00:00"/>
    <s v="West"/>
    <s v="India"/>
    <s v="Maharashtra"/>
    <s v="Bangalore"/>
    <x v="610"/>
    <x v="2"/>
    <s v="Furniture"/>
    <s v="Chair"/>
    <s v="Product_146"/>
    <x v="5"/>
    <x v="0"/>
    <s v="Debit Card"/>
    <s v="High"/>
    <n v="8"/>
    <n v="46363"/>
    <n v="0"/>
    <n v="370904"/>
    <n v="31320.34"/>
    <x v="4"/>
  </r>
  <r>
    <s v="ORD00628"/>
    <x v="309"/>
    <d v="2024-07-10T00:00:00"/>
    <s v="South"/>
    <s v="India"/>
    <s v="Maharashtra"/>
    <s v="Chennai"/>
    <x v="611"/>
    <x v="1"/>
    <s v="Electronics"/>
    <s v="Storage"/>
    <s v="Product_50"/>
    <x v="0"/>
    <x v="1"/>
    <s v="Credit Card"/>
    <s v="Critical"/>
    <n v="9"/>
    <n v="22862"/>
    <n v="20"/>
    <n v="164606.39999999999"/>
    <n v="520.12"/>
    <x v="11"/>
  </r>
  <r>
    <s v="ORD00629"/>
    <x v="440"/>
    <d v="2022-11-26T00:00:00"/>
    <s v="East"/>
    <s v="India"/>
    <s v="Tamil Nadu"/>
    <s v="Ahmedabad"/>
    <x v="612"/>
    <x v="1"/>
    <s v="Electronics"/>
    <s v="Mobile"/>
    <s v="Product_146"/>
    <x v="0"/>
    <x v="1"/>
    <s v="Credit Card"/>
    <s v="Critical"/>
    <n v="6"/>
    <n v="33279"/>
    <n v="5"/>
    <n v="189690.3"/>
    <n v="14194.02"/>
    <x v="3"/>
  </r>
  <r>
    <s v="ORD00630"/>
    <x v="333"/>
    <d v="2023-07-02T00:00:00"/>
    <s v="North"/>
    <s v="India"/>
    <s v="Maharashtra"/>
    <s v="Ahmedabad"/>
    <x v="613"/>
    <x v="0"/>
    <s v="Furniture"/>
    <s v="Laptop"/>
    <s v="Product_149"/>
    <x v="0"/>
    <x v="0"/>
    <s v="Cash"/>
    <s v="Critical"/>
    <n v="8"/>
    <n v="35713"/>
    <n v="0"/>
    <n v="285704"/>
    <n v="20107.93"/>
    <x v="2"/>
  </r>
  <r>
    <s v="ORD00631"/>
    <x v="465"/>
    <d v="2022-01-11T00:00:00"/>
    <s v="South"/>
    <s v="India"/>
    <s v="Gujarat"/>
    <s v="Mumbai"/>
    <x v="614"/>
    <x v="2"/>
    <s v="Office Supplies"/>
    <s v="Mobile"/>
    <s v="Product_112"/>
    <x v="0"/>
    <x v="1"/>
    <s v="Debit Card"/>
    <s v="High"/>
    <n v="5"/>
    <n v="21941"/>
    <n v="20"/>
    <n v="87764"/>
    <n v="-15390.4"/>
    <x v="1"/>
  </r>
  <r>
    <s v="ORD00632"/>
    <x v="466"/>
    <d v="2024-02-27T00:00:00"/>
    <s v="North"/>
    <s v="India"/>
    <s v="Tamil Nadu"/>
    <s v="Mumbai"/>
    <x v="615"/>
    <x v="0"/>
    <s v="Electronics"/>
    <s v="Printer"/>
    <s v="Product_35"/>
    <x v="1"/>
    <x v="0"/>
    <s v="Debit Card"/>
    <s v="Critical"/>
    <n v="4"/>
    <n v="32828"/>
    <n v="20"/>
    <n v="105049.60000000001"/>
    <n v="7440.49"/>
    <x v="5"/>
  </r>
  <r>
    <s v="ORD00633"/>
    <x v="467"/>
    <d v="2024-04-28T00:00:00"/>
    <s v="South"/>
    <s v="India"/>
    <s v="Maharashtra"/>
    <s v="Ahmedabad"/>
    <x v="616"/>
    <x v="1"/>
    <s v="Furniture"/>
    <s v="Chair"/>
    <s v="Product_90"/>
    <x v="3"/>
    <x v="0"/>
    <s v="Cash"/>
    <s v="High"/>
    <n v="4"/>
    <n v="18592"/>
    <n v="15"/>
    <n v="63212.800000000003"/>
    <n v="-565.88"/>
    <x v="6"/>
  </r>
  <r>
    <s v="ORD00634"/>
    <x v="468"/>
    <d v="2024-08-18T00:00:00"/>
    <s v="West"/>
    <s v="India"/>
    <s v="Karnataka"/>
    <s v="Mumbai"/>
    <x v="617"/>
    <x v="0"/>
    <s v="Electronics"/>
    <s v="Laptop"/>
    <s v="Product_192"/>
    <x v="2"/>
    <x v="1"/>
    <s v="UPI"/>
    <s v="High"/>
    <n v="7"/>
    <n v="21394"/>
    <n v="20"/>
    <n v="119806.39999999999"/>
    <n v="297.64999999999998"/>
    <x v="8"/>
  </r>
  <r>
    <s v="ORD00635"/>
    <x v="469"/>
    <d v="2022-07-05T00:00:00"/>
    <s v="South"/>
    <s v="India"/>
    <s v="Karnataka"/>
    <s v="Chennai"/>
    <x v="618"/>
    <x v="1"/>
    <s v="Electronics"/>
    <s v="Printer"/>
    <s v="Product_143"/>
    <x v="3"/>
    <x v="1"/>
    <s v="Debit Card"/>
    <s v="Critical"/>
    <n v="8"/>
    <n v="6374"/>
    <n v="0"/>
    <n v="50992"/>
    <n v="14409.48"/>
    <x v="2"/>
  </r>
  <r>
    <s v="ORD00636"/>
    <x v="259"/>
    <d v="2023-11-20T00:00:00"/>
    <s v="South"/>
    <s v="India"/>
    <s v="Tamil Nadu"/>
    <s v="Chennai"/>
    <x v="619"/>
    <x v="2"/>
    <s v="Electronics"/>
    <s v="Table"/>
    <s v="Product_6"/>
    <x v="0"/>
    <x v="1"/>
    <s v="Credit Card"/>
    <s v="High"/>
    <n v="7"/>
    <n v="45064"/>
    <n v="0"/>
    <n v="315448"/>
    <n v="58889.93"/>
    <x v="3"/>
  </r>
  <r>
    <s v="ORD00637"/>
    <x v="418"/>
    <d v="2023-07-09T00:00:00"/>
    <s v="North"/>
    <s v="India"/>
    <s v="Karnataka"/>
    <s v="Chennai"/>
    <x v="620"/>
    <x v="0"/>
    <s v="Electronics"/>
    <s v="Printer"/>
    <s v="Product_136"/>
    <x v="1"/>
    <x v="0"/>
    <s v="UPI"/>
    <s v="High"/>
    <n v="5"/>
    <n v="15869"/>
    <n v="0"/>
    <n v="79345"/>
    <n v="17520.849999999999"/>
    <x v="11"/>
  </r>
  <r>
    <s v="ORD00638"/>
    <x v="470"/>
    <d v="2023-11-28T00:00:00"/>
    <s v="North"/>
    <s v="India"/>
    <s v="Delhi"/>
    <s v="Ahmedabad"/>
    <x v="621"/>
    <x v="2"/>
    <s v="Furniture"/>
    <s v="Printer"/>
    <s v="Product_32"/>
    <x v="3"/>
    <x v="1"/>
    <s v="UPI"/>
    <s v="Critical"/>
    <n v="8"/>
    <n v="44731"/>
    <n v="20"/>
    <n v="286278.40000000002"/>
    <n v="-18116.39"/>
    <x v="3"/>
  </r>
  <r>
    <s v="ORD00639"/>
    <x v="471"/>
    <d v="2023-01-26T00:00:00"/>
    <s v="South"/>
    <s v="India"/>
    <s v="Tamil Nadu"/>
    <s v="Ahmedabad"/>
    <x v="622"/>
    <x v="1"/>
    <s v="Furniture"/>
    <s v="Printer"/>
    <s v="Product_155"/>
    <x v="2"/>
    <x v="0"/>
    <s v="Cash"/>
    <s v="High"/>
    <n v="2"/>
    <n v="1138"/>
    <n v="20"/>
    <n v="1820.8"/>
    <n v="132.08000000000001"/>
    <x v="1"/>
  </r>
  <r>
    <s v="ORD00640"/>
    <x v="281"/>
    <d v="2024-03-04T00:00:00"/>
    <s v="South"/>
    <s v="India"/>
    <s v="Karnataka"/>
    <s v="Bangalore"/>
    <x v="623"/>
    <x v="0"/>
    <s v="Electronics"/>
    <s v="Mobile"/>
    <s v="Product_64"/>
    <x v="3"/>
    <x v="1"/>
    <s v="Credit Card"/>
    <s v="Critical"/>
    <n v="8"/>
    <n v="15502"/>
    <n v="5"/>
    <n v="117815.2"/>
    <n v="16936.47"/>
    <x v="5"/>
  </r>
  <r>
    <s v="ORD00641"/>
    <x v="472"/>
    <d v="2022-05-13T00:00:00"/>
    <s v="South"/>
    <s v="India"/>
    <s v="Maharashtra"/>
    <s v="Chennai"/>
    <x v="303"/>
    <x v="0"/>
    <s v="Furniture"/>
    <s v="Storage"/>
    <s v="Product_114"/>
    <x v="0"/>
    <x v="1"/>
    <s v="Credit Card"/>
    <s v="High"/>
    <n v="6"/>
    <n v="44471"/>
    <n v="5"/>
    <n v="253484.7"/>
    <n v="16396.14"/>
    <x v="4"/>
  </r>
  <r>
    <s v="ORD00642"/>
    <x v="473"/>
    <d v="2023-03-12T00:00:00"/>
    <s v="West"/>
    <s v="India"/>
    <s v="Gujarat"/>
    <s v="Ahmedabad"/>
    <x v="624"/>
    <x v="1"/>
    <s v="Electronics"/>
    <s v="Laptop"/>
    <s v="Product_68"/>
    <x v="1"/>
    <x v="0"/>
    <s v="UPI"/>
    <s v="Critical"/>
    <n v="6"/>
    <n v="10767"/>
    <n v="15"/>
    <n v="54911.7"/>
    <n v="4485.43"/>
    <x v="0"/>
  </r>
  <r>
    <s v="ORD00643"/>
    <x v="474"/>
    <d v="2023-07-16T00:00:00"/>
    <s v="South"/>
    <s v="India"/>
    <s v="Maharashtra"/>
    <s v="Delhi"/>
    <x v="490"/>
    <x v="1"/>
    <s v="Furniture"/>
    <s v="Mobile"/>
    <s v="Product_27"/>
    <x v="0"/>
    <x v="1"/>
    <s v="UPI"/>
    <s v="Critical"/>
    <n v="6"/>
    <n v="28920"/>
    <n v="20"/>
    <n v="138816"/>
    <n v="13190.83"/>
    <x v="11"/>
  </r>
  <r>
    <s v="ORD00644"/>
    <x v="475"/>
    <d v="2022-12-25T00:00:00"/>
    <s v="South"/>
    <s v="India"/>
    <s v="Tamil Nadu"/>
    <s v="Delhi"/>
    <x v="625"/>
    <x v="0"/>
    <s v="Office Supplies"/>
    <s v="Table"/>
    <s v="Product_102"/>
    <x v="3"/>
    <x v="1"/>
    <s v="Net Banking"/>
    <s v="Medium"/>
    <n v="2"/>
    <n v="13656"/>
    <n v="5"/>
    <n v="25946.400000000001"/>
    <n v="538"/>
    <x v="9"/>
  </r>
  <r>
    <s v="ORD00645"/>
    <x v="476"/>
    <d v="2024-03-21T00:00:00"/>
    <s v="West"/>
    <s v="India"/>
    <s v="Karnataka"/>
    <s v="Chennai"/>
    <x v="626"/>
    <x v="1"/>
    <s v="Furniture"/>
    <s v="Printer"/>
    <s v="Product_91"/>
    <x v="1"/>
    <x v="0"/>
    <s v="Debit Card"/>
    <s v="Low"/>
    <n v="8"/>
    <n v="42273"/>
    <n v="15"/>
    <n v="287456.40000000002"/>
    <n v="16297.29"/>
    <x v="0"/>
  </r>
  <r>
    <s v="ORD00646"/>
    <x v="477"/>
    <d v="2022-12-09T00:00:00"/>
    <s v="West"/>
    <s v="India"/>
    <s v="Delhi"/>
    <s v="Delhi"/>
    <x v="627"/>
    <x v="0"/>
    <s v="Furniture"/>
    <s v="Laptop"/>
    <s v="Product_132"/>
    <x v="3"/>
    <x v="0"/>
    <s v="UPI"/>
    <s v="Low"/>
    <n v="1"/>
    <n v="15882"/>
    <n v="20"/>
    <n v="12705.6"/>
    <n v="221.13"/>
    <x v="9"/>
  </r>
  <r>
    <s v="ORD00647"/>
    <x v="478"/>
    <d v="2024-07-12T00:00:00"/>
    <s v="North"/>
    <s v="India"/>
    <s v="Maharashtra"/>
    <s v="Chennai"/>
    <x v="628"/>
    <x v="0"/>
    <s v="Electronics"/>
    <s v="Printer"/>
    <s v="Product_15"/>
    <x v="3"/>
    <x v="1"/>
    <s v="Net Banking"/>
    <s v="Medium"/>
    <n v="7"/>
    <n v="15210"/>
    <n v="5"/>
    <n v="101146.5"/>
    <n v="22366.47"/>
    <x v="11"/>
  </r>
  <r>
    <s v="ORD00648"/>
    <x v="479"/>
    <d v="2023-04-24T00:00:00"/>
    <s v="East"/>
    <s v="India"/>
    <s v="Tamil Nadu"/>
    <s v="Chennai"/>
    <x v="629"/>
    <x v="1"/>
    <s v="Furniture"/>
    <s v="Mobile"/>
    <s v="Product_165"/>
    <x v="4"/>
    <x v="1"/>
    <s v="UPI"/>
    <s v="Low"/>
    <n v="9"/>
    <n v="47515"/>
    <n v="0"/>
    <n v="427635"/>
    <n v="81219.520000000004"/>
    <x v="6"/>
  </r>
  <r>
    <s v="ORD00649"/>
    <x v="310"/>
    <d v="2024-09-21T00:00:00"/>
    <s v="West"/>
    <s v="India"/>
    <s v="Maharashtra"/>
    <s v="Chennai"/>
    <x v="630"/>
    <x v="0"/>
    <s v="Electronics"/>
    <s v="Table"/>
    <s v="Product_91"/>
    <x v="3"/>
    <x v="0"/>
    <s v="Cash"/>
    <s v="Critical"/>
    <n v="9"/>
    <n v="5077"/>
    <n v="10"/>
    <n v="41123.699999999997"/>
    <n v="6014.47"/>
    <x v="7"/>
  </r>
  <r>
    <s v="ORD00650"/>
    <x v="287"/>
    <d v="2023-09-19T00:00:00"/>
    <s v="East"/>
    <s v="India"/>
    <s v="Gujarat"/>
    <s v="Mumbai"/>
    <x v="631"/>
    <x v="2"/>
    <s v="Office Supplies"/>
    <s v="Mobile"/>
    <s v="Product_19"/>
    <x v="4"/>
    <x v="1"/>
    <s v="Cash"/>
    <s v="Critical"/>
    <n v="1"/>
    <n v="34979"/>
    <n v="20"/>
    <n v="27983.200000000001"/>
    <n v="2086.66"/>
    <x v="7"/>
  </r>
  <r>
    <s v="ORD00651"/>
    <x v="480"/>
    <d v="2023-03-04T00:00:00"/>
    <s v="North"/>
    <s v="India"/>
    <s v="Gujarat"/>
    <s v="Bangalore"/>
    <x v="632"/>
    <x v="2"/>
    <s v="Office Supplies"/>
    <s v="Table"/>
    <s v="Product_79"/>
    <x v="4"/>
    <x v="0"/>
    <s v="Debit Card"/>
    <s v="Medium"/>
    <n v="6"/>
    <n v="27924"/>
    <n v="10"/>
    <n v="150789.6"/>
    <n v="30996.5"/>
    <x v="5"/>
  </r>
  <r>
    <s v="ORD00652"/>
    <x v="99"/>
    <d v="2022-05-06T00:00:00"/>
    <s v="North"/>
    <s v="India"/>
    <s v="Delhi"/>
    <s v="Delhi"/>
    <x v="633"/>
    <x v="2"/>
    <s v="Office Supplies"/>
    <s v="Mobile"/>
    <s v="Product_156"/>
    <x v="4"/>
    <x v="1"/>
    <s v="UPI"/>
    <s v="Low"/>
    <n v="9"/>
    <n v="19954"/>
    <n v="20"/>
    <n v="143668.79999999999"/>
    <n v="-19971.330000000002"/>
    <x v="4"/>
  </r>
  <r>
    <s v="ORD00653"/>
    <x v="121"/>
    <d v="2022-04-21T00:00:00"/>
    <s v="West"/>
    <s v="India"/>
    <s v="Maharashtra"/>
    <s v="Delhi"/>
    <x v="634"/>
    <x v="1"/>
    <s v="Office Supplies"/>
    <s v="Printer"/>
    <s v="Product_67"/>
    <x v="1"/>
    <x v="0"/>
    <s v="Debit Card"/>
    <s v="High"/>
    <n v="3"/>
    <n v="25390"/>
    <n v="20"/>
    <n v="60936"/>
    <n v="-1422.36"/>
    <x v="6"/>
  </r>
  <r>
    <s v="ORD00654"/>
    <x v="320"/>
    <d v="2023-10-24T00:00:00"/>
    <s v="South"/>
    <s v="India"/>
    <s v="Maharashtra"/>
    <s v="Delhi"/>
    <x v="400"/>
    <x v="0"/>
    <s v="Furniture"/>
    <s v="Table"/>
    <s v="Product_170"/>
    <x v="2"/>
    <x v="0"/>
    <s v="Net Banking"/>
    <s v="Low"/>
    <n v="4"/>
    <n v="618"/>
    <n v="0"/>
    <n v="2472"/>
    <n v="356.28"/>
    <x v="10"/>
  </r>
  <r>
    <s v="ORD00655"/>
    <x v="37"/>
    <d v="2024-02-22T00:00:00"/>
    <s v="East"/>
    <s v="India"/>
    <s v="Karnataka"/>
    <s v="Ahmedabad"/>
    <x v="635"/>
    <x v="2"/>
    <s v="Furniture"/>
    <s v="Table"/>
    <s v="Product_6"/>
    <x v="0"/>
    <x v="0"/>
    <s v="Credit Card"/>
    <s v="Low"/>
    <n v="6"/>
    <n v="1816"/>
    <n v="5"/>
    <n v="10351.200000000001"/>
    <n v="824.12"/>
    <x v="5"/>
  </r>
  <r>
    <s v="ORD00656"/>
    <x v="481"/>
    <d v="2024-01-10T00:00:00"/>
    <s v="East"/>
    <s v="India"/>
    <s v="Delhi"/>
    <s v="Chennai"/>
    <x v="636"/>
    <x v="0"/>
    <s v="Office Supplies"/>
    <s v="Laptop"/>
    <s v="Product_162"/>
    <x v="1"/>
    <x v="0"/>
    <s v="Cash"/>
    <s v="Critical"/>
    <n v="8"/>
    <n v="36595"/>
    <n v="20"/>
    <n v="234208"/>
    <n v="9870.6200000000008"/>
    <x v="1"/>
  </r>
  <r>
    <s v="ORD00657"/>
    <x v="244"/>
    <d v="2023-03-04T00:00:00"/>
    <s v="North"/>
    <s v="India"/>
    <s v="Maharashtra"/>
    <s v="Chennai"/>
    <x v="637"/>
    <x v="1"/>
    <s v="Furniture"/>
    <s v="Table"/>
    <s v="Product_83"/>
    <x v="2"/>
    <x v="1"/>
    <s v="Cash"/>
    <s v="High"/>
    <n v="6"/>
    <n v="41704"/>
    <n v="0"/>
    <n v="250224"/>
    <n v="58587.28"/>
    <x v="5"/>
  </r>
  <r>
    <s v="ORD00658"/>
    <x v="482"/>
    <d v="2023-04-03T00:00:00"/>
    <s v="West"/>
    <s v="India"/>
    <s v="Delhi"/>
    <s v="Ahmedabad"/>
    <x v="638"/>
    <x v="0"/>
    <s v="Office Supplies"/>
    <s v="Laptop"/>
    <s v="Product_7"/>
    <x v="2"/>
    <x v="1"/>
    <s v="Cash"/>
    <s v="Medium"/>
    <n v="1"/>
    <n v="21562"/>
    <n v="15"/>
    <n v="18327.7"/>
    <n v="-390.71"/>
    <x v="0"/>
  </r>
  <r>
    <s v="ORD00659"/>
    <x v="89"/>
    <d v="2022-10-16T00:00:00"/>
    <s v="East"/>
    <s v="India"/>
    <s v="Karnataka"/>
    <s v="Bangalore"/>
    <x v="639"/>
    <x v="0"/>
    <s v="Office Supplies"/>
    <s v="Laptop"/>
    <s v="Product_182"/>
    <x v="5"/>
    <x v="0"/>
    <s v="Credit Card"/>
    <s v="Medium"/>
    <n v="3"/>
    <n v="20457"/>
    <n v="15"/>
    <n v="52165.35"/>
    <n v="-2831.8"/>
    <x v="10"/>
  </r>
  <r>
    <s v="ORD00660"/>
    <x v="483"/>
    <d v="2023-03-04T00:00:00"/>
    <s v="North"/>
    <s v="India"/>
    <s v="Karnataka"/>
    <s v="Chennai"/>
    <x v="640"/>
    <x v="1"/>
    <s v="Office Supplies"/>
    <s v="Laptop"/>
    <s v="Product_146"/>
    <x v="4"/>
    <x v="0"/>
    <s v="UPI"/>
    <s v="Low"/>
    <n v="4"/>
    <n v="41523"/>
    <n v="5"/>
    <n v="157787.4"/>
    <n v="14576.31"/>
    <x v="0"/>
  </r>
  <r>
    <s v="ORD00661"/>
    <x v="484"/>
    <d v="2024-09-22T00:00:00"/>
    <s v="South"/>
    <s v="India"/>
    <s v="Karnataka"/>
    <s v="Delhi"/>
    <x v="641"/>
    <x v="0"/>
    <s v="Furniture"/>
    <s v="Laptop"/>
    <s v="Product_163"/>
    <x v="1"/>
    <x v="0"/>
    <s v="Credit Card"/>
    <s v="High"/>
    <n v="8"/>
    <n v="26569"/>
    <n v="0"/>
    <n v="212552"/>
    <n v="33060.35"/>
    <x v="7"/>
  </r>
  <r>
    <s v="ORD00662"/>
    <x v="244"/>
    <d v="2023-03-06T00:00:00"/>
    <s v="North"/>
    <s v="India"/>
    <s v="Maharashtra"/>
    <s v="Ahmedabad"/>
    <x v="642"/>
    <x v="0"/>
    <s v="Furniture"/>
    <s v="Storage"/>
    <s v="Product_28"/>
    <x v="2"/>
    <x v="0"/>
    <s v="Cash"/>
    <s v="Low"/>
    <n v="4"/>
    <n v="28151"/>
    <n v="0"/>
    <n v="112604"/>
    <n v="7622.14"/>
    <x v="5"/>
  </r>
  <r>
    <s v="ORD00663"/>
    <x v="403"/>
    <d v="2023-03-27T00:00:00"/>
    <s v="East"/>
    <s v="India"/>
    <s v="Karnataka"/>
    <s v="Mumbai"/>
    <x v="643"/>
    <x v="2"/>
    <s v="Office Supplies"/>
    <s v="Storage"/>
    <s v="Product_10"/>
    <x v="1"/>
    <x v="0"/>
    <s v="UPI"/>
    <s v="Low"/>
    <n v="8"/>
    <n v="46931"/>
    <n v="10"/>
    <n v="337903.2"/>
    <n v="44012.42"/>
    <x v="0"/>
  </r>
  <r>
    <s v="ORD00664"/>
    <x v="365"/>
    <d v="2022-11-25T00:00:00"/>
    <s v="North"/>
    <s v="India"/>
    <s v="Delhi"/>
    <s v="Delhi"/>
    <x v="644"/>
    <x v="0"/>
    <s v="Electronics"/>
    <s v="Mobile"/>
    <s v="Product_24"/>
    <x v="3"/>
    <x v="1"/>
    <s v="Debit Card"/>
    <s v="Medium"/>
    <n v="1"/>
    <n v="4162"/>
    <n v="10"/>
    <n v="3745.8"/>
    <n v="327.07"/>
    <x v="3"/>
  </r>
  <r>
    <s v="ORD00665"/>
    <x v="19"/>
    <d v="2023-09-24T00:00:00"/>
    <s v="North"/>
    <s v="India"/>
    <s v="Gujarat"/>
    <s v="Mumbai"/>
    <x v="645"/>
    <x v="2"/>
    <s v="Electronics"/>
    <s v="Printer"/>
    <s v="Product_172"/>
    <x v="5"/>
    <x v="1"/>
    <s v="Credit Card"/>
    <s v="Low"/>
    <n v="7"/>
    <n v="36563"/>
    <n v="0"/>
    <n v="255941"/>
    <n v="74136.56"/>
    <x v="7"/>
  </r>
  <r>
    <s v="ORD00666"/>
    <x v="16"/>
    <d v="2022-03-11T00:00:00"/>
    <s v="North"/>
    <s v="India"/>
    <s v="Karnataka"/>
    <s v="Ahmedabad"/>
    <x v="646"/>
    <x v="1"/>
    <s v="Electronics"/>
    <s v="Chair"/>
    <s v="Product_199"/>
    <x v="2"/>
    <x v="1"/>
    <s v="Cash"/>
    <s v="Critical"/>
    <n v="6"/>
    <n v="5971"/>
    <n v="10"/>
    <n v="32243.4"/>
    <n v="3017.32"/>
    <x v="0"/>
  </r>
  <r>
    <s v="ORD00667"/>
    <x v="485"/>
    <d v="2023-07-23T00:00:00"/>
    <s v="South"/>
    <s v="India"/>
    <s v="Tamil Nadu"/>
    <s v="Bangalore"/>
    <x v="522"/>
    <x v="1"/>
    <s v="Office Supplies"/>
    <s v="Storage"/>
    <s v="Product_63"/>
    <x v="2"/>
    <x v="0"/>
    <s v="UPI"/>
    <s v="Low"/>
    <n v="5"/>
    <n v="28923"/>
    <n v="5"/>
    <n v="137384.25"/>
    <n v="27891.18"/>
    <x v="11"/>
  </r>
  <r>
    <s v="ORD00668"/>
    <x v="486"/>
    <d v="2022-10-08T00:00:00"/>
    <s v="East"/>
    <s v="India"/>
    <s v="Gujarat"/>
    <s v="Delhi"/>
    <x v="647"/>
    <x v="1"/>
    <s v="Electronics"/>
    <s v="Printer"/>
    <s v="Product_97"/>
    <x v="2"/>
    <x v="1"/>
    <s v="UPI"/>
    <s v="High"/>
    <n v="5"/>
    <n v="28596"/>
    <n v="15"/>
    <n v="121533"/>
    <n v="-3688.26"/>
    <x v="10"/>
  </r>
  <r>
    <s v="ORD00669"/>
    <x v="487"/>
    <d v="2023-09-03T00:00:00"/>
    <s v="South"/>
    <s v="India"/>
    <s v="Maharashtra"/>
    <s v="Chennai"/>
    <x v="648"/>
    <x v="0"/>
    <s v="Office Supplies"/>
    <s v="Laptop"/>
    <s v="Product_63"/>
    <x v="1"/>
    <x v="0"/>
    <s v="Debit Card"/>
    <s v="Low"/>
    <n v="8"/>
    <n v="26560"/>
    <n v="15"/>
    <n v="180608"/>
    <n v="30465.72"/>
    <x v="8"/>
  </r>
  <r>
    <s v="ORD00670"/>
    <x v="488"/>
    <d v="2024-09-06T00:00:00"/>
    <s v="West"/>
    <s v="India"/>
    <s v="Delhi"/>
    <s v="Bangalore"/>
    <x v="350"/>
    <x v="0"/>
    <s v="Electronics"/>
    <s v="Storage"/>
    <s v="Product_101"/>
    <x v="5"/>
    <x v="0"/>
    <s v="UPI"/>
    <s v="High"/>
    <n v="9"/>
    <n v="47481"/>
    <n v="0"/>
    <n v="427329"/>
    <n v="78063.259999999995"/>
    <x v="7"/>
  </r>
  <r>
    <s v="ORD00671"/>
    <x v="289"/>
    <d v="2024-07-08T00:00:00"/>
    <s v="North"/>
    <s v="India"/>
    <s v="Gujarat"/>
    <s v="Delhi"/>
    <x v="649"/>
    <x v="1"/>
    <s v="Furniture"/>
    <s v="Printer"/>
    <s v="Product_182"/>
    <x v="1"/>
    <x v="0"/>
    <s v="Debit Card"/>
    <s v="Medium"/>
    <n v="1"/>
    <n v="16348"/>
    <n v="10"/>
    <n v="14713.2"/>
    <n v="2583.12"/>
    <x v="11"/>
  </r>
  <r>
    <s v="ORD00672"/>
    <x v="489"/>
    <d v="2022-06-07T00:00:00"/>
    <s v="East"/>
    <s v="India"/>
    <s v="Gujarat"/>
    <s v="Delhi"/>
    <x v="650"/>
    <x v="2"/>
    <s v="Electronics"/>
    <s v="Table"/>
    <s v="Product_35"/>
    <x v="1"/>
    <x v="0"/>
    <s v="Debit Card"/>
    <s v="Medium"/>
    <n v="8"/>
    <n v="31811"/>
    <n v="0"/>
    <n v="254488"/>
    <n v="34617.1"/>
    <x v="4"/>
  </r>
  <r>
    <s v="ORD00673"/>
    <x v="490"/>
    <d v="2022-11-29T00:00:00"/>
    <s v="East"/>
    <s v="India"/>
    <s v="Tamil Nadu"/>
    <s v="Ahmedabad"/>
    <x v="651"/>
    <x v="1"/>
    <s v="Electronics"/>
    <s v="Table"/>
    <s v="Product_28"/>
    <x v="1"/>
    <x v="1"/>
    <s v="Net Banking"/>
    <s v="Medium"/>
    <n v="3"/>
    <n v="1329"/>
    <n v="0"/>
    <n v="3987"/>
    <n v="750.08"/>
    <x v="3"/>
  </r>
  <r>
    <s v="ORD00674"/>
    <x v="491"/>
    <d v="2022-10-09T00:00:00"/>
    <s v="East"/>
    <s v="India"/>
    <s v="Delhi"/>
    <s v="Bangalore"/>
    <x v="652"/>
    <x v="0"/>
    <s v="Electronics"/>
    <s v="Storage"/>
    <s v="Product_114"/>
    <x v="0"/>
    <x v="0"/>
    <s v="Debit Card"/>
    <s v="Medium"/>
    <n v="10"/>
    <n v="10684"/>
    <n v="15"/>
    <n v="90814"/>
    <n v="-2186.1999999999998"/>
    <x v="10"/>
  </r>
  <r>
    <s v="ORD00675"/>
    <x v="492"/>
    <d v="2023-10-24T00:00:00"/>
    <s v="South"/>
    <s v="India"/>
    <s v="Maharashtra"/>
    <s v="Mumbai"/>
    <x v="653"/>
    <x v="2"/>
    <s v="Furniture"/>
    <s v="Storage"/>
    <s v="Product_136"/>
    <x v="0"/>
    <x v="1"/>
    <s v="Credit Card"/>
    <s v="Medium"/>
    <n v="1"/>
    <n v="24502"/>
    <n v="0"/>
    <n v="24502"/>
    <n v="5310.08"/>
    <x v="10"/>
  </r>
  <r>
    <s v="ORD00676"/>
    <x v="338"/>
    <d v="2024-03-20T00:00:00"/>
    <s v="East"/>
    <s v="India"/>
    <s v="Maharashtra"/>
    <s v="Chennai"/>
    <x v="654"/>
    <x v="0"/>
    <s v="Office Supplies"/>
    <s v="Printer"/>
    <s v="Product_36"/>
    <x v="0"/>
    <x v="0"/>
    <s v="Net Banking"/>
    <s v="Critical"/>
    <n v="3"/>
    <n v="46867"/>
    <n v="20"/>
    <n v="112480.8"/>
    <n v="-2941.46"/>
    <x v="0"/>
  </r>
  <r>
    <s v="ORD00677"/>
    <x v="493"/>
    <d v="2023-07-02T00:00:00"/>
    <s v="West"/>
    <s v="India"/>
    <s v="Maharashtra"/>
    <s v="Bangalore"/>
    <x v="655"/>
    <x v="0"/>
    <s v="Furniture"/>
    <s v="Mobile"/>
    <s v="Product_21"/>
    <x v="5"/>
    <x v="1"/>
    <s v="Cash"/>
    <s v="Low"/>
    <n v="7"/>
    <n v="32635"/>
    <n v="15"/>
    <n v="194178.25"/>
    <n v="-13551.07"/>
    <x v="2"/>
  </r>
  <r>
    <s v="ORD00678"/>
    <x v="388"/>
    <d v="2022-01-17T00:00:00"/>
    <s v="West"/>
    <s v="India"/>
    <s v="Delhi"/>
    <s v="Bangalore"/>
    <x v="656"/>
    <x v="1"/>
    <s v="Electronics"/>
    <s v="Table"/>
    <s v="Product_106"/>
    <x v="4"/>
    <x v="1"/>
    <s v="Cash"/>
    <s v="Low"/>
    <n v="2"/>
    <n v="6875"/>
    <n v="20"/>
    <n v="11000"/>
    <n v="651.88"/>
    <x v="1"/>
  </r>
  <r>
    <s v="ORD00679"/>
    <x v="494"/>
    <d v="2022-03-09T00:00:00"/>
    <s v="North"/>
    <s v="India"/>
    <s v="Tamil Nadu"/>
    <s v="Bangalore"/>
    <x v="657"/>
    <x v="0"/>
    <s v="Office Supplies"/>
    <s v="Printer"/>
    <s v="Product_126"/>
    <x v="3"/>
    <x v="1"/>
    <s v="UPI"/>
    <s v="Low"/>
    <n v="10"/>
    <n v="2986"/>
    <n v="15"/>
    <n v="25381"/>
    <n v="-1268.92"/>
    <x v="0"/>
  </r>
  <r>
    <s v="ORD00680"/>
    <x v="495"/>
    <d v="2022-10-06T00:00:00"/>
    <s v="West"/>
    <s v="India"/>
    <s v="Maharashtra"/>
    <s v="Delhi"/>
    <x v="658"/>
    <x v="2"/>
    <s v="Electronics"/>
    <s v="Table"/>
    <s v="Product_186"/>
    <x v="1"/>
    <x v="0"/>
    <s v="UPI"/>
    <s v="Low"/>
    <n v="1"/>
    <n v="40004"/>
    <n v="15"/>
    <n v="34003.4"/>
    <n v="2084.75"/>
    <x v="10"/>
  </r>
  <r>
    <s v="ORD00681"/>
    <x v="496"/>
    <d v="2022-04-01T00:00:00"/>
    <s v="East"/>
    <s v="India"/>
    <s v="Tamil Nadu"/>
    <s v="Ahmedabad"/>
    <x v="659"/>
    <x v="0"/>
    <s v="Electronics"/>
    <s v="Table"/>
    <s v="Product_77"/>
    <x v="1"/>
    <x v="1"/>
    <s v="UPI"/>
    <s v="Low"/>
    <n v="10"/>
    <n v="39198"/>
    <n v="0"/>
    <n v="391980"/>
    <n v="35568.76"/>
    <x v="0"/>
  </r>
  <r>
    <s v="ORD00682"/>
    <x v="490"/>
    <d v="2022-12-02T00:00:00"/>
    <s v="West"/>
    <s v="India"/>
    <s v="Tamil Nadu"/>
    <s v="Bangalore"/>
    <x v="660"/>
    <x v="2"/>
    <s v="Electronics"/>
    <s v="Storage"/>
    <s v="Product_169"/>
    <x v="3"/>
    <x v="1"/>
    <s v="Debit Card"/>
    <s v="Low"/>
    <n v="3"/>
    <n v="23848"/>
    <n v="20"/>
    <n v="57235.199999999997"/>
    <n v="-2032.1"/>
    <x v="3"/>
  </r>
  <r>
    <s v="ORD00683"/>
    <x v="301"/>
    <d v="2023-02-20T00:00:00"/>
    <s v="West"/>
    <s v="India"/>
    <s v="Karnataka"/>
    <s v="Bangalore"/>
    <x v="661"/>
    <x v="0"/>
    <s v="Office Supplies"/>
    <s v="Storage"/>
    <s v="Product_115"/>
    <x v="2"/>
    <x v="0"/>
    <s v="Cash"/>
    <s v="Low"/>
    <n v="9"/>
    <n v="28929"/>
    <n v="20"/>
    <n v="208288.8"/>
    <n v="5930.59"/>
    <x v="5"/>
  </r>
  <r>
    <s v="ORD00684"/>
    <x v="497"/>
    <d v="2023-01-03T00:00:00"/>
    <s v="South"/>
    <s v="India"/>
    <s v="Karnataka"/>
    <s v="Chennai"/>
    <x v="662"/>
    <x v="0"/>
    <s v="Furniture"/>
    <s v="Chair"/>
    <s v="Product_133"/>
    <x v="4"/>
    <x v="1"/>
    <s v="Credit Card"/>
    <s v="Low"/>
    <n v="7"/>
    <n v="25184"/>
    <n v="0"/>
    <n v="176288"/>
    <n v="14780.51"/>
    <x v="1"/>
  </r>
  <r>
    <s v="ORD00685"/>
    <x v="498"/>
    <d v="2022-10-24T00:00:00"/>
    <s v="North"/>
    <s v="India"/>
    <s v="Tamil Nadu"/>
    <s v="Chennai"/>
    <x v="663"/>
    <x v="1"/>
    <s v="Electronics"/>
    <s v="Laptop"/>
    <s v="Product_103"/>
    <x v="1"/>
    <x v="1"/>
    <s v="Credit Card"/>
    <s v="Low"/>
    <n v="2"/>
    <n v="29319"/>
    <n v="15"/>
    <n v="49842.3"/>
    <n v="6461.6"/>
    <x v="10"/>
  </r>
  <r>
    <s v="ORD00686"/>
    <x v="394"/>
    <d v="2024-09-02T00:00:00"/>
    <s v="South"/>
    <s v="India"/>
    <s v="Maharashtra"/>
    <s v="Ahmedabad"/>
    <x v="664"/>
    <x v="2"/>
    <s v="Office Supplies"/>
    <s v="Chair"/>
    <s v="Product_182"/>
    <x v="0"/>
    <x v="0"/>
    <s v="Debit Card"/>
    <s v="Medium"/>
    <n v="8"/>
    <n v="22229"/>
    <n v="20"/>
    <n v="142265.60000000001"/>
    <n v="-25283.4"/>
    <x v="8"/>
  </r>
  <r>
    <s v="ORD00687"/>
    <x v="499"/>
    <d v="2024-02-12T00:00:00"/>
    <s v="East"/>
    <s v="India"/>
    <s v="Delhi"/>
    <s v="Delhi"/>
    <x v="665"/>
    <x v="1"/>
    <s v="Furniture"/>
    <s v="Printer"/>
    <s v="Product_89"/>
    <x v="5"/>
    <x v="0"/>
    <s v="Cash"/>
    <s v="Medium"/>
    <n v="5"/>
    <n v="24533"/>
    <n v="5"/>
    <n v="116531.75"/>
    <n v="3740.26"/>
    <x v="5"/>
  </r>
  <r>
    <s v="ORD00688"/>
    <x v="500"/>
    <d v="2023-07-14T00:00:00"/>
    <s v="South"/>
    <s v="India"/>
    <s v="Karnataka"/>
    <s v="Bangalore"/>
    <x v="666"/>
    <x v="1"/>
    <s v="Furniture"/>
    <s v="Printer"/>
    <s v="Product_35"/>
    <x v="3"/>
    <x v="1"/>
    <s v="Net Banking"/>
    <s v="Medium"/>
    <n v="6"/>
    <n v="5554"/>
    <n v="15"/>
    <n v="28325.4"/>
    <n v="1487.08"/>
    <x v="11"/>
  </r>
  <r>
    <s v="ORD00689"/>
    <x v="501"/>
    <d v="2024-08-11T00:00:00"/>
    <s v="South"/>
    <s v="India"/>
    <s v="Maharashtra"/>
    <s v="Chennai"/>
    <x v="667"/>
    <x v="1"/>
    <s v="Electronics"/>
    <s v="Mobile"/>
    <s v="Product_10"/>
    <x v="1"/>
    <x v="1"/>
    <s v="Net Banking"/>
    <s v="Low"/>
    <n v="5"/>
    <n v="44931"/>
    <n v="5"/>
    <n v="213422.25"/>
    <n v="18425.150000000001"/>
    <x v="8"/>
  </r>
  <r>
    <s v="ORD00690"/>
    <x v="93"/>
    <d v="2022-01-30T00:00:00"/>
    <s v="South"/>
    <s v="India"/>
    <s v="Tamil Nadu"/>
    <s v="Delhi"/>
    <x v="668"/>
    <x v="2"/>
    <s v="Office Supplies"/>
    <s v="Printer"/>
    <s v="Product_149"/>
    <x v="1"/>
    <x v="0"/>
    <s v="Debit Card"/>
    <s v="Medium"/>
    <n v="1"/>
    <n v="24697"/>
    <n v="5"/>
    <n v="23462.15"/>
    <n v="30.38"/>
    <x v="1"/>
  </r>
  <r>
    <s v="ORD00691"/>
    <x v="502"/>
    <d v="2022-10-15T00:00:00"/>
    <s v="East"/>
    <s v="India"/>
    <s v="Delhi"/>
    <s v="Delhi"/>
    <x v="669"/>
    <x v="0"/>
    <s v="Furniture"/>
    <s v="Printer"/>
    <s v="Product_15"/>
    <x v="5"/>
    <x v="1"/>
    <s v="UPI"/>
    <s v="Low"/>
    <n v="4"/>
    <n v="48573"/>
    <n v="20"/>
    <n v="155433.60000000001"/>
    <n v="-8097.56"/>
    <x v="10"/>
  </r>
  <r>
    <s v="ORD00692"/>
    <x v="104"/>
    <d v="2023-09-09T00:00:00"/>
    <s v="North"/>
    <s v="India"/>
    <s v="Tamil Nadu"/>
    <s v="Delhi"/>
    <x v="670"/>
    <x v="0"/>
    <s v="Furniture"/>
    <s v="Laptop"/>
    <s v="Product_122"/>
    <x v="0"/>
    <x v="1"/>
    <s v="Credit Card"/>
    <s v="Medium"/>
    <n v="8"/>
    <n v="17602"/>
    <n v="15"/>
    <n v="119693.6"/>
    <n v="-10804.5"/>
    <x v="7"/>
  </r>
  <r>
    <s v="ORD00693"/>
    <x v="196"/>
    <d v="2023-05-31T00:00:00"/>
    <s v="West"/>
    <s v="India"/>
    <s v="Maharashtra"/>
    <s v="Delhi"/>
    <x v="671"/>
    <x v="2"/>
    <s v="Office Supplies"/>
    <s v="Storage"/>
    <s v="Product_46"/>
    <x v="1"/>
    <x v="0"/>
    <s v="Net Banking"/>
    <s v="Medium"/>
    <n v="8"/>
    <n v="41423"/>
    <n v="10"/>
    <n v="298245.59999999998"/>
    <n v="-13761.71"/>
    <x v="4"/>
  </r>
  <r>
    <s v="ORD00694"/>
    <x v="13"/>
    <d v="2022-02-13T00:00:00"/>
    <s v="West"/>
    <s v="India"/>
    <s v="Tamil Nadu"/>
    <s v="Mumbai"/>
    <x v="672"/>
    <x v="0"/>
    <s v="Office Supplies"/>
    <s v="Table"/>
    <s v="Product_147"/>
    <x v="3"/>
    <x v="0"/>
    <s v="Net Banking"/>
    <s v="High"/>
    <n v="6"/>
    <n v="35465"/>
    <n v="10"/>
    <n v="191511"/>
    <n v="35600.910000000003"/>
    <x v="5"/>
  </r>
  <r>
    <s v="ORD00695"/>
    <x v="432"/>
    <d v="2022-06-07T00:00:00"/>
    <s v="West"/>
    <s v="India"/>
    <s v="Gujarat"/>
    <s v="Bangalore"/>
    <x v="673"/>
    <x v="0"/>
    <s v="Office Supplies"/>
    <s v="Printer"/>
    <s v="Product_184"/>
    <x v="0"/>
    <x v="1"/>
    <s v="Debit Card"/>
    <s v="High"/>
    <n v="4"/>
    <n v="31069"/>
    <n v="10"/>
    <n v="111848.4"/>
    <n v="6020.19"/>
    <x v="2"/>
  </r>
  <r>
    <s v="ORD00696"/>
    <x v="233"/>
    <d v="2024-08-26T00:00:00"/>
    <s v="South"/>
    <s v="India"/>
    <s v="Maharashtra"/>
    <s v="Bangalore"/>
    <x v="674"/>
    <x v="0"/>
    <s v="Furniture"/>
    <s v="Storage"/>
    <s v="Product_91"/>
    <x v="2"/>
    <x v="0"/>
    <s v="Net Banking"/>
    <s v="Low"/>
    <n v="4"/>
    <n v="966"/>
    <n v="0"/>
    <n v="3864"/>
    <n v="1018.17"/>
    <x v="8"/>
  </r>
  <r>
    <s v="ORD00697"/>
    <x v="503"/>
    <d v="2024-06-07T00:00:00"/>
    <s v="South"/>
    <s v="India"/>
    <s v="Delhi"/>
    <s v="Ahmedabad"/>
    <x v="675"/>
    <x v="2"/>
    <s v="Office Supplies"/>
    <s v="Storage"/>
    <s v="Product_81"/>
    <x v="1"/>
    <x v="1"/>
    <s v="Debit Card"/>
    <s v="High"/>
    <n v="3"/>
    <n v="46948"/>
    <n v="0"/>
    <n v="140844"/>
    <n v="38244.9"/>
    <x v="2"/>
  </r>
  <r>
    <s v="ORD00698"/>
    <x v="30"/>
    <d v="2023-01-21T00:00:00"/>
    <s v="South"/>
    <s v="India"/>
    <s v="Karnataka"/>
    <s v="Bangalore"/>
    <x v="676"/>
    <x v="0"/>
    <s v="Office Supplies"/>
    <s v="Laptop"/>
    <s v="Product_86"/>
    <x v="4"/>
    <x v="1"/>
    <s v="UPI"/>
    <s v="Critical"/>
    <n v="1"/>
    <n v="39101"/>
    <n v="20"/>
    <n v="31280.799999999999"/>
    <n v="2340.5700000000002"/>
    <x v="1"/>
  </r>
  <r>
    <s v="ORD00699"/>
    <x v="504"/>
    <d v="2024-06-28T00:00:00"/>
    <s v="North"/>
    <s v="India"/>
    <s v="Gujarat"/>
    <s v="Ahmedabad"/>
    <x v="677"/>
    <x v="0"/>
    <s v="Furniture"/>
    <s v="Laptop"/>
    <s v="Product_22"/>
    <x v="3"/>
    <x v="0"/>
    <s v="Debit Card"/>
    <s v="Critical"/>
    <n v="7"/>
    <n v="17218"/>
    <n v="20"/>
    <n v="96420.800000000003"/>
    <n v="-17305.48"/>
    <x v="2"/>
  </r>
  <r>
    <s v="ORD00700"/>
    <x v="369"/>
    <d v="2022-09-25T00:00:00"/>
    <s v="West"/>
    <s v="India"/>
    <s v="Karnataka"/>
    <s v="Mumbai"/>
    <x v="678"/>
    <x v="1"/>
    <s v="Furniture"/>
    <s v="Mobile"/>
    <s v="Product_174"/>
    <x v="5"/>
    <x v="1"/>
    <s v="UPI"/>
    <s v="Low"/>
    <n v="10"/>
    <n v="4062"/>
    <n v="0"/>
    <n v="40620"/>
    <n v="6779.39"/>
    <x v="7"/>
  </r>
  <r>
    <s v="ORD00701"/>
    <x v="505"/>
    <d v="2024-03-09T00:00:00"/>
    <s v="South"/>
    <s v="India"/>
    <s v="Delhi"/>
    <s v="Ahmedabad"/>
    <x v="679"/>
    <x v="1"/>
    <s v="Furniture"/>
    <s v="Printer"/>
    <s v="Product_164"/>
    <x v="3"/>
    <x v="1"/>
    <s v="Cash"/>
    <s v="High"/>
    <n v="6"/>
    <n v="29082"/>
    <n v="15"/>
    <n v="148318.20000000001"/>
    <n v="16837.419999999998"/>
    <x v="0"/>
  </r>
  <r>
    <s v="ORD00702"/>
    <x v="12"/>
    <d v="2022-05-19T00:00:00"/>
    <s v="West"/>
    <s v="India"/>
    <s v="Tamil Nadu"/>
    <s v="Bangalore"/>
    <x v="680"/>
    <x v="0"/>
    <s v="Office Supplies"/>
    <s v="Table"/>
    <s v="Product_196"/>
    <x v="4"/>
    <x v="0"/>
    <s v="Net Banking"/>
    <s v="High"/>
    <n v="2"/>
    <n v="882"/>
    <n v="20"/>
    <n v="1411.2"/>
    <n v="-76.209999999999994"/>
    <x v="4"/>
  </r>
  <r>
    <s v="ORD00703"/>
    <x v="506"/>
    <d v="2022-10-06T00:00:00"/>
    <s v="North"/>
    <s v="India"/>
    <s v="Maharashtra"/>
    <s v="Chennai"/>
    <x v="681"/>
    <x v="2"/>
    <s v="Office Supplies"/>
    <s v="Storage"/>
    <s v="Product_168"/>
    <x v="1"/>
    <x v="1"/>
    <s v="Net Banking"/>
    <s v="Low"/>
    <n v="2"/>
    <n v="1332"/>
    <n v="10"/>
    <n v="2397.6"/>
    <n v="82.14"/>
    <x v="10"/>
  </r>
  <r>
    <s v="ORD00704"/>
    <x v="75"/>
    <d v="2022-03-31T00:00:00"/>
    <s v="South"/>
    <s v="India"/>
    <s v="Karnataka"/>
    <s v="Chennai"/>
    <x v="682"/>
    <x v="2"/>
    <s v="Office Supplies"/>
    <s v="Table"/>
    <s v="Product_112"/>
    <x v="2"/>
    <x v="1"/>
    <s v="UPI"/>
    <s v="Medium"/>
    <n v="7"/>
    <n v="3025"/>
    <n v="5"/>
    <n v="20116.25"/>
    <n v="775.97"/>
    <x v="0"/>
  </r>
  <r>
    <s v="ORD00705"/>
    <x v="462"/>
    <d v="2022-02-04T00:00:00"/>
    <s v="West"/>
    <s v="India"/>
    <s v="Delhi"/>
    <s v="Delhi"/>
    <x v="683"/>
    <x v="2"/>
    <s v="Office Supplies"/>
    <s v="Laptop"/>
    <s v="Product_176"/>
    <x v="5"/>
    <x v="1"/>
    <s v="Net Banking"/>
    <s v="Low"/>
    <n v="9"/>
    <n v="24804"/>
    <n v="10"/>
    <n v="200912.4"/>
    <n v="35171.129999999997"/>
    <x v="1"/>
  </r>
  <r>
    <s v="ORD00706"/>
    <x v="507"/>
    <d v="2024-03-14T00:00:00"/>
    <s v="North"/>
    <s v="India"/>
    <s v="Karnataka"/>
    <s v="Mumbai"/>
    <x v="684"/>
    <x v="0"/>
    <s v="Furniture"/>
    <s v="Storage"/>
    <s v="Product_166"/>
    <x v="5"/>
    <x v="0"/>
    <s v="UPI"/>
    <s v="Critical"/>
    <n v="10"/>
    <n v="16290"/>
    <n v="20"/>
    <n v="130320"/>
    <n v="-17427.43"/>
    <x v="0"/>
  </r>
  <r>
    <s v="ORD00707"/>
    <x v="508"/>
    <d v="2023-07-10T00:00:00"/>
    <s v="South"/>
    <s v="India"/>
    <s v="Delhi"/>
    <s v="Delhi"/>
    <x v="685"/>
    <x v="1"/>
    <s v="Electronics"/>
    <s v="Printer"/>
    <s v="Product_174"/>
    <x v="3"/>
    <x v="0"/>
    <s v="Credit Card"/>
    <s v="Critical"/>
    <n v="2"/>
    <n v="45128"/>
    <n v="15"/>
    <n v="76717.600000000006"/>
    <n v="4911.1899999999996"/>
    <x v="11"/>
  </r>
  <r>
    <s v="ORD00708"/>
    <x v="457"/>
    <d v="2024-02-02T00:00:00"/>
    <s v="North"/>
    <s v="India"/>
    <s v="Delhi"/>
    <s v="Ahmedabad"/>
    <x v="686"/>
    <x v="2"/>
    <s v="Office Supplies"/>
    <s v="Mobile"/>
    <s v="Product_32"/>
    <x v="5"/>
    <x v="0"/>
    <s v="Credit Card"/>
    <s v="High"/>
    <n v="4"/>
    <n v="47756"/>
    <n v="20"/>
    <n v="152819.20000000001"/>
    <n v="9077.89"/>
    <x v="1"/>
  </r>
  <r>
    <s v="ORD00709"/>
    <x v="187"/>
    <d v="2022-01-15T00:00:00"/>
    <s v="North"/>
    <s v="India"/>
    <s v="Delhi"/>
    <s v="Ahmedabad"/>
    <x v="687"/>
    <x v="1"/>
    <s v="Electronics"/>
    <s v="Mobile"/>
    <s v="Product_4"/>
    <x v="1"/>
    <x v="0"/>
    <s v="UPI"/>
    <s v="Critical"/>
    <n v="3"/>
    <n v="11032"/>
    <n v="15"/>
    <n v="28131.599999999999"/>
    <n v="1186.8900000000001"/>
    <x v="1"/>
  </r>
  <r>
    <s v="ORD00710"/>
    <x v="383"/>
    <d v="2023-01-11T00:00:00"/>
    <s v="North"/>
    <s v="India"/>
    <s v="Gujarat"/>
    <s v="Ahmedabad"/>
    <x v="156"/>
    <x v="2"/>
    <s v="Furniture"/>
    <s v="Table"/>
    <s v="Product_42"/>
    <x v="5"/>
    <x v="0"/>
    <s v="Debit Card"/>
    <s v="Critical"/>
    <n v="9"/>
    <n v="13302"/>
    <n v="0"/>
    <n v="119718"/>
    <n v="31368.93"/>
    <x v="1"/>
  </r>
  <r>
    <s v="ORD00711"/>
    <x v="313"/>
    <d v="2022-10-27T00:00:00"/>
    <s v="West"/>
    <s v="India"/>
    <s v="Gujarat"/>
    <s v="Mumbai"/>
    <x v="615"/>
    <x v="2"/>
    <s v="Furniture"/>
    <s v="Table"/>
    <s v="Product_116"/>
    <x v="4"/>
    <x v="0"/>
    <s v="Cash"/>
    <s v="Medium"/>
    <n v="3"/>
    <n v="47791"/>
    <n v="15"/>
    <n v="121867.05"/>
    <n v="15542.81"/>
    <x v="10"/>
  </r>
  <r>
    <s v="ORD00712"/>
    <x v="509"/>
    <d v="2023-01-25T00:00:00"/>
    <s v="North"/>
    <s v="India"/>
    <s v="Maharashtra"/>
    <s v="Mumbai"/>
    <x v="688"/>
    <x v="0"/>
    <s v="Electronics"/>
    <s v="Storage"/>
    <s v="Product_175"/>
    <x v="4"/>
    <x v="0"/>
    <s v="Net Banking"/>
    <s v="High"/>
    <n v="1"/>
    <n v="7425"/>
    <n v="5"/>
    <n v="7053.75"/>
    <n v="818.19"/>
    <x v="1"/>
  </r>
  <r>
    <s v="ORD00713"/>
    <x v="510"/>
    <d v="2022-03-05T00:00:00"/>
    <s v="South"/>
    <s v="India"/>
    <s v="Gujarat"/>
    <s v="Delhi"/>
    <x v="689"/>
    <x v="2"/>
    <s v="Electronics"/>
    <s v="Mobile"/>
    <s v="Product_200"/>
    <x v="1"/>
    <x v="0"/>
    <s v="UPI"/>
    <s v="Medium"/>
    <n v="9"/>
    <n v="36090"/>
    <n v="20"/>
    <n v="259848"/>
    <n v="27375.86"/>
    <x v="0"/>
  </r>
  <r>
    <s v="ORD00714"/>
    <x v="77"/>
    <d v="2023-04-19T00:00:00"/>
    <s v="East"/>
    <s v="India"/>
    <s v="Karnataka"/>
    <s v="Delhi"/>
    <x v="690"/>
    <x v="1"/>
    <s v="Furniture"/>
    <s v="Storage"/>
    <s v="Product_60"/>
    <x v="2"/>
    <x v="0"/>
    <s v="Cash"/>
    <s v="High"/>
    <n v="9"/>
    <n v="14568"/>
    <n v="5"/>
    <n v="124556.4"/>
    <n v="18054.509999999998"/>
    <x v="6"/>
  </r>
  <r>
    <s v="ORD00715"/>
    <x v="250"/>
    <d v="2024-04-26T00:00:00"/>
    <s v="East"/>
    <s v="India"/>
    <s v="Karnataka"/>
    <s v="Bangalore"/>
    <x v="691"/>
    <x v="1"/>
    <s v="Electronics"/>
    <s v="Mobile"/>
    <s v="Product_9"/>
    <x v="2"/>
    <x v="0"/>
    <s v="Cash"/>
    <s v="Critical"/>
    <n v="8"/>
    <n v="21341"/>
    <n v="15"/>
    <n v="145118.79999999999"/>
    <n v="10351.56"/>
    <x v="6"/>
  </r>
  <r>
    <s v="ORD00716"/>
    <x v="190"/>
    <d v="2024-03-30T00:00:00"/>
    <s v="West"/>
    <s v="India"/>
    <s v="Delhi"/>
    <s v="Chennai"/>
    <x v="692"/>
    <x v="0"/>
    <s v="Office Supplies"/>
    <s v="Mobile"/>
    <s v="Product_103"/>
    <x v="0"/>
    <x v="0"/>
    <s v="Debit Card"/>
    <s v="High"/>
    <n v="3"/>
    <n v="22244"/>
    <n v="15"/>
    <n v="56722.2"/>
    <n v="5801.69"/>
    <x v="0"/>
  </r>
  <r>
    <s v="ORD00717"/>
    <x v="215"/>
    <d v="2023-03-18T00:00:00"/>
    <s v="East"/>
    <s v="India"/>
    <s v="Maharashtra"/>
    <s v="Delhi"/>
    <x v="693"/>
    <x v="0"/>
    <s v="Electronics"/>
    <s v="Laptop"/>
    <s v="Product_56"/>
    <x v="4"/>
    <x v="1"/>
    <s v="Cash"/>
    <s v="High"/>
    <n v="2"/>
    <n v="23630"/>
    <n v="20"/>
    <n v="37808"/>
    <n v="1929.77"/>
    <x v="0"/>
  </r>
  <r>
    <s v="ORD00718"/>
    <x v="511"/>
    <d v="2022-12-23T00:00:00"/>
    <s v="North"/>
    <s v="India"/>
    <s v="Gujarat"/>
    <s v="Chennai"/>
    <x v="694"/>
    <x v="2"/>
    <s v="Office Supplies"/>
    <s v="Table"/>
    <s v="Product_152"/>
    <x v="4"/>
    <x v="1"/>
    <s v="Debit Card"/>
    <s v="Medium"/>
    <n v="3"/>
    <n v="27854"/>
    <n v="20"/>
    <n v="66849.600000000006"/>
    <n v="-8665.02"/>
    <x v="9"/>
  </r>
  <r>
    <s v="ORD00719"/>
    <x v="512"/>
    <d v="2023-12-14T00:00:00"/>
    <s v="West"/>
    <s v="India"/>
    <s v="Gujarat"/>
    <s v="Mumbai"/>
    <x v="695"/>
    <x v="1"/>
    <s v="Electronics"/>
    <s v="Laptop"/>
    <s v="Product_13"/>
    <x v="3"/>
    <x v="0"/>
    <s v="Net Banking"/>
    <s v="Low"/>
    <n v="10"/>
    <n v="45023"/>
    <n v="15"/>
    <n v="382695.5"/>
    <n v="41614.61"/>
    <x v="9"/>
  </r>
  <r>
    <s v="ORD00720"/>
    <x v="513"/>
    <d v="2024-07-16T00:00:00"/>
    <s v="North"/>
    <s v="India"/>
    <s v="Maharashtra"/>
    <s v="Ahmedabad"/>
    <x v="696"/>
    <x v="1"/>
    <s v="Office Supplies"/>
    <s v="Table"/>
    <s v="Product_171"/>
    <x v="4"/>
    <x v="1"/>
    <s v="UPI"/>
    <s v="High"/>
    <n v="6"/>
    <n v="8706"/>
    <n v="20"/>
    <n v="41788.800000000003"/>
    <n v="-2086.65"/>
    <x v="11"/>
  </r>
  <r>
    <s v="ORD00721"/>
    <x v="459"/>
    <d v="2024-01-03T00:00:00"/>
    <s v="East"/>
    <s v="India"/>
    <s v="Maharashtra"/>
    <s v="Delhi"/>
    <x v="697"/>
    <x v="2"/>
    <s v="Furniture"/>
    <s v="Mobile"/>
    <s v="Product_79"/>
    <x v="1"/>
    <x v="1"/>
    <s v="Credit Card"/>
    <s v="Critical"/>
    <n v="10"/>
    <n v="36510"/>
    <n v="20"/>
    <n v="292080"/>
    <n v="-9651.84"/>
    <x v="1"/>
  </r>
  <r>
    <s v="ORD00722"/>
    <x v="13"/>
    <d v="2022-02-17T00:00:00"/>
    <s v="North"/>
    <s v="India"/>
    <s v="Maharashtra"/>
    <s v="Ahmedabad"/>
    <x v="698"/>
    <x v="0"/>
    <s v="Electronics"/>
    <s v="Mobile"/>
    <s v="Product_45"/>
    <x v="4"/>
    <x v="0"/>
    <s v="Debit Card"/>
    <s v="High"/>
    <n v="4"/>
    <n v="21037"/>
    <n v="5"/>
    <n v="79940.600000000006"/>
    <n v="7961.23"/>
    <x v="5"/>
  </r>
  <r>
    <s v="ORD00723"/>
    <x v="514"/>
    <d v="2023-07-18T00:00:00"/>
    <s v="North"/>
    <s v="India"/>
    <s v="Karnataka"/>
    <s v="Bangalore"/>
    <x v="699"/>
    <x v="2"/>
    <s v="Office Supplies"/>
    <s v="Laptop"/>
    <s v="Product_178"/>
    <x v="0"/>
    <x v="1"/>
    <s v="Cash"/>
    <s v="Medium"/>
    <n v="5"/>
    <n v="13739"/>
    <n v="10"/>
    <n v="61825.5"/>
    <n v="3515.93"/>
    <x v="11"/>
  </r>
  <r>
    <s v="ORD00724"/>
    <x v="366"/>
    <d v="2022-03-10T00:00:00"/>
    <s v="South"/>
    <s v="India"/>
    <s v="Maharashtra"/>
    <s v="Chennai"/>
    <x v="700"/>
    <x v="0"/>
    <s v="Furniture"/>
    <s v="Chair"/>
    <s v="Product_3"/>
    <x v="4"/>
    <x v="0"/>
    <s v="UPI"/>
    <s v="Critical"/>
    <n v="6"/>
    <n v="30068"/>
    <n v="15"/>
    <n v="153346.79999999999"/>
    <n v="-11804.18"/>
    <x v="5"/>
  </r>
  <r>
    <s v="ORD00725"/>
    <x v="515"/>
    <d v="2023-01-19T00:00:00"/>
    <s v="East"/>
    <s v="India"/>
    <s v="Delhi"/>
    <s v="Mumbai"/>
    <x v="701"/>
    <x v="2"/>
    <s v="Electronics"/>
    <s v="Printer"/>
    <s v="Product_125"/>
    <x v="3"/>
    <x v="0"/>
    <s v="Net Banking"/>
    <s v="Medium"/>
    <n v="2"/>
    <n v="40584"/>
    <n v="5"/>
    <n v="77109.600000000006"/>
    <n v="259.55"/>
    <x v="1"/>
  </r>
  <r>
    <s v="ORD00726"/>
    <x v="476"/>
    <d v="2024-03-21T00:00:00"/>
    <s v="West"/>
    <s v="India"/>
    <s v="Tamil Nadu"/>
    <s v="Mumbai"/>
    <x v="702"/>
    <x v="1"/>
    <s v="Electronics"/>
    <s v="Printer"/>
    <s v="Product_10"/>
    <x v="3"/>
    <x v="0"/>
    <s v="Net Banking"/>
    <s v="Low"/>
    <n v="4"/>
    <n v="22292"/>
    <n v="10"/>
    <n v="80251.199999999997"/>
    <n v="6688.86"/>
    <x v="0"/>
  </r>
  <r>
    <s v="ORD00727"/>
    <x v="516"/>
    <d v="2022-09-08T00:00:00"/>
    <s v="West"/>
    <s v="India"/>
    <s v="Gujarat"/>
    <s v="Ahmedabad"/>
    <x v="703"/>
    <x v="2"/>
    <s v="Electronics"/>
    <s v="Chair"/>
    <s v="Product_155"/>
    <x v="5"/>
    <x v="0"/>
    <s v="Credit Card"/>
    <s v="High"/>
    <n v="5"/>
    <n v="28614"/>
    <n v="5"/>
    <n v="135916.5"/>
    <n v="875.89"/>
    <x v="8"/>
  </r>
  <r>
    <s v="ORD00728"/>
    <x v="138"/>
    <d v="2023-10-27T00:00:00"/>
    <s v="South"/>
    <s v="India"/>
    <s v="Gujarat"/>
    <s v="Ahmedabad"/>
    <x v="704"/>
    <x v="1"/>
    <s v="Electronics"/>
    <s v="Laptop"/>
    <s v="Product_127"/>
    <x v="1"/>
    <x v="1"/>
    <s v="Credit Card"/>
    <s v="Critical"/>
    <n v="10"/>
    <n v="42388"/>
    <n v="10"/>
    <n v="381492"/>
    <n v="78030.58"/>
    <x v="10"/>
  </r>
  <r>
    <s v="ORD00729"/>
    <x v="517"/>
    <d v="2024-01-03T00:00:00"/>
    <s v="East"/>
    <s v="India"/>
    <s v="Gujarat"/>
    <s v="Delhi"/>
    <x v="705"/>
    <x v="2"/>
    <s v="Furniture"/>
    <s v="Storage"/>
    <s v="Product_5"/>
    <x v="2"/>
    <x v="1"/>
    <s v="UPI"/>
    <s v="Low"/>
    <n v="8"/>
    <n v="16214"/>
    <n v="20"/>
    <n v="103769.60000000001"/>
    <n v="-6683"/>
    <x v="9"/>
  </r>
  <r>
    <s v="ORD00730"/>
    <x v="444"/>
    <d v="2023-10-30T00:00:00"/>
    <s v="North"/>
    <s v="India"/>
    <s v="Tamil Nadu"/>
    <s v="Bangalore"/>
    <x v="401"/>
    <x v="2"/>
    <s v="Office Supplies"/>
    <s v="Laptop"/>
    <s v="Product_185"/>
    <x v="5"/>
    <x v="1"/>
    <s v="Cash"/>
    <s v="Critical"/>
    <n v="9"/>
    <n v="22961"/>
    <n v="10"/>
    <n v="185984.1"/>
    <n v="26669.07"/>
    <x v="10"/>
  </r>
  <r>
    <s v="ORD00731"/>
    <x v="324"/>
    <d v="2023-10-03T00:00:00"/>
    <s v="South"/>
    <s v="India"/>
    <s v="Gujarat"/>
    <s v="Ahmedabad"/>
    <x v="706"/>
    <x v="1"/>
    <s v="Electronics"/>
    <s v="Mobile"/>
    <s v="Product_96"/>
    <x v="5"/>
    <x v="1"/>
    <s v="Net Banking"/>
    <s v="Medium"/>
    <n v="10"/>
    <n v="31904"/>
    <n v="0"/>
    <n v="319040"/>
    <n v="93540"/>
    <x v="7"/>
  </r>
  <r>
    <s v="ORD00732"/>
    <x v="252"/>
    <d v="2023-06-04T00:00:00"/>
    <s v="South"/>
    <s v="India"/>
    <s v="Karnataka"/>
    <s v="Ahmedabad"/>
    <x v="707"/>
    <x v="1"/>
    <s v="Office Supplies"/>
    <s v="Table"/>
    <s v="Product_183"/>
    <x v="4"/>
    <x v="0"/>
    <s v="UPI"/>
    <s v="Critical"/>
    <n v="2"/>
    <n v="48862"/>
    <n v="0"/>
    <n v="97724"/>
    <n v="7752.42"/>
    <x v="2"/>
  </r>
  <r>
    <s v="ORD00733"/>
    <x v="289"/>
    <d v="2024-07-05T00:00:00"/>
    <s v="West"/>
    <s v="India"/>
    <s v="Gujarat"/>
    <s v="Ahmedabad"/>
    <x v="708"/>
    <x v="2"/>
    <s v="Electronics"/>
    <s v="Table"/>
    <s v="Product_186"/>
    <x v="5"/>
    <x v="0"/>
    <s v="Debit Card"/>
    <s v="Low"/>
    <n v="6"/>
    <n v="10541"/>
    <n v="15"/>
    <n v="53759.1"/>
    <n v="9248.6"/>
    <x v="11"/>
  </r>
  <r>
    <s v="ORD00734"/>
    <x v="518"/>
    <d v="2023-02-13T00:00:00"/>
    <s v="North"/>
    <s v="India"/>
    <s v="Tamil Nadu"/>
    <s v="Mumbai"/>
    <x v="709"/>
    <x v="0"/>
    <s v="Office Supplies"/>
    <s v="Laptop"/>
    <s v="Product_25"/>
    <x v="2"/>
    <x v="0"/>
    <s v="Credit Card"/>
    <s v="Critical"/>
    <n v="3"/>
    <n v="38728"/>
    <n v="10"/>
    <n v="104565.6"/>
    <n v="4196.07"/>
    <x v="5"/>
  </r>
  <r>
    <s v="ORD00735"/>
    <x v="85"/>
    <d v="2023-07-17T00:00:00"/>
    <s v="South"/>
    <s v="India"/>
    <s v="Delhi"/>
    <s v="Chennai"/>
    <x v="710"/>
    <x v="2"/>
    <s v="Electronics"/>
    <s v="Storage"/>
    <s v="Product_21"/>
    <x v="1"/>
    <x v="1"/>
    <s v="Cash"/>
    <s v="Low"/>
    <n v="9"/>
    <n v="41426"/>
    <n v="0"/>
    <n v="372834"/>
    <n v="72573.929999999993"/>
    <x v="11"/>
  </r>
  <r>
    <s v="ORD00736"/>
    <x v="138"/>
    <d v="2023-10-25T00:00:00"/>
    <s v="South"/>
    <s v="India"/>
    <s v="Karnataka"/>
    <s v="Delhi"/>
    <x v="711"/>
    <x v="0"/>
    <s v="Electronics"/>
    <s v="Table"/>
    <s v="Product_155"/>
    <x v="5"/>
    <x v="0"/>
    <s v="Credit Card"/>
    <s v="Low"/>
    <n v="7"/>
    <n v="22871"/>
    <n v="5"/>
    <n v="152092.15"/>
    <n v="16313.11"/>
    <x v="10"/>
  </r>
  <r>
    <s v="ORD00737"/>
    <x v="75"/>
    <d v="2022-03-31T00:00:00"/>
    <s v="North"/>
    <s v="India"/>
    <s v="Karnataka"/>
    <s v="Ahmedabad"/>
    <x v="712"/>
    <x v="1"/>
    <s v="Furniture"/>
    <s v="Mobile"/>
    <s v="Product_27"/>
    <x v="0"/>
    <x v="1"/>
    <s v="Credit Card"/>
    <s v="Medium"/>
    <n v="3"/>
    <n v="24018"/>
    <n v="15"/>
    <n v="61245.9"/>
    <n v="6276.05"/>
    <x v="0"/>
  </r>
  <r>
    <s v="ORD00738"/>
    <x v="519"/>
    <d v="2024-06-29T00:00:00"/>
    <s v="North"/>
    <s v="India"/>
    <s v="Tamil Nadu"/>
    <s v="Delhi"/>
    <x v="713"/>
    <x v="0"/>
    <s v="Electronics"/>
    <s v="Storage"/>
    <s v="Product_13"/>
    <x v="0"/>
    <x v="0"/>
    <s v="Credit Card"/>
    <s v="Low"/>
    <n v="7"/>
    <n v="10526"/>
    <n v="5"/>
    <n v="69997.899999999994"/>
    <n v="15948.42"/>
    <x v="2"/>
  </r>
  <r>
    <s v="ORD00739"/>
    <x v="358"/>
    <d v="2022-04-15T00:00:00"/>
    <s v="West"/>
    <s v="India"/>
    <s v="Karnataka"/>
    <s v="Bangalore"/>
    <x v="714"/>
    <x v="1"/>
    <s v="Electronics"/>
    <s v="Storage"/>
    <s v="Product_12"/>
    <x v="1"/>
    <x v="0"/>
    <s v="Cash"/>
    <s v="Critical"/>
    <n v="2"/>
    <n v="22803"/>
    <n v="0"/>
    <n v="45606"/>
    <n v="12683.03"/>
    <x v="6"/>
  </r>
  <r>
    <s v="ORD00740"/>
    <x v="520"/>
    <d v="2023-01-09T00:00:00"/>
    <s v="West"/>
    <s v="India"/>
    <s v="Maharashtra"/>
    <s v="Bangalore"/>
    <x v="715"/>
    <x v="1"/>
    <s v="Electronics"/>
    <s v="Table"/>
    <s v="Product_139"/>
    <x v="5"/>
    <x v="0"/>
    <s v="Cash"/>
    <s v="High"/>
    <n v="9"/>
    <n v="6278"/>
    <n v="0"/>
    <n v="56502"/>
    <n v="16620.38"/>
    <x v="1"/>
  </r>
  <r>
    <s v="ORD00741"/>
    <x v="521"/>
    <d v="2024-02-11T00:00:00"/>
    <s v="East"/>
    <s v="India"/>
    <s v="Gujarat"/>
    <s v="Ahmedabad"/>
    <x v="716"/>
    <x v="0"/>
    <s v="Office Supplies"/>
    <s v="Laptop"/>
    <s v="Product_109"/>
    <x v="3"/>
    <x v="0"/>
    <s v="Net Banking"/>
    <s v="High"/>
    <n v="9"/>
    <n v="25121"/>
    <n v="5"/>
    <n v="214784.55"/>
    <n v="42170.96"/>
    <x v="5"/>
  </r>
  <r>
    <s v="ORD00742"/>
    <x v="128"/>
    <d v="2023-03-11T00:00:00"/>
    <s v="West"/>
    <s v="India"/>
    <s v="Delhi"/>
    <s v="Ahmedabad"/>
    <x v="151"/>
    <x v="2"/>
    <s v="Electronics"/>
    <s v="Laptop"/>
    <s v="Product_64"/>
    <x v="4"/>
    <x v="0"/>
    <s v="Credit Card"/>
    <s v="High"/>
    <n v="6"/>
    <n v="35933"/>
    <n v="20"/>
    <n v="172478.4"/>
    <n v="-11492.72"/>
    <x v="0"/>
  </r>
  <r>
    <s v="ORD00743"/>
    <x v="240"/>
    <d v="2024-01-03T00:00:00"/>
    <s v="South"/>
    <s v="India"/>
    <s v="Gujarat"/>
    <s v="Bangalore"/>
    <x v="717"/>
    <x v="2"/>
    <s v="Furniture"/>
    <s v="Printer"/>
    <s v="Product_165"/>
    <x v="1"/>
    <x v="1"/>
    <s v="Net Banking"/>
    <s v="Medium"/>
    <n v="4"/>
    <n v="14610"/>
    <n v="15"/>
    <n v="49674"/>
    <n v="701.1"/>
    <x v="9"/>
  </r>
  <r>
    <s v="ORD00744"/>
    <x v="215"/>
    <d v="2023-03-21T00:00:00"/>
    <s v="North"/>
    <s v="India"/>
    <s v="Karnataka"/>
    <s v="Chennai"/>
    <x v="718"/>
    <x v="1"/>
    <s v="Electronics"/>
    <s v="Printer"/>
    <s v="Product_132"/>
    <x v="1"/>
    <x v="0"/>
    <s v="Debit Card"/>
    <s v="High"/>
    <n v="5"/>
    <n v="16092"/>
    <n v="15"/>
    <n v="68391"/>
    <n v="-6700.27"/>
    <x v="0"/>
  </r>
  <r>
    <s v="ORD00745"/>
    <x v="522"/>
    <d v="2022-08-07T00:00:00"/>
    <s v="South"/>
    <s v="India"/>
    <s v="Maharashtra"/>
    <s v="Bangalore"/>
    <x v="719"/>
    <x v="2"/>
    <s v="Office Supplies"/>
    <s v="Storage"/>
    <s v="Product_73"/>
    <x v="3"/>
    <x v="1"/>
    <s v="Credit Card"/>
    <s v="Medium"/>
    <n v="5"/>
    <n v="42313"/>
    <n v="5"/>
    <n v="200986.75"/>
    <n v="1939.43"/>
    <x v="8"/>
  </r>
  <r>
    <s v="ORD00746"/>
    <x v="523"/>
    <d v="2023-11-28T00:00:00"/>
    <s v="South"/>
    <s v="India"/>
    <s v="Maharashtra"/>
    <s v="Bangalore"/>
    <x v="720"/>
    <x v="2"/>
    <s v="Office Supplies"/>
    <s v="Storage"/>
    <s v="Product_161"/>
    <x v="5"/>
    <x v="1"/>
    <s v="Cash"/>
    <s v="Low"/>
    <n v="9"/>
    <n v="31019"/>
    <n v="10"/>
    <n v="251253.9"/>
    <n v="16028.63"/>
    <x v="3"/>
  </r>
  <r>
    <s v="ORD00747"/>
    <x v="300"/>
    <d v="2023-11-09T00:00:00"/>
    <s v="West"/>
    <s v="India"/>
    <s v="Karnataka"/>
    <s v="Chennai"/>
    <x v="721"/>
    <x v="2"/>
    <s v="Electronics"/>
    <s v="Laptop"/>
    <s v="Product_185"/>
    <x v="0"/>
    <x v="0"/>
    <s v="UPI"/>
    <s v="Medium"/>
    <n v="9"/>
    <n v="28938"/>
    <n v="5"/>
    <n v="247419.9"/>
    <n v="59294.63"/>
    <x v="3"/>
  </r>
  <r>
    <s v="ORD00748"/>
    <x v="524"/>
    <d v="2022-05-16T00:00:00"/>
    <s v="West"/>
    <s v="India"/>
    <s v="Gujarat"/>
    <s v="Ahmedabad"/>
    <x v="722"/>
    <x v="2"/>
    <s v="Furniture"/>
    <s v="Table"/>
    <s v="Product_116"/>
    <x v="3"/>
    <x v="0"/>
    <s v="Credit Card"/>
    <s v="High"/>
    <n v="10"/>
    <n v="10193"/>
    <n v="20"/>
    <n v="81544"/>
    <n v="9009.08"/>
    <x v="4"/>
  </r>
  <r>
    <s v="ORD00749"/>
    <x v="125"/>
    <d v="2024-09-07T00:00:00"/>
    <s v="North"/>
    <s v="India"/>
    <s v="Tamil Nadu"/>
    <s v="Chennai"/>
    <x v="173"/>
    <x v="0"/>
    <s v="Furniture"/>
    <s v="Storage"/>
    <s v="Product_183"/>
    <x v="3"/>
    <x v="0"/>
    <s v="Net Banking"/>
    <s v="Critical"/>
    <n v="5"/>
    <n v="28585"/>
    <n v="20"/>
    <n v="114340"/>
    <n v="1273.44"/>
    <x v="7"/>
  </r>
  <r>
    <s v="ORD00750"/>
    <x v="425"/>
    <d v="2022-04-23T00:00:00"/>
    <s v="East"/>
    <s v="India"/>
    <s v="Delhi"/>
    <s v="Mumbai"/>
    <x v="723"/>
    <x v="1"/>
    <s v="Furniture"/>
    <s v="Laptop"/>
    <s v="Product_50"/>
    <x v="1"/>
    <x v="1"/>
    <s v="Cash"/>
    <s v="Low"/>
    <n v="3"/>
    <n v="3014"/>
    <n v="5"/>
    <n v="8589.9"/>
    <n v="1445.76"/>
    <x v="6"/>
  </r>
  <r>
    <s v="ORD00751"/>
    <x v="307"/>
    <d v="2023-05-15T00:00:00"/>
    <s v="South"/>
    <s v="India"/>
    <s v="Gujarat"/>
    <s v="Bangalore"/>
    <x v="724"/>
    <x v="2"/>
    <s v="Electronics"/>
    <s v="Storage"/>
    <s v="Product_22"/>
    <x v="5"/>
    <x v="0"/>
    <s v="UPI"/>
    <s v="Critical"/>
    <n v="10"/>
    <n v="28166"/>
    <n v="20"/>
    <n v="225328"/>
    <n v="889.41"/>
    <x v="4"/>
  </r>
  <r>
    <s v="ORD00752"/>
    <x v="443"/>
    <d v="2022-03-17T00:00:00"/>
    <s v="South"/>
    <s v="India"/>
    <s v="Karnataka"/>
    <s v="Bangalore"/>
    <x v="283"/>
    <x v="0"/>
    <s v="Electronics"/>
    <s v="Storage"/>
    <s v="Product_45"/>
    <x v="5"/>
    <x v="0"/>
    <s v="Net Banking"/>
    <s v="High"/>
    <n v="10"/>
    <n v="24964"/>
    <n v="20"/>
    <n v="199712"/>
    <n v="-10838.69"/>
    <x v="0"/>
  </r>
  <r>
    <s v="ORD00753"/>
    <x v="525"/>
    <d v="2022-02-05T00:00:00"/>
    <s v="West"/>
    <s v="India"/>
    <s v="Karnataka"/>
    <s v="Mumbai"/>
    <x v="725"/>
    <x v="2"/>
    <s v="Electronics"/>
    <s v="Chair"/>
    <s v="Product_118"/>
    <x v="1"/>
    <x v="0"/>
    <s v="Net Banking"/>
    <s v="Critical"/>
    <n v="9"/>
    <n v="45071"/>
    <n v="0"/>
    <n v="405639"/>
    <n v="58220.11"/>
    <x v="1"/>
  </r>
  <r>
    <s v="ORD00754"/>
    <x v="463"/>
    <d v="2023-09-10T00:00:00"/>
    <s v="North"/>
    <s v="India"/>
    <s v="Tamil Nadu"/>
    <s v="Bangalore"/>
    <x v="726"/>
    <x v="1"/>
    <s v="Office Supplies"/>
    <s v="Laptop"/>
    <s v="Product_147"/>
    <x v="3"/>
    <x v="0"/>
    <s v="Credit Card"/>
    <s v="Medium"/>
    <n v="3"/>
    <n v="20583"/>
    <n v="10"/>
    <n v="55574.1"/>
    <n v="-107.03"/>
    <x v="7"/>
  </r>
  <r>
    <s v="ORD00755"/>
    <x v="258"/>
    <d v="2023-06-14T00:00:00"/>
    <s v="South"/>
    <s v="India"/>
    <s v="Karnataka"/>
    <s v="Ahmedabad"/>
    <x v="727"/>
    <x v="1"/>
    <s v="Office Supplies"/>
    <s v="Chair"/>
    <s v="Product_127"/>
    <x v="5"/>
    <x v="0"/>
    <s v="Debit Card"/>
    <s v="Medium"/>
    <n v="6"/>
    <n v="16601"/>
    <n v="0"/>
    <n v="99606"/>
    <n v="11402.31"/>
    <x v="2"/>
  </r>
  <r>
    <s v="ORD00756"/>
    <x v="377"/>
    <d v="2023-07-26T00:00:00"/>
    <s v="North"/>
    <s v="India"/>
    <s v="Tamil Nadu"/>
    <s v="Bangalore"/>
    <x v="728"/>
    <x v="2"/>
    <s v="Furniture"/>
    <s v="Laptop"/>
    <s v="Product_42"/>
    <x v="1"/>
    <x v="1"/>
    <s v="Credit Card"/>
    <s v="Medium"/>
    <n v="4"/>
    <n v="26968"/>
    <n v="15"/>
    <n v="91691.199999999997"/>
    <n v="-4210.83"/>
    <x v="11"/>
  </r>
  <r>
    <s v="ORD00757"/>
    <x v="526"/>
    <d v="2022-01-03T00:00:00"/>
    <s v="West"/>
    <s v="India"/>
    <s v="Tamil Nadu"/>
    <s v="Ahmedabad"/>
    <x v="729"/>
    <x v="0"/>
    <s v="Office Supplies"/>
    <s v="Printer"/>
    <s v="Product_176"/>
    <x v="1"/>
    <x v="1"/>
    <s v="Debit Card"/>
    <s v="Low"/>
    <n v="6"/>
    <n v="26855"/>
    <n v="15"/>
    <n v="136960.5"/>
    <n v="15422.39"/>
    <x v="1"/>
  </r>
  <r>
    <s v="ORD00758"/>
    <x v="36"/>
    <d v="2023-05-12T00:00:00"/>
    <s v="North"/>
    <s v="India"/>
    <s v="Tamil Nadu"/>
    <s v="Mumbai"/>
    <x v="730"/>
    <x v="0"/>
    <s v="Furniture"/>
    <s v="Table"/>
    <s v="Product_56"/>
    <x v="0"/>
    <x v="0"/>
    <s v="Debit Card"/>
    <s v="Medium"/>
    <n v="4"/>
    <n v="34414"/>
    <n v="5"/>
    <n v="130773.2"/>
    <n v="3350.43"/>
    <x v="4"/>
  </r>
  <r>
    <s v="ORD00759"/>
    <x v="527"/>
    <d v="2023-06-17T00:00:00"/>
    <s v="South"/>
    <s v="India"/>
    <s v="Gujarat"/>
    <s v="Delhi"/>
    <x v="731"/>
    <x v="0"/>
    <s v="Office Supplies"/>
    <s v="Printer"/>
    <s v="Product_145"/>
    <x v="0"/>
    <x v="1"/>
    <s v="Debit Card"/>
    <s v="High"/>
    <n v="3"/>
    <n v="7784"/>
    <n v="20"/>
    <n v="18681.599999999999"/>
    <n v="1412.62"/>
    <x v="2"/>
  </r>
  <r>
    <s v="ORD00760"/>
    <x v="528"/>
    <d v="2024-01-01T00:00:00"/>
    <s v="North"/>
    <s v="India"/>
    <s v="Tamil Nadu"/>
    <s v="Bangalore"/>
    <x v="732"/>
    <x v="2"/>
    <s v="Electronics"/>
    <s v="Mobile"/>
    <s v="Product_133"/>
    <x v="5"/>
    <x v="0"/>
    <s v="Net Banking"/>
    <s v="Critical"/>
    <n v="6"/>
    <n v="10294"/>
    <n v="0"/>
    <n v="61764"/>
    <n v="4546.63"/>
    <x v="9"/>
  </r>
  <r>
    <s v="ORD00761"/>
    <x v="529"/>
    <d v="2023-05-04T00:00:00"/>
    <s v="East"/>
    <s v="India"/>
    <s v="Karnataka"/>
    <s v="Chennai"/>
    <x v="733"/>
    <x v="2"/>
    <s v="Electronics"/>
    <s v="Laptop"/>
    <s v="Product_114"/>
    <x v="5"/>
    <x v="0"/>
    <s v="Debit Card"/>
    <s v="High"/>
    <n v="4"/>
    <n v="39823"/>
    <n v="10"/>
    <n v="143362.79999999999"/>
    <n v="26096.59"/>
    <x v="6"/>
  </r>
  <r>
    <s v="ORD00762"/>
    <x v="530"/>
    <d v="2023-05-18T00:00:00"/>
    <s v="North"/>
    <s v="India"/>
    <s v="Gujarat"/>
    <s v="Delhi"/>
    <x v="734"/>
    <x v="2"/>
    <s v="Furniture"/>
    <s v="Chair"/>
    <s v="Product_55"/>
    <x v="4"/>
    <x v="0"/>
    <s v="Debit Card"/>
    <s v="Medium"/>
    <n v="3"/>
    <n v="48787"/>
    <n v="5"/>
    <n v="139042.95000000001"/>
    <n v="10259.07"/>
    <x v="4"/>
  </r>
  <r>
    <s v="ORD00763"/>
    <x v="531"/>
    <d v="2024-03-02T00:00:00"/>
    <s v="West"/>
    <s v="India"/>
    <s v="Maharashtra"/>
    <s v="Delhi"/>
    <x v="268"/>
    <x v="0"/>
    <s v="Electronics"/>
    <s v="Laptop"/>
    <s v="Product_17"/>
    <x v="3"/>
    <x v="1"/>
    <s v="Net Banking"/>
    <s v="Critical"/>
    <n v="4"/>
    <n v="24477"/>
    <n v="15"/>
    <n v="83221.8"/>
    <n v="11044.1"/>
    <x v="5"/>
  </r>
  <r>
    <s v="ORD00764"/>
    <x v="309"/>
    <d v="2024-07-03T00:00:00"/>
    <s v="East"/>
    <s v="India"/>
    <s v="Tamil Nadu"/>
    <s v="Ahmedabad"/>
    <x v="735"/>
    <x v="1"/>
    <s v="Furniture"/>
    <s v="Chair"/>
    <s v="Product_191"/>
    <x v="0"/>
    <x v="1"/>
    <s v="Net Banking"/>
    <s v="High"/>
    <n v="5"/>
    <n v="21949"/>
    <n v="10"/>
    <n v="98770.5"/>
    <n v="17128.009999999998"/>
    <x v="11"/>
  </r>
  <r>
    <s v="ORD00765"/>
    <x v="532"/>
    <d v="2023-11-02T00:00:00"/>
    <s v="South"/>
    <s v="India"/>
    <s v="Tamil Nadu"/>
    <s v="Ahmedabad"/>
    <x v="736"/>
    <x v="1"/>
    <s v="Office Supplies"/>
    <s v="Chair"/>
    <s v="Product_134"/>
    <x v="4"/>
    <x v="0"/>
    <s v="Credit Card"/>
    <s v="Critical"/>
    <n v="6"/>
    <n v="14443"/>
    <n v="15"/>
    <n v="73659.3"/>
    <n v="7248.26"/>
    <x v="10"/>
  </r>
  <r>
    <s v="ORD00766"/>
    <x v="2"/>
    <d v="2022-01-24T00:00:00"/>
    <s v="South"/>
    <s v="India"/>
    <s v="Gujarat"/>
    <s v="Mumbai"/>
    <x v="165"/>
    <x v="2"/>
    <s v="Electronics"/>
    <s v="Printer"/>
    <s v="Product_20"/>
    <x v="5"/>
    <x v="0"/>
    <s v="Debit Card"/>
    <s v="Low"/>
    <n v="1"/>
    <n v="23624"/>
    <n v="10"/>
    <n v="21261.599999999999"/>
    <n v="1935.82"/>
    <x v="1"/>
  </r>
  <r>
    <s v="ORD00767"/>
    <x v="533"/>
    <d v="2022-05-11T00:00:00"/>
    <s v="North"/>
    <s v="India"/>
    <s v="Maharashtra"/>
    <s v="Mumbai"/>
    <x v="737"/>
    <x v="1"/>
    <s v="Office Supplies"/>
    <s v="Chair"/>
    <s v="Product_82"/>
    <x v="4"/>
    <x v="1"/>
    <s v="Net Banking"/>
    <s v="High"/>
    <n v="8"/>
    <n v="45867"/>
    <n v="15"/>
    <n v="311895.59999999998"/>
    <n v="42904.37"/>
    <x v="4"/>
  </r>
  <r>
    <s v="ORD00768"/>
    <x v="534"/>
    <d v="2023-01-27T00:00:00"/>
    <s v="East"/>
    <s v="India"/>
    <s v="Tamil Nadu"/>
    <s v="Chennai"/>
    <x v="738"/>
    <x v="2"/>
    <s v="Furniture"/>
    <s v="Chair"/>
    <s v="Product_49"/>
    <x v="4"/>
    <x v="0"/>
    <s v="Cash"/>
    <s v="Critical"/>
    <n v="8"/>
    <n v="37128"/>
    <n v="0"/>
    <n v="297024"/>
    <n v="52257.7"/>
    <x v="1"/>
  </r>
  <r>
    <s v="ORD00769"/>
    <x v="204"/>
    <d v="2024-06-30T00:00:00"/>
    <s v="North"/>
    <s v="India"/>
    <s v="Gujarat"/>
    <s v="Ahmedabad"/>
    <x v="739"/>
    <x v="0"/>
    <s v="Office Supplies"/>
    <s v="Storage"/>
    <s v="Product_168"/>
    <x v="0"/>
    <x v="1"/>
    <s v="Cash"/>
    <s v="High"/>
    <n v="8"/>
    <n v="49829"/>
    <n v="20"/>
    <n v="318905.59999999998"/>
    <n v="-1879.08"/>
    <x v="2"/>
  </r>
  <r>
    <s v="ORD00770"/>
    <x v="407"/>
    <d v="2022-11-05T00:00:00"/>
    <s v="South"/>
    <s v="India"/>
    <s v="Gujarat"/>
    <s v="Delhi"/>
    <x v="740"/>
    <x v="1"/>
    <s v="Office Supplies"/>
    <s v="Chair"/>
    <s v="Product_184"/>
    <x v="2"/>
    <x v="0"/>
    <s v="Cash"/>
    <s v="Critical"/>
    <n v="1"/>
    <n v="49318"/>
    <n v="20"/>
    <n v="39454.400000000001"/>
    <n v="854.52"/>
    <x v="3"/>
  </r>
  <r>
    <s v="ORD00771"/>
    <x v="535"/>
    <d v="2022-12-26T00:00:00"/>
    <s v="North"/>
    <s v="India"/>
    <s v="Gujarat"/>
    <s v="Mumbai"/>
    <x v="741"/>
    <x v="0"/>
    <s v="Office Supplies"/>
    <s v="Storage"/>
    <s v="Product_120"/>
    <x v="0"/>
    <x v="0"/>
    <s v="Credit Card"/>
    <s v="Critical"/>
    <n v="1"/>
    <n v="11092"/>
    <n v="20"/>
    <n v="8873.6"/>
    <n v="-1553.66"/>
    <x v="9"/>
  </r>
  <r>
    <s v="ORD00772"/>
    <x v="337"/>
    <d v="2022-08-04T00:00:00"/>
    <s v="West"/>
    <s v="India"/>
    <s v="Karnataka"/>
    <s v="Ahmedabad"/>
    <x v="742"/>
    <x v="1"/>
    <s v="Office Supplies"/>
    <s v="Printer"/>
    <s v="Product_90"/>
    <x v="3"/>
    <x v="0"/>
    <s v="Net Banking"/>
    <s v="Critical"/>
    <n v="4"/>
    <n v="6249"/>
    <n v="15"/>
    <n v="21246.6"/>
    <n v="1508.51"/>
    <x v="11"/>
  </r>
  <r>
    <s v="ORD00773"/>
    <x v="536"/>
    <d v="2022-10-24T00:00:00"/>
    <s v="East"/>
    <s v="India"/>
    <s v="Karnataka"/>
    <s v="Ahmedabad"/>
    <x v="743"/>
    <x v="2"/>
    <s v="Electronics"/>
    <s v="Printer"/>
    <s v="Product_76"/>
    <x v="1"/>
    <x v="0"/>
    <s v="UPI"/>
    <s v="Medium"/>
    <n v="7"/>
    <n v="32992"/>
    <n v="15"/>
    <n v="196302.4"/>
    <n v="-6314.16"/>
    <x v="10"/>
  </r>
  <r>
    <s v="ORD00774"/>
    <x v="465"/>
    <d v="2022-01-11T00:00:00"/>
    <s v="South"/>
    <s v="India"/>
    <s v="Karnataka"/>
    <s v="Delhi"/>
    <x v="744"/>
    <x v="0"/>
    <s v="Office Supplies"/>
    <s v="Mobile"/>
    <s v="Product_128"/>
    <x v="4"/>
    <x v="0"/>
    <s v="Net Banking"/>
    <s v="High"/>
    <n v="2"/>
    <n v="29310"/>
    <n v="0"/>
    <n v="58620"/>
    <n v="15190.76"/>
    <x v="1"/>
  </r>
  <r>
    <s v="ORD00775"/>
    <x v="106"/>
    <d v="2023-06-19T00:00:00"/>
    <s v="West"/>
    <s v="India"/>
    <s v="Tamil Nadu"/>
    <s v="Ahmedabad"/>
    <x v="745"/>
    <x v="1"/>
    <s v="Electronics"/>
    <s v="Printer"/>
    <s v="Product_121"/>
    <x v="1"/>
    <x v="1"/>
    <s v="Debit Card"/>
    <s v="Critical"/>
    <n v="10"/>
    <n v="43388"/>
    <n v="5"/>
    <n v="412186"/>
    <n v="98742.1"/>
    <x v="2"/>
  </r>
  <r>
    <s v="ORD00776"/>
    <x v="360"/>
    <d v="2023-02-02T00:00:00"/>
    <s v="West"/>
    <s v="India"/>
    <s v="Tamil Nadu"/>
    <s v="Ahmedabad"/>
    <x v="746"/>
    <x v="1"/>
    <s v="Furniture"/>
    <s v="Mobile"/>
    <s v="Product_156"/>
    <x v="5"/>
    <x v="1"/>
    <s v="Debit Card"/>
    <s v="Low"/>
    <n v="5"/>
    <n v="46777"/>
    <n v="20"/>
    <n v="187108"/>
    <n v="-14114.09"/>
    <x v="1"/>
  </r>
  <r>
    <s v="ORD00777"/>
    <x v="30"/>
    <d v="2023-01-21T00:00:00"/>
    <s v="North"/>
    <s v="India"/>
    <s v="Karnataka"/>
    <s v="Delhi"/>
    <x v="747"/>
    <x v="2"/>
    <s v="Office Supplies"/>
    <s v="Printer"/>
    <s v="Product_161"/>
    <x v="3"/>
    <x v="0"/>
    <s v="Cash"/>
    <s v="High"/>
    <n v="4"/>
    <n v="45129"/>
    <n v="20"/>
    <n v="144412.79999999999"/>
    <n v="8527.2099999999991"/>
    <x v="1"/>
  </r>
  <r>
    <s v="ORD00778"/>
    <x v="537"/>
    <d v="2024-05-05T00:00:00"/>
    <s v="South"/>
    <s v="India"/>
    <s v="Karnataka"/>
    <s v="Ahmedabad"/>
    <x v="748"/>
    <x v="0"/>
    <s v="Furniture"/>
    <s v="Printer"/>
    <s v="Product_37"/>
    <x v="5"/>
    <x v="0"/>
    <s v="Credit Card"/>
    <s v="Critical"/>
    <n v="6"/>
    <n v="48505"/>
    <n v="10"/>
    <n v="261927"/>
    <n v="611.70000000000005"/>
    <x v="4"/>
  </r>
  <r>
    <s v="ORD00779"/>
    <x v="538"/>
    <d v="2022-12-04T00:00:00"/>
    <s v="South"/>
    <s v="India"/>
    <s v="Delhi"/>
    <s v="Ahmedabad"/>
    <x v="749"/>
    <x v="2"/>
    <s v="Electronics"/>
    <s v="Printer"/>
    <s v="Product_31"/>
    <x v="2"/>
    <x v="1"/>
    <s v="Cash"/>
    <s v="Low"/>
    <n v="3"/>
    <n v="31382"/>
    <n v="5"/>
    <n v="89438.7"/>
    <n v="17027.72"/>
    <x v="9"/>
  </r>
  <r>
    <s v="ORD00780"/>
    <x v="484"/>
    <d v="2024-09-22T00:00:00"/>
    <s v="East"/>
    <s v="India"/>
    <s v="Gujarat"/>
    <s v="Delhi"/>
    <x v="750"/>
    <x v="1"/>
    <s v="Furniture"/>
    <s v="Mobile"/>
    <s v="Product_82"/>
    <x v="3"/>
    <x v="1"/>
    <s v="Net Banking"/>
    <s v="Low"/>
    <n v="7"/>
    <n v="31851"/>
    <n v="5"/>
    <n v="211809.15"/>
    <n v="17499.37"/>
    <x v="7"/>
  </r>
  <r>
    <s v="ORD00781"/>
    <x v="539"/>
    <d v="2024-10-03T00:00:00"/>
    <s v="West"/>
    <s v="India"/>
    <s v="Delhi"/>
    <s v="Bangalore"/>
    <x v="751"/>
    <x v="2"/>
    <s v="Office Supplies"/>
    <s v="Mobile"/>
    <s v="Product_157"/>
    <x v="1"/>
    <x v="1"/>
    <s v="Credit Card"/>
    <s v="High"/>
    <n v="10"/>
    <n v="21577"/>
    <n v="5"/>
    <n v="204981.5"/>
    <n v="48433.37"/>
    <x v="7"/>
  </r>
  <r>
    <s v="ORD00782"/>
    <x v="540"/>
    <d v="2024-08-15T00:00:00"/>
    <s v="West"/>
    <s v="India"/>
    <s v="Delhi"/>
    <s v="Bangalore"/>
    <x v="752"/>
    <x v="0"/>
    <s v="Electronics"/>
    <s v="Laptop"/>
    <s v="Product_151"/>
    <x v="1"/>
    <x v="1"/>
    <s v="Credit Card"/>
    <s v="Low"/>
    <n v="9"/>
    <n v="5562"/>
    <n v="5"/>
    <n v="47555.1"/>
    <n v="417.57"/>
    <x v="8"/>
  </r>
  <r>
    <s v="ORD00783"/>
    <x v="130"/>
    <d v="2023-05-01T00:00:00"/>
    <s v="North"/>
    <s v="India"/>
    <s v="Gujarat"/>
    <s v="Chennai"/>
    <x v="252"/>
    <x v="0"/>
    <s v="Furniture"/>
    <s v="Mobile"/>
    <s v="Product_47"/>
    <x v="2"/>
    <x v="1"/>
    <s v="Cash"/>
    <s v="Medium"/>
    <n v="6"/>
    <n v="3630"/>
    <n v="20"/>
    <n v="17424"/>
    <n v="1235.46"/>
    <x v="6"/>
  </r>
  <r>
    <s v="ORD00784"/>
    <x v="541"/>
    <d v="2022-04-04T00:00:00"/>
    <s v="North"/>
    <s v="India"/>
    <s v="Tamil Nadu"/>
    <s v="Ahmedabad"/>
    <x v="753"/>
    <x v="2"/>
    <s v="Electronics"/>
    <s v="Chair"/>
    <s v="Product_38"/>
    <x v="4"/>
    <x v="1"/>
    <s v="Cash"/>
    <s v="Low"/>
    <n v="3"/>
    <n v="45847"/>
    <n v="10"/>
    <n v="123786.9"/>
    <n v="10711.55"/>
    <x v="0"/>
  </r>
  <r>
    <s v="ORD00785"/>
    <x v="178"/>
    <d v="2022-01-08T00:00:00"/>
    <s v="West"/>
    <s v="India"/>
    <s v="Karnataka"/>
    <s v="Bangalore"/>
    <x v="754"/>
    <x v="1"/>
    <s v="Furniture"/>
    <s v="Chair"/>
    <s v="Product_67"/>
    <x v="3"/>
    <x v="1"/>
    <s v="Cash"/>
    <s v="High"/>
    <n v="3"/>
    <n v="47511"/>
    <n v="15"/>
    <n v="121153.05"/>
    <n v="-12807.91"/>
    <x v="1"/>
  </r>
  <r>
    <s v="ORD00786"/>
    <x v="542"/>
    <d v="2023-11-04T00:00:00"/>
    <s v="North"/>
    <s v="India"/>
    <s v="Karnataka"/>
    <s v="Mumbai"/>
    <x v="755"/>
    <x v="1"/>
    <s v="Office Supplies"/>
    <s v="Mobile"/>
    <s v="Product_46"/>
    <x v="3"/>
    <x v="0"/>
    <s v="Credit Card"/>
    <s v="Low"/>
    <n v="2"/>
    <n v="23482"/>
    <n v="20"/>
    <n v="37571.199999999997"/>
    <n v="2267.65"/>
    <x v="3"/>
  </r>
  <r>
    <s v="ORD00787"/>
    <x v="543"/>
    <d v="2023-03-24T00:00:00"/>
    <s v="West"/>
    <s v="India"/>
    <s v="Maharashtra"/>
    <s v="Ahmedabad"/>
    <x v="756"/>
    <x v="0"/>
    <s v="Electronics"/>
    <s v="Table"/>
    <s v="Product_64"/>
    <x v="3"/>
    <x v="1"/>
    <s v="Cash"/>
    <s v="Critical"/>
    <n v="10"/>
    <n v="46043"/>
    <n v="5"/>
    <n v="437408.5"/>
    <n v="573.63"/>
    <x v="0"/>
  </r>
  <r>
    <s v="ORD00788"/>
    <x v="85"/>
    <d v="2023-07-15T00:00:00"/>
    <s v="East"/>
    <s v="India"/>
    <s v="Maharashtra"/>
    <s v="Chennai"/>
    <x v="757"/>
    <x v="0"/>
    <s v="Furniture"/>
    <s v="Chair"/>
    <s v="Product_20"/>
    <x v="3"/>
    <x v="0"/>
    <s v="Debit Card"/>
    <s v="Critical"/>
    <n v="4"/>
    <n v="8364"/>
    <n v="5"/>
    <n v="31783.200000000001"/>
    <n v="4949.0600000000004"/>
    <x v="11"/>
  </r>
  <r>
    <s v="ORD00789"/>
    <x v="376"/>
    <d v="2022-05-02T00:00:00"/>
    <s v="West"/>
    <s v="India"/>
    <s v="Gujarat"/>
    <s v="Bangalore"/>
    <x v="758"/>
    <x v="1"/>
    <s v="Electronics"/>
    <s v="Printer"/>
    <s v="Product_50"/>
    <x v="2"/>
    <x v="1"/>
    <s v="UPI"/>
    <s v="Low"/>
    <n v="8"/>
    <n v="48482"/>
    <n v="10"/>
    <n v="349070.4"/>
    <n v="13784.33"/>
    <x v="6"/>
  </r>
  <r>
    <s v="ORD00790"/>
    <x v="544"/>
    <d v="2022-09-25T00:00:00"/>
    <s v="North"/>
    <s v="India"/>
    <s v="Gujarat"/>
    <s v="Delhi"/>
    <x v="759"/>
    <x v="1"/>
    <s v="Office Supplies"/>
    <s v="Storage"/>
    <s v="Product_20"/>
    <x v="3"/>
    <x v="0"/>
    <s v="Debit Card"/>
    <s v="High"/>
    <n v="8"/>
    <n v="11811"/>
    <n v="5"/>
    <n v="89763.6"/>
    <n v="8958.1299999999992"/>
    <x v="7"/>
  </r>
  <r>
    <s v="ORD00791"/>
    <x v="22"/>
    <d v="2024-04-08T00:00:00"/>
    <s v="North"/>
    <s v="India"/>
    <s v="Karnataka"/>
    <s v="Bangalore"/>
    <x v="760"/>
    <x v="1"/>
    <s v="Office Supplies"/>
    <s v="Storage"/>
    <s v="Product_2"/>
    <x v="1"/>
    <x v="1"/>
    <s v="UPI"/>
    <s v="Low"/>
    <n v="8"/>
    <n v="41890"/>
    <n v="5"/>
    <n v="318364"/>
    <n v="61704.77"/>
    <x v="6"/>
  </r>
  <r>
    <s v="ORD00792"/>
    <x v="545"/>
    <d v="2022-05-31T00:00:00"/>
    <s v="South"/>
    <s v="India"/>
    <s v="Gujarat"/>
    <s v="Bangalore"/>
    <x v="761"/>
    <x v="0"/>
    <s v="Furniture"/>
    <s v="Table"/>
    <s v="Product_148"/>
    <x v="5"/>
    <x v="0"/>
    <s v="Credit Card"/>
    <s v="Critical"/>
    <n v="3"/>
    <n v="47798"/>
    <n v="20"/>
    <n v="114715.2"/>
    <n v="-12009.49"/>
    <x v="4"/>
  </r>
  <r>
    <s v="ORD00793"/>
    <x v="546"/>
    <d v="2023-09-25T00:00:00"/>
    <s v="East"/>
    <s v="India"/>
    <s v="Maharashtra"/>
    <s v="Chennai"/>
    <x v="752"/>
    <x v="0"/>
    <s v="Furniture"/>
    <s v="Chair"/>
    <s v="Product_143"/>
    <x v="0"/>
    <x v="1"/>
    <s v="Net Banking"/>
    <s v="Low"/>
    <n v="8"/>
    <n v="20657"/>
    <n v="20"/>
    <n v="132204.79999999999"/>
    <n v="-18034.3"/>
    <x v="7"/>
  </r>
  <r>
    <s v="ORD00794"/>
    <x v="547"/>
    <d v="2024-05-06T00:00:00"/>
    <s v="North"/>
    <s v="India"/>
    <s v="Delhi"/>
    <s v="Delhi"/>
    <x v="762"/>
    <x v="0"/>
    <s v="Electronics"/>
    <s v="Printer"/>
    <s v="Product_193"/>
    <x v="3"/>
    <x v="0"/>
    <s v="Debit Card"/>
    <s v="High"/>
    <n v="6"/>
    <n v="35170"/>
    <n v="10"/>
    <n v="189918"/>
    <n v="32481.64"/>
    <x v="6"/>
  </r>
  <r>
    <s v="ORD00795"/>
    <x v="170"/>
    <d v="2023-03-19T00:00:00"/>
    <s v="North"/>
    <s v="India"/>
    <s v="Maharashtra"/>
    <s v="Mumbai"/>
    <x v="393"/>
    <x v="0"/>
    <s v="Furniture"/>
    <s v="Table"/>
    <s v="Product_80"/>
    <x v="0"/>
    <x v="0"/>
    <s v="Cash"/>
    <s v="Critical"/>
    <n v="5"/>
    <n v="26708"/>
    <n v="20"/>
    <n v="106832"/>
    <n v="3994.05"/>
    <x v="0"/>
  </r>
  <r>
    <s v="ORD00796"/>
    <x v="548"/>
    <d v="2023-06-19T00:00:00"/>
    <s v="East"/>
    <s v="India"/>
    <s v="Gujarat"/>
    <s v="Mumbai"/>
    <x v="763"/>
    <x v="2"/>
    <s v="Electronics"/>
    <s v="Mobile"/>
    <s v="Product_75"/>
    <x v="5"/>
    <x v="0"/>
    <s v="Cash"/>
    <s v="Critical"/>
    <n v="2"/>
    <n v="11872"/>
    <n v="5"/>
    <n v="22556.799999999999"/>
    <n v="2756.84"/>
    <x v="2"/>
  </r>
  <r>
    <s v="ORD00797"/>
    <x v="549"/>
    <d v="2022-04-09T00:00:00"/>
    <s v="West"/>
    <s v="India"/>
    <s v="Gujarat"/>
    <s v="Ahmedabad"/>
    <x v="764"/>
    <x v="1"/>
    <s v="Office Supplies"/>
    <s v="Chair"/>
    <s v="Product_55"/>
    <x v="4"/>
    <x v="0"/>
    <s v="Debit Card"/>
    <s v="Critical"/>
    <n v="5"/>
    <n v="48341"/>
    <n v="0"/>
    <n v="241705"/>
    <n v="62751.54"/>
    <x v="6"/>
  </r>
  <r>
    <s v="ORD00798"/>
    <x v="550"/>
    <d v="2022-11-02T00:00:00"/>
    <s v="West"/>
    <s v="India"/>
    <s v="Maharashtra"/>
    <s v="Ahmedabad"/>
    <x v="765"/>
    <x v="2"/>
    <s v="Office Supplies"/>
    <s v="Storage"/>
    <s v="Product_131"/>
    <x v="1"/>
    <x v="0"/>
    <s v="UPI"/>
    <s v="Critical"/>
    <n v="6"/>
    <n v="29796"/>
    <n v="20"/>
    <n v="143020.79999999999"/>
    <n v="-21158.49"/>
    <x v="10"/>
  </r>
  <r>
    <s v="ORD00799"/>
    <x v="19"/>
    <d v="2023-09-19T00:00:00"/>
    <s v="North"/>
    <s v="India"/>
    <s v="Maharashtra"/>
    <s v="Chennai"/>
    <x v="766"/>
    <x v="2"/>
    <s v="Electronics"/>
    <s v="Table"/>
    <s v="Product_74"/>
    <x v="5"/>
    <x v="0"/>
    <s v="Net Banking"/>
    <s v="Medium"/>
    <n v="6"/>
    <n v="8924"/>
    <n v="0"/>
    <n v="53544"/>
    <n v="5877.73"/>
    <x v="7"/>
  </r>
  <r>
    <s v="ORD00800"/>
    <x v="551"/>
    <d v="2024-09-11T00:00:00"/>
    <s v="West"/>
    <s v="India"/>
    <s v="Gujarat"/>
    <s v="Bangalore"/>
    <x v="237"/>
    <x v="2"/>
    <s v="Electronics"/>
    <s v="Chair"/>
    <s v="Product_85"/>
    <x v="2"/>
    <x v="1"/>
    <s v="Net Banking"/>
    <s v="Critical"/>
    <n v="10"/>
    <n v="18518"/>
    <n v="0"/>
    <n v="185180"/>
    <n v="42884.07"/>
    <x v="7"/>
  </r>
  <r>
    <s v="ORD00801"/>
    <x v="217"/>
    <d v="2022-07-14T00:00:00"/>
    <s v="North"/>
    <s v="India"/>
    <s v="Maharashtra"/>
    <s v="Ahmedabad"/>
    <x v="767"/>
    <x v="1"/>
    <s v="Office Supplies"/>
    <s v="Chair"/>
    <s v="Product_7"/>
    <x v="4"/>
    <x v="1"/>
    <s v="Cash"/>
    <s v="High"/>
    <n v="6"/>
    <n v="33720"/>
    <n v="5"/>
    <n v="192204"/>
    <n v="31715.61"/>
    <x v="11"/>
  </r>
  <r>
    <s v="ORD00802"/>
    <x v="357"/>
    <d v="2023-02-17T00:00:00"/>
    <s v="East"/>
    <s v="India"/>
    <s v="Karnataka"/>
    <s v="Bangalore"/>
    <x v="768"/>
    <x v="1"/>
    <s v="Electronics"/>
    <s v="Table"/>
    <s v="Product_52"/>
    <x v="0"/>
    <x v="1"/>
    <s v="Cash"/>
    <s v="Critical"/>
    <n v="8"/>
    <n v="49815"/>
    <n v="5"/>
    <n v="378594"/>
    <n v="56525.79"/>
    <x v="5"/>
  </r>
  <r>
    <s v="ORD00803"/>
    <x v="552"/>
    <d v="2023-01-19T00:00:00"/>
    <s v="West"/>
    <s v="India"/>
    <s v="Delhi"/>
    <s v="Ahmedabad"/>
    <x v="769"/>
    <x v="1"/>
    <s v="Office Supplies"/>
    <s v="Table"/>
    <s v="Product_63"/>
    <x v="0"/>
    <x v="0"/>
    <s v="UPI"/>
    <s v="Medium"/>
    <n v="10"/>
    <n v="31721"/>
    <n v="20"/>
    <n v="253768"/>
    <n v="-45391.99"/>
    <x v="1"/>
  </r>
  <r>
    <s v="ORD00804"/>
    <x v="553"/>
    <d v="2022-06-06T00:00:00"/>
    <s v="East"/>
    <s v="India"/>
    <s v="Karnataka"/>
    <s v="Mumbai"/>
    <x v="770"/>
    <x v="0"/>
    <s v="Furniture"/>
    <s v="Laptop"/>
    <s v="Product_173"/>
    <x v="0"/>
    <x v="1"/>
    <s v="UPI"/>
    <s v="Critical"/>
    <n v="3"/>
    <n v="1080"/>
    <n v="20"/>
    <n v="2592"/>
    <n v="33.369999999999997"/>
    <x v="2"/>
  </r>
  <r>
    <s v="ORD00805"/>
    <x v="509"/>
    <d v="2023-01-25T00:00:00"/>
    <s v="North"/>
    <s v="India"/>
    <s v="Tamil Nadu"/>
    <s v="Delhi"/>
    <x v="43"/>
    <x v="0"/>
    <s v="Electronics"/>
    <s v="Table"/>
    <s v="Product_81"/>
    <x v="5"/>
    <x v="0"/>
    <s v="Debit Card"/>
    <s v="Low"/>
    <n v="6"/>
    <n v="12208"/>
    <n v="20"/>
    <n v="58598.400000000001"/>
    <n v="-2578.42"/>
    <x v="1"/>
  </r>
  <r>
    <s v="ORD00806"/>
    <x v="286"/>
    <d v="2024-02-01T00:00:00"/>
    <s v="North"/>
    <s v="India"/>
    <s v="Maharashtra"/>
    <s v="Ahmedabad"/>
    <x v="771"/>
    <x v="0"/>
    <s v="Electronics"/>
    <s v="Storage"/>
    <s v="Product_56"/>
    <x v="4"/>
    <x v="1"/>
    <s v="UPI"/>
    <s v="Critical"/>
    <n v="5"/>
    <n v="26191"/>
    <n v="5"/>
    <n v="124407.25"/>
    <n v="118.08"/>
    <x v="1"/>
  </r>
  <r>
    <s v="ORD00807"/>
    <x v="554"/>
    <d v="2022-07-09T00:00:00"/>
    <s v="East"/>
    <s v="India"/>
    <s v="Gujarat"/>
    <s v="Ahmedabad"/>
    <x v="772"/>
    <x v="2"/>
    <s v="Furniture"/>
    <s v="Table"/>
    <s v="Product_134"/>
    <x v="1"/>
    <x v="0"/>
    <s v="Credit Card"/>
    <s v="High"/>
    <n v="7"/>
    <n v="16823"/>
    <n v="10"/>
    <n v="105984.9"/>
    <n v="7512.03"/>
    <x v="11"/>
  </r>
  <r>
    <s v="ORD00808"/>
    <x v="463"/>
    <d v="2023-09-08T00:00:00"/>
    <s v="East"/>
    <s v="India"/>
    <s v="Karnataka"/>
    <s v="Bangalore"/>
    <x v="534"/>
    <x v="2"/>
    <s v="Furniture"/>
    <s v="Printer"/>
    <s v="Product_8"/>
    <x v="4"/>
    <x v="1"/>
    <s v="Debit Card"/>
    <s v="Low"/>
    <n v="6"/>
    <n v="47663"/>
    <n v="10"/>
    <n v="257380.2"/>
    <n v="24388.36"/>
    <x v="7"/>
  </r>
  <r>
    <s v="ORD00809"/>
    <x v="555"/>
    <d v="2024-02-06T00:00:00"/>
    <s v="West"/>
    <s v="India"/>
    <s v="Maharashtra"/>
    <s v="Bangalore"/>
    <x v="773"/>
    <x v="0"/>
    <s v="Furniture"/>
    <s v="Table"/>
    <s v="Product_16"/>
    <x v="1"/>
    <x v="1"/>
    <s v="Debit Card"/>
    <s v="Critical"/>
    <n v="10"/>
    <n v="37732"/>
    <n v="10"/>
    <n v="339588"/>
    <n v="13062.88"/>
    <x v="1"/>
  </r>
  <r>
    <s v="ORD00810"/>
    <x v="178"/>
    <d v="2022-01-12T00:00:00"/>
    <s v="East"/>
    <s v="India"/>
    <s v="Tamil Nadu"/>
    <s v="Bangalore"/>
    <x v="774"/>
    <x v="0"/>
    <s v="Office Supplies"/>
    <s v="Storage"/>
    <s v="Product_24"/>
    <x v="1"/>
    <x v="0"/>
    <s v="Cash"/>
    <s v="High"/>
    <n v="5"/>
    <n v="38160"/>
    <n v="15"/>
    <n v="162180"/>
    <n v="-16213.38"/>
    <x v="1"/>
  </r>
  <r>
    <s v="ORD00811"/>
    <x v="348"/>
    <d v="2022-06-18T00:00:00"/>
    <s v="East"/>
    <s v="India"/>
    <s v="Tamil Nadu"/>
    <s v="Ahmedabad"/>
    <x v="775"/>
    <x v="1"/>
    <s v="Office Supplies"/>
    <s v="Printer"/>
    <s v="Product_19"/>
    <x v="5"/>
    <x v="1"/>
    <s v="UPI"/>
    <s v="High"/>
    <n v="4"/>
    <n v="46277"/>
    <n v="0"/>
    <n v="185108"/>
    <n v="43880.08"/>
    <x v="2"/>
  </r>
  <r>
    <s v="ORD00812"/>
    <x v="432"/>
    <d v="2022-06-04T00:00:00"/>
    <s v="North"/>
    <s v="India"/>
    <s v="Gujarat"/>
    <s v="Mumbai"/>
    <x v="776"/>
    <x v="1"/>
    <s v="Electronics"/>
    <s v="Chair"/>
    <s v="Product_171"/>
    <x v="4"/>
    <x v="0"/>
    <s v="Net Banking"/>
    <s v="Medium"/>
    <n v="9"/>
    <n v="770"/>
    <n v="10"/>
    <n v="6237"/>
    <n v="580.92999999999995"/>
    <x v="2"/>
  </r>
  <r>
    <s v="ORD00813"/>
    <x v="556"/>
    <d v="2023-05-01T00:00:00"/>
    <s v="South"/>
    <s v="India"/>
    <s v="Karnataka"/>
    <s v="Chennai"/>
    <x v="777"/>
    <x v="0"/>
    <s v="Electronics"/>
    <s v="Storage"/>
    <s v="Product_187"/>
    <x v="4"/>
    <x v="1"/>
    <s v="Credit Card"/>
    <s v="Critical"/>
    <n v="8"/>
    <n v="44883"/>
    <n v="10"/>
    <n v="323157.59999999998"/>
    <n v="35110.68"/>
    <x v="6"/>
  </r>
  <r>
    <s v="ORD00814"/>
    <x v="215"/>
    <d v="2023-03-21T00:00:00"/>
    <s v="South"/>
    <s v="India"/>
    <s v="Delhi"/>
    <s v="Delhi"/>
    <x v="778"/>
    <x v="1"/>
    <s v="Office Supplies"/>
    <s v="Storage"/>
    <s v="Product_32"/>
    <x v="3"/>
    <x v="0"/>
    <s v="Cash"/>
    <s v="Critical"/>
    <n v="6"/>
    <n v="44868"/>
    <n v="0"/>
    <n v="269208"/>
    <n v="34938.29"/>
    <x v="0"/>
  </r>
  <r>
    <s v="ORD00815"/>
    <x v="156"/>
    <d v="2023-06-11T00:00:00"/>
    <s v="East"/>
    <s v="India"/>
    <s v="Tamil Nadu"/>
    <s v="Mumbai"/>
    <x v="779"/>
    <x v="2"/>
    <s v="Furniture"/>
    <s v="Chair"/>
    <s v="Product_22"/>
    <x v="2"/>
    <x v="0"/>
    <s v="UPI"/>
    <s v="High"/>
    <n v="8"/>
    <n v="4238"/>
    <n v="0"/>
    <n v="33904"/>
    <n v="2583.21"/>
    <x v="2"/>
  </r>
  <r>
    <s v="ORD00816"/>
    <x v="108"/>
    <d v="2024-04-08T00:00:00"/>
    <s v="East"/>
    <s v="India"/>
    <s v="Gujarat"/>
    <s v="Mumbai"/>
    <x v="780"/>
    <x v="2"/>
    <s v="Office Supplies"/>
    <s v="Table"/>
    <s v="Product_46"/>
    <x v="2"/>
    <x v="1"/>
    <s v="Net Banking"/>
    <s v="Medium"/>
    <n v="6"/>
    <n v="8860"/>
    <n v="15"/>
    <n v="45186"/>
    <n v="4981.58"/>
    <x v="6"/>
  </r>
  <r>
    <s v="ORD00817"/>
    <x v="519"/>
    <d v="2024-06-20T00:00:00"/>
    <s v="East"/>
    <s v="India"/>
    <s v="Maharashtra"/>
    <s v="Bangalore"/>
    <x v="781"/>
    <x v="1"/>
    <s v="Furniture"/>
    <s v="Printer"/>
    <s v="Product_46"/>
    <x v="0"/>
    <x v="1"/>
    <s v="UPI"/>
    <s v="Medium"/>
    <n v="4"/>
    <n v="9631"/>
    <n v="20"/>
    <n v="30819.200000000001"/>
    <n v="-4075.9"/>
    <x v="2"/>
  </r>
  <r>
    <s v="ORD00818"/>
    <x v="557"/>
    <d v="2022-03-01T00:00:00"/>
    <s v="North"/>
    <s v="India"/>
    <s v="Delhi"/>
    <s v="Delhi"/>
    <x v="782"/>
    <x v="1"/>
    <s v="Furniture"/>
    <s v="Storage"/>
    <s v="Product_10"/>
    <x v="3"/>
    <x v="1"/>
    <s v="Credit Card"/>
    <s v="Low"/>
    <n v="8"/>
    <n v="14900"/>
    <n v="5"/>
    <n v="113240"/>
    <n v="12741.86"/>
    <x v="5"/>
  </r>
  <r>
    <s v="ORD00819"/>
    <x v="401"/>
    <d v="2023-04-19T00:00:00"/>
    <s v="North"/>
    <s v="India"/>
    <s v="Maharashtra"/>
    <s v="Bangalore"/>
    <x v="783"/>
    <x v="0"/>
    <s v="Furniture"/>
    <s v="Printer"/>
    <s v="Product_68"/>
    <x v="0"/>
    <x v="0"/>
    <s v="Net Banking"/>
    <s v="Critical"/>
    <n v="6"/>
    <n v="29830"/>
    <n v="10"/>
    <n v="161082"/>
    <n v="31707.77"/>
    <x v="6"/>
  </r>
  <r>
    <s v="ORD00820"/>
    <x v="169"/>
    <d v="2022-07-20T00:00:00"/>
    <s v="East"/>
    <s v="India"/>
    <s v="Tamil Nadu"/>
    <s v="Mumbai"/>
    <x v="784"/>
    <x v="0"/>
    <s v="Electronics"/>
    <s v="Chair"/>
    <s v="Product_162"/>
    <x v="1"/>
    <x v="1"/>
    <s v="UPI"/>
    <s v="Medium"/>
    <n v="4"/>
    <n v="4512"/>
    <n v="5"/>
    <n v="17145.599999999999"/>
    <n v="556.9"/>
    <x v="11"/>
  </r>
  <r>
    <s v="ORD00821"/>
    <x v="344"/>
    <d v="2023-07-30T00:00:00"/>
    <s v="South"/>
    <s v="India"/>
    <s v="Tamil Nadu"/>
    <s v="Bangalore"/>
    <x v="785"/>
    <x v="1"/>
    <s v="Electronics"/>
    <s v="Storage"/>
    <s v="Product_81"/>
    <x v="2"/>
    <x v="0"/>
    <s v="Cash"/>
    <s v="Low"/>
    <n v="6"/>
    <n v="6467"/>
    <n v="10"/>
    <n v="34921.800000000003"/>
    <n v="-1828.11"/>
    <x v="11"/>
  </r>
  <r>
    <s v="ORD00822"/>
    <x v="558"/>
    <d v="2024-05-18T00:00:00"/>
    <s v="East"/>
    <s v="India"/>
    <s v="Karnataka"/>
    <s v="Mumbai"/>
    <x v="786"/>
    <x v="1"/>
    <s v="Electronics"/>
    <s v="Laptop"/>
    <s v="Product_189"/>
    <x v="4"/>
    <x v="0"/>
    <s v="Net Banking"/>
    <s v="Critical"/>
    <n v="4"/>
    <n v="33784"/>
    <n v="0"/>
    <n v="135136"/>
    <n v="27993.34"/>
    <x v="4"/>
  </r>
  <r>
    <s v="ORD00823"/>
    <x v="121"/>
    <d v="2022-04-16T00:00:00"/>
    <s v="East"/>
    <s v="India"/>
    <s v="Gujarat"/>
    <s v="Chennai"/>
    <x v="787"/>
    <x v="0"/>
    <s v="Office Supplies"/>
    <s v="Chair"/>
    <s v="Product_105"/>
    <x v="5"/>
    <x v="1"/>
    <s v="Credit Card"/>
    <s v="Critical"/>
    <n v="1"/>
    <n v="25657"/>
    <n v="15"/>
    <n v="21808.45"/>
    <n v="978.45"/>
    <x v="6"/>
  </r>
  <r>
    <s v="ORD00824"/>
    <x v="117"/>
    <d v="2023-12-28T00:00:00"/>
    <s v="East"/>
    <s v="India"/>
    <s v="Gujarat"/>
    <s v="Mumbai"/>
    <x v="788"/>
    <x v="2"/>
    <s v="Furniture"/>
    <s v="Printer"/>
    <s v="Product_186"/>
    <x v="1"/>
    <x v="0"/>
    <s v="Credit Card"/>
    <s v="High"/>
    <n v="4"/>
    <n v="42451"/>
    <n v="15"/>
    <n v="144333.4"/>
    <n v="5287.75"/>
    <x v="9"/>
  </r>
  <r>
    <s v="ORD00825"/>
    <x v="426"/>
    <d v="2022-12-22T00:00:00"/>
    <s v="North"/>
    <s v="India"/>
    <s v="Maharashtra"/>
    <s v="Chennai"/>
    <x v="789"/>
    <x v="2"/>
    <s v="Electronics"/>
    <s v="Storage"/>
    <s v="Product_60"/>
    <x v="1"/>
    <x v="1"/>
    <s v="Debit Card"/>
    <s v="High"/>
    <n v="7"/>
    <n v="6463"/>
    <n v="5"/>
    <n v="42978.95"/>
    <n v="6510.35"/>
    <x v="9"/>
  </r>
  <r>
    <s v="ORD00826"/>
    <x v="59"/>
    <d v="2024-08-07T00:00:00"/>
    <s v="East"/>
    <s v="India"/>
    <s v="Karnataka"/>
    <s v="Delhi"/>
    <x v="790"/>
    <x v="1"/>
    <s v="Electronics"/>
    <s v="Table"/>
    <s v="Product_191"/>
    <x v="1"/>
    <x v="1"/>
    <s v="Debit Card"/>
    <s v="High"/>
    <n v="6"/>
    <n v="9134"/>
    <n v="15"/>
    <n v="46583.4"/>
    <n v="-4740.59"/>
    <x v="8"/>
  </r>
  <r>
    <s v="ORD00827"/>
    <x v="68"/>
    <d v="2022-10-21T00:00:00"/>
    <s v="North"/>
    <s v="India"/>
    <s v="Delhi"/>
    <s v="Bangalore"/>
    <x v="791"/>
    <x v="1"/>
    <s v="Office Supplies"/>
    <s v="Chair"/>
    <s v="Product_120"/>
    <x v="0"/>
    <x v="0"/>
    <s v="Cash"/>
    <s v="High"/>
    <n v="10"/>
    <n v="3332"/>
    <n v="15"/>
    <n v="28322"/>
    <n v="-3082.61"/>
    <x v="10"/>
  </r>
  <r>
    <s v="ORD00828"/>
    <x v="18"/>
    <d v="2022-05-08T00:00:00"/>
    <s v="North"/>
    <s v="India"/>
    <s v="Tamil Nadu"/>
    <s v="Delhi"/>
    <x v="792"/>
    <x v="1"/>
    <s v="Furniture"/>
    <s v="Mobile"/>
    <s v="Product_95"/>
    <x v="4"/>
    <x v="1"/>
    <s v="UPI"/>
    <s v="Medium"/>
    <n v="2"/>
    <n v="15195"/>
    <n v="5"/>
    <n v="28870.5"/>
    <n v="3911.2"/>
    <x v="4"/>
  </r>
  <r>
    <s v="ORD00829"/>
    <x v="559"/>
    <d v="2022-04-15T00:00:00"/>
    <s v="East"/>
    <s v="India"/>
    <s v="Delhi"/>
    <s v="Mumbai"/>
    <x v="793"/>
    <x v="1"/>
    <s v="Office Supplies"/>
    <s v="Table"/>
    <s v="Product_176"/>
    <x v="3"/>
    <x v="1"/>
    <s v="UPI"/>
    <s v="High"/>
    <n v="3"/>
    <n v="11576"/>
    <n v="0"/>
    <n v="34728"/>
    <n v="2169.8200000000002"/>
    <x v="6"/>
  </r>
  <r>
    <s v="ORD00830"/>
    <x v="215"/>
    <d v="2023-03-18T00:00:00"/>
    <s v="West"/>
    <s v="India"/>
    <s v="Gujarat"/>
    <s v="Mumbai"/>
    <x v="794"/>
    <x v="0"/>
    <s v="Electronics"/>
    <s v="Mobile"/>
    <s v="Product_33"/>
    <x v="5"/>
    <x v="1"/>
    <s v="Cash"/>
    <s v="Low"/>
    <n v="7"/>
    <n v="48837"/>
    <n v="10"/>
    <n v="307673.09999999998"/>
    <n v="58343.9"/>
    <x v="0"/>
  </r>
  <r>
    <s v="ORD00831"/>
    <x v="560"/>
    <d v="2022-01-07T00:00:00"/>
    <s v="North"/>
    <s v="India"/>
    <s v="Tamil Nadu"/>
    <s v="Chennai"/>
    <x v="795"/>
    <x v="1"/>
    <s v="Furniture"/>
    <s v="Printer"/>
    <s v="Product_40"/>
    <x v="3"/>
    <x v="0"/>
    <s v="Cash"/>
    <s v="High"/>
    <n v="10"/>
    <n v="34149"/>
    <n v="0"/>
    <n v="341490"/>
    <n v="57508.12"/>
    <x v="1"/>
  </r>
  <r>
    <s v="ORD00832"/>
    <x v="557"/>
    <d v="2022-03-03T00:00:00"/>
    <s v="West"/>
    <s v="India"/>
    <s v="Tamil Nadu"/>
    <s v="Mumbai"/>
    <x v="796"/>
    <x v="2"/>
    <s v="Electronics"/>
    <s v="Printer"/>
    <s v="Product_69"/>
    <x v="0"/>
    <x v="0"/>
    <s v="Cash"/>
    <s v="Critical"/>
    <n v="1"/>
    <n v="40688"/>
    <n v="0"/>
    <n v="40688"/>
    <n v="4313.7700000000004"/>
    <x v="5"/>
  </r>
  <r>
    <s v="ORD00833"/>
    <x v="162"/>
    <d v="2023-09-28T00:00:00"/>
    <s v="West"/>
    <s v="India"/>
    <s v="Karnataka"/>
    <s v="Chennai"/>
    <x v="797"/>
    <x v="1"/>
    <s v="Electronics"/>
    <s v="Table"/>
    <s v="Product_154"/>
    <x v="5"/>
    <x v="0"/>
    <s v="Cash"/>
    <s v="High"/>
    <n v="7"/>
    <n v="16789"/>
    <n v="0"/>
    <n v="117523"/>
    <n v="28994.240000000002"/>
    <x v="7"/>
  </r>
  <r>
    <s v="ORD00834"/>
    <x v="205"/>
    <d v="2024-06-07T00:00:00"/>
    <s v="East"/>
    <s v="India"/>
    <s v="Maharashtra"/>
    <s v="Ahmedabad"/>
    <x v="798"/>
    <x v="2"/>
    <s v="Furniture"/>
    <s v="Chair"/>
    <s v="Product_25"/>
    <x v="3"/>
    <x v="0"/>
    <s v="Net Banking"/>
    <s v="High"/>
    <n v="9"/>
    <n v="5435"/>
    <n v="20"/>
    <n v="39132"/>
    <n v="2583.94"/>
    <x v="2"/>
  </r>
  <r>
    <s v="ORD00835"/>
    <x v="561"/>
    <d v="2024-02-06T00:00:00"/>
    <s v="South"/>
    <s v="India"/>
    <s v="Maharashtra"/>
    <s v="Chennai"/>
    <x v="799"/>
    <x v="0"/>
    <s v="Office Supplies"/>
    <s v="Printer"/>
    <s v="Product_154"/>
    <x v="0"/>
    <x v="1"/>
    <s v="Debit Card"/>
    <s v="Low"/>
    <n v="7"/>
    <n v="10459"/>
    <n v="20"/>
    <n v="58570.400000000001"/>
    <n v="419.58"/>
    <x v="5"/>
  </r>
  <r>
    <s v="ORD00836"/>
    <x v="562"/>
    <d v="2024-05-21T00:00:00"/>
    <s v="West"/>
    <s v="India"/>
    <s v="Maharashtra"/>
    <s v="Mumbai"/>
    <x v="800"/>
    <x v="1"/>
    <s v="Furniture"/>
    <s v="Laptop"/>
    <s v="Product_24"/>
    <x v="2"/>
    <x v="1"/>
    <s v="Cash"/>
    <s v="Critical"/>
    <n v="3"/>
    <n v="9369"/>
    <n v="0"/>
    <n v="28107"/>
    <n v="3193.16"/>
    <x v="4"/>
  </r>
  <r>
    <s v="ORD00837"/>
    <x v="563"/>
    <d v="2023-06-20T00:00:00"/>
    <s v="West"/>
    <s v="India"/>
    <s v="Tamil Nadu"/>
    <s v="Mumbai"/>
    <x v="801"/>
    <x v="0"/>
    <s v="Furniture"/>
    <s v="Storage"/>
    <s v="Product_1"/>
    <x v="5"/>
    <x v="1"/>
    <s v="UPI"/>
    <s v="Low"/>
    <n v="10"/>
    <n v="19012"/>
    <n v="10"/>
    <n v="171108"/>
    <n v="29633.8"/>
    <x v="2"/>
  </r>
  <r>
    <s v="ORD00838"/>
    <x v="55"/>
    <d v="2024-05-08T00:00:00"/>
    <s v="West"/>
    <s v="India"/>
    <s v="Gujarat"/>
    <s v="Mumbai"/>
    <x v="802"/>
    <x v="1"/>
    <s v="Office Supplies"/>
    <s v="Printer"/>
    <s v="Product_129"/>
    <x v="3"/>
    <x v="0"/>
    <s v="Debit Card"/>
    <s v="High"/>
    <n v="8"/>
    <n v="21129"/>
    <n v="10"/>
    <n v="152128.79999999999"/>
    <n v="33555.25"/>
    <x v="4"/>
  </r>
  <r>
    <s v="ORD00839"/>
    <x v="564"/>
    <d v="2023-01-30T00:00:00"/>
    <s v="West"/>
    <s v="India"/>
    <s v="Gujarat"/>
    <s v="Chennai"/>
    <x v="803"/>
    <x v="2"/>
    <s v="Furniture"/>
    <s v="Chair"/>
    <s v="Product_187"/>
    <x v="4"/>
    <x v="0"/>
    <s v="Cash"/>
    <s v="Critical"/>
    <n v="7"/>
    <n v="40663"/>
    <n v="0"/>
    <n v="284641"/>
    <n v="52727.34"/>
    <x v="1"/>
  </r>
  <r>
    <s v="ORD00840"/>
    <x v="565"/>
    <d v="2024-07-26T00:00:00"/>
    <s v="West"/>
    <s v="India"/>
    <s v="Karnataka"/>
    <s v="Ahmedabad"/>
    <x v="804"/>
    <x v="2"/>
    <s v="Furniture"/>
    <s v="Storage"/>
    <s v="Product_164"/>
    <x v="0"/>
    <x v="0"/>
    <s v="Credit Card"/>
    <s v="Critical"/>
    <n v="6"/>
    <n v="30475"/>
    <n v="15"/>
    <n v="155422.5"/>
    <n v="23889.15"/>
    <x v="11"/>
  </r>
  <r>
    <s v="ORD00841"/>
    <x v="566"/>
    <d v="2024-07-30T00:00:00"/>
    <s v="West"/>
    <s v="India"/>
    <s v="Tamil Nadu"/>
    <s v="Chennai"/>
    <x v="805"/>
    <x v="0"/>
    <s v="Electronics"/>
    <s v="Chair"/>
    <s v="Product_64"/>
    <x v="2"/>
    <x v="0"/>
    <s v="Debit Card"/>
    <s v="Medium"/>
    <n v="4"/>
    <n v="8507"/>
    <n v="20"/>
    <n v="27222.400000000001"/>
    <n v="-2803.07"/>
    <x v="11"/>
  </r>
  <r>
    <s v="ORD00842"/>
    <x v="1"/>
    <d v="2024-03-06T00:00:00"/>
    <s v="West"/>
    <s v="India"/>
    <s v="Tamil Nadu"/>
    <s v="Ahmedabad"/>
    <x v="806"/>
    <x v="1"/>
    <s v="Furniture"/>
    <s v="Storage"/>
    <s v="Product_154"/>
    <x v="4"/>
    <x v="1"/>
    <s v="Cash"/>
    <s v="High"/>
    <n v="1"/>
    <n v="18781"/>
    <n v="5"/>
    <n v="17841.95"/>
    <n v="3167.79"/>
    <x v="0"/>
  </r>
  <r>
    <s v="ORD00843"/>
    <x v="567"/>
    <d v="2023-06-22T00:00:00"/>
    <s v="North"/>
    <s v="India"/>
    <s v="Tamil Nadu"/>
    <s v="Mumbai"/>
    <x v="807"/>
    <x v="0"/>
    <s v="Electronics"/>
    <s v="Laptop"/>
    <s v="Product_136"/>
    <x v="5"/>
    <x v="1"/>
    <s v="Debit Card"/>
    <s v="High"/>
    <n v="4"/>
    <n v="29595"/>
    <n v="15"/>
    <n v="100623"/>
    <n v="5757.13"/>
    <x v="2"/>
  </r>
  <r>
    <s v="ORD00844"/>
    <x v="568"/>
    <d v="2023-06-04T00:00:00"/>
    <s v="South"/>
    <s v="India"/>
    <s v="Gujarat"/>
    <s v="Ahmedabad"/>
    <x v="808"/>
    <x v="0"/>
    <s v="Office Supplies"/>
    <s v="Laptop"/>
    <s v="Product_104"/>
    <x v="1"/>
    <x v="0"/>
    <s v="UPI"/>
    <s v="High"/>
    <n v="2"/>
    <n v="34321"/>
    <n v="20"/>
    <n v="54913.599999999999"/>
    <n v="-7551.93"/>
    <x v="4"/>
  </r>
  <r>
    <s v="ORD00845"/>
    <x v="569"/>
    <d v="2022-08-21T00:00:00"/>
    <s v="South"/>
    <s v="India"/>
    <s v="Karnataka"/>
    <s v="Delhi"/>
    <x v="809"/>
    <x v="2"/>
    <s v="Electronics"/>
    <s v="Mobile"/>
    <s v="Product_166"/>
    <x v="0"/>
    <x v="1"/>
    <s v="Debit Card"/>
    <s v="High"/>
    <n v="1"/>
    <n v="8219"/>
    <n v="10"/>
    <n v="7397.1"/>
    <n v="638.41999999999996"/>
    <x v="8"/>
  </r>
  <r>
    <s v="ORD00846"/>
    <x v="570"/>
    <d v="2023-06-29T00:00:00"/>
    <s v="West"/>
    <s v="India"/>
    <s v="Gujarat"/>
    <s v="Mumbai"/>
    <x v="810"/>
    <x v="2"/>
    <s v="Electronics"/>
    <s v="Chair"/>
    <s v="Product_174"/>
    <x v="0"/>
    <x v="1"/>
    <s v="Credit Card"/>
    <s v="Medium"/>
    <n v="6"/>
    <n v="2897"/>
    <n v="20"/>
    <n v="13905.6"/>
    <n v="-553.65"/>
    <x v="2"/>
  </r>
  <r>
    <s v="ORD00847"/>
    <x v="280"/>
    <d v="2024-09-14T00:00:00"/>
    <s v="North"/>
    <s v="India"/>
    <s v="Karnataka"/>
    <s v="Delhi"/>
    <x v="811"/>
    <x v="1"/>
    <s v="Electronics"/>
    <s v="Printer"/>
    <s v="Product_177"/>
    <x v="3"/>
    <x v="1"/>
    <s v="Net Banking"/>
    <s v="High"/>
    <n v="7"/>
    <n v="23889"/>
    <n v="5"/>
    <n v="158861.85"/>
    <n v="32659.91"/>
    <x v="7"/>
  </r>
  <r>
    <s v="ORD00848"/>
    <x v="571"/>
    <d v="2023-10-30T00:00:00"/>
    <s v="South"/>
    <s v="India"/>
    <s v="Karnataka"/>
    <s v="Ahmedabad"/>
    <x v="812"/>
    <x v="1"/>
    <s v="Office Supplies"/>
    <s v="Chair"/>
    <s v="Product_159"/>
    <x v="2"/>
    <x v="1"/>
    <s v="Cash"/>
    <s v="Medium"/>
    <n v="10"/>
    <n v="25835"/>
    <n v="10"/>
    <n v="232515"/>
    <n v="35613.74"/>
    <x v="10"/>
  </r>
  <r>
    <s v="ORD00849"/>
    <x v="286"/>
    <d v="2024-01-25T00:00:00"/>
    <s v="East"/>
    <s v="India"/>
    <s v="Karnataka"/>
    <s v="Ahmedabad"/>
    <x v="813"/>
    <x v="1"/>
    <s v="Electronics"/>
    <s v="Printer"/>
    <s v="Product_50"/>
    <x v="0"/>
    <x v="0"/>
    <s v="Cash"/>
    <s v="Critical"/>
    <n v="7"/>
    <n v="30268"/>
    <n v="0"/>
    <n v="211876"/>
    <n v="31430.69"/>
    <x v="1"/>
  </r>
  <r>
    <s v="ORD00850"/>
    <x v="190"/>
    <d v="2024-03-25T00:00:00"/>
    <s v="South"/>
    <s v="India"/>
    <s v="Karnataka"/>
    <s v="Bangalore"/>
    <x v="814"/>
    <x v="0"/>
    <s v="Electronics"/>
    <s v="Laptop"/>
    <s v="Product_29"/>
    <x v="5"/>
    <x v="0"/>
    <s v="Credit Card"/>
    <s v="High"/>
    <n v="5"/>
    <n v="5797"/>
    <n v="5"/>
    <n v="27535.75"/>
    <n v="2965.41"/>
    <x v="0"/>
  </r>
  <r>
    <s v="ORD00851"/>
    <x v="165"/>
    <d v="2023-10-22T00:00:00"/>
    <s v="South"/>
    <s v="India"/>
    <s v="Karnataka"/>
    <s v="Chennai"/>
    <x v="815"/>
    <x v="2"/>
    <s v="Electronics"/>
    <s v="Laptop"/>
    <s v="Product_12"/>
    <x v="3"/>
    <x v="0"/>
    <s v="Debit Card"/>
    <s v="Critical"/>
    <n v="8"/>
    <n v="11975"/>
    <n v="15"/>
    <n v="81430"/>
    <n v="3351.31"/>
    <x v="10"/>
  </r>
  <r>
    <s v="ORD00852"/>
    <x v="572"/>
    <d v="2022-04-14T00:00:00"/>
    <s v="West"/>
    <s v="India"/>
    <s v="Delhi"/>
    <s v="Delhi"/>
    <x v="816"/>
    <x v="1"/>
    <s v="Furniture"/>
    <s v="Table"/>
    <s v="Product_87"/>
    <x v="0"/>
    <x v="1"/>
    <s v="Debit Card"/>
    <s v="High"/>
    <n v="8"/>
    <n v="17739"/>
    <n v="15"/>
    <n v="120625.2"/>
    <n v="13710.5"/>
    <x v="6"/>
  </r>
  <r>
    <s v="ORD00853"/>
    <x v="424"/>
    <d v="2024-04-10T00:00:00"/>
    <s v="West"/>
    <s v="India"/>
    <s v="Karnataka"/>
    <s v="Delhi"/>
    <x v="817"/>
    <x v="0"/>
    <s v="Electronics"/>
    <s v="Storage"/>
    <s v="Product_183"/>
    <x v="5"/>
    <x v="1"/>
    <s v="Net Banking"/>
    <s v="Low"/>
    <n v="6"/>
    <n v="17849"/>
    <n v="15"/>
    <n v="91029.9"/>
    <n v="-9224.2900000000009"/>
    <x v="6"/>
  </r>
  <r>
    <s v="ORD00854"/>
    <x v="245"/>
    <d v="2022-12-10T00:00:00"/>
    <s v="North"/>
    <s v="India"/>
    <s v="Gujarat"/>
    <s v="Chennai"/>
    <x v="818"/>
    <x v="2"/>
    <s v="Office Supplies"/>
    <s v="Mobile"/>
    <s v="Product_116"/>
    <x v="5"/>
    <x v="1"/>
    <s v="UPI"/>
    <s v="Critical"/>
    <n v="7"/>
    <n v="34532"/>
    <n v="10"/>
    <n v="217551.6"/>
    <n v="30580.34"/>
    <x v="9"/>
  </r>
  <r>
    <s v="ORD00855"/>
    <x v="573"/>
    <d v="2022-05-18T00:00:00"/>
    <s v="West"/>
    <s v="India"/>
    <s v="Maharashtra"/>
    <s v="Bangalore"/>
    <x v="819"/>
    <x v="1"/>
    <s v="Furniture"/>
    <s v="Laptop"/>
    <s v="Product_170"/>
    <x v="4"/>
    <x v="1"/>
    <s v="UPI"/>
    <s v="High"/>
    <n v="9"/>
    <n v="2889"/>
    <n v="10"/>
    <n v="23400.9"/>
    <n v="-1055.69"/>
    <x v="4"/>
  </r>
  <r>
    <s v="ORD00856"/>
    <x v="214"/>
    <d v="2024-09-26T00:00:00"/>
    <s v="East"/>
    <s v="India"/>
    <s v="Maharashtra"/>
    <s v="Bangalore"/>
    <x v="820"/>
    <x v="1"/>
    <s v="Furniture"/>
    <s v="Mobile"/>
    <s v="Product_153"/>
    <x v="2"/>
    <x v="1"/>
    <s v="Net Banking"/>
    <s v="Low"/>
    <n v="4"/>
    <n v="27960"/>
    <n v="5"/>
    <n v="106248"/>
    <n v="14299.42"/>
    <x v="7"/>
  </r>
  <r>
    <s v="ORD00857"/>
    <x v="114"/>
    <d v="2024-02-17T00:00:00"/>
    <s v="South"/>
    <s v="India"/>
    <s v="Maharashtra"/>
    <s v="Ahmedabad"/>
    <x v="821"/>
    <x v="1"/>
    <s v="Office Supplies"/>
    <s v="Storage"/>
    <s v="Product_24"/>
    <x v="4"/>
    <x v="1"/>
    <s v="Debit Card"/>
    <s v="High"/>
    <n v="5"/>
    <n v="47045"/>
    <n v="0"/>
    <n v="235225"/>
    <n v="50814.2"/>
    <x v="5"/>
  </r>
  <r>
    <s v="ORD00858"/>
    <x v="574"/>
    <d v="2022-06-07T00:00:00"/>
    <s v="South"/>
    <s v="India"/>
    <s v="Maharashtra"/>
    <s v="Bangalore"/>
    <x v="822"/>
    <x v="0"/>
    <s v="Electronics"/>
    <s v="Mobile"/>
    <s v="Product_25"/>
    <x v="5"/>
    <x v="0"/>
    <s v="Credit Card"/>
    <s v="High"/>
    <n v="5"/>
    <n v="46983"/>
    <n v="0"/>
    <n v="234915"/>
    <n v="26271.49"/>
    <x v="4"/>
  </r>
  <r>
    <s v="ORD00859"/>
    <x v="493"/>
    <d v="2023-07-02T00:00:00"/>
    <s v="South"/>
    <s v="India"/>
    <s v="Tamil Nadu"/>
    <s v="Delhi"/>
    <x v="823"/>
    <x v="2"/>
    <s v="Electronics"/>
    <s v="Laptop"/>
    <s v="Product_177"/>
    <x v="3"/>
    <x v="0"/>
    <s v="UPI"/>
    <s v="Low"/>
    <n v="4"/>
    <n v="3147"/>
    <n v="5"/>
    <n v="11958.6"/>
    <n v="2586.86"/>
    <x v="2"/>
  </r>
  <r>
    <s v="ORD00860"/>
    <x v="329"/>
    <d v="2024-05-25T00:00:00"/>
    <s v="South"/>
    <s v="India"/>
    <s v="Delhi"/>
    <s v="Bangalore"/>
    <x v="824"/>
    <x v="0"/>
    <s v="Office Supplies"/>
    <s v="Table"/>
    <s v="Product_29"/>
    <x v="5"/>
    <x v="1"/>
    <s v="Cash"/>
    <s v="Critical"/>
    <n v="8"/>
    <n v="1274"/>
    <n v="10"/>
    <n v="9172.7999999999993"/>
    <n v="422.09"/>
    <x v="4"/>
  </r>
  <r>
    <s v="ORD00861"/>
    <x v="575"/>
    <d v="2022-04-21T00:00:00"/>
    <s v="West"/>
    <s v="India"/>
    <s v="Delhi"/>
    <s v="Ahmedabad"/>
    <x v="825"/>
    <x v="1"/>
    <s v="Electronics"/>
    <s v="Mobile"/>
    <s v="Product_16"/>
    <x v="3"/>
    <x v="1"/>
    <s v="Cash"/>
    <s v="High"/>
    <n v="4"/>
    <n v="34102"/>
    <n v="10"/>
    <n v="122767.2"/>
    <n v="22931.57"/>
    <x v="6"/>
  </r>
  <r>
    <s v="ORD00862"/>
    <x v="576"/>
    <d v="2022-12-13T00:00:00"/>
    <s v="South"/>
    <s v="India"/>
    <s v="Maharashtra"/>
    <s v="Chennai"/>
    <x v="826"/>
    <x v="1"/>
    <s v="Furniture"/>
    <s v="Chair"/>
    <s v="Product_36"/>
    <x v="2"/>
    <x v="1"/>
    <s v="Credit Card"/>
    <s v="Low"/>
    <n v="9"/>
    <n v="21528"/>
    <n v="0"/>
    <n v="193752"/>
    <n v="46477.53"/>
    <x v="9"/>
  </r>
  <r>
    <s v="ORD00863"/>
    <x v="577"/>
    <d v="2023-02-12T00:00:00"/>
    <s v="North"/>
    <s v="India"/>
    <s v="Tamil Nadu"/>
    <s v="Ahmedabad"/>
    <x v="827"/>
    <x v="1"/>
    <s v="Electronics"/>
    <s v="Storage"/>
    <s v="Product_190"/>
    <x v="4"/>
    <x v="1"/>
    <s v="Net Banking"/>
    <s v="Medium"/>
    <n v="5"/>
    <n v="22997"/>
    <n v="5"/>
    <n v="109235.75"/>
    <n v="20821.13"/>
    <x v="5"/>
  </r>
  <r>
    <s v="ORD00864"/>
    <x v="18"/>
    <d v="2022-05-06T00:00:00"/>
    <s v="South"/>
    <s v="India"/>
    <s v="Gujarat"/>
    <s v="Mumbai"/>
    <x v="828"/>
    <x v="1"/>
    <s v="Electronics"/>
    <s v="Table"/>
    <s v="Product_144"/>
    <x v="0"/>
    <x v="0"/>
    <s v="UPI"/>
    <s v="Medium"/>
    <n v="1"/>
    <n v="27285"/>
    <n v="20"/>
    <n v="21828"/>
    <n v="-1549.71"/>
    <x v="4"/>
  </r>
  <r>
    <s v="ORD00865"/>
    <x v="409"/>
    <d v="2024-07-14T00:00:00"/>
    <s v="South"/>
    <s v="India"/>
    <s v="Karnataka"/>
    <s v="Bangalore"/>
    <x v="829"/>
    <x v="0"/>
    <s v="Electronics"/>
    <s v="Laptop"/>
    <s v="Product_113"/>
    <x v="5"/>
    <x v="0"/>
    <s v="Debit Card"/>
    <s v="Critical"/>
    <n v="1"/>
    <n v="3787"/>
    <n v="5"/>
    <n v="3597.65"/>
    <n v="645.21"/>
    <x v="11"/>
  </r>
  <r>
    <s v="ORD00866"/>
    <x v="404"/>
    <d v="2022-06-15T00:00:00"/>
    <s v="South"/>
    <s v="India"/>
    <s v="Tamil Nadu"/>
    <s v="Mumbai"/>
    <x v="830"/>
    <x v="0"/>
    <s v="Furniture"/>
    <s v="Chair"/>
    <s v="Product_165"/>
    <x v="1"/>
    <x v="1"/>
    <s v="Cash"/>
    <s v="Critical"/>
    <n v="5"/>
    <n v="10252"/>
    <n v="10"/>
    <n v="46134"/>
    <n v="-981.1"/>
    <x v="2"/>
  </r>
  <r>
    <s v="ORD00867"/>
    <x v="490"/>
    <d v="2022-11-25T00:00:00"/>
    <s v="West"/>
    <s v="India"/>
    <s v="Tamil Nadu"/>
    <s v="Mumbai"/>
    <x v="831"/>
    <x v="1"/>
    <s v="Furniture"/>
    <s v="Mobile"/>
    <s v="Product_141"/>
    <x v="3"/>
    <x v="1"/>
    <s v="Net Banking"/>
    <s v="High"/>
    <n v="3"/>
    <n v="15097"/>
    <n v="5"/>
    <n v="43026.45"/>
    <n v="29.51"/>
    <x v="3"/>
  </r>
  <r>
    <s v="ORD00868"/>
    <x v="3"/>
    <d v="2023-02-02T00:00:00"/>
    <s v="South"/>
    <s v="India"/>
    <s v="Gujarat"/>
    <s v="Ahmedabad"/>
    <x v="832"/>
    <x v="2"/>
    <s v="Electronics"/>
    <s v="Laptop"/>
    <s v="Product_150"/>
    <x v="2"/>
    <x v="0"/>
    <s v="Cash"/>
    <s v="Low"/>
    <n v="8"/>
    <n v="39770"/>
    <n v="20"/>
    <n v="254528"/>
    <n v="-44619.07"/>
    <x v="1"/>
  </r>
  <r>
    <s v="ORD00869"/>
    <x v="578"/>
    <d v="2023-07-04T00:00:00"/>
    <s v="North"/>
    <s v="India"/>
    <s v="Delhi"/>
    <s v="Bangalore"/>
    <x v="833"/>
    <x v="0"/>
    <s v="Office Supplies"/>
    <s v="Laptop"/>
    <s v="Product_66"/>
    <x v="1"/>
    <x v="0"/>
    <s v="Net Banking"/>
    <s v="Critical"/>
    <n v="3"/>
    <n v="6917"/>
    <n v="5"/>
    <n v="19713.45"/>
    <n v="4304.2299999999996"/>
    <x v="11"/>
  </r>
  <r>
    <s v="ORD00870"/>
    <x v="238"/>
    <d v="2022-09-15T00:00:00"/>
    <s v="North"/>
    <s v="India"/>
    <s v="Delhi"/>
    <s v="Ahmedabad"/>
    <x v="834"/>
    <x v="2"/>
    <s v="Furniture"/>
    <s v="Mobile"/>
    <s v="Product_102"/>
    <x v="5"/>
    <x v="1"/>
    <s v="Cash"/>
    <s v="High"/>
    <n v="5"/>
    <n v="26918"/>
    <n v="0"/>
    <n v="134590"/>
    <n v="13723.48"/>
    <x v="7"/>
  </r>
  <r>
    <s v="ORD00871"/>
    <x v="424"/>
    <d v="2024-04-13T00:00:00"/>
    <s v="North"/>
    <s v="India"/>
    <s v="Gujarat"/>
    <s v="Delhi"/>
    <x v="53"/>
    <x v="1"/>
    <s v="Electronics"/>
    <s v="Printer"/>
    <s v="Product_164"/>
    <x v="3"/>
    <x v="0"/>
    <s v="Cash"/>
    <s v="Low"/>
    <n v="9"/>
    <n v="7801"/>
    <n v="10"/>
    <n v="63188.1"/>
    <n v="9426.82"/>
    <x v="6"/>
  </r>
  <r>
    <s v="ORD00872"/>
    <x v="579"/>
    <d v="2024-03-31T00:00:00"/>
    <s v="South"/>
    <s v="India"/>
    <s v="Maharashtra"/>
    <s v="Bangalore"/>
    <x v="835"/>
    <x v="1"/>
    <s v="Electronics"/>
    <s v="Table"/>
    <s v="Product_24"/>
    <x v="3"/>
    <x v="0"/>
    <s v="Debit Card"/>
    <s v="High"/>
    <n v="2"/>
    <n v="9735"/>
    <n v="5"/>
    <n v="18496.5"/>
    <n v="1050.51"/>
    <x v="0"/>
  </r>
  <r>
    <s v="ORD00873"/>
    <x v="1"/>
    <d v="2024-03-11T00:00:00"/>
    <s v="North"/>
    <s v="India"/>
    <s v="Gujarat"/>
    <s v="Chennai"/>
    <x v="56"/>
    <x v="0"/>
    <s v="Furniture"/>
    <s v="Printer"/>
    <s v="Product_73"/>
    <x v="0"/>
    <x v="1"/>
    <s v="Credit Card"/>
    <s v="High"/>
    <n v="10"/>
    <n v="45942"/>
    <n v="5"/>
    <n v="436449"/>
    <n v="303.67"/>
    <x v="0"/>
  </r>
  <r>
    <s v="ORD00874"/>
    <x v="237"/>
    <d v="2022-01-20T00:00:00"/>
    <s v="South"/>
    <s v="India"/>
    <s v="Tamil Nadu"/>
    <s v="Bangalore"/>
    <x v="836"/>
    <x v="2"/>
    <s v="Electronics"/>
    <s v="Table"/>
    <s v="Product_180"/>
    <x v="3"/>
    <x v="0"/>
    <s v="UPI"/>
    <s v="High"/>
    <n v="6"/>
    <n v="1671"/>
    <n v="20"/>
    <n v="8020.8"/>
    <n v="938.9"/>
    <x v="1"/>
  </r>
  <r>
    <s v="ORD00875"/>
    <x v="215"/>
    <d v="2023-03-19T00:00:00"/>
    <s v="East"/>
    <s v="India"/>
    <s v="Tamil Nadu"/>
    <s v="Chennai"/>
    <x v="44"/>
    <x v="0"/>
    <s v="Electronics"/>
    <s v="Mobile"/>
    <s v="Product_111"/>
    <x v="3"/>
    <x v="0"/>
    <s v="Debit Card"/>
    <s v="Low"/>
    <n v="10"/>
    <n v="26083"/>
    <n v="20"/>
    <n v="208664"/>
    <n v="4627.3599999999997"/>
    <x v="0"/>
  </r>
  <r>
    <s v="ORD00876"/>
    <x v="580"/>
    <d v="2024-01-31T00:00:00"/>
    <s v="West"/>
    <s v="India"/>
    <s v="Gujarat"/>
    <s v="Chennai"/>
    <x v="837"/>
    <x v="1"/>
    <s v="Furniture"/>
    <s v="Table"/>
    <s v="Product_170"/>
    <x v="1"/>
    <x v="1"/>
    <s v="Net Banking"/>
    <s v="Critical"/>
    <n v="6"/>
    <n v="15279"/>
    <n v="10"/>
    <n v="82506.600000000006"/>
    <n v="2261.14"/>
    <x v="1"/>
  </r>
  <r>
    <s v="ORD00877"/>
    <x v="555"/>
    <d v="2024-02-03T00:00:00"/>
    <s v="South"/>
    <s v="India"/>
    <s v="Karnataka"/>
    <s v="Ahmedabad"/>
    <x v="838"/>
    <x v="0"/>
    <s v="Electronics"/>
    <s v="Chair"/>
    <s v="Product_3"/>
    <x v="3"/>
    <x v="1"/>
    <s v="Debit Card"/>
    <s v="Low"/>
    <n v="3"/>
    <n v="25762"/>
    <n v="20"/>
    <n v="61828.800000000003"/>
    <n v="2896.54"/>
    <x v="1"/>
  </r>
  <r>
    <s v="ORD00878"/>
    <x v="581"/>
    <d v="2023-11-02T00:00:00"/>
    <s v="North"/>
    <s v="India"/>
    <s v="Tamil Nadu"/>
    <s v="Chennai"/>
    <x v="839"/>
    <x v="2"/>
    <s v="Electronics"/>
    <s v="Printer"/>
    <s v="Product_155"/>
    <x v="0"/>
    <x v="1"/>
    <s v="UPI"/>
    <s v="Medium"/>
    <n v="7"/>
    <n v="17882"/>
    <n v="10"/>
    <n v="112656.6"/>
    <n v="-2698.42"/>
    <x v="10"/>
  </r>
  <r>
    <s v="ORD00879"/>
    <x v="582"/>
    <d v="2022-11-16T00:00:00"/>
    <s v="South"/>
    <s v="India"/>
    <s v="Gujarat"/>
    <s v="Chennai"/>
    <x v="840"/>
    <x v="0"/>
    <s v="Electronics"/>
    <s v="Storage"/>
    <s v="Product_57"/>
    <x v="0"/>
    <x v="0"/>
    <s v="UPI"/>
    <s v="Critical"/>
    <n v="6"/>
    <n v="42496"/>
    <n v="5"/>
    <n v="242227.20000000001"/>
    <n v="52208.83"/>
    <x v="3"/>
  </r>
  <r>
    <s v="ORD00880"/>
    <x v="583"/>
    <d v="2024-06-16T00:00:00"/>
    <s v="East"/>
    <s v="India"/>
    <s v="Delhi"/>
    <s v="Mumbai"/>
    <x v="841"/>
    <x v="2"/>
    <s v="Furniture"/>
    <s v="Table"/>
    <s v="Product_184"/>
    <x v="0"/>
    <x v="1"/>
    <s v="Credit Card"/>
    <s v="Critical"/>
    <n v="9"/>
    <n v="24923"/>
    <n v="10"/>
    <n v="201876.3"/>
    <n v="40196.35"/>
    <x v="2"/>
  </r>
  <r>
    <s v="ORD00881"/>
    <x v="481"/>
    <d v="2024-01-09T00:00:00"/>
    <s v="East"/>
    <s v="India"/>
    <s v="Tamil Nadu"/>
    <s v="Ahmedabad"/>
    <x v="842"/>
    <x v="0"/>
    <s v="Office Supplies"/>
    <s v="Table"/>
    <s v="Product_2"/>
    <x v="1"/>
    <x v="0"/>
    <s v="Cash"/>
    <s v="High"/>
    <n v="9"/>
    <n v="10293"/>
    <n v="5"/>
    <n v="88005.15"/>
    <n v="22763.16"/>
    <x v="1"/>
  </r>
  <r>
    <s v="ORD00882"/>
    <x v="187"/>
    <d v="2022-01-15T00:00:00"/>
    <s v="East"/>
    <s v="India"/>
    <s v="Tamil Nadu"/>
    <s v="Ahmedabad"/>
    <x v="843"/>
    <x v="1"/>
    <s v="Electronics"/>
    <s v="Laptop"/>
    <s v="Product_6"/>
    <x v="5"/>
    <x v="0"/>
    <s v="Debit Card"/>
    <s v="Low"/>
    <n v="8"/>
    <n v="46402"/>
    <n v="5"/>
    <n v="352655.2"/>
    <n v="50444.56"/>
    <x v="1"/>
  </r>
  <r>
    <s v="ORD00883"/>
    <x v="408"/>
    <d v="2022-04-10T00:00:00"/>
    <s v="South"/>
    <s v="India"/>
    <s v="Karnataka"/>
    <s v="Bangalore"/>
    <x v="844"/>
    <x v="1"/>
    <s v="Furniture"/>
    <s v="Chair"/>
    <s v="Product_84"/>
    <x v="1"/>
    <x v="0"/>
    <s v="Cash"/>
    <s v="High"/>
    <n v="1"/>
    <n v="37539"/>
    <n v="15"/>
    <n v="31908.15"/>
    <n v="902.15"/>
    <x v="6"/>
  </r>
  <r>
    <s v="ORD00884"/>
    <x v="584"/>
    <d v="2023-11-26T00:00:00"/>
    <s v="East"/>
    <s v="India"/>
    <s v="Gujarat"/>
    <s v="Mumbai"/>
    <x v="43"/>
    <x v="2"/>
    <s v="Furniture"/>
    <s v="Table"/>
    <s v="Product_120"/>
    <x v="3"/>
    <x v="0"/>
    <s v="Debit Card"/>
    <s v="Low"/>
    <n v="1"/>
    <n v="45952"/>
    <n v="10"/>
    <n v="41356.800000000003"/>
    <n v="752.3"/>
    <x v="3"/>
  </r>
  <r>
    <s v="ORD00885"/>
    <x v="86"/>
    <d v="2024-07-24T00:00:00"/>
    <s v="West"/>
    <s v="India"/>
    <s v="Delhi"/>
    <s v="Delhi"/>
    <x v="845"/>
    <x v="0"/>
    <s v="Electronics"/>
    <s v="Chair"/>
    <s v="Product_28"/>
    <x v="0"/>
    <x v="0"/>
    <s v="Debit Card"/>
    <s v="Medium"/>
    <n v="8"/>
    <n v="48742"/>
    <n v="5"/>
    <n v="370439.2"/>
    <n v="17981.46"/>
    <x v="11"/>
  </r>
  <r>
    <s v="ORD00886"/>
    <x v="581"/>
    <d v="2023-11-03T00:00:00"/>
    <s v="East"/>
    <s v="India"/>
    <s v="Maharashtra"/>
    <s v="Mumbai"/>
    <x v="846"/>
    <x v="2"/>
    <s v="Electronics"/>
    <s v="Mobile"/>
    <s v="Product_23"/>
    <x v="0"/>
    <x v="0"/>
    <s v="Net Banking"/>
    <s v="Critical"/>
    <n v="7"/>
    <n v="10543"/>
    <n v="5"/>
    <n v="70110.95"/>
    <n v="9097.68"/>
    <x v="10"/>
  </r>
  <r>
    <s v="ORD00887"/>
    <x v="420"/>
    <d v="2023-02-16T00:00:00"/>
    <s v="East"/>
    <s v="India"/>
    <s v="Tamil Nadu"/>
    <s v="Bangalore"/>
    <x v="291"/>
    <x v="0"/>
    <s v="Office Supplies"/>
    <s v="Laptop"/>
    <s v="Product_88"/>
    <x v="0"/>
    <x v="1"/>
    <s v="Cash"/>
    <s v="High"/>
    <n v="6"/>
    <n v="2119"/>
    <n v="10"/>
    <n v="11442.6"/>
    <n v="-62.51"/>
    <x v="5"/>
  </r>
  <r>
    <s v="ORD00888"/>
    <x v="550"/>
    <d v="2022-10-30T00:00:00"/>
    <s v="East"/>
    <s v="India"/>
    <s v="Gujarat"/>
    <s v="Delhi"/>
    <x v="847"/>
    <x v="2"/>
    <s v="Furniture"/>
    <s v="Laptop"/>
    <s v="Product_166"/>
    <x v="0"/>
    <x v="0"/>
    <s v="Debit Card"/>
    <s v="Low"/>
    <n v="1"/>
    <n v="4164"/>
    <n v="10"/>
    <n v="3747.6"/>
    <n v="-99.14"/>
    <x v="10"/>
  </r>
  <r>
    <s v="ORD00889"/>
    <x v="517"/>
    <d v="2023-12-31T00:00:00"/>
    <s v="North"/>
    <s v="India"/>
    <s v="Gujarat"/>
    <s v="Chennai"/>
    <x v="848"/>
    <x v="1"/>
    <s v="Electronics"/>
    <s v="Storage"/>
    <s v="Product_15"/>
    <x v="1"/>
    <x v="1"/>
    <s v="Debit Card"/>
    <s v="High"/>
    <n v="6"/>
    <n v="16965"/>
    <n v="20"/>
    <n v="81432"/>
    <n v="1051.17"/>
    <x v="9"/>
  </r>
  <r>
    <s v="ORD00890"/>
    <x v="191"/>
    <d v="2024-04-22T00:00:00"/>
    <s v="North"/>
    <s v="India"/>
    <s v="Maharashtra"/>
    <s v="Mumbai"/>
    <x v="849"/>
    <x v="0"/>
    <s v="Electronics"/>
    <s v="Mobile"/>
    <s v="Product_160"/>
    <x v="1"/>
    <x v="1"/>
    <s v="Cash"/>
    <s v="High"/>
    <n v="7"/>
    <n v="40731"/>
    <n v="15"/>
    <n v="242349.45"/>
    <n v="-21642.35"/>
    <x v="6"/>
  </r>
  <r>
    <s v="ORD00891"/>
    <x v="585"/>
    <d v="2022-09-29T00:00:00"/>
    <s v="North"/>
    <s v="India"/>
    <s v="Karnataka"/>
    <s v="Chennai"/>
    <x v="850"/>
    <x v="1"/>
    <s v="Office Supplies"/>
    <s v="Mobile"/>
    <s v="Product_62"/>
    <x v="4"/>
    <x v="1"/>
    <s v="Debit Card"/>
    <s v="High"/>
    <n v="8"/>
    <n v="17346"/>
    <n v="20"/>
    <n v="111014.39999999999"/>
    <n v="-15948.87"/>
    <x v="7"/>
  </r>
  <r>
    <s v="ORD00892"/>
    <x v="586"/>
    <d v="2022-04-01T00:00:00"/>
    <s v="West"/>
    <s v="India"/>
    <s v="Gujarat"/>
    <s v="Bangalore"/>
    <x v="851"/>
    <x v="1"/>
    <s v="Electronics"/>
    <s v="Chair"/>
    <s v="Product_125"/>
    <x v="5"/>
    <x v="0"/>
    <s v="Cash"/>
    <s v="High"/>
    <n v="6"/>
    <n v="10620"/>
    <n v="0"/>
    <n v="63720"/>
    <n v="17766.96"/>
    <x v="0"/>
  </r>
  <r>
    <s v="ORD00893"/>
    <x v="587"/>
    <d v="2023-02-04T00:00:00"/>
    <s v="West"/>
    <s v="India"/>
    <s v="Maharashtra"/>
    <s v="Delhi"/>
    <x v="426"/>
    <x v="0"/>
    <s v="Office Supplies"/>
    <s v="Chair"/>
    <s v="Product_24"/>
    <x v="1"/>
    <x v="1"/>
    <s v="Cash"/>
    <s v="Low"/>
    <n v="3"/>
    <n v="1143"/>
    <n v="10"/>
    <n v="3086.1"/>
    <n v="-153.51"/>
    <x v="1"/>
  </r>
  <r>
    <s v="ORD00894"/>
    <x v="588"/>
    <d v="2023-09-04T00:00:00"/>
    <s v="North"/>
    <s v="India"/>
    <s v="Karnataka"/>
    <s v="Ahmedabad"/>
    <x v="852"/>
    <x v="2"/>
    <s v="Electronics"/>
    <s v="Chair"/>
    <s v="Product_122"/>
    <x v="2"/>
    <x v="1"/>
    <s v="Net Banking"/>
    <s v="High"/>
    <n v="4"/>
    <n v="46429"/>
    <n v="20"/>
    <n v="148572.79999999999"/>
    <n v="10733.9"/>
    <x v="8"/>
  </r>
  <r>
    <s v="ORD00895"/>
    <x v="589"/>
    <d v="2023-03-15T00:00:00"/>
    <s v="West"/>
    <s v="India"/>
    <s v="Tamil Nadu"/>
    <s v="Mumbai"/>
    <x v="853"/>
    <x v="1"/>
    <s v="Office Supplies"/>
    <s v="Printer"/>
    <s v="Product_39"/>
    <x v="4"/>
    <x v="0"/>
    <s v="Net Banking"/>
    <s v="High"/>
    <n v="7"/>
    <n v="7781"/>
    <n v="0"/>
    <n v="54467"/>
    <n v="7379.19"/>
    <x v="0"/>
  </r>
  <r>
    <s v="ORD00896"/>
    <x v="331"/>
    <d v="2022-06-10T00:00:00"/>
    <s v="East"/>
    <s v="India"/>
    <s v="Karnataka"/>
    <s v="Ahmedabad"/>
    <x v="854"/>
    <x v="2"/>
    <s v="Electronics"/>
    <s v="Storage"/>
    <s v="Product_2"/>
    <x v="4"/>
    <x v="1"/>
    <s v="UPI"/>
    <s v="High"/>
    <n v="6"/>
    <n v="10196"/>
    <n v="0"/>
    <n v="61176"/>
    <n v="11740.46"/>
    <x v="2"/>
  </r>
  <r>
    <s v="ORD00897"/>
    <x v="590"/>
    <d v="2023-03-11T00:00:00"/>
    <s v="West"/>
    <s v="India"/>
    <s v="Delhi"/>
    <s v="Delhi"/>
    <x v="855"/>
    <x v="2"/>
    <s v="Furniture"/>
    <s v="Laptop"/>
    <s v="Product_6"/>
    <x v="1"/>
    <x v="0"/>
    <s v="UPI"/>
    <s v="High"/>
    <n v="5"/>
    <n v="30834"/>
    <n v="20"/>
    <n v="123336"/>
    <n v="3935.76"/>
    <x v="0"/>
  </r>
  <r>
    <s v="ORD00898"/>
    <x v="152"/>
    <d v="2023-12-03T00:00:00"/>
    <s v="East"/>
    <s v="India"/>
    <s v="Delhi"/>
    <s v="Ahmedabad"/>
    <x v="856"/>
    <x v="0"/>
    <s v="Electronics"/>
    <s v="Table"/>
    <s v="Product_188"/>
    <x v="2"/>
    <x v="0"/>
    <s v="Cash"/>
    <s v="Medium"/>
    <n v="1"/>
    <n v="29169"/>
    <n v="20"/>
    <n v="23335.200000000001"/>
    <n v="-3308.69"/>
    <x v="3"/>
  </r>
  <r>
    <s v="ORD00899"/>
    <x v="591"/>
    <d v="2024-09-14T00:00:00"/>
    <s v="South"/>
    <s v="India"/>
    <s v="Tamil Nadu"/>
    <s v="Chennai"/>
    <x v="857"/>
    <x v="1"/>
    <s v="Furniture"/>
    <s v="Chair"/>
    <s v="Product_16"/>
    <x v="4"/>
    <x v="0"/>
    <s v="Debit Card"/>
    <s v="High"/>
    <n v="1"/>
    <n v="34113"/>
    <n v="20"/>
    <n v="27290.400000000001"/>
    <n v="-3083.32"/>
    <x v="7"/>
  </r>
  <r>
    <s v="ORD00900"/>
    <x v="592"/>
    <d v="2022-12-02T00:00:00"/>
    <s v="South"/>
    <s v="India"/>
    <s v="Gujarat"/>
    <s v="Ahmedabad"/>
    <x v="858"/>
    <x v="2"/>
    <s v="Furniture"/>
    <s v="Storage"/>
    <s v="Product_69"/>
    <x v="1"/>
    <x v="0"/>
    <s v="Credit Card"/>
    <s v="High"/>
    <n v="10"/>
    <n v="3437"/>
    <n v="20"/>
    <n v="27496"/>
    <n v="-211.73"/>
    <x v="3"/>
  </r>
  <r>
    <s v="ORD00901"/>
    <x v="593"/>
    <d v="2024-06-24T00:00:00"/>
    <s v="East"/>
    <s v="India"/>
    <s v="Maharashtra"/>
    <s v="Chennai"/>
    <x v="80"/>
    <x v="1"/>
    <s v="Office Supplies"/>
    <s v="Storage"/>
    <s v="Product_177"/>
    <x v="5"/>
    <x v="1"/>
    <s v="Debit Card"/>
    <s v="Critical"/>
    <n v="7"/>
    <n v="21100"/>
    <n v="20"/>
    <n v="118160"/>
    <n v="-18846.28"/>
    <x v="2"/>
  </r>
  <r>
    <s v="ORD00902"/>
    <x v="594"/>
    <d v="2023-05-11T00:00:00"/>
    <s v="South"/>
    <s v="India"/>
    <s v="Delhi"/>
    <s v="Bangalore"/>
    <x v="859"/>
    <x v="2"/>
    <s v="Electronics"/>
    <s v="Laptop"/>
    <s v="Product_100"/>
    <x v="2"/>
    <x v="0"/>
    <s v="UPI"/>
    <s v="High"/>
    <n v="6"/>
    <n v="38036"/>
    <n v="0"/>
    <n v="228216"/>
    <n v="32758.23"/>
    <x v="4"/>
  </r>
  <r>
    <s v="ORD00903"/>
    <x v="421"/>
    <d v="2023-01-20T00:00:00"/>
    <s v="West"/>
    <s v="India"/>
    <s v="Tamil Nadu"/>
    <s v="Chennai"/>
    <x v="860"/>
    <x v="1"/>
    <s v="Furniture"/>
    <s v="Mobile"/>
    <s v="Product_135"/>
    <x v="5"/>
    <x v="1"/>
    <s v="Debit Card"/>
    <s v="Medium"/>
    <n v="9"/>
    <n v="45208"/>
    <n v="20"/>
    <n v="325497.59999999998"/>
    <n v="-3687.44"/>
    <x v="1"/>
  </r>
  <r>
    <s v="ORD00904"/>
    <x v="595"/>
    <d v="2022-10-14T00:00:00"/>
    <s v="South"/>
    <s v="India"/>
    <s v="Tamil Nadu"/>
    <s v="Delhi"/>
    <x v="861"/>
    <x v="0"/>
    <s v="Electronics"/>
    <s v="Mobile"/>
    <s v="Product_94"/>
    <x v="0"/>
    <x v="1"/>
    <s v="Cash"/>
    <s v="Critical"/>
    <n v="8"/>
    <n v="8787"/>
    <n v="20"/>
    <n v="56236.800000000003"/>
    <n v="-4278.79"/>
    <x v="10"/>
  </r>
  <r>
    <s v="ORD00905"/>
    <x v="161"/>
    <d v="2023-01-03T00:00:00"/>
    <s v="North"/>
    <s v="India"/>
    <s v="Maharashtra"/>
    <s v="Delhi"/>
    <x v="862"/>
    <x v="2"/>
    <s v="Office Supplies"/>
    <s v="Table"/>
    <s v="Product_137"/>
    <x v="3"/>
    <x v="1"/>
    <s v="Credit Card"/>
    <s v="Low"/>
    <n v="4"/>
    <n v="32837"/>
    <n v="20"/>
    <n v="105078.39999999999"/>
    <n v="5451.43"/>
    <x v="9"/>
  </r>
  <r>
    <s v="ORD00906"/>
    <x v="596"/>
    <d v="2023-04-20T00:00:00"/>
    <s v="East"/>
    <s v="India"/>
    <s v="Tamil Nadu"/>
    <s v="Mumbai"/>
    <x v="863"/>
    <x v="1"/>
    <s v="Electronics"/>
    <s v="Laptop"/>
    <s v="Product_127"/>
    <x v="0"/>
    <x v="1"/>
    <s v="Net Banking"/>
    <s v="High"/>
    <n v="1"/>
    <n v="7007"/>
    <n v="0"/>
    <n v="7007"/>
    <n v="944.43"/>
    <x v="6"/>
  </r>
  <r>
    <s v="ORD00907"/>
    <x v="200"/>
    <d v="2024-02-21T00:00:00"/>
    <s v="West"/>
    <s v="India"/>
    <s v="Karnataka"/>
    <s v="Bangalore"/>
    <x v="864"/>
    <x v="2"/>
    <s v="Office Supplies"/>
    <s v="Chair"/>
    <s v="Product_7"/>
    <x v="5"/>
    <x v="0"/>
    <s v="Debit Card"/>
    <s v="High"/>
    <n v="10"/>
    <n v="24093"/>
    <n v="0"/>
    <n v="240930"/>
    <n v="33640.370000000003"/>
    <x v="5"/>
  </r>
  <r>
    <s v="ORD00908"/>
    <x v="362"/>
    <d v="2022-08-12T00:00:00"/>
    <s v="North"/>
    <s v="India"/>
    <s v="Gujarat"/>
    <s v="Ahmedabad"/>
    <x v="865"/>
    <x v="1"/>
    <s v="Electronics"/>
    <s v="Printer"/>
    <s v="Product_47"/>
    <x v="2"/>
    <x v="0"/>
    <s v="Credit Card"/>
    <s v="High"/>
    <n v="9"/>
    <n v="49599"/>
    <n v="10"/>
    <n v="401751.9"/>
    <n v="-13220.61"/>
    <x v="8"/>
  </r>
  <r>
    <s v="ORD00909"/>
    <x v="192"/>
    <d v="2022-12-31T00:00:00"/>
    <s v="North"/>
    <s v="India"/>
    <s v="Delhi"/>
    <s v="Bangalore"/>
    <x v="866"/>
    <x v="1"/>
    <s v="Office Supplies"/>
    <s v="Mobile"/>
    <s v="Product_195"/>
    <x v="4"/>
    <x v="0"/>
    <s v="Credit Card"/>
    <s v="Medium"/>
    <n v="5"/>
    <n v="12528"/>
    <n v="20"/>
    <n v="50112"/>
    <n v="-5420.92"/>
    <x v="9"/>
  </r>
  <r>
    <s v="ORD00910"/>
    <x v="245"/>
    <d v="2022-12-09T00:00:00"/>
    <s v="North"/>
    <s v="India"/>
    <s v="Maharashtra"/>
    <s v="Ahmedabad"/>
    <x v="867"/>
    <x v="2"/>
    <s v="Electronics"/>
    <s v="Mobile"/>
    <s v="Product_70"/>
    <x v="1"/>
    <x v="0"/>
    <s v="Net Banking"/>
    <s v="Medium"/>
    <n v="6"/>
    <n v="39336"/>
    <n v="0"/>
    <n v="236016"/>
    <n v="48838.25"/>
    <x v="9"/>
  </r>
  <r>
    <s v="ORD00911"/>
    <x v="597"/>
    <d v="2022-04-08T00:00:00"/>
    <s v="North"/>
    <s v="India"/>
    <s v="Tamil Nadu"/>
    <s v="Bangalore"/>
    <x v="812"/>
    <x v="0"/>
    <s v="Furniture"/>
    <s v="Chair"/>
    <s v="Product_164"/>
    <x v="5"/>
    <x v="1"/>
    <s v="Cash"/>
    <s v="Critical"/>
    <n v="8"/>
    <n v="2781"/>
    <n v="15"/>
    <n v="18910.8"/>
    <n v="834.27"/>
    <x v="0"/>
  </r>
  <r>
    <s v="ORD00912"/>
    <x v="598"/>
    <d v="2023-05-23T00:00:00"/>
    <s v="West"/>
    <s v="India"/>
    <s v="Delhi"/>
    <s v="Delhi"/>
    <x v="868"/>
    <x v="2"/>
    <s v="Furniture"/>
    <s v="Printer"/>
    <s v="Product_86"/>
    <x v="2"/>
    <x v="1"/>
    <s v="Cash"/>
    <s v="Low"/>
    <n v="4"/>
    <n v="49190"/>
    <n v="5"/>
    <n v="186922"/>
    <n v="26565.43"/>
    <x v="4"/>
  </r>
  <r>
    <s v="ORD00913"/>
    <x v="389"/>
    <d v="2023-02-07T00:00:00"/>
    <s v="East"/>
    <s v="India"/>
    <s v="Gujarat"/>
    <s v="Chennai"/>
    <x v="869"/>
    <x v="1"/>
    <s v="Electronics"/>
    <s v="Printer"/>
    <s v="Product_87"/>
    <x v="2"/>
    <x v="1"/>
    <s v="Credit Card"/>
    <s v="Low"/>
    <n v="1"/>
    <n v="39390"/>
    <n v="20"/>
    <n v="31512"/>
    <n v="-5795.73"/>
    <x v="1"/>
  </r>
  <r>
    <s v="ORD00914"/>
    <x v="514"/>
    <d v="2023-07-17T00:00:00"/>
    <s v="North"/>
    <s v="India"/>
    <s v="Karnataka"/>
    <s v="Chennai"/>
    <x v="870"/>
    <x v="0"/>
    <s v="Electronics"/>
    <s v="Storage"/>
    <s v="Product_175"/>
    <x v="4"/>
    <x v="0"/>
    <s v="Cash"/>
    <s v="High"/>
    <n v="8"/>
    <n v="29019"/>
    <n v="0"/>
    <n v="232152"/>
    <n v="22830.73"/>
    <x v="11"/>
  </r>
  <r>
    <s v="ORD00915"/>
    <x v="225"/>
    <d v="2023-05-30T00:00:00"/>
    <s v="South"/>
    <s v="India"/>
    <s v="Karnataka"/>
    <s v="Mumbai"/>
    <x v="871"/>
    <x v="1"/>
    <s v="Office Supplies"/>
    <s v="Table"/>
    <s v="Product_170"/>
    <x v="3"/>
    <x v="0"/>
    <s v="Debit Card"/>
    <s v="High"/>
    <n v="3"/>
    <n v="31086"/>
    <n v="10"/>
    <n v="83932.2"/>
    <n v="575.46"/>
    <x v="4"/>
  </r>
  <r>
    <s v="ORD00916"/>
    <x v="599"/>
    <d v="2023-11-16T00:00:00"/>
    <s v="West"/>
    <s v="India"/>
    <s v="Karnataka"/>
    <s v="Mumbai"/>
    <x v="872"/>
    <x v="0"/>
    <s v="Furniture"/>
    <s v="Storage"/>
    <s v="Product_167"/>
    <x v="0"/>
    <x v="1"/>
    <s v="Cash"/>
    <s v="Medium"/>
    <n v="9"/>
    <n v="27088"/>
    <n v="5"/>
    <n v="231602.4"/>
    <n v="47880.01"/>
    <x v="3"/>
  </r>
  <r>
    <s v="ORD00917"/>
    <x v="600"/>
    <d v="2023-11-27T00:00:00"/>
    <s v="East"/>
    <s v="India"/>
    <s v="Delhi"/>
    <s v="Ahmedabad"/>
    <x v="873"/>
    <x v="2"/>
    <s v="Electronics"/>
    <s v="Table"/>
    <s v="Product_132"/>
    <x v="3"/>
    <x v="0"/>
    <s v="Credit Card"/>
    <s v="Medium"/>
    <n v="4"/>
    <n v="18042"/>
    <n v="0"/>
    <n v="72168"/>
    <n v="15319.36"/>
    <x v="3"/>
  </r>
  <r>
    <s v="ORD00918"/>
    <x v="601"/>
    <d v="2022-04-23T00:00:00"/>
    <s v="North"/>
    <s v="India"/>
    <s v="Delhi"/>
    <s v="Bangalore"/>
    <x v="874"/>
    <x v="1"/>
    <s v="Furniture"/>
    <s v="Storage"/>
    <s v="Product_24"/>
    <x v="4"/>
    <x v="0"/>
    <s v="Debit Card"/>
    <s v="High"/>
    <n v="2"/>
    <n v="35700"/>
    <n v="20"/>
    <n v="57120"/>
    <n v="5841.08"/>
    <x v="6"/>
  </r>
  <r>
    <s v="ORD00919"/>
    <x v="392"/>
    <d v="2024-02-07T00:00:00"/>
    <s v="South"/>
    <s v="India"/>
    <s v="Tamil Nadu"/>
    <s v="Delhi"/>
    <x v="875"/>
    <x v="0"/>
    <s v="Office Supplies"/>
    <s v="Mobile"/>
    <s v="Product_130"/>
    <x v="3"/>
    <x v="1"/>
    <s v="Net Banking"/>
    <s v="Low"/>
    <n v="9"/>
    <n v="15337"/>
    <n v="5"/>
    <n v="131131.35"/>
    <n v="15633.69"/>
    <x v="5"/>
  </r>
  <r>
    <s v="ORD00920"/>
    <x v="252"/>
    <d v="2023-06-06T00:00:00"/>
    <s v="West"/>
    <s v="India"/>
    <s v="Karnataka"/>
    <s v="Mumbai"/>
    <x v="876"/>
    <x v="0"/>
    <s v="Furniture"/>
    <s v="Storage"/>
    <s v="Product_102"/>
    <x v="3"/>
    <x v="1"/>
    <s v="Credit Card"/>
    <s v="Medium"/>
    <n v="7"/>
    <n v="19106"/>
    <n v="20"/>
    <n v="106993.60000000001"/>
    <n v="4172.76"/>
    <x v="2"/>
  </r>
  <r>
    <s v="ORD00921"/>
    <x v="309"/>
    <d v="2024-07-06T00:00:00"/>
    <s v="South"/>
    <s v="India"/>
    <s v="Tamil Nadu"/>
    <s v="Ahmedabad"/>
    <x v="877"/>
    <x v="1"/>
    <s v="Office Supplies"/>
    <s v="Table"/>
    <s v="Product_103"/>
    <x v="3"/>
    <x v="1"/>
    <s v="Cash"/>
    <s v="Medium"/>
    <n v="6"/>
    <n v="13787"/>
    <n v="15"/>
    <n v="70313.7"/>
    <n v="-1160.3900000000001"/>
    <x v="11"/>
  </r>
  <r>
    <s v="ORD00922"/>
    <x v="602"/>
    <d v="2024-06-17T00:00:00"/>
    <s v="North"/>
    <s v="India"/>
    <s v="Delhi"/>
    <s v="Mumbai"/>
    <x v="878"/>
    <x v="0"/>
    <s v="Electronics"/>
    <s v="Laptop"/>
    <s v="Product_71"/>
    <x v="2"/>
    <x v="1"/>
    <s v="Cash"/>
    <s v="Critical"/>
    <n v="3"/>
    <n v="1055"/>
    <n v="5"/>
    <n v="3006.75"/>
    <n v="128.91999999999999"/>
    <x v="2"/>
  </r>
  <r>
    <s v="ORD00923"/>
    <x v="603"/>
    <d v="2024-04-15T00:00:00"/>
    <s v="East"/>
    <s v="India"/>
    <s v="Delhi"/>
    <s v="Ahmedabad"/>
    <x v="879"/>
    <x v="1"/>
    <s v="Office Supplies"/>
    <s v="Mobile"/>
    <s v="Product_107"/>
    <x v="5"/>
    <x v="0"/>
    <s v="Cash"/>
    <s v="Low"/>
    <n v="8"/>
    <n v="1560"/>
    <n v="5"/>
    <n v="11856"/>
    <n v="478.43"/>
    <x v="6"/>
  </r>
  <r>
    <s v="ORD00924"/>
    <x v="604"/>
    <d v="2023-07-29T00:00:00"/>
    <s v="East"/>
    <s v="India"/>
    <s v="Karnataka"/>
    <s v="Delhi"/>
    <x v="880"/>
    <x v="1"/>
    <s v="Furniture"/>
    <s v="Laptop"/>
    <s v="Product_75"/>
    <x v="3"/>
    <x v="1"/>
    <s v="Credit Card"/>
    <s v="Medium"/>
    <n v="4"/>
    <n v="10221"/>
    <n v="0"/>
    <n v="40884"/>
    <n v="7530.25"/>
    <x v="11"/>
  </r>
  <r>
    <s v="ORD00925"/>
    <x v="605"/>
    <d v="2023-12-06T00:00:00"/>
    <s v="East"/>
    <s v="India"/>
    <s v="Tamil Nadu"/>
    <s v="Mumbai"/>
    <x v="881"/>
    <x v="0"/>
    <s v="Furniture"/>
    <s v="Printer"/>
    <s v="Product_171"/>
    <x v="1"/>
    <x v="0"/>
    <s v="UPI"/>
    <s v="Medium"/>
    <n v="2"/>
    <n v="45349"/>
    <n v="0"/>
    <n v="90698"/>
    <n v="14339.64"/>
    <x v="3"/>
  </r>
  <r>
    <s v="ORD00926"/>
    <x v="137"/>
    <d v="2023-08-15T00:00:00"/>
    <s v="East"/>
    <s v="India"/>
    <s v="Gujarat"/>
    <s v="Mumbai"/>
    <x v="696"/>
    <x v="0"/>
    <s v="Electronics"/>
    <s v="Laptop"/>
    <s v="Product_70"/>
    <x v="1"/>
    <x v="0"/>
    <s v="Net Banking"/>
    <s v="High"/>
    <n v="2"/>
    <n v="10912"/>
    <n v="20"/>
    <n v="17459.2"/>
    <n v="793.66"/>
    <x v="8"/>
  </r>
  <r>
    <s v="ORD00927"/>
    <x v="606"/>
    <d v="2022-02-02T00:00:00"/>
    <s v="South"/>
    <s v="India"/>
    <s v="Tamil Nadu"/>
    <s v="Delhi"/>
    <x v="503"/>
    <x v="1"/>
    <s v="Office Supplies"/>
    <s v="Chair"/>
    <s v="Product_189"/>
    <x v="1"/>
    <x v="0"/>
    <s v="Debit Card"/>
    <s v="High"/>
    <n v="2"/>
    <n v="48860"/>
    <n v="5"/>
    <n v="92834"/>
    <n v="2936.75"/>
    <x v="5"/>
  </r>
  <r>
    <s v="ORD00928"/>
    <x v="114"/>
    <d v="2024-02-14T00:00:00"/>
    <s v="North"/>
    <s v="India"/>
    <s v="Karnataka"/>
    <s v="Delhi"/>
    <x v="882"/>
    <x v="0"/>
    <s v="Electronics"/>
    <s v="Table"/>
    <s v="Product_116"/>
    <x v="5"/>
    <x v="1"/>
    <s v="Net Banking"/>
    <s v="Critical"/>
    <n v="5"/>
    <n v="26519"/>
    <n v="0"/>
    <n v="132595"/>
    <n v="27586.86"/>
    <x v="5"/>
  </r>
  <r>
    <s v="ORD00929"/>
    <x v="13"/>
    <d v="2022-02-14T00:00:00"/>
    <s v="East"/>
    <s v="India"/>
    <s v="Tamil Nadu"/>
    <s v="Delhi"/>
    <x v="883"/>
    <x v="2"/>
    <s v="Electronics"/>
    <s v="Mobile"/>
    <s v="Product_197"/>
    <x v="3"/>
    <x v="0"/>
    <s v="UPI"/>
    <s v="High"/>
    <n v="10"/>
    <n v="44619"/>
    <n v="15"/>
    <n v="379261.5"/>
    <n v="333.13"/>
    <x v="5"/>
  </r>
  <r>
    <s v="ORD00930"/>
    <x v="607"/>
    <d v="2022-08-19T00:00:00"/>
    <s v="West"/>
    <s v="India"/>
    <s v="Gujarat"/>
    <s v="Chennai"/>
    <x v="884"/>
    <x v="1"/>
    <s v="Office Supplies"/>
    <s v="Chair"/>
    <s v="Product_9"/>
    <x v="5"/>
    <x v="1"/>
    <s v="UPI"/>
    <s v="High"/>
    <n v="6"/>
    <n v="7564"/>
    <n v="10"/>
    <n v="40845.599999999999"/>
    <n v="4365.88"/>
    <x v="8"/>
  </r>
  <r>
    <s v="ORD00931"/>
    <x v="493"/>
    <d v="2023-07-05T00:00:00"/>
    <s v="South"/>
    <s v="India"/>
    <s v="Maharashtra"/>
    <s v="Chennai"/>
    <x v="885"/>
    <x v="0"/>
    <s v="Office Supplies"/>
    <s v="Chair"/>
    <s v="Product_142"/>
    <x v="1"/>
    <x v="0"/>
    <s v="Debit Card"/>
    <s v="Medium"/>
    <n v="5"/>
    <n v="28872"/>
    <n v="10"/>
    <n v="129924"/>
    <n v="4155.6000000000004"/>
    <x v="2"/>
  </r>
  <r>
    <s v="ORD00932"/>
    <x v="598"/>
    <d v="2023-05-22T00:00:00"/>
    <s v="South"/>
    <s v="India"/>
    <s v="Gujarat"/>
    <s v="Mumbai"/>
    <x v="886"/>
    <x v="1"/>
    <s v="Electronics"/>
    <s v="Chair"/>
    <s v="Product_43"/>
    <x v="3"/>
    <x v="0"/>
    <s v="Net Banking"/>
    <s v="Low"/>
    <n v="10"/>
    <n v="18360"/>
    <n v="5"/>
    <n v="174420"/>
    <n v="21286.61"/>
    <x v="4"/>
  </r>
  <r>
    <s v="ORD00933"/>
    <x v="608"/>
    <d v="2022-09-04T00:00:00"/>
    <s v="South"/>
    <s v="India"/>
    <s v="Delhi"/>
    <s v="Delhi"/>
    <x v="195"/>
    <x v="2"/>
    <s v="Furniture"/>
    <s v="Storage"/>
    <s v="Product_138"/>
    <x v="1"/>
    <x v="1"/>
    <s v="Net Banking"/>
    <s v="High"/>
    <n v="6"/>
    <n v="8352"/>
    <n v="0"/>
    <n v="50112"/>
    <n v="4363.09"/>
    <x v="7"/>
  </r>
  <r>
    <s v="ORD00934"/>
    <x v="593"/>
    <d v="2024-07-01T00:00:00"/>
    <s v="South"/>
    <s v="India"/>
    <s v="Maharashtra"/>
    <s v="Bangalore"/>
    <x v="887"/>
    <x v="2"/>
    <s v="Furniture"/>
    <s v="Storage"/>
    <s v="Product_89"/>
    <x v="5"/>
    <x v="1"/>
    <s v="Net Banking"/>
    <s v="Critical"/>
    <n v="8"/>
    <n v="4668"/>
    <n v="15"/>
    <n v="31742.400000000001"/>
    <n v="4798.18"/>
    <x v="2"/>
  </r>
  <r>
    <s v="ORD00935"/>
    <x v="348"/>
    <d v="2022-06-15T00:00:00"/>
    <s v="North"/>
    <s v="India"/>
    <s v="Delhi"/>
    <s v="Mumbai"/>
    <x v="888"/>
    <x v="2"/>
    <s v="Office Supplies"/>
    <s v="Chair"/>
    <s v="Product_182"/>
    <x v="1"/>
    <x v="1"/>
    <s v="Net Banking"/>
    <s v="High"/>
    <n v="2"/>
    <n v="38482"/>
    <n v="15"/>
    <n v="65419.4"/>
    <n v="-787.62"/>
    <x v="2"/>
  </r>
  <r>
    <s v="ORD00936"/>
    <x v="376"/>
    <d v="2022-04-28T00:00:00"/>
    <s v="South"/>
    <s v="India"/>
    <s v="Tamil Nadu"/>
    <s v="Bangalore"/>
    <x v="889"/>
    <x v="1"/>
    <s v="Office Supplies"/>
    <s v="Chair"/>
    <s v="Product_119"/>
    <x v="2"/>
    <x v="0"/>
    <s v="Cash"/>
    <s v="Critical"/>
    <n v="7"/>
    <n v="12133"/>
    <n v="15"/>
    <n v="72191.350000000006"/>
    <n v="-2126.4299999999998"/>
    <x v="6"/>
  </r>
  <r>
    <s v="ORD00937"/>
    <x v="167"/>
    <d v="2024-09-10T00:00:00"/>
    <s v="East"/>
    <s v="India"/>
    <s v="Karnataka"/>
    <s v="Chennai"/>
    <x v="890"/>
    <x v="1"/>
    <s v="Electronics"/>
    <s v="Printer"/>
    <s v="Product_89"/>
    <x v="1"/>
    <x v="1"/>
    <s v="Credit Card"/>
    <s v="Critical"/>
    <n v="1"/>
    <n v="24075"/>
    <n v="0"/>
    <n v="24075"/>
    <n v="1459.45"/>
    <x v="7"/>
  </r>
  <r>
    <s v="ORD00938"/>
    <x v="282"/>
    <d v="2022-07-20T00:00:00"/>
    <s v="West"/>
    <s v="India"/>
    <s v="Delhi"/>
    <s v="Chennai"/>
    <x v="891"/>
    <x v="0"/>
    <s v="Office Supplies"/>
    <s v="Laptop"/>
    <s v="Product_111"/>
    <x v="3"/>
    <x v="1"/>
    <s v="Debit Card"/>
    <s v="Critical"/>
    <n v="8"/>
    <n v="41346"/>
    <n v="0"/>
    <n v="330768"/>
    <n v="20407.97"/>
    <x v="11"/>
  </r>
  <r>
    <s v="ORD00939"/>
    <x v="258"/>
    <d v="2023-06-06T00:00:00"/>
    <s v="West"/>
    <s v="India"/>
    <s v="Tamil Nadu"/>
    <s v="Delhi"/>
    <x v="892"/>
    <x v="0"/>
    <s v="Furniture"/>
    <s v="Laptop"/>
    <s v="Product_1"/>
    <x v="1"/>
    <x v="0"/>
    <s v="UPI"/>
    <s v="Critical"/>
    <n v="3"/>
    <n v="15441"/>
    <n v="5"/>
    <n v="44006.85"/>
    <n v="3297.46"/>
    <x v="2"/>
  </r>
  <r>
    <s v="ORD00940"/>
    <x v="297"/>
    <d v="2023-03-09T00:00:00"/>
    <s v="East"/>
    <s v="India"/>
    <s v="Gujarat"/>
    <s v="Chennai"/>
    <x v="893"/>
    <x v="0"/>
    <s v="Electronics"/>
    <s v="Mobile"/>
    <s v="Product_173"/>
    <x v="0"/>
    <x v="0"/>
    <s v="UPI"/>
    <s v="High"/>
    <n v="5"/>
    <n v="3795"/>
    <n v="5"/>
    <n v="18026.25"/>
    <n v="1652.25"/>
    <x v="0"/>
  </r>
  <r>
    <s v="ORD00941"/>
    <x v="356"/>
    <d v="2022-03-04T00:00:00"/>
    <s v="North"/>
    <s v="India"/>
    <s v="Maharashtra"/>
    <s v="Delhi"/>
    <x v="894"/>
    <x v="2"/>
    <s v="Electronics"/>
    <s v="Printer"/>
    <s v="Product_8"/>
    <x v="3"/>
    <x v="1"/>
    <s v="UPI"/>
    <s v="Critical"/>
    <n v="6"/>
    <n v="15504"/>
    <n v="20"/>
    <n v="74419.199999999997"/>
    <n v="-11498.17"/>
    <x v="5"/>
  </r>
  <r>
    <s v="ORD00942"/>
    <x v="294"/>
    <d v="2023-05-22T00:00:00"/>
    <s v="West"/>
    <s v="India"/>
    <s v="Delhi"/>
    <s v="Mumbai"/>
    <x v="895"/>
    <x v="1"/>
    <s v="Furniture"/>
    <s v="Printer"/>
    <s v="Product_68"/>
    <x v="3"/>
    <x v="1"/>
    <s v="Cash"/>
    <s v="High"/>
    <n v="9"/>
    <n v="43754"/>
    <n v="0"/>
    <n v="393786"/>
    <n v="97518.94"/>
    <x v="4"/>
  </r>
  <r>
    <s v="ORD00943"/>
    <x v="609"/>
    <d v="2022-08-28T00:00:00"/>
    <s v="East"/>
    <s v="India"/>
    <s v="Gujarat"/>
    <s v="Ahmedabad"/>
    <x v="896"/>
    <x v="2"/>
    <s v="Office Supplies"/>
    <s v="Mobile"/>
    <s v="Product_168"/>
    <x v="4"/>
    <x v="1"/>
    <s v="Credit Card"/>
    <s v="Critical"/>
    <n v="2"/>
    <n v="543"/>
    <n v="5"/>
    <n v="1031.7"/>
    <n v="127.6"/>
    <x v="8"/>
  </r>
  <r>
    <s v="ORD00944"/>
    <x v="304"/>
    <d v="2023-01-26T00:00:00"/>
    <s v="East"/>
    <s v="India"/>
    <s v="Maharashtra"/>
    <s v="Chennai"/>
    <x v="897"/>
    <x v="0"/>
    <s v="Furniture"/>
    <s v="Laptop"/>
    <s v="Product_122"/>
    <x v="4"/>
    <x v="0"/>
    <s v="Cash"/>
    <s v="Low"/>
    <n v="5"/>
    <n v="15609"/>
    <n v="20"/>
    <n v="62436"/>
    <n v="6593.97"/>
    <x v="1"/>
  </r>
  <r>
    <s v="ORD00945"/>
    <x v="507"/>
    <d v="2024-03-19T00:00:00"/>
    <s v="North"/>
    <s v="India"/>
    <s v="Tamil Nadu"/>
    <s v="Ahmedabad"/>
    <x v="898"/>
    <x v="1"/>
    <s v="Electronics"/>
    <s v="Storage"/>
    <s v="Product_178"/>
    <x v="5"/>
    <x v="0"/>
    <s v="Net Banking"/>
    <s v="Critical"/>
    <n v="9"/>
    <n v="23527"/>
    <n v="5"/>
    <n v="201155.85"/>
    <n v="33348.67"/>
    <x v="0"/>
  </r>
  <r>
    <s v="ORD00946"/>
    <x v="610"/>
    <d v="2022-08-05T00:00:00"/>
    <s v="West"/>
    <s v="India"/>
    <s v="Tamil Nadu"/>
    <s v="Bangalore"/>
    <x v="899"/>
    <x v="2"/>
    <s v="Office Supplies"/>
    <s v="Table"/>
    <s v="Product_61"/>
    <x v="1"/>
    <x v="1"/>
    <s v="UPI"/>
    <s v="Critical"/>
    <n v="8"/>
    <n v="19391"/>
    <n v="0"/>
    <n v="155128"/>
    <n v="12668.86"/>
    <x v="8"/>
  </r>
  <r>
    <s v="ORD00947"/>
    <x v="244"/>
    <d v="2023-03-04T00:00:00"/>
    <s v="East"/>
    <s v="India"/>
    <s v="Karnataka"/>
    <s v="Bangalore"/>
    <x v="900"/>
    <x v="0"/>
    <s v="Electronics"/>
    <s v="Chair"/>
    <s v="Product_27"/>
    <x v="1"/>
    <x v="1"/>
    <s v="UPI"/>
    <s v="Low"/>
    <n v="6"/>
    <n v="46202"/>
    <n v="5"/>
    <n v="263351.40000000002"/>
    <n v="9853.27"/>
    <x v="5"/>
  </r>
  <r>
    <s v="ORD00948"/>
    <x v="611"/>
    <d v="2024-05-15T00:00:00"/>
    <s v="South"/>
    <s v="India"/>
    <s v="Maharashtra"/>
    <s v="Mumbai"/>
    <x v="901"/>
    <x v="0"/>
    <s v="Electronics"/>
    <s v="Laptop"/>
    <s v="Product_154"/>
    <x v="3"/>
    <x v="1"/>
    <s v="Debit Card"/>
    <s v="High"/>
    <n v="8"/>
    <n v="10311"/>
    <n v="10"/>
    <n v="74239.199999999997"/>
    <n v="-549.71"/>
    <x v="4"/>
  </r>
  <r>
    <s v="ORD00949"/>
    <x v="217"/>
    <d v="2022-07-10T00:00:00"/>
    <s v="North"/>
    <s v="India"/>
    <s v="Maharashtra"/>
    <s v="Delhi"/>
    <x v="902"/>
    <x v="1"/>
    <s v="Office Supplies"/>
    <s v="Storage"/>
    <s v="Product_99"/>
    <x v="2"/>
    <x v="0"/>
    <s v="Cash"/>
    <s v="Low"/>
    <n v="8"/>
    <n v="30606"/>
    <n v="20"/>
    <n v="195878.39999999999"/>
    <n v="7836.53"/>
    <x v="11"/>
  </r>
  <r>
    <s v="ORD00950"/>
    <x v="612"/>
    <d v="2022-08-31T00:00:00"/>
    <s v="East"/>
    <s v="India"/>
    <s v="Karnataka"/>
    <s v="Delhi"/>
    <x v="903"/>
    <x v="2"/>
    <s v="Furniture"/>
    <s v="Table"/>
    <s v="Product_181"/>
    <x v="3"/>
    <x v="0"/>
    <s v="UPI"/>
    <s v="High"/>
    <n v="4"/>
    <n v="37260"/>
    <n v="0"/>
    <n v="149040"/>
    <n v="28470.45"/>
    <x v="8"/>
  </r>
  <r>
    <s v="ORD00951"/>
    <x v="613"/>
    <d v="2024-07-05T00:00:00"/>
    <s v="South"/>
    <s v="India"/>
    <s v="Tamil Nadu"/>
    <s v="Ahmedabad"/>
    <x v="904"/>
    <x v="0"/>
    <s v="Furniture"/>
    <s v="Table"/>
    <s v="Product_159"/>
    <x v="1"/>
    <x v="1"/>
    <s v="Credit Card"/>
    <s v="Medium"/>
    <n v="5"/>
    <n v="7217"/>
    <n v="10"/>
    <n v="32476.5"/>
    <n v="6547.77"/>
    <x v="2"/>
  </r>
  <r>
    <s v="ORD00952"/>
    <x v="614"/>
    <d v="2023-01-06T00:00:00"/>
    <s v="East"/>
    <s v="India"/>
    <s v="Maharashtra"/>
    <s v="Mumbai"/>
    <x v="905"/>
    <x v="2"/>
    <s v="Electronics"/>
    <s v="Storage"/>
    <s v="Product_181"/>
    <x v="5"/>
    <x v="0"/>
    <s v="UPI"/>
    <s v="High"/>
    <n v="4"/>
    <n v="41923"/>
    <n v="15"/>
    <n v="142538.20000000001"/>
    <n v="15145.85"/>
    <x v="9"/>
  </r>
  <r>
    <s v="ORD00953"/>
    <x v="516"/>
    <d v="2022-09-08T00:00:00"/>
    <s v="South"/>
    <s v="India"/>
    <s v="Tamil Nadu"/>
    <s v="Chennai"/>
    <x v="906"/>
    <x v="0"/>
    <s v="Office Supplies"/>
    <s v="Printer"/>
    <s v="Product_83"/>
    <x v="2"/>
    <x v="1"/>
    <s v="UPI"/>
    <s v="Critical"/>
    <n v="3"/>
    <n v="44217"/>
    <n v="15"/>
    <n v="112753.35"/>
    <n v="10914.68"/>
    <x v="8"/>
  </r>
  <r>
    <s v="ORD00954"/>
    <x v="256"/>
    <d v="2022-03-04T00:00:00"/>
    <s v="East"/>
    <s v="India"/>
    <s v="Gujarat"/>
    <s v="Mumbai"/>
    <x v="907"/>
    <x v="0"/>
    <s v="Furniture"/>
    <s v="Storage"/>
    <s v="Product_95"/>
    <x v="3"/>
    <x v="1"/>
    <s v="Cash"/>
    <s v="Low"/>
    <n v="1"/>
    <n v="33160"/>
    <n v="0"/>
    <n v="33160"/>
    <n v="3729.13"/>
    <x v="5"/>
  </r>
  <r>
    <s v="ORD00955"/>
    <x v="232"/>
    <d v="2023-02-27T00:00:00"/>
    <s v="South"/>
    <s v="India"/>
    <s v="Delhi"/>
    <s v="Mumbai"/>
    <x v="908"/>
    <x v="2"/>
    <s v="Office Supplies"/>
    <s v="Printer"/>
    <s v="Product_56"/>
    <x v="1"/>
    <x v="0"/>
    <s v="Net Banking"/>
    <s v="Medium"/>
    <n v="5"/>
    <n v="49212"/>
    <n v="0"/>
    <n v="246060"/>
    <n v="52858.9"/>
    <x v="5"/>
  </r>
  <r>
    <s v="ORD00956"/>
    <x v="286"/>
    <d v="2024-01-26T00:00:00"/>
    <s v="South"/>
    <s v="India"/>
    <s v="Maharashtra"/>
    <s v="Delhi"/>
    <x v="909"/>
    <x v="0"/>
    <s v="Furniture"/>
    <s v="Mobile"/>
    <s v="Product_136"/>
    <x v="2"/>
    <x v="1"/>
    <s v="UPI"/>
    <s v="High"/>
    <n v="9"/>
    <n v="18212"/>
    <n v="0"/>
    <n v="163908"/>
    <n v="32947.019999999997"/>
    <x v="1"/>
  </r>
  <r>
    <s v="ORD00957"/>
    <x v="125"/>
    <d v="2024-09-09T00:00:00"/>
    <s v="West"/>
    <s v="India"/>
    <s v="Gujarat"/>
    <s v="Chennai"/>
    <x v="910"/>
    <x v="0"/>
    <s v="Office Supplies"/>
    <s v="Chair"/>
    <s v="Product_96"/>
    <x v="4"/>
    <x v="0"/>
    <s v="UPI"/>
    <s v="Low"/>
    <n v="6"/>
    <n v="6698"/>
    <n v="15"/>
    <n v="34159.800000000003"/>
    <n v="581.6"/>
    <x v="7"/>
  </r>
  <r>
    <s v="ORD00958"/>
    <x v="250"/>
    <d v="2024-04-27T00:00:00"/>
    <s v="East"/>
    <s v="India"/>
    <s v="Delhi"/>
    <s v="Ahmedabad"/>
    <x v="911"/>
    <x v="1"/>
    <s v="Office Supplies"/>
    <s v="Mobile"/>
    <s v="Product_196"/>
    <x v="5"/>
    <x v="1"/>
    <s v="Net Banking"/>
    <s v="Critical"/>
    <n v="10"/>
    <n v="42129"/>
    <n v="15"/>
    <n v="358096.5"/>
    <n v="42620.639999999999"/>
    <x v="6"/>
  </r>
  <r>
    <s v="ORD00959"/>
    <x v="516"/>
    <d v="2022-09-07T00:00:00"/>
    <s v="South"/>
    <s v="India"/>
    <s v="Maharashtra"/>
    <s v="Ahmedabad"/>
    <x v="912"/>
    <x v="2"/>
    <s v="Furniture"/>
    <s v="Table"/>
    <s v="Product_151"/>
    <x v="3"/>
    <x v="0"/>
    <s v="Cash"/>
    <s v="Medium"/>
    <n v="7"/>
    <n v="31150"/>
    <n v="20"/>
    <n v="174440"/>
    <n v="2520.2199999999998"/>
    <x v="8"/>
  </r>
  <r>
    <s v="ORD00960"/>
    <x v="615"/>
    <d v="2024-06-01T00:00:00"/>
    <s v="North"/>
    <s v="India"/>
    <s v="Karnataka"/>
    <s v="Delhi"/>
    <x v="913"/>
    <x v="0"/>
    <s v="Furniture"/>
    <s v="Printer"/>
    <s v="Product_110"/>
    <x v="1"/>
    <x v="0"/>
    <s v="UPI"/>
    <s v="Critical"/>
    <n v="6"/>
    <n v="31781"/>
    <n v="20"/>
    <n v="152548.79999999999"/>
    <n v="-26593.03"/>
    <x v="4"/>
  </r>
  <r>
    <s v="ORD00961"/>
    <x v="445"/>
    <d v="2022-07-01T00:00:00"/>
    <s v="South"/>
    <s v="India"/>
    <s v="Tamil Nadu"/>
    <s v="Delhi"/>
    <x v="914"/>
    <x v="2"/>
    <s v="Electronics"/>
    <s v="Storage"/>
    <s v="Product_101"/>
    <x v="5"/>
    <x v="0"/>
    <s v="Debit Card"/>
    <s v="Critical"/>
    <n v="4"/>
    <n v="16282"/>
    <n v="20"/>
    <n v="52102.400000000001"/>
    <n v="2998.78"/>
    <x v="2"/>
  </r>
  <r>
    <s v="ORD00962"/>
    <x v="100"/>
    <d v="2022-09-08T00:00:00"/>
    <s v="West"/>
    <s v="India"/>
    <s v="Tamil Nadu"/>
    <s v="Chennai"/>
    <x v="915"/>
    <x v="0"/>
    <s v="Electronics"/>
    <s v="Storage"/>
    <s v="Product_191"/>
    <x v="1"/>
    <x v="1"/>
    <s v="Cash"/>
    <s v="Critical"/>
    <n v="10"/>
    <n v="19621"/>
    <n v="10"/>
    <n v="176589"/>
    <n v="29930.02"/>
    <x v="7"/>
  </r>
  <r>
    <s v="ORD00963"/>
    <x v="616"/>
    <d v="2024-08-23T00:00:00"/>
    <s v="South"/>
    <s v="India"/>
    <s v="Delhi"/>
    <s v="Chennai"/>
    <x v="916"/>
    <x v="2"/>
    <s v="Electronics"/>
    <s v="Table"/>
    <s v="Product_199"/>
    <x v="1"/>
    <x v="1"/>
    <s v="UPI"/>
    <s v="Critical"/>
    <n v="3"/>
    <n v="18731"/>
    <n v="0"/>
    <n v="56193"/>
    <n v="10521.23"/>
    <x v="8"/>
  </r>
  <r>
    <s v="ORD00964"/>
    <x v="18"/>
    <d v="2022-05-10T00:00:00"/>
    <s v="West"/>
    <s v="India"/>
    <s v="Delhi"/>
    <s v="Mumbai"/>
    <x v="296"/>
    <x v="2"/>
    <s v="Office Supplies"/>
    <s v="Chair"/>
    <s v="Product_181"/>
    <x v="5"/>
    <x v="1"/>
    <s v="UPI"/>
    <s v="Critical"/>
    <n v="6"/>
    <n v="26531"/>
    <n v="0"/>
    <n v="159186"/>
    <n v="31687.56"/>
    <x v="4"/>
  </r>
  <r>
    <s v="ORD00965"/>
    <x v="353"/>
    <d v="2022-12-11T00:00:00"/>
    <s v="South"/>
    <s v="India"/>
    <s v="Karnataka"/>
    <s v="Chennai"/>
    <x v="917"/>
    <x v="1"/>
    <s v="Furniture"/>
    <s v="Printer"/>
    <s v="Product_24"/>
    <x v="2"/>
    <x v="0"/>
    <s v="UPI"/>
    <s v="Critical"/>
    <n v="9"/>
    <n v="17216"/>
    <n v="10"/>
    <n v="139449.60000000001"/>
    <n v="5640.81"/>
    <x v="9"/>
  </r>
  <r>
    <s v="ORD00966"/>
    <x v="338"/>
    <d v="2024-03-17T00:00:00"/>
    <s v="West"/>
    <s v="India"/>
    <s v="Karnataka"/>
    <s v="Chennai"/>
    <x v="918"/>
    <x v="2"/>
    <s v="Electronics"/>
    <s v="Printer"/>
    <s v="Product_1"/>
    <x v="4"/>
    <x v="0"/>
    <s v="Cash"/>
    <s v="Low"/>
    <n v="1"/>
    <n v="1661"/>
    <n v="10"/>
    <n v="1494.9"/>
    <n v="-57.31"/>
    <x v="0"/>
  </r>
  <r>
    <s v="ORD00967"/>
    <x v="101"/>
    <d v="2023-03-16T00:00:00"/>
    <s v="West"/>
    <s v="India"/>
    <s v="Maharashtra"/>
    <s v="Bangalore"/>
    <x v="919"/>
    <x v="2"/>
    <s v="Office Supplies"/>
    <s v="Table"/>
    <s v="Product_44"/>
    <x v="2"/>
    <x v="1"/>
    <s v="UPI"/>
    <s v="Medium"/>
    <n v="10"/>
    <n v="22861"/>
    <n v="0"/>
    <n v="228610"/>
    <n v="45761.41"/>
    <x v="0"/>
  </r>
  <r>
    <s v="ORD00968"/>
    <x v="617"/>
    <d v="2024-05-10T00:00:00"/>
    <s v="West"/>
    <s v="India"/>
    <s v="Gujarat"/>
    <s v="Chennai"/>
    <x v="920"/>
    <x v="2"/>
    <s v="Office Supplies"/>
    <s v="Chair"/>
    <s v="Product_78"/>
    <x v="0"/>
    <x v="0"/>
    <s v="Net Banking"/>
    <s v="Medium"/>
    <n v="1"/>
    <n v="33656"/>
    <n v="10"/>
    <n v="30290.400000000001"/>
    <n v="4737.78"/>
    <x v="4"/>
  </r>
  <r>
    <s v="ORD00969"/>
    <x v="19"/>
    <d v="2023-09-27T00:00:00"/>
    <s v="West"/>
    <s v="India"/>
    <s v="Tamil Nadu"/>
    <s v="Mumbai"/>
    <x v="921"/>
    <x v="2"/>
    <s v="Electronics"/>
    <s v="Mobile"/>
    <s v="Product_14"/>
    <x v="2"/>
    <x v="1"/>
    <s v="Cash"/>
    <s v="Critical"/>
    <n v="3"/>
    <n v="37201"/>
    <n v="20"/>
    <n v="89282.4"/>
    <n v="-1333.48"/>
    <x v="7"/>
  </r>
  <r>
    <s v="ORD00970"/>
    <x v="519"/>
    <d v="2024-06-25T00:00:00"/>
    <s v="West"/>
    <s v="India"/>
    <s v="Tamil Nadu"/>
    <s v="Bangalore"/>
    <x v="922"/>
    <x v="2"/>
    <s v="Furniture"/>
    <s v="Mobile"/>
    <s v="Product_178"/>
    <x v="3"/>
    <x v="0"/>
    <s v="Cash"/>
    <s v="Medium"/>
    <n v="4"/>
    <n v="43165"/>
    <n v="20"/>
    <n v="138128"/>
    <n v="-25213.65"/>
    <x v="2"/>
  </r>
  <r>
    <s v="ORD00971"/>
    <x v="474"/>
    <d v="2023-07-17T00:00:00"/>
    <s v="East"/>
    <s v="India"/>
    <s v="Tamil Nadu"/>
    <s v="Delhi"/>
    <x v="923"/>
    <x v="0"/>
    <s v="Electronics"/>
    <s v="Mobile"/>
    <s v="Product_174"/>
    <x v="0"/>
    <x v="0"/>
    <s v="Debit Card"/>
    <s v="Critical"/>
    <n v="8"/>
    <n v="34064"/>
    <n v="5"/>
    <n v="258886.39999999999"/>
    <n v="21463.9"/>
    <x v="11"/>
  </r>
  <r>
    <s v="ORD00972"/>
    <x v="14"/>
    <d v="2022-03-21T00:00:00"/>
    <s v="East"/>
    <s v="India"/>
    <s v="Gujarat"/>
    <s v="Ahmedabad"/>
    <x v="924"/>
    <x v="2"/>
    <s v="Office Supplies"/>
    <s v="Mobile"/>
    <s v="Product_189"/>
    <x v="3"/>
    <x v="1"/>
    <s v="Net Banking"/>
    <s v="Low"/>
    <n v="10"/>
    <n v="18603"/>
    <n v="10"/>
    <n v="167427"/>
    <n v="17841.23"/>
    <x v="0"/>
  </r>
  <r>
    <s v="ORD00973"/>
    <x v="110"/>
    <d v="2024-07-14T00:00:00"/>
    <s v="North"/>
    <s v="India"/>
    <s v="Gujarat"/>
    <s v="Chennai"/>
    <x v="925"/>
    <x v="0"/>
    <s v="Furniture"/>
    <s v="Chair"/>
    <s v="Product_130"/>
    <x v="0"/>
    <x v="1"/>
    <s v="Net Banking"/>
    <s v="Low"/>
    <n v="8"/>
    <n v="36498"/>
    <n v="10"/>
    <n v="262785.59999999998"/>
    <n v="25270.46"/>
    <x v="11"/>
  </r>
  <r>
    <s v="ORD00974"/>
    <x v="484"/>
    <d v="2024-09-28T00:00:00"/>
    <s v="North"/>
    <s v="India"/>
    <s v="Delhi"/>
    <s v="Ahmedabad"/>
    <x v="926"/>
    <x v="0"/>
    <s v="Office Supplies"/>
    <s v="Laptop"/>
    <s v="Product_154"/>
    <x v="4"/>
    <x v="0"/>
    <s v="Credit Card"/>
    <s v="Low"/>
    <n v="9"/>
    <n v="11853"/>
    <n v="0"/>
    <n v="106677"/>
    <n v="16721.68"/>
    <x v="7"/>
  </r>
  <r>
    <s v="ORD00975"/>
    <x v="156"/>
    <d v="2023-06-15T00:00:00"/>
    <s v="North"/>
    <s v="India"/>
    <s v="Karnataka"/>
    <s v="Chennai"/>
    <x v="927"/>
    <x v="0"/>
    <s v="Furniture"/>
    <s v="Printer"/>
    <s v="Product_85"/>
    <x v="0"/>
    <x v="0"/>
    <s v="Debit Card"/>
    <s v="Medium"/>
    <n v="3"/>
    <n v="46767"/>
    <n v="0"/>
    <n v="140301"/>
    <n v="13642.01"/>
    <x v="2"/>
  </r>
  <r>
    <s v="ORD00976"/>
    <x v="618"/>
    <d v="2022-08-27T00:00:00"/>
    <s v="South"/>
    <s v="India"/>
    <s v="Maharashtra"/>
    <s v="Delhi"/>
    <x v="928"/>
    <x v="2"/>
    <s v="Office Supplies"/>
    <s v="Printer"/>
    <s v="Product_57"/>
    <x v="4"/>
    <x v="1"/>
    <s v="Credit Card"/>
    <s v="Medium"/>
    <n v="9"/>
    <n v="11140"/>
    <n v="15"/>
    <n v="85221"/>
    <n v="9645.19"/>
    <x v="8"/>
  </r>
  <r>
    <s v="ORD00977"/>
    <x v="380"/>
    <d v="2023-11-11T00:00:00"/>
    <s v="South"/>
    <s v="India"/>
    <s v="Delhi"/>
    <s v="Chennai"/>
    <x v="929"/>
    <x v="0"/>
    <s v="Office Supplies"/>
    <s v="Table"/>
    <s v="Product_151"/>
    <x v="0"/>
    <x v="0"/>
    <s v="UPI"/>
    <s v="Low"/>
    <n v="1"/>
    <n v="45603"/>
    <n v="20"/>
    <n v="36482.400000000001"/>
    <n v="-4944.74"/>
    <x v="3"/>
  </r>
  <r>
    <s v="ORD00978"/>
    <x v="619"/>
    <d v="2023-05-16T00:00:00"/>
    <s v="North"/>
    <s v="India"/>
    <s v="Karnataka"/>
    <s v="Ahmedabad"/>
    <x v="701"/>
    <x v="2"/>
    <s v="Electronics"/>
    <s v="Chair"/>
    <s v="Product_160"/>
    <x v="3"/>
    <x v="1"/>
    <s v="Debit Card"/>
    <s v="Low"/>
    <n v="6"/>
    <n v="38235"/>
    <n v="0"/>
    <n v="229410"/>
    <n v="24151.279999999999"/>
    <x v="4"/>
  </r>
  <r>
    <s v="ORD00979"/>
    <x v="620"/>
    <d v="2022-07-31T00:00:00"/>
    <s v="South"/>
    <s v="India"/>
    <s v="Karnataka"/>
    <s v="Chennai"/>
    <x v="930"/>
    <x v="1"/>
    <s v="Electronics"/>
    <s v="Storage"/>
    <s v="Product_122"/>
    <x v="1"/>
    <x v="0"/>
    <s v="Cash"/>
    <s v="High"/>
    <n v="9"/>
    <n v="37173"/>
    <n v="10"/>
    <n v="301101.3"/>
    <n v="19452.62"/>
    <x v="11"/>
  </r>
  <r>
    <s v="ORD00980"/>
    <x v="621"/>
    <d v="2022-09-20T00:00:00"/>
    <s v="West"/>
    <s v="India"/>
    <s v="Karnataka"/>
    <s v="Delhi"/>
    <x v="931"/>
    <x v="1"/>
    <s v="Office Supplies"/>
    <s v="Table"/>
    <s v="Product_174"/>
    <x v="2"/>
    <x v="0"/>
    <s v="UPI"/>
    <s v="High"/>
    <n v="7"/>
    <n v="5147"/>
    <n v="10"/>
    <n v="32426.1"/>
    <n v="1993.23"/>
    <x v="7"/>
  </r>
  <r>
    <s v="ORD00981"/>
    <x v="622"/>
    <d v="2022-08-15T00:00:00"/>
    <s v="West"/>
    <s v="India"/>
    <s v="Gujarat"/>
    <s v="Mumbai"/>
    <x v="932"/>
    <x v="0"/>
    <s v="Electronics"/>
    <s v="Storage"/>
    <s v="Product_81"/>
    <x v="0"/>
    <x v="0"/>
    <s v="Credit Card"/>
    <s v="Medium"/>
    <n v="6"/>
    <n v="25771"/>
    <n v="15"/>
    <n v="131432.1"/>
    <n v="13899.77"/>
    <x v="8"/>
  </r>
  <r>
    <s v="ORD00982"/>
    <x v="455"/>
    <d v="2024-07-24T00:00:00"/>
    <s v="East"/>
    <s v="India"/>
    <s v="Karnataka"/>
    <s v="Chennai"/>
    <x v="933"/>
    <x v="1"/>
    <s v="Furniture"/>
    <s v="Storage"/>
    <s v="Product_100"/>
    <x v="1"/>
    <x v="1"/>
    <s v="Debit Card"/>
    <s v="Medium"/>
    <n v="5"/>
    <n v="33814"/>
    <n v="10"/>
    <n v="152163"/>
    <n v="13066.38"/>
    <x v="11"/>
  </r>
  <r>
    <s v="ORD00983"/>
    <x v="564"/>
    <d v="2023-01-27T00:00:00"/>
    <s v="South"/>
    <s v="India"/>
    <s v="Delhi"/>
    <s v="Chennai"/>
    <x v="934"/>
    <x v="0"/>
    <s v="Electronics"/>
    <s v="Table"/>
    <s v="Product_93"/>
    <x v="4"/>
    <x v="0"/>
    <s v="Debit Card"/>
    <s v="Medium"/>
    <n v="3"/>
    <n v="9584"/>
    <n v="0"/>
    <n v="28752"/>
    <n v="7083.37"/>
    <x v="1"/>
  </r>
  <r>
    <s v="ORD00984"/>
    <x v="623"/>
    <d v="2024-08-25T00:00:00"/>
    <s v="North"/>
    <s v="India"/>
    <s v="Karnataka"/>
    <s v="Bangalore"/>
    <x v="935"/>
    <x v="1"/>
    <s v="Furniture"/>
    <s v="Mobile"/>
    <s v="Product_48"/>
    <x v="4"/>
    <x v="0"/>
    <s v="UPI"/>
    <s v="Critical"/>
    <n v="5"/>
    <n v="24455"/>
    <n v="20"/>
    <n v="97820"/>
    <n v="-16037.51"/>
    <x v="8"/>
  </r>
  <r>
    <s v="ORD00985"/>
    <x v="624"/>
    <d v="2023-06-28T00:00:00"/>
    <s v="West"/>
    <s v="India"/>
    <s v="Maharashtra"/>
    <s v="Ahmedabad"/>
    <x v="936"/>
    <x v="1"/>
    <s v="Furniture"/>
    <s v="Printer"/>
    <s v="Product_151"/>
    <x v="2"/>
    <x v="0"/>
    <s v="Cash"/>
    <s v="Critical"/>
    <n v="9"/>
    <n v="33362"/>
    <n v="10"/>
    <n v="270232.2"/>
    <n v="54541.41"/>
    <x v="2"/>
  </r>
  <r>
    <s v="ORD00986"/>
    <x v="625"/>
    <d v="2023-01-18T00:00:00"/>
    <s v="North"/>
    <s v="India"/>
    <s v="Delhi"/>
    <s v="Mumbai"/>
    <x v="937"/>
    <x v="2"/>
    <s v="Electronics"/>
    <s v="Chair"/>
    <s v="Product_105"/>
    <x v="4"/>
    <x v="1"/>
    <s v="Cash"/>
    <s v="Medium"/>
    <n v="5"/>
    <n v="27131"/>
    <n v="5"/>
    <n v="128872.25"/>
    <n v="6277.42"/>
    <x v="1"/>
  </r>
  <r>
    <s v="ORD00987"/>
    <x v="626"/>
    <d v="2022-04-29T00:00:00"/>
    <s v="North"/>
    <s v="India"/>
    <s v="Gujarat"/>
    <s v="Bangalore"/>
    <x v="938"/>
    <x v="1"/>
    <s v="Electronics"/>
    <s v="Mobile"/>
    <s v="Product_127"/>
    <x v="1"/>
    <x v="1"/>
    <s v="Net Banking"/>
    <s v="Critical"/>
    <n v="9"/>
    <n v="46711"/>
    <n v="0"/>
    <n v="420399"/>
    <n v="21291.31"/>
    <x v="6"/>
  </r>
  <r>
    <s v="ORD00988"/>
    <x v="197"/>
    <d v="2023-05-30T00:00:00"/>
    <s v="South"/>
    <s v="India"/>
    <s v="Maharashtra"/>
    <s v="Bangalore"/>
    <x v="939"/>
    <x v="1"/>
    <s v="Furniture"/>
    <s v="Storage"/>
    <s v="Product_144"/>
    <x v="5"/>
    <x v="0"/>
    <s v="Cash"/>
    <s v="High"/>
    <n v="4"/>
    <n v="17362"/>
    <n v="5"/>
    <n v="65975.600000000006"/>
    <n v="12558.32"/>
    <x v="4"/>
  </r>
  <r>
    <s v="ORD00989"/>
    <x v="279"/>
    <d v="2024-05-13T00:00:00"/>
    <s v="South"/>
    <s v="India"/>
    <s v="Gujarat"/>
    <s v="Chennai"/>
    <x v="501"/>
    <x v="0"/>
    <s v="Electronics"/>
    <s v="Storage"/>
    <s v="Product_167"/>
    <x v="3"/>
    <x v="1"/>
    <s v="Net Banking"/>
    <s v="Medium"/>
    <n v="5"/>
    <n v="38485"/>
    <n v="0"/>
    <n v="192425"/>
    <n v="37359.89"/>
    <x v="4"/>
  </r>
  <r>
    <s v="ORD00990"/>
    <x v="627"/>
    <d v="2022-04-04T00:00:00"/>
    <s v="South"/>
    <s v="India"/>
    <s v="Karnataka"/>
    <s v="Chennai"/>
    <x v="940"/>
    <x v="1"/>
    <s v="Electronics"/>
    <s v="Table"/>
    <s v="Product_176"/>
    <x v="4"/>
    <x v="0"/>
    <s v="Cash"/>
    <s v="High"/>
    <n v="1"/>
    <n v="42328"/>
    <n v="15"/>
    <n v="35978.800000000003"/>
    <n v="-1610.14"/>
    <x v="6"/>
  </r>
  <r>
    <s v="ORD00991"/>
    <x v="628"/>
    <d v="2023-09-20T00:00:00"/>
    <s v="South"/>
    <s v="India"/>
    <s v="Maharashtra"/>
    <s v="Mumbai"/>
    <x v="941"/>
    <x v="0"/>
    <s v="Office Supplies"/>
    <s v="Chair"/>
    <s v="Product_24"/>
    <x v="5"/>
    <x v="0"/>
    <s v="UPI"/>
    <s v="Critical"/>
    <n v="5"/>
    <n v="16795"/>
    <n v="5"/>
    <n v="79776.25"/>
    <n v="19547.810000000001"/>
    <x v="7"/>
  </r>
  <r>
    <s v="ORD00992"/>
    <x v="629"/>
    <d v="2022-07-26T00:00:00"/>
    <s v="East"/>
    <s v="India"/>
    <s v="Tamil Nadu"/>
    <s v="Bangalore"/>
    <x v="942"/>
    <x v="2"/>
    <s v="Furniture"/>
    <s v="Printer"/>
    <s v="Product_156"/>
    <x v="0"/>
    <x v="0"/>
    <s v="Net Banking"/>
    <s v="Critical"/>
    <n v="10"/>
    <n v="22627"/>
    <n v="15"/>
    <n v="192329.5"/>
    <n v="9822.59"/>
    <x v="11"/>
  </r>
  <r>
    <s v="ORD00993"/>
    <x v="630"/>
    <d v="2024-03-29T00:00:00"/>
    <s v="West"/>
    <s v="India"/>
    <s v="Karnataka"/>
    <s v="Chennai"/>
    <x v="943"/>
    <x v="1"/>
    <s v="Furniture"/>
    <s v="Storage"/>
    <s v="Product_47"/>
    <x v="0"/>
    <x v="0"/>
    <s v="UPI"/>
    <s v="High"/>
    <n v="6"/>
    <n v="15305"/>
    <n v="20"/>
    <n v="73464"/>
    <n v="6847.42"/>
    <x v="0"/>
  </r>
  <r>
    <s v="ORD00994"/>
    <x v="543"/>
    <d v="2023-03-27T00:00:00"/>
    <s v="North"/>
    <s v="India"/>
    <s v="Delhi"/>
    <s v="Bangalore"/>
    <x v="944"/>
    <x v="0"/>
    <s v="Electronics"/>
    <s v="Laptop"/>
    <s v="Product_24"/>
    <x v="1"/>
    <x v="1"/>
    <s v="Credit Card"/>
    <s v="Low"/>
    <n v="8"/>
    <n v="41429"/>
    <n v="15"/>
    <n v="281717.2"/>
    <n v="3641.66"/>
    <x v="0"/>
  </r>
  <r>
    <s v="ORD00995"/>
    <x v="631"/>
    <d v="2023-08-03T00:00:00"/>
    <s v="South"/>
    <s v="India"/>
    <s v="Maharashtra"/>
    <s v="Bangalore"/>
    <x v="454"/>
    <x v="1"/>
    <s v="Electronics"/>
    <s v="Laptop"/>
    <s v="Product_167"/>
    <x v="4"/>
    <x v="1"/>
    <s v="Debit Card"/>
    <s v="Critical"/>
    <n v="8"/>
    <n v="24582"/>
    <n v="20"/>
    <n v="157324.79999999999"/>
    <n v="-9868.99"/>
    <x v="8"/>
  </r>
  <r>
    <s v="ORD00996"/>
    <x v="300"/>
    <d v="2023-11-03T00:00:00"/>
    <s v="East"/>
    <s v="India"/>
    <s v="Karnataka"/>
    <s v="Chennai"/>
    <x v="702"/>
    <x v="1"/>
    <s v="Furniture"/>
    <s v="Chair"/>
    <s v="Product_192"/>
    <x v="1"/>
    <x v="1"/>
    <s v="UPI"/>
    <s v="Critical"/>
    <n v="4"/>
    <n v="17965"/>
    <n v="15"/>
    <n v="61081"/>
    <n v="8867.0499999999993"/>
    <x v="3"/>
  </r>
  <r>
    <s v="ORD00997"/>
    <x v="632"/>
    <d v="2022-07-29T00:00:00"/>
    <s v="West"/>
    <s v="India"/>
    <s v="Maharashtra"/>
    <s v="Chennai"/>
    <x v="755"/>
    <x v="0"/>
    <s v="Office Supplies"/>
    <s v="Mobile"/>
    <s v="Product_170"/>
    <x v="3"/>
    <x v="1"/>
    <s v="UPI"/>
    <s v="Critical"/>
    <n v="1"/>
    <n v="19986"/>
    <n v="10"/>
    <n v="17987.400000000001"/>
    <n v="3552.68"/>
    <x v="11"/>
  </r>
  <r>
    <s v="ORD00998"/>
    <x v="633"/>
    <d v="2023-11-18T00:00:00"/>
    <s v="South"/>
    <s v="India"/>
    <s v="Maharashtra"/>
    <s v="Delhi"/>
    <x v="945"/>
    <x v="1"/>
    <s v="Furniture"/>
    <s v="Laptop"/>
    <s v="Product_73"/>
    <x v="1"/>
    <x v="0"/>
    <s v="Cash"/>
    <s v="Low"/>
    <n v="2"/>
    <n v="13295"/>
    <n v="20"/>
    <n v="21272"/>
    <n v="1675.25"/>
    <x v="3"/>
  </r>
  <r>
    <s v="ORD00999"/>
    <x v="311"/>
    <d v="2023-07-01T00:00:00"/>
    <s v="East"/>
    <s v="India"/>
    <s v="Delhi"/>
    <s v="Bangalore"/>
    <x v="946"/>
    <x v="2"/>
    <s v="Electronics"/>
    <s v="Printer"/>
    <s v="Product_149"/>
    <x v="5"/>
    <x v="1"/>
    <s v="Debit Card"/>
    <s v="Low"/>
    <n v="9"/>
    <n v="4235"/>
    <n v="5"/>
    <n v="36209.25"/>
    <n v="9261.06"/>
    <x v="2"/>
  </r>
  <r>
    <s v="ORD01000"/>
    <x v="381"/>
    <d v="2023-09-15T00:00:00"/>
    <s v="East"/>
    <s v="India"/>
    <s v="Karnataka"/>
    <s v="Bangalore"/>
    <x v="947"/>
    <x v="0"/>
    <s v="Electronics"/>
    <s v="Table"/>
    <s v="Product_25"/>
    <x v="1"/>
    <x v="1"/>
    <s v="Debit Card"/>
    <s v="High"/>
    <n v="5"/>
    <n v="2393"/>
    <n v="5"/>
    <n v="11366.75"/>
    <n v="1269.31"/>
    <x v="7"/>
  </r>
  <r>
    <s v="ORD01001"/>
    <x v="265"/>
    <d v="2022-10-18T00:00:00"/>
    <s v="North"/>
    <s v="India"/>
    <s v="Tamil Nadu"/>
    <s v="Delhi"/>
    <x v="948"/>
    <x v="1"/>
    <s v="Furniture"/>
    <s v="Storage"/>
    <s v="Product_46"/>
    <x v="5"/>
    <x v="1"/>
    <s v="Cash"/>
    <s v="Low"/>
    <n v="6"/>
    <n v="7130"/>
    <n v="0"/>
    <n v="42780"/>
    <n v="12764.11"/>
    <x v="10"/>
  </r>
  <r>
    <s v="ORD01002"/>
    <x v="293"/>
    <d v="2023-03-21T00:00:00"/>
    <s v="East"/>
    <s v="India"/>
    <s v="Maharashtra"/>
    <s v="Ahmedabad"/>
    <x v="949"/>
    <x v="2"/>
    <s v="Office Supplies"/>
    <s v="Laptop"/>
    <s v="Product_24"/>
    <x v="5"/>
    <x v="0"/>
    <s v="Cash"/>
    <s v="Medium"/>
    <n v="1"/>
    <n v="10353"/>
    <n v="10"/>
    <n v="9317.7000000000007"/>
    <n v="-383.1"/>
    <x v="0"/>
  </r>
  <r>
    <s v="ORD01003"/>
    <x v="370"/>
    <d v="2022-09-17T00:00:00"/>
    <s v="West"/>
    <s v="India"/>
    <s v="Gujarat"/>
    <s v="Chennai"/>
    <x v="950"/>
    <x v="1"/>
    <s v="Office Supplies"/>
    <s v="Mobile"/>
    <s v="Product_11"/>
    <x v="5"/>
    <x v="1"/>
    <s v="Cash"/>
    <s v="High"/>
    <n v="2"/>
    <n v="29436"/>
    <n v="20"/>
    <n v="47097.599999999999"/>
    <n v="-3126.97"/>
    <x v="7"/>
  </r>
  <r>
    <s v="ORD01004"/>
    <x v="404"/>
    <d v="2022-06-15T00:00:00"/>
    <s v="North"/>
    <s v="India"/>
    <s v="Delhi"/>
    <s v="Mumbai"/>
    <x v="951"/>
    <x v="1"/>
    <s v="Furniture"/>
    <s v="Mobile"/>
    <s v="Product_99"/>
    <x v="1"/>
    <x v="0"/>
    <s v="Net Banking"/>
    <s v="Medium"/>
    <n v="7"/>
    <n v="32251"/>
    <n v="15"/>
    <n v="191893.45"/>
    <n v="-11114.82"/>
    <x v="2"/>
  </r>
  <r>
    <s v="ORD01005"/>
    <x v="361"/>
    <d v="2023-06-07T00:00:00"/>
    <s v="West"/>
    <s v="India"/>
    <s v="Maharashtra"/>
    <s v="Ahmedabad"/>
    <x v="952"/>
    <x v="0"/>
    <s v="Electronics"/>
    <s v="Storage"/>
    <s v="Product_22"/>
    <x v="5"/>
    <x v="0"/>
    <s v="Credit Card"/>
    <s v="Low"/>
    <n v="7"/>
    <n v="7905"/>
    <n v="10"/>
    <n v="49801.5"/>
    <n v="276.52999999999997"/>
    <x v="2"/>
  </r>
  <r>
    <s v="ORD01006"/>
    <x v="634"/>
    <d v="2022-11-25T00:00:00"/>
    <s v="North"/>
    <s v="India"/>
    <s v="Gujarat"/>
    <s v="Mumbai"/>
    <x v="212"/>
    <x v="0"/>
    <s v="Furniture"/>
    <s v="Table"/>
    <s v="Product_89"/>
    <x v="2"/>
    <x v="0"/>
    <s v="Debit Card"/>
    <s v="Low"/>
    <n v="2"/>
    <n v="16664"/>
    <n v="5"/>
    <n v="31661.599999999999"/>
    <n v="5001.6099999999997"/>
    <x v="3"/>
  </r>
  <r>
    <s v="ORD01007"/>
    <x v="500"/>
    <d v="2023-07-14T00:00:00"/>
    <s v="West"/>
    <s v="India"/>
    <s v="Karnataka"/>
    <s v="Mumbai"/>
    <x v="953"/>
    <x v="2"/>
    <s v="Electronics"/>
    <s v="Storage"/>
    <s v="Product_126"/>
    <x v="5"/>
    <x v="0"/>
    <s v="Credit Card"/>
    <s v="Medium"/>
    <n v="6"/>
    <n v="31053"/>
    <n v="20"/>
    <n v="149054.39999999999"/>
    <n v="7044.21"/>
    <x v="11"/>
  </r>
  <r>
    <s v="ORD01008"/>
    <x v="505"/>
    <d v="2024-03-09T00:00:00"/>
    <s v="North"/>
    <s v="India"/>
    <s v="Gujarat"/>
    <s v="Bangalore"/>
    <x v="954"/>
    <x v="1"/>
    <s v="Office Supplies"/>
    <s v="Storage"/>
    <s v="Product_136"/>
    <x v="4"/>
    <x v="0"/>
    <s v="UPI"/>
    <s v="Medium"/>
    <n v="10"/>
    <n v="33334"/>
    <n v="0"/>
    <n v="333340"/>
    <n v="97377.85"/>
    <x v="0"/>
  </r>
  <r>
    <s v="ORD01009"/>
    <x v="320"/>
    <d v="2023-10-25T00:00:00"/>
    <s v="East"/>
    <s v="India"/>
    <s v="Tamil Nadu"/>
    <s v="Ahmedabad"/>
    <x v="955"/>
    <x v="0"/>
    <s v="Electronics"/>
    <s v="Mobile"/>
    <s v="Product_170"/>
    <x v="1"/>
    <x v="1"/>
    <s v="Credit Card"/>
    <s v="Low"/>
    <n v="6"/>
    <n v="40497"/>
    <n v="15"/>
    <n v="206534.7"/>
    <n v="7768.6"/>
    <x v="10"/>
  </r>
  <r>
    <s v="ORD01010"/>
    <x v="619"/>
    <d v="2023-05-17T00:00:00"/>
    <s v="East"/>
    <s v="India"/>
    <s v="Tamil Nadu"/>
    <s v="Ahmedabad"/>
    <x v="775"/>
    <x v="2"/>
    <s v="Office Supplies"/>
    <s v="Chair"/>
    <s v="Product_191"/>
    <x v="4"/>
    <x v="1"/>
    <s v="Credit Card"/>
    <s v="Medium"/>
    <n v="6"/>
    <n v="24166"/>
    <n v="15"/>
    <n v="123246.6"/>
    <n v="7478.6"/>
    <x v="4"/>
  </r>
  <r>
    <s v="ORD01011"/>
    <x v="103"/>
    <d v="2023-05-29T00:00:00"/>
    <s v="East"/>
    <s v="India"/>
    <s v="Maharashtra"/>
    <s v="Mumbai"/>
    <x v="956"/>
    <x v="2"/>
    <s v="Furniture"/>
    <s v="Printer"/>
    <s v="Product_146"/>
    <x v="4"/>
    <x v="1"/>
    <s v="UPI"/>
    <s v="Medium"/>
    <n v="4"/>
    <n v="17264"/>
    <n v="15"/>
    <n v="58697.599999999999"/>
    <n v="-4905.58"/>
    <x v="4"/>
  </r>
  <r>
    <s v="ORD01012"/>
    <x v="635"/>
    <d v="2024-06-08T00:00:00"/>
    <s v="South"/>
    <s v="India"/>
    <s v="Gujarat"/>
    <s v="Delhi"/>
    <x v="957"/>
    <x v="0"/>
    <s v="Office Supplies"/>
    <s v="Mobile"/>
    <s v="Product_90"/>
    <x v="5"/>
    <x v="0"/>
    <s v="UPI"/>
    <s v="Critical"/>
    <n v="9"/>
    <n v="12887"/>
    <n v="5"/>
    <n v="110183.85"/>
    <n v="12948.63"/>
    <x v="2"/>
  </r>
  <r>
    <s v="ORD01013"/>
    <x v="133"/>
    <d v="2023-09-28T00:00:00"/>
    <s v="South"/>
    <s v="India"/>
    <s v="Gujarat"/>
    <s v="Ahmedabad"/>
    <x v="958"/>
    <x v="2"/>
    <s v="Office Supplies"/>
    <s v="Storage"/>
    <s v="Product_198"/>
    <x v="2"/>
    <x v="1"/>
    <s v="Net Banking"/>
    <s v="High"/>
    <n v="7"/>
    <n v="29068"/>
    <n v="0"/>
    <n v="203476"/>
    <n v="34476.26"/>
    <x v="7"/>
  </r>
  <r>
    <s v="ORD01014"/>
    <x v="34"/>
    <d v="2023-04-25T00:00:00"/>
    <s v="East"/>
    <s v="India"/>
    <s v="Gujarat"/>
    <s v="Delhi"/>
    <x v="383"/>
    <x v="1"/>
    <s v="Office Supplies"/>
    <s v="Printer"/>
    <s v="Product_137"/>
    <x v="0"/>
    <x v="0"/>
    <s v="Credit Card"/>
    <s v="Critical"/>
    <n v="6"/>
    <n v="13089"/>
    <n v="10"/>
    <n v="70680.600000000006"/>
    <n v="7738.16"/>
    <x v="6"/>
  </r>
  <r>
    <s v="ORD01015"/>
    <x v="636"/>
    <d v="2022-03-27T00:00:00"/>
    <s v="East"/>
    <s v="India"/>
    <s v="Gujarat"/>
    <s v="Ahmedabad"/>
    <x v="417"/>
    <x v="0"/>
    <s v="Office Supplies"/>
    <s v="Table"/>
    <s v="Product_200"/>
    <x v="1"/>
    <x v="0"/>
    <s v="Debit Card"/>
    <s v="Low"/>
    <n v="7"/>
    <n v="47845"/>
    <n v="15"/>
    <n v="284677.75"/>
    <n v="-11918.94"/>
    <x v="0"/>
  </r>
  <r>
    <s v="ORD01016"/>
    <x v="468"/>
    <d v="2024-08-19T00:00:00"/>
    <s v="South"/>
    <s v="India"/>
    <s v="Karnataka"/>
    <s v="Chennai"/>
    <x v="959"/>
    <x v="2"/>
    <s v="Electronics"/>
    <s v="Table"/>
    <s v="Product_147"/>
    <x v="1"/>
    <x v="0"/>
    <s v="UPI"/>
    <s v="Medium"/>
    <n v="5"/>
    <n v="33432"/>
    <n v="20"/>
    <n v="133728"/>
    <n v="-15993"/>
    <x v="8"/>
  </r>
  <r>
    <s v="ORD01017"/>
    <x v="535"/>
    <d v="2022-12-22T00:00:00"/>
    <s v="North"/>
    <s v="India"/>
    <s v="Karnataka"/>
    <s v="Delhi"/>
    <x v="434"/>
    <x v="2"/>
    <s v="Office Supplies"/>
    <s v="Laptop"/>
    <s v="Product_58"/>
    <x v="2"/>
    <x v="1"/>
    <s v="Credit Card"/>
    <s v="Low"/>
    <n v="8"/>
    <n v="13584"/>
    <n v="15"/>
    <n v="92371.199999999997"/>
    <n v="15788.72"/>
    <x v="9"/>
  </r>
  <r>
    <s v="ORD01018"/>
    <x v="637"/>
    <d v="2022-05-03T00:00:00"/>
    <s v="West"/>
    <s v="India"/>
    <s v="Maharashtra"/>
    <s v="Bangalore"/>
    <x v="960"/>
    <x v="1"/>
    <s v="Office Supplies"/>
    <s v="Chair"/>
    <s v="Product_180"/>
    <x v="5"/>
    <x v="0"/>
    <s v="UPI"/>
    <s v="Low"/>
    <n v="2"/>
    <n v="6352"/>
    <n v="20"/>
    <n v="10163.200000000001"/>
    <n v="1258.77"/>
    <x v="6"/>
  </r>
  <r>
    <s v="ORD01019"/>
    <x v="638"/>
    <d v="2023-08-18T00:00:00"/>
    <s v="West"/>
    <s v="India"/>
    <s v="Gujarat"/>
    <s v="Ahmedabad"/>
    <x v="961"/>
    <x v="2"/>
    <s v="Furniture"/>
    <s v="Chair"/>
    <s v="Product_129"/>
    <x v="1"/>
    <x v="1"/>
    <s v="Debit Card"/>
    <s v="Medium"/>
    <n v="8"/>
    <n v="2149"/>
    <n v="10"/>
    <n v="15472.8"/>
    <n v="2028.05"/>
    <x v="8"/>
  </r>
  <r>
    <s v="ORD01020"/>
    <x v="639"/>
    <d v="2024-04-19T00:00:00"/>
    <s v="East"/>
    <s v="India"/>
    <s v="Delhi"/>
    <s v="Chennai"/>
    <x v="340"/>
    <x v="1"/>
    <s v="Electronics"/>
    <s v="Chair"/>
    <s v="Product_169"/>
    <x v="1"/>
    <x v="1"/>
    <s v="Credit Card"/>
    <s v="Medium"/>
    <n v="5"/>
    <n v="48968"/>
    <n v="20"/>
    <n v="195872"/>
    <n v="15899.3"/>
    <x v="6"/>
  </r>
  <r>
    <s v="ORD01021"/>
    <x v="640"/>
    <d v="2023-04-06T00:00:00"/>
    <s v="East"/>
    <s v="India"/>
    <s v="Karnataka"/>
    <s v="Bangalore"/>
    <x v="962"/>
    <x v="2"/>
    <s v="Electronics"/>
    <s v="Printer"/>
    <s v="Product_100"/>
    <x v="1"/>
    <x v="1"/>
    <s v="Credit Card"/>
    <s v="Critical"/>
    <n v="2"/>
    <n v="35323"/>
    <n v="10"/>
    <n v="63581.4"/>
    <n v="-2803.37"/>
    <x v="0"/>
  </r>
  <r>
    <s v="ORD01022"/>
    <x v="25"/>
    <d v="2022-04-15T00:00:00"/>
    <s v="West"/>
    <s v="India"/>
    <s v="Delhi"/>
    <s v="Mumbai"/>
    <x v="963"/>
    <x v="2"/>
    <s v="Electronics"/>
    <s v="Mobile"/>
    <s v="Product_190"/>
    <x v="3"/>
    <x v="1"/>
    <s v="Debit Card"/>
    <s v="Critical"/>
    <n v="3"/>
    <n v="45889"/>
    <n v="5"/>
    <n v="130783.65"/>
    <n v="16446.46"/>
    <x v="6"/>
  </r>
  <r>
    <s v="ORD01023"/>
    <x v="641"/>
    <d v="2023-01-12T00:00:00"/>
    <s v="East"/>
    <s v="India"/>
    <s v="Maharashtra"/>
    <s v="Mumbai"/>
    <x v="964"/>
    <x v="1"/>
    <s v="Furniture"/>
    <s v="Storage"/>
    <s v="Product_59"/>
    <x v="0"/>
    <x v="0"/>
    <s v="Credit Card"/>
    <s v="Critical"/>
    <n v="3"/>
    <n v="35595"/>
    <n v="5"/>
    <n v="101445.75"/>
    <n v="1702.95"/>
    <x v="1"/>
  </r>
  <r>
    <s v="ORD01024"/>
    <x v="509"/>
    <d v="2023-01-30T00:00:00"/>
    <s v="South"/>
    <s v="India"/>
    <s v="Gujarat"/>
    <s v="Delhi"/>
    <x v="965"/>
    <x v="0"/>
    <s v="Electronics"/>
    <s v="Laptop"/>
    <s v="Product_167"/>
    <x v="0"/>
    <x v="0"/>
    <s v="Net Banking"/>
    <s v="Critical"/>
    <n v="8"/>
    <n v="43447"/>
    <n v="10"/>
    <n v="312818.40000000002"/>
    <n v="1251.71"/>
    <x v="1"/>
  </r>
  <r>
    <s v="ORD01025"/>
    <x v="429"/>
    <d v="2022-05-19T00:00:00"/>
    <s v="East"/>
    <s v="India"/>
    <s v="Maharashtra"/>
    <s v="Delhi"/>
    <x v="966"/>
    <x v="0"/>
    <s v="Office Supplies"/>
    <s v="Mobile"/>
    <s v="Product_11"/>
    <x v="4"/>
    <x v="0"/>
    <s v="Net Banking"/>
    <s v="Critical"/>
    <n v="1"/>
    <n v="43075"/>
    <n v="10"/>
    <n v="38767.5"/>
    <n v="2676.67"/>
    <x v="4"/>
  </r>
  <r>
    <s v="ORD01026"/>
    <x v="1"/>
    <d v="2024-03-12T00:00:00"/>
    <s v="East"/>
    <s v="India"/>
    <s v="Maharashtra"/>
    <s v="Delhi"/>
    <x v="967"/>
    <x v="1"/>
    <s v="Furniture"/>
    <s v="Table"/>
    <s v="Product_149"/>
    <x v="2"/>
    <x v="0"/>
    <s v="Net Banking"/>
    <s v="Medium"/>
    <n v="5"/>
    <n v="14673"/>
    <n v="0"/>
    <n v="73365"/>
    <n v="18245.16"/>
    <x v="0"/>
  </r>
  <r>
    <s v="ORD01027"/>
    <x v="642"/>
    <d v="2024-08-05T00:00:00"/>
    <s v="South"/>
    <s v="India"/>
    <s v="Tamil Nadu"/>
    <s v="Chennai"/>
    <x v="968"/>
    <x v="1"/>
    <s v="Office Supplies"/>
    <s v="Laptop"/>
    <s v="Product_143"/>
    <x v="2"/>
    <x v="0"/>
    <s v="Credit Card"/>
    <s v="Medium"/>
    <n v="7"/>
    <n v="949"/>
    <n v="20"/>
    <n v="5314.4"/>
    <n v="-390.73"/>
    <x v="8"/>
  </r>
  <r>
    <s v="ORD01028"/>
    <x v="296"/>
    <d v="2022-11-24T00:00:00"/>
    <s v="North"/>
    <s v="India"/>
    <s v="Gujarat"/>
    <s v="Chennai"/>
    <x v="969"/>
    <x v="2"/>
    <s v="Office Supplies"/>
    <s v="Printer"/>
    <s v="Product_59"/>
    <x v="2"/>
    <x v="0"/>
    <s v="UPI"/>
    <s v="Medium"/>
    <n v="2"/>
    <n v="24958"/>
    <n v="15"/>
    <n v="42428.6"/>
    <n v="-3697.37"/>
    <x v="3"/>
  </r>
  <r>
    <s v="ORD01029"/>
    <x v="643"/>
    <d v="2024-01-19T00:00:00"/>
    <s v="North"/>
    <s v="India"/>
    <s v="Tamil Nadu"/>
    <s v="Bangalore"/>
    <x v="970"/>
    <x v="1"/>
    <s v="Furniture"/>
    <s v="Mobile"/>
    <s v="Product_2"/>
    <x v="0"/>
    <x v="0"/>
    <s v="Cash"/>
    <s v="Medium"/>
    <n v="5"/>
    <n v="10132"/>
    <n v="10"/>
    <n v="45594"/>
    <n v="-77.13"/>
    <x v="1"/>
  </r>
  <r>
    <s v="ORD01030"/>
    <x v="256"/>
    <d v="2022-03-04T00:00:00"/>
    <s v="West"/>
    <s v="India"/>
    <s v="Delhi"/>
    <s v="Delhi"/>
    <x v="971"/>
    <x v="0"/>
    <s v="Electronics"/>
    <s v="Table"/>
    <s v="Product_88"/>
    <x v="0"/>
    <x v="0"/>
    <s v="Credit Card"/>
    <s v="High"/>
    <n v="8"/>
    <n v="25404"/>
    <n v="5"/>
    <n v="193070.4"/>
    <n v="33245.660000000003"/>
    <x v="5"/>
  </r>
  <r>
    <s v="ORD01031"/>
    <x v="248"/>
    <d v="2022-12-24T00:00:00"/>
    <s v="East"/>
    <s v="India"/>
    <s v="Karnataka"/>
    <s v="Chennai"/>
    <x v="972"/>
    <x v="2"/>
    <s v="Electronics"/>
    <s v="Storage"/>
    <s v="Product_47"/>
    <x v="4"/>
    <x v="1"/>
    <s v="Net Banking"/>
    <s v="Critical"/>
    <n v="6"/>
    <n v="21636"/>
    <n v="20"/>
    <n v="103852.8"/>
    <n v="-18178.560000000001"/>
    <x v="9"/>
  </r>
  <r>
    <s v="ORD01032"/>
    <x v="644"/>
    <d v="2023-01-08T00:00:00"/>
    <s v="North"/>
    <s v="India"/>
    <s v="Delhi"/>
    <s v="Bangalore"/>
    <x v="918"/>
    <x v="0"/>
    <s v="Office Supplies"/>
    <s v="Laptop"/>
    <s v="Product_180"/>
    <x v="2"/>
    <x v="1"/>
    <s v="Net Banking"/>
    <s v="High"/>
    <n v="1"/>
    <n v="44189"/>
    <n v="10"/>
    <n v="39770.1"/>
    <n v="-1413.6"/>
    <x v="1"/>
  </r>
  <r>
    <s v="ORD01033"/>
    <x v="132"/>
    <d v="2022-06-20T00:00:00"/>
    <s v="South"/>
    <s v="India"/>
    <s v="Delhi"/>
    <s v="Bangalore"/>
    <x v="973"/>
    <x v="1"/>
    <s v="Office Supplies"/>
    <s v="Chair"/>
    <s v="Product_14"/>
    <x v="4"/>
    <x v="1"/>
    <s v="Credit Card"/>
    <s v="Critical"/>
    <n v="3"/>
    <n v="47034"/>
    <n v="15"/>
    <n v="119936.7"/>
    <n v="3802.3"/>
    <x v="2"/>
  </r>
  <r>
    <s v="ORD01034"/>
    <x v="446"/>
    <d v="2022-06-02T00:00:00"/>
    <s v="South"/>
    <s v="India"/>
    <s v="Karnataka"/>
    <s v="Mumbai"/>
    <x v="974"/>
    <x v="2"/>
    <s v="Office Supplies"/>
    <s v="Printer"/>
    <s v="Product_100"/>
    <x v="4"/>
    <x v="0"/>
    <s v="UPI"/>
    <s v="Low"/>
    <n v="8"/>
    <n v="49992"/>
    <n v="0"/>
    <n v="399936"/>
    <n v="50155.1"/>
    <x v="4"/>
  </r>
  <r>
    <s v="ORD01035"/>
    <x v="645"/>
    <d v="2024-04-16T00:00:00"/>
    <s v="North"/>
    <s v="India"/>
    <s v="Tamil Nadu"/>
    <s v="Delhi"/>
    <x v="975"/>
    <x v="0"/>
    <s v="Furniture"/>
    <s v="Chair"/>
    <s v="Product_113"/>
    <x v="0"/>
    <x v="0"/>
    <s v="Debit Card"/>
    <s v="Critical"/>
    <n v="5"/>
    <n v="17287"/>
    <n v="20"/>
    <n v="69148"/>
    <n v="-10564.52"/>
    <x v="6"/>
  </r>
  <r>
    <s v="ORD01036"/>
    <x v="646"/>
    <d v="2022-10-31T00:00:00"/>
    <s v="North"/>
    <s v="India"/>
    <s v="Maharashtra"/>
    <s v="Mumbai"/>
    <x v="976"/>
    <x v="1"/>
    <s v="Office Supplies"/>
    <s v="Printer"/>
    <s v="Product_101"/>
    <x v="0"/>
    <x v="1"/>
    <s v="Debit Card"/>
    <s v="Medium"/>
    <n v="6"/>
    <n v="32749"/>
    <n v="15"/>
    <n v="167019.9"/>
    <n v="27391.53"/>
    <x v="10"/>
  </r>
  <r>
    <s v="ORD01037"/>
    <x v="442"/>
    <d v="2023-06-16T00:00:00"/>
    <s v="North"/>
    <s v="India"/>
    <s v="Delhi"/>
    <s v="Bangalore"/>
    <x v="977"/>
    <x v="1"/>
    <s v="Furniture"/>
    <s v="Mobile"/>
    <s v="Product_29"/>
    <x v="1"/>
    <x v="1"/>
    <s v="Debit Card"/>
    <s v="High"/>
    <n v="5"/>
    <n v="27480"/>
    <n v="5"/>
    <n v="130530"/>
    <n v="26601.5"/>
    <x v="2"/>
  </r>
  <r>
    <s v="ORD01038"/>
    <x v="647"/>
    <d v="2023-04-12T00:00:00"/>
    <s v="East"/>
    <s v="India"/>
    <s v="Karnataka"/>
    <s v="Bangalore"/>
    <x v="978"/>
    <x v="1"/>
    <s v="Electronics"/>
    <s v="Printer"/>
    <s v="Product_186"/>
    <x v="5"/>
    <x v="1"/>
    <s v="Net Banking"/>
    <s v="High"/>
    <n v="5"/>
    <n v="34363"/>
    <n v="0"/>
    <n v="171815"/>
    <n v="38394.18"/>
    <x v="6"/>
  </r>
  <r>
    <s v="ORD01039"/>
    <x v="648"/>
    <d v="2023-07-26T00:00:00"/>
    <s v="North"/>
    <s v="India"/>
    <s v="Maharashtra"/>
    <s v="Bangalore"/>
    <x v="979"/>
    <x v="1"/>
    <s v="Electronics"/>
    <s v="Mobile"/>
    <s v="Product_161"/>
    <x v="5"/>
    <x v="1"/>
    <s v="Cash"/>
    <s v="Low"/>
    <n v="9"/>
    <n v="9021"/>
    <n v="10"/>
    <n v="73070.100000000006"/>
    <n v="8623.57"/>
    <x v="11"/>
  </r>
  <r>
    <s v="ORD01040"/>
    <x v="121"/>
    <d v="2022-04-17T00:00:00"/>
    <s v="South"/>
    <s v="India"/>
    <s v="Maharashtra"/>
    <s v="Mumbai"/>
    <x v="980"/>
    <x v="2"/>
    <s v="Electronics"/>
    <s v="Printer"/>
    <s v="Product_9"/>
    <x v="5"/>
    <x v="1"/>
    <s v="Net Banking"/>
    <s v="Low"/>
    <n v="10"/>
    <n v="19742"/>
    <n v="10"/>
    <n v="177678"/>
    <n v="-340.09"/>
    <x v="6"/>
  </r>
  <r>
    <s v="ORD01041"/>
    <x v="649"/>
    <d v="2022-11-21T00:00:00"/>
    <s v="West"/>
    <s v="India"/>
    <s v="Tamil Nadu"/>
    <s v="Ahmedabad"/>
    <x v="118"/>
    <x v="2"/>
    <s v="Office Supplies"/>
    <s v="Mobile"/>
    <s v="Product_74"/>
    <x v="5"/>
    <x v="1"/>
    <s v="UPI"/>
    <s v="Medium"/>
    <n v="6"/>
    <n v="42738"/>
    <n v="15"/>
    <n v="217963.8"/>
    <n v="17658.830000000002"/>
    <x v="3"/>
  </r>
  <r>
    <s v="ORD01042"/>
    <x v="650"/>
    <d v="2024-01-30T00:00:00"/>
    <s v="South"/>
    <s v="India"/>
    <s v="Maharashtra"/>
    <s v="Chennai"/>
    <x v="981"/>
    <x v="0"/>
    <s v="Electronics"/>
    <s v="Chair"/>
    <s v="Product_194"/>
    <x v="5"/>
    <x v="1"/>
    <s v="Debit Card"/>
    <s v="Medium"/>
    <n v="10"/>
    <n v="9753"/>
    <n v="15"/>
    <n v="82900.5"/>
    <n v="8274.6"/>
    <x v="1"/>
  </r>
  <r>
    <s v="ORD01043"/>
    <x v="651"/>
    <d v="2023-11-11T00:00:00"/>
    <s v="North"/>
    <s v="India"/>
    <s v="Karnataka"/>
    <s v="Ahmedabad"/>
    <x v="982"/>
    <x v="1"/>
    <s v="Electronics"/>
    <s v="Laptop"/>
    <s v="Product_159"/>
    <x v="1"/>
    <x v="0"/>
    <s v="Debit Card"/>
    <s v="Low"/>
    <n v="8"/>
    <n v="21408"/>
    <n v="10"/>
    <n v="154137.60000000001"/>
    <n v="31900.15"/>
    <x v="3"/>
  </r>
  <r>
    <s v="ORD01044"/>
    <x v="652"/>
    <d v="2023-11-18T00:00:00"/>
    <s v="East"/>
    <s v="India"/>
    <s v="Karnataka"/>
    <s v="Delhi"/>
    <x v="983"/>
    <x v="1"/>
    <s v="Furniture"/>
    <s v="Mobile"/>
    <s v="Product_70"/>
    <x v="0"/>
    <x v="1"/>
    <s v="Cash"/>
    <s v="High"/>
    <n v="3"/>
    <n v="40263"/>
    <n v="5"/>
    <n v="114749.55"/>
    <n v="10827.48"/>
    <x v="3"/>
  </r>
  <r>
    <s v="ORD01045"/>
    <x v="246"/>
    <d v="2022-03-05T00:00:00"/>
    <s v="South"/>
    <s v="India"/>
    <s v="Gujarat"/>
    <s v="Mumbai"/>
    <x v="984"/>
    <x v="2"/>
    <s v="Office Supplies"/>
    <s v="Printer"/>
    <s v="Product_13"/>
    <x v="2"/>
    <x v="0"/>
    <s v="Credit Card"/>
    <s v="Critical"/>
    <n v="8"/>
    <n v="41881"/>
    <n v="5"/>
    <n v="318295.59999999998"/>
    <n v="54537.86"/>
    <x v="5"/>
  </r>
  <r>
    <s v="ORD01046"/>
    <x v="476"/>
    <d v="2024-03-17T00:00:00"/>
    <s v="West"/>
    <s v="India"/>
    <s v="Tamil Nadu"/>
    <s v="Delhi"/>
    <x v="813"/>
    <x v="1"/>
    <s v="Electronics"/>
    <s v="Chair"/>
    <s v="Product_7"/>
    <x v="2"/>
    <x v="1"/>
    <s v="Cash"/>
    <s v="Low"/>
    <n v="3"/>
    <n v="28949"/>
    <n v="5"/>
    <n v="82504.649999999994"/>
    <n v="15151.13"/>
    <x v="0"/>
  </r>
  <r>
    <s v="ORD01047"/>
    <x v="33"/>
    <d v="2023-08-18T00:00:00"/>
    <s v="West"/>
    <s v="India"/>
    <s v="Karnataka"/>
    <s v="Bangalore"/>
    <x v="985"/>
    <x v="1"/>
    <s v="Electronics"/>
    <s v="Chair"/>
    <s v="Product_167"/>
    <x v="1"/>
    <x v="0"/>
    <s v="Net Banking"/>
    <s v="Medium"/>
    <n v="5"/>
    <n v="9264"/>
    <n v="20"/>
    <n v="37056"/>
    <n v="-6100.51"/>
    <x v="8"/>
  </r>
  <r>
    <s v="ORD01048"/>
    <x v="464"/>
    <d v="2024-05-20T00:00:00"/>
    <s v="West"/>
    <s v="India"/>
    <s v="Gujarat"/>
    <s v="Delhi"/>
    <x v="986"/>
    <x v="0"/>
    <s v="Electronics"/>
    <s v="Storage"/>
    <s v="Product_38"/>
    <x v="5"/>
    <x v="0"/>
    <s v="Debit Card"/>
    <s v="Low"/>
    <n v="5"/>
    <n v="18219"/>
    <n v="5"/>
    <n v="86540.25"/>
    <n v="5099.84"/>
    <x v="4"/>
  </r>
  <r>
    <s v="ORD01049"/>
    <x v="653"/>
    <d v="2022-03-21T00:00:00"/>
    <s v="West"/>
    <s v="India"/>
    <s v="Maharashtra"/>
    <s v="Bangalore"/>
    <x v="987"/>
    <x v="0"/>
    <s v="Furniture"/>
    <s v="Mobile"/>
    <s v="Product_19"/>
    <x v="1"/>
    <x v="1"/>
    <s v="Credit Card"/>
    <s v="Critical"/>
    <n v="7"/>
    <n v="8255"/>
    <n v="20"/>
    <n v="46228"/>
    <n v="-5580.98"/>
    <x v="0"/>
  </r>
  <r>
    <s v="ORD01050"/>
    <x v="654"/>
    <d v="2022-05-28T00:00:00"/>
    <s v="South"/>
    <s v="India"/>
    <s v="Karnataka"/>
    <s v="Mumbai"/>
    <x v="988"/>
    <x v="1"/>
    <s v="Office Supplies"/>
    <s v="Chair"/>
    <s v="Product_6"/>
    <x v="3"/>
    <x v="0"/>
    <s v="UPI"/>
    <s v="Medium"/>
    <n v="7"/>
    <n v="19053"/>
    <n v="5"/>
    <n v="126702.45"/>
    <n v="32531.74"/>
    <x v="4"/>
  </r>
  <r>
    <s v="ORD01051"/>
    <x v="367"/>
    <d v="2022-01-28T00:00:00"/>
    <s v="North"/>
    <s v="India"/>
    <s v="Tamil Nadu"/>
    <s v="Ahmedabad"/>
    <x v="989"/>
    <x v="0"/>
    <s v="Electronics"/>
    <s v="Laptop"/>
    <s v="Product_55"/>
    <x v="5"/>
    <x v="0"/>
    <s v="Debit Card"/>
    <s v="Critical"/>
    <n v="2"/>
    <n v="46680"/>
    <n v="15"/>
    <n v="79356"/>
    <n v="-7525.78"/>
    <x v="1"/>
  </r>
  <r>
    <s v="ORD01052"/>
    <x v="655"/>
    <d v="2023-09-05T00:00:00"/>
    <s v="South"/>
    <s v="India"/>
    <s v="Gujarat"/>
    <s v="Mumbai"/>
    <x v="990"/>
    <x v="2"/>
    <s v="Furniture"/>
    <s v="Laptop"/>
    <s v="Product_6"/>
    <x v="2"/>
    <x v="1"/>
    <s v="Debit Card"/>
    <s v="High"/>
    <n v="9"/>
    <n v="35634"/>
    <n v="10"/>
    <n v="288635.40000000002"/>
    <n v="54073.85"/>
    <x v="8"/>
  </r>
  <r>
    <s v="ORD01053"/>
    <x v="474"/>
    <d v="2023-07-22T00:00:00"/>
    <s v="East"/>
    <s v="India"/>
    <s v="Tamil Nadu"/>
    <s v="Bangalore"/>
    <x v="335"/>
    <x v="1"/>
    <s v="Furniture"/>
    <s v="Table"/>
    <s v="Product_86"/>
    <x v="1"/>
    <x v="1"/>
    <s v="Cash"/>
    <s v="Critical"/>
    <n v="8"/>
    <n v="38190"/>
    <n v="15"/>
    <n v="259692"/>
    <n v="12403.82"/>
    <x v="11"/>
  </r>
  <r>
    <s v="ORD01054"/>
    <x v="68"/>
    <d v="2022-10-23T00:00:00"/>
    <s v="South"/>
    <s v="India"/>
    <s v="Maharashtra"/>
    <s v="Delhi"/>
    <x v="991"/>
    <x v="0"/>
    <s v="Furniture"/>
    <s v="Chair"/>
    <s v="Product_48"/>
    <x v="0"/>
    <x v="0"/>
    <s v="Credit Card"/>
    <s v="Low"/>
    <n v="3"/>
    <n v="19378"/>
    <n v="0"/>
    <n v="58134"/>
    <n v="12861.62"/>
    <x v="10"/>
  </r>
  <r>
    <s v="ORD01055"/>
    <x v="656"/>
    <d v="2022-08-27T00:00:00"/>
    <s v="South"/>
    <s v="India"/>
    <s v="Delhi"/>
    <s v="Delhi"/>
    <x v="909"/>
    <x v="0"/>
    <s v="Furniture"/>
    <s v="Mobile"/>
    <s v="Product_78"/>
    <x v="0"/>
    <x v="1"/>
    <s v="Cash"/>
    <s v="Low"/>
    <n v="2"/>
    <n v="26734"/>
    <n v="0"/>
    <n v="53468"/>
    <n v="13985.76"/>
    <x v="8"/>
  </r>
  <r>
    <s v="ORD01056"/>
    <x v="205"/>
    <d v="2024-06-11T00:00:00"/>
    <s v="North"/>
    <s v="India"/>
    <s v="Karnataka"/>
    <s v="Chennai"/>
    <x v="565"/>
    <x v="1"/>
    <s v="Electronics"/>
    <s v="Laptop"/>
    <s v="Product_197"/>
    <x v="5"/>
    <x v="1"/>
    <s v="Net Banking"/>
    <s v="High"/>
    <n v="6"/>
    <n v="49077"/>
    <n v="5"/>
    <n v="279738.90000000002"/>
    <n v="6606.76"/>
    <x v="2"/>
  </r>
  <r>
    <s v="ORD01057"/>
    <x v="388"/>
    <d v="2022-01-17T00:00:00"/>
    <s v="South"/>
    <s v="India"/>
    <s v="Tamil Nadu"/>
    <s v="Ahmedabad"/>
    <x v="992"/>
    <x v="2"/>
    <s v="Electronics"/>
    <s v="Printer"/>
    <s v="Product_98"/>
    <x v="4"/>
    <x v="1"/>
    <s v="UPI"/>
    <s v="High"/>
    <n v="4"/>
    <n v="40292"/>
    <n v="0"/>
    <n v="161168"/>
    <n v="37459.129999999997"/>
    <x v="1"/>
  </r>
  <r>
    <s v="ORD01058"/>
    <x v="486"/>
    <d v="2022-10-11T00:00:00"/>
    <s v="North"/>
    <s v="India"/>
    <s v="Gujarat"/>
    <s v="Mumbai"/>
    <x v="993"/>
    <x v="0"/>
    <s v="Electronics"/>
    <s v="Printer"/>
    <s v="Product_157"/>
    <x v="3"/>
    <x v="0"/>
    <s v="Credit Card"/>
    <s v="Medium"/>
    <n v="3"/>
    <n v="42611"/>
    <n v="10"/>
    <n v="115049.7"/>
    <n v="18367.43"/>
    <x v="10"/>
  </r>
  <r>
    <s v="ORD01059"/>
    <x v="657"/>
    <d v="2023-07-03T00:00:00"/>
    <s v="South"/>
    <s v="India"/>
    <s v="Maharashtra"/>
    <s v="Chennai"/>
    <x v="994"/>
    <x v="2"/>
    <s v="Office Supplies"/>
    <s v="Printer"/>
    <s v="Product_174"/>
    <x v="3"/>
    <x v="0"/>
    <s v="UPI"/>
    <s v="Low"/>
    <n v="4"/>
    <n v="26058"/>
    <n v="0"/>
    <n v="104232"/>
    <n v="15888.67"/>
    <x v="2"/>
  </r>
  <r>
    <s v="ORD01060"/>
    <x v="202"/>
    <d v="2023-05-22T00:00:00"/>
    <s v="East"/>
    <s v="India"/>
    <s v="Gujarat"/>
    <s v="Mumbai"/>
    <x v="995"/>
    <x v="2"/>
    <s v="Office Supplies"/>
    <s v="Storage"/>
    <s v="Product_100"/>
    <x v="5"/>
    <x v="0"/>
    <s v="UPI"/>
    <s v="Low"/>
    <n v="6"/>
    <n v="12635"/>
    <n v="15"/>
    <n v="64438.5"/>
    <n v="2653.28"/>
    <x v="4"/>
  </r>
  <r>
    <s v="ORD01061"/>
    <x v="489"/>
    <d v="2022-06-09T00:00:00"/>
    <s v="North"/>
    <s v="India"/>
    <s v="Karnataka"/>
    <s v="Ahmedabad"/>
    <x v="996"/>
    <x v="1"/>
    <s v="Office Supplies"/>
    <s v="Chair"/>
    <s v="Product_147"/>
    <x v="3"/>
    <x v="1"/>
    <s v="Debit Card"/>
    <s v="High"/>
    <n v="7"/>
    <n v="9751"/>
    <n v="0"/>
    <n v="68257"/>
    <n v="5233.22"/>
    <x v="4"/>
  </r>
  <r>
    <s v="ORD01062"/>
    <x v="84"/>
    <d v="2022-07-15T00:00:00"/>
    <s v="South"/>
    <s v="India"/>
    <s v="Delhi"/>
    <s v="Ahmedabad"/>
    <x v="997"/>
    <x v="2"/>
    <s v="Furniture"/>
    <s v="Laptop"/>
    <s v="Product_184"/>
    <x v="2"/>
    <x v="0"/>
    <s v="Debit Card"/>
    <s v="Medium"/>
    <n v="5"/>
    <n v="43362"/>
    <n v="10"/>
    <n v="195129"/>
    <n v="4245.84"/>
    <x v="11"/>
  </r>
  <r>
    <s v="ORD01063"/>
    <x v="658"/>
    <d v="2023-09-22T00:00:00"/>
    <s v="East"/>
    <s v="India"/>
    <s v="Delhi"/>
    <s v="Mumbai"/>
    <x v="998"/>
    <x v="0"/>
    <s v="Electronics"/>
    <s v="Chair"/>
    <s v="Product_65"/>
    <x v="1"/>
    <x v="1"/>
    <s v="Credit Card"/>
    <s v="Low"/>
    <n v="5"/>
    <n v="21139"/>
    <n v="0"/>
    <n v="105695"/>
    <n v="14762.82"/>
    <x v="7"/>
  </r>
  <r>
    <s v="ORD01064"/>
    <x v="659"/>
    <d v="2022-06-17T00:00:00"/>
    <s v="North"/>
    <s v="India"/>
    <s v="Maharashtra"/>
    <s v="Ahmedabad"/>
    <x v="999"/>
    <x v="1"/>
    <s v="Furniture"/>
    <s v="Storage"/>
    <s v="Product_177"/>
    <x v="2"/>
    <x v="0"/>
    <s v="UPI"/>
    <s v="Critical"/>
    <n v="7"/>
    <n v="25727"/>
    <n v="0"/>
    <n v="180089"/>
    <n v="41366.57"/>
    <x v="2"/>
  </r>
  <r>
    <s v="ORD01065"/>
    <x v="239"/>
    <d v="2023-03-12T00:00:00"/>
    <s v="North"/>
    <s v="India"/>
    <s v="Gujarat"/>
    <s v="Delhi"/>
    <x v="1000"/>
    <x v="1"/>
    <s v="Furniture"/>
    <s v="Chair"/>
    <s v="Product_101"/>
    <x v="2"/>
    <x v="0"/>
    <s v="Debit Card"/>
    <s v="Low"/>
    <n v="6"/>
    <n v="9033"/>
    <n v="10"/>
    <n v="48778.2"/>
    <n v="-2616.14"/>
    <x v="0"/>
  </r>
  <r>
    <s v="ORD01066"/>
    <x v="660"/>
    <d v="2022-04-17T00:00:00"/>
    <s v="East"/>
    <s v="India"/>
    <s v="Karnataka"/>
    <s v="Bangalore"/>
    <x v="1001"/>
    <x v="2"/>
    <s v="Office Supplies"/>
    <s v="Laptop"/>
    <s v="Product_29"/>
    <x v="0"/>
    <x v="1"/>
    <s v="UPI"/>
    <s v="Critical"/>
    <n v="4"/>
    <n v="30325"/>
    <n v="15"/>
    <n v="103105"/>
    <n v="-3420.21"/>
    <x v="6"/>
  </r>
  <r>
    <s v="ORD01067"/>
    <x v="661"/>
    <d v="2022-07-09T00:00:00"/>
    <s v="North"/>
    <s v="India"/>
    <s v="Maharashtra"/>
    <s v="Chennai"/>
    <x v="37"/>
    <x v="2"/>
    <s v="Furniture"/>
    <s v="Laptop"/>
    <s v="Product_8"/>
    <x v="4"/>
    <x v="1"/>
    <s v="Net Banking"/>
    <s v="Medium"/>
    <n v="4"/>
    <n v="46879"/>
    <n v="10"/>
    <n v="168764.4"/>
    <n v="37306.11"/>
    <x v="11"/>
  </r>
  <r>
    <s v="ORD01068"/>
    <x v="150"/>
    <d v="2022-02-01T00:00:00"/>
    <s v="North"/>
    <s v="India"/>
    <s v="Delhi"/>
    <s v="Chennai"/>
    <x v="1002"/>
    <x v="0"/>
    <s v="Office Supplies"/>
    <s v="Chair"/>
    <s v="Product_155"/>
    <x v="5"/>
    <x v="0"/>
    <s v="Debit Card"/>
    <s v="Low"/>
    <n v="2"/>
    <n v="6836"/>
    <n v="15"/>
    <n v="11621.2"/>
    <n v="-1058.3499999999999"/>
    <x v="1"/>
  </r>
  <r>
    <s v="ORD01069"/>
    <x v="293"/>
    <d v="2023-03-19T00:00:00"/>
    <s v="North"/>
    <s v="India"/>
    <s v="Tamil Nadu"/>
    <s v="Ahmedabad"/>
    <x v="1003"/>
    <x v="0"/>
    <s v="Office Supplies"/>
    <s v="Storage"/>
    <s v="Product_39"/>
    <x v="1"/>
    <x v="0"/>
    <s v="Cash"/>
    <s v="Low"/>
    <n v="4"/>
    <n v="28086"/>
    <n v="15"/>
    <n v="95492.4"/>
    <n v="2507.2800000000002"/>
    <x v="0"/>
  </r>
  <r>
    <s v="ORD01070"/>
    <x v="606"/>
    <d v="2022-02-05T00:00:00"/>
    <s v="North"/>
    <s v="India"/>
    <s v="Delhi"/>
    <s v="Bangalore"/>
    <x v="1004"/>
    <x v="1"/>
    <s v="Office Supplies"/>
    <s v="Mobile"/>
    <s v="Product_48"/>
    <x v="0"/>
    <x v="1"/>
    <s v="Credit Card"/>
    <s v="Critical"/>
    <n v="6"/>
    <n v="6338"/>
    <n v="20"/>
    <n v="30422.400000000001"/>
    <n v="3076.8"/>
    <x v="5"/>
  </r>
  <r>
    <s v="ORD01071"/>
    <x v="654"/>
    <d v="2022-05-23T00:00:00"/>
    <s v="West"/>
    <s v="India"/>
    <s v="Gujarat"/>
    <s v="Delhi"/>
    <x v="1005"/>
    <x v="2"/>
    <s v="Electronics"/>
    <s v="Chair"/>
    <s v="Product_35"/>
    <x v="4"/>
    <x v="1"/>
    <s v="Net Banking"/>
    <s v="Medium"/>
    <n v="2"/>
    <n v="42595"/>
    <n v="0"/>
    <n v="85190"/>
    <n v="18488.86"/>
    <x v="4"/>
  </r>
  <r>
    <s v="ORD01072"/>
    <x v="272"/>
    <d v="2022-09-30T00:00:00"/>
    <s v="West"/>
    <s v="India"/>
    <s v="Karnataka"/>
    <s v="Chennai"/>
    <x v="1006"/>
    <x v="0"/>
    <s v="Office Supplies"/>
    <s v="Storage"/>
    <s v="Product_56"/>
    <x v="4"/>
    <x v="1"/>
    <s v="Credit Card"/>
    <s v="Critical"/>
    <n v="5"/>
    <n v="7274"/>
    <n v="20"/>
    <n v="29096"/>
    <n v="288.23"/>
    <x v="7"/>
  </r>
  <r>
    <s v="ORD01073"/>
    <x v="256"/>
    <d v="2022-03-09T00:00:00"/>
    <s v="West"/>
    <s v="India"/>
    <s v="Tamil Nadu"/>
    <s v="Bangalore"/>
    <x v="1007"/>
    <x v="2"/>
    <s v="Electronics"/>
    <s v="Storage"/>
    <s v="Product_10"/>
    <x v="4"/>
    <x v="1"/>
    <s v="Cash"/>
    <s v="High"/>
    <n v="6"/>
    <n v="12912"/>
    <n v="0"/>
    <n v="77472"/>
    <n v="15520.81"/>
    <x v="5"/>
  </r>
  <r>
    <s v="ORD01074"/>
    <x v="46"/>
    <d v="2024-08-06T00:00:00"/>
    <s v="East"/>
    <s v="India"/>
    <s v="Maharashtra"/>
    <s v="Delhi"/>
    <x v="1008"/>
    <x v="1"/>
    <s v="Office Supplies"/>
    <s v="Laptop"/>
    <s v="Product_47"/>
    <x v="3"/>
    <x v="1"/>
    <s v="Net Banking"/>
    <s v="Critical"/>
    <n v="3"/>
    <n v="13451"/>
    <n v="0"/>
    <n v="40353"/>
    <n v="11941.23"/>
    <x v="11"/>
  </r>
  <r>
    <s v="ORD01075"/>
    <x v="662"/>
    <d v="2022-06-19T00:00:00"/>
    <s v="West"/>
    <s v="India"/>
    <s v="Delhi"/>
    <s v="Chennai"/>
    <x v="1009"/>
    <x v="2"/>
    <s v="Office Supplies"/>
    <s v="Printer"/>
    <s v="Product_140"/>
    <x v="3"/>
    <x v="0"/>
    <s v="UPI"/>
    <s v="Critical"/>
    <n v="10"/>
    <n v="12929"/>
    <n v="20"/>
    <n v="103432"/>
    <n v="4741.3999999999996"/>
    <x v="2"/>
  </r>
  <r>
    <s v="ORD01076"/>
    <x v="252"/>
    <d v="2023-06-10T00:00:00"/>
    <s v="North"/>
    <s v="India"/>
    <s v="Tamil Nadu"/>
    <s v="Delhi"/>
    <x v="1010"/>
    <x v="0"/>
    <s v="Office Supplies"/>
    <s v="Chair"/>
    <s v="Product_121"/>
    <x v="2"/>
    <x v="0"/>
    <s v="Debit Card"/>
    <s v="Low"/>
    <n v="6"/>
    <n v="48934"/>
    <n v="0"/>
    <n v="293604"/>
    <n v="48602.61"/>
    <x v="2"/>
  </r>
  <r>
    <s v="ORD01077"/>
    <x v="597"/>
    <d v="2022-04-07T00:00:00"/>
    <s v="South"/>
    <s v="India"/>
    <s v="Karnataka"/>
    <s v="Ahmedabad"/>
    <x v="1011"/>
    <x v="0"/>
    <s v="Electronics"/>
    <s v="Chair"/>
    <s v="Product_55"/>
    <x v="3"/>
    <x v="1"/>
    <s v="Net Banking"/>
    <s v="High"/>
    <n v="1"/>
    <n v="10471"/>
    <n v="5"/>
    <n v="9947.4500000000007"/>
    <n v="556.87"/>
    <x v="0"/>
  </r>
  <r>
    <s v="ORD01078"/>
    <x v="656"/>
    <d v="2022-08-22T00:00:00"/>
    <s v="South"/>
    <s v="India"/>
    <s v="Gujarat"/>
    <s v="Ahmedabad"/>
    <x v="1012"/>
    <x v="0"/>
    <s v="Electronics"/>
    <s v="Laptop"/>
    <s v="Product_54"/>
    <x v="3"/>
    <x v="0"/>
    <s v="Cash"/>
    <s v="High"/>
    <n v="5"/>
    <n v="38552"/>
    <n v="10"/>
    <n v="173484"/>
    <n v="26507.06"/>
    <x v="8"/>
  </r>
  <r>
    <s v="ORD01079"/>
    <x v="663"/>
    <d v="2023-02-18T00:00:00"/>
    <s v="North"/>
    <s v="India"/>
    <s v="Karnataka"/>
    <s v="Chennai"/>
    <x v="1013"/>
    <x v="1"/>
    <s v="Office Supplies"/>
    <s v="Mobile"/>
    <s v="Product_155"/>
    <x v="0"/>
    <x v="1"/>
    <s v="Debit Card"/>
    <s v="Medium"/>
    <n v="1"/>
    <n v="33206"/>
    <n v="10"/>
    <n v="29885.4"/>
    <n v="4513.9799999999996"/>
    <x v="5"/>
  </r>
  <r>
    <s v="ORD01080"/>
    <x v="664"/>
    <d v="2022-05-04T00:00:00"/>
    <s v="South"/>
    <s v="India"/>
    <s v="Karnataka"/>
    <s v="Chennai"/>
    <x v="1014"/>
    <x v="0"/>
    <s v="Furniture"/>
    <s v="Laptop"/>
    <s v="Product_99"/>
    <x v="0"/>
    <x v="1"/>
    <s v="Debit Card"/>
    <s v="High"/>
    <n v="2"/>
    <n v="1213"/>
    <n v="0"/>
    <n v="2426"/>
    <n v="128.85"/>
    <x v="6"/>
  </r>
  <r>
    <s v="ORD01081"/>
    <x v="54"/>
    <d v="2023-01-09T00:00:00"/>
    <s v="North"/>
    <s v="India"/>
    <s v="Maharashtra"/>
    <s v="Delhi"/>
    <x v="1015"/>
    <x v="0"/>
    <s v="Furniture"/>
    <s v="Mobile"/>
    <s v="Product_35"/>
    <x v="5"/>
    <x v="1"/>
    <s v="UPI"/>
    <s v="Medium"/>
    <n v="2"/>
    <n v="28496"/>
    <n v="10"/>
    <n v="51292.800000000003"/>
    <n v="391.49"/>
    <x v="1"/>
  </r>
  <r>
    <s v="ORD01082"/>
    <x v="665"/>
    <d v="2024-01-02T00:00:00"/>
    <s v="East"/>
    <s v="India"/>
    <s v="Maharashtra"/>
    <s v="Mumbai"/>
    <x v="1016"/>
    <x v="0"/>
    <s v="Furniture"/>
    <s v="Printer"/>
    <s v="Product_67"/>
    <x v="2"/>
    <x v="0"/>
    <s v="Cash"/>
    <s v="Low"/>
    <n v="7"/>
    <n v="41612"/>
    <n v="15"/>
    <n v="247591.4"/>
    <n v="-11375.72"/>
    <x v="9"/>
  </r>
  <r>
    <s v="ORD01083"/>
    <x v="259"/>
    <d v="2023-11-17T00:00:00"/>
    <s v="East"/>
    <s v="India"/>
    <s v="Tamil Nadu"/>
    <s v="Mumbai"/>
    <x v="1017"/>
    <x v="0"/>
    <s v="Furniture"/>
    <s v="Chair"/>
    <s v="Product_182"/>
    <x v="2"/>
    <x v="0"/>
    <s v="Credit Card"/>
    <s v="Low"/>
    <n v="9"/>
    <n v="47938"/>
    <n v="20"/>
    <n v="345153.6"/>
    <n v="-26570.12"/>
    <x v="3"/>
  </r>
  <r>
    <s v="ORD01084"/>
    <x v="452"/>
    <d v="2022-06-28T00:00:00"/>
    <s v="East"/>
    <s v="India"/>
    <s v="Tamil Nadu"/>
    <s v="Delhi"/>
    <x v="1018"/>
    <x v="2"/>
    <s v="Electronics"/>
    <s v="Storage"/>
    <s v="Product_47"/>
    <x v="1"/>
    <x v="1"/>
    <s v="Credit Card"/>
    <s v="High"/>
    <n v="10"/>
    <n v="12254"/>
    <n v="15"/>
    <n v="104159"/>
    <n v="14878.41"/>
    <x v="2"/>
  </r>
  <r>
    <s v="ORD01085"/>
    <x v="103"/>
    <d v="2023-05-28T00:00:00"/>
    <s v="North"/>
    <s v="India"/>
    <s v="Delhi"/>
    <s v="Bangalore"/>
    <x v="1019"/>
    <x v="1"/>
    <s v="Electronics"/>
    <s v="Laptop"/>
    <s v="Product_195"/>
    <x v="1"/>
    <x v="0"/>
    <s v="Debit Card"/>
    <s v="High"/>
    <n v="9"/>
    <n v="15097"/>
    <n v="0"/>
    <n v="135873"/>
    <n v="22722.560000000001"/>
    <x v="4"/>
  </r>
  <r>
    <s v="ORD01086"/>
    <x v="573"/>
    <d v="2022-05-13T00:00:00"/>
    <s v="North"/>
    <s v="India"/>
    <s v="Maharashtra"/>
    <s v="Bangalore"/>
    <x v="1020"/>
    <x v="2"/>
    <s v="Electronics"/>
    <s v="Laptop"/>
    <s v="Product_193"/>
    <x v="2"/>
    <x v="1"/>
    <s v="Credit Card"/>
    <s v="Low"/>
    <n v="10"/>
    <n v="25014"/>
    <n v="15"/>
    <n v="212619"/>
    <n v="-12761.36"/>
    <x v="4"/>
  </r>
  <r>
    <s v="ORD01087"/>
    <x v="509"/>
    <d v="2023-01-27T00:00:00"/>
    <s v="East"/>
    <s v="India"/>
    <s v="Tamil Nadu"/>
    <s v="Ahmedabad"/>
    <x v="1021"/>
    <x v="0"/>
    <s v="Furniture"/>
    <s v="Chair"/>
    <s v="Product_190"/>
    <x v="1"/>
    <x v="1"/>
    <s v="Credit Card"/>
    <s v="Low"/>
    <n v="6"/>
    <n v="2272"/>
    <n v="10"/>
    <n v="12268.8"/>
    <n v="1840.42"/>
    <x v="1"/>
  </r>
  <r>
    <s v="ORD01088"/>
    <x v="609"/>
    <d v="2022-08-22T00:00:00"/>
    <s v="East"/>
    <s v="India"/>
    <s v="Maharashtra"/>
    <s v="Chennai"/>
    <x v="1022"/>
    <x v="2"/>
    <s v="Electronics"/>
    <s v="Table"/>
    <s v="Product_166"/>
    <x v="1"/>
    <x v="0"/>
    <s v="Net Banking"/>
    <s v="Critical"/>
    <n v="8"/>
    <n v="47374"/>
    <n v="15"/>
    <n v="322143.2"/>
    <n v="48357.39"/>
    <x v="8"/>
  </r>
  <r>
    <s v="ORD01089"/>
    <x v="666"/>
    <d v="2024-08-22T00:00:00"/>
    <s v="East"/>
    <s v="India"/>
    <s v="Delhi"/>
    <s v="Delhi"/>
    <x v="1023"/>
    <x v="0"/>
    <s v="Furniture"/>
    <s v="Chair"/>
    <s v="Product_23"/>
    <x v="1"/>
    <x v="1"/>
    <s v="Net Banking"/>
    <s v="Medium"/>
    <n v="4"/>
    <n v="29666"/>
    <n v="0"/>
    <n v="118664"/>
    <n v="13749.17"/>
    <x v="8"/>
  </r>
  <r>
    <s v="ORD01090"/>
    <x v="35"/>
    <d v="2022-10-08T00:00:00"/>
    <s v="South"/>
    <s v="India"/>
    <s v="Tamil Nadu"/>
    <s v="Bangalore"/>
    <x v="1024"/>
    <x v="2"/>
    <s v="Electronics"/>
    <s v="Mobile"/>
    <s v="Product_43"/>
    <x v="1"/>
    <x v="1"/>
    <s v="Debit Card"/>
    <s v="Critical"/>
    <n v="3"/>
    <n v="21429"/>
    <n v="20"/>
    <n v="51429.599999999999"/>
    <n v="2605.7800000000002"/>
    <x v="7"/>
  </r>
  <r>
    <s v="ORD01091"/>
    <x v="95"/>
    <d v="2022-01-17T00:00:00"/>
    <s v="East"/>
    <s v="India"/>
    <s v="Maharashtra"/>
    <s v="Mumbai"/>
    <x v="1025"/>
    <x v="1"/>
    <s v="Furniture"/>
    <s v="Table"/>
    <s v="Product_185"/>
    <x v="1"/>
    <x v="0"/>
    <s v="Credit Card"/>
    <s v="Medium"/>
    <n v="10"/>
    <n v="9296"/>
    <n v="0"/>
    <n v="92960"/>
    <n v="7550.06"/>
    <x v="1"/>
  </r>
  <r>
    <s v="ORD01092"/>
    <x v="92"/>
    <d v="2023-04-06T00:00:00"/>
    <s v="East"/>
    <s v="India"/>
    <s v="Tamil Nadu"/>
    <s v="Chennai"/>
    <x v="1026"/>
    <x v="1"/>
    <s v="Electronics"/>
    <s v="Mobile"/>
    <s v="Product_181"/>
    <x v="0"/>
    <x v="1"/>
    <s v="UPI"/>
    <s v="Critical"/>
    <n v="1"/>
    <n v="23834"/>
    <n v="10"/>
    <n v="21450.6"/>
    <n v="326.16000000000003"/>
    <x v="0"/>
  </r>
  <r>
    <s v="ORD01093"/>
    <x v="667"/>
    <d v="2022-07-24T00:00:00"/>
    <s v="South"/>
    <s v="India"/>
    <s v="Tamil Nadu"/>
    <s v="Chennai"/>
    <x v="1027"/>
    <x v="2"/>
    <s v="Electronics"/>
    <s v="Table"/>
    <s v="Product_87"/>
    <x v="2"/>
    <x v="0"/>
    <s v="Credit Card"/>
    <s v="Critical"/>
    <n v="9"/>
    <n v="18472"/>
    <n v="5"/>
    <n v="157935.6"/>
    <n v="22453.35"/>
    <x v="11"/>
  </r>
  <r>
    <s v="ORD01094"/>
    <x v="588"/>
    <d v="2023-09-02T00:00:00"/>
    <s v="North"/>
    <s v="India"/>
    <s v="Karnataka"/>
    <s v="Chennai"/>
    <x v="1028"/>
    <x v="1"/>
    <s v="Electronics"/>
    <s v="Chair"/>
    <s v="Product_128"/>
    <x v="5"/>
    <x v="0"/>
    <s v="Cash"/>
    <s v="Critical"/>
    <n v="3"/>
    <n v="29816"/>
    <n v="20"/>
    <n v="71558.399999999994"/>
    <n v="-11101.02"/>
    <x v="8"/>
  </r>
  <r>
    <s v="ORD01095"/>
    <x v="668"/>
    <d v="2023-01-02T00:00:00"/>
    <s v="East"/>
    <s v="India"/>
    <s v="Gujarat"/>
    <s v="Bangalore"/>
    <x v="1029"/>
    <x v="2"/>
    <s v="Furniture"/>
    <s v="Mobile"/>
    <s v="Product_186"/>
    <x v="5"/>
    <x v="1"/>
    <s v="Credit Card"/>
    <s v="Medium"/>
    <n v="10"/>
    <n v="45641"/>
    <n v="5"/>
    <n v="433589.5"/>
    <n v="47774.54"/>
    <x v="9"/>
  </r>
  <r>
    <s v="ORD01096"/>
    <x v="116"/>
    <d v="2023-10-05T00:00:00"/>
    <s v="West"/>
    <s v="India"/>
    <s v="Gujarat"/>
    <s v="Bangalore"/>
    <x v="1030"/>
    <x v="2"/>
    <s v="Electronics"/>
    <s v="Mobile"/>
    <s v="Product_157"/>
    <x v="5"/>
    <x v="1"/>
    <s v="Net Banking"/>
    <s v="Low"/>
    <n v="1"/>
    <n v="37245"/>
    <n v="10"/>
    <n v="33520.5"/>
    <n v="5246.74"/>
    <x v="7"/>
  </r>
  <r>
    <s v="ORD01097"/>
    <x v="293"/>
    <d v="2023-03-24T00:00:00"/>
    <s v="West"/>
    <s v="India"/>
    <s v="Tamil Nadu"/>
    <s v="Mumbai"/>
    <x v="1031"/>
    <x v="1"/>
    <s v="Office Supplies"/>
    <s v="Chair"/>
    <s v="Product_4"/>
    <x v="4"/>
    <x v="0"/>
    <s v="UPI"/>
    <s v="Critical"/>
    <n v="5"/>
    <n v="34964"/>
    <n v="10"/>
    <n v="157338"/>
    <n v="-2948.56"/>
    <x v="0"/>
  </r>
  <r>
    <s v="ORD01098"/>
    <x v="636"/>
    <d v="2022-03-22T00:00:00"/>
    <s v="North"/>
    <s v="India"/>
    <s v="Delhi"/>
    <s v="Chennai"/>
    <x v="1032"/>
    <x v="0"/>
    <s v="Furniture"/>
    <s v="Chair"/>
    <s v="Product_13"/>
    <x v="2"/>
    <x v="1"/>
    <s v="Credit Card"/>
    <s v="Critical"/>
    <n v="5"/>
    <n v="14258"/>
    <n v="0"/>
    <n v="71290"/>
    <n v="11941.06"/>
    <x v="0"/>
  </r>
  <r>
    <s v="ORD01099"/>
    <x v="579"/>
    <d v="2024-03-26T00:00:00"/>
    <s v="West"/>
    <s v="India"/>
    <s v="Tamil Nadu"/>
    <s v="Chennai"/>
    <x v="1033"/>
    <x v="2"/>
    <s v="Electronics"/>
    <s v="Table"/>
    <s v="Product_86"/>
    <x v="4"/>
    <x v="1"/>
    <s v="Debit Card"/>
    <s v="Medium"/>
    <n v="1"/>
    <n v="39468"/>
    <n v="15"/>
    <n v="33547.800000000003"/>
    <n v="3114.55"/>
    <x v="0"/>
  </r>
  <r>
    <s v="ORD01100"/>
    <x v="669"/>
    <d v="2022-05-11T00:00:00"/>
    <s v="South"/>
    <s v="India"/>
    <s v="Maharashtra"/>
    <s v="Mumbai"/>
    <x v="1034"/>
    <x v="1"/>
    <s v="Office Supplies"/>
    <s v="Storage"/>
    <s v="Product_9"/>
    <x v="2"/>
    <x v="0"/>
    <s v="Net Banking"/>
    <s v="Medium"/>
    <n v="2"/>
    <n v="6918"/>
    <n v="5"/>
    <n v="13144.2"/>
    <n v="942.96"/>
    <x v="4"/>
  </r>
  <r>
    <s v="ORD01101"/>
    <x v="565"/>
    <d v="2024-07-18T00:00:00"/>
    <s v="East"/>
    <s v="India"/>
    <s v="Delhi"/>
    <s v="Mumbai"/>
    <x v="1035"/>
    <x v="0"/>
    <s v="Electronics"/>
    <s v="Table"/>
    <s v="Product_109"/>
    <x v="4"/>
    <x v="0"/>
    <s v="UPI"/>
    <s v="Low"/>
    <n v="9"/>
    <n v="9818"/>
    <n v="10"/>
    <n v="79525.8"/>
    <n v="-2040.02"/>
    <x v="11"/>
  </r>
  <r>
    <s v="ORD01102"/>
    <x v="193"/>
    <d v="2022-05-05T00:00:00"/>
    <s v="South"/>
    <s v="India"/>
    <s v="Karnataka"/>
    <s v="Chennai"/>
    <x v="1036"/>
    <x v="0"/>
    <s v="Office Supplies"/>
    <s v="Printer"/>
    <s v="Product_76"/>
    <x v="3"/>
    <x v="0"/>
    <s v="UPI"/>
    <s v="Low"/>
    <n v="7"/>
    <n v="35000"/>
    <n v="10"/>
    <n v="220500"/>
    <n v="44019.79"/>
    <x v="4"/>
  </r>
  <r>
    <s v="ORD01103"/>
    <x v="670"/>
    <d v="2023-08-24T00:00:00"/>
    <s v="East"/>
    <s v="India"/>
    <s v="Gujarat"/>
    <s v="Mumbai"/>
    <x v="1037"/>
    <x v="0"/>
    <s v="Office Supplies"/>
    <s v="Chair"/>
    <s v="Product_59"/>
    <x v="2"/>
    <x v="1"/>
    <s v="Cash"/>
    <s v="High"/>
    <n v="8"/>
    <n v="24945"/>
    <n v="5"/>
    <n v="189582"/>
    <n v="16174.33"/>
    <x v="8"/>
  </r>
  <r>
    <s v="ORD01104"/>
    <x v="165"/>
    <d v="2023-10-22T00:00:00"/>
    <s v="South"/>
    <s v="India"/>
    <s v="Karnataka"/>
    <s v="Ahmedabad"/>
    <x v="1038"/>
    <x v="0"/>
    <s v="Electronics"/>
    <s v="Storage"/>
    <s v="Product_109"/>
    <x v="1"/>
    <x v="0"/>
    <s v="Cash"/>
    <s v="Medium"/>
    <n v="5"/>
    <n v="18817"/>
    <n v="10"/>
    <n v="84676.5"/>
    <n v="-2458.5500000000002"/>
    <x v="10"/>
  </r>
  <r>
    <s v="ORD01105"/>
    <x v="671"/>
    <d v="2023-09-17T00:00:00"/>
    <s v="West"/>
    <s v="India"/>
    <s v="Gujarat"/>
    <s v="Ahmedabad"/>
    <x v="1039"/>
    <x v="2"/>
    <s v="Electronics"/>
    <s v="Mobile"/>
    <s v="Product_176"/>
    <x v="0"/>
    <x v="1"/>
    <s v="Credit Card"/>
    <s v="Low"/>
    <n v="5"/>
    <n v="29676"/>
    <n v="0"/>
    <n v="148380"/>
    <n v="7696.48"/>
    <x v="7"/>
  </r>
  <r>
    <s v="ORD01106"/>
    <x v="9"/>
    <d v="2024-05-23T00:00:00"/>
    <s v="North"/>
    <s v="India"/>
    <s v="Delhi"/>
    <s v="Ahmedabad"/>
    <x v="254"/>
    <x v="0"/>
    <s v="Electronics"/>
    <s v="Laptop"/>
    <s v="Product_114"/>
    <x v="4"/>
    <x v="0"/>
    <s v="Debit Card"/>
    <s v="Low"/>
    <n v="10"/>
    <n v="44954"/>
    <n v="15"/>
    <n v="382109"/>
    <n v="19206.68"/>
    <x v="4"/>
  </r>
  <r>
    <s v="ORD01107"/>
    <x v="194"/>
    <d v="2023-02-08T00:00:00"/>
    <s v="North"/>
    <s v="India"/>
    <s v="Delhi"/>
    <s v="Mumbai"/>
    <x v="1040"/>
    <x v="1"/>
    <s v="Office Supplies"/>
    <s v="Mobile"/>
    <s v="Product_73"/>
    <x v="5"/>
    <x v="0"/>
    <s v="Cash"/>
    <s v="High"/>
    <n v="1"/>
    <n v="17315"/>
    <n v="20"/>
    <n v="13852"/>
    <n v="386.02"/>
    <x v="5"/>
  </r>
  <r>
    <s v="ORD01108"/>
    <x v="158"/>
    <d v="2022-05-21T00:00:00"/>
    <s v="East"/>
    <s v="India"/>
    <s v="Gujarat"/>
    <s v="Bangalore"/>
    <x v="1041"/>
    <x v="0"/>
    <s v="Electronics"/>
    <s v="Chair"/>
    <s v="Product_1"/>
    <x v="2"/>
    <x v="0"/>
    <s v="Cash"/>
    <s v="Low"/>
    <n v="6"/>
    <n v="1283"/>
    <n v="15"/>
    <n v="6543.3"/>
    <n v="-521.48"/>
    <x v="4"/>
  </r>
  <r>
    <s v="ORD01109"/>
    <x v="488"/>
    <d v="2024-09-07T00:00:00"/>
    <s v="North"/>
    <s v="India"/>
    <s v="Karnataka"/>
    <s v="Bangalore"/>
    <x v="1042"/>
    <x v="1"/>
    <s v="Electronics"/>
    <s v="Chair"/>
    <s v="Product_10"/>
    <x v="1"/>
    <x v="0"/>
    <s v="Debit Card"/>
    <s v="Medium"/>
    <n v="7"/>
    <n v="9419"/>
    <n v="20"/>
    <n v="52746.400000000001"/>
    <n v="2209.6799999999998"/>
    <x v="7"/>
  </r>
  <r>
    <s v="ORD01110"/>
    <x v="473"/>
    <d v="2023-03-07T00:00:00"/>
    <s v="East"/>
    <s v="India"/>
    <s v="Delhi"/>
    <s v="Bangalore"/>
    <x v="1043"/>
    <x v="2"/>
    <s v="Furniture"/>
    <s v="Chair"/>
    <s v="Product_187"/>
    <x v="1"/>
    <x v="0"/>
    <s v="Credit Card"/>
    <s v="Low"/>
    <n v="5"/>
    <n v="40279"/>
    <n v="15"/>
    <n v="171185.75"/>
    <n v="29748.04"/>
    <x v="0"/>
  </r>
  <r>
    <s v="ORD01111"/>
    <x v="492"/>
    <d v="2023-10-28T00:00:00"/>
    <s v="North"/>
    <s v="India"/>
    <s v="Karnataka"/>
    <s v="Bangalore"/>
    <x v="1044"/>
    <x v="1"/>
    <s v="Furniture"/>
    <s v="Storage"/>
    <s v="Product_35"/>
    <x v="4"/>
    <x v="1"/>
    <s v="Credit Card"/>
    <s v="Medium"/>
    <n v="8"/>
    <n v="49959"/>
    <n v="20"/>
    <n v="319737.59999999998"/>
    <n v="-40050.639999999999"/>
    <x v="10"/>
  </r>
  <r>
    <s v="ORD01112"/>
    <x v="16"/>
    <d v="2022-03-11T00:00:00"/>
    <s v="West"/>
    <s v="India"/>
    <s v="Delhi"/>
    <s v="Ahmedabad"/>
    <x v="839"/>
    <x v="0"/>
    <s v="Electronics"/>
    <s v="Chair"/>
    <s v="Product_41"/>
    <x v="5"/>
    <x v="0"/>
    <s v="Debit Card"/>
    <s v="Critical"/>
    <n v="7"/>
    <n v="2875"/>
    <n v="10"/>
    <n v="18112.5"/>
    <n v="-237.95"/>
    <x v="0"/>
  </r>
  <r>
    <s v="ORD01113"/>
    <x v="672"/>
    <d v="2023-02-01T00:00:00"/>
    <s v="West"/>
    <s v="India"/>
    <s v="Tamil Nadu"/>
    <s v="Mumbai"/>
    <x v="1045"/>
    <x v="2"/>
    <s v="Furniture"/>
    <s v="Table"/>
    <s v="Product_128"/>
    <x v="4"/>
    <x v="0"/>
    <s v="Credit Card"/>
    <s v="Medium"/>
    <n v="5"/>
    <n v="46845"/>
    <n v="10"/>
    <n v="210802.5"/>
    <n v="-9215.1299999999992"/>
    <x v="1"/>
  </r>
  <r>
    <s v="ORD01114"/>
    <x v="382"/>
    <d v="2024-06-13T00:00:00"/>
    <s v="East"/>
    <s v="India"/>
    <s v="Tamil Nadu"/>
    <s v="Mumbai"/>
    <x v="201"/>
    <x v="0"/>
    <s v="Electronics"/>
    <s v="Chair"/>
    <s v="Product_22"/>
    <x v="0"/>
    <x v="1"/>
    <s v="Net Banking"/>
    <s v="High"/>
    <n v="8"/>
    <n v="48218"/>
    <n v="10"/>
    <n v="347169.6"/>
    <n v="38386.15"/>
    <x v="2"/>
  </r>
  <r>
    <s v="ORD01115"/>
    <x v="673"/>
    <d v="2024-06-08T00:00:00"/>
    <s v="North"/>
    <s v="India"/>
    <s v="Karnataka"/>
    <s v="Chennai"/>
    <x v="1046"/>
    <x v="1"/>
    <s v="Electronics"/>
    <s v="Storage"/>
    <s v="Product_97"/>
    <x v="5"/>
    <x v="1"/>
    <s v="UPI"/>
    <s v="Medium"/>
    <n v="7"/>
    <n v="1031"/>
    <n v="20"/>
    <n v="5773.6"/>
    <n v="-754.78"/>
    <x v="2"/>
  </r>
  <r>
    <s v="ORD01116"/>
    <x v="674"/>
    <d v="2024-03-18T00:00:00"/>
    <s v="North"/>
    <s v="India"/>
    <s v="Delhi"/>
    <s v="Delhi"/>
    <x v="1047"/>
    <x v="0"/>
    <s v="Office Supplies"/>
    <s v="Table"/>
    <s v="Product_117"/>
    <x v="2"/>
    <x v="1"/>
    <s v="Credit Card"/>
    <s v="High"/>
    <n v="5"/>
    <n v="44038"/>
    <n v="20"/>
    <n v="176152"/>
    <n v="-27747.31"/>
    <x v="0"/>
  </r>
  <r>
    <s v="ORD01117"/>
    <x v="620"/>
    <d v="2022-07-23T00:00:00"/>
    <s v="South"/>
    <s v="India"/>
    <s v="Delhi"/>
    <s v="Ahmedabad"/>
    <x v="1048"/>
    <x v="1"/>
    <s v="Furniture"/>
    <s v="Mobile"/>
    <s v="Product_54"/>
    <x v="3"/>
    <x v="1"/>
    <s v="Net Banking"/>
    <s v="Medium"/>
    <n v="2"/>
    <n v="6248"/>
    <n v="15"/>
    <n v="10621.6"/>
    <n v="741.44"/>
    <x v="11"/>
  </r>
  <r>
    <s v="ORD01118"/>
    <x v="215"/>
    <d v="2023-03-16T00:00:00"/>
    <s v="North"/>
    <s v="India"/>
    <s v="Karnataka"/>
    <s v="Ahmedabad"/>
    <x v="1049"/>
    <x v="2"/>
    <s v="Electronics"/>
    <s v="Storage"/>
    <s v="Product_188"/>
    <x v="4"/>
    <x v="0"/>
    <s v="Debit Card"/>
    <s v="Critical"/>
    <n v="9"/>
    <n v="28960"/>
    <n v="0"/>
    <n v="260640"/>
    <n v="46993.3"/>
    <x v="0"/>
  </r>
  <r>
    <s v="ORD01119"/>
    <x v="675"/>
    <d v="2022-12-16T00:00:00"/>
    <s v="South"/>
    <s v="India"/>
    <s v="Tamil Nadu"/>
    <s v="Mumbai"/>
    <x v="1050"/>
    <x v="1"/>
    <s v="Furniture"/>
    <s v="Printer"/>
    <s v="Product_173"/>
    <x v="2"/>
    <x v="0"/>
    <s v="Cash"/>
    <s v="Medium"/>
    <n v="6"/>
    <n v="10840"/>
    <n v="10"/>
    <n v="58536"/>
    <n v="6500.35"/>
    <x v="9"/>
  </r>
  <r>
    <s v="ORD01120"/>
    <x v="666"/>
    <d v="2024-08-19T00:00:00"/>
    <s v="South"/>
    <s v="India"/>
    <s v="Delhi"/>
    <s v="Ahmedabad"/>
    <x v="1051"/>
    <x v="1"/>
    <s v="Furniture"/>
    <s v="Table"/>
    <s v="Product_98"/>
    <x v="3"/>
    <x v="1"/>
    <s v="Cash"/>
    <s v="Critical"/>
    <n v="7"/>
    <n v="45152"/>
    <n v="5"/>
    <n v="300260.8"/>
    <n v="25330.799999999999"/>
    <x v="8"/>
  </r>
  <r>
    <s v="ORD01121"/>
    <x v="379"/>
    <d v="2022-10-01T00:00:00"/>
    <s v="South"/>
    <s v="India"/>
    <s v="Delhi"/>
    <s v="Ahmedabad"/>
    <x v="1052"/>
    <x v="1"/>
    <s v="Office Supplies"/>
    <s v="Storage"/>
    <s v="Product_34"/>
    <x v="0"/>
    <x v="1"/>
    <s v="Credit Card"/>
    <s v="High"/>
    <n v="2"/>
    <n v="38746"/>
    <n v="5"/>
    <n v="73617.399999999994"/>
    <n v="4990.3599999999997"/>
    <x v="7"/>
  </r>
  <r>
    <s v="ORD01122"/>
    <x v="676"/>
    <d v="2023-10-19T00:00:00"/>
    <s v="North"/>
    <s v="India"/>
    <s v="Tamil Nadu"/>
    <s v="Bangalore"/>
    <x v="1053"/>
    <x v="2"/>
    <s v="Office Supplies"/>
    <s v="Mobile"/>
    <s v="Product_42"/>
    <x v="5"/>
    <x v="1"/>
    <s v="Credit Card"/>
    <s v="Medium"/>
    <n v="8"/>
    <n v="41781"/>
    <n v="15"/>
    <n v="284110.8"/>
    <n v="-16757.86"/>
    <x v="10"/>
  </r>
  <r>
    <s v="ORD01123"/>
    <x v="399"/>
    <d v="2024-05-25T00:00:00"/>
    <s v="South"/>
    <s v="India"/>
    <s v="Tamil Nadu"/>
    <s v="Mumbai"/>
    <x v="1054"/>
    <x v="0"/>
    <s v="Electronics"/>
    <s v="Table"/>
    <s v="Product_153"/>
    <x v="0"/>
    <x v="1"/>
    <s v="UPI"/>
    <s v="Low"/>
    <n v="5"/>
    <n v="36571"/>
    <n v="10"/>
    <n v="164569.5"/>
    <n v="13838.98"/>
    <x v="4"/>
  </r>
  <r>
    <s v="ORD01124"/>
    <x v="412"/>
    <d v="2023-10-14T00:00:00"/>
    <s v="South"/>
    <s v="India"/>
    <s v="Gujarat"/>
    <s v="Chennai"/>
    <x v="870"/>
    <x v="2"/>
    <s v="Office Supplies"/>
    <s v="Mobile"/>
    <s v="Product_42"/>
    <x v="2"/>
    <x v="0"/>
    <s v="Credit Card"/>
    <s v="Low"/>
    <n v="7"/>
    <n v="16945"/>
    <n v="0"/>
    <n v="118615"/>
    <n v="32198.92"/>
    <x v="10"/>
  </r>
  <r>
    <s v="ORD01125"/>
    <x v="595"/>
    <d v="2022-10-09T00:00:00"/>
    <s v="South"/>
    <s v="India"/>
    <s v="Karnataka"/>
    <s v="Delhi"/>
    <x v="1055"/>
    <x v="0"/>
    <s v="Furniture"/>
    <s v="Mobile"/>
    <s v="Product_199"/>
    <x v="5"/>
    <x v="0"/>
    <s v="Debit Card"/>
    <s v="Medium"/>
    <n v="8"/>
    <n v="6545"/>
    <n v="5"/>
    <n v="49742"/>
    <n v="11280.75"/>
    <x v="10"/>
  </r>
  <r>
    <s v="ORD01126"/>
    <x v="255"/>
    <d v="2024-02-13T00:00:00"/>
    <s v="North"/>
    <s v="India"/>
    <s v="Karnataka"/>
    <s v="Bangalore"/>
    <x v="1056"/>
    <x v="2"/>
    <s v="Furniture"/>
    <s v="Chair"/>
    <s v="Product_76"/>
    <x v="5"/>
    <x v="1"/>
    <s v="UPI"/>
    <s v="Critical"/>
    <n v="9"/>
    <n v="23904"/>
    <n v="0"/>
    <n v="215136"/>
    <n v="63971.22"/>
    <x v="5"/>
  </r>
  <r>
    <s v="ORD01127"/>
    <x v="677"/>
    <d v="2024-04-15T00:00:00"/>
    <s v="East"/>
    <s v="India"/>
    <s v="Karnataka"/>
    <s v="Mumbai"/>
    <x v="150"/>
    <x v="1"/>
    <s v="Electronics"/>
    <s v="Mobile"/>
    <s v="Product_63"/>
    <x v="4"/>
    <x v="1"/>
    <s v="Credit Card"/>
    <s v="Low"/>
    <n v="8"/>
    <n v="32990"/>
    <n v="5"/>
    <n v="250724"/>
    <n v="57824"/>
    <x v="6"/>
  </r>
  <r>
    <s v="ORD01128"/>
    <x v="468"/>
    <d v="2024-08-16T00:00:00"/>
    <s v="West"/>
    <s v="India"/>
    <s v="Delhi"/>
    <s v="Mumbai"/>
    <x v="243"/>
    <x v="2"/>
    <s v="Furniture"/>
    <s v="Table"/>
    <s v="Product_2"/>
    <x v="5"/>
    <x v="1"/>
    <s v="Debit Card"/>
    <s v="High"/>
    <n v="9"/>
    <n v="10203"/>
    <n v="20"/>
    <n v="73461.600000000006"/>
    <n v="-5839.38"/>
    <x v="8"/>
  </r>
  <r>
    <s v="ORD01129"/>
    <x v="241"/>
    <d v="2022-09-30T00:00:00"/>
    <s v="North"/>
    <s v="India"/>
    <s v="Delhi"/>
    <s v="Ahmedabad"/>
    <x v="1057"/>
    <x v="1"/>
    <s v="Office Supplies"/>
    <s v="Storage"/>
    <s v="Product_193"/>
    <x v="5"/>
    <x v="1"/>
    <s v="Net Banking"/>
    <s v="High"/>
    <n v="1"/>
    <n v="31929"/>
    <n v="5"/>
    <n v="30332.55"/>
    <n v="4038.79"/>
    <x v="7"/>
  </r>
  <r>
    <s v="ORD01130"/>
    <x v="18"/>
    <d v="2022-05-02T00:00:00"/>
    <s v="South"/>
    <s v="India"/>
    <s v="Maharashtra"/>
    <s v="Chennai"/>
    <x v="1058"/>
    <x v="1"/>
    <s v="Furniture"/>
    <s v="Table"/>
    <s v="Product_151"/>
    <x v="2"/>
    <x v="1"/>
    <s v="Net Banking"/>
    <s v="Critical"/>
    <n v="4"/>
    <n v="12787"/>
    <n v="15"/>
    <n v="43475.8"/>
    <n v="5227.3999999999996"/>
    <x v="4"/>
  </r>
  <r>
    <s v="ORD01131"/>
    <x v="300"/>
    <d v="2023-11-10T00:00:00"/>
    <s v="West"/>
    <s v="India"/>
    <s v="Delhi"/>
    <s v="Bangalore"/>
    <x v="1059"/>
    <x v="1"/>
    <s v="Electronics"/>
    <s v="Chair"/>
    <s v="Product_122"/>
    <x v="5"/>
    <x v="0"/>
    <s v="Net Banking"/>
    <s v="Critical"/>
    <n v="9"/>
    <n v="16818"/>
    <n v="10"/>
    <n v="136225.79999999999"/>
    <n v="-2332.29"/>
    <x v="3"/>
  </r>
  <r>
    <s v="ORD01132"/>
    <x v="384"/>
    <d v="2022-09-08T00:00:00"/>
    <s v="North"/>
    <s v="India"/>
    <s v="Maharashtra"/>
    <s v="Mumbai"/>
    <x v="1060"/>
    <x v="2"/>
    <s v="Office Supplies"/>
    <s v="Laptop"/>
    <s v="Product_167"/>
    <x v="5"/>
    <x v="0"/>
    <s v="Net Banking"/>
    <s v="Low"/>
    <n v="2"/>
    <n v="25497"/>
    <n v="20"/>
    <n v="40795.199999999997"/>
    <n v="4453.83"/>
    <x v="7"/>
  </r>
  <r>
    <s v="ORD01133"/>
    <x v="508"/>
    <d v="2023-07-12T00:00:00"/>
    <s v="South"/>
    <s v="India"/>
    <s v="Gujarat"/>
    <s v="Bangalore"/>
    <x v="1061"/>
    <x v="2"/>
    <s v="Office Supplies"/>
    <s v="Storage"/>
    <s v="Product_172"/>
    <x v="4"/>
    <x v="0"/>
    <s v="Credit Card"/>
    <s v="Critical"/>
    <n v="9"/>
    <n v="41562"/>
    <n v="15"/>
    <n v="317949.3"/>
    <n v="46880.959999999999"/>
    <x v="11"/>
  </r>
  <r>
    <s v="ORD01134"/>
    <x v="305"/>
    <d v="2022-02-13T00:00:00"/>
    <s v="East"/>
    <s v="India"/>
    <s v="Maharashtra"/>
    <s v="Chennai"/>
    <x v="1062"/>
    <x v="1"/>
    <s v="Furniture"/>
    <s v="Storage"/>
    <s v="Product_6"/>
    <x v="1"/>
    <x v="0"/>
    <s v="UPI"/>
    <s v="High"/>
    <n v="1"/>
    <n v="15096"/>
    <n v="10"/>
    <n v="13586.4"/>
    <n v="860.51"/>
    <x v="5"/>
  </r>
  <r>
    <s v="ORD01135"/>
    <x v="489"/>
    <d v="2022-06-05T00:00:00"/>
    <s v="South"/>
    <s v="India"/>
    <s v="Karnataka"/>
    <s v="Chennai"/>
    <x v="1063"/>
    <x v="0"/>
    <s v="Electronics"/>
    <s v="Table"/>
    <s v="Product_137"/>
    <x v="3"/>
    <x v="0"/>
    <s v="Credit Card"/>
    <s v="Low"/>
    <n v="7"/>
    <n v="18409"/>
    <n v="15"/>
    <n v="109533.55"/>
    <n v="11214.35"/>
    <x v="4"/>
  </r>
  <r>
    <s v="ORD01136"/>
    <x v="302"/>
    <d v="2023-08-03T00:00:00"/>
    <s v="East"/>
    <s v="India"/>
    <s v="Gujarat"/>
    <s v="Delhi"/>
    <x v="1064"/>
    <x v="2"/>
    <s v="Office Supplies"/>
    <s v="Mobile"/>
    <s v="Product_34"/>
    <x v="1"/>
    <x v="0"/>
    <s v="UPI"/>
    <s v="Medium"/>
    <n v="9"/>
    <n v="38675"/>
    <n v="0"/>
    <n v="348075"/>
    <n v="91012.13"/>
    <x v="11"/>
  </r>
  <r>
    <s v="ORD01137"/>
    <x v="370"/>
    <d v="2022-09-19T00:00:00"/>
    <s v="South"/>
    <s v="India"/>
    <s v="Delhi"/>
    <s v="Bangalore"/>
    <x v="1065"/>
    <x v="1"/>
    <s v="Furniture"/>
    <s v="Storage"/>
    <s v="Product_168"/>
    <x v="4"/>
    <x v="1"/>
    <s v="Net Banking"/>
    <s v="Critical"/>
    <n v="6"/>
    <n v="14955"/>
    <n v="5"/>
    <n v="85243.5"/>
    <n v="323.87"/>
    <x v="7"/>
  </r>
  <r>
    <s v="ORD01138"/>
    <x v="557"/>
    <d v="2022-03-01T00:00:00"/>
    <s v="North"/>
    <s v="India"/>
    <s v="Karnataka"/>
    <s v="Mumbai"/>
    <x v="998"/>
    <x v="0"/>
    <s v="Furniture"/>
    <s v="Laptop"/>
    <s v="Product_65"/>
    <x v="2"/>
    <x v="1"/>
    <s v="UPI"/>
    <s v="High"/>
    <n v="9"/>
    <n v="23343"/>
    <n v="5"/>
    <n v="199582.65"/>
    <n v="31834.55"/>
    <x v="5"/>
  </r>
  <r>
    <s v="ORD01139"/>
    <x v="100"/>
    <d v="2022-09-15T00:00:00"/>
    <s v="South"/>
    <s v="India"/>
    <s v="Tamil Nadu"/>
    <s v="Mumbai"/>
    <x v="1066"/>
    <x v="0"/>
    <s v="Office Supplies"/>
    <s v="Mobile"/>
    <s v="Product_109"/>
    <x v="1"/>
    <x v="0"/>
    <s v="Cash"/>
    <s v="High"/>
    <n v="8"/>
    <n v="12445"/>
    <n v="20"/>
    <n v="79648"/>
    <n v="-9823.93"/>
    <x v="7"/>
  </r>
  <r>
    <s v="ORD01140"/>
    <x v="588"/>
    <d v="2023-09-07T00:00:00"/>
    <s v="East"/>
    <s v="India"/>
    <s v="Maharashtra"/>
    <s v="Bangalore"/>
    <x v="1067"/>
    <x v="2"/>
    <s v="Electronics"/>
    <s v="Storage"/>
    <s v="Product_17"/>
    <x v="4"/>
    <x v="1"/>
    <s v="Debit Card"/>
    <s v="Medium"/>
    <n v="10"/>
    <n v="11012"/>
    <n v="0"/>
    <n v="110120"/>
    <n v="20900.79"/>
    <x v="8"/>
  </r>
  <r>
    <s v="ORD01141"/>
    <x v="678"/>
    <d v="2023-10-15T00:00:00"/>
    <s v="South"/>
    <s v="India"/>
    <s v="Tamil Nadu"/>
    <s v="Bangalore"/>
    <x v="1068"/>
    <x v="0"/>
    <s v="Furniture"/>
    <s v="Table"/>
    <s v="Product_130"/>
    <x v="4"/>
    <x v="0"/>
    <s v="Net Banking"/>
    <s v="High"/>
    <n v="8"/>
    <n v="25769"/>
    <n v="5"/>
    <n v="195844.4"/>
    <n v="49621.45"/>
    <x v="10"/>
  </r>
  <r>
    <s v="ORD01142"/>
    <x v="469"/>
    <d v="2022-07-04T00:00:00"/>
    <s v="East"/>
    <s v="India"/>
    <s v="Delhi"/>
    <s v="Delhi"/>
    <x v="1069"/>
    <x v="1"/>
    <s v="Office Supplies"/>
    <s v="Printer"/>
    <s v="Product_127"/>
    <x v="4"/>
    <x v="0"/>
    <s v="Net Banking"/>
    <s v="High"/>
    <n v="9"/>
    <n v="9406"/>
    <n v="15"/>
    <n v="71955.899999999994"/>
    <n v="3633.89"/>
    <x v="2"/>
  </r>
  <r>
    <s v="ORD01143"/>
    <x v="154"/>
    <d v="2022-05-24T00:00:00"/>
    <s v="North"/>
    <s v="India"/>
    <s v="Tamil Nadu"/>
    <s v="Bangalore"/>
    <x v="1070"/>
    <x v="0"/>
    <s v="Electronics"/>
    <s v="Laptop"/>
    <s v="Product_84"/>
    <x v="2"/>
    <x v="1"/>
    <s v="Cash"/>
    <s v="Critical"/>
    <n v="6"/>
    <n v="48203"/>
    <n v="20"/>
    <n v="231374.4"/>
    <n v="-28949.85"/>
    <x v="4"/>
  </r>
  <r>
    <s v="ORD01144"/>
    <x v="133"/>
    <d v="2023-09-24T00:00:00"/>
    <s v="East"/>
    <s v="India"/>
    <s v="Gujarat"/>
    <s v="Ahmedabad"/>
    <x v="1071"/>
    <x v="1"/>
    <s v="Furniture"/>
    <s v="Storage"/>
    <s v="Product_9"/>
    <x v="5"/>
    <x v="0"/>
    <s v="Cash"/>
    <s v="Low"/>
    <n v="7"/>
    <n v="27516"/>
    <n v="15"/>
    <n v="163720.20000000001"/>
    <n v="-465.34"/>
    <x v="7"/>
  </r>
  <r>
    <s v="ORD01145"/>
    <x v="429"/>
    <d v="2022-05-26T00:00:00"/>
    <s v="South"/>
    <s v="India"/>
    <s v="Gujarat"/>
    <s v="Mumbai"/>
    <x v="1072"/>
    <x v="2"/>
    <s v="Furniture"/>
    <s v="Mobile"/>
    <s v="Product_57"/>
    <x v="1"/>
    <x v="1"/>
    <s v="UPI"/>
    <s v="Critical"/>
    <n v="8"/>
    <n v="12037"/>
    <n v="10"/>
    <n v="86666.4"/>
    <n v="11642.86"/>
    <x v="4"/>
  </r>
  <r>
    <s v="ORD01146"/>
    <x v="116"/>
    <d v="2023-10-07T00:00:00"/>
    <s v="West"/>
    <s v="India"/>
    <s v="Karnataka"/>
    <s v="Bangalore"/>
    <x v="1073"/>
    <x v="1"/>
    <s v="Office Supplies"/>
    <s v="Laptop"/>
    <s v="Product_48"/>
    <x v="1"/>
    <x v="1"/>
    <s v="UPI"/>
    <s v="Critical"/>
    <n v="9"/>
    <n v="31107"/>
    <n v="10"/>
    <n v="251966.7"/>
    <n v="7215.42"/>
    <x v="7"/>
  </r>
  <r>
    <s v="ORD01147"/>
    <x v="460"/>
    <d v="2023-05-08T00:00:00"/>
    <s v="East"/>
    <s v="India"/>
    <s v="Delhi"/>
    <s v="Bangalore"/>
    <x v="1074"/>
    <x v="0"/>
    <s v="Electronics"/>
    <s v="Mobile"/>
    <s v="Product_127"/>
    <x v="1"/>
    <x v="1"/>
    <s v="Net Banking"/>
    <s v="Medium"/>
    <n v="3"/>
    <n v="2196"/>
    <n v="15"/>
    <n v="5599.8"/>
    <n v="400.33"/>
    <x v="6"/>
  </r>
  <r>
    <s v="ORD01148"/>
    <x v="624"/>
    <d v="2023-06-30T00:00:00"/>
    <s v="East"/>
    <s v="India"/>
    <s v="Tamil Nadu"/>
    <s v="Mumbai"/>
    <x v="1075"/>
    <x v="2"/>
    <s v="Furniture"/>
    <s v="Printer"/>
    <s v="Product_174"/>
    <x v="3"/>
    <x v="1"/>
    <s v="Net Banking"/>
    <s v="Medium"/>
    <n v="3"/>
    <n v="39789"/>
    <n v="20"/>
    <n v="95493.6"/>
    <n v="-4028.96"/>
    <x v="2"/>
  </r>
  <r>
    <s v="ORD01149"/>
    <x v="430"/>
    <d v="2022-02-05T00:00:00"/>
    <s v="South"/>
    <s v="India"/>
    <s v="Delhi"/>
    <s v="Ahmedabad"/>
    <x v="1076"/>
    <x v="2"/>
    <s v="Furniture"/>
    <s v="Laptop"/>
    <s v="Product_136"/>
    <x v="2"/>
    <x v="1"/>
    <s v="UPI"/>
    <s v="Medium"/>
    <n v="2"/>
    <n v="32159"/>
    <n v="15"/>
    <n v="54670.3"/>
    <n v="5067.12"/>
    <x v="5"/>
  </r>
  <r>
    <s v="ORD01150"/>
    <x v="679"/>
    <d v="2024-04-03T00:00:00"/>
    <s v="East"/>
    <s v="India"/>
    <s v="Tamil Nadu"/>
    <s v="Bangalore"/>
    <x v="1077"/>
    <x v="0"/>
    <s v="Electronics"/>
    <s v="Table"/>
    <s v="Product_44"/>
    <x v="4"/>
    <x v="1"/>
    <s v="Cash"/>
    <s v="Medium"/>
    <n v="1"/>
    <n v="32058"/>
    <n v="20"/>
    <n v="25646.400000000001"/>
    <n v="2302.73"/>
    <x v="0"/>
  </r>
  <r>
    <s v="ORD01151"/>
    <x v="680"/>
    <d v="2022-12-25T00:00:00"/>
    <s v="North"/>
    <s v="India"/>
    <s v="Maharashtra"/>
    <s v="Chennai"/>
    <x v="1078"/>
    <x v="0"/>
    <s v="Office Supplies"/>
    <s v="Laptop"/>
    <s v="Product_109"/>
    <x v="3"/>
    <x v="1"/>
    <s v="Cash"/>
    <s v="High"/>
    <n v="5"/>
    <n v="47429"/>
    <n v="0"/>
    <n v="237145"/>
    <n v="30687.07"/>
    <x v="9"/>
  </r>
  <r>
    <s v="ORD01152"/>
    <x v="681"/>
    <d v="2022-07-23T00:00:00"/>
    <s v="West"/>
    <s v="India"/>
    <s v="Maharashtra"/>
    <s v="Chennai"/>
    <x v="433"/>
    <x v="1"/>
    <s v="Furniture"/>
    <s v="Chair"/>
    <s v="Product_142"/>
    <x v="1"/>
    <x v="1"/>
    <s v="Debit Card"/>
    <s v="Critical"/>
    <n v="7"/>
    <n v="27311"/>
    <n v="10"/>
    <n v="172059.3"/>
    <n v="33678.980000000003"/>
    <x v="11"/>
  </r>
  <r>
    <s v="ORD01153"/>
    <x v="588"/>
    <d v="2023-09-09T00:00:00"/>
    <s v="South"/>
    <s v="India"/>
    <s v="Maharashtra"/>
    <s v="Bangalore"/>
    <x v="1079"/>
    <x v="0"/>
    <s v="Electronics"/>
    <s v="Printer"/>
    <s v="Product_83"/>
    <x v="2"/>
    <x v="1"/>
    <s v="Credit Card"/>
    <s v="Low"/>
    <n v="8"/>
    <n v="43798"/>
    <n v="5"/>
    <n v="332864.8"/>
    <n v="41787.25"/>
    <x v="8"/>
  </r>
  <r>
    <s v="ORD01154"/>
    <x v="526"/>
    <d v="2022-01-10T00:00:00"/>
    <s v="South"/>
    <s v="India"/>
    <s v="Maharashtra"/>
    <s v="Chennai"/>
    <x v="1080"/>
    <x v="1"/>
    <s v="Office Supplies"/>
    <s v="Chair"/>
    <s v="Product_57"/>
    <x v="5"/>
    <x v="1"/>
    <s v="Credit Card"/>
    <s v="Low"/>
    <n v="1"/>
    <n v="22753"/>
    <n v="5"/>
    <n v="21615.35"/>
    <n v="1242.7"/>
    <x v="1"/>
  </r>
  <r>
    <s v="ORD01155"/>
    <x v="682"/>
    <d v="2023-09-21T00:00:00"/>
    <s v="West"/>
    <s v="India"/>
    <s v="Karnataka"/>
    <s v="Delhi"/>
    <x v="633"/>
    <x v="0"/>
    <s v="Electronics"/>
    <s v="Printer"/>
    <s v="Product_189"/>
    <x v="5"/>
    <x v="1"/>
    <s v="UPI"/>
    <s v="Medium"/>
    <n v="1"/>
    <n v="48897"/>
    <n v="5"/>
    <n v="46452.15"/>
    <n v="1315.5"/>
    <x v="7"/>
  </r>
  <r>
    <s v="ORD01156"/>
    <x v="683"/>
    <d v="2023-02-24T00:00:00"/>
    <s v="South"/>
    <s v="India"/>
    <s v="Tamil Nadu"/>
    <s v="Mumbai"/>
    <x v="1081"/>
    <x v="0"/>
    <s v="Electronics"/>
    <s v="Chair"/>
    <s v="Product_46"/>
    <x v="3"/>
    <x v="1"/>
    <s v="Net Banking"/>
    <s v="Low"/>
    <n v="3"/>
    <n v="31070"/>
    <n v="5"/>
    <n v="88549.5"/>
    <n v="18881.41"/>
    <x v="5"/>
  </r>
  <r>
    <s v="ORD01157"/>
    <x v="331"/>
    <d v="2022-06-13T00:00:00"/>
    <s v="South"/>
    <s v="India"/>
    <s v="Tamil Nadu"/>
    <s v="Mumbai"/>
    <x v="1082"/>
    <x v="1"/>
    <s v="Electronics"/>
    <s v="Table"/>
    <s v="Product_113"/>
    <x v="5"/>
    <x v="0"/>
    <s v="Debit Card"/>
    <s v="Medium"/>
    <n v="2"/>
    <n v="18052"/>
    <n v="10"/>
    <n v="32493.599999999999"/>
    <n v="5393.65"/>
    <x v="2"/>
  </r>
  <r>
    <s v="ORD01158"/>
    <x v="684"/>
    <d v="2022-04-02T00:00:00"/>
    <s v="East"/>
    <s v="India"/>
    <s v="Gujarat"/>
    <s v="Ahmedabad"/>
    <x v="1083"/>
    <x v="0"/>
    <s v="Office Supplies"/>
    <s v="Printer"/>
    <s v="Product_37"/>
    <x v="1"/>
    <x v="1"/>
    <s v="UPI"/>
    <s v="Low"/>
    <n v="10"/>
    <n v="16662"/>
    <n v="0"/>
    <n v="166620"/>
    <n v="31911.86"/>
    <x v="6"/>
  </r>
  <r>
    <s v="ORD01159"/>
    <x v="406"/>
    <d v="2022-02-02T00:00:00"/>
    <s v="North"/>
    <s v="India"/>
    <s v="Tamil Nadu"/>
    <s v="Delhi"/>
    <x v="1084"/>
    <x v="0"/>
    <s v="Electronics"/>
    <s v="Storage"/>
    <s v="Product_144"/>
    <x v="2"/>
    <x v="1"/>
    <s v="Cash"/>
    <s v="High"/>
    <n v="5"/>
    <n v="37242"/>
    <n v="0"/>
    <n v="186210"/>
    <n v="25726.46"/>
    <x v="1"/>
  </r>
  <r>
    <s v="ORD01160"/>
    <x v="685"/>
    <d v="2023-08-22T00:00:00"/>
    <s v="East"/>
    <s v="India"/>
    <s v="Tamil Nadu"/>
    <s v="Bangalore"/>
    <x v="1085"/>
    <x v="1"/>
    <s v="Furniture"/>
    <s v="Printer"/>
    <s v="Product_102"/>
    <x v="2"/>
    <x v="1"/>
    <s v="Debit Card"/>
    <s v="Critical"/>
    <n v="3"/>
    <n v="43512"/>
    <n v="0"/>
    <n v="130536"/>
    <n v="21259.73"/>
    <x v="8"/>
  </r>
  <r>
    <s v="ORD01161"/>
    <x v="564"/>
    <d v="2023-01-29T00:00:00"/>
    <s v="South"/>
    <s v="India"/>
    <s v="Gujarat"/>
    <s v="Ahmedabad"/>
    <x v="1086"/>
    <x v="2"/>
    <s v="Furniture"/>
    <s v="Chair"/>
    <s v="Product_197"/>
    <x v="2"/>
    <x v="0"/>
    <s v="UPI"/>
    <s v="High"/>
    <n v="8"/>
    <n v="16916"/>
    <n v="5"/>
    <n v="128561.60000000001"/>
    <n v="20180.93"/>
    <x v="1"/>
  </r>
  <r>
    <s v="ORD01162"/>
    <x v="353"/>
    <d v="2022-12-06T00:00:00"/>
    <s v="North"/>
    <s v="India"/>
    <s v="Maharashtra"/>
    <s v="Delhi"/>
    <x v="1087"/>
    <x v="0"/>
    <s v="Office Supplies"/>
    <s v="Table"/>
    <s v="Product_44"/>
    <x v="1"/>
    <x v="0"/>
    <s v="Net Banking"/>
    <s v="High"/>
    <n v="4"/>
    <n v="11950"/>
    <n v="5"/>
    <n v="45410"/>
    <n v="1997.93"/>
    <x v="9"/>
  </r>
  <r>
    <s v="ORD01163"/>
    <x v="686"/>
    <d v="2024-07-14T00:00:00"/>
    <s v="North"/>
    <s v="India"/>
    <s v="Gujarat"/>
    <s v="Chennai"/>
    <x v="1088"/>
    <x v="0"/>
    <s v="Furniture"/>
    <s v="Chair"/>
    <s v="Product_169"/>
    <x v="4"/>
    <x v="1"/>
    <s v="Debit Card"/>
    <s v="High"/>
    <n v="8"/>
    <n v="23064"/>
    <n v="20"/>
    <n v="147609.60000000001"/>
    <n v="-14855.84"/>
    <x v="11"/>
  </r>
  <r>
    <s v="ORD01164"/>
    <x v="266"/>
    <d v="2022-08-12T00:00:00"/>
    <s v="East"/>
    <s v="India"/>
    <s v="Karnataka"/>
    <s v="Delhi"/>
    <x v="1089"/>
    <x v="2"/>
    <s v="Furniture"/>
    <s v="Laptop"/>
    <s v="Product_133"/>
    <x v="3"/>
    <x v="1"/>
    <s v="Net Banking"/>
    <s v="High"/>
    <n v="10"/>
    <n v="33749"/>
    <n v="5"/>
    <n v="320615.5"/>
    <n v="16247.1"/>
    <x v="8"/>
  </r>
  <r>
    <s v="ORD01165"/>
    <x v="531"/>
    <d v="2024-02-24T00:00:00"/>
    <s v="South"/>
    <s v="India"/>
    <s v="Maharashtra"/>
    <s v="Chennai"/>
    <x v="1090"/>
    <x v="1"/>
    <s v="Furniture"/>
    <s v="Chair"/>
    <s v="Product_172"/>
    <x v="3"/>
    <x v="0"/>
    <s v="Cash"/>
    <s v="Medium"/>
    <n v="4"/>
    <n v="20732"/>
    <n v="20"/>
    <n v="66342.399999999994"/>
    <n v="-7582.97"/>
    <x v="5"/>
  </r>
  <r>
    <s v="ORD01166"/>
    <x v="687"/>
    <d v="2022-09-25T00:00:00"/>
    <s v="East"/>
    <s v="India"/>
    <s v="Delhi"/>
    <s v="Delhi"/>
    <x v="1091"/>
    <x v="2"/>
    <s v="Office Supplies"/>
    <s v="Chair"/>
    <s v="Product_107"/>
    <x v="3"/>
    <x v="0"/>
    <s v="Net Banking"/>
    <s v="High"/>
    <n v="8"/>
    <n v="16233"/>
    <n v="5"/>
    <n v="123370.8"/>
    <n v="10598.09"/>
    <x v="7"/>
  </r>
  <r>
    <s v="ORD01167"/>
    <x v="287"/>
    <d v="2023-09-16T00:00:00"/>
    <s v="North"/>
    <s v="India"/>
    <s v="Gujarat"/>
    <s v="Mumbai"/>
    <x v="1092"/>
    <x v="0"/>
    <s v="Office Supplies"/>
    <s v="Mobile"/>
    <s v="Product_25"/>
    <x v="3"/>
    <x v="1"/>
    <s v="Debit Card"/>
    <s v="Low"/>
    <n v="8"/>
    <n v="48675"/>
    <n v="0"/>
    <n v="389400"/>
    <n v="96326.45"/>
    <x v="7"/>
  </r>
  <r>
    <s v="ORD01168"/>
    <x v="179"/>
    <d v="2024-01-17T00:00:00"/>
    <s v="North"/>
    <s v="India"/>
    <s v="Karnataka"/>
    <s v="Ahmedabad"/>
    <x v="1093"/>
    <x v="0"/>
    <s v="Electronics"/>
    <s v="Printer"/>
    <s v="Product_48"/>
    <x v="0"/>
    <x v="0"/>
    <s v="Credit Card"/>
    <s v="High"/>
    <n v="5"/>
    <n v="19210"/>
    <n v="15"/>
    <n v="81642.5"/>
    <n v="-2749.53"/>
    <x v="1"/>
  </r>
  <r>
    <s v="ORD01169"/>
    <x v="164"/>
    <d v="2022-04-26T00:00:00"/>
    <s v="West"/>
    <s v="India"/>
    <s v="Tamil Nadu"/>
    <s v="Chennai"/>
    <x v="1094"/>
    <x v="1"/>
    <s v="Office Supplies"/>
    <s v="Printer"/>
    <s v="Product_56"/>
    <x v="0"/>
    <x v="0"/>
    <s v="Credit Card"/>
    <s v="Critical"/>
    <n v="8"/>
    <n v="1479"/>
    <n v="15"/>
    <n v="10057.200000000001"/>
    <n v="966.82"/>
    <x v="6"/>
  </r>
  <r>
    <s v="ORD01170"/>
    <x v="688"/>
    <d v="2023-06-24T00:00:00"/>
    <s v="North"/>
    <s v="India"/>
    <s v="Karnataka"/>
    <s v="Bangalore"/>
    <x v="1095"/>
    <x v="1"/>
    <s v="Electronics"/>
    <s v="Mobile"/>
    <s v="Product_90"/>
    <x v="5"/>
    <x v="0"/>
    <s v="Credit Card"/>
    <s v="Medium"/>
    <n v="6"/>
    <n v="39663"/>
    <n v="10"/>
    <n v="214180.2"/>
    <n v="35187.07"/>
    <x v="2"/>
  </r>
  <r>
    <s v="ORD01171"/>
    <x v="689"/>
    <d v="2024-04-07T00:00:00"/>
    <s v="South"/>
    <s v="India"/>
    <s v="Karnataka"/>
    <s v="Delhi"/>
    <x v="1096"/>
    <x v="0"/>
    <s v="Electronics"/>
    <s v="Laptop"/>
    <s v="Product_57"/>
    <x v="5"/>
    <x v="1"/>
    <s v="Cash"/>
    <s v="High"/>
    <n v="1"/>
    <n v="26779"/>
    <n v="10"/>
    <n v="24101.1"/>
    <n v="3842.88"/>
    <x v="6"/>
  </r>
  <r>
    <s v="ORD01172"/>
    <x v="91"/>
    <d v="2022-04-02T00:00:00"/>
    <s v="West"/>
    <s v="India"/>
    <s v="Gujarat"/>
    <s v="Ahmedabad"/>
    <x v="1097"/>
    <x v="1"/>
    <s v="Furniture"/>
    <s v="Laptop"/>
    <s v="Product_94"/>
    <x v="5"/>
    <x v="1"/>
    <s v="Credit Card"/>
    <s v="Medium"/>
    <n v="4"/>
    <n v="14684"/>
    <n v="15"/>
    <n v="49925.599999999999"/>
    <n v="-1493.69"/>
    <x v="0"/>
  </r>
  <r>
    <s v="ORD01173"/>
    <x v="280"/>
    <d v="2024-09-13T00:00:00"/>
    <s v="South"/>
    <s v="India"/>
    <s v="Maharashtra"/>
    <s v="Delhi"/>
    <x v="1098"/>
    <x v="1"/>
    <s v="Office Supplies"/>
    <s v="Storage"/>
    <s v="Product_121"/>
    <x v="4"/>
    <x v="1"/>
    <s v="Cash"/>
    <s v="Low"/>
    <n v="5"/>
    <n v="37447"/>
    <n v="5"/>
    <n v="177873.25"/>
    <n v="38853.800000000003"/>
    <x v="7"/>
  </r>
  <r>
    <s v="ORD01174"/>
    <x v="690"/>
    <d v="2023-07-27T00:00:00"/>
    <s v="South"/>
    <s v="India"/>
    <s v="Karnataka"/>
    <s v="Mumbai"/>
    <x v="1099"/>
    <x v="0"/>
    <s v="Electronics"/>
    <s v="Storage"/>
    <s v="Product_18"/>
    <x v="2"/>
    <x v="1"/>
    <s v="UPI"/>
    <s v="Critical"/>
    <n v="5"/>
    <n v="45314"/>
    <n v="10"/>
    <n v="203913"/>
    <n v="-4757.67"/>
    <x v="11"/>
  </r>
  <r>
    <s v="ORD01175"/>
    <x v="630"/>
    <d v="2024-04-03T00:00:00"/>
    <s v="East"/>
    <s v="India"/>
    <s v="Tamil Nadu"/>
    <s v="Ahmedabad"/>
    <x v="1100"/>
    <x v="0"/>
    <s v="Electronics"/>
    <s v="Chair"/>
    <s v="Product_66"/>
    <x v="4"/>
    <x v="1"/>
    <s v="Credit Card"/>
    <s v="Low"/>
    <n v="2"/>
    <n v="21122"/>
    <n v="20"/>
    <n v="33795.199999999997"/>
    <n v="-1171.3499999999999"/>
    <x v="0"/>
  </r>
  <r>
    <s v="ORD01176"/>
    <x v="310"/>
    <d v="2024-09-15T00:00:00"/>
    <s v="West"/>
    <s v="India"/>
    <s v="Tamil Nadu"/>
    <s v="Ahmedabad"/>
    <x v="1101"/>
    <x v="0"/>
    <s v="Electronics"/>
    <s v="Mobile"/>
    <s v="Product_97"/>
    <x v="4"/>
    <x v="0"/>
    <s v="UPI"/>
    <s v="Critical"/>
    <n v="10"/>
    <n v="4559"/>
    <n v="10"/>
    <n v="41031"/>
    <n v="8835.19"/>
    <x v="7"/>
  </r>
  <r>
    <s v="ORD01177"/>
    <x v="691"/>
    <d v="2023-02-16T00:00:00"/>
    <s v="South"/>
    <s v="India"/>
    <s v="Tamil Nadu"/>
    <s v="Bangalore"/>
    <x v="1102"/>
    <x v="0"/>
    <s v="Office Supplies"/>
    <s v="Table"/>
    <s v="Product_123"/>
    <x v="2"/>
    <x v="1"/>
    <s v="Credit Card"/>
    <s v="Low"/>
    <n v="6"/>
    <n v="27559"/>
    <n v="15"/>
    <n v="140550.9"/>
    <n v="-16087.84"/>
    <x v="5"/>
  </r>
  <r>
    <s v="ORD01178"/>
    <x v="542"/>
    <d v="2023-11-05T00:00:00"/>
    <s v="East"/>
    <s v="India"/>
    <s v="Tamil Nadu"/>
    <s v="Bangalore"/>
    <x v="1103"/>
    <x v="2"/>
    <s v="Office Supplies"/>
    <s v="Storage"/>
    <s v="Product_8"/>
    <x v="5"/>
    <x v="0"/>
    <s v="UPI"/>
    <s v="Low"/>
    <n v="6"/>
    <n v="43987"/>
    <n v="20"/>
    <n v="211137.6"/>
    <n v="-16341.51"/>
    <x v="3"/>
  </r>
  <r>
    <s v="ORD01179"/>
    <x v="692"/>
    <d v="2022-01-11T00:00:00"/>
    <s v="East"/>
    <s v="India"/>
    <s v="Tamil Nadu"/>
    <s v="Delhi"/>
    <x v="1104"/>
    <x v="0"/>
    <s v="Furniture"/>
    <s v="Storage"/>
    <s v="Product_168"/>
    <x v="4"/>
    <x v="1"/>
    <s v="Cash"/>
    <s v="Low"/>
    <n v="8"/>
    <n v="7304"/>
    <n v="0"/>
    <n v="58432"/>
    <n v="4683.43"/>
    <x v="1"/>
  </r>
  <r>
    <s v="ORD01180"/>
    <x v="1"/>
    <d v="2024-03-09T00:00:00"/>
    <s v="East"/>
    <s v="India"/>
    <s v="Delhi"/>
    <s v="Delhi"/>
    <x v="1105"/>
    <x v="1"/>
    <s v="Electronics"/>
    <s v="Mobile"/>
    <s v="Product_56"/>
    <x v="2"/>
    <x v="1"/>
    <s v="Net Banking"/>
    <s v="Medium"/>
    <n v="3"/>
    <n v="20398"/>
    <n v="20"/>
    <n v="48955.199999999997"/>
    <n v="-3777.29"/>
    <x v="0"/>
  </r>
  <r>
    <s v="ORD01181"/>
    <x v="693"/>
    <d v="2023-05-15T00:00:00"/>
    <s v="West"/>
    <s v="India"/>
    <s v="Delhi"/>
    <s v="Bangalore"/>
    <x v="1106"/>
    <x v="2"/>
    <s v="Furniture"/>
    <s v="Table"/>
    <s v="Product_5"/>
    <x v="0"/>
    <x v="1"/>
    <s v="Net Banking"/>
    <s v="Medium"/>
    <n v="6"/>
    <n v="5245"/>
    <n v="0"/>
    <n v="31470"/>
    <n v="1821.75"/>
    <x v="4"/>
  </r>
  <r>
    <s v="ORD01182"/>
    <x v="694"/>
    <d v="2023-02-06T00:00:00"/>
    <s v="West"/>
    <s v="India"/>
    <s v="Gujarat"/>
    <s v="Delhi"/>
    <x v="1107"/>
    <x v="2"/>
    <s v="Office Supplies"/>
    <s v="Table"/>
    <s v="Product_36"/>
    <x v="5"/>
    <x v="1"/>
    <s v="Credit Card"/>
    <s v="Low"/>
    <n v="6"/>
    <n v="37512"/>
    <n v="20"/>
    <n v="180057.60000000001"/>
    <n v="-33727.769999999997"/>
    <x v="1"/>
  </r>
  <r>
    <s v="ORD01183"/>
    <x v="131"/>
    <d v="2023-04-01T00:00:00"/>
    <s v="West"/>
    <s v="India"/>
    <s v="Tamil Nadu"/>
    <s v="Ahmedabad"/>
    <x v="1108"/>
    <x v="1"/>
    <s v="Furniture"/>
    <s v="Printer"/>
    <s v="Product_189"/>
    <x v="1"/>
    <x v="1"/>
    <s v="UPI"/>
    <s v="Medium"/>
    <n v="3"/>
    <n v="12982"/>
    <n v="15"/>
    <n v="33104.1"/>
    <n v="3741.25"/>
    <x v="0"/>
  </r>
  <r>
    <s v="ORD01184"/>
    <x v="138"/>
    <d v="2023-10-24T00:00:00"/>
    <s v="East"/>
    <s v="India"/>
    <s v="Karnataka"/>
    <s v="Ahmedabad"/>
    <x v="1109"/>
    <x v="1"/>
    <s v="Furniture"/>
    <s v="Printer"/>
    <s v="Product_133"/>
    <x v="4"/>
    <x v="1"/>
    <s v="Cash"/>
    <s v="High"/>
    <n v="10"/>
    <n v="41351"/>
    <n v="10"/>
    <n v="372159"/>
    <n v="67278.38"/>
    <x v="10"/>
  </r>
  <r>
    <s v="ORD01185"/>
    <x v="625"/>
    <d v="2023-01-20T00:00:00"/>
    <s v="East"/>
    <s v="India"/>
    <s v="Maharashtra"/>
    <s v="Ahmedabad"/>
    <x v="1110"/>
    <x v="1"/>
    <s v="Electronics"/>
    <s v="Storage"/>
    <s v="Product_165"/>
    <x v="5"/>
    <x v="1"/>
    <s v="Debit Card"/>
    <s v="Medium"/>
    <n v="2"/>
    <n v="5595"/>
    <n v="0"/>
    <n v="11190"/>
    <n v="776.1"/>
    <x v="1"/>
  </r>
  <r>
    <s v="ORD01186"/>
    <x v="695"/>
    <d v="2022-11-03T00:00:00"/>
    <s v="South"/>
    <s v="India"/>
    <s v="Karnataka"/>
    <s v="Delhi"/>
    <x v="1111"/>
    <x v="1"/>
    <s v="Furniture"/>
    <s v="Printer"/>
    <s v="Product_13"/>
    <x v="3"/>
    <x v="0"/>
    <s v="Debit Card"/>
    <s v="Critical"/>
    <n v="10"/>
    <n v="31145"/>
    <n v="10"/>
    <n v="280305"/>
    <n v="30244.04"/>
    <x v="10"/>
  </r>
  <r>
    <s v="ORD01187"/>
    <x v="696"/>
    <d v="2022-02-03T00:00:00"/>
    <s v="East"/>
    <s v="India"/>
    <s v="Maharashtra"/>
    <s v="Ahmedabad"/>
    <x v="1112"/>
    <x v="1"/>
    <s v="Electronics"/>
    <s v="Table"/>
    <s v="Product_157"/>
    <x v="5"/>
    <x v="1"/>
    <s v="Net Banking"/>
    <s v="High"/>
    <n v="2"/>
    <n v="29160"/>
    <n v="5"/>
    <n v="55404"/>
    <n v="7793.34"/>
    <x v="5"/>
  </r>
  <r>
    <s v="ORD01188"/>
    <x v="10"/>
    <d v="2022-06-04T00:00:00"/>
    <s v="West"/>
    <s v="India"/>
    <s v="Gujarat"/>
    <s v="Delhi"/>
    <x v="1113"/>
    <x v="1"/>
    <s v="Electronics"/>
    <s v="Laptop"/>
    <s v="Product_57"/>
    <x v="1"/>
    <x v="1"/>
    <s v="Cash"/>
    <s v="High"/>
    <n v="8"/>
    <n v="38855"/>
    <n v="10"/>
    <n v="279756"/>
    <n v="30356.19"/>
    <x v="4"/>
  </r>
  <r>
    <s v="ORD01189"/>
    <x v="455"/>
    <d v="2024-07-28T00:00:00"/>
    <s v="North"/>
    <s v="India"/>
    <s v="Maharashtra"/>
    <s v="Mumbai"/>
    <x v="1114"/>
    <x v="2"/>
    <s v="Furniture"/>
    <s v="Printer"/>
    <s v="Product_196"/>
    <x v="3"/>
    <x v="0"/>
    <s v="Credit Card"/>
    <s v="Critical"/>
    <n v="2"/>
    <n v="32451"/>
    <n v="15"/>
    <n v="55166.7"/>
    <n v="-2384.46"/>
    <x v="11"/>
  </r>
  <r>
    <s v="ORD01190"/>
    <x v="158"/>
    <d v="2022-05-23T00:00:00"/>
    <s v="West"/>
    <s v="India"/>
    <s v="Maharashtra"/>
    <s v="Ahmedabad"/>
    <x v="1115"/>
    <x v="2"/>
    <s v="Furniture"/>
    <s v="Chair"/>
    <s v="Product_136"/>
    <x v="2"/>
    <x v="1"/>
    <s v="Cash"/>
    <s v="High"/>
    <n v="9"/>
    <n v="37558"/>
    <n v="0"/>
    <n v="338022"/>
    <n v="33556.44"/>
    <x v="4"/>
  </r>
  <r>
    <s v="ORD01191"/>
    <x v="697"/>
    <d v="2022-12-05T00:00:00"/>
    <s v="North"/>
    <s v="India"/>
    <s v="Delhi"/>
    <s v="Delhi"/>
    <x v="1116"/>
    <x v="1"/>
    <s v="Office Supplies"/>
    <s v="Mobile"/>
    <s v="Product_176"/>
    <x v="0"/>
    <x v="1"/>
    <s v="Net Banking"/>
    <s v="High"/>
    <n v="4"/>
    <n v="27562"/>
    <n v="0"/>
    <n v="110248"/>
    <n v="14677.75"/>
    <x v="3"/>
  </r>
  <r>
    <s v="ORD01192"/>
    <x v="446"/>
    <d v="2022-05-28T00:00:00"/>
    <s v="North"/>
    <s v="India"/>
    <s v="Maharashtra"/>
    <s v="Chennai"/>
    <x v="1117"/>
    <x v="1"/>
    <s v="Electronics"/>
    <s v="Table"/>
    <s v="Product_180"/>
    <x v="0"/>
    <x v="0"/>
    <s v="Credit Card"/>
    <s v="Low"/>
    <n v="10"/>
    <n v="21975"/>
    <n v="5"/>
    <n v="208762.5"/>
    <n v="34176.04"/>
    <x v="4"/>
  </r>
  <r>
    <s v="ORD01193"/>
    <x v="77"/>
    <d v="2023-04-27T00:00:00"/>
    <s v="North"/>
    <s v="India"/>
    <s v="Tamil Nadu"/>
    <s v="Mumbai"/>
    <x v="1118"/>
    <x v="1"/>
    <s v="Electronics"/>
    <s v="Printer"/>
    <s v="Product_172"/>
    <x v="3"/>
    <x v="1"/>
    <s v="UPI"/>
    <s v="Medium"/>
    <n v="10"/>
    <n v="5191"/>
    <n v="0"/>
    <n v="51910"/>
    <n v="4872.8900000000003"/>
    <x v="6"/>
  </r>
  <r>
    <s v="ORD01194"/>
    <x v="387"/>
    <d v="2024-07-21T00:00:00"/>
    <s v="North"/>
    <s v="India"/>
    <s v="Maharashtra"/>
    <s v="Bangalore"/>
    <x v="1119"/>
    <x v="2"/>
    <s v="Office Supplies"/>
    <s v="Chair"/>
    <s v="Product_28"/>
    <x v="3"/>
    <x v="1"/>
    <s v="Credit Card"/>
    <s v="Low"/>
    <n v="9"/>
    <n v="49354"/>
    <n v="10"/>
    <n v="399767.4"/>
    <n v="81093.23"/>
    <x v="11"/>
  </r>
  <r>
    <s v="ORD01195"/>
    <x v="698"/>
    <d v="2024-03-11T00:00:00"/>
    <s v="West"/>
    <s v="India"/>
    <s v="Karnataka"/>
    <s v="Bangalore"/>
    <x v="1120"/>
    <x v="2"/>
    <s v="Electronics"/>
    <s v="Table"/>
    <s v="Product_77"/>
    <x v="0"/>
    <x v="1"/>
    <s v="Net Banking"/>
    <s v="Critical"/>
    <n v="2"/>
    <n v="22721"/>
    <n v="20"/>
    <n v="36353.599999999999"/>
    <n v="-877.28"/>
    <x v="0"/>
  </r>
  <r>
    <s v="ORD01196"/>
    <x v="699"/>
    <d v="2024-01-09T00:00:00"/>
    <s v="West"/>
    <s v="India"/>
    <s v="Gujarat"/>
    <s v="Bangalore"/>
    <x v="1121"/>
    <x v="1"/>
    <s v="Office Supplies"/>
    <s v="Chair"/>
    <s v="Product_192"/>
    <x v="4"/>
    <x v="0"/>
    <s v="Credit Card"/>
    <s v="Low"/>
    <n v="5"/>
    <n v="34106"/>
    <n v="20"/>
    <n v="136424"/>
    <n v="-25312.11"/>
    <x v="9"/>
  </r>
  <r>
    <s v="ORD01197"/>
    <x v="700"/>
    <d v="2023-01-08T00:00:00"/>
    <s v="West"/>
    <s v="India"/>
    <s v="Gujarat"/>
    <s v="Chennai"/>
    <x v="1122"/>
    <x v="2"/>
    <s v="Electronics"/>
    <s v="Printer"/>
    <s v="Product_193"/>
    <x v="1"/>
    <x v="1"/>
    <s v="Cash"/>
    <s v="Critical"/>
    <n v="2"/>
    <n v="32110"/>
    <n v="20"/>
    <n v="51376"/>
    <n v="-5707.57"/>
    <x v="1"/>
  </r>
  <r>
    <s v="ORD01198"/>
    <x v="701"/>
    <d v="2023-11-19T00:00:00"/>
    <s v="South"/>
    <s v="India"/>
    <s v="Maharashtra"/>
    <s v="Ahmedabad"/>
    <x v="1123"/>
    <x v="2"/>
    <s v="Office Supplies"/>
    <s v="Table"/>
    <s v="Product_190"/>
    <x v="2"/>
    <x v="1"/>
    <s v="UPI"/>
    <s v="Critical"/>
    <n v="1"/>
    <n v="866"/>
    <n v="15"/>
    <n v="736.1"/>
    <n v="-30.59"/>
    <x v="3"/>
  </r>
  <r>
    <s v="ORD01199"/>
    <x v="438"/>
    <d v="2022-03-26T00:00:00"/>
    <s v="West"/>
    <s v="India"/>
    <s v="Karnataka"/>
    <s v="Chennai"/>
    <x v="1124"/>
    <x v="1"/>
    <s v="Furniture"/>
    <s v="Storage"/>
    <s v="Product_188"/>
    <x v="0"/>
    <x v="1"/>
    <s v="Credit Card"/>
    <s v="Low"/>
    <n v="4"/>
    <n v="27436"/>
    <n v="20"/>
    <n v="87795.199999999997"/>
    <n v="6540.5"/>
    <x v="0"/>
  </r>
  <r>
    <s v="ORD01200"/>
    <x v="647"/>
    <d v="2023-04-12T00:00:00"/>
    <s v="East"/>
    <s v="India"/>
    <s v="Karnataka"/>
    <s v="Bangalore"/>
    <x v="1125"/>
    <x v="2"/>
    <s v="Furniture"/>
    <s v="Chair"/>
    <s v="Product_110"/>
    <x v="1"/>
    <x v="1"/>
    <s v="Cash"/>
    <s v="Critical"/>
    <n v="2"/>
    <n v="21042"/>
    <n v="0"/>
    <n v="42084"/>
    <n v="11720.95"/>
    <x v="6"/>
  </r>
  <r>
    <s v="ORD01201"/>
    <x v="702"/>
    <d v="2022-03-08T00:00:00"/>
    <s v="North"/>
    <s v="India"/>
    <s v="Delhi"/>
    <s v="Ahmedabad"/>
    <x v="1126"/>
    <x v="0"/>
    <s v="Furniture"/>
    <s v="Chair"/>
    <s v="Product_8"/>
    <x v="1"/>
    <x v="1"/>
    <s v="Credit Card"/>
    <s v="High"/>
    <n v="10"/>
    <n v="44765"/>
    <n v="20"/>
    <n v="358120"/>
    <n v="-58897.56"/>
    <x v="0"/>
  </r>
  <r>
    <s v="ORD01202"/>
    <x v="401"/>
    <d v="2023-04-15T00:00:00"/>
    <s v="North"/>
    <s v="India"/>
    <s v="Gujarat"/>
    <s v="Mumbai"/>
    <x v="1127"/>
    <x v="0"/>
    <s v="Office Supplies"/>
    <s v="Storage"/>
    <s v="Product_60"/>
    <x v="4"/>
    <x v="0"/>
    <s v="Net Banking"/>
    <s v="Critical"/>
    <n v="9"/>
    <n v="28013"/>
    <n v="20"/>
    <n v="201693.6"/>
    <n v="-18058.349999999999"/>
    <x v="6"/>
  </r>
  <r>
    <s v="ORD01203"/>
    <x v="395"/>
    <d v="2023-10-16T00:00:00"/>
    <s v="North"/>
    <s v="India"/>
    <s v="Delhi"/>
    <s v="Bangalore"/>
    <x v="1128"/>
    <x v="1"/>
    <s v="Furniture"/>
    <s v="Printer"/>
    <s v="Product_136"/>
    <x v="1"/>
    <x v="1"/>
    <s v="Net Banking"/>
    <s v="High"/>
    <n v="3"/>
    <n v="16912"/>
    <n v="10"/>
    <n v="45662.400000000001"/>
    <n v="1252.0999999999999"/>
    <x v="10"/>
  </r>
  <r>
    <s v="ORD01204"/>
    <x v="652"/>
    <d v="2023-11-18T00:00:00"/>
    <s v="South"/>
    <s v="India"/>
    <s v="Karnataka"/>
    <s v="Ahmedabad"/>
    <x v="823"/>
    <x v="1"/>
    <s v="Electronics"/>
    <s v="Mobile"/>
    <s v="Product_163"/>
    <x v="0"/>
    <x v="1"/>
    <s v="Debit Card"/>
    <s v="High"/>
    <n v="5"/>
    <n v="25312"/>
    <n v="10"/>
    <n v="113904"/>
    <n v="21095.09"/>
    <x v="3"/>
  </r>
  <r>
    <s v="ORD01205"/>
    <x v="703"/>
    <d v="2023-06-01T00:00:00"/>
    <s v="West"/>
    <s v="India"/>
    <s v="Maharashtra"/>
    <s v="Chennai"/>
    <x v="1129"/>
    <x v="1"/>
    <s v="Furniture"/>
    <s v="Laptop"/>
    <s v="Product_149"/>
    <x v="2"/>
    <x v="1"/>
    <s v="UPI"/>
    <s v="Critical"/>
    <n v="6"/>
    <n v="3451"/>
    <n v="15"/>
    <n v="17600.099999999999"/>
    <n v="1626.16"/>
    <x v="4"/>
  </r>
  <r>
    <s v="ORD01206"/>
    <x v="619"/>
    <d v="2023-05-16T00:00:00"/>
    <s v="South"/>
    <s v="India"/>
    <s v="Delhi"/>
    <s v="Mumbai"/>
    <x v="746"/>
    <x v="2"/>
    <s v="Electronics"/>
    <s v="Mobile"/>
    <s v="Product_99"/>
    <x v="2"/>
    <x v="1"/>
    <s v="Net Banking"/>
    <s v="Low"/>
    <n v="4"/>
    <n v="17966"/>
    <n v="10"/>
    <n v="64677.599999999999"/>
    <n v="13865.31"/>
    <x v="4"/>
  </r>
  <r>
    <s v="ORD01207"/>
    <x v="124"/>
    <d v="2023-08-30T00:00:00"/>
    <s v="North"/>
    <s v="India"/>
    <s v="Gujarat"/>
    <s v="Delhi"/>
    <x v="1130"/>
    <x v="2"/>
    <s v="Furniture"/>
    <s v="Mobile"/>
    <s v="Product_98"/>
    <x v="0"/>
    <x v="0"/>
    <s v="UPI"/>
    <s v="Low"/>
    <n v="6"/>
    <n v="27864"/>
    <n v="15"/>
    <n v="142106.4"/>
    <n v="-224.78"/>
    <x v="8"/>
  </r>
  <r>
    <s v="ORD01208"/>
    <x v="704"/>
    <d v="2022-10-06T00:00:00"/>
    <s v="West"/>
    <s v="India"/>
    <s v="Gujarat"/>
    <s v="Chennai"/>
    <x v="1131"/>
    <x v="0"/>
    <s v="Electronics"/>
    <s v="Chair"/>
    <s v="Product_156"/>
    <x v="1"/>
    <x v="1"/>
    <s v="Cash"/>
    <s v="High"/>
    <n v="4"/>
    <n v="5757"/>
    <n v="20"/>
    <n v="18422.400000000001"/>
    <n v="-285.73"/>
    <x v="7"/>
  </r>
  <r>
    <s v="ORD01209"/>
    <x v="705"/>
    <d v="2024-02-03T00:00:00"/>
    <s v="West"/>
    <s v="India"/>
    <s v="Karnataka"/>
    <s v="Ahmedabad"/>
    <x v="1132"/>
    <x v="2"/>
    <s v="Furniture"/>
    <s v="Storage"/>
    <s v="Product_39"/>
    <x v="1"/>
    <x v="0"/>
    <s v="Cash"/>
    <s v="High"/>
    <n v="2"/>
    <n v="35698"/>
    <n v="0"/>
    <n v="71396"/>
    <n v="4060.46"/>
    <x v="1"/>
  </r>
  <r>
    <s v="ORD01210"/>
    <x v="25"/>
    <d v="2022-04-15T00:00:00"/>
    <s v="West"/>
    <s v="India"/>
    <s v="Tamil Nadu"/>
    <s v="Ahmedabad"/>
    <x v="1133"/>
    <x v="2"/>
    <s v="Furniture"/>
    <s v="Table"/>
    <s v="Product_17"/>
    <x v="1"/>
    <x v="0"/>
    <s v="UPI"/>
    <s v="Low"/>
    <n v="3"/>
    <n v="37250"/>
    <n v="10"/>
    <n v="100575"/>
    <n v="22029.74"/>
    <x v="6"/>
  </r>
  <r>
    <s v="ORD01211"/>
    <x v="304"/>
    <d v="2023-01-20T00:00:00"/>
    <s v="North"/>
    <s v="India"/>
    <s v="Gujarat"/>
    <s v="Ahmedabad"/>
    <x v="1134"/>
    <x v="2"/>
    <s v="Furniture"/>
    <s v="Laptop"/>
    <s v="Product_192"/>
    <x v="5"/>
    <x v="0"/>
    <s v="Net Banking"/>
    <s v="Low"/>
    <n v="1"/>
    <n v="11160"/>
    <n v="5"/>
    <n v="10602"/>
    <n v="1667.82"/>
    <x v="1"/>
  </r>
  <r>
    <s v="ORD01212"/>
    <x v="706"/>
    <d v="2024-08-16T00:00:00"/>
    <s v="South"/>
    <s v="India"/>
    <s v="Delhi"/>
    <s v="Chennai"/>
    <x v="1135"/>
    <x v="1"/>
    <s v="Furniture"/>
    <s v="Chair"/>
    <s v="Product_11"/>
    <x v="3"/>
    <x v="0"/>
    <s v="Debit Card"/>
    <s v="Low"/>
    <n v="4"/>
    <n v="43862"/>
    <n v="0"/>
    <n v="175448"/>
    <n v="32634.83"/>
    <x v="8"/>
  </r>
  <r>
    <s v="ORD01213"/>
    <x v="576"/>
    <d v="2022-12-14T00:00:00"/>
    <s v="East"/>
    <s v="India"/>
    <s v="Delhi"/>
    <s v="Ahmedabad"/>
    <x v="788"/>
    <x v="0"/>
    <s v="Electronics"/>
    <s v="Storage"/>
    <s v="Product_47"/>
    <x v="0"/>
    <x v="1"/>
    <s v="UPI"/>
    <s v="Medium"/>
    <n v="8"/>
    <n v="44971"/>
    <n v="0"/>
    <n v="359768"/>
    <n v="47725.15"/>
    <x v="9"/>
  </r>
  <r>
    <s v="ORD01214"/>
    <x v="707"/>
    <d v="2022-11-07T00:00:00"/>
    <s v="North"/>
    <s v="India"/>
    <s v="Maharashtra"/>
    <s v="Delhi"/>
    <x v="1136"/>
    <x v="2"/>
    <s v="Furniture"/>
    <s v="Mobile"/>
    <s v="Product_165"/>
    <x v="5"/>
    <x v="0"/>
    <s v="UPI"/>
    <s v="Critical"/>
    <n v="1"/>
    <n v="46746"/>
    <n v="20"/>
    <n v="37396.800000000003"/>
    <n v="-1720.56"/>
    <x v="10"/>
  </r>
  <r>
    <s v="ORD01215"/>
    <x v="708"/>
    <d v="2022-04-26T00:00:00"/>
    <s v="East"/>
    <s v="India"/>
    <s v="Gujarat"/>
    <s v="Mumbai"/>
    <x v="1137"/>
    <x v="2"/>
    <s v="Office Supplies"/>
    <s v="Chair"/>
    <s v="Product_182"/>
    <x v="4"/>
    <x v="0"/>
    <s v="UPI"/>
    <s v="Critical"/>
    <n v="10"/>
    <n v="36575"/>
    <n v="0"/>
    <n v="365750"/>
    <n v="43872.54"/>
    <x v="6"/>
  </r>
  <r>
    <s v="ORD01216"/>
    <x v="644"/>
    <d v="2023-01-17T00:00:00"/>
    <s v="East"/>
    <s v="India"/>
    <s v="Maharashtra"/>
    <s v="Delhi"/>
    <x v="1138"/>
    <x v="0"/>
    <s v="Office Supplies"/>
    <s v="Table"/>
    <s v="Product_35"/>
    <x v="0"/>
    <x v="1"/>
    <s v="Credit Card"/>
    <s v="Low"/>
    <n v="7"/>
    <n v="39783"/>
    <n v="0"/>
    <n v="278481"/>
    <n v="54095.360000000001"/>
    <x v="1"/>
  </r>
  <r>
    <s v="ORD01217"/>
    <x v="709"/>
    <d v="2023-09-02T00:00:00"/>
    <s v="West"/>
    <s v="India"/>
    <s v="Maharashtra"/>
    <s v="Delhi"/>
    <x v="1139"/>
    <x v="2"/>
    <s v="Electronics"/>
    <s v="Laptop"/>
    <s v="Product_79"/>
    <x v="4"/>
    <x v="0"/>
    <s v="UPI"/>
    <s v="High"/>
    <n v="8"/>
    <n v="2462"/>
    <n v="10"/>
    <n v="17726.400000000001"/>
    <n v="654.65"/>
    <x v="8"/>
  </r>
  <r>
    <s v="ORD01218"/>
    <x v="710"/>
    <d v="2022-08-06T00:00:00"/>
    <s v="North"/>
    <s v="India"/>
    <s v="Maharashtra"/>
    <s v="Chennai"/>
    <x v="1140"/>
    <x v="0"/>
    <s v="Electronics"/>
    <s v="Printer"/>
    <s v="Product_57"/>
    <x v="3"/>
    <x v="1"/>
    <s v="UPI"/>
    <s v="Medium"/>
    <n v="10"/>
    <n v="36931"/>
    <n v="15"/>
    <n v="313913.5"/>
    <n v="4734.49"/>
    <x v="11"/>
  </r>
  <r>
    <s v="ORD01219"/>
    <x v="711"/>
    <d v="2023-08-12T00:00:00"/>
    <s v="North"/>
    <s v="India"/>
    <s v="Gujarat"/>
    <s v="Ahmedabad"/>
    <x v="1141"/>
    <x v="2"/>
    <s v="Furniture"/>
    <s v="Storage"/>
    <s v="Product_28"/>
    <x v="1"/>
    <x v="0"/>
    <s v="Credit Card"/>
    <s v="High"/>
    <n v="10"/>
    <n v="23538"/>
    <n v="5"/>
    <n v="223611"/>
    <n v="46019.08"/>
    <x v="8"/>
  </r>
  <r>
    <s v="ORD01220"/>
    <x v="525"/>
    <d v="2022-01-29T00:00:00"/>
    <s v="West"/>
    <s v="India"/>
    <s v="Delhi"/>
    <s v="Delhi"/>
    <x v="1142"/>
    <x v="0"/>
    <s v="Office Supplies"/>
    <s v="Storage"/>
    <s v="Product_93"/>
    <x v="1"/>
    <x v="0"/>
    <s v="Credit Card"/>
    <s v="Low"/>
    <n v="10"/>
    <n v="21293"/>
    <n v="10"/>
    <n v="191637"/>
    <n v="16929.759999999998"/>
    <x v="1"/>
  </r>
  <r>
    <s v="ORD01221"/>
    <x v="191"/>
    <d v="2024-04-20T00:00:00"/>
    <s v="North"/>
    <s v="India"/>
    <s v="Karnataka"/>
    <s v="Chennai"/>
    <x v="1143"/>
    <x v="2"/>
    <s v="Furniture"/>
    <s v="Chair"/>
    <s v="Product_141"/>
    <x v="0"/>
    <x v="0"/>
    <s v="Credit Card"/>
    <s v="Medium"/>
    <n v="5"/>
    <n v="24258"/>
    <n v="10"/>
    <n v="109161"/>
    <n v="4818.59"/>
    <x v="6"/>
  </r>
  <r>
    <s v="ORD01222"/>
    <x v="710"/>
    <d v="2022-08-01T00:00:00"/>
    <s v="North"/>
    <s v="India"/>
    <s v="Maharashtra"/>
    <s v="Mumbai"/>
    <x v="1144"/>
    <x v="0"/>
    <s v="Electronics"/>
    <s v="Storage"/>
    <s v="Product_13"/>
    <x v="0"/>
    <x v="1"/>
    <s v="Debit Card"/>
    <s v="Low"/>
    <n v="3"/>
    <n v="43112"/>
    <n v="0"/>
    <n v="129336"/>
    <n v="19618.650000000001"/>
    <x v="11"/>
  </r>
  <r>
    <s v="ORD01223"/>
    <x v="474"/>
    <d v="2023-07-19T00:00:00"/>
    <s v="West"/>
    <s v="India"/>
    <s v="Delhi"/>
    <s v="Mumbai"/>
    <x v="1145"/>
    <x v="0"/>
    <s v="Electronics"/>
    <s v="Chair"/>
    <s v="Product_104"/>
    <x v="3"/>
    <x v="0"/>
    <s v="Debit Card"/>
    <s v="Medium"/>
    <n v="3"/>
    <n v="35515"/>
    <n v="20"/>
    <n v="85236"/>
    <n v="-14789.92"/>
    <x v="11"/>
  </r>
  <r>
    <s v="ORD01224"/>
    <x v="712"/>
    <d v="2023-09-08T00:00:00"/>
    <s v="East"/>
    <s v="India"/>
    <s v="Gujarat"/>
    <s v="Chennai"/>
    <x v="1146"/>
    <x v="1"/>
    <s v="Electronics"/>
    <s v="Storage"/>
    <s v="Product_81"/>
    <x v="1"/>
    <x v="1"/>
    <s v="Net Banking"/>
    <s v="Low"/>
    <n v="7"/>
    <n v="8719"/>
    <n v="20"/>
    <n v="48826.400000000001"/>
    <n v="604.54999999999995"/>
    <x v="7"/>
  </r>
  <r>
    <s v="ORD01225"/>
    <x v="9"/>
    <d v="2024-05-28T00:00:00"/>
    <s v="West"/>
    <s v="India"/>
    <s v="Maharashtra"/>
    <s v="Mumbai"/>
    <x v="1147"/>
    <x v="1"/>
    <s v="Electronics"/>
    <s v="Printer"/>
    <s v="Product_101"/>
    <x v="5"/>
    <x v="1"/>
    <s v="Debit Card"/>
    <s v="High"/>
    <n v="10"/>
    <n v="6350"/>
    <n v="10"/>
    <n v="57150"/>
    <n v="824.62"/>
    <x v="4"/>
  </r>
  <r>
    <s v="ORD01226"/>
    <x v="493"/>
    <d v="2023-07-01T00:00:00"/>
    <s v="North"/>
    <s v="India"/>
    <s v="Delhi"/>
    <s v="Ahmedabad"/>
    <x v="1148"/>
    <x v="0"/>
    <s v="Electronics"/>
    <s v="Mobile"/>
    <s v="Product_107"/>
    <x v="3"/>
    <x v="1"/>
    <s v="Credit Card"/>
    <s v="Critical"/>
    <n v="10"/>
    <n v="9357"/>
    <n v="10"/>
    <n v="84213"/>
    <n v="-4344.68"/>
    <x v="2"/>
  </r>
  <r>
    <s v="ORD01227"/>
    <x v="206"/>
    <d v="2023-12-16T00:00:00"/>
    <s v="East"/>
    <s v="India"/>
    <s v="Tamil Nadu"/>
    <s v="Delhi"/>
    <x v="1149"/>
    <x v="0"/>
    <s v="Electronics"/>
    <s v="Laptop"/>
    <s v="Product_144"/>
    <x v="2"/>
    <x v="0"/>
    <s v="Credit Card"/>
    <s v="Medium"/>
    <n v="7"/>
    <n v="38698"/>
    <n v="0"/>
    <n v="270886"/>
    <n v="51968.94"/>
    <x v="9"/>
  </r>
  <r>
    <s v="ORD01228"/>
    <x v="58"/>
    <d v="2024-04-28T00:00:00"/>
    <s v="West"/>
    <s v="India"/>
    <s v="Tamil Nadu"/>
    <s v="Mumbai"/>
    <x v="1150"/>
    <x v="2"/>
    <s v="Electronics"/>
    <s v="Table"/>
    <s v="Product_132"/>
    <x v="3"/>
    <x v="0"/>
    <s v="Net Banking"/>
    <s v="Critical"/>
    <n v="8"/>
    <n v="5086"/>
    <n v="20"/>
    <n v="32550.400000000001"/>
    <n v="-251.14"/>
    <x v="6"/>
  </r>
  <r>
    <s v="ORD01229"/>
    <x v="140"/>
    <d v="2024-03-31T00:00:00"/>
    <s v="East"/>
    <s v="India"/>
    <s v="Delhi"/>
    <s v="Chennai"/>
    <x v="1151"/>
    <x v="0"/>
    <s v="Electronics"/>
    <s v="Storage"/>
    <s v="Product_153"/>
    <x v="2"/>
    <x v="0"/>
    <s v="Net Banking"/>
    <s v="High"/>
    <n v="2"/>
    <n v="905"/>
    <n v="20"/>
    <n v="1448"/>
    <n v="134.94999999999999"/>
    <x v="0"/>
  </r>
  <r>
    <s v="ORD01230"/>
    <x v="713"/>
    <d v="2023-05-11T00:00:00"/>
    <s v="East"/>
    <s v="India"/>
    <s v="Tamil Nadu"/>
    <s v="Mumbai"/>
    <x v="1152"/>
    <x v="0"/>
    <s v="Office Supplies"/>
    <s v="Laptop"/>
    <s v="Product_42"/>
    <x v="1"/>
    <x v="1"/>
    <s v="Debit Card"/>
    <s v="Low"/>
    <n v="10"/>
    <n v="32895"/>
    <n v="10"/>
    <n v="296055"/>
    <n v="-4315.1099999999997"/>
    <x v="4"/>
  </r>
  <r>
    <s v="ORD01231"/>
    <x v="714"/>
    <d v="2023-02-18T00:00:00"/>
    <s v="North"/>
    <s v="India"/>
    <s v="Delhi"/>
    <s v="Mumbai"/>
    <x v="695"/>
    <x v="1"/>
    <s v="Office Supplies"/>
    <s v="Table"/>
    <s v="Product_32"/>
    <x v="3"/>
    <x v="0"/>
    <s v="Net Banking"/>
    <s v="High"/>
    <n v="6"/>
    <n v="21962"/>
    <n v="5"/>
    <n v="125183.4"/>
    <n v="14893.7"/>
    <x v="5"/>
  </r>
  <r>
    <s v="ORD01232"/>
    <x v="400"/>
    <d v="2022-03-09T00:00:00"/>
    <s v="West"/>
    <s v="India"/>
    <s v="Tamil Nadu"/>
    <s v="Bangalore"/>
    <x v="1153"/>
    <x v="2"/>
    <s v="Office Supplies"/>
    <s v="Table"/>
    <s v="Product_58"/>
    <x v="3"/>
    <x v="0"/>
    <s v="Credit Card"/>
    <s v="High"/>
    <n v="9"/>
    <n v="49552"/>
    <n v="15"/>
    <n v="379072.8"/>
    <n v="12188.14"/>
    <x v="0"/>
  </r>
  <r>
    <s v="ORD01233"/>
    <x v="513"/>
    <d v="2024-07-15T00:00:00"/>
    <s v="South"/>
    <s v="India"/>
    <s v="Karnataka"/>
    <s v="Bangalore"/>
    <x v="1154"/>
    <x v="2"/>
    <s v="Furniture"/>
    <s v="Table"/>
    <s v="Product_188"/>
    <x v="0"/>
    <x v="0"/>
    <s v="Debit Card"/>
    <s v="Critical"/>
    <n v="2"/>
    <n v="22349"/>
    <n v="5"/>
    <n v="42463.1"/>
    <n v="9789.4"/>
    <x v="11"/>
  </r>
  <r>
    <s v="ORD01234"/>
    <x v="410"/>
    <d v="2024-01-10T00:00:00"/>
    <s v="West"/>
    <s v="India"/>
    <s v="Maharashtra"/>
    <s v="Bangalore"/>
    <x v="337"/>
    <x v="1"/>
    <s v="Electronics"/>
    <s v="Chair"/>
    <s v="Product_159"/>
    <x v="0"/>
    <x v="0"/>
    <s v="Debit Card"/>
    <s v="Critical"/>
    <n v="2"/>
    <n v="12674"/>
    <n v="15"/>
    <n v="21545.8"/>
    <n v="1449.39"/>
    <x v="1"/>
  </r>
  <r>
    <s v="ORD01235"/>
    <x v="451"/>
    <d v="2023-12-10T00:00:00"/>
    <s v="East"/>
    <s v="India"/>
    <s v="Tamil Nadu"/>
    <s v="Delhi"/>
    <x v="1155"/>
    <x v="0"/>
    <s v="Electronics"/>
    <s v="Mobile"/>
    <s v="Product_79"/>
    <x v="2"/>
    <x v="1"/>
    <s v="Net Banking"/>
    <s v="Critical"/>
    <n v="1"/>
    <n v="1185"/>
    <n v="15"/>
    <n v="1007.25"/>
    <n v="-24.97"/>
    <x v="9"/>
  </r>
  <r>
    <s v="ORD01236"/>
    <x v="451"/>
    <d v="2023-12-19T00:00:00"/>
    <s v="East"/>
    <s v="India"/>
    <s v="Karnataka"/>
    <s v="Ahmedabad"/>
    <x v="1156"/>
    <x v="2"/>
    <s v="Electronics"/>
    <s v="Storage"/>
    <s v="Product_4"/>
    <x v="4"/>
    <x v="0"/>
    <s v="Debit Card"/>
    <s v="Critical"/>
    <n v="3"/>
    <n v="10079"/>
    <n v="0"/>
    <n v="30237"/>
    <n v="6339.01"/>
    <x v="9"/>
  </r>
  <r>
    <s v="ORD01237"/>
    <x v="715"/>
    <d v="2022-01-31T00:00:00"/>
    <s v="West"/>
    <s v="India"/>
    <s v="Delhi"/>
    <s v="Mumbai"/>
    <x v="1157"/>
    <x v="1"/>
    <s v="Office Supplies"/>
    <s v="Mobile"/>
    <s v="Product_6"/>
    <x v="0"/>
    <x v="0"/>
    <s v="UPI"/>
    <s v="Low"/>
    <n v="6"/>
    <n v="20718"/>
    <n v="5"/>
    <n v="118092.6"/>
    <n v="10342.74"/>
    <x v="1"/>
  </r>
  <r>
    <s v="ORD01238"/>
    <x v="377"/>
    <d v="2023-07-26T00:00:00"/>
    <s v="East"/>
    <s v="India"/>
    <s v="Karnataka"/>
    <s v="Bangalore"/>
    <x v="1158"/>
    <x v="1"/>
    <s v="Office Supplies"/>
    <s v="Table"/>
    <s v="Product_16"/>
    <x v="0"/>
    <x v="0"/>
    <s v="Credit Card"/>
    <s v="Low"/>
    <n v="10"/>
    <n v="3729"/>
    <n v="15"/>
    <n v="31696.5"/>
    <n v="1969.24"/>
    <x v="11"/>
  </r>
  <r>
    <s v="ORD01239"/>
    <x v="580"/>
    <d v="2024-01-30T00:00:00"/>
    <s v="East"/>
    <s v="India"/>
    <s v="Gujarat"/>
    <s v="Ahmedabad"/>
    <x v="1159"/>
    <x v="0"/>
    <s v="Furniture"/>
    <s v="Table"/>
    <s v="Product_164"/>
    <x v="3"/>
    <x v="0"/>
    <s v="Debit Card"/>
    <s v="Low"/>
    <n v="3"/>
    <n v="36174"/>
    <n v="0"/>
    <n v="108522"/>
    <n v="8453.23"/>
    <x v="1"/>
  </r>
  <r>
    <s v="ORD01240"/>
    <x v="117"/>
    <d v="2023-12-30T00:00:00"/>
    <s v="South"/>
    <s v="India"/>
    <s v="Gujarat"/>
    <s v="Chennai"/>
    <x v="1160"/>
    <x v="1"/>
    <s v="Office Supplies"/>
    <s v="Mobile"/>
    <s v="Product_21"/>
    <x v="3"/>
    <x v="1"/>
    <s v="Net Banking"/>
    <s v="Critical"/>
    <n v="2"/>
    <n v="47835"/>
    <n v="10"/>
    <n v="86103"/>
    <n v="13700.86"/>
    <x v="9"/>
  </r>
  <r>
    <s v="ORD01241"/>
    <x v="716"/>
    <d v="2023-05-31T00:00:00"/>
    <s v="West"/>
    <s v="India"/>
    <s v="Maharashtra"/>
    <s v="Ahmedabad"/>
    <x v="1161"/>
    <x v="0"/>
    <s v="Office Supplies"/>
    <s v="Table"/>
    <s v="Product_17"/>
    <x v="3"/>
    <x v="0"/>
    <s v="Credit Card"/>
    <s v="Critical"/>
    <n v="9"/>
    <n v="42213"/>
    <n v="20"/>
    <n v="303933.59999999998"/>
    <n v="5663.97"/>
    <x v="4"/>
  </r>
  <r>
    <s v="ORD01242"/>
    <x v="712"/>
    <d v="2023-09-09T00:00:00"/>
    <s v="West"/>
    <s v="India"/>
    <s v="Maharashtra"/>
    <s v="Chennai"/>
    <x v="1162"/>
    <x v="0"/>
    <s v="Office Supplies"/>
    <s v="Table"/>
    <s v="Product_104"/>
    <x v="4"/>
    <x v="0"/>
    <s v="Debit Card"/>
    <s v="Critical"/>
    <n v="2"/>
    <n v="32145"/>
    <n v="15"/>
    <n v="54646.5"/>
    <n v="-6161.98"/>
    <x v="7"/>
  </r>
  <r>
    <s v="ORD01243"/>
    <x v="4"/>
    <d v="2022-03-23T00:00:00"/>
    <s v="East"/>
    <s v="India"/>
    <s v="Tamil Nadu"/>
    <s v="Chennai"/>
    <x v="1163"/>
    <x v="0"/>
    <s v="Office Supplies"/>
    <s v="Table"/>
    <s v="Product_76"/>
    <x v="5"/>
    <x v="0"/>
    <s v="Net Banking"/>
    <s v="High"/>
    <n v="3"/>
    <n v="3621"/>
    <n v="15"/>
    <n v="9233.5499999999993"/>
    <n v="544.91"/>
    <x v="0"/>
  </r>
  <r>
    <s v="ORD01244"/>
    <x v="124"/>
    <d v="2023-08-28T00:00:00"/>
    <s v="South"/>
    <s v="India"/>
    <s v="Maharashtra"/>
    <s v="Mumbai"/>
    <x v="1164"/>
    <x v="0"/>
    <s v="Furniture"/>
    <s v="Mobile"/>
    <s v="Product_121"/>
    <x v="0"/>
    <x v="0"/>
    <s v="Cash"/>
    <s v="Low"/>
    <n v="1"/>
    <n v="16647"/>
    <n v="0"/>
    <n v="16647"/>
    <n v="3005.4"/>
    <x v="8"/>
  </r>
  <r>
    <s v="ORD01245"/>
    <x v="717"/>
    <d v="2024-05-09T00:00:00"/>
    <s v="East"/>
    <s v="India"/>
    <s v="Karnataka"/>
    <s v="Ahmedabad"/>
    <x v="1165"/>
    <x v="0"/>
    <s v="Electronics"/>
    <s v="Laptop"/>
    <s v="Product_4"/>
    <x v="3"/>
    <x v="0"/>
    <s v="Credit Card"/>
    <s v="High"/>
    <n v="4"/>
    <n v="10906"/>
    <n v="0"/>
    <n v="43624"/>
    <n v="6901.53"/>
    <x v="4"/>
  </r>
  <r>
    <s v="ORD01246"/>
    <x v="488"/>
    <d v="2024-09-08T00:00:00"/>
    <s v="East"/>
    <s v="India"/>
    <s v="Delhi"/>
    <s v="Chennai"/>
    <x v="1166"/>
    <x v="1"/>
    <s v="Furniture"/>
    <s v="Chair"/>
    <s v="Product_163"/>
    <x v="5"/>
    <x v="0"/>
    <s v="Cash"/>
    <s v="High"/>
    <n v="8"/>
    <n v="21231"/>
    <n v="5"/>
    <n v="161355.6"/>
    <n v="10057.44"/>
    <x v="7"/>
  </r>
  <r>
    <s v="ORD01247"/>
    <x v="249"/>
    <d v="2023-03-28T00:00:00"/>
    <s v="South"/>
    <s v="India"/>
    <s v="Tamil Nadu"/>
    <s v="Ahmedabad"/>
    <x v="1167"/>
    <x v="0"/>
    <s v="Office Supplies"/>
    <s v="Laptop"/>
    <s v="Product_156"/>
    <x v="3"/>
    <x v="0"/>
    <s v="Credit Card"/>
    <s v="High"/>
    <n v="9"/>
    <n v="8353"/>
    <n v="0"/>
    <n v="75177"/>
    <n v="18751.7"/>
    <x v="0"/>
  </r>
  <r>
    <s v="ORD01248"/>
    <x v="570"/>
    <d v="2023-06-30T00:00:00"/>
    <s v="South"/>
    <s v="India"/>
    <s v="Delhi"/>
    <s v="Delhi"/>
    <x v="1168"/>
    <x v="2"/>
    <s v="Furniture"/>
    <s v="Chair"/>
    <s v="Product_69"/>
    <x v="1"/>
    <x v="0"/>
    <s v="UPI"/>
    <s v="Critical"/>
    <n v="3"/>
    <n v="19113"/>
    <n v="10"/>
    <n v="51605.1"/>
    <n v="5882.13"/>
    <x v="2"/>
  </r>
  <r>
    <s v="ORD01249"/>
    <x v="616"/>
    <d v="2024-08-29T00:00:00"/>
    <s v="North"/>
    <s v="India"/>
    <s v="Karnataka"/>
    <s v="Chennai"/>
    <x v="1169"/>
    <x v="1"/>
    <s v="Electronics"/>
    <s v="Printer"/>
    <s v="Product_192"/>
    <x v="0"/>
    <x v="1"/>
    <s v="Credit Card"/>
    <s v="Critical"/>
    <n v="5"/>
    <n v="7223"/>
    <n v="15"/>
    <n v="30697.75"/>
    <n v="1530.86"/>
    <x v="8"/>
  </r>
  <r>
    <s v="ORD01250"/>
    <x v="279"/>
    <d v="2024-05-10T00:00:00"/>
    <s v="South"/>
    <s v="India"/>
    <s v="Delhi"/>
    <s v="Delhi"/>
    <x v="1170"/>
    <x v="0"/>
    <s v="Office Supplies"/>
    <s v="Mobile"/>
    <s v="Product_161"/>
    <x v="1"/>
    <x v="0"/>
    <s v="Net Banking"/>
    <s v="Medium"/>
    <n v="6"/>
    <n v="5425"/>
    <n v="0"/>
    <n v="32550"/>
    <n v="6014.8"/>
    <x v="4"/>
  </r>
  <r>
    <s v="ORD01251"/>
    <x v="718"/>
    <d v="2022-09-23T00:00:00"/>
    <s v="South"/>
    <s v="India"/>
    <s v="Delhi"/>
    <s v="Chennai"/>
    <x v="1171"/>
    <x v="0"/>
    <s v="Electronics"/>
    <s v="Laptop"/>
    <s v="Product_43"/>
    <x v="0"/>
    <x v="1"/>
    <s v="Credit Card"/>
    <s v="Medium"/>
    <n v="2"/>
    <n v="13054"/>
    <n v="20"/>
    <n v="20886.400000000001"/>
    <n v="-1235.8499999999999"/>
    <x v="7"/>
  </r>
  <r>
    <s v="ORD01252"/>
    <x v="282"/>
    <d v="2022-07-21T00:00:00"/>
    <s v="North"/>
    <s v="India"/>
    <s v="Maharashtra"/>
    <s v="Delhi"/>
    <x v="44"/>
    <x v="2"/>
    <s v="Office Supplies"/>
    <s v="Table"/>
    <s v="Product_3"/>
    <x v="1"/>
    <x v="0"/>
    <s v="Cash"/>
    <s v="Medium"/>
    <n v="8"/>
    <n v="35947"/>
    <n v="5"/>
    <n v="273197.2"/>
    <n v="5086.07"/>
    <x v="11"/>
  </r>
  <r>
    <s v="ORD01253"/>
    <x v="292"/>
    <d v="2023-09-12T00:00:00"/>
    <s v="West"/>
    <s v="India"/>
    <s v="Maharashtra"/>
    <s v="Ahmedabad"/>
    <x v="1172"/>
    <x v="1"/>
    <s v="Office Supplies"/>
    <s v="Mobile"/>
    <s v="Product_7"/>
    <x v="2"/>
    <x v="1"/>
    <s v="Net Banking"/>
    <s v="Low"/>
    <n v="9"/>
    <n v="17573"/>
    <n v="15"/>
    <n v="134433.45000000001"/>
    <n v="10650.8"/>
    <x v="7"/>
  </r>
  <r>
    <s v="ORD01254"/>
    <x v="365"/>
    <d v="2022-11-28T00:00:00"/>
    <s v="South"/>
    <s v="India"/>
    <s v="Maharashtra"/>
    <s v="Chennai"/>
    <x v="95"/>
    <x v="0"/>
    <s v="Office Supplies"/>
    <s v="Chair"/>
    <s v="Product_142"/>
    <x v="1"/>
    <x v="0"/>
    <s v="Credit Card"/>
    <s v="Critical"/>
    <n v="9"/>
    <n v="5822"/>
    <n v="10"/>
    <n v="47158.2"/>
    <n v="10464.57"/>
    <x v="3"/>
  </r>
  <r>
    <s v="ORD01255"/>
    <x v="567"/>
    <d v="2023-06-23T00:00:00"/>
    <s v="West"/>
    <s v="India"/>
    <s v="Maharashtra"/>
    <s v="Bangalore"/>
    <x v="1173"/>
    <x v="1"/>
    <s v="Furniture"/>
    <s v="Chair"/>
    <s v="Product_158"/>
    <x v="0"/>
    <x v="1"/>
    <s v="Credit Card"/>
    <s v="Low"/>
    <n v="9"/>
    <n v="2660"/>
    <n v="0"/>
    <n v="23940"/>
    <n v="1392.06"/>
    <x v="2"/>
  </r>
  <r>
    <s v="ORD01256"/>
    <x v="313"/>
    <d v="2022-10-27T00:00:00"/>
    <s v="East"/>
    <s v="India"/>
    <s v="Gujarat"/>
    <s v="Bangalore"/>
    <x v="1174"/>
    <x v="2"/>
    <s v="Furniture"/>
    <s v="Laptop"/>
    <s v="Product_45"/>
    <x v="4"/>
    <x v="0"/>
    <s v="Cash"/>
    <s v="Critical"/>
    <n v="1"/>
    <n v="38075"/>
    <n v="5"/>
    <n v="36171.25"/>
    <n v="9165.44"/>
    <x v="10"/>
  </r>
  <r>
    <s v="ORD01257"/>
    <x v="17"/>
    <d v="2022-04-21T00:00:00"/>
    <s v="South"/>
    <s v="India"/>
    <s v="Tamil Nadu"/>
    <s v="Chennai"/>
    <x v="1175"/>
    <x v="2"/>
    <s v="Office Supplies"/>
    <s v="Storage"/>
    <s v="Product_85"/>
    <x v="0"/>
    <x v="0"/>
    <s v="Net Banking"/>
    <s v="Medium"/>
    <n v="6"/>
    <n v="3843"/>
    <n v="10"/>
    <n v="20752.2"/>
    <n v="3386.3"/>
    <x v="6"/>
  </r>
  <r>
    <s v="ORD01258"/>
    <x v="321"/>
    <d v="2023-07-29T00:00:00"/>
    <s v="East"/>
    <s v="India"/>
    <s v="Tamil Nadu"/>
    <s v="Delhi"/>
    <x v="1176"/>
    <x v="2"/>
    <s v="Furniture"/>
    <s v="Chair"/>
    <s v="Product_119"/>
    <x v="1"/>
    <x v="1"/>
    <s v="UPI"/>
    <s v="High"/>
    <n v="5"/>
    <n v="44413"/>
    <n v="5"/>
    <n v="210961.75"/>
    <n v="18925.490000000002"/>
    <x v="11"/>
  </r>
  <r>
    <s v="ORD01259"/>
    <x v="719"/>
    <d v="2022-09-12T00:00:00"/>
    <s v="East"/>
    <s v="India"/>
    <s v="Tamil Nadu"/>
    <s v="Delhi"/>
    <x v="1177"/>
    <x v="0"/>
    <s v="Office Supplies"/>
    <s v="Storage"/>
    <s v="Product_22"/>
    <x v="4"/>
    <x v="1"/>
    <s v="Credit Card"/>
    <s v="Low"/>
    <n v="6"/>
    <n v="37167"/>
    <n v="15"/>
    <n v="189551.7"/>
    <n v="31114.959999999999"/>
    <x v="7"/>
  </r>
  <r>
    <s v="ORD01260"/>
    <x v="653"/>
    <d v="2022-03-22T00:00:00"/>
    <s v="East"/>
    <s v="India"/>
    <s v="Tamil Nadu"/>
    <s v="Delhi"/>
    <x v="1178"/>
    <x v="2"/>
    <s v="Electronics"/>
    <s v="Table"/>
    <s v="Product_45"/>
    <x v="4"/>
    <x v="1"/>
    <s v="Credit Card"/>
    <s v="Medium"/>
    <n v="3"/>
    <n v="45083"/>
    <n v="20"/>
    <n v="108199.2"/>
    <n v="10363.620000000001"/>
    <x v="0"/>
  </r>
  <r>
    <s v="ORD01261"/>
    <x v="720"/>
    <d v="2022-03-01T00:00:00"/>
    <s v="West"/>
    <s v="India"/>
    <s v="Maharashtra"/>
    <s v="Delhi"/>
    <x v="1179"/>
    <x v="2"/>
    <s v="Office Supplies"/>
    <s v="Table"/>
    <s v="Product_53"/>
    <x v="4"/>
    <x v="0"/>
    <s v="Credit Card"/>
    <s v="Low"/>
    <n v="7"/>
    <n v="39417"/>
    <n v="0"/>
    <n v="275919"/>
    <n v="56799.76"/>
    <x v="5"/>
  </r>
  <r>
    <s v="ORD01262"/>
    <x v="254"/>
    <d v="2023-01-26T00:00:00"/>
    <s v="West"/>
    <s v="India"/>
    <s v="Karnataka"/>
    <s v="Mumbai"/>
    <x v="606"/>
    <x v="0"/>
    <s v="Electronics"/>
    <s v="Mobile"/>
    <s v="Product_106"/>
    <x v="5"/>
    <x v="0"/>
    <s v="Cash"/>
    <s v="Low"/>
    <n v="4"/>
    <n v="27316"/>
    <n v="5"/>
    <n v="103800.8"/>
    <n v="23254"/>
    <x v="1"/>
  </r>
  <r>
    <s v="ORD01263"/>
    <x v="538"/>
    <d v="2022-12-07T00:00:00"/>
    <s v="South"/>
    <s v="India"/>
    <s v="Karnataka"/>
    <s v="Delhi"/>
    <x v="1180"/>
    <x v="0"/>
    <s v="Office Supplies"/>
    <s v="Table"/>
    <s v="Product_79"/>
    <x v="3"/>
    <x v="1"/>
    <s v="Net Banking"/>
    <s v="Medium"/>
    <n v="8"/>
    <n v="46574"/>
    <n v="20"/>
    <n v="298073.59999999998"/>
    <n v="33130.06"/>
    <x v="9"/>
  </r>
  <r>
    <s v="ORD01264"/>
    <x v="347"/>
    <d v="2023-11-12T00:00:00"/>
    <s v="South"/>
    <s v="India"/>
    <s v="Tamil Nadu"/>
    <s v="Bangalore"/>
    <x v="1181"/>
    <x v="1"/>
    <s v="Furniture"/>
    <s v="Laptop"/>
    <s v="Product_101"/>
    <x v="0"/>
    <x v="1"/>
    <s v="Cash"/>
    <s v="Low"/>
    <n v="10"/>
    <n v="2331"/>
    <n v="10"/>
    <n v="20979"/>
    <n v="-461.65"/>
    <x v="3"/>
  </r>
  <r>
    <s v="ORD01265"/>
    <x v="295"/>
    <d v="2024-08-01T00:00:00"/>
    <s v="West"/>
    <s v="India"/>
    <s v="Tamil Nadu"/>
    <s v="Mumbai"/>
    <x v="118"/>
    <x v="0"/>
    <s v="Furniture"/>
    <s v="Table"/>
    <s v="Product_93"/>
    <x v="5"/>
    <x v="0"/>
    <s v="Net Banking"/>
    <s v="Medium"/>
    <n v="5"/>
    <n v="3718"/>
    <n v="0"/>
    <n v="18590"/>
    <n v="4556.28"/>
    <x v="11"/>
  </r>
  <r>
    <s v="ORD01266"/>
    <x v="504"/>
    <d v="2024-06-28T00:00:00"/>
    <s v="South"/>
    <s v="India"/>
    <s v="Tamil Nadu"/>
    <s v="Mumbai"/>
    <x v="1182"/>
    <x v="2"/>
    <s v="Furniture"/>
    <s v="Mobile"/>
    <s v="Product_113"/>
    <x v="5"/>
    <x v="0"/>
    <s v="UPI"/>
    <s v="High"/>
    <n v="5"/>
    <n v="47644"/>
    <n v="0"/>
    <n v="238220"/>
    <n v="34937.589999999997"/>
    <x v="2"/>
  </r>
  <r>
    <s v="ORD01267"/>
    <x v="187"/>
    <d v="2022-01-14T00:00:00"/>
    <s v="West"/>
    <s v="India"/>
    <s v="Gujarat"/>
    <s v="Delhi"/>
    <x v="1183"/>
    <x v="0"/>
    <s v="Office Supplies"/>
    <s v="Printer"/>
    <s v="Product_113"/>
    <x v="1"/>
    <x v="1"/>
    <s v="Debit Card"/>
    <s v="Medium"/>
    <n v="9"/>
    <n v="8455"/>
    <n v="15"/>
    <n v="64680.75"/>
    <n v="1634.91"/>
    <x v="1"/>
  </r>
  <r>
    <s v="ORD01268"/>
    <x v="171"/>
    <d v="2022-05-21T00:00:00"/>
    <s v="North"/>
    <s v="India"/>
    <s v="Delhi"/>
    <s v="Chennai"/>
    <x v="1184"/>
    <x v="2"/>
    <s v="Furniture"/>
    <s v="Printer"/>
    <s v="Product_41"/>
    <x v="5"/>
    <x v="0"/>
    <s v="Cash"/>
    <s v="Critical"/>
    <n v="7"/>
    <n v="14213"/>
    <n v="15"/>
    <n v="84567.35"/>
    <n v="-8667.31"/>
    <x v="4"/>
  </r>
  <r>
    <s v="ORD01269"/>
    <x v="721"/>
    <d v="2022-06-19T00:00:00"/>
    <s v="North"/>
    <s v="India"/>
    <s v="Delhi"/>
    <s v="Ahmedabad"/>
    <x v="1185"/>
    <x v="0"/>
    <s v="Furniture"/>
    <s v="Storage"/>
    <s v="Product_185"/>
    <x v="5"/>
    <x v="0"/>
    <s v="UPI"/>
    <s v="Low"/>
    <n v="7"/>
    <n v="24091"/>
    <n v="5"/>
    <n v="160205.15"/>
    <n v="23802.81"/>
    <x v="2"/>
  </r>
  <r>
    <s v="ORD01270"/>
    <x v="719"/>
    <d v="2022-09-08T00:00:00"/>
    <s v="East"/>
    <s v="India"/>
    <s v="Tamil Nadu"/>
    <s v="Ahmedabad"/>
    <x v="1186"/>
    <x v="1"/>
    <s v="Furniture"/>
    <s v="Mobile"/>
    <s v="Product_148"/>
    <x v="1"/>
    <x v="1"/>
    <s v="Cash"/>
    <s v="Critical"/>
    <n v="4"/>
    <n v="30662"/>
    <n v="10"/>
    <n v="110383.2"/>
    <n v="8968.5400000000009"/>
    <x v="7"/>
  </r>
  <r>
    <s v="ORD01271"/>
    <x v="75"/>
    <d v="2022-03-27T00:00:00"/>
    <s v="West"/>
    <s v="India"/>
    <s v="Karnataka"/>
    <s v="Chennai"/>
    <x v="808"/>
    <x v="0"/>
    <s v="Furniture"/>
    <s v="Printer"/>
    <s v="Product_129"/>
    <x v="4"/>
    <x v="1"/>
    <s v="Debit Card"/>
    <s v="Critical"/>
    <n v="9"/>
    <n v="6020"/>
    <n v="10"/>
    <n v="48762"/>
    <n v="6958.55"/>
    <x v="0"/>
  </r>
  <r>
    <s v="ORD01272"/>
    <x v="101"/>
    <d v="2023-03-12T00:00:00"/>
    <s v="South"/>
    <s v="India"/>
    <s v="Tamil Nadu"/>
    <s v="Mumbai"/>
    <x v="1187"/>
    <x v="1"/>
    <s v="Electronics"/>
    <s v="Storage"/>
    <s v="Product_40"/>
    <x v="4"/>
    <x v="1"/>
    <s v="Cash"/>
    <s v="Medium"/>
    <n v="4"/>
    <n v="36763"/>
    <n v="0"/>
    <n v="147052"/>
    <n v="38569.61"/>
    <x v="0"/>
  </r>
  <r>
    <s v="ORD01273"/>
    <x v="228"/>
    <d v="2024-06-08T00:00:00"/>
    <s v="South"/>
    <s v="India"/>
    <s v="Maharashtra"/>
    <s v="Mumbai"/>
    <x v="1188"/>
    <x v="2"/>
    <s v="Electronics"/>
    <s v="Mobile"/>
    <s v="Product_198"/>
    <x v="2"/>
    <x v="1"/>
    <s v="Debit Card"/>
    <s v="High"/>
    <n v="2"/>
    <n v="7161"/>
    <n v="5"/>
    <n v="13605.9"/>
    <n v="620.42999999999995"/>
    <x v="2"/>
  </r>
  <r>
    <s v="ORD01274"/>
    <x v="672"/>
    <d v="2023-02-08T00:00:00"/>
    <s v="East"/>
    <s v="India"/>
    <s v="Maharashtra"/>
    <s v="Chennai"/>
    <x v="1189"/>
    <x v="1"/>
    <s v="Office Supplies"/>
    <s v="Table"/>
    <s v="Product_44"/>
    <x v="2"/>
    <x v="0"/>
    <s v="Debit Card"/>
    <s v="High"/>
    <n v="4"/>
    <n v="35293"/>
    <n v="0"/>
    <n v="141172"/>
    <n v="34111.31"/>
    <x v="1"/>
  </r>
  <r>
    <s v="ORD01275"/>
    <x v="720"/>
    <d v="2022-02-23T00:00:00"/>
    <s v="South"/>
    <s v="India"/>
    <s v="Karnataka"/>
    <s v="Mumbai"/>
    <x v="1190"/>
    <x v="2"/>
    <s v="Office Supplies"/>
    <s v="Storage"/>
    <s v="Product_23"/>
    <x v="5"/>
    <x v="1"/>
    <s v="UPI"/>
    <s v="Low"/>
    <n v="6"/>
    <n v="19871"/>
    <n v="5"/>
    <n v="113264.7"/>
    <n v="26618.83"/>
    <x v="5"/>
  </r>
  <r>
    <s v="ORD01276"/>
    <x v="324"/>
    <d v="2023-10-06T00:00:00"/>
    <s v="North"/>
    <s v="India"/>
    <s v="Gujarat"/>
    <s v="Mumbai"/>
    <x v="1191"/>
    <x v="1"/>
    <s v="Electronics"/>
    <s v="Laptop"/>
    <s v="Product_68"/>
    <x v="2"/>
    <x v="0"/>
    <s v="Cash"/>
    <s v="Low"/>
    <n v="2"/>
    <n v="23750"/>
    <n v="15"/>
    <n v="40375"/>
    <n v="3169.12"/>
    <x v="7"/>
  </r>
  <r>
    <s v="ORD01277"/>
    <x v="722"/>
    <d v="2022-12-01T00:00:00"/>
    <s v="East"/>
    <s v="India"/>
    <s v="Maharashtra"/>
    <s v="Bangalore"/>
    <x v="1192"/>
    <x v="2"/>
    <s v="Office Supplies"/>
    <s v="Table"/>
    <s v="Product_185"/>
    <x v="2"/>
    <x v="0"/>
    <s v="Net Banking"/>
    <s v="High"/>
    <n v="7"/>
    <n v="45971"/>
    <n v="5"/>
    <n v="305707.15000000002"/>
    <n v="16859.560000000001"/>
    <x v="3"/>
  </r>
  <r>
    <s v="ORD01278"/>
    <x v="723"/>
    <d v="2022-02-06T00:00:00"/>
    <s v="North"/>
    <s v="India"/>
    <s v="Maharashtra"/>
    <s v="Ahmedabad"/>
    <x v="1193"/>
    <x v="2"/>
    <s v="Electronics"/>
    <s v="Mobile"/>
    <s v="Product_168"/>
    <x v="4"/>
    <x v="1"/>
    <s v="Debit Card"/>
    <s v="Low"/>
    <n v="9"/>
    <n v="25978"/>
    <n v="15"/>
    <n v="198731.7"/>
    <n v="-15763.77"/>
    <x v="1"/>
  </r>
  <r>
    <s v="ORD01279"/>
    <x v="609"/>
    <d v="2022-08-26T00:00:00"/>
    <s v="East"/>
    <s v="India"/>
    <s v="Maharashtra"/>
    <s v="Chennai"/>
    <x v="1194"/>
    <x v="2"/>
    <s v="Office Supplies"/>
    <s v="Mobile"/>
    <s v="Product_63"/>
    <x v="2"/>
    <x v="1"/>
    <s v="Debit Card"/>
    <s v="Low"/>
    <n v="10"/>
    <n v="28297"/>
    <n v="15"/>
    <n v="240524.5"/>
    <n v="3545.4"/>
    <x v="8"/>
  </r>
  <r>
    <s v="ORD01280"/>
    <x v="90"/>
    <d v="2022-09-17T00:00:00"/>
    <s v="East"/>
    <s v="India"/>
    <s v="Delhi"/>
    <s v="Bangalore"/>
    <x v="1195"/>
    <x v="1"/>
    <s v="Electronics"/>
    <s v="Chair"/>
    <s v="Product_92"/>
    <x v="1"/>
    <x v="0"/>
    <s v="Net Banking"/>
    <s v="Low"/>
    <n v="7"/>
    <n v="11149"/>
    <n v="20"/>
    <n v="62434.400000000001"/>
    <n v="5791.26"/>
    <x v="7"/>
  </r>
  <r>
    <s v="ORD01281"/>
    <x v="296"/>
    <d v="2022-11-19T00:00:00"/>
    <s v="East"/>
    <s v="India"/>
    <s v="Maharashtra"/>
    <s v="Ahmedabad"/>
    <x v="1196"/>
    <x v="0"/>
    <s v="Furniture"/>
    <s v="Printer"/>
    <s v="Product_40"/>
    <x v="0"/>
    <x v="1"/>
    <s v="Net Banking"/>
    <s v="Low"/>
    <n v="4"/>
    <n v="29909"/>
    <n v="5"/>
    <n v="113654.2"/>
    <n v="25616.880000000001"/>
    <x v="3"/>
  </r>
  <r>
    <s v="ORD01282"/>
    <x v="53"/>
    <d v="2024-09-15T00:00:00"/>
    <s v="West"/>
    <s v="India"/>
    <s v="Delhi"/>
    <s v="Delhi"/>
    <x v="1197"/>
    <x v="1"/>
    <s v="Office Supplies"/>
    <s v="Storage"/>
    <s v="Product_92"/>
    <x v="5"/>
    <x v="0"/>
    <s v="Net Banking"/>
    <s v="High"/>
    <n v="9"/>
    <n v="49285"/>
    <n v="5"/>
    <n v="421386.75"/>
    <n v="24548.77"/>
    <x v="7"/>
  </r>
  <r>
    <s v="ORD01283"/>
    <x v="724"/>
    <d v="2024-08-11T00:00:00"/>
    <s v="East"/>
    <s v="India"/>
    <s v="Maharashtra"/>
    <s v="Delhi"/>
    <x v="1198"/>
    <x v="1"/>
    <s v="Electronics"/>
    <s v="Chair"/>
    <s v="Product_59"/>
    <x v="1"/>
    <x v="1"/>
    <s v="UPI"/>
    <s v="Critical"/>
    <n v="9"/>
    <n v="5660"/>
    <n v="15"/>
    <n v="43299"/>
    <n v="-2606.29"/>
    <x v="8"/>
  </r>
  <r>
    <s v="ORD01284"/>
    <x v="569"/>
    <d v="2022-08-25T00:00:00"/>
    <s v="South"/>
    <s v="India"/>
    <s v="Delhi"/>
    <s v="Chennai"/>
    <x v="713"/>
    <x v="2"/>
    <s v="Electronics"/>
    <s v="Mobile"/>
    <s v="Product_172"/>
    <x v="0"/>
    <x v="0"/>
    <s v="UPI"/>
    <s v="Critical"/>
    <n v="10"/>
    <n v="43461"/>
    <n v="20"/>
    <n v="347688"/>
    <n v="-4353.37"/>
    <x v="8"/>
  </r>
  <r>
    <s v="ORD01285"/>
    <x v="725"/>
    <d v="2023-11-16T00:00:00"/>
    <s v="North"/>
    <s v="India"/>
    <s v="Tamil Nadu"/>
    <s v="Chennai"/>
    <x v="1199"/>
    <x v="1"/>
    <s v="Electronics"/>
    <s v="Laptop"/>
    <s v="Product_124"/>
    <x v="0"/>
    <x v="1"/>
    <s v="Credit Card"/>
    <s v="High"/>
    <n v="2"/>
    <n v="7103"/>
    <n v="20"/>
    <n v="11364.8"/>
    <n v="-1726.64"/>
    <x v="3"/>
  </r>
  <r>
    <s v="ORD01286"/>
    <x v="485"/>
    <d v="2023-07-24T00:00:00"/>
    <s v="East"/>
    <s v="India"/>
    <s v="Karnataka"/>
    <s v="Delhi"/>
    <x v="1200"/>
    <x v="0"/>
    <s v="Furniture"/>
    <s v="Mobile"/>
    <s v="Product_67"/>
    <x v="2"/>
    <x v="1"/>
    <s v="UPI"/>
    <s v="High"/>
    <n v="8"/>
    <n v="49083"/>
    <n v="0"/>
    <n v="392664"/>
    <n v="84092.89"/>
    <x v="11"/>
  </r>
  <r>
    <s v="ORD01287"/>
    <x v="445"/>
    <d v="2022-06-30T00:00:00"/>
    <s v="South"/>
    <s v="India"/>
    <s v="Tamil Nadu"/>
    <s v="Delhi"/>
    <x v="1201"/>
    <x v="2"/>
    <s v="Furniture"/>
    <s v="Printer"/>
    <s v="Product_168"/>
    <x v="2"/>
    <x v="0"/>
    <s v="Net Banking"/>
    <s v="High"/>
    <n v="10"/>
    <n v="14186"/>
    <n v="10"/>
    <n v="127674"/>
    <n v="9611.1"/>
    <x v="2"/>
  </r>
  <r>
    <s v="ORD01288"/>
    <x v="535"/>
    <d v="2022-12-26T00:00:00"/>
    <s v="East"/>
    <s v="India"/>
    <s v="Maharashtra"/>
    <s v="Mumbai"/>
    <x v="1202"/>
    <x v="1"/>
    <s v="Electronics"/>
    <s v="Mobile"/>
    <s v="Product_84"/>
    <x v="4"/>
    <x v="0"/>
    <s v="Net Banking"/>
    <s v="Low"/>
    <n v="8"/>
    <n v="3726"/>
    <n v="5"/>
    <n v="28317.599999999999"/>
    <n v="968.7"/>
    <x v="9"/>
  </r>
  <r>
    <s v="ORD01289"/>
    <x v="726"/>
    <d v="2022-01-26T00:00:00"/>
    <s v="West"/>
    <s v="India"/>
    <s v="Karnataka"/>
    <s v="Ahmedabad"/>
    <x v="1203"/>
    <x v="2"/>
    <s v="Electronics"/>
    <s v="Table"/>
    <s v="Product_129"/>
    <x v="1"/>
    <x v="1"/>
    <s v="Cash"/>
    <s v="Critical"/>
    <n v="10"/>
    <n v="40257"/>
    <n v="0"/>
    <n v="402570"/>
    <n v="50605.32"/>
    <x v="1"/>
  </r>
  <r>
    <s v="ORD01290"/>
    <x v="387"/>
    <d v="2024-07-26T00:00:00"/>
    <s v="North"/>
    <s v="India"/>
    <s v="Gujarat"/>
    <s v="Chennai"/>
    <x v="1204"/>
    <x v="2"/>
    <s v="Electronics"/>
    <s v="Laptop"/>
    <s v="Product_146"/>
    <x v="4"/>
    <x v="0"/>
    <s v="Debit Card"/>
    <s v="Medium"/>
    <n v="8"/>
    <n v="2897"/>
    <n v="10"/>
    <n v="20858.400000000001"/>
    <n v="2685.46"/>
    <x v="11"/>
  </r>
  <r>
    <s v="ORD01291"/>
    <x v="727"/>
    <d v="2024-04-14T00:00:00"/>
    <s v="North"/>
    <s v="India"/>
    <s v="Delhi"/>
    <s v="Delhi"/>
    <x v="1205"/>
    <x v="2"/>
    <s v="Office Supplies"/>
    <s v="Mobile"/>
    <s v="Product_80"/>
    <x v="2"/>
    <x v="1"/>
    <s v="Debit Card"/>
    <s v="High"/>
    <n v="5"/>
    <n v="6359"/>
    <n v="0"/>
    <n v="31795"/>
    <n v="6581.37"/>
    <x v="6"/>
  </r>
  <r>
    <s v="ORD01292"/>
    <x v="728"/>
    <d v="2023-04-25T00:00:00"/>
    <s v="North"/>
    <s v="India"/>
    <s v="Maharashtra"/>
    <s v="Ahmedabad"/>
    <x v="1206"/>
    <x v="0"/>
    <s v="Furniture"/>
    <s v="Table"/>
    <s v="Product_100"/>
    <x v="5"/>
    <x v="0"/>
    <s v="Net Banking"/>
    <s v="Critical"/>
    <n v="2"/>
    <n v="48263"/>
    <n v="20"/>
    <n v="77220.800000000003"/>
    <n v="6288.93"/>
    <x v="6"/>
  </r>
  <r>
    <s v="ORD01293"/>
    <x v="666"/>
    <d v="2024-08-18T00:00:00"/>
    <s v="South"/>
    <s v="India"/>
    <s v="Maharashtra"/>
    <s v="Chennai"/>
    <x v="1207"/>
    <x v="0"/>
    <s v="Office Supplies"/>
    <s v="Printer"/>
    <s v="Product_199"/>
    <x v="0"/>
    <x v="1"/>
    <s v="Net Banking"/>
    <s v="Low"/>
    <n v="5"/>
    <n v="48739"/>
    <n v="5"/>
    <n v="231510.25"/>
    <n v="23095.34"/>
    <x v="8"/>
  </r>
  <r>
    <s v="ORD01294"/>
    <x v="729"/>
    <d v="2022-01-28T00:00:00"/>
    <s v="North"/>
    <s v="India"/>
    <s v="Karnataka"/>
    <s v="Mumbai"/>
    <x v="1208"/>
    <x v="2"/>
    <s v="Furniture"/>
    <s v="Chair"/>
    <s v="Product_70"/>
    <x v="4"/>
    <x v="1"/>
    <s v="Cash"/>
    <s v="Critical"/>
    <n v="9"/>
    <n v="27744"/>
    <n v="0"/>
    <n v="249696"/>
    <n v="69493.25"/>
    <x v="1"/>
  </r>
  <r>
    <s v="ORD01295"/>
    <x v="399"/>
    <d v="2024-05-25T00:00:00"/>
    <s v="South"/>
    <s v="India"/>
    <s v="Gujarat"/>
    <s v="Ahmedabad"/>
    <x v="1209"/>
    <x v="2"/>
    <s v="Furniture"/>
    <s v="Chair"/>
    <s v="Product_183"/>
    <x v="4"/>
    <x v="0"/>
    <s v="Debit Card"/>
    <s v="High"/>
    <n v="6"/>
    <n v="38060"/>
    <n v="0"/>
    <n v="228360"/>
    <n v="40318.379999999997"/>
    <x v="4"/>
  </r>
  <r>
    <s v="ORD01296"/>
    <x v="730"/>
    <d v="2023-05-27T00:00:00"/>
    <s v="South"/>
    <s v="India"/>
    <s v="Karnataka"/>
    <s v="Mumbai"/>
    <x v="1210"/>
    <x v="1"/>
    <s v="Electronics"/>
    <s v="Printer"/>
    <s v="Product_61"/>
    <x v="1"/>
    <x v="1"/>
    <s v="Net Banking"/>
    <s v="Medium"/>
    <n v="3"/>
    <n v="35073"/>
    <n v="15"/>
    <n v="89436.15"/>
    <n v="7812.91"/>
    <x v="4"/>
  </r>
  <r>
    <s v="ORD01297"/>
    <x v="198"/>
    <d v="2023-03-01T00:00:00"/>
    <s v="South"/>
    <s v="India"/>
    <s v="Delhi"/>
    <s v="Chennai"/>
    <x v="1211"/>
    <x v="1"/>
    <s v="Furniture"/>
    <s v="Laptop"/>
    <s v="Product_21"/>
    <x v="5"/>
    <x v="1"/>
    <s v="Debit Card"/>
    <s v="Critical"/>
    <n v="3"/>
    <n v="12936"/>
    <n v="20"/>
    <n v="31046.400000000001"/>
    <n v="-1585.51"/>
    <x v="5"/>
  </r>
  <r>
    <s v="ORD01298"/>
    <x v="731"/>
    <d v="2022-06-09T00:00:00"/>
    <s v="South"/>
    <s v="India"/>
    <s v="Tamil Nadu"/>
    <s v="Bangalore"/>
    <x v="1212"/>
    <x v="2"/>
    <s v="Electronics"/>
    <s v="Chair"/>
    <s v="Product_147"/>
    <x v="4"/>
    <x v="0"/>
    <s v="Net Banking"/>
    <s v="Medium"/>
    <n v="8"/>
    <n v="33448"/>
    <n v="5"/>
    <n v="254204.79999999999"/>
    <n v="21990.44"/>
    <x v="2"/>
  </r>
  <r>
    <s v="ORD01299"/>
    <x v="539"/>
    <d v="2024-10-02T00:00:00"/>
    <s v="West"/>
    <s v="India"/>
    <s v="Tamil Nadu"/>
    <s v="Ahmedabad"/>
    <x v="1213"/>
    <x v="2"/>
    <s v="Electronics"/>
    <s v="Storage"/>
    <s v="Product_87"/>
    <x v="1"/>
    <x v="1"/>
    <s v="Credit Card"/>
    <s v="Medium"/>
    <n v="3"/>
    <n v="4355"/>
    <n v="20"/>
    <n v="10452"/>
    <n v="-264.72000000000003"/>
    <x v="7"/>
  </r>
  <r>
    <s v="ORD01300"/>
    <x v="732"/>
    <d v="2024-04-08T00:00:00"/>
    <s v="South"/>
    <s v="India"/>
    <s v="Tamil Nadu"/>
    <s v="Ahmedabad"/>
    <x v="1214"/>
    <x v="2"/>
    <s v="Electronics"/>
    <s v="Storage"/>
    <s v="Product_179"/>
    <x v="1"/>
    <x v="0"/>
    <s v="Net Banking"/>
    <s v="Low"/>
    <n v="6"/>
    <n v="33843"/>
    <n v="10"/>
    <n v="182752.2"/>
    <n v="34711.879999999997"/>
    <x v="0"/>
  </r>
  <r>
    <s v="ORD01301"/>
    <x v="733"/>
    <d v="2024-05-11T00:00:00"/>
    <s v="North"/>
    <s v="India"/>
    <s v="Delhi"/>
    <s v="Delhi"/>
    <x v="1215"/>
    <x v="1"/>
    <s v="Office Supplies"/>
    <s v="Table"/>
    <s v="Product_25"/>
    <x v="1"/>
    <x v="0"/>
    <s v="Credit Card"/>
    <s v="High"/>
    <n v="7"/>
    <n v="16699"/>
    <n v="10"/>
    <n v="105203.7"/>
    <n v="17082.89"/>
    <x v="4"/>
  </r>
  <r>
    <s v="ORD01302"/>
    <x v="734"/>
    <d v="2022-07-23T00:00:00"/>
    <s v="East"/>
    <s v="India"/>
    <s v="Karnataka"/>
    <s v="Ahmedabad"/>
    <x v="1216"/>
    <x v="2"/>
    <s v="Office Supplies"/>
    <s v="Storage"/>
    <s v="Product_37"/>
    <x v="1"/>
    <x v="1"/>
    <s v="Credit Card"/>
    <s v="Low"/>
    <n v="1"/>
    <n v="30877"/>
    <n v="20"/>
    <n v="24701.599999999999"/>
    <n v="-1607.2"/>
    <x v="11"/>
  </r>
  <r>
    <s v="ORD01303"/>
    <x v="394"/>
    <d v="2024-08-25T00:00:00"/>
    <s v="West"/>
    <s v="India"/>
    <s v="Tamil Nadu"/>
    <s v="Mumbai"/>
    <x v="1217"/>
    <x v="1"/>
    <s v="Furniture"/>
    <s v="Chair"/>
    <s v="Product_200"/>
    <x v="0"/>
    <x v="0"/>
    <s v="UPI"/>
    <s v="Low"/>
    <n v="5"/>
    <n v="46040"/>
    <n v="15"/>
    <n v="195670"/>
    <n v="-7150.33"/>
    <x v="8"/>
  </r>
  <r>
    <s v="ORD01304"/>
    <x v="286"/>
    <d v="2024-02-02T00:00:00"/>
    <s v="West"/>
    <s v="India"/>
    <s v="Gujarat"/>
    <s v="Ahmedabad"/>
    <x v="1218"/>
    <x v="1"/>
    <s v="Office Supplies"/>
    <s v="Laptop"/>
    <s v="Product_17"/>
    <x v="2"/>
    <x v="0"/>
    <s v="UPI"/>
    <s v="Medium"/>
    <n v="6"/>
    <n v="29998"/>
    <n v="10"/>
    <n v="161989.20000000001"/>
    <n v="24450.720000000001"/>
    <x v="1"/>
  </r>
  <r>
    <s v="ORD01305"/>
    <x v="524"/>
    <d v="2022-05-20T00:00:00"/>
    <s v="West"/>
    <s v="India"/>
    <s v="Gujarat"/>
    <s v="Mumbai"/>
    <x v="1219"/>
    <x v="2"/>
    <s v="Office Supplies"/>
    <s v="Laptop"/>
    <s v="Product_79"/>
    <x v="1"/>
    <x v="1"/>
    <s v="Net Banking"/>
    <s v="Critical"/>
    <n v="1"/>
    <n v="24277"/>
    <n v="20"/>
    <n v="19421.599999999999"/>
    <n v="-770.04"/>
    <x v="4"/>
  </r>
  <r>
    <s v="ORD01306"/>
    <x v="209"/>
    <d v="2022-05-16T00:00:00"/>
    <s v="North"/>
    <s v="India"/>
    <s v="Delhi"/>
    <s v="Ahmedabad"/>
    <x v="1220"/>
    <x v="2"/>
    <s v="Furniture"/>
    <s v="Table"/>
    <s v="Product_73"/>
    <x v="5"/>
    <x v="1"/>
    <s v="Debit Card"/>
    <s v="Low"/>
    <n v="3"/>
    <n v="14731"/>
    <n v="20"/>
    <n v="35354.400000000001"/>
    <n v="82.65"/>
    <x v="4"/>
  </r>
  <r>
    <s v="ORD01307"/>
    <x v="209"/>
    <d v="2022-05-11T00:00:00"/>
    <s v="North"/>
    <s v="India"/>
    <s v="Maharashtra"/>
    <s v="Mumbai"/>
    <x v="1221"/>
    <x v="1"/>
    <s v="Office Supplies"/>
    <s v="Table"/>
    <s v="Product_125"/>
    <x v="5"/>
    <x v="0"/>
    <s v="Cash"/>
    <s v="Critical"/>
    <n v="10"/>
    <n v="1334"/>
    <n v="10"/>
    <n v="12006"/>
    <n v="835.63"/>
    <x v="4"/>
  </r>
  <r>
    <s v="ORD01308"/>
    <x v="735"/>
    <d v="2022-12-21T00:00:00"/>
    <s v="South"/>
    <s v="India"/>
    <s v="Karnataka"/>
    <s v="Ahmedabad"/>
    <x v="126"/>
    <x v="1"/>
    <s v="Office Supplies"/>
    <s v="Mobile"/>
    <s v="Product_152"/>
    <x v="5"/>
    <x v="0"/>
    <s v="UPI"/>
    <s v="Critical"/>
    <n v="1"/>
    <n v="12026"/>
    <n v="20"/>
    <n v="9620.7999999999993"/>
    <n v="486.78"/>
    <x v="9"/>
  </r>
  <r>
    <s v="ORD01309"/>
    <x v="375"/>
    <d v="2023-08-05T00:00:00"/>
    <s v="West"/>
    <s v="India"/>
    <s v="Maharashtra"/>
    <s v="Mumbai"/>
    <x v="1222"/>
    <x v="1"/>
    <s v="Office Supplies"/>
    <s v="Printer"/>
    <s v="Product_39"/>
    <x v="1"/>
    <x v="1"/>
    <s v="UPI"/>
    <s v="Critical"/>
    <n v="7"/>
    <n v="23003"/>
    <n v="0"/>
    <n v="161021"/>
    <n v="15561.12"/>
    <x v="8"/>
  </r>
  <r>
    <s v="ORD01310"/>
    <x v="736"/>
    <d v="2022-10-27T00:00:00"/>
    <s v="East"/>
    <s v="India"/>
    <s v="Tamil Nadu"/>
    <s v="Bangalore"/>
    <x v="1223"/>
    <x v="0"/>
    <s v="Office Supplies"/>
    <s v="Storage"/>
    <s v="Product_178"/>
    <x v="2"/>
    <x v="1"/>
    <s v="Debit Card"/>
    <s v="Critical"/>
    <n v="6"/>
    <n v="33978"/>
    <n v="5"/>
    <n v="193674.6"/>
    <n v="1338.73"/>
    <x v="10"/>
  </r>
  <r>
    <s v="ORD01311"/>
    <x v="737"/>
    <d v="2024-08-06T00:00:00"/>
    <s v="East"/>
    <s v="India"/>
    <s v="Gujarat"/>
    <s v="Ahmedabad"/>
    <x v="1224"/>
    <x v="2"/>
    <s v="Furniture"/>
    <s v="Table"/>
    <s v="Product_128"/>
    <x v="1"/>
    <x v="1"/>
    <s v="Cash"/>
    <s v="Critical"/>
    <n v="8"/>
    <n v="37998"/>
    <n v="5"/>
    <n v="288784.8"/>
    <n v="45545.440000000002"/>
    <x v="11"/>
  </r>
  <r>
    <s v="ORD01312"/>
    <x v="632"/>
    <d v="2022-07-26T00:00:00"/>
    <s v="North"/>
    <s v="India"/>
    <s v="Tamil Nadu"/>
    <s v="Chennai"/>
    <x v="1225"/>
    <x v="1"/>
    <s v="Electronics"/>
    <s v="Table"/>
    <s v="Product_56"/>
    <x v="5"/>
    <x v="0"/>
    <s v="UPI"/>
    <s v="Medium"/>
    <n v="5"/>
    <n v="48232"/>
    <n v="5"/>
    <n v="229102"/>
    <n v="20796.29"/>
    <x v="11"/>
  </r>
  <r>
    <s v="ORD01313"/>
    <x v="423"/>
    <d v="2023-06-19T00:00:00"/>
    <s v="North"/>
    <s v="India"/>
    <s v="Tamil Nadu"/>
    <s v="Chennai"/>
    <x v="1226"/>
    <x v="2"/>
    <s v="Office Supplies"/>
    <s v="Table"/>
    <s v="Product_47"/>
    <x v="1"/>
    <x v="1"/>
    <s v="UPI"/>
    <s v="Medium"/>
    <n v="9"/>
    <n v="12585"/>
    <n v="20"/>
    <n v="90612"/>
    <n v="-4531.43"/>
    <x v="2"/>
  </r>
  <r>
    <s v="ORD01314"/>
    <x v="399"/>
    <d v="2024-05-23T00:00:00"/>
    <s v="East"/>
    <s v="India"/>
    <s v="Gujarat"/>
    <s v="Ahmedabad"/>
    <x v="1227"/>
    <x v="2"/>
    <s v="Electronics"/>
    <s v="Printer"/>
    <s v="Product_99"/>
    <x v="5"/>
    <x v="1"/>
    <s v="UPI"/>
    <s v="Critical"/>
    <n v="8"/>
    <n v="11304"/>
    <n v="15"/>
    <n v="76867.199999999997"/>
    <n v="-7797.52"/>
    <x v="4"/>
  </r>
  <r>
    <s v="ORD01315"/>
    <x v="159"/>
    <d v="2023-06-26T00:00:00"/>
    <s v="West"/>
    <s v="India"/>
    <s v="Karnataka"/>
    <s v="Delhi"/>
    <x v="1228"/>
    <x v="0"/>
    <s v="Office Supplies"/>
    <s v="Laptop"/>
    <s v="Product_75"/>
    <x v="3"/>
    <x v="1"/>
    <s v="Credit Card"/>
    <s v="Critical"/>
    <n v="9"/>
    <n v="45175"/>
    <n v="20"/>
    <n v="325260"/>
    <n v="26468.58"/>
    <x v="2"/>
  </r>
  <r>
    <s v="ORD01316"/>
    <x v="393"/>
    <d v="2024-03-10T00:00:00"/>
    <s v="East"/>
    <s v="India"/>
    <s v="Delhi"/>
    <s v="Delhi"/>
    <x v="1229"/>
    <x v="2"/>
    <s v="Furniture"/>
    <s v="Table"/>
    <s v="Product_104"/>
    <x v="2"/>
    <x v="1"/>
    <s v="UPI"/>
    <s v="Low"/>
    <n v="10"/>
    <n v="44658"/>
    <n v="5"/>
    <n v="424251"/>
    <n v="55464.44"/>
    <x v="0"/>
  </r>
  <r>
    <s v="ORD01317"/>
    <x v="601"/>
    <d v="2022-04-25T00:00:00"/>
    <s v="East"/>
    <s v="India"/>
    <s v="Delhi"/>
    <s v="Mumbai"/>
    <x v="1230"/>
    <x v="0"/>
    <s v="Furniture"/>
    <s v="Mobile"/>
    <s v="Product_67"/>
    <x v="0"/>
    <x v="0"/>
    <s v="UPI"/>
    <s v="High"/>
    <n v="3"/>
    <n v="25447"/>
    <n v="5"/>
    <n v="72523.95"/>
    <n v="17279.59"/>
    <x v="6"/>
  </r>
  <r>
    <s v="ORD01318"/>
    <x v="738"/>
    <d v="2022-08-25T00:00:00"/>
    <s v="West"/>
    <s v="India"/>
    <s v="Delhi"/>
    <s v="Chennai"/>
    <x v="1231"/>
    <x v="1"/>
    <s v="Office Supplies"/>
    <s v="Chair"/>
    <s v="Product_122"/>
    <x v="4"/>
    <x v="1"/>
    <s v="Cash"/>
    <s v="High"/>
    <n v="10"/>
    <n v="43987"/>
    <n v="20"/>
    <n v="351896"/>
    <n v="31388.66"/>
    <x v="8"/>
  </r>
  <r>
    <s v="ORD01319"/>
    <x v="739"/>
    <d v="2023-05-05T00:00:00"/>
    <s v="North"/>
    <s v="India"/>
    <s v="Gujarat"/>
    <s v="Chennai"/>
    <x v="1232"/>
    <x v="1"/>
    <s v="Furniture"/>
    <s v="Mobile"/>
    <s v="Product_83"/>
    <x v="5"/>
    <x v="0"/>
    <s v="Net Banking"/>
    <s v="Medium"/>
    <n v="2"/>
    <n v="8338"/>
    <n v="5"/>
    <n v="15842.2"/>
    <n v="2114.31"/>
    <x v="6"/>
  </r>
  <r>
    <s v="ORD01320"/>
    <x v="394"/>
    <d v="2024-08-24T00:00:00"/>
    <s v="North"/>
    <s v="India"/>
    <s v="Delhi"/>
    <s v="Bangalore"/>
    <x v="1233"/>
    <x v="2"/>
    <s v="Office Supplies"/>
    <s v="Printer"/>
    <s v="Product_172"/>
    <x v="1"/>
    <x v="1"/>
    <s v="Cash"/>
    <s v="High"/>
    <n v="4"/>
    <n v="26271"/>
    <n v="10"/>
    <n v="94575.6"/>
    <n v="16769.05"/>
    <x v="8"/>
  </r>
  <r>
    <s v="ORD01321"/>
    <x v="412"/>
    <d v="2023-10-06T00:00:00"/>
    <s v="East"/>
    <s v="India"/>
    <s v="Maharashtra"/>
    <s v="Delhi"/>
    <x v="323"/>
    <x v="0"/>
    <s v="Electronics"/>
    <s v="Laptop"/>
    <s v="Product_91"/>
    <x v="4"/>
    <x v="0"/>
    <s v="Debit Card"/>
    <s v="Critical"/>
    <n v="7"/>
    <n v="14328"/>
    <n v="10"/>
    <n v="90266.4"/>
    <n v="-4384.71"/>
    <x v="10"/>
  </r>
  <r>
    <s v="ORD01322"/>
    <x v="583"/>
    <d v="2024-06-22T00:00:00"/>
    <s v="West"/>
    <s v="India"/>
    <s v="Karnataka"/>
    <s v="Mumbai"/>
    <x v="1234"/>
    <x v="1"/>
    <s v="Office Supplies"/>
    <s v="Storage"/>
    <s v="Product_62"/>
    <x v="1"/>
    <x v="0"/>
    <s v="UPI"/>
    <s v="Medium"/>
    <n v="1"/>
    <n v="28134"/>
    <n v="5"/>
    <n v="26727.3"/>
    <n v="1862.58"/>
    <x v="2"/>
  </r>
  <r>
    <s v="ORD01323"/>
    <x v="24"/>
    <d v="2022-09-12T00:00:00"/>
    <s v="East"/>
    <s v="India"/>
    <s v="Maharashtra"/>
    <s v="Delhi"/>
    <x v="1235"/>
    <x v="1"/>
    <s v="Furniture"/>
    <s v="Chair"/>
    <s v="Product_20"/>
    <x v="5"/>
    <x v="0"/>
    <s v="Cash"/>
    <s v="High"/>
    <n v="9"/>
    <n v="45011"/>
    <n v="10"/>
    <n v="364589.1"/>
    <n v="66133.5"/>
    <x v="7"/>
  </r>
  <r>
    <s v="ORD01324"/>
    <x v="388"/>
    <d v="2022-01-17T00:00:00"/>
    <s v="North"/>
    <s v="India"/>
    <s v="Gujarat"/>
    <s v="Bangalore"/>
    <x v="1236"/>
    <x v="0"/>
    <s v="Electronics"/>
    <s v="Table"/>
    <s v="Product_120"/>
    <x v="0"/>
    <x v="0"/>
    <s v="UPI"/>
    <s v="High"/>
    <n v="6"/>
    <n v="17259"/>
    <n v="10"/>
    <n v="93198.6"/>
    <n v="10237.77"/>
    <x v="1"/>
  </r>
  <r>
    <s v="ORD01325"/>
    <x v="375"/>
    <d v="2023-08-05T00:00:00"/>
    <s v="East"/>
    <s v="India"/>
    <s v="Maharashtra"/>
    <s v="Mumbai"/>
    <x v="1237"/>
    <x v="0"/>
    <s v="Office Supplies"/>
    <s v="Laptop"/>
    <s v="Product_31"/>
    <x v="3"/>
    <x v="0"/>
    <s v="Credit Card"/>
    <s v="Critical"/>
    <n v="4"/>
    <n v="23597"/>
    <n v="0"/>
    <n v="94388"/>
    <n v="12477.61"/>
    <x v="8"/>
  </r>
  <r>
    <s v="ORD01326"/>
    <x v="34"/>
    <d v="2023-04-23T00:00:00"/>
    <s v="South"/>
    <s v="India"/>
    <s v="Delhi"/>
    <s v="Chennai"/>
    <x v="1238"/>
    <x v="1"/>
    <s v="Electronics"/>
    <s v="Mobile"/>
    <s v="Product_17"/>
    <x v="0"/>
    <x v="1"/>
    <s v="Net Banking"/>
    <s v="High"/>
    <n v="7"/>
    <n v="32833"/>
    <n v="20"/>
    <n v="183864.8"/>
    <n v="-30435.35"/>
    <x v="6"/>
  </r>
  <r>
    <s v="ORD01327"/>
    <x v="131"/>
    <d v="2023-04-08T00:00:00"/>
    <s v="North"/>
    <s v="India"/>
    <s v="Delhi"/>
    <s v="Ahmedabad"/>
    <x v="1239"/>
    <x v="1"/>
    <s v="Electronics"/>
    <s v="Printer"/>
    <s v="Product_83"/>
    <x v="3"/>
    <x v="1"/>
    <s v="Debit Card"/>
    <s v="High"/>
    <n v="9"/>
    <n v="41963"/>
    <n v="15"/>
    <n v="321016.95"/>
    <n v="-31538.7"/>
    <x v="0"/>
  </r>
  <r>
    <s v="ORD01328"/>
    <x v="740"/>
    <d v="2024-01-28T00:00:00"/>
    <s v="West"/>
    <s v="India"/>
    <s v="Karnataka"/>
    <s v="Ahmedabad"/>
    <x v="1240"/>
    <x v="1"/>
    <s v="Furniture"/>
    <s v="Storage"/>
    <s v="Product_100"/>
    <x v="1"/>
    <x v="1"/>
    <s v="Cash"/>
    <s v="Critical"/>
    <n v="10"/>
    <n v="21360"/>
    <n v="15"/>
    <n v="181560"/>
    <n v="22808.27"/>
    <x v="1"/>
  </r>
  <r>
    <s v="ORD01329"/>
    <x v="673"/>
    <d v="2024-06-12T00:00:00"/>
    <s v="North"/>
    <s v="India"/>
    <s v="Tamil Nadu"/>
    <s v="Ahmedabad"/>
    <x v="1241"/>
    <x v="0"/>
    <s v="Furniture"/>
    <s v="Mobile"/>
    <s v="Product_87"/>
    <x v="5"/>
    <x v="0"/>
    <s v="Credit Card"/>
    <s v="Medium"/>
    <n v="2"/>
    <n v="32659"/>
    <n v="5"/>
    <n v="62052.1"/>
    <n v="233.88"/>
    <x v="2"/>
  </r>
  <r>
    <s v="ORD01330"/>
    <x v="526"/>
    <d v="2022-01-10T00:00:00"/>
    <s v="West"/>
    <s v="India"/>
    <s v="Maharashtra"/>
    <s v="Chennai"/>
    <x v="1242"/>
    <x v="1"/>
    <s v="Office Supplies"/>
    <s v="Printer"/>
    <s v="Product_87"/>
    <x v="4"/>
    <x v="0"/>
    <s v="Debit Card"/>
    <s v="Critical"/>
    <n v="8"/>
    <n v="33558"/>
    <n v="5"/>
    <n v="255040.8"/>
    <n v="2988.29"/>
    <x v="1"/>
  </r>
  <r>
    <s v="ORD01331"/>
    <x v="741"/>
    <d v="2023-10-06T00:00:00"/>
    <s v="North"/>
    <s v="India"/>
    <s v="Karnataka"/>
    <s v="Ahmedabad"/>
    <x v="1243"/>
    <x v="2"/>
    <s v="Office Supplies"/>
    <s v="Table"/>
    <s v="Product_139"/>
    <x v="4"/>
    <x v="0"/>
    <s v="Credit Card"/>
    <s v="Medium"/>
    <n v="5"/>
    <n v="29002"/>
    <n v="5"/>
    <n v="137759.5"/>
    <n v="25982.13"/>
    <x v="10"/>
  </r>
  <r>
    <s v="ORD01332"/>
    <x v="72"/>
    <d v="2023-03-16T00:00:00"/>
    <s v="South"/>
    <s v="India"/>
    <s v="Maharashtra"/>
    <s v="Mumbai"/>
    <x v="1244"/>
    <x v="1"/>
    <s v="Electronics"/>
    <s v="Printer"/>
    <s v="Product_129"/>
    <x v="0"/>
    <x v="0"/>
    <s v="Credit Card"/>
    <s v="High"/>
    <n v="9"/>
    <n v="34006"/>
    <n v="20"/>
    <n v="244843.2"/>
    <n v="-33783.360000000001"/>
    <x v="0"/>
  </r>
  <r>
    <s v="ORD01333"/>
    <x v="742"/>
    <d v="2024-03-24T00:00:00"/>
    <s v="East"/>
    <s v="India"/>
    <s v="Gujarat"/>
    <s v="Ahmedabad"/>
    <x v="1245"/>
    <x v="0"/>
    <s v="Electronics"/>
    <s v="Table"/>
    <s v="Product_5"/>
    <x v="4"/>
    <x v="1"/>
    <s v="Credit Card"/>
    <s v="Critical"/>
    <n v="7"/>
    <n v="47951"/>
    <n v="5"/>
    <n v="318874.15000000002"/>
    <n v="13237.02"/>
    <x v="0"/>
  </r>
  <r>
    <s v="ORD01334"/>
    <x v="743"/>
    <d v="2024-01-26T00:00:00"/>
    <s v="North"/>
    <s v="India"/>
    <s v="Tamil Nadu"/>
    <s v="Chennai"/>
    <x v="1246"/>
    <x v="0"/>
    <s v="Office Supplies"/>
    <s v="Mobile"/>
    <s v="Product_172"/>
    <x v="1"/>
    <x v="1"/>
    <s v="Credit Card"/>
    <s v="Low"/>
    <n v="6"/>
    <n v="5475"/>
    <n v="15"/>
    <n v="27922.5"/>
    <n v="3680"/>
    <x v="1"/>
  </r>
  <r>
    <s v="ORD01335"/>
    <x v="16"/>
    <d v="2022-03-16T00:00:00"/>
    <s v="South"/>
    <s v="India"/>
    <s v="Karnataka"/>
    <s v="Chennai"/>
    <x v="1247"/>
    <x v="2"/>
    <s v="Furniture"/>
    <s v="Printer"/>
    <s v="Product_139"/>
    <x v="5"/>
    <x v="0"/>
    <s v="Net Banking"/>
    <s v="Medium"/>
    <n v="5"/>
    <n v="29231"/>
    <n v="5"/>
    <n v="138847.25"/>
    <n v="20805.86"/>
    <x v="0"/>
  </r>
  <r>
    <s v="ORD01336"/>
    <x v="169"/>
    <d v="2022-07-25T00:00:00"/>
    <s v="East"/>
    <s v="India"/>
    <s v="Gujarat"/>
    <s v="Bangalore"/>
    <x v="1248"/>
    <x v="0"/>
    <s v="Electronics"/>
    <s v="Mobile"/>
    <s v="Product_87"/>
    <x v="5"/>
    <x v="1"/>
    <s v="Debit Card"/>
    <s v="High"/>
    <n v="10"/>
    <n v="3831"/>
    <n v="20"/>
    <n v="30648"/>
    <n v="1278.82"/>
    <x v="11"/>
  </r>
  <r>
    <s v="ORD01337"/>
    <x v="345"/>
    <d v="2023-12-04T00:00:00"/>
    <s v="South"/>
    <s v="India"/>
    <s v="Delhi"/>
    <s v="Chennai"/>
    <x v="1249"/>
    <x v="2"/>
    <s v="Office Supplies"/>
    <s v="Laptop"/>
    <s v="Product_117"/>
    <x v="5"/>
    <x v="0"/>
    <s v="UPI"/>
    <s v="Medium"/>
    <n v="10"/>
    <n v="16214"/>
    <n v="5"/>
    <n v="154033"/>
    <n v="30323.1"/>
    <x v="3"/>
  </r>
  <r>
    <s v="ORD01338"/>
    <x v="645"/>
    <d v="2024-04-15T00:00:00"/>
    <s v="East"/>
    <s v="India"/>
    <s v="Gujarat"/>
    <s v="Chennai"/>
    <x v="1250"/>
    <x v="0"/>
    <s v="Electronics"/>
    <s v="Mobile"/>
    <s v="Product_147"/>
    <x v="0"/>
    <x v="0"/>
    <s v="Debit Card"/>
    <s v="Low"/>
    <n v="3"/>
    <n v="35742"/>
    <n v="5"/>
    <n v="101864.7"/>
    <n v="15338.53"/>
    <x v="6"/>
  </r>
  <r>
    <s v="ORD01339"/>
    <x v="199"/>
    <d v="2022-10-06T00:00:00"/>
    <s v="East"/>
    <s v="India"/>
    <s v="Maharashtra"/>
    <s v="Chennai"/>
    <x v="1251"/>
    <x v="2"/>
    <s v="Furniture"/>
    <s v="Laptop"/>
    <s v="Product_172"/>
    <x v="5"/>
    <x v="1"/>
    <s v="UPI"/>
    <s v="Critical"/>
    <n v="9"/>
    <n v="15365"/>
    <n v="20"/>
    <n v="110628"/>
    <n v="-6682.77"/>
    <x v="10"/>
  </r>
  <r>
    <s v="ORD01340"/>
    <x v="744"/>
    <d v="2024-06-02T00:00:00"/>
    <s v="South"/>
    <s v="India"/>
    <s v="Gujarat"/>
    <s v="Mumbai"/>
    <x v="1252"/>
    <x v="0"/>
    <s v="Electronics"/>
    <s v="Mobile"/>
    <s v="Product_187"/>
    <x v="4"/>
    <x v="1"/>
    <s v="UPI"/>
    <s v="High"/>
    <n v="4"/>
    <n v="30907"/>
    <n v="5"/>
    <n v="117446.6"/>
    <n v="27706.17"/>
    <x v="4"/>
  </r>
  <r>
    <s v="ORD01341"/>
    <x v="349"/>
    <d v="2024-02-04T00:00:00"/>
    <s v="East"/>
    <s v="India"/>
    <s v="Gujarat"/>
    <s v="Bangalore"/>
    <x v="1253"/>
    <x v="1"/>
    <s v="Office Supplies"/>
    <s v="Chair"/>
    <s v="Product_154"/>
    <x v="3"/>
    <x v="1"/>
    <s v="Cash"/>
    <s v="High"/>
    <n v="8"/>
    <n v="9551"/>
    <n v="0"/>
    <n v="76408"/>
    <n v="9524.39"/>
    <x v="1"/>
  </r>
  <r>
    <s v="ORD01342"/>
    <x v="723"/>
    <d v="2022-02-03T00:00:00"/>
    <s v="North"/>
    <s v="India"/>
    <s v="Maharashtra"/>
    <s v="Mumbai"/>
    <x v="1254"/>
    <x v="2"/>
    <s v="Furniture"/>
    <s v="Mobile"/>
    <s v="Product_130"/>
    <x v="3"/>
    <x v="1"/>
    <s v="Debit Card"/>
    <s v="High"/>
    <n v="5"/>
    <n v="5592"/>
    <n v="20"/>
    <n v="22368"/>
    <n v="-4166.18"/>
    <x v="1"/>
  </r>
  <r>
    <s v="ORD01343"/>
    <x v="745"/>
    <d v="2023-09-11T00:00:00"/>
    <s v="East"/>
    <s v="India"/>
    <s v="Karnataka"/>
    <s v="Bangalore"/>
    <x v="1255"/>
    <x v="1"/>
    <s v="Furniture"/>
    <s v="Laptop"/>
    <s v="Product_30"/>
    <x v="2"/>
    <x v="1"/>
    <s v="Credit Card"/>
    <s v="Medium"/>
    <n v="10"/>
    <n v="22529"/>
    <n v="20"/>
    <n v="180232"/>
    <n v="-4456.46"/>
    <x v="7"/>
  </r>
  <r>
    <s v="ORD01344"/>
    <x v="158"/>
    <d v="2022-05-19T00:00:00"/>
    <s v="South"/>
    <s v="India"/>
    <s v="Karnataka"/>
    <s v="Ahmedabad"/>
    <x v="440"/>
    <x v="0"/>
    <s v="Furniture"/>
    <s v="Chair"/>
    <s v="Product_110"/>
    <x v="2"/>
    <x v="0"/>
    <s v="Credit Card"/>
    <s v="Critical"/>
    <n v="5"/>
    <n v="1308"/>
    <n v="10"/>
    <n v="5886"/>
    <n v="1062.73"/>
    <x v="4"/>
  </r>
  <r>
    <s v="ORD01345"/>
    <x v="119"/>
    <d v="2023-02-13T00:00:00"/>
    <s v="West"/>
    <s v="India"/>
    <s v="Maharashtra"/>
    <s v="Ahmedabad"/>
    <x v="343"/>
    <x v="2"/>
    <s v="Furniture"/>
    <s v="Chair"/>
    <s v="Product_102"/>
    <x v="1"/>
    <x v="1"/>
    <s v="Debit Card"/>
    <s v="Medium"/>
    <n v="9"/>
    <n v="45485"/>
    <n v="10"/>
    <n v="368428.5"/>
    <n v="71824.350000000006"/>
    <x v="5"/>
  </r>
  <r>
    <s v="ORD01346"/>
    <x v="746"/>
    <d v="2023-03-13T00:00:00"/>
    <s v="West"/>
    <s v="India"/>
    <s v="Gujarat"/>
    <s v="Ahmedabad"/>
    <x v="1256"/>
    <x v="2"/>
    <s v="Electronics"/>
    <s v="Mobile"/>
    <s v="Product_176"/>
    <x v="5"/>
    <x v="0"/>
    <s v="Net Banking"/>
    <s v="Critical"/>
    <n v="2"/>
    <n v="20128"/>
    <n v="15"/>
    <n v="34217.599999999999"/>
    <n v="-3730.06"/>
    <x v="0"/>
  </r>
  <r>
    <s v="ORD01347"/>
    <x v="105"/>
    <d v="2024-05-20T00:00:00"/>
    <s v="West"/>
    <s v="India"/>
    <s v="Delhi"/>
    <s v="Ahmedabad"/>
    <x v="1257"/>
    <x v="2"/>
    <s v="Office Supplies"/>
    <s v="Mobile"/>
    <s v="Product_57"/>
    <x v="0"/>
    <x v="1"/>
    <s v="Debit Card"/>
    <s v="Medium"/>
    <n v="10"/>
    <n v="20669"/>
    <n v="5"/>
    <n v="196355.5"/>
    <n v="28042.97"/>
    <x v="4"/>
  </r>
  <r>
    <s v="ORD01348"/>
    <x v="455"/>
    <d v="2024-07-27T00:00:00"/>
    <s v="South"/>
    <s v="India"/>
    <s v="Gujarat"/>
    <s v="Bangalore"/>
    <x v="1258"/>
    <x v="1"/>
    <s v="Furniture"/>
    <s v="Chair"/>
    <s v="Product_75"/>
    <x v="4"/>
    <x v="0"/>
    <s v="Net Banking"/>
    <s v="Low"/>
    <n v="8"/>
    <n v="11832"/>
    <n v="20"/>
    <n v="75724.800000000003"/>
    <n v="7025.46"/>
    <x v="11"/>
  </r>
  <r>
    <s v="ORD01349"/>
    <x v="507"/>
    <d v="2024-03-14T00:00:00"/>
    <s v="East"/>
    <s v="India"/>
    <s v="Gujarat"/>
    <s v="Mumbai"/>
    <x v="1259"/>
    <x v="0"/>
    <s v="Furniture"/>
    <s v="Storage"/>
    <s v="Product_167"/>
    <x v="3"/>
    <x v="1"/>
    <s v="Credit Card"/>
    <s v="Low"/>
    <n v="5"/>
    <n v="49984"/>
    <n v="20"/>
    <n v="199936"/>
    <n v="-10417.83"/>
    <x v="0"/>
  </r>
  <r>
    <s v="ORD01350"/>
    <x v="747"/>
    <d v="2024-05-19T00:00:00"/>
    <s v="East"/>
    <s v="India"/>
    <s v="Maharashtra"/>
    <s v="Ahmedabad"/>
    <x v="1260"/>
    <x v="2"/>
    <s v="Furniture"/>
    <s v="Mobile"/>
    <s v="Product_196"/>
    <x v="5"/>
    <x v="0"/>
    <s v="Net Banking"/>
    <s v="High"/>
    <n v="9"/>
    <n v="42900"/>
    <n v="10"/>
    <n v="347490"/>
    <n v="63104.34"/>
    <x v="4"/>
  </r>
  <r>
    <s v="ORD01351"/>
    <x v="144"/>
    <d v="2023-08-06T00:00:00"/>
    <s v="West"/>
    <s v="India"/>
    <s v="Tamil Nadu"/>
    <s v="Delhi"/>
    <x v="1261"/>
    <x v="1"/>
    <s v="Furniture"/>
    <s v="Laptop"/>
    <s v="Product_133"/>
    <x v="1"/>
    <x v="1"/>
    <s v="UPI"/>
    <s v="High"/>
    <n v="2"/>
    <n v="45267"/>
    <n v="10"/>
    <n v="81480.600000000006"/>
    <n v="3693.58"/>
    <x v="11"/>
  </r>
  <r>
    <s v="ORD01352"/>
    <x v="253"/>
    <d v="2022-12-20T00:00:00"/>
    <s v="North"/>
    <s v="India"/>
    <s v="Tamil Nadu"/>
    <s v="Bangalore"/>
    <x v="192"/>
    <x v="2"/>
    <s v="Electronics"/>
    <s v="Printer"/>
    <s v="Product_72"/>
    <x v="5"/>
    <x v="0"/>
    <s v="Net Banking"/>
    <s v="Medium"/>
    <n v="6"/>
    <n v="20967"/>
    <n v="20"/>
    <n v="100641.60000000001"/>
    <n v="-4476.78"/>
    <x v="9"/>
  </r>
  <r>
    <s v="ORD01353"/>
    <x v="748"/>
    <d v="2024-03-17T00:00:00"/>
    <s v="North"/>
    <s v="India"/>
    <s v="Delhi"/>
    <s v="Bangalore"/>
    <x v="184"/>
    <x v="0"/>
    <s v="Electronics"/>
    <s v="Laptop"/>
    <s v="Product_86"/>
    <x v="0"/>
    <x v="1"/>
    <s v="Debit Card"/>
    <s v="Medium"/>
    <n v="1"/>
    <n v="3485"/>
    <n v="20"/>
    <n v="2788"/>
    <n v="64.97"/>
    <x v="0"/>
  </r>
  <r>
    <s v="ORD01354"/>
    <x v="749"/>
    <d v="2023-08-15T00:00:00"/>
    <s v="West"/>
    <s v="India"/>
    <s v="Delhi"/>
    <s v="Chennai"/>
    <x v="1262"/>
    <x v="1"/>
    <s v="Electronics"/>
    <s v="Printer"/>
    <s v="Product_111"/>
    <x v="1"/>
    <x v="1"/>
    <s v="Debit Card"/>
    <s v="Low"/>
    <n v="6"/>
    <n v="17071"/>
    <n v="20"/>
    <n v="81940.800000000003"/>
    <n v="-2631.24"/>
    <x v="8"/>
  </r>
  <r>
    <s v="ORD01355"/>
    <x v="717"/>
    <d v="2024-05-07T00:00:00"/>
    <s v="South"/>
    <s v="India"/>
    <s v="Delhi"/>
    <s v="Chennai"/>
    <x v="1263"/>
    <x v="2"/>
    <s v="Furniture"/>
    <s v="Chair"/>
    <s v="Product_16"/>
    <x v="2"/>
    <x v="0"/>
    <s v="Net Banking"/>
    <s v="Low"/>
    <n v="1"/>
    <n v="37157"/>
    <n v="5"/>
    <n v="35299.15"/>
    <n v="6312.43"/>
    <x v="4"/>
  </r>
  <r>
    <s v="ORD01356"/>
    <x v="75"/>
    <d v="2022-04-03T00:00:00"/>
    <s v="South"/>
    <s v="India"/>
    <s v="Gujarat"/>
    <s v="Delhi"/>
    <x v="1264"/>
    <x v="1"/>
    <s v="Office Supplies"/>
    <s v="Laptop"/>
    <s v="Product_65"/>
    <x v="0"/>
    <x v="0"/>
    <s v="UPI"/>
    <s v="Critical"/>
    <n v="2"/>
    <n v="7585"/>
    <n v="10"/>
    <n v="13653"/>
    <n v="1236"/>
    <x v="0"/>
  </r>
  <r>
    <s v="ORD01357"/>
    <x v="203"/>
    <d v="2023-12-22T00:00:00"/>
    <s v="West"/>
    <s v="India"/>
    <s v="Karnataka"/>
    <s v="Mumbai"/>
    <x v="1265"/>
    <x v="1"/>
    <s v="Furniture"/>
    <s v="Chair"/>
    <s v="Product_63"/>
    <x v="2"/>
    <x v="1"/>
    <s v="Credit Card"/>
    <s v="High"/>
    <n v="2"/>
    <n v="14249"/>
    <n v="15"/>
    <n v="24223.3"/>
    <n v="-2312.11"/>
    <x v="9"/>
  </r>
  <r>
    <s v="ORD01358"/>
    <x v="692"/>
    <d v="2022-01-09T00:00:00"/>
    <s v="North"/>
    <s v="India"/>
    <s v="Maharashtra"/>
    <s v="Chennai"/>
    <x v="1266"/>
    <x v="2"/>
    <s v="Furniture"/>
    <s v="Storage"/>
    <s v="Product_149"/>
    <x v="4"/>
    <x v="1"/>
    <s v="Cash"/>
    <s v="Critical"/>
    <n v="5"/>
    <n v="43670"/>
    <n v="20"/>
    <n v="174680"/>
    <n v="-29906.959999999999"/>
    <x v="1"/>
  </r>
  <r>
    <s v="ORD01359"/>
    <x v="750"/>
    <d v="2023-04-14T00:00:00"/>
    <s v="East"/>
    <s v="India"/>
    <s v="Karnataka"/>
    <s v="Bangalore"/>
    <x v="1267"/>
    <x v="0"/>
    <s v="Furniture"/>
    <s v="Storage"/>
    <s v="Product_186"/>
    <x v="2"/>
    <x v="0"/>
    <s v="Net Banking"/>
    <s v="Low"/>
    <n v="7"/>
    <n v="8136"/>
    <n v="10"/>
    <n v="51256.800000000003"/>
    <n v="4137.21"/>
    <x v="6"/>
  </r>
  <r>
    <s v="ORD01360"/>
    <x v="350"/>
    <d v="2023-08-22T00:00:00"/>
    <s v="West"/>
    <s v="India"/>
    <s v="Karnataka"/>
    <s v="Delhi"/>
    <x v="1268"/>
    <x v="0"/>
    <s v="Office Supplies"/>
    <s v="Printer"/>
    <s v="Product_129"/>
    <x v="2"/>
    <x v="0"/>
    <s v="Debit Card"/>
    <s v="Critical"/>
    <n v="7"/>
    <n v="12549"/>
    <n v="20"/>
    <n v="70274.399999999994"/>
    <n v="-2895.57"/>
    <x v="8"/>
  </r>
  <r>
    <s v="ORD01361"/>
    <x v="375"/>
    <d v="2023-08-11T00:00:00"/>
    <s v="South"/>
    <s v="India"/>
    <s v="Karnataka"/>
    <s v="Delhi"/>
    <x v="1269"/>
    <x v="2"/>
    <s v="Office Supplies"/>
    <s v="Laptop"/>
    <s v="Product_96"/>
    <x v="3"/>
    <x v="1"/>
    <s v="Net Banking"/>
    <s v="Critical"/>
    <n v="1"/>
    <n v="44483"/>
    <n v="20"/>
    <n v="35586.400000000001"/>
    <n v="-4727.3999999999996"/>
    <x v="8"/>
  </r>
  <r>
    <s v="ORD01362"/>
    <x v="484"/>
    <d v="2024-09-22T00:00:00"/>
    <s v="South"/>
    <s v="India"/>
    <s v="Maharashtra"/>
    <s v="Bangalore"/>
    <x v="1270"/>
    <x v="0"/>
    <s v="Office Supplies"/>
    <s v="Table"/>
    <s v="Product_19"/>
    <x v="2"/>
    <x v="1"/>
    <s v="UPI"/>
    <s v="Low"/>
    <n v="9"/>
    <n v="41294"/>
    <n v="0"/>
    <n v="371646"/>
    <n v="34877.18"/>
    <x v="7"/>
  </r>
  <r>
    <s v="ORD01363"/>
    <x v="34"/>
    <d v="2023-04-20T00:00:00"/>
    <s v="East"/>
    <s v="India"/>
    <s v="Delhi"/>
    <s v="Ahmedabad"/>
    <x v="1271"/>
    <x v="0"/>
    <s v="Electronics"/>
    <s v="Laptop"/>
    <s v="Product_164"/>
    <x v="1"/>
    <x v="1"/>
    <s v="Credit Card"/>
    <s v="High"/>
    <n v="2"/>
    <n v="37935"/>
    <n v="20"/>
    <n v="60696"/>
    <n v="-11359.31"/>
    <x v="6"/>
  </r>
  <r>
    <s v="ORD01364"/>
    <x v="751"/>
    <d v="2022-11-30T00:00:00"/>
    <s v="South"/>
    <s v="India"/>
    <s v="Gujarat"/>
    <s v="Bangalore"/>
    <x v="1272"/>
    <x v="1"/>
    <s v="Furniture"/>
    <s v="Mobile"/>
    <s v="Product_123"/>
    <x v="1"/>
    <x v="0"/>
    <s v="Credit Card"/>
    <s v="Critical"/>
    <n v="8"/>
    <n v="29686"/>
    <n v="5"/>
    <n v="225613.6"/>
    <n v="33800.32"/>
    <x v="3"/>
  </r>
  <r>
    <s v="ORD01365"/>
    <x v="138"/>
    <d v="2023-10-26T00:00:00"/>
    <s v="South"/>
    <s v="India"/>
    <s v="Tamil Nadu"/>
    <s v="Chennai"/>
    <x v="1273"/>
    <x v="2"/>
    <s v="Office Supplies"/>
    <s v="Table"/>
    <s v="Product_167"/>
    <x v="5"/>
    <x v="1"/>
    <s v="Credit Card"/>
    <s v="Critical"/>
    <n v="7"/>
    <n v="46233"/>
    <n v="20"/>
    <n v="258904.8"/>
    <n v="13004.51"/>
    <x v="10"/>
  </r>
  <r>
    <s v="ORD01366"/>
    <x v="46"/>
    <d v="2024-08-01T00:00:00"/>
    <s v="West"/>
    <s v="India"/>
    <s v="Delhi"/>
    <s v="Bangalore"/>
    <x v="1274"/>
    <x v="1"/>
    <s v="Furniture"/>
    <s v="Chair"/>
    <s v="Product_99"/>
    <x v="2"/>
    <x v="1"/>
    <s v="UPI"/>
    <s v="Critical"/>
    <n v="1"/>
    <n v="11319"/>
    <n v="15"/>
    <n v="9621.15"/>
    <n v="1183.8699999999999"/>
    <x v="11"/>
  </r>
  <r>
    <s v="ORD01367"/>
    <x v="574"/>
    <d v="2022-06-03T00:00:00"/>
    <s v="West"/>
    <s v="India"/>
    <s v="Karnataka"/>
    <s v="Bangalore"/>
    <x v="647"/>
    <x v="2"/>
    <s v="Electronics"/>
    <s v="Table"/>
    <s v="Product_185"/>
    <x v="1"/>
    <x v="0"/>
    <s v="Cash"/>
    <s v="Critical"/>
    <n v="4"/>
    <n v="38465"/>
    <n v="5"/>
    <n v="146167"/>
    <n v="13576.05"/>
    <x v="4"/>
  </r>
  <r>
    <s v="ORD01368"/>
    <x v="282"/>
    <d v="2022-07-18T00:00:00"/>
    <s v="South"/>
    <s v="India"/>
    <s v="Karnataka"/>
    <s v="Mumbai"/>
    <x v="1275"/>
    <x v="2"/>
    <s v="Furniture"/>
    <s v="Laptop"/>
    <s v="Product_126"/>
    <x v="1"/>
    <x v="0"/>
    <s v="UPI"/>
    <s v="Critical"/>
    <n v="6"/>
    <n v="18167"/>
    <n v="5"/>
    <n v="103551.9"/>
    <n v="16609.240000000002"/>
    <x v="11"/>
  </r>
  <r>
    <s v="ORD01369"/>
    <x v="53"/>
    <d v="2024-09-19T00:00:00"/>
    <s v="North"/>
    <s v="India"/>
    <s v="Maharashtra"/>
    <s v="Mumbai"/>
    <x v="1276"/>
    <x v="1"/>
    <s v="Furniture"/>
    <s v="Printer"/>
    <s v="Product_149"/>
    <x v="1"/>
    <x v="0"/>
    <s v="Credit Card"/>
    <s v="Critical"/>
    <n v="1"/>
    <n v="20282"/>
    <n v="20"/>
    <n v="16225.6"/>
    <n v="580.03"/>
    <x v="7"/>
  </r>
  <r>
    <s v="ORD01370"/>
    <x v="119"/>
    <d v="2023-02-17T00:00:00"/>
    <s v="West"/>
    <s v="India"/>
    <s v="Maharashtra"/>
    <s v="Mumbai"/>
    <x v="1277"/>
    <x v="1"/>
    <s v="Office Supplies"/>
    <s v="Storage"/>
    <s v="Product_115"/>
    <x v="1"/>
    <x v="0"/>
    <s v="Cash"/>
    <s v="Low"/>
    <n v="6"/>
    <n v="27523"/>
    <n v="15"/>
    <n v="140367.29999999999"/>
    <n v="-13752.63"/>
    <x v="5"/>
  </r>
  <r>
    <s v="ORD01371"/>
    <x v="279"/>
    <d v="2024-05-08T00:00:00"/>
    <s v="North"/>
    <s v="India"/>
    <s v="Delhi"/>
    <s v="Mumbai"/>
    <x v="825"/>
    <x v="1"/>
    <s v="Furniture"/>
    <s v="Mobile"/>
    <s v="Product_154"/>
    <x v="3"/>
    <x v="0"/>
    <s v="Net Banking"/>
    <s v="Medium"/>
    <n v="9"/>
    <n v="31556"/>
    <n v="15"/>
    <n v="241403.4"/>
    <n v="-22454.67"/>
    <x v="4"/>
  </r>
  <r>
    <s v="ORD01372"/>
    <x v="555"/>
    <d v="2024-02-04T00:00:00"/>
    <s v="South"/>
    <s v="India"/>
    <s v="Karnataka"/>
    <s v="Delhi"/>
    <x v="1278"/>
    <x v="0"/>
    <s v="Furniture"/>
    <s v="Chair"/>
    <s v="Product_12"/>
    <x v="5"/>
    <x v="1"/>
    <s v="Debit Card"/>
    <s v="Medium"/>
    <n v="2"/>
    <n v="24043"/>
    <n v="15"/>
    <n v="40873.1"/>
    <n v="-460.32"/>
    <x v="1"/>
  </r>
  <r>
    <s v="ORD01373"/>
    <x v="752"/>
    <d v="2022-08-17T00:00:00"/>
    <s v="East"/>
    <s v="India"/>
    <s v="Maharashtra"/>
    <s v="Bangalore"/>
    <x v="1279"/>
    <x v="1"/>
    <s v="Furniture"/>
    <s v="Chair"/>
    <s v="Product_44"/>
    <x v="3"/>
    <x v="0"/>
    <s v="Debit Card"/>
    <s v="High"/>
    <n v="7"/>
    <n v="19483"/>
    <n v="5"/>
    <n v="129561.95"/>
    <n v="27125.919999999998"/>
    <x v="8"/>
  </r>
  <r>
    <s v="ORD01374"/>
    <x v="608"/>
    <d v="2022-09-08T00:00:00"/>
    <s v="East"/>
    <s v="India"/>
    <s v="Maharashtra"/>
    <s v="Mumbai"/>
    <x v="864"/>
    <x v="1"/>
    <s v="Electronics"/>
    <s v="Chair"/>
    <s v="Product_90"/>
    <x v="4"/>
    <x v="1"/>
    <s v="UPI"/>
    <s v="Critical"/>
    <n v="1"/>
    <n v="19400"/>
    <n v="15"/>
    <n v="16490"/>
    <n v="2447.4899999999998"/>
    <x v="7"/>
  </r>
  <r>
    <s v="ORD01375"/>
    <x v="720"/>
    <d v="2022-02-25T00:00:00"/>
    <s v="West"/>
    <s v="India"/>
    <s v="Delhi"/>
    <s v="Ahmedabad"/>
    <x v="1280"/>
    <x v="1"/>
    <s v="Office Supplies"/>
    <s v="Laptop"/>
    <s v="Product_182"/>
    <x v="2"/>
    <x v="1"/>
    <s v="UPI"/>
    <s v="Critical"/>
    <n v="4"/>
    <n v="25009"/>
    <n v="5"/>
    <n v="95034.2"/>
    <n v="14537.24"/>
    <x v="5"/>
  </r>
  <r>
    <s v="ORD01376"/>
    <x v="85"/>
    <d v="2023-07-17T00:00:00"/>
    <s v="North"/>
    <s v="India"/>
    <s v="Gujarat"/>
    <s v="Bangalore"/>
    <x v="1281"/>
    <x v="2"/>
    <s v="Electronics"/>
    <s v="Laptop"/>
    <s v="Product_134"/>
    <x v="1"/>
    <x v="0"/>
    <s v="Net Banking"/>
    <s v="Medium"/>
    <n v="6"/>
    <n v="11402"/>
    <n v="20"/>
    <n v="54729.599999999999"/>
    <n v="6804.15"/>
    <x v="11"/>
  </r>
  <r>
    <s v="ORD01377"/>
    <x v="485"/>
    <d v="2023-07-24T00:00:00"/>
    <s v="East"/>
    <s v="India"/>
    <s v="Gujarat"/>
    <s v="Delhi"/>
    <x v="1282"/>
    <x v="1"/>
    <s v="Furniture"/>
    <s v="Storage"/>
    <s v="Product_101"/>
    <x v="1"/>
    <x v="0"/>
    <s v="Credit Card"/>
    <s v="Medium"/>
    <n v="8"/>
    <n v="31262"/>
    <n v="0"/>
    <n v="250096"/>
    <n v="13717.51"/>
    <x v="11"/>
  </r>
  <r>
    <s v="ORD01378"/>
    <x v="753"/>
    <d v="2023-12-12T00:00:00"/>
    <s v="South"/>
    <s v="India"/>
    <s v="Karnataka"/>
    <s v="Chennai"/>
    <x v="1283"/>
    <x v="1"/>
    <s v="Office Supplies"/>
    <s v="Mobile"/>
    <s v="Product_169"/>
    <x v="2"/>
    <x v="0"/>
    <s v="Cash"/>
    <s v="Medium"/>
    <n v="2"/>
    <n v="17307"/>
    <n v="0"/>
    <n v="34614"/>
    <n v="3293.46"/>
    <x v="9"/>
  </r>
  <r>
    <s v="ORD01379"/>
    <x v="538"/>
    <d v="2022-12-12T00:00:00"/>
    <s v="South"/>
    <s v="India"/>
    <s v="Maharashtra"/>
    <s v="Delhi"/>
    <x v="1284"/>
    <x v="1"/>
    <s v="Office Supplies"/>
    <s v="Storage"/>
    <s v="Product_30"/>
    <x v="1"/>
    <x v="0"/>
    <s v="Net Banking"/>
    <s v="Medium"/>
    <n v="4"/>
    <n v="24179"/>
    <n v="10"/>
    <n v="87044.4"/>
    <n v="14385.7"/>
    <x v="9"/>
  </r>
  <r>
    <s v="ORD01380"/>
    <x v="53"/>
    <d v="2024-09-14T00:00:00"/>
    <s v="East"/>
    <s v="India"/>
    <s v="Delhi"/>
    <s v="Chennai"/>
    <x v="1247"/>
    <x v="2"/>
    <s v="Electronics"/>
    <s v="Mobile"/>
    <s v="Product_160"/>
    <x v="4"/>
    <x v="0"/>
    <s v="Cash"/>
    <s v="High"/>
    <n v="1"/>
    <n v="23202"/>
    <n v="15"/>
    <n v="19721.7"/>
    <n v="-2147.61"/>
    <x v="7"/>
  </r>
  <r>
    <s v="ORD01381"/>
    <x v="652"/>
    <d v="2023-11-15T00:00:00"/>
    <s v="East"/>
    <s v="India"/>
    <s v="Gujarat"/>
    <s v="Chennai"/>
    <x v="1285"/>
    <x v="0"/>
    <s v="Furniture"/>
    <s v="Table"/>
    <s v="Product_113"/>
    <x v="3"/>
    <x v="0"/>
    <s v="Debit Card"/>
    <s v="Low"/>
    <n v="10"/>
    <n v="46600"/>
    <n v="20"/>
    <n v="372800"/>
    <n v="29107.34"/>
    <x v="3"/>
  </r>
  <r>
    <s v="ORD01382"/>
    <x v="624"/>
    <d v="2023-06-27T00:00:00"/>
    <s v="East"/>
    <s v="India"/>
    <s v="Gujarat"/>
    <s v="Ahmedabad"/>
    <x v="1286"/>
    <x v="1"/>
    <s v="Office Supplies"/>
    <s v="Printer"/>
    <s v="Product_161"/>
    <x v="0"/>
    <x v="0"/>
    <s v="Net Banking"/>
    <s v="Medium"/>
    <n v="8"/>
    <n v="26977"/>
    <n v="5"/>
    <n v="205025.2"/>
    <n v="4608.7299999999996"/>
    <x v="2"/>
  </r>
  <r>
    <s v="ORD01383"/>
    <x v="534"/>
    <d v="2023-01-26T00:00:00"/>
    <s v="North"/>
    <s v="India"/>
    <s v="Tamil Nadu"/>
    <s v="Chennai"/>
    <x v="239"/>
    <x v="1"/>
    <s v="Electronics"/>
    <s v="Storage"/>
    <s v="Product_143"/>
    <x v="4"/>
    <x v="1"/>
    <s v="Debit Card"/>
    <s v="Low"/>
    <n v="5"/>
    <n v="5390"/>
    <n v="10"/>
    <n v="24255"/>
    <n v="2521.4499999999998"/>
    <x v="1"/>
  </r>
  <r>
    <s v="ORD01384"/>
    <x v="677"/>
    <d v="2024-04-14T00:00:00"/>
    <s v="West"/>
    <s v="India"/>
    <s v="Maharashtra"/>
    <s v="Delhi"/>
    <x v="1287"/>
    <x v="1"/>
    <s v="Electronics"/>
    <s v="Printer"/>
    <s v="Product_9"/>
    <x v="4"/>
    <x v="1"/>
    <s v="Credit Card"/>
    <s v="Low"/>
    <n v="7"/>
    <n v="47655"/>
    <n v="5"/>
    <n v="316905.75"/>
    <n v="23238.83"/>
    <x v="6"/>
  </r>
  <r>
    <s v="ORD01385"/>
    <x v="326"/>
    <d v="2023-01-28T00:00:00"/>
    <s v="East"/>
    <s v="India"/>
    <s v="Delhi"/>
    <s v="Mumbai"/>
    <x v="1288"/>
    <x v="0"/>
    <s v="Electronics"/>
    <s v="Printer"/>
    <s v="Product_37"/>
    <x v="0"/>
    <x v="1"/>
    <s v="Cash"/>
    <s v="Critical"/>
    <n v="6"/>
    <n v="44473"/>
    <n v="10"/>
    <n v="240154.2"/>
    <n v="40585.11"/>
    <x v="1"/>
  </r>
  <r>
    <s v="ORD01386"/>
    <x v="273"/>
    <d v="2024-06-06T00:00:00"/>
    <s v="North"/>
    <s v="India"/>
    <s v="Tamil Nadu"/>
    <s v="Ahmedabad"/>
    <x v="1289"/>
    <x v="2"/>
    <s v="Furniture"/>
    <s v="Chair"/>
    <s v="Product_175"/>
    <x v="4"/>
    <x v="1"/>
    <s v="Debit Card"/>
    <s v="High"/>
    <n v="9"/>
    <n v="28181"/>
    <n v="0"/>
    <n v="253629"/>
    <n v="58475.14"/>
    <x v="4"/>
  </r>
  <r>
    <s v="ORD01387"/>
    <x v="754"/>
    <d v="2023-08-10T00:00:00"/>
    <s v="South"/>
    <s v="India"/>
    <s v="Tamil Nadu"/>
    <s v="Delhi"/>
    <x v="1290"/>
    <x v="1"/>
    <s v="Office Supplies"/>
    <s v="Printer"/>
    <s v="Product_198"/>
    <x v="2"/>
    <x v="1"/>
    <s v="UPI"/>
    <s v="High"/>
    <n v="10"/>
    <n v="11009"/>
    <n v="5"/>
    <n v="104585.5"/>
    <n v="11682.46"/>
    <x v="8"/>
  </r>
  <r>
    <s v="ORD01388"/>
    <x v="541"/>
    <d v="2022-03-28T00:00:00"/>
    <s v="West"/>
    <s v="India"/>
    <s v="Maharashtra"/>
    <s v="Delhi"/>
    <x v="1291"/>
    <x v="1"/>
    <s v="Office Supplies"/>
    <s v="Mobile"/>
    <s v="Product_128"/>
    <x v="3"/>
    <x v="1"/>
    <s v="Net Banking"/>
    <s v="Medium"/>
    <n v="9"/>
    <n v="49644"/>
    <n v="15"/>
    <n v="379776.6"/>
    <n v="-33233.339999999997"/>
    <x v="0"/>
  </r>
  <r>
    <s v="ORD01389"/>
    <x v="755"/>
    <d v="2023-02-12T00:00:00"/>
    <s v="North"/>
    <s v="India"/>
    <s v="Gujarat"/>
    <s v="Delhi"/>
    <x v="1292"/>
    <x v="2"/>
    <s v="Furniture"/>
    <s v="Table"/>
    <s v="Product_62"/>
    <x v="4"/>
    <x v="1"/>
    <s v="Cash"/>
    <s v="Low"/>
    <n v="4"/>
    <n v="20906"/>
    <n v="15"/>
    <n v="71080.399999999994"/>
    <n v="49.11"/>
    <x v="5"/>
  </r>
  <r>
    <s v="ORD01390"/>
    <x v="756"/>
    <d v="2022-04-03T00:00:00"/>
    <s v="East"/>
    <s v="India"/>
    <s v="Karnataka"/>
    <s v="Mumbai"/>
    <x v="574"/>
    <x v="2"/>
    <s v="Office Supplies"/>
    <s v="Table"/>
    <s v="Product_70"/>
    <x v="4"/>
    <x v="0"/>
    <s v="Net Banking"/>
    <s v="High"/>
    <n v="3"/>
    <n v="49345"/>
    <n v="5"/>
    <n v="140633.25"/>
    <n v="6967.79"/>
    <x v="0"/>
  </r>
  <r>
    <s v="ORD01391"/>
    <x v="757"/>
    <d v="2023-12-06T00:00:00"/>
    <s v="North"/>
    <s v="India"/>
    <s v="Maharashtra"/>
    <s v="Bangalore"/>
    <x v="1293"/>
    <x v="2"/>
    <s v="Electronics"/>
    <s v="Laptop"/>
    <s v="Product_120"/>
    <x v="4"/>
    <x v="1"/>
    <s v="Credit Card"/>
    <s v="Medium"/>
    <n v="7"/>
    <n v="48636"/>
    <n v="15"/>
    <n v="289384.2"/>
    <n v="-7868.93"/>
    <x v="3"/>
  </r>
  <r>
    <s v="ORD01392"/>
    <x v="462"/>
    <d v="2022-02-10T00:00:00"/>
    <s v="East"/>
    <s v="India"/>
    <s v="Tamil Nadu"/>
    <s v="Mumbai"/>
    <x v="1294"/>
    <x v="2"/>
    <s v="Office Supplies"/>
    <s v="Table"/>
    <s v="Product_120"/>
    <x v="1"/>
    <x v="1"/>
    <s v="Cash"/>
    <s v="High"/>
    <n v="7"/>
    <n v="40031"/>
    <n v="10"/>
    <n v="252195.3"/>
    <n v="54293.1"/>
    <x v="1"/>
  </r>
  <r>
    <s v="ORD01393"/>
    <x v="364"/>
    <d v="2022-12-16T00:00:00"/>
    <s v="East"/>
    <s v="India"/>
    <s v="Gujarat"/>
    <s v="Chennai"/>
    <x v="1295"/>
    <x v="1"/>
    <s v="Electronics"/>
    <s v="Laptop"/>
    <s v="Product_64"/>
    <x v="1"/>
    <x v="1"/>
    <s v="UPI"/>
    <s v="Low"/>
    <n v="7"/>
    <n v="28533"/>
    <n v="15"/>
    <n v="169771.35"/>
    <n v="-9818.2900000000009"/>
    <x v="9"/>
  </r>
  <r>
    <s v="ORD01394"/>
    <x v="175"/>
    <d v="2024-01-02T00:00:00"/>
    <s v="West"/>
    <s v="India"/>
    <s v="Karnataka"/>
    <s v="Bangalore"/>
    <x v="451"/>
    <x v="2"/>
    <s v="Office Supplies"/>
    <s v="Laptop"/>
    <s v="Product_75"/>
    <x v="1"/>
    <x v="0"/>
    <s v="Net Banking"/>
    <s v="Low"/>
    <n v="8"/>
    <n v="16041"/>
    <n v="20"/>
    <n v="102662.39999999999"/>
    <n v="-5866.03"/>
    <x v="1"/>
  </r>
  <r>
    <s v="ORD01395"/>
    <x v="89"/>
    <d v="2022-10-15T00:00:00"/>
    <s v="North"/>
    <s v="India"/>
    <s v="Karnataka"/>
    <s v="Delhi"/>
    <x v="1296"/>
    <x v="0"/>
    <s v="Furniture"/>
    <s v="Storage"/>
    <s v="Product_178"/>
    <x v="1"/>
    <x v="0"/>
    <s v="Net Banking"/>
    <s v="Low"/>
    <n v="2"/>
    <n v="29195"/>
    <n v="5"/>
    <n v="55470.5"/>
    <n v="6621.14"/>
    <x v="10"/>
  </r>
  <r>
    <s v="ORD01396"/>
    <x v="352"/>
    <d v="2023-05-02T00:00:00"/>
    <s v="South"/>
    <s v="India"/>
    <s v="Delhi"/>
    <s v="Mumbai"/>
    <x v="1297"/>
    <x v="2"/>
    <s v="Office Supplies"/>
    <s v="Table"/>
    <s v="Product_50"/>
    <x v="5"/>
    <x v="1"/>
    <s v="UPI"/>
    <s v="High"/>
    <n v="6"/>
    <n v="21229"/>
    <n v="10"/>
    <n v="114636.6"/>
    <n v="15159.07"/>
    <x v="4"/>
  </r>
  <r>
    <s v="ORD01397"/>
    <x v="250"/>
    <d v="2024-04-21T00:00:00"/>
    <s v="South"/>
    <s v="India"/>
    <s v="Karnataka"/>
    <s v="Chennai"/>
    <x v="1298"/>
    <x v="0"/>
    <s v="Electronics"/>
    <s v="Laptop"/>
    <s v="Product_200"/>
    <x v="3"/>
    <x v="1"/>
    <s v="UPI"/>
    <s v="Low"/>
    <n v="6"/>
    <n v="4046"/>
    <n v="5"/>
    <n v="23062.2"/>
    <n v="3840.59"/>
    <x v="6"/>
  </r>
  <r>
    <s v="ORD01398"/>
    <x v="758"/>
    <d v="2022-11-27T00:00:00"/>
    <s v="West"/>
    <s v="India"/>
    <s v="Maharashtra"/>
    <s v="Chennai"/>
    <x v="1299"/>
    <x v="1"/>
    <s v="Office Supplies"/>
    <s v="Laptop"/>
    <s v="Product_103"/>
    <x v="1"/>
    <x v="1"/>
    <s v="UPI"/>
    <s v="Medium"/>
    <n v="1"/>
    <n v="5941"/>
    <n v="0"/>
    <n v="5941"/>
    <n v="621.11"/>
    <x v="3"/>
  </r>
  <r>
    <s v="ORD01399"/>
    <x v="313"/>
    <d v="2022-10-21T00:00:00"/>
    <s v="West"/>
    <s v="India"/>
    <s v="Karnataka"/>
    <s v="Mumbai"/>
    <x v="1300"/>
    <x v="1"/>
    <s v="Electronics"/>
    <s v="Laptop"/>
    <s v="Product_115"/>
    <x v="5"/>
    <x v="1"/>
    <s v="Cash"/>
    <s v="Medium"/>
    <n v="5"/>
    <n v="24927"/>
    <n v="0"/>
    <n v="124635"/>
    <n v="25913.67"/>
    <x v="10"/>
  </r>
  <r>
    <s v="ORD01400"/>
    <x v="759"/>
    <d v="2024-09-26T00:00:00"/>
    <s v="East"/>
    <s v="India"/>
    <s v="Karnataka"/>
    <s v="Mumbai"/>
    <x v="1301"/>
    <x v="2"/>
    <s v="Furniture"/>
    <s v="Laptop"/>
    <s v="Product_52"/>
    <x v="3"/>
    <x v="1"/>
    <s v="Cash"/>
    <s v="Medium"/>
    <n v="8"/>
    <n v="34187"/>
    <n v="15"/>
    <n v="232471.6"/>
    <n v="30544.71"/>
    <x v="7"/>
  </r>
  <r>
    <s v="ORD01401"/>
    <x v="569"/>
    <d v="2022-08-27T00:00:00"/>
    <s v="West"/>
    <s v="India"/>
    <s v="Maharashtra"/>
    <s v="Bangalore"/>
    <x v="1302"/>
    <x v="1"/>
    <s v="Furniture"/>
    <s v="Storage"/>
    <s v="Product_118"/>
    <x v="0"/>
    <x v="1"/>
    <s v="Debit Card"/>
    <s v="High"/>
    <n v="7"/>
    <n v="39947"/>
    <n v="5"/>
    <n v="265647.55"/>
    <n v="23688.48"/>
    <x v="8"/>
  </r>
  <r>
    <s v="ORD01402"/>
    <x v="249"/>
    <d v="2023-03-31T00:00:00"/>
    <s v="West"/>
    <s v="India"/>
    <s v="Tamil Nadu"/>
    <s v="Chennai"/>
    <x v="1303"/>
    <x v="2"/>
    <s v="Electronics"/>
    <s v="Laptop"/>
    <s v="Product_58"/>
    <x v="0"/>
    <x v="0"/>
    <s v="Credit Card"/>
    <s v="High"/>
    <n v="8"/>
    <n v="25205"/>
    <n v="5"/>
    <n v="191558"/>
    <n v="18341.599999999999"/>
    <x v="0"/>
  </r>
  <r>
    <s v="ORD01403"/>
    <x v="82"/>
    <d v="2024-08-13T00:00:00"/>
    <s v="North"/>
    <s v="India"/>
    <s v="Tamil Nadu"/>
    <s v="Bangalore"/>
    <x v="1066"/>
    <x v="2"/>
    <s v="Electronics"/>
    <s v="Chair"/>
    <s v="Product_85"/>
    <x v="0"/>
    <x v="1"/>
    <s v="Cash"/>
    <s v="High"/>
    <n v="3"/>
    <n v="25739"/>
    <n v="0"/>
    <n v="77217"/>
    <n v="19453.25"/>
    <x v="8"/>
  </r>
  <r>
    <s v="ORD01404"/>
    <x v="557"/>
    <d v="2022-03-04T00:00:00"/>
    <s v="North"/>
    <s v="India"/>
    <s v="Karnataka"/>
    <s v="Chennai"/>
    <x v="1304"/>
    <x v="0"/>
    <s v="Electronics"/>
    <s v="Storage"/>
    <s v="Product_7"/>
    <x v="3"/>
    <x v="0"/>
    <s v="UPI"/>
    <s v="Medium"/>
    <n v="1"/>
    <n v="16536"/>
    <n v="20"/>
    <n v="13228.8"/>
    <n v="193.64"/>
    <x v="5"/>
  </r>
  <r>
    <s v="ORD01405"/>
    <x v="197"/>
    <d v="2023-05-24T00:00:00"/>
    <s v="West"/>
    <s v="India"/>
    <s v="Karnataka"/>
    <s v="Mumbai"/>
    <x v="1305"/>
    <x v="2"/>
    <s v="Furniture"/>
    <s v="Storage"/>
    <s v="Product_73"/>
    <x v="1"/>
    <x v="1"/>
    <s v="Net Banking"/>
    <s v="Medium"/>
    <n v="7"/>
    <n v="2552"/>
    <n v="10"/>
    <n v="16077.6"/>
    <n v="2693.18"/>
    <x v="4"/>
  </r>
  <r>
    <s v="ORD01406"/>
    <x v="153"/>
    <d v="2023-04-07T00:00:00"/>
    <s v="East"/>
    <s v="India"/>
    <s v="Gujarat"/>
    <s v="Chennai"/>
    <x v="1306"/>
    <x v="1"/>
    <s v="Furniture"/>
    <s v="Storage"/>
    <s v="Product_182"/>
    <x v="5"/>
    <x v="0"/>
    <s v="Net Banking"/>
    <s v="Critical"/>
    <n v="6"/>
    <n v="26730"/>
    <n v="15"/>
    <n v="136323"/>
    <n v="-6361.61"/>
    <x v="6"/>
  </r>
  <r>
    <s v="ORD01407"/>
    <x v="348"/>
    <d v="2022-06-20T00:00:00"/>
    <s v="East"/>
    <s v="India"/>
    <s v="Maharashtra"/>
    <s v="Bangalore"/>
    <x v="1307"/>
    <x v="0"/>
    <s v="Electronics"/>
    <s v="Table"/>
    <s v="Product_77"/>
    <x v="1"/>
    <x v="0"/>
    <s v="UPI"/>
    <s v="Critical"/>
    <n v="5"/>
    <n v="13527"/>
    <n v="15"/>
    <n v="57489.75"/>
    <n v="4647.4799999999996"/>
    <x v="2"/>
  </r>
  <r>
    <s v="ORD01408"/>
    <x v="760"/>
    <d v="2022-11-16T00:00:00"/>
    <s v="South"/>
    <s v="India"/>
    <s v="Tamil Nadu"/>
    <s v="Delhi"/>
    <x v="1308"/>
    <x v="1"/>
    <s v="Furniture"/>
    <s v="Storage"/>
    <s v="Product_124"/>
    <x v="1"/>
    <x v="0"/>
    <s v="UPI"/>
    <s v="Low"/>
    <n v="2"/>
    <n v="36452"/>
    <n v="15"/>
    <n v="61968.4"/>
    <n v="10737.94"/>
    <x v="3"/>
  </r>
  <r>
    <s v="ORD01409"/>
    <x v="760"/>
    <d v="2022-11-15T00:00:00"/>
    <s v="South"/>
    <s v="India"/>
    <s v="Delhi"/>
    <s v="Ahmedabad"/>
    <x v="1309"/>
    <x v="2"/>
    <s v="Office Supplies"/>
    <s v="Printer"/>
    <s v="Product_141"/>
    <x v="1"/>
    <x v="1"/>
    <s v="UPI"/>
    <s v="Critical"/>
    <n v="5"/>
    <n v="22723"/>
    <n v="5"/>
    <n v="107934.25"/>
    <n v="21875.71"/>
    <x v="3"/>
  </r>
  <r>
    <s v="ORD01410"/>
    <x v="241"/>
    <d v="2022-10-03T00:00:00"/>
    <s v="South"/>
    <s v="India"/>
    <s v="Tamil Nadu"/>
    <s v="Ahmedabad"/>
    <x v="1310"/>
    <x v="1"/>
    <s v="Office Supplies"/>
    <s v="Chair"/>
    <s v="Product_168"/>
    <x v="2"/>
    <x v="1"/>
    <s v="Net Banking"/>
    <s v="High"/>
    <n v="5"/>
    <n v="3432"/>
    <n v="5"/>
    <n v="16302"/>
    <n v="343.48"/>
    <x v="7"/>
  </r>
  <r>
    <s v="ORD01411"/>
    <x v="189"/>
    <d v="2023-01-18T00:00:00"/>
    <s v="West"/>
    <s v="India"/>
    <s v="Karnataka"/>
    <s v="Mumbai"/>
    <x v="1311"/>
    <x v="0"/>
    <s v="Office Supplies"/>
    <s v="Storage"/>
    <s v="Product_48"/>
    <x v="0"/>
    <x v="0"/>
    <s v="Net Banking"/>
    <s v="Critical"/>
    <n v="3"/>
    <n v="28048"/>
    <n v="10"/>
    <n v="75729.600000000006"/>
    <n v="11526.14"/>
    <x v="1"/>
  </r>
  <r>
    <s v="ORD01412"/>
    <x v="518"/>
    <d v="2023-02-09T00:00:00"/>
    <s v="North"/>
    <s v="India"/>
    <s v="Maharashtra"/>
    <s v="Delhi"/>
    <x v="1312"/>
    <x v="1"/>
    <s v="Electronics"/>
    <s v="Chair"/>
    <s v="Product_33"/>
    <x v="4"/>
    <x v="1"/>
    <s v="Cash"/>
    <s v="Low"/>
    <n v="6"/>
    <n v="24269"/>
    <n v="20"/>
    <n v="116491.2"/>
    <n v="-12196.05"/>
    <x v="5"/>
  </r>
  <r>
    <s v="ORD01413"/>
    <x v="268"/>
    <d v="2024-08-29T00:00:00"/>
    <s v="South"/>
    <s v="India"/>
    <s v="Tamil Nadu"/>
    <s v="Bangalore"/>
    <x v="1313"/>
    <x v="2"/>
    <s v="Office Supplies"/>
    <s v="Laptop"/>
    <s v="Product_14"/>
    <x v="1"/>
    <x v="0"/>
    <s v="Credit Card"/>
    <s v="Critical"/>
    <n v="3"/>
    <n v="31416"/>
    <n v="10"/>
    <n v="84823.2"/>
    <n v="14221.5"/>
    <x v="8"/>
  </r>
  <r>
    <s v="ORD01414"/>
    <x v="761"/>
    <d v="2023-05-27T00:00:00"/>
    <s v="West"/>
    <s v="India"/>
    <s v="Delhi"/>
    <s v="Delhi"/>
    <x v="1314"/>
    <x v="0"/>
    <s v="Office Supplies"/>
    <s v="Laptop"/>
    <s v="Product_73"/>
    <x v="3"/>
    <x v="0"/>
    <s v="Credit Card"/>
    <s v="Critical"/>
    <n v="2"/>
    <n v="21176"/>
    <n v="0"/>
    <n v="42352"/>
    <n v="11236.6"/>
    <x v="4"/>
  </r>
  <r>
    <s v="ORD01415"/>
    <x v="241"/>
    <d v="2022-10-06T00:00:00"/>
    <s v="West"/>
    <s v="India"/>
    <s v="Tamil Nadu"/>
    <s v="Chennai"/>
    <x v="1315"/>
    <x v="1"/>
    <s v="Office Supplies"/>
    <s v="Chair"/>
    <s v="Product_136"/>
    <x v="3"/>
    <x v="0"/>
    <s v="Net Banking"/>
    <s v="Critical"/>
    <n v="7"/>
    <n v="14953"/>
    <n v="5"/>
    <n v="99437.45"/>
    <n v="4482.68"/>
    <x v="7"/>
  </r>
  <r>
    <s v="ORD01416"/>
    <x v="762"/>
    <d v="2024-08-17T00:00:00"/>
    <s v="North"/>
    <s v="India"/>
    <s v="Gujarat"/>
    <s v="Ahmedabad"/>
    <x v="1316"/>
    <x v="0"/>
    <s v="Electronics"/>
    <s v="Printer"/>
    <s v="Product_181"/>
    <x v="3"/>
    <x v="0"/>
    <s v="Debit Card"/>
    <s v="Medium"/>
    <n v="10"/>
    <n v="24608"/>
    <n v="10"/>
    <n v="221472"/>
    <n v="-7465.32"/>
    <x v="8"/>
  </r>
  <r>
    <s v="ORD01417"/>
    <x v="370"/>
    <d v="2022-09-18T00:00:00"/>
    <s v="East"/>
    <s v="India"/>
    <s v="Karnataka"/>
    <s v="Ahmedabad"/>
    <x v="1317"/>
    <x v="1"/>
    <s v="Furniture"/>
    <s v="Storage"/>
    <s v="Product_75"/>
    <x v="4"/>
    <x v="1"/>
    <s v="UPI"/>
    <s v="Low"/>
    <n v="9"/>
    <n v="45408"/>
    <n v="5"/>
    <n v="388238.4"/>
    <n v="39506.620000000003"/>
    <x v="7"/>
  </r>
  <r>
    <s v="ORD01418"/>
    <x v="366"/>
    <d v="2022-03-05T00:00:00"/>
    <s v="East"/>
    <s v="India"/>
    <s v="Delhi"/>
    <s v="Delhi"/>
    <x v="1318"/>
    <x v="2"/>
    <s v="Electronics"/>
    <s v="Chair"/>
    <s v="Product_187"/>
    <x v="4"/>
    <x v="0"/>
    <s v="UPI"/>
    <s v="Critical"/>
    <n v="3"/>
    <n v="5312"/>
    <n v="5"/>
    <n v="15139.2"/>
    <n v="353.38"/>
    <x v="5"/>
  </r>
  <r>
    <s v="ORD01419"/>
    <x v="763"/>
    <d v="2022-08-02T00:00:00"/>
    <s v="North"/>
    <s v="India"/>
    <s v="Tamil Nadu"/>
    <s v="Bangalore"/>
    <x v="1319"/>
    <x v="1"/>
    <s v="Office Supplies"/>
    <s v="Chair"/>
    <s v="Product_120"/>
    <x v="4"/>
    <x v="0"/>
    <s v="UPI"/>
    <s v="Medium"/>
    <n v="1"/>
    <n v="8920"/>
    <n v="0"/>
    <n v="8920"/>
    <n v="778.53"/>
    <x v="11"/>
  </r>
  <r>
    <s v="ORD01420"/>
    <x v="764"/>
    <d v="2023-08-21T00:00:00"/>
    <s v="South"/>
    <s v="India"/>
    <s v="Delhi"/>
    <s v="Delhi"/>
    <x v="1320"/>
    <x v="0"/>
    <s v="Furniture"/>
    <s v="Mobile"/>
    <s v="Product_183"/>
    <x v="3"/>
    <x v="0"/>
    <s v="Net Banking"/>
    <s v="Low"/>
    <n v="1"/>
    <n v="11128"/>
    <n v="15"/>
    <n v="9458.7999999999993"/>
    <n v="-252.2"/>
    <x v="8"/>
  </r>
  <r>
    <s v="ORD01421"/>
    <x v="58"/>
    <d v="2024-04-24T00:00:00"/>
    <s v="North"/>
    <s v="India"/>
    <s v="Maharashtra"/>
    <s v="Chennai"/>
    <x v="1321"/>
    <x v="2"/>
    <s v="Furniture"/>
    <s v="Table"/>
    <s v="Product_50"/>
    <x v="0"/>
    <x v="1"/>
    <s v="Debit Card"/>
    <s v="High"/>
    <n v="9"/>
    <n v="35348"/>
    <n v="20"/>
    <n v="254505.60000000001"/>
    <n v="-30476.52"/>
    <x v="6"/>
  </r>
  <r>
    <s v="ORD01422"/>
    <x v="765"/>
    <d v="2023-07-21T00:00:00"/>
    <s v="North"/>
    <s v="India"/>
    <s v="Maharashtra"/>
    <s v="Ahmedabad"/>
    <x v="34"/>
    <x v="0"/>
    <s v="Electronics"/>
    <s v="Storage"/>
    <s v="Product_31"/>
    <x v="0"/>
    <x v="1"/>
    <s v="UPI"/>
    <s v="Critical"/>
    <n v="2"/>
    <n v="30894"/>
    <n v="15"/>
    <n v="52519.8"/>
    <n v="-2354.2600000000002"/>
    <x v="11"/>
  </r>
  <r>
    <s v="ORD01423"/>
    <x v="766"/>
    <d v="2024-08-01T00:00:00"/>
    <s v="West"/>
    <s v="India"/>
    <s v="Tamil Nadu"/>
    <s v="Delhi"/>
    <x v="1322"/>
    <x v="0"/>
    <s v="Office Supplies"/>
    <s v="Table"/>
    <s v="Product_191"/>
    <x v="4"/>
    <x v="0"/>
    <s v="Credit Card"/>
    <s v="Low"/>
    <n v="3"/>
    <n v="42109"/>
    <n v="5"/>
    <n v="120010.65"/>
    <n v="12248.14"/>
    <x v="11"/>
  </r>
  <r>
    <s v="ORD01424"/>
    <x v="474"/>
    <d v="2023-07-17T00:00:00"/>
    <s v="East"/>
    <s v="India"/>
    <s v="Delhi"/>
    <s v="Mumbai"/>
    <x v="1323"/>
    <x v="0"/>
    <s v="Electronics"/>
    <s v="Chair"/>
    <s v="Product_165"/>
    <x v="2"/>
    <x v="1"/>
    <s v="Credit Card"/>
    <s v="Critical"/>
    <n v="5"/>
    <n v="14264"/>
    <n v="10"/>
    <n v="64188"/>
    <n v="4925.09"/>
    <x v="11"/>
  </r>
  <r>
    <s v="ORD01425"/>
    <x v="438"/>
    <d v="2022-03-26T00:00:00"/>
    <s v="East"/>
    <s v="India"/>
    <s v="Gujarat"/>
    <s v="Mumbai"/>
    <x v="1324"/>
    <x v="2"/>
    <s v="Office Supplies"/>
    <s v="Printer"/>
    <s v="Product_154"/>
    <x v="2"/>
    <x v="0"/>
    <s v="UPI"/>
    <s v="High"/>
    <n v="6"/>
    <n v="15037"/>
    <n v="10"/>
    <n v="81199.8"/>
    <n v="15830.02"/>
    <x v="0"/>
  </r>
  <r>
    <s v="ORD01426"/>
    <x v="404"/>
    <d v="2022-06-13T00:00:00"/>
    <s v="North"/>
    <s v="India"/>
    <s v="Tamil Nadu"/>
    <s v="Ahmedabad"/>
    <x v="1325"/>
    <x v="0"/>
    <s v="Office Supplies"/>
    <s v="Printer"/>
    <s v="Product_18"/>
    <x v="3"/>
    <x v="0"/>
    <s v="Cash"/>
    <s v="High"/>
    <n v="5"/>
    <n v="13510"/>
    <n v="5"/>
    <n v="64172.5"/>
    <n v="4379.58"/>
    <x v="2"/>
  </r>
  <r>
    <s v="ORD01427"/>
    <x v="758"/>
    <d v="2022-11-22T00:00:00"/>
    <s v="West"/>
    <s v="India"/>
    <s v="Maharashtra"/>
    <s v="Ahmedabad"/>
    <x v="1326"/>
    <x v="0"/>
    <s v="Furniture"/>
    <s v="Chair"/>
    <s v="Product_170"/>
    <x v="0"/>
    <x v="0"/>
    <s v="Cash"/>
    <s v="Critical"/>
    <n v="3"/>
    <n v="3599"/>
    <n v="5"/>
    <n v="10257.15"/>
    <n v="1925.51"/>
    <x v="3"/>
  </r>
  <r>
    <s v="ORD01428"/>
    <x v="385"/>
    <d v="2024-08-26T00:00:00"/>
    <s v="South"/>
    <s v="India"/>
    <s v="Delhi"/>
    <s v="Delhi"/>
    <x v="442"/>
    <x v="2"/>
    <s v="Office Supplies"/>
    <s v="Table"/>
    <s v="Product_8"/>
    <x v="2"/>
    <x v="0"/>
    <s v="Debit Card"/>
    <s v="Critical"/>
    <n v="2"/>
    <n v="23539"/>
    <n v="0"/>
    <n v="47078"/>
    <n v="12538.73"/>
    <x v="8"/>
  </r>
  <r>
    <s v="ORD01429"/>
    <x v="329"/>
    <d v="2024-06-02T00:00:00"/>
    <s v="South"/>
    <s v="India"/>
    <s v="Delhi"/>
    <s v="Ahmedabad"/>
    <x v="1327"/>
    <x v="2"/>
    <s v="Office Supplies"/>
    <s v="Printer"/>
    <s v="Product_78"/>
    <x v="3"/>
    <x v="0"/>
    <s v="UPI"/>
    <s v="High"/>
    <n v="9"/>
    <n v="40873"/>
    <n v="15"/>
    <n v="312678.45"/>
    <n v="33097.21"/>
    <x v="4"/>
  </r>
  <r>
    <s v="ORD01430"/>
    <x v="330"/>
    <d v="2022-11-16T00:00:00"/>
    <s v="West"/>
    <s v="India"/>
    <s v="Delhi"/>
    <s v="Delhi"/>
    <x v="1328"/>
    <x v="0"/>
    <s v="Office Supplies"/>
    <s v="Mobile"/>
    <s v="Product_174"/>
    <x v="3"/>
    <x v="1"/>
    <s v="Net Banking"/>
    <s v="Medium"/>
    <n v="10"/>
    <n v="14386"/>
    <n v="20"/>
    <n v="115088"/>
    <n v="-16260.79"/>
    <x v="3"/>
  </r>
  <r>
    <s v="ORD01431"/>
    <x v="395"/>
    <d v="2023-10-13T00:00:00"/>
    <s v="South"/>
    <s v="India"/>
    <s v="Tamil Nadu"/>
    <s v="Mumbai"/>
    <x v="1329"/>
    <x v="2"/>
    <s v="Electronics"/>
    <s v="Table"/>
    <s v="Product_112"/>
    <x v="3"/>
    <x v="0"/>
    <s v="Net Banking"/>
    <s v="High"/>
    <n v="5"/>
    <n v="21025"/>
    <n v="20"/>
    <n v="84100"/>
    <n v="-5834.09"/>
    <x v="10"/>
  </r>
  <r>
    <s v="ORD01432"/>
    <x v="697"/>
    <d v="2022-12-06T00:00:00"/>
    <s v="East"/>
    <s v="India"/>
    <s v="Delhi"/>
    <s v="Delhi"/>
    <x v="1330"/>
    <x v="2"/>
    <s v="Office Supplies"/>
    <s v="Storage"/>
    <s v="Product_142"/>
    <x v="4"/>
    <x v="1"/>
    <s v="Debit Card"/>
    <s v="Medium"/>
    <n v="4"/>
    <n v="46210"/>
    <n v="15"/>
    <n v="157114"/>
    <n v="-947.83"/>
    <x v="3"/>
  </r>
  <r>
    <s v="ORD01433"/>
    <x v="486"/>
    <d v="2022-10-12T00:00:00"/>
    <s v="North"/>
    <s v="India"/>
    <s v="Delhi"/>
    <s v="Bangalore"/>
    <x v="1331"/>
    <x v="1"/>
    <s v="Office Supplies"/>
    <s v="Table"/>
    <s v="Product_129"/>
    <x v="0"/>
    <x v="0"/>
    <s v="Credit Card"/>
    <s v="High"/>
    <n v="6"/>
    <n v="3903"/>
    <n v="0"/>
    <n v="23418"/>
    <n v="4992.68"/>
    <x v="10"/>
  </r>
  <r>
    <s v="ORD01434"/>
    <x v="177"/>
    <d v="2024-01-24T00:00:00"/>
    <s v="North"/>
    <s v="India"/>
    <s v="Karnataka"/>
    <s v="Delhi"/>
    <x v="1332"/>
    <x v="1"/>
    <s v="Office Supplies"/>
    <s v="Storage"/>
    <s v="Product_106"/>
    <x v="2"/>
    <x v="0"/>
    <s v="Debit Card"/>
    <s v="High"/>
    <n v="2"/>
    <n v="29014"/>
    <n v="15"/>
    <n v="49323.8"/>
    <n v="6966.5"/>
    <x v="1"/>
  </r>
  <r>
    <s v="ORD01435"/>
    <x v="246"/>
    <d v="2022-03-02T00:00:00"/>
    <s v="East"/>
    <s v="India"/>
    <s v="Delhi"/>
    <s v="Bangalore"/>
    <x v="1333"/>
    <x v="2"/>
    <s v="Office Supplies"/>
    <s v="Chair"/>
    <s v="Product_164"/>
    <x v="2"/>
    <x v="0"/>
    <s v="Cash"/>
    <s v="High"/>
    <n v="8"/>
    <n v="40237"/>
    <n v="10"/>
    <n v="289706.40000000002"/>
    <n v="53472.77"/>
    <x v="5"/>
  </r>
  <r>
    <s v="ORD01436"/>
    <x v="30"/>
    <d v="2023-01-15T00:00:00"/>
    <s v="West"/>
    <s v="India"/>
    <s v="Delhi"/>
    <s v="Ahmedabad"/>
    <x v="1334"/>
    <x v="2"/>
    <s v="Office Supplies"/>
    <s v="Printer"/>
    <s v="Product_15"/>
    <x v="1"/>
    <x v="0"/>
    <s v="UPI"/>
    <s v="High"/>
    <n v="5"/>
    <n v="11020"/>
    <n v="15"/>
    <n v="46835"/>
    <n v="1353.29"/>
    <x v="1"/>
  </r>
  <r>
    <s v="ORD01437"/>
    <x v="636"/>
    <d v="2022-03-23T00:00:00"/>
    <s v="South"/>
    <s v="India"/>
    <s v="Tamil Nadu"/>
    <s v="Bangalore"/>
    <x v="1335"/>
    <x v="0"/>
    <s v="Office Supplies"/>
    <s v="Table"/>
    <s v="Product_44"/>
    <x v="1"/>
    <x v="1"/>
    <s v="UPI"/>
    <s v="Low"/>
    <n v="4"/>
    <n v="38661"/>
    <n v="15"/>
    <n v="131447.4"/>
    <n v="20935.87"/>
    <x v="0"/>
  </r>
  <r>
    <s v="ORD01438"/>
    <x v="82"/>
    <d v="2024-08-19T00:00:00"/>
    <s v="South"/>
    <s v="India"/>
    <s v="Tamil Nadu"/>
    <s v="Bangalore"/>
    <x v="1336"/>
    <x v="2"/>
    <s v="Furniture"/>
    <s v="Chair"/>
    <s v="Product_4"/>
    <x v="0"/>
    <x v="1"/>
    <s v="UPI"/>
    <s v="Low"/>
    <n v="2"/>
    <n v="12445"/>
    <n v="20"/>
    <n v="19912"/>
    <n v="-2966.78"/>
    <x v="8"/>
  </r>
  <r>
    <s v="ORD01439"/>
    <x v="675"/>
    <d v="2022-12-10T00:00:00"/>
    <s v="West"/>
    <s v="India"/>
    <s v="Maharashtra"/>
    <s v="Bangalore"/>
    <x v="594"/>
    <x v="2"/>
    <s v="Electronics"/>
    <s v="Printer"/>
    <s v="Product_100"/>
    <x v="0"/>
    <x v="0"/>
    <s v="Debit Card"/>
    <s v="Medium"/>
    <n v="3"/>
    <n v="13095"/>
    <n v="5"/>
    <n v="37320.75"/>
    <n v="5740.92"/>
    <x v="9"/>
  </r>
  <r>
    <s v="ORD01440"/>
    <x v="458"/>
    <d v="2024-05-01T00:00:00"/>
    <s v="South"/>
    <s v="India"/>
    <s v="Gujarat"/>
    <s v="Ahmedabad"/>
    <x v="1337"/>
    <x v="1"/>
    <s v="Furniture"/>
    <s v="Storage"/>
    <s v="Product_35"/>
    <x v="2"/>
    <x v="1"/>
    <s v="Debit Card"/>
    <s v="High"/>
    <n v="5"/>
    <n v="49119"/>
    <n v="20"/>
    <n v="196476"/>
    <n v="-10222.049999999999"/>
    <x v="6"/>
  </r>
  <r>
    <s v="ORD01441"/>
    <x v="303"/>
    <d v="2022-10-02T00:00:00"/>
    <s v="East"/>
    <s v="India"/>
    <s v="Tamil Nadu"/>
    <s v="Mumbai"/>
    <x v="1338"/>
    <x v="1"/>
    <s v="Electronics"/>
    <s v="Mobile"/>
    <s v="Product_53"/>
    <x v="2"/>
    <x v="1"/>
    <s v="Credit Card"/>
    <s v="Low"/>
    <n v="1"/>
    <n v="28939"/>
    <n v="5"/>
    <n v="27492.05"/>
    <n v="1701.18"/>
    <x v="7"/>
  </r>
  <r>
    <s v="ORD01442"/>
    <x v="721"/>
    <d v="2022-06-25T00:00:00"/>
    <s v="West"/>
    <s v="India"/>
    <s v="Karnataka"/>
    <s v="Bangalore"/>
    <x v="693"/>
    <x v="1"/>
    <s v="Furniture"/>
    <s v="Printer"/>
    <s v="Product_26"/>
    <x v="0"/>
    <x v="0"/>
    <s v="Debit Card"/>
    <s v="Critical"/>
    <n v="10"/>
    <n v="23034"/>
    <n v="5"/>
    <n v="218823"/>
    <n v="2904.94"/>
    <x v="2"/>
  </r>
  <r>
    <s v="ORD01443"/>
    <x v="39"/>
    <d v="2024-05-01T00:00:00"/>
    <s v="North"/>
    <s v="India"/>
    <s v="Gujarat"/>
    <s v="Ahmedabad"/>
    <x v="1339"/>
    <x v="0"/>
    <s v="Furniture"/>
    <s v="Printer"/>
    <s v="Product_92"/>
    <x v="5"/>
    <x v="1"/>
    <s v="Credit Card"/>
    <s v="Critical"/>
    <n v="1"/>
    <n v="32945"/>
    <n v="10"/>
    <n v="29650.5"/>
    <n v="5831.72"/>
    <x v="6"/>
  </r>
  <r>
    <s v="ORD01444"/>
    <x v="114"/>
    <d v="2024-02-18T00:00:00"/>
    <s v="East"/>
    <s v="India"/>
    <s v="Delhi"/>
    <s v="Ahmedabad"/>
    <x v="1340"/>
    <x v="1"/>
    <s v="Office Supplies"/>
    <s v="Chair"/>
    <s v="Product_166"/>
    <x v="3"/>
    <x v="1"/>
    <s v="Cash"/>
    <s v="Medium"/>
    <n v="6"/>
    <n v="9246"/>
    <n v="15"/>
    <n v="47154.6"/>
    <n v="-1152.53"/>
    <x v="5"/>
  </r>
  <r>
    <s v="ORD01445"/>
    <x v="767"/>
    <d v="2024-08-11T00:00:00"/>
    <s v="North"/>
    <s v="India"/>
    <s v="Delhi"/>
    <s v="Mumbai"/>
    <x v="1341"/>
    <x v="2"/>
    <s v="Furniture"/>
    <s v="Chair"/>
    <s v="Product_146"/>
    <x v="0"/>
    <x v="0"/>
    <s v="Debit Card"/>
    <s v="Medium"/>
    <n v="7"/>
    <n v="41012"/>
    <n v="5"/>
    <n v="272729.8"/>
    <n v="36812.800000000003"/>
    <x v="8"/>
  </r>
  <r>
    <s v="ORD01446"/>
    <x v="651"/>
    <d v="2023-11-12T00:00:00"/>
    <s v="South"/>
    <s v="India"/>
    <s v="Karnataka"/>
    <s v="Mumbai"/>
    <x v="1342"/>
    <x v="2"/>
    <s v="Office Supplies"/>
    <s v="Storage"/>
    <s v="Product_165"/>
    <x v="1"/>
    <x v="0"/>
    <s v="Cash"/>
    <s v="Critical"/>
    <n v="2"/>
    <n v="46788"/>
    <n v="15"/>
    <n v="79539.600000000006"/>
    <n v="8279.84"/>
    <x v="3"/>
  </r>
  <r>
    <s v="ORD01447"/>
    <x v="768"/>
    <d v="2023-12-22T00:00:00"/>
    <s v="South"/>
    <s v="India"/>
    <s v="Maharashtra"/>
    <s v="Mumbai"/>
    <x v="1343"/>
    <x v="2"/>
    <s v="Office Supplies"/>
    <s v="Laptop"/>
    <s v="Product_49"/>
    <x v="3"/>
    <x v="0"/>
    <s v="Debit Card"/>
    <s v="Medium"/>
    <n v="8"/>
    <n v="37891"/>
    <n v="15"/>
    <n v="257658.8"/>
    <n v="12377.17"/>
    <x v="9"/>
  </r>
  <r>
    <s v="ORD01448"/>
    <x v="281"/>
    <d v="2024-03-04T00:00:00"/>
    <s v="North"/>
    <s v="India"/>
    <s v="Tamil Nadu"/>
    <s v="Mumbai"/>
    <x v="1344"/>
    <x v="2"/>
    <s v="Furniture"/>
    <s v="Storage"/>
    <s v="Product_190"/>
    <x v="0"/>
    <x v="1"/>
    <s v="Debit Card"/>
    <s v="Low"/>
    <n v="9"/>
    <n v="11684"/>
    <n v="15"/>
    <n v="89382.6"/>
    <n v="-7734.37"/>
    <x v="5"/>
  </r>
  <r>
    <s v="ORD01449"/>
    <x v="769"/>
    <d v="2022-02-27T00:00:00"/>
    <s v="East"/>
    <s v="India"/>
    <s v="Tamil Nadu"/>
    <s v="Mumbai"/>
    <x v="1345"/>
    <x v="2"/>
    <s v="Office Supplies"/>
    <s v="Chair"/>
    <s v="Product_53"/>
    <x v="0"/>
    <x v="1"/>
    <s v="Cash"/>
    <s v="Medium"/>
    <n v="2"/>
    <n v="47552"/>
    <n v="10"/>
    <n v="85593.600000000006"/>
    <n v="3364.32"/>
    <x v="5"/>
  </r>
  <r>
    <s v="ORD01450"/>
    <x v="770"/>
    <d v="2023-04-12T00:00:00"/>
    <s v="North"/>
    <s v="India"/>
    <s v="Delhi"/>
    <s v="Bangalore"/>
    <x v="391"/>
    <x v="0"/>
    <s v="Electronics"/>
    <s v="Printer"/>
    <s v="Product_20"/>
    <x v="5"/>
    <x v="0"/>
    <s v="UPI"/>
    <s v="High"/>
    <n v="3"/>
    <n v="40624"/>
    <n v="5"/>
    <n v="115778.4"/>
    <n v="18459.150000000001"/>
    <x v="6"/>
  </r>
  <r>
    <s v="ORD01451"/>
    <x v="771"/>
    <d v="2024-07-04T00:00:00"/>
    <s v="North"/>
    <s v="India"/>
    <s v="Tamil Nadu"/>
    <s v="Delhi"/>
    <x v="828"/>
    <x v="2"/>
    <s v="Office Supplies"/>
    <s v="Mobile"/>
    <s v="Product_19"/>
    <x v="0"/>
    <x v="1"/>
    <s v="Net Banking"/>
    <s v="High"/>
    <n v="10"/>
    <n v="41179"/>
    <n v="20"/>
    <n v="329432"/>
    <n v="-24864.85"/>
    <x v="2"/>
  </r>
  <r>
    <s v="ORD01452"/>
    <x v="758"/>
    <d v="2022-11-23T00:00:00"/>
    <s v="East"/>
    <s v="India"/>
    <s v="Karnataka"/>
    <s v="Chennai"/>
    <x v="1346"/>
    <x v="1"/>
    <s v="Furniture"/>
    <s v="Storage"/>
    <s v="Product_48"/>
    <x v="1"/>
    <x v="0"/>
    <s v="Cash"/>
    <s v="High"/>
    <n v="4"/>
    <n v="10793"/>
    <n v="20"/>
    <n v="34537.599999999999"/>
    <n v="4000.18"/>
    <x v="3"/>
  </r>
  <r>
    <s v="ORD01453"/>
    <x v="772"/>
    <d v="2024-08-28T00:00:00"/>
    <s v="East"/>
    <s v="India"/>
    <s v="Gujarat"/>
    <s v="Ahmedabad"/>
    <x v="1347"/>
    <x v="1"/>
    <s v="Office Supplies"/>
    <s v="Mobile"/>
    <s v="Product_134"/>
    <x v="1"/>
    <x v="0"/>
    <s v="UPI"/>
    <s v="Low"/>
    <n v="1"/>
    <n v="41014"/>
    <n v="5"/>
    <n v="38963.300000000003"/>
    <n v="9406.84"/>
    <x v="8"/>
  </r>
  <r>
    <s v="ORD01454"/>
    <x v="183"/>
    <d v="2022-04-14T00:00:00"/>
    <s v="East"/>
    <s v="India"/>
    <s v="Delhi"/>
    <s v="Mumbai"/>
    <x v="772"/>
    <x v="2"/>
    <s v="Electronics"/>
    <s v="Chair"/>
    <s v="Product_120"/>
    <x v="0"/>
    <x v="0"/>
    <s v="Net Banking"/>
    <s v="High"/>
    <n v="9"/>
    <n v="29081"/>
    <n v="15"/>
    <n v="222469.65"/>
    <n v="25127.77"/>
    <x v="6"/>
  </r>
  <r>
    <s v="ORD01455"/>
    <x v="229"/>
    <d v="2022-09-16T00:00:00"/>
    <s v="South"/>
    <s v="India"/>
    <s v="Karnataka"/>
    <s v="Bangalore"/>
    <x v="1309"/>
    <x v="2"/>
    <s v="Electronics"/>
    <s v="Table"/>
    <s v="Product_176"/>
    <x v="3"/>
    <x v="0"/>
    <s v="Debit Card"/>
    <s v="Low"/>
    <n v="7"/>
    <n v="4482"/>
    <n v="15"/>
    <n v="26667.9"/>
    <n v="110.59"/>
    <x v="7"/>
  </r>
  <r>
    <s v="ORD01456"/>
    <x v="773"/>
    <d v="2024-02-28T00:00:00"/>
    <s v="East"/>
    <s v="India"/>
    <s v="Tamil Nadu"/>
    <s v="Ahmedabad"/>
    <x v="1348"/>
    <x v="0"/>
    <s v="Furniture"/>
    <s v="Storage"/>
    <s v="Product_73"/>
    <x v="0"/>
    <x v="0"/>
    <s v="Credit Card"/>
    <s v="Medium"/>
    <n v="9"/>
    <n v="30030"/>
    <n v="5"/>
    <n v="256756.5"/>
    <n v="1296.47"/>
    <x v="5"/>
  </r>
  <r>
    <s v="ORD01457"/>
    <x v="349"/>
    <d v="2024-02-05T00:00:00"/>
    <s v="South"/>
    <s v="India"/>
    <s v="Karnataka"/>
    <s v="Delhi"/>
    <x v="1349"/>
    <x v="1"/>
    <s v="Office Supplies"/>
    <s v="Chair"/>
    <s v="Product_69"/>
    <x v="3"/>
    <x v="1"/>
    <s v="Cash"/>
    <s v="Low"/>
    <n v="9"/>
    <n v="33577"/>
    <n v="15"/>
    <n v="256864.05"/>
    <n v="15648.91"/>
    <x v="1"/>
  </r>
  <r>
    <s v="ORD01458"/>
    <x v="626"/>
    <d v="2022-04-25T00:00:00"/>
    <s v="West"/>
    <s v="India"/>
    <s v="Tamil Nadu"/>
    <s v="Bangalore"/>
    <x v="150"/>
    <x v="0"/>
    <s v="Furniture"/>
    <s v="Storage"/>
    <s v="Product_80"/>
    <x v="2"/>
    <x v="0"/>
    <s v="UPI"/>
    <s v="High"/>
    <n v="10"/>
    <n v="5035"/>
    <n v="5"/>
    <n v="47832.5"/>
    <n v="1906.98"/>
    <x v="6"/>
  </r>
  <r>
    <s v="ORD01459"/>
    <x v="597"/>
    <d v="2022-04-01T00:00:00"/>
    <s v="East"/>
    <s v="India"/>
    <s v="Karnataka"/>
    <s v="Mumbai"/>
    <x v="1350"/>
    <x v="2"/>
    <s v="Furniture"/>
    <s v="Storage"/>
    <s v="Product_197"/>
    <x v="0"/>
    <x v="0"/>
    <s v="Credit Card"/>
    <s v="Medium"/>
    <n v="3"/>
    <n v="42196"/>
    <n v="0"/>
    <n v="126588"/>
    <n v="35510.129999999997"/>
    <x v="0"/>
  </r>
  <r>
    <s v="ORD01460"/>
    <x v="774"/>
    <d v="2023-12-21T00:00:00"/>
    <s v="West"/>
    <s v="India"/>
    <s v="Maharashtra"/>
    <s v="Bangalore"/>
    <x v="1351"/>
    <x v="1"/>
    <s v="Office Supplies"/>
    <s v="Storage"/>
    <s v="Product_42"/>
    <x v="0"/>
    <x v="0"/>
    <s v="Net Banking"/>
    <s v="High"/>
    <n v="6"/>
    <n v="13763"/>
    <n v="10"/>
    <n v="74320.2"/>
    <n v="3220.99"/>
    <x v="9"/>
  </r>
  <r>
    <s v="ORD01461"/>
    <x v="15"/>
    <d v="2022-01-13T00:00:00"/>
    <s v="South"/>
    <s v="India"/>
    <s v="Karnataka"/>
    <s v="Bangalore"/>
    <x v="1352"/>
    <x v="0"/>
    <s v="Furniture"/>
    <s v="Mobile"/>
    <s v="Product_116"/>
    <x v="3"/>
    <x v="0"/>
    <s v="Credit Card"/>
    <s v="Medium"/>
    <n v="2"/>
    <n v="1333"/>
    <n v="15"/>
    <n v="2266.1"/>
    <n v="-252.84"/>
    <x v="1"/>
  </r>
  <r>
    <s v="ORD01462"/>
    <x v="508"/>
    <d v="2023-07-14T00:00:00"/>
    <s v="North"/>
    <s v="India"/>
    <s v="Gujarat"/>
    <s v="Delhi"/>
    <x v="1353"/>
    <x v="0"/>
    <s v="Office Supplies"/>
    <s v="Storage"/>
    <s v="Product_148"/>
    <x v="5"/>
    <x v="0"/>
    <s v="Debit Card"/>
    <s v="Low"/>
    <n v="3"/>
    <n v="10327"/>
    <n v="15"/>
    <n v="26333.85"/>
    <n v="2732.32"/>
    <x v="11"/>
  </r>
  <r>
    <s v="ORD01463"/>
    <x v="212"/>
    <d v="2024-06-18T00:00:00"/>
    <s v="East"/>
    <s v="India"/>
    <s v="Maharashtra"/>
    <s v="Chennai"/>
    <x v="1354"/>
    <x v="2"/>
    <s v="Electronics"/>
    <s v="Printer"/>
    <s v="Product_126"/>
    <x v="4"/>
    <x v="1"/>
    <s v="Debit Card"/>
    <s v="Medium"/>
    <n v="8"/>
    <n v="48609"/>
    <n v="10"/>
    <n v="349984.8"/>
    <n v="61884.4"/>
    <x v="2"/>
  </r>
  <r>
    <s v="ORD01464"/>
    <x v="775"/>
    <d v="2023-08-07T00:00:00"/>
    <s v="East"/>
    <s v="India"/>
    <s v="Maharashtra"/>
    <s v="Bangalore"/>
    <x v="1355"/>
    <x v="0"/>
    <s v="Furniture"/>
    <s v="Chair"/>
    <s v="Product_36"/>
    <x v="1"/>
    <x v="1"/>
    <s v="Cash"/>
    <s v="Critical"/>
    <n v="6"/>
    <n v="15395"/>
    <n v="10"/>
    <n v="83133"/>
    <n v="2623.86"/>
    <x v="8"/>
  </r>
  <r>
    <s v="ORD01465"/>
    <x v="776"/>
    <d v="2023-10-13T00:00:00"/>
    <s v="South"/>
    <s v="India"/>
    <s v="Karnataka"/>
    <s v="Delhi"/>
    <x v="1356"/>
    <x v="2"/>
    <s v="Electronics"/>
    <s v="Storage"/>
    <s v="Product_7"/>
    <x v="2"/>
    <x v="1"/>
    <s v="UPI"/>
    <s v="Critical"/>
    <n v="10"/>
    <n v="18608"/>
    <n v="0"/>
    <n v="186080"/>
    <n v="13633.39"/>
    <x v="10"/>
  </r>
  <r>
    <s v="ORD01466"/>
    <x v="555"/>
    <d v="2024-02-02T00:00:00"/>
    <s v="West"/>
    <s v="India"/>
    <s v="Karnataka"/>
    <s v="Ahmedabad"/>
    <x v="1357"/>
    <x v="0"/>
    <s v="Furniture"/>
    <s v="Storage"/>
    <s v="Product_47"/>
    <x v="2"/>
    <x v="0"/>
    <s v="Debit Card"/>
    <s v="Critical"/>
    <n v="6"/>
    <n v="23767"/>
    <n v="15"/>
    <n v="121211.7"/>
    <n v="-4512.62"/>
    <x v="1"/>
  </r>
  <r>
    <s v="ORD01467"/>
    <x v="777"/>
    <d v="2023-09-09T00:00:00"/>
    <s v="East"/>
    <s v="India"/>
    <s v="Karnataka"/>
    <s v="Delhi"/>
    <x v="1358"/>
    <x v="0"/>
    <s v="Electronics"/>
    <s v="Storage"/>
    <s v="Product_148"/>
    <x v="1"/>
    <x v="0"/>
    <s v="Debit Card"/>
    <s v="Medium"/>
    <n v="3"/>
    <n v="16727"/>
    <n v="5"/>
    <n v="47671.95"/>
    <n v="6612.53"/>
    <x v="7"/>
  </r>
  <r>
    <s v="ORD01468"/>
    <x v="662"/>
    <d v="2022-06-23T00:00:00"/>
    <s v="South"/>
    <s v="India"/>
    <s v="Karnataka"/>
    <s v="Delhi"/>
    <x v="1359"/>
    <x v="1"/>
    <s v="Office Supplies"/>
    <s v="Storage"/>
    <s v="Product_156"/>
    <x v="5"/>
    <x v="0"/>
    <s v="Net Banking"/>
    <s v="High"/>
    <n v="4"/>
    <n v="36198"/>
    <n v="20"/>
    <n v="115833.60000000001"/>
    <n v="5757.42"/>
    <x v="2"/>
  </r>
  <r>
    <s v="ORD01469"/>
    <x v="778"/>
    <d v="2022-11-22T00:00:00"/>
    <s v="West"/>
    <s v="India"/>
    <s v="Karnataka"/>
    <s v="Chennai"/>
    <x v="1360"/>
    <x v="0"/>
    <s v="Office Supplies"/>
    <s v="Chair"/>
    <s v="Product_137"/>
    <x v="4"/>
    <x v="0"/>
    <s v="Cash"/>
    <s v="High"/>
    <n v="2"/>
    <n v="13961"/>
    <n v="0"/>
    <n v="27922"/>
    <n v="4558.2"/>
    <x v="3"/>
  </r>
  <r>
    <s v="ORD01470"/>
    <x v="71"/>
    <d v="2023-09-01T00:00:00"/>
    <s v="West"/>
    <s v="India"/>
    <s v="Gujarat"/>
    <s v="Ahmedabad"/>
    <x v="1361"/>
    <x v="2"/>
    <s v="Electronics"/>
    <s v="Chair"/>
    <s v="Product_180"/>
    <x v="3"/>
    <x v="0"/>
    <s v="Net Banking"/>
    <s v="Low"/>
    <n v="4"/>
    <n v="4273"/>
    <n v="0"/>
    <n v="17092"/>
    <n v="3400.13"/>
    <x v="8"/>
  </r>
  <r>
    <s v="ORD01471"/>
    <x v="66"/>
    <d v="2023-04-08T00:00:00"/>
    <s v="East"/>
    <s v="India"/>
    <s v="Gujarat"/>
    <s v="Chennai"/>
    <x v="1362"/>
    <x v="2"/>
    <s v="Office Supplies"/>
    <s v="Chair"/>
    <s v="Product_101"/>
    <x v="4"/>
    <x v="1"/>
    <s v="Net Banking"/>
    <s v="High"/>
    <n v="5"/>
    <n v="32451"/>
    <n v="10"/>
    <n v="146029.5"/>
    <n v="-6852.42"/>
    <x v="0"/>
  </r>
  <r>
    <s v="ORD01472"/>
    <x v="779"/>
    <d v="2022-07-27T00:00:00"/>
    <s v="East"/>
    <s v="India"/>
    <s v="Gujarat"/>
    <s v="Bangalore"/>
    <x v="1363"/>
    <x v="2"/>
    <s v="Furniture"/>
    <s v="Chair"/>
    <s v="Product_82"/>
    <x v="0"/>
    <x v="1"/>
    <s v="Cash"/>
    <s v="Medium"/>
    <n v="10"/>
    <n v="29099"/>
    <n v="10"/>
    <n v="261891"/>
    <n v="-3363.45"/>
    <x v="11"/>
  </r>
  <r>
    <s v="ORD01473"/>
    <x v="37"/>
    <d v="2024-03-01T00:00:00"/>
    <s v="East"/>
    <s v="India"/>
    <s v="Tamil Nadu"/>
    <s v="Mumbai"/>
    <x v="1364"/>
    <x v="2"/>
    <s v="Furniture"/>
    <s v="Table"/>
    <s v="Product_75"/>
    <x v="0"/>
    <x v="1"/>
    <s v="UPI"/>
    <s v="Medium"/>
    <n v="4"/>
    <n v="11780"/>
    <n v="15"/>
    <n v="40052"/>
    <n v="-2782.96"/>
    <x v="5"/>
  </r>
  <r>
    <s v="ORD01474"/>
    <x v="780"/>
    <d v="2023-09-14T00:00:00"/>
    <s v="North"/>
    <s v="India"/>
    <s v="Gujarat"/>
    <s v="Bangalore"/>
    <x v="1365"/>
    <x v="1"/>
    <s v="Furniture"/>
    <s v="Printer"/>
    <s v="Product_98"/>
    <x v="3"/>
    <x v="0"/>
    <s v="Net Banking"/>
    <s v="High"/>
    <n v="8"/>
    <n v="39148"/>
    <n v="15"/>
    <n v="266206.40000000002"/>
    <n v="-8340.92"/>
    <x v="7"/>
  </r>
  <r>
    <s v="ORD01475"/>
    <x v="108"/>
    <d v="2024-04-12T00:00:00"/>
    <s v="East"/>
    <s v="India"/>
    <s v="Tamil Nadu"/>
    <s v="Chennai"/>
    <x v="1366"/>
    <x v="1"/>
    <s v="Electronics"/>
    <s v="Storage"/>
    <s v="Product_97"/>
    <x v="4"/>
    <x v="1"/>
    <s v="Net Banking"/>
    <s v="Low"/>
    <n v="1"/>
    <n v="7149"/>
    <n v="0"/>
    <n v="7149"/>
    <n v="1161.67"/>
    <x v="6"/>
  </r>
  <r>
    <s v="ORD01476"/>
    <x v="700"/>
    <d v="2023-01-09T00:00:00"/>
    <s v="West"/>
    <s v="India"/>
    <s v="Karnataka"/>
    <s v="Chennai"/>
    <x v="162"/>
    <x v="2"/>
    <s v="Electronics"/>
    <s v="Storage"/>
    <s v="Product_152"/>
    <x v="5"/>
    <x v="1"/>
    <s v="Debit Card"/>
    <s v="Low"/>
    <n v="8"/>
    <n v="2392"/>
    <n v="20"/>
    <n v="15308.8"/>
    <n v="161.43"/>
    <x v="1"/>
  </r>
  <r>
    <s v="ORD01477"/>
    <x v="781"/>
    <d v="2024-03-04T00:00:00"/>
    <s v="South"/>
    <s v="India"/>
    <s v="Tamil Nadu"/>
    <s v="Chennai"/>
    <x v="1367"/>
    <x v="1"/>
    <s v="Office Supplies"/>
    <s v="Printer"/>
    <s v="Product_15"/>
    <x v="2"/>
    <x v="0"/>
    <s v="Net Banking"/>
    <s v="Medium"/>
    <n v="5"/>
    <n v="20325"/>
    <n v="10"/>
    <n v="91462.5"/>
    <n v="635.38"/>
    <x v="5"/>
  </r>
  <r>
    <s v="ORD01478"/>
    <x v="617"/>
    <d v="2024-05-10T00:00:00"/>
    <s v="East"/>
    <s v="India"/>
    <s v="Tamil Nadu"/>
    <s v="Chennai"/>
    <x v="962"/>
    <x v="1"/>
    <s v="Electronics"/>
    <s v="Storage"/>
    <s v="Product_76"/>
    <x v="3"/>
    <x v="1"/>
    <s v="Debit Card"/>
    <s v="Medium"/>
    <n v="4"/>
    <n v="6652"/>
    <n v="10"/>
    <n v="23947.200000000001"/>
    <n v="2280.0500000000002"/>
    <x v="4"/>
  </r>
  <r>
    <s v="ORD01479"/>
    <x v="176"/>
    <d v="2023-04-12T00:00:00"/>
    <s v="West"/>
    <s v="India"/>
    <s v="Gujarat"/>
    <s v="Bangalore"/>
    <x v="1368"/>
    <x v="1"/>
    <s v="Office Supplies"/>
    <s v="Mobile"/>
    <s v="Product_54"/>
    <x v="1"/>
    <x v="0"/>
    <s v="Net Banking"/>
    <s v="Critical"/>
    <n v="7"/>
    <n v="5349"/>
    <n v="20"/>
    <n v="29954.400000000001"/>
    <n v="-454.56"/>
    <x v="6"/>
  </r>
  <r>
    <s v="ORD01480"/>
    <x v="65"/>
    <d v="2024-01-23T00:00:00"/>
    <s v="South"/>
    <s v="India"/>
    <s v="Gujarat"/>
    <s v="Ahmedabad"/>
    <x v="1369"/>
    <x v="2"/>
    <s v="Electronics"/>
    <s v="Table"/>
    <s v="Product_64"/>
    <x v="2"/>
    <x v="1"/>
    <s v="Net Banking"/>
    <s v="Low"/>
    <n v="3"/>
    <n v="3541"/>
    <n v="10"/>
    <n v="9560.7000000000007"/>
    <n v="573.5"/>
    <x v="1"/>
  </r>
  <r>
    <s v="ORD01481"/>
    <x v="756"/>
    <d v="2022-04-03T00:00:00"/>
    <s v="North"/>
    <s v="India"/>
    <s v="Delhi"/>
    <s v="Delhi"/>
    <x v="1370"/>
    <x v="1"/>
    <s v="Electronics"/>
    <s v="Storage"/>
    <s v="Product_142"/>
    <x v="5"/>
    <x v="1"/>
    <s v="Credit Card"/>
    <s v="High"/>
    <n v="2"/>
    <n v="22156"/>
    <n v="0"/>
    <n v="44312"/>
    <n v="6027.13"/>
    <x v="0"/>
  </r>
  <r>
    <s v="ORD01482"/>
    <x v="782"/>
    <d v="2022-10-22T00:00:00"/>
    <s v="East"/>
    <s v="India"/>
    <s v="Tamil Nadu"/>
    <s v="Mumbai"/>
    <x v="1371"/>
    <x v="1"/>
    <s v="Electronics"/>
    <s v="Mobile"/>
    <s v="Product_3"/>
    <x v="0"/>
    <x v="1"/>
    <s v="UPI"/>
    <s v="High"/>
    <n v="3"/>
    <n v="11784"/>
    <n v="20"/>
    <n v="28281.599999999999"/>
    <n v="-2071.7800000000002"/>
    <x v="10"/>
  </r>
  <r>
    <s v="ORD01483"/>
    <x v="153"/>
    <d v="2023-04-05T00:00:00"/>
    <s v="North"/>
    <s v="India"/>
    <s v="Maharashtra"/>
    <s v="Bangalore"/>
    <x v="1082"/>
    <x v="2"/>
    <s v="Electronics"/>
    <s v="Mobile"/>
    <s v="Product_55"/>
    <x v="3"/>
    <x v="0"/>
    <s v="UPI"/>
    <s v="Medium"/>
    <n v="1"/>
    <n v="3974"/>
    <n v="5"/>
    <n v="3775.3"/>
    <n v="723.22"/>
    <x v="6"/>
  </r>
  <r>
    <s v="ORD01484"/>
    <x v="783"/>
    <d v="2023-01-04T00:00:00"/>
    <s v="South"/>
    <s v="India"/>
    <s v="Tamil Nadu"/>
    <s v="Bangalore"/>
    <x v="1372"/>
    <x v="0"/>
    <s v="Electronics"/>
    <s v="Table"/>
    <s v="Product_69"/>
    <x v="4"/>
    <x v="0"/>
    <s v="Net Banking"/>
    <s v="High"/>
    <n v="10"/>
    <n v="37886"/>
    <n v="20"/>
    <n v="303088"/>
    <n v="34249.199999999997"/>
    <x v="1"/>
  </r>
  <r>
    <s v="ORD01485"/>
    <x v="490"/>
    <d v="2022-11-27T00:00:00"/>
    <s v="West"/>
    <s v="India"/>
    <s v="Karnataka"/>
    <s v="Bangalore"/>
    <x v="1373"/>
    <x v="1"/>
    <s v="Electronics"/>
    <s v="Printer"/>
    <s v="Product_16"/>
    <x v="1"/>
    <x v="1"/>
    <s v="Credit Card"/>
    <s v="Low"/>
    <n v="7"/>
    <n v="7756"/>
    <n v="20"/>
    <n v="43433.599999999999"/>
    <n v="-1951.32"/>
    <x v="3"/>
  </r>
  <r>
    <s v="ORD01486"/>
    <x v="625"/>
    <d v="2023-01-19T00:00:00"/>
    <s v="East"/>
    <s v="India"/>
    <s v="Tamil Nadu"/>
    <s v="Mumbai"/>
    <x v="1374"/>
    <x v="0"/>
    <s v="Office Supplies"/>
    <s v="Chair"/>
    <s v="Product_121"/>
    <x v="0"/>
    <x v="1"/>
    <s v="Debit Card"/>
    <s v="Low"/>
    <n v="6"/>
    <n v="31391"/>
    <n v="10"/>
    <n v="169511.4"/>
    <n v="23711.29"/>
    <x v="1"/>
  </r>
  <r>
    <s v="ORD01487"/>
    <x v="561"/>
    <d v="2024-02-09T00:00:00"/>
    <s v="South"/>
    <s v="India"/>
    <s v="Delhi"/>
    <s v="Chennai"/>
    <x v="1375"/>
    <x v="1"/>
    <s v="Electronics"/>
    <s v="Chair"/>
    <s v="Product_144"/>
    <x v="0"/>
    <x v="1"/>
    <s v="Debit Card"/>
    <s v="Low"/>
    <n v="6"/>
    <n v="41555"/>
    <n v="15"/>
    <n v="211930.5"/>
    <n v="25719.33"/>
    <x v="5"/>
  </r>
  <r>
    <s v="ORD01488"/>
    <x v="216"/>
    <d v="2022-08-22T00:00:00"/>
    <s v="South"/>
    <s v="India"/>
    <s v="Tamil Nadu"/>
    <s v="Mumbai"/>
    <x v="1376"/>
    <x v="2"/>
    <s v="Office Supplies"/>
    <s v="Storage"/>
    <s v="Product_26"/>
    <x v="5"/>
    <x v="1"/>
    <s v="Debit Card"/>
    <s v="High"/>
    <n v="1"/>
    <n v="14447"/>
    <n v="10"/>
    <n v="13002.3"/>
    <n v="-109.59"/>
    <x v="8"/>
  </r>
  <r>
    <s v="ORD01489"/>
    <x v="63"/>
    <d v="2022-04-26T00:00:00"/>
    <s v="South"/>
    <s v="India"/>
    <s v="Maharashtra"/>
    <s v="Chennai"/>
    <x v="1377"/>
    <x v="2"/>
    <s v="Office Supplies"/>
    <s v="Laptop"/>
    <s v="Product_178"/>
    <x v="1"/>
    <x v="1"/>
    <s v="UPI"/>
    <s v="High"/>
    <n v="10"/>
    <n v="9389"/>
    <n v="10"/>
    <n v="84501"/>
    <n v="2927.42"/>
    <x v="6"/>
  </r>
  <r>
    <s v="ORD01490"/>
    <x v="646"/>
    <d v="2022-11-07T00:00:00"/>
    <s v="West"/>
    <s v="India"/>
    <s v="Maharashtra"/>
    <s v="Bangalore"/>
    <x v="1378"/>
    <x v="2"/>
    <s v="Office Supplies"/>
    <s v="Laptop"/>
    <s v="Product_185"/>
    <x v="0"/>
    <x v="0"/>
    <s v="Cash"/>
    <s v="Medium"/>
    <n v="3"/>
    <n v="4109"/>
    <n v="0"/>
    <n v="12327"/>
    <n v="1102.53"/>
    <x v="10"/>
  </r>
  <r>
    <s v="ORD01491"/>
    <x v="420"/>
    <d v="2023-02-14T00:00:00"/>
    <s v="East"/>
    <s v="India"/>
    <s v="Maharashtra"/>
    <s v="Ahmedabad"/>
    <x v="1379"/>
    <x v="2"/>
    <s v="Furniture"/>
    <s v="Printer"/>
    <s v="Product_59"/>
    <x v="1"/>
    <x v="0"/>
    <s v="UPI"/>
    <s v="Low"/>
    <n v="4"/>
    <n v="35680"/>
    <n v="0"/>
    <n v="142720"/>
    <n v="29448.43"/>
    <x v="5"/>
  </r>
  <r>
    <s v="ORD01492"/>
    <x v="452"/>
    <d v="2022-07-01T00:00:00"/>
    <s v="East"/>
    <s v="India"/>
    <s v="Tamil Nadu"/>
    <s v="Delhi"/>
    <x v="1380"/>
    <x v="1"/>
    <s v="Office Supplies"/>
    <s v="Printer"/>
    <s v="Product_43"/>
    <x v="2"/>
    <x v="0"/>
    <s v="Net Banking"/>
    <s v="High"/>
    <n v="9"/>
    <n v="9230"/>
    <n v="15"/>
    <n v="70609.5"/>
    <n v="4150.7"/>
    <x v="2"/>
  </r>
  <r>
    <s v="ORD01493"/>
    <x v="77"/>
    <d v="2023-04-19T00:00:00"/>
    <s v="North"/>
    <s v="India"/>
    <s v="Tamil Nadu"/>
    <s v="Chennai"/>
    <x v="1129"/>
    <x v="0"/>
    <s v="Furniture"/>
    <s v="Chair"/>
    <s v="Product_166"/>
    <x v="5"/>
    <x v="0"/>
    <s v="Debit Card"/>
    <s v="Medium"/>
    <n v="1"/>
    <n v="27331"/>
    <n v="10"/>
    <n v="24597.9"/>
    <n v="-1343.39"/>
    <x v="6"/>
  </r>
  <r>
    <s v="ORD01494"/>
    <x v="758"/>
    <d v="2022-11-26T00:00:00"/>
    <s v="West"/>
    <s v="India"/>
    <s v="Maharashtra"/>
    <s v="Bangalore"/>
    <x v="1381"/>
    <x v="1"/>
    <s v="Electronics"/>
    <s v="Laptop"/>
    <s v="Product_138"/>
    <x v="5"/>
    <x v="1"/>
    <s v="Net Banking"/>
    <s v="Medium"/>
    <n v="7"/>
    <n v="27908"/>
    <n v="20"/>
    <n v="156284.79999999999"/>
    <n v="15470.32"/>
    <x v="3"/>
  </r>
  <r>
    <s v="ORD01495"/>
    <x v="784"/>
    <d v="2023-09-06T00:00:00"/>
    <s v="South"/>
    <s v="India"/>
    <s v="Karnataka"/>
    <s v="Bangalore"/>
    <x v="1382"/>
    <x v="2"/>
    <s v="Office Supplies"/>
    <s v="Chair"/>
    <s v="Product_127"/>
    <x v="5"/>
    <x v="0"/>
    <s v="Credit Card"/>
    <s v="Low"/>
    <n v="5"/>
    <n v="40842"/>
    <n v="20"/>
    <n v="163368"/>
    <n v="14502.56"/>
    <x v="8"/>
  </r>
  <r>
    <s v="ORD01496"/>
    <x v="735"/>
    <d v="2022-12-24T00:00:00"/>
    <s v="North"/>
    <s v="India"/>
    <s v="Delhi"/>
    <s v="Mumbai"/>
    <x v="397"/>
    <x v="0"/>
    <s v="Office Supplies"/>
    <s v="Mobile"/>
    <s v="Product_97"/>
    <x v="5"/>
    <x v="0"/>
    <s v="UPI"/>
    <s v="Medium"/>
    <n v="10"/>
    <n v="28951"/>
    <n v="10"/>
    <n v="260559"/>
    <n v="46493.17"/>
    <x v="9"/>
  </r>
  <r>
    <s v="ORD01497"/>
    <x v="707"/>
    <d v="2022-11-07T00:00:00"/>
    <s v="South"/>
    <s v="India"/>
    <s v="Karnataka"/>
    <s v="Ahmedabad"/>
    <x v="1383"/>
    <x v="0"/>
    <s v="Electronics"/>
    <s v="Table"/>
    <s v="Product_160"/>
    <x v="2"/>
    <x v="0"/>
    <s v="Credit Card"/>
    <s v="Low"/>
    <n v="9"/>
    <n v="47065"/>
    <n v="15"/>
    <n v="360047.25"/>
    <n v="9282.84"/>
    <x v="10"/>
  </r>
  <r>
    <s v="ORD01498"/>
    <x v="176"/>
    <d v="2023-04-06T00:00:00"/>
    <s v="East"/>
    <s v="India"/>
    <s v="Gujarat"/>
    <s v="Bangalore"/>
    <x v="215"/>
    <x v="2"/>
    <s v="Electronics"/>
    <s v="Laptop"/>
    <s v="Product_16"/>
    <x v="2"/>
    <x v="0"/>
    <s v="Credit Card"/>
    <s v="Medium"/>
    <n v="10"/>
    <n v="19558"/>
    <n v="15"/>
    <n v="166243"/>
    <n v="22479.35"/>
    <x v="6"/>
  </r>
  <r>
    <s v="ORD01499"/>
    <x v="380"/>
    <d v="2023-11-10T00:00:00"/>
    <s v="West"/>
    <s v="India"/>
    <s v="Delhi"/>
    <s v="Delhi"/>
    <x v="1384"/>
    <x v="0"/>
    <s v="Furniture"/>
    <s v="Laptop"/>
    <s v="Product_5"/>
    <x v="1"/>
    <x v="1"/>
    <s v="UPI"/>
    <s v="Low"/>
    <n v="10"/>
    <n v="3819"/>
    <n v="0"/>
    <n v="38190"/>
    <n v="4559.9799999999996"/>
    <x v="3"/>
  </r>
  <r>
    <s v="ORD01500"/>
    <x v="346"/>
    <d v="2024-08-30T00:00:00"/>
    <s v="West"/>
    <s v="India"/>
    <s v="Karnataka"/>
    <s v="Mumbai"/>
    <x v="1385"/>
    <x v="1"/>
    <s v="Furniture"/>
    <s v="Storage"/>
    <s v="Product_115"/>
    <x v="5"/>
    <x v="1"/>
    <s v="Credit Card"/>
    <s v="Critical"/>
    <n v="7"/>
    <n v="15678"/>
    <n v="0"/>
    <n v="109746"/>
    <n v="10965.1"/>
    <x v="8"/>
  </r>
  <r>
    <m/>
    <x v="785"/>
    <m/>
    <m/>
    <m/>
    <m/>
    <m/>
    <x v="1386"/>
    <x v="3"/>
    <m/>
    <m/>
    <m/>
    <x v="6"/>
    <x v="2"/>
    <m/>
    <m/>
    <m/>
    <m/>
    <m/>
    <m/>
    <m/>
    <x v="1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Delhi"/>
    <s v="CUST4440"/>
    <s v="Consumer"/>
    <s v="Office Supplies"/>
    <s v="Laptop"/>
    <x v="0"/>
    <x v="0"/>
    <s v="Online"/>
    <s v="UPI"/>
    <s v="Critical"/>
    <n v="10"/>
    <n v="20306"/>
    <n v="0"/>
    <n v="203060"/>
    <n v="57509.34"/>
  </r>
  <r>
    <s v="Ahmedabad"/>
    <s v="CUST8089"/>
    <s v="Corporate"/>
    <s v="Office Supplies"/>
    <s v="Mobile"/>
    <x v="1"/>
    <x v="0"/>
    <s v="Online"/>
    <s v="Debit Card"/>
    <s v="Low"/>
    <n v="2"/>
    <n v="14582"/>
    <n v="15"/>
    <n v="24789.4"/>
    <n v="-613.97"/>
  </r>
  <r>
    <s v="Delhi"/>
    <s v="CUST1835"/>
    <s v="Consumer"/>
    <s v="Office Supplies"/>
    <s v="Laptop"/>
    <x v="2"/>
    <x v="1"/>
    <s v="Offline"/>
    <s v="UPI"/>
    <s v="Low"/>
    <n v="10"/>
    <n v="13952"/>
    <n v="5"/>
    <n v="132544"/>
    <n v="9084.16"/>
  </r>
  <r>
    <s v="Chennai"/>
    <s v="CUST2941"/>
    <s v="Home Office"/>
    <s v="Furniture"/>
    <s v="Printer"/>
    <x v="3"/>
    <x v="2"/>
    <s v="Offline"/>
    <s v="Credit Card"/>
    <s v="Low"/>
    <n v="5"/>
    <n v="11152"/>
    <n v="0"/>
    <n v="55760"/>
    <n v="4747.33"/>
  </r>
  <r>
    <s v="Ahmedabad"/>
    <s v="CUST2592"/>
    <s v="Corporate"/>
    <s v="Furniture"/>
    <s v="Printer"/>
    <x v="4"/>
    <x v="3"/>
    <s v="Offline"/>
    <s v="UPI"/>
    <s v="Medium"/>
    <n v="1"/>
    <n v="32301"/>
    <n v="15"/>
    <n v="27455.85"/>
    <n v="3462.48"/>
  </r>
  <r>
    <s v="Ahmedabad"/>
    <s v="CUST6138"/>
    <s v="Home Office"/>
    <s v="Electronics"/>
    <s v="Printer"/>
    <x v="5"/>
    <x v="4"/>
    <s v="Online"/>
    <s v="Net Banking"/>
    <s v="Low"/>
    <n v="9"/>
    <n v="7072"/>
    <n v="0"/>
    <n v="63648"/>
    <n v="7268.29"/>
  </r>
  <r>
    <s v="Delhi"/>
    <s v="CUST5599"/>
    <s v="Consumer"/>
    <s v="Office Supplies"/>
    <s v="Table"/>
    <x v="6"/>
    <x v="1"/>
    <s v="Offline"/>
    <s v="Debit Card"/>
    <s v="High"/>
    <n v="9"/>
    <n v="19348"/>
    <n v="15"/>
    <n v="148012.20000000001"/>
    <n v="24591.64"/>
  </r>
  <r>
    <s v="Mumbai"/>
    <s v="CUST8187"/>
    <s v="Home Office"/>
    <s v="Electronics"/>
    <s v="Table"/>
    <x v="7"/>
    <x v="5"/>
    <s v="Offline"/>
    <s v="Credit Card"/>
    <s v="Medium"/>
    <n v="3"/>
    <n v="46710"/>
    <n v="5"/>
    <n v="133123.5"/>
    <n v="25471.3"/>
  </r>
  <r>
    <s v="Bangalore"/>
    <s v="CUST7814"/>
    <s v="Home Office"/>
    <s v="Office Supplies"/>
    <s v="Storage"/>
    <x v="8"/>
    <x v="1"/>
    <s v="Offline"/>
    <s v="Net Banking"/>
    <s v="Medium"/>
    <n v="1"/>
    <n v="10787"/>
    <n v="5"/>
    <n v="10247.65"/>
    <n v="387.96"/>
  </r>
  <r>
    <s v="Chennai"/>
    <s v="CUST7670"/>
    <s v="Consumer"/>
    <s v="Furniture"/>
    <s v="Printer"/>
    <x v="4"/>
    <x v="4"/>
    <s v="Offline"/>
    <s v="Credit Card"/>
    <s v="Medium"/>
    <n v="2"/>
    <n v="46827"/>
    <n v="20"/>
    <n v="74923.199999999997"/>
    <n v="-7411.97"/>
  </r>
  <r>
    <s v="Ahmedabad"/>
    <s v="CUST6915"/>
    <s v="Corporate"/>
    <s v="Office Supplies"/>
    <s v="Printer"/>
    <x v="9"/>
    <x v="5"/>
    <s v="Offline"/>
    <s v="Debit Card"/>
    <s v="Critical"/>
    <n v="7"/>
    <n v="18329"/>
    <n v="20"/>
    <n v="102642.4"/>
    <n v="-6604.92"/>
  </r>
  <r>
    <s v="Chennai"/>
    <s v="CUST8342"/>
    <s v="Consumer"/>
    <s v="Electronics"/>
    <s v="Table"/>
    <x v="10"/>
    <x v="4"/>
    <s v="Offline"/>
    <s v="Credit Card"/>
    <s v="High"/>
    <n v="8"/>
    <n v="49805"/>
    <n v="15"/>
    <n v="338674"/>
    <n v="55957.29"/>
  </r>
  <r>
    <s v="Ahmedabad"/>
    <s v="CUST1354"/>
    <s v="Consumer"/>
    <s v="Furniture"/>
    <s v="Printer"/>
    <x v="11"/>
    <x v="3"/>
    <s v="Offline"/>
    <s v="Cash"/>
    <s v="Low"/>
    <n v="6"/>
    <n v="1782"/>
    <n v="15"/>
    <n v="9088.2000000000007"/>
    <n v="140.79"/>
  </r>
  <r>
    <s v="Chennai"/>
    <s v="CUST3362"/>
    <s v="Home Office"/>
    <s v="Furniture"/>
    <s v="Storage"/>
    <x v="12"/>
    <x v="1"/>
    <s v="Online"/>
    <s v="Cash"/>
    <s v="Medium"/>
    <n v="10"/>
    <n v="43616"/>
    <n v="10"/>
    <n v="392544"/>
    <n v="76026.78"/>
  </r>
  <r>
    <s v="Delhi"/>
    <s v="CUST4065"/>
    <s v="Consumer"/>
    <s v="Furniture"/>
    <s v="Laptop"/>
    <x v="13"/>
    <x v="5"/>
    <s v="Online"/>
    <s v="Credit Card"/>
    <s v="High"/>
    <n v="1"/>
    <n v="45833"/>
    <n v="20"/>
    <n v="36666.400000000001"/>
    <n v="2315.79"/>
  </r>
  <r>
    <s v="Delhi"/>
    <s v="CUST2455"/>
    <s v="Corporate"/>
    <s v="Electronics"/>
    <s v="Laptop"/>
    <x v="14"/>
    <x v="4"/>
    <s v="Online"/>
    <s v="Debit Card"/>
    <s v="Critical"/>
    <n v="5"/>
    <n v="48554"/>
    <n v="10"/>
    <n v="218493"/>
    <n v="-7450.51"/>
  </r>
  <r>
    <s v="Bangalore"/>
    <s v="CUST4464"/>
    <s v="Home Office"/>
    <s v="Office Supplies"/>
    <s v="Printer"/>
    <x v="15"/>
    <x v="5"/>
    <s v="Offline"/>
    <s v="Cash"/>
    <s v="Low"/>
    <n v="1"/>
    <n v="11708"/>
    <n v="20"/>
    <n v="9366.4"/>
    <n v="446.8"/>
  </r>
  <r>
    <s v="Mumbai"/>
    <s v="CUST5173"/>
    <s v="Corporate"/>
    <s v="Electronics"/>
    <s v="Storage"/>
    <x v="16"/>
    <x v="5"/>
    <s v="Online"/>
    <s v="Credit Card"/>
    <s v="Critical"/>
    <n v="1"/>
    <n v="33837"/>
    <n v="5"/>
    <n v="32145.15"/>
    <n v="7005.04"/>
  </r>
  <r>
    <s v="Mumbai"/>
    <s v="CUST5329"/>
    <s v="Home Office"/>
    <s v="Electronics"/>
    <s v="Storage"/>
    <x v="17"/>
    <x v="4"/>
    <s v="Online"/>
    <s v="Credit Card"/>
    <s v="Low"/>
    <n v="5"/>
    <n v="31535"/>
    <n v="5"/>
    <n v="149791.25"/>
    <n v="19517.580000000002"/>
  </r>
  <r>
    <s v="Ahmedabad"/>
    <s v="CUST8954"/>
    <s v="Consumer"/>
    <s v="Office Supplies"/>
    <s v="Chair"/>
    <x v="18"/>
    <x v="2"/>
    <s v="Offline"/>
    <s v="UPI"/>
    <s v="Low"/>
    <n v="5"/>
    <n v="22152"/>
    <n v="20"/>
    <n v="88608"/>
    <n v="-199.08"/>
  </r>
  <r>
    <s v="Ahmedabad"/>
    <s v="CUST8438"/>
    <s v="Consumer"/>
    <s v="Electronics"/>
    <s v="Mobile"/>
    <x v="19"/>
    <x v="5"/>
    <s v="Offline"/>
    <s v="Debit Card"/>
    <s v="High"/>
    <n v="5"/>
    <n v="12672"/>
    <n v="20"/>
    <n v="50688"/>
    <n v="-8257.99"/>
  </r>
  <r>
    <s v="Chennai"/>
    <s v="CUST1307"/>
    <s v="Corporate"/>
    <s v="Furniture"/>
    <s v="Laptop"/>
    <x v="20"/>
    <x v="3"/>
    <s v="Offline"/>
    <s v="Credit Card"/>
    <s v="Medium"/>
    <n v="1"/>
    <n v="27817"/>
    <n v="0"/>
    <n v="27817"/>
    <n v="4426.18"/>
  </r>
  <r>
    <s v="Bangalore"/>
    <s v="CUST2802"/>
    <s v="Consumer"/>
    <s v="Furniture"/>
    <s v="Mobile"/>
    <x v="21"/>
    <x v="5"/>
    <s v="Online"/>
    <s v="Credit Card"/>
    <s v="Medium"/>
    <n v="4"/>
    <n v="48278"/>
    <n v="5"/>
    <n v="183456.4"/>
    <n v="33650.5"/>
  </r>
  <r>
    <s v="Ahmedabad"/>
    <s v="CUST8708"/>
    <s v="Consumer"/>
    <s v="Electronics"/>
    <s v="Mobile"/>
    <x v="22"/>
    <x v="2"/>
    <s v="Offline"/>
    <s v="Cash"/>
    <s v="High"/>
    <n v="10"/>
    <n v="38128"/>
    <n v="10"/>
    <n v="343152"/>
    <n v="-1019.84"/>
  </r>
  <r>
    <s v="Mumbai"/>
    <s v="CUST2523"/>
    <s v="Corporate"/>
    <s v="Electronics"/>
    <s v="Chair"/>
    <x v="23"/>
    <x v="0"/>
    <s v="Online"/>
    <s v="Net Banking"/>
    <s v="Critical"/>
    <n v="8"/>
    <n v="22162"/>
    <n v="5"/>
    <n v="168431.2"/>
    <n v="8707.5400000000009"/>
  </r>
  <r>
    <s v="Chennai"/>
    <s v="CUST3853"/>
    <s v="Consumer"/>
    <s v="Office Supplies"/>
    <s v="Storage"/>
    <x v="24"/>
    <x v="3"/>
    <s v="Online"/>
    <s v="UPI"/>
    <s v="Low"/>
    <n v="2"/>
    <n v="12053"/>
    <n v="20"/>
    <n v="19284.8"/>
    <n v="1865.84"/>
  </r>
  <r>
    <s v="Mumbai"/>
    <s v="CUST1513"/>
    <s v="Home Office"/>
    <s v="Office Supplies"/>
    <s v="Chair"/>
    <x v="25"/>
    <x v="3"/>
    <s v="Offline"/>
    <s v="Debit Card"/>
    <s v="Critical"/>
    <n v="2"/>
    <n v="17652"/>
    <n v="10"/>
    <n v="31773.599999999999"/>
    <n v="1569.28"/>
  </r>
  <r>
    <s v="Ahmedabad"/>
    <s v="CUST8818"/>
    <s v="Consumer"/>
    <s v="Office Supplies"/>
    <s v="Mobile"/>
    <x v="26"/>
    <x v="3"/>
    <s v="Offline"/>
    <s v="Cash"/>
    <s v="Critical"/>
    <n v="8"/>
    <n v="46160"/>
    <n v="0"/>
    <n v="369280"/>
    <n v="107362.33"/>
  </r>
  <r>
    <s v="Ahmedabad"/>
    <s v="CUST6939"/>
    <s v="Corporate"/>
    <s v="Office Supplies"/>
    <s v="Chair"/>
    <x v="27"/>
    <x v="0"/>
    <s v="Online"/>
    <s v="Net Banking"/>
    <s v="Low"/>
    <n v="2"/>
    <n v="22972"/>
    <n v="15"/>
    <n v="39052.400000000001"/>
    <n v="1511.19"/>
  </r>
  <r>
    <s v="Bangalore"/>
    <s v="CUST2807"/>
    <s v="Consumer"/>
    <s v="Electronics"/>
    <s v="Mobile"/>
    <x v="28"/>
    <x v="3"/>
    <s v="Online"/>
    <s v="UPI"/>
    <s v="Low"/>
    <n v="6"/>
    <n v="4276"/>
    <n v="20"/>
    <n v="20524.8"/>
    <n v="1634.75"/>
  </r>
  <r>
    <s v="Bangalore"/>
    <s v="CUST1788"/>
    <s v="Consumer"/>
    <s v="Furniture"/>
    <s v="Chair"/>
    <x v="29"/>
    <x v="3"/>
    <s v="Online"/>
    <s v="Net Banking"/>
    <s v="High"/>
    <n v="5"/>
    <n v="28873"/>
    <n v="10"/>
    <n v="129928.5"/>
    <n v="-3398.82"/>
  </r>
  <r>
    <s v="Ahmedabad"/>
    <s v="CUST2825"/>
    <s v="Home Office"/>
    <s v="Electronics"/>
    <s v="Storage"/>
    <x v="30"/>
    <x v="2"/>
    <s v="Offline"/>
    <s v="Cash"/>
    <s v="High"/>
    <n v="9"/>
    <n v="49562"/>
    <n v="10"/>
    <n v="401452.2"/>
    <n v="9254.7900000000009"/>
  </r>
  <r>
    <s v="Ahmedabad"/>
    <s v="CUST6448"/>
    <s v="Consumer"/>
    <s v="Furniture"/>
    <s v="Laptop"/>
    <x v="31"/>
    <x v="5"/>
    <s v="Online"/>
    <s v="UPI"/>
    <s v="Medium"/>
    <n v="9"/>
    <n v="12298"/>
    <n v="15"/>
    <n v="94079.7"/>
    <n v="-4681.93"/>
  </r>
  <r>
    <s v="Chennai"/>
    <s v="CUST7215"/>
    <s v="Home Office"/>
    <s v="Furniture"/>
    <s v="Storage"/>
    <x v="32"/>
    <x v="5"/>
    <s v="Offline"/>
    <s v="Credit Card"/>
    <s v="Medium"/>
    <n v="10"/>
    <n v="28052"/>
    <n v="0"/>
    <n v="280520"/>
    <n v="37539.019999999997"/>
  </r>
  <r>
    <s v="Mumbai"/>
    <s v="CUST7564"/>
    <s v="Home Office"/>
    <s v="Office Supplies"/>
    <s v="Mobile"/>
    <x v="33"/>
    <x v="2"/>
    <s v="Online"/>
    <s v="Cash"/>
    <s v="Critical"/>
    <n v="9"/>
    <n v="44223"/>
    <n v="15"/>
    <n v="338305.95"/>
    <n v="40479.160000000003"/>
  </r>
  <r>
    <s v="Delhi"/>
    <s v="CUST5385"/>
    <s v="Home Office"/>
    <s v="Office Supplies"/>
    <s v="Chair"/>
    <x v="34"/>
    <x v="4"/>
    <s v="Online"/>
    <s v="Net Banking"/>
    <s v="Low"/>
    <n v="9"/>
    <n v="24314"/>
    <n v="0"/>
    <n v="218826"/>
    <n v="39737.33"/>
  </r>
  <r>
    <s v="Ahmedabad"/>
    <s v="CUST8744"/>
    <s v="Home Office"/>
    <s v="Office Supplies"/>
    <s v="Laptop"/>
    <x v="35"/>
    <x v="2"/>
    <s v="Online"/>
    <s v="Credit Card"/>
    <s v="Medium"/>
    <n v="5"/>
    <n v="2210"/>
    <n v="10"/>
    <n v="9945"/>
    <n v="2039.84"/>
  </r>
  <r>
    <s v="Ahmedabad"/>
    <s v="CUST7261"/>
    <s v="Corporate"/>
    <s v="Electronics"/>
    <s v="Mobile"/>
    <x v="36"/>
    <x v="5"/>
    <s v="Online"/>
    <s v="Credit Card"/>
    <s v="High"/>
    <n v="8"/>
    <n v="17701"/>
    <n v="10"/>
    <n v="127447.2"/>
    <n v="26222.99"/>
  </r>
  <r>
    <s v="Bangalore"/>
    <s v="CUST7148"/>
    <s v="Consumer"/>
    <s v="Office Supplies"/>
    <s v="Storage"/>
    <x v="37"/>
    <x v="0"/>
    <s v="Online"/>
    <s v="Net Banking"/>
    <s v="High"/>
    <n v="9"/>
    <n v="19442"/>
    <n v="20"/>
    <n v="139982.39999999999"/>
    <n v="-10571.29"/>
  </r>
  <r>
    <s v="Delhi"/>
    <s v="CUST6541"/>
    <s v="Home Office"/>
    <s v="Furniture"/>
    <s v="Laptop"/>
    <x v="38"/>
    <x v="1"/>
    <s v="Online"/>
    <s v="Cash"/>
    <s v="High"/>
    <n v="9"/>
    <n v="13193"/>
    <n v="5"/>
    <n v="112800.15"/>
    <n v="15206.58"/>
  </r>
  <r>
    <s v="Bangalore"/>
    <s v="CUST9995"/>
    <s v="Consumer"/>
    <s v="Office Supplies"/>
    <s v="Storage"/>
    <x v="39"/>
    <x v="2"/>
    <s v="Online"/>
    <s v="UPI"/>
    <s v="Critical"/>
    <n v="6"/>
    <n v="2013"/>
    <n v="20"/>
    <n v="9662.4"/>
    <n v="-455.29"/>
  </r>
  <r>
    <s v="Mumbai"/>
    <s v="CUST5868"/>
    <s v="Consumer"/>
    <s v="Electronics"/>
    <s v="Table"/>
    <x v="26"/>
    <x v="1"/>
    <s v="Online"/>
    <s v="Debit Card"/>
    <s v="Medium"/>
    <n v="9"/>
    <n v="2647"/>
    <n v="10"/>
    <n v="21440.7"/>
    <n v="-284.89"/>
  </r>
  <r>
    <s v="Mumbai"/>
    <s v="CUST5059"/>
    <s v="Corporate"/>
    <s v="Furniture"/>
    <s v="Mobile"/>
    <x v="40"/>
    <x v="0"/>
    <s v="Online"/>
    <s v="Cash"/>
    <s v="Medium"/>
    <n v="1"/>
    <n v="37076"/>
    <n v="5"/>
    <n v="35222.199999999997"/>
    <n v="2673.32"/>
  </r>
  <r>
    <s v="Ahmedabad"/>
    <s v="CUST9133"/>
    <s v="Home Office"/>
    <s v="Electronics"/>
    <s v="Laptop"/>
    <x v="41"/>
    <x v="4"/>
    <s v="Offline"/>
    <s v="Cash"/>
    <s v="High"/>
    <n v="1"/>
    <n v="5395"/>
    <n v="20"/>
    <n v="4316"/>
    <n v="298.14999999999998"/>
  </r>
  <r>
    <s v="Bangalore"/>
    <s v="CUST9869"/>
    <s v="Home Office"/>
    <s v="Furniture"/>
    <s v="Laptop"/>
    <x v="29"/>
    <x v="2"/>
    <s v="Online"/>
    <s v="Net Banking"/>
    <s v="Medium"/>
    <n v="3"/>
    <n v="42319"/>
    <n v="0"/>
    <n v="126957"/>
    <n v="35149.85"/>
  </r>
  <r>
    <s v="Bangalore"/>
    <s v="CUST7690"/>
    <s v="Corporate"/>
    <s v="Electronics"/>
    <s v="Storage"/>
    <x v="42"/>
    <x v="3"/>
    <s v="Online"/>
    <s v="Credit Card"/>
    <s v="High"/>
    <n v="1"/>
    <n v="10408"/>
    <n v="10"/>
    <n v="9367.2000000000007"/>
    <n v="1859.89"/>
  </r>
  <r>
    <s v="Ahmedabad"/>
    <s v="CUST6670"/>
    <s v="Home Office"/>
    <s v="Furniture"/>
    <s v="Mobile"/>
    <x v="43"/>
    <x v="5"/>
    <s v="Online"/>
    <s v="UPI"/>
    <s v="Critical"/>
    <n v="7"/>
    <n v="6480"/>
    <n v="15"/>
    <n v="38556"/>
    <n v="1119.9000000000001"/>
  </r>
  <r>
    <s v="Mumbai"/>
    <s v="CUST8923"/>
    <s v="Corporate"/>
    <s v="Electronics"/>
    <s v="Storage"/>
    <x v="44"/>
    <x v="3"/>
    <s v="Online"/>
    <s v="UPI"/>
    <s v="High"/>
    <n v="3"/>
    <n v="38540"/>
    <n v="0"/>
    <n v="115620"/>
    <n v="18664.79"/>
  </r>
  <r>
    <s v="Mumbai"/>
    <s v="CUST9112"/>
    <s v="Home Office"/>
    <s v="Office Supplies"/>
    <s v="Storage"/>
    <x v="45"/>
    <x v="5"/>
    <s v="Online"/>
    <s v="Net Banking"/>
    <s v="High"/>
    <n v="9"/>
    <n v="39582"/>
    <n v="15"/>
    <n v="302802.3"/>
    <n v="-18114.96"/>
  </r>
  <r>
    <s v="Delhi"/>
    <s v="CUST6983"/>
    <s v="Consumer"/>
    <s v="Electronics"/>
    <s v="Table"/>
    <x v="14"/>
    <x v="1"/>
    <s v="Online"/>
    <s v="Cash"/>
    <s v="Medium"/>
    <n v="7"/>
    <n v="2517"/>
    <n v="0"/>
    <n v="17619"/>
    <n v="2195.6799999999998"/>
  </r>
  <r>
    <s v="Delhi"/>
    <s v="CUST5978"/>
    <s v="Home Office"/>
    <s v="Electronics"/>
    <s v="Table"/>
    <x v="46"/>
    <x v="2"/>
    <s v="Offline"/>
    <s v="Cash"/>
    <s v="Critical"/>
    <n v="2"/>
    <n v="27999"/>
    <n v="5"/>
    <n v="53198.1"/>
    <n v="11279.91"/>
  </r>
  <r>
    <s v="Chennai"/>
    <s v="CUST6836"/>
    <s v="Corporate"/>
    <s v="Office Supplies"/>
    <s v="Storage"/>
    <x v="47"/>
    <x v="2"/>
    <s v="Online"/>
    <s v="Cash"/>
    <s v="Critical"/>
    <n v="9"/>
    <n v="22737"/>
    <n v="10"/>
    <n v="184169.7"/>
    <n v="22380.92"/>
  </r>
  <r>
    <s v="Bangalore"/>
    <s v="CUST9993"/>
    <s v="Consumer"/>
    <s v="Office Supplies"/>
    <s v="Printer"/>
    <x v="48"/>
    <x v="3"/>
    <s v="Online"/>
    <s v="UPI"/>
    <s v="Low"/>
    <n v="6"/>
    <n v="16655"/>
    <n v="5"/>
    <n v="94933.5"/>
    <n v="9695.2199999999993"/>
  </r>
  <r>
    <s v="Ahmedabad"/>
    <s v="CUST6903"/>
    <s v="Consumer"/>
    <s v="Office Supplies"/>
    <s v="Mobile"/>
    <x v="49"/>
    <x v="1"/>
    <s v="Online"/>
    <s v="Cash"/>
    <s v="Low"/>
    <n v="1"/>
    <n v="7269"/>
    <n v="15"/>
    <n v="6178.65"/>
    <n v="624.47"/>
  </r>
  <r>
    <s v="Ahmedabad"/>
    <s v="CUST5183"/>
    <s v="Consumer"/>
    <s v="Office Supplies"/>
    <s v="Mobile"/>
    <x v="50"/>
    <x v="3"/>
    <s v="Offline"/>
    <s v="UPI"/>
    <s v="Critical"/>
    <n v="6"/>
    <n v="31953"/>
    <n v="15"/>
    <n v="162960.29999999999"/>
    <n v="21267.11"/>
  </r>
  <r>
    <s v="Chennai"/>
    <s v="CUST2202"/>
    <s v="Corporate"/>
    <s v="Office Supplies"/>
    <s v="Storage"/>
    <x v="51"/>
    <x v="4"/>
    <s v="Online"/>
    <s v="UPI"/>
    <s v="Low"/>
    <n v="3"/>
    <n v="22029"/>
    <n v="10"/>
    <n v="59478.3"/>
    <n v="9170.7800000000007"/>
  </r>
  <r>
    <s v="Chennai"/>
    <s v="CUST5466"/>
    <s v="Home Office"/>
    <s v="Electronics"/>
    <s v="Laptop"/>
    <x v="52"/>
    <x v="1"/>
    <s v="Online"/>
    <s v="Net Banking"/>
    <s v="Critical"/>
    <n v="3"/>
    <n v="21721"/>
    <n v="20"/>
    <n v="52130.400000000001"/>
    <n v="-7441.28"/>
  </r>
  <r>
    <s v="Chennai"/>
    <s v="CUST5089"/>
    <s v="Consumer"/>
    <s v="Furniture"/>
    <s v="Laptop"/>
    <x v="53"/>
    <x v="4"/>
    <s v="Offline"/>
    <s v="Debit Card"/>
    <s v="Medium"/>
    <n v="1"/>
    <n v="3069"/>
    <n v="15"/>
    <n v="2608.65"/>
    <n v="25.61"/>
  </r>
  <r>
    <s v="Chennai"/>
    <s v="CUST7539"/>
    <s v="Home Office"/>
    <s v="Electronics"/>
    <s v="Mobile"/>
    <x v="54"/>
    <x v="1"/>
    <s v="Offline"/>
    <s v="UPI"/>
    <s v="Critical"/>
    <n v="1"/>
    <n v="11582"/>
    <n v="5"/>
    <n v="11002.9"/>
    <n v="1490.66"/>
  </r>
  <r>
    <s v="Bangalore"/>
    <s v="CUST7953"/>
    <s v="Consumer"/>
    <s v="Electronics"/>
    <s v="Chair"/>
    <x v="55"/>
    <x v="4"/>
    <s v="Offline"/>
    <s v="Cash"/>
    <s v="Medium"/>
    <n v="1"/>
    <n v="16985"/>
    <n v="15"/>
    <n v="14437.25"/>
    <n v="1726.85"/>
  </r>
  <r>
    <s v="Delhi"/>
    <s v="CUST7985"/>
    <s v="Corporate"/>
    <s v="Furniture"/>
    <s v="Storage"/>
    <x v="56"/>
    <x v="2"/>
    <s v="Offline"/>
    <s v="Credit Card"/>
    <s v="Critical"/>
    <n v="9"/>
    <n v="40039"/>
    <n v="10"/>
    <n v="324315.90000000002"/>
    <n v="-15534.79"/>
  </r>
  <r>
    <s v="Bangalore"/>
    <s v="CUST2974"/>
    <s v="Home Office"/>
    <s v="Electronics"/>
    <s v="Chair"/>
    <x v="57"/>
    <x v="3"/>
    <s v="Online"/>
    <s v="Debit Card"/>
    <s v="Low"/>
    <n v="2"/>
    <n v="6526"/>
    <n v="20"/>
    <n v="10441.6"/>
    <n v="463.53"/>
  </r>
  <r>
    <s v="Delhi"/>
    <s v="CUST8083"/>
    <s v="Home Office"/>
    <s v="Furniture"/>
    <s v="Printer"/>
    <x v="58"/>
    <x v="4"/>
    <s v="Offline"/>
    <s v="Net Banking"/>
    <s v="Medium"/>
    <n v="10"/>
    <n v="29843"/>
    <n v="0"/>
    <n v="298430"/>
    <n v="34998.629999999997"/>
  </r>
  <r>
    <s v="Chennai"/>
    <s v="CUST9447"/>
    <s v="Corporate"/>
    <s v="Furniture"/>
    <s v="Chair"/>
    <x v="51"/>
    <x v="1"/>
    <s v="Offline"/>
    <s v="UPI"/>
    <s v="Critical"/>
    <n v="9"/>
    <n v="21033"/>
    <n v="5"/>
    <n v="179832.15"/>
    <n v="4508.28"/>
  </r>
  <r>
    <s v="Bangalore"/>
    <s v="CUST8333"/>
    <s v="Home Office"/>
    <s v="Electronics"/>
    <s v="Laptop"/>
    <x v="31"/>
    <x v="0"/>
    <s v="Offline"/>
    <s v="Net Banking"/>
    <s v="Low"/>
    <n v="6"/>
    <n v="48891"/>
    <n v="15"/>
    <n v="249344.1"/>
    <n v="28904.81"/>
  </r>
  <r>
    <s v="Bangalore"/>
    <s v="CUST1065"/>
    <s v="Corporate"/>
    <s v="Electronics"/>
    <s v="Chair"/>
    <x v="31"/>
    <x v="5"/>
    <s v="Offline"/>
    <s v="UPI"/>
    <s v="Low"/>
    <n v="2"/>
    <n v="40993"/>
    <n v="15"/>
    <n v="69688.100000000006"/>
    <n v="9290.5"/>
  </r>
  <r>
    <s v="Bangalore"/>
    <s v="CUST7191"/>
    <s v="Home Office"/>
    <s v="Furniture"/>
    <s v="Chair"/>
    <x v="36"/>
    <x v="5"/>
    <s v="Offline"/>
    <s v="Debit Card"/>
    <s v="Low"/>
    <n v="1"/>
    <n v="49746"/>
    <n v="10"/>
    <n v="44771.4"/>
    <n v="9525.2000000000007"/>
  </r>
  <r>
    <s v="Delhi"/>
    <s v="CUST6154"/>
    <s v="Home Office"/>
    <s v="Office Supplies"/>
    <s v="Table"/>
    <x v="59"/>
    <x v="1"/>
    <s v="Offline"/>
    <s v="Cash"/>
    <s v="Critical"/>
    <n v="8"/>
    <n v="33743"/>
    <n v="0"/>
    <n v="269944"/>
    <n v="41092.99"/>
  </r>
  <r>
    <s v="Delhi"/>
    <s v="CUST7382"/>
    <s v="Consumer"/>
    <s v="Furniture"/>
    <s v="Storage"/>
    <x v="28"/>
    <x v="2"/>
    <s v="Online"/>
    <s v="Credit Card"/>
    <s v="Critical"/>
    <n v="6"/>
    <n v="22810"/>
    <n v="15"/>
    <n v="116331"/>
    <n v="-6227.99"/>
  </r>
  <r>
    <s v="Bangalore"/>
    <s v="CUST3474"/>
    <s v="Consumer"/>
    <s v="Office Supplies"/>
    <s v="Laptop"/>
    <x v="60"/>
    <x v="1"/>
    <s v="Online"/>
    <s v="Cash"/>
    <s v="Critical"/>
    <n v="3"/>
    <n v="19919"/>
    <n v="10"/>
    <n v="53781.3"/>
    <n v="-94.41"/>
  </r>
  <r>
    <s v="Bangalore"/>
    <s v="CUST8507"/>
    <s v="Home Office"/>
    <s v="Electronics"/>
    <s v="Mobile"/>
    <x v="61"/>
    <x v="5"/>
    <s v="Online"/>
    <s v="Net Banking"/>
    <s v="Critical"/>
    <n v="7"/>
    <n v="46901"/>
    <n v="0"/>
    <n v="328307"/>
    <n v="79228.19"/>
  </r>
  <r>
    <s v="Delhi"/>
    <s v="CUST7524"/>
    <s v="Corporate"/>
    <s v="Office Supplies"/>
    <s v="Laptop"/>
    <x v="15"/>
    <x v="2"/>
    <s v="Offline"/>
    <s v="UPI"/>
    <s v="Low"/>
    <n v="10"/>
    <n v="13575"/>
    <n v="20"/>
    <n v="108600"/>
    <n v="-8226.32"/>
  </r>
  <r>
    <s v="Mumbai"/>
    <s v="CUST6567"/>
    <s v="Corporate"/>
    <s v="Electronics"/>
    <s v="Printer"/>
    <x v="62"/>
    <x v="0"/>
    <s v="Offline"/>
    <s v="Net Banking"/>
    <s v="Medium"/>
    <n v="2"/>
    <n v="46265"/>
    <n v="20"/>
    <n v="74024"/>
    <n v="8076.27"/>
  </r>
  <r>
    <s v="Mumbai"/>
    <s v="CUST3952"/>
    <s v="Consumer"/>
    <s v="Electronics"/>
    <s v="Mobile"/>
    <x v="63"/>
    <x v="4"/>
    <s v="Offline"/>
    <s v="Net Banking"/>
    <s v="High"/>
    <n v="1"/>
    <n v="34505"/>
    <n v="0"/>
    <n v="34505"/>
    <n v="4695.21"/>
  </r>
  <r>
    <s v="Delhi"/>
    <s v="CUST9996"/>
    <s v="Consumer"/>
    <s v="Furniture"/>
    <s v="Storage"/>
    <x v="1"/>
    <x v="1"/>
    <s v="Offline"/>
    <s v="UPI"/>
    <s v="High"/>
    <n v="6"/>
    <n v="31758"/>
    <n v="10"/>
    <n v="171493.2"/>
    <n v="23715.74"/>
  </r>
  <r>
    <s v="Mumbai"/>
    <s v="CUST9786"/>
    <s v="Home Office"/>
    <s v="Office Supplies"/>
    <s v="Storage"/>
    <x v="64"/>
    <x v="4"/>
    <s v="Offline"/>
    <s v="Credit Card"/>
    <s v="Low"/>
    <n v="1"/>
    <n v="20483"/>
    <n v="5"/>
    <n v="19458.849999999999"/>
    <n v="4675.03"/>
  </r>
  <r>
    <s v="Bangalore"/>
    <s v="CUST5082"/>
    <s v="Consumer"/>
    <s v="Electronics"/>
    <s v="Printer"/>
    <x v="26"/>
    <x v="3"/>
    <s v="Online"/>
    <s v="Debit Card"/>
    <s v="Medium"/>
    <n v="2"/>
    <n v="43128"/>
    <n v="0"/>
    <n v="86256"/>
    <n v="8414.7999999999993"/>
  </r>
  <r>
    <s v="Delhi"/>
    <s v="CUST8982"/>
    <s v="Corporate"/>
    <s v="Office Supplies"/>
    <s v="Chair"/>
    <x v="14"/>
    <x v="4"/>
    <s v="Offline"/>
    <s v="Credit Card"/>
    <s v="Low"/>
    <n v="4"/>
    <n v="23649"/>
    <n v="15"/>
    <n v="80406.600000000006"/>
    <n v="-154.80000000000001"/>
  </r>
  <r>
    <s v="Bangalore"/>
    <s v="CUST5045"/>
    <s v="Corporate"/>
    <s v="Electronics"/>
    <s v="Chair"/>
    <x v="65"/>
    <x v="0"/>
    <s v="Offline"/>
    <s v="Net Banking"/>
    <s v="Medium"/>
    <n v="1"/>
    <n v="10430"/>
    <n v="20"/>
    <n v="8344"/>
    <n v="897.55"/>
  </r>
  <r>
    <s v="Chennai"/>
    <s v="CUST4475"/>
    <s v="Consumer"/>
    <s v="Office Supplies"/>
    <s v="Chair"/>
    <x v="66"/>
    <x v="0"/>
    <s v="Offline"/>
    <s v="Net Banking"/>
    <s v="Critical"/>
    <n v="3"/>
    <n v="47483"/>
    <n v="10"/>
    <n v="128204.1"/>
    <n v="27673.09"/>
  </r>
  <r>
    <s v="Mumbai"/>
    <s v="CUST5055"/>
    <s v="Corporate"/>
    <s v="Electronics"/>
    <s v="Table"/>
    <x v="67"/>
    <x v="2"/>
    <s v="Online"/>
    <s v="Debit Card"/>
    <s v="Critical"/>
    <n v="1"/>
    <n v="7749"/>
    <n v="10"/>
    <n v="6974.1"/>
    <n v="-93.3"/>
  </r>
  <r>
    <s v="Ahmedabad"/>
    <s v="CUST6296"/>
    <s v="Corporate"/>
    <s v="Furniture"/>
    <s v="Mobile"/>
    <x v="12"/>
    <x v="4"/>
    <s v="Online"/>
    <s v="UPI"/>
    <s v="High"/>
    <n v="4"/>
    <n v="38305"/>
    <n v="5"/>
    <n v="145559"/>
    <n v="2401.2600000000002"/>
  </r>
  <r>
    <s v="Chennai"/>
    <s v="CUST9264"/>
    <s v="Corporate"/>
    <s v="Furniture"/>
    <s v="Laptop"/>
    <x v="68"/>
    <x v="0"/>
    <s v="Offline"/>
    <s v="Cash"/>
    <s v="Medium"/>
    <n v="9"/>
    <n v="44147"/>
    <n v="5"/>
    <n v="377456.85"/>
    <n v="12759.5"/>
  </r>
  <r>
    <s v="Delhi"/>
    <s v="CUST9984"/>
    <s v="Corporate"/>
    <s v="Furniture"/>
    <s v="Mobile"/>
    <x v="48"/>
    <x v="3"/>
    <s v="Offline"/>
    <s v="UPI"/>
    <s v="Critical"/>
    <n v="3"/>
    <n v="22823"/>
    <n v="10"/>
    <n v="61622.1"/>
    <n v="1323.26"/>
  </r>
  <r>
    <s v="Delhi"/>
    <s v="CUST6997"/>
    <s v="Corporate"/>
    <s v="Furniture"/>
    <s v="Printer"/>
    <x v="69"/>
    <x v="5"/>
    <s v="Offline"/>
    <s v="Credit Card"/>
    <s v="Medium"/>
    <n v="9"/>
    <n v="45015"/>
    <n v="5"/>
    <n v="384878.25"/>
    <n v="78778.2"/>
  </r>
  <r>
    <s v="Ahmedabad"/>
    <s v="CUST5816"/>
    <s v="Corporate"/>
    <s v="Furniture"/>
    <s v="Laptop"/>
    <x v="39"/>
    <x v="5"/>
    <s v="Offline"/>
    <s v="Net Banking"/>
    <s v="Critical"/>
    <n v="8"/>
    <n v="1845"/>
    <n v="5"/>
    <n v="14022"/>
    <n v="639.20000000000005"/>
  </r>
  <r>
    <s v="Delhi"/>
    <s v="CUST5769"/>
    <s v="Corporate"/>
    <s v="Furniture"/>
    <s v="Storage"/>
    <x v="2"/>
    <x v="0"/>
    <s v="Online"/>
    <s v="Debit Card"/>
    <s v="Low"/>
    <n v="8"/>
    <n v="39976"/>
    <n v="10"/>
    <n v="287827.20000000001"/>
    <n v="-5343.6"/>
  </r>
  <r>
    <s v="Ahmedabad"/>
    <s v="CUST7132"/>
    <s v="Consumer"/>
    <s v="Furniture"/>
    <s v="Table"/>
    <x v="70"/>
    <x v="3"/>
    <s v="Offline"/>
    <s v="Debit Card"/>
    <s v="Low"/>
    <n v="7"/>
    <n v="34006"/>
    <n v="5"/>
    <n v="226139.9"/>
    <n v="52832.74"/>
  </r>
  <r>
    <s v="Bangalore"/>
    <s v="CUST8469"/>
    <s v="Consumer"/>
    <s v="Furniture"/>
    <s v="Table"/>
    <x v="71"/>
    <x v="3"/>
    <s v="Offline"/>
    <s v="Cash"/>
    <s v="High"/>
    <n v="1"/>
    <n v="49524"/>
    <n v="20"/>
    <n v="39619.199999999997"/>
    <n v="-4328.33"/>
  </r>
  <r>
    <s v="Mumbai"/>
    <s v="CUST1298"/>
    <s v="Home Office"/>
    <s v="Office Supplies"/>
    <s v="Laptop"/>
    <x v="10"/>
    <x v="3"/>
    <s v="Online"/>
    <s v="Net Banking"/>
    <s v="Medium"/>
    <n v="2"/>
    <n v="31121"/>
    <n v="0"/>
    <n v="62242"/>
    <n v="16875.41"/>
  </r>
  <r>
    <s v="Mumbai"/>
    <s v="CUST8674"/>
    <s v="Corporate"/>
    <s v="Office Supplies"/>
    <s v="Storage"/>
    <x v="49"/>
    <x v="1"/>
    <s v="Offline"/>
    <s v="Cash"/>
    <s v="Low"/>
    <n v="6"/>
    <n v="8947"/>
    <n v="20"/>
    <n v="42945.599999999999"/>
    <n v="-6338.81"/>
  </r>
  <r>
    <s v="Bangalore"/>
    <s v="CUST2097"/>
    <s v="Home Office"/>
    <s v="Electronics"/>
    <s v="Storage"/>
    <x v="39"/>
    <x v="3"/>
    <s v="Online"/>
    <s v="UPI"/>
    <s v="High"/>
    <n v="4"/>
    <n v="15181"/>
    <n v="20"/>
    <n v="48579.199999999997"/>
    <n v="-1049.79"/>
  </r>
  <r>
    <s v="Mumbai"/>
    <s v="CUST1862"/>
    <s v="Home Office"/>
    <s v="Furniture"/>
    <s v="Mobile"/>
    <x v="72"/>
    <x v="1"/>
    <s v="Online"/>
    <s v="UPI"/>
    <s v="Low"/>
    <n v="7"/>
    <n v="15832"/>
    <n v="15"/>
    <n v="94200.4"/>
    <n v="9994.42"/>
  </r>
  <r>
    <s v="Ahmedabad"/>
    <s v="CUST6032"/>
    <s v="Home Office"/>
    <s v="Electronics"/>
    <s v="Laptop"/>
    <x v="73"/>
    <x v="4"/>
    <s v="Online"/>
    <s v="Cash"/>
    <s v="Medium"/>
    <n v="5"/>
    <n v="22130"/>
    <n v="15"/>
    <n v="94052.5"/>
    <n v="11262.15"/>
  </r>
  <r>
    <s v="Ahmedabad"/>
    <s v="CUST3015"/>
    <s v="Consumer"/>
    <s v="Office Supplies"/>
    <s v="Mobile"/>
    <x v="74"/>
    <x v="4"/>
    <s v="Online"/>
    <s v="Cash"/>
    <s v="Medium"/>
    <n v="7"/>
    <n v="5830"/>
    <n v="10"/>
    <n v="36729"/>
    <n v="3466.42"/>
  </r>
  <r>
    <s v="Ahmedabad"/>
    <s v="CUST4460"/>
    <s v="Home Office"/>
    <s v="Office Supplies"/>
    <s v="Storage"/>
    <x v="75"/>
    <x v="0"/>
    <s v="Online"/>
    <s v="UPI"/>
    <s v="High"/>
    <n v="8"/>
    <n v="20595"/>
    <n v="15"/>
    <n v="140046"/>
    <n v="8084.29"/>
  </r>
  <r>
    <s v="Chennai"/>
    <s v="CUST6195"/>
    <s v="Corporate"/>
    <s v="Furniture"/>
    <s v="Printer"/>
    <x v="76"/>
    <x v="5"/>
    <s v="Online"/>
    <s v="UPI"/>
    <s v="Medium"/>
    <n v="6"/>
    <n v="31309"/>
    <n v="0"/>
    <n v="187854"/>
    <n v="34743.599999999999"/>
  </r>
  <r>
    <s v="Bangalore"/>
    <s v="CUST2640"/>
    <s v="Home Office"/>
    <s v="Furniture"/>
    <s v="Mobile"/>
    <x v="77"/>
    <x v="5"/>
    <s v="Offline"/>
    <s v="UPI"/>
    <s v="Medium"/>
    <n v="7"/>
    <n v="14125"/>
    <n v="10"/>
    <n v="88987.5"/>
    <n v="14467.68"/>
  </r>
  <r>
    <s v="Mumbai"/>
    <s v="CUST5576"/>
    <s v="Corporate"/>
    <s v="Furniture"/>
    <s v="Mobile"/>
    <x v="62"/>
    <x v="3"/>
    <s v="Offline"/>
    <s v="Credit Card"/>
    <s v="Critical"/>
    <n v="4"/>
    <n v="46327"/>
    <n v="20"/>
    <n v="148246.39999999999"/>
    <n v="15403.74"/>
  </r>
  <r>
    <s v="Chennai"/>
    <s v="CUST7782"/>
    <s v="Home Office"/>
    <s v="Office Supplies"/>
    <s v="Table"/>
    <x v="78"/>
    <x v="1"/>
    <s v="Online"/>
    <s v="Debit Card"/>
    <s v="Medium"/>
    <n v="5"/>
    <n v="37007"/>
    <n v="5"/>
    <n v="175783.25"/>
    <n v="30785.91"/>
  </r>
  <r>
    <s v="Mumbai"/>
    <s v="CUST8176"/>
    <s v="Consumer"/>
    <s v="Furniture"/>
    <s v="Printer"/>
    <x v="79"/>
    <x v="3"/>
    <s v="Offline"/>
    <s v="UPI"/>
    <s v="Medium"/>
    <n v="5"/>
    <n v="27167"/>
    <n v="5"/>
    <n v="129043.25"/>
    <n v="3705.82"/>
  </r>
  <r>
    <s v="Delhi"/>
    <s v="CUST6797"/>
    <s v="Corporate"/>
    <s v="Furniture"/>
    <s v="Laptop"/>
    <x v="80"/>
    <x v="5"/>
    <s v="Online"/>
    <s v="Cash"/>
    <s v="Medium"/>
    <n v="10"/>
    <n v="42405"/>
    <n v="5"/>
    <n v="402847.5"/>
    <n v="21646.7"/>
  </r>
  <r>
    <s v="Delhi"/>
    <s v="CUST9261"/>
    <s v="Home Office"/>
    <s v="Electronics"/>
    <s v="Mobile"/>
    <x v="81"/>
    <x v="3"/>
    <s v="Online"/>
    <s v="Debit Card"/>
    <s v="Medium"/>
    <n v="3"/>
    <n v="31668"/>
    <n v="10"/>
    <n v="85503.6"/>
    <n v="-1091.32"/>
  </r>
  <r>
    <s v="Ahmedabad"/>
    <s v="CUST8312"/>
    <s v="Consumer"/>
    <s v="Office Supplies"/>
    <s v="Mobile"/>
    <x v="46"/>
    <x v="1"/>
    <s v="Online"/>
    <s v="Credit Card"/>
    <s v="High"/>
    <n v="6"/>
    <n v="41947"/>
    <n v="15"/>
    <n v="213929.7"/>
    <n v="9647.39"/>
  </r>
  <r>
    <s v="Mumbai"/>
    <s v="CUST1222"/>
    <s v="Consumer"/>
    <s v="Office Supplies"/>
    <s v="Table"/>
    <x v="70"/>
    <x v="5"/>
    <s v="Offline"/>
    <s v="Cash"/>
    <s v="High"/>
    <n v="6"/>
    <n v="13704"/>
    <n v="15"/>
    <n v="69890.399999999994"/>
    <n v="5566.02"/>
  </r>
  <r>
    <s v="Chennai"/>
    <s v="CUST1535"/>
    <s v="Consumer"/>
    <s v="Electronics"/>
    <s v="Chair"/>
    <x v="69"/>
    <x v="0"/>
    <s v="Online"/>
    <s v="UPI"/>
    <s v="Medium"/>
    <n v="8"/>
    <n v="25509"/>
    <n v="10"/>
    <n v="183664.8"/>
    <n v="-3295.76"/>
  </r>
  <r>
    <s v="Bangalore"/>
    <s v="CUST1004"/>
    <s v="Consumer"/>
    <s v="Furniture"/>
    <s v="Printer"/>
    <x v="45"/>
    <x v="1"/>
    <s v="Online"/>
    <s v="Cash"/>
    <s v="Low"/>
    <n v="10"/>
    <n v="13028"/>
    <n v="10"/>
    <n v="117252"/>
    <n v="2243.0300000000002"/>
  </r>
  <r>
    <s v="Mumbai"/>
    <s v="CUST9130"/>
    <s v="Consumer"/>
    <s v="Furniture"/>
    <s v="Table"/>
    <x v="82"/>
    <x v="1"/>
    <s v="Online"/>
    <s v="UPI"/>
    <s v="Critical"/>
    <n v="4"/>
    <n v="2153"/>
    <n v="15"/>
    <n v="7320.2"/>
    <n v="-435.9"/>
  </r>
  <r>
    <s v="Bangalore"/>
    <s v="CUST6680"/>
    <s v="Corporate"/>
    <s v="Furniture"/>
    <s v="Chair"/>
    <x v="83"/>
    <x v="0"/>
    <s v="Offline"/>
    <s v="UPI"/>
    <s v="Medium"/>
    <n v="2"/>
    <n v="49340"/>
    <n v="20"/>
    <n v="78944"/>
    <n v="-3671.92"/>
  </r>
  <r>
    <s v="Bangalore"/>
    <s v="CUST9537"/>
    <s v="Home Office"/>
    <s v="Office Supplies"/>
    <s v="Table"/>
    <x v="19"/>
    <x v="0"/>
    <s v="Offline"/>
    <s v="Cash"/>
    <s v="High"/>
    <n v="9"/>
    <n v="21596"/>
    <n v="10"/>
    <n v="174927.6"/>
    <n v="16114.26"/>
  </r>
  <r>
    <s v="Delhi"/>
    <s v="CUST4243"/>
    <s v="Corporate"/>
    <s v="Electronics"/>
    <s v="Laptop"/>
    <x v="84"/>
    <x v="1"/>
    <s v="Online"/>
    <s v="Net Banking"/>
    <s v="Low"/>
    <n v="7"/>
    <n v="12942"/>
    <n v="15"/>
    <n v="77004.899999999994"/>
    <n v="-6995.02"/>
  </r>
  <r>
    <s v="Ahmedabad"/>
    <s v="CUST8320"/>
    <s v="Corporate"/>
    <s v="Office Supplies"/>
    <s v="Table"/>
    <x v="82"/>
    <x v="5"/>
    <s v="Online"/>
    <s v="Debit Card"/>
    <s v="Low"/>
    <n v="5"/>
    <n v="30062"/>
    <n v="10"/>
    <n v="135279"/>
    <n v="25378.04"/>
  </r>
  <r>
    <s v="Delhi"/>
    <s v="CUST9492"/>
    <s v="Home Office"/>
    <s v="Furniture"/>
    <s v="Storage"/>
    <x v="85"/>
    <x v="1"/>
    <s v="Offline"/>
    <s v="Debit Card"/>
    <s v="Medium"/>
    <n v="4"/>
    <n v="2069"/>
    <n v="20"/>
    <n v="6620.8"/>
    <n v="87.42"/>
  </r>
  <r>
    <s v="Mumbai"/>
    <s v="CUST6491"/>
    <s v="Home Office"/>
    <s v="Office Supplies"/>
    <s v="Mobile"/>
    <x v="78"/>
    <x v="5"/>
    <s v="Online"/>
    <s v="UPI"/>
    <s v="Medium"/>
    <n v="1"/>
    <n v="18308"/>
    <n v="15"/>
    <n v="15561.8"/>
    <n v="-366.5"/>
  </r>
  <r>
    <s v="Mumbai"/>
    <s v="CUST4790"/>
    <s v="Corporate"/>
    <s v="Furniture"/>
    <s v="Printer"/>
    <x v="86"/>
    <x v="2"/>
    <s v="Offline"/>
    <s v="Cash"/>
    <s v="High"/>
    <n v="5"/>
    <n v="39480"/>
    <n v="15"/>
    <n v="167790"/>
    <n v="-1671.9"/>
  </r>
  <r>
    <s v="Delhi"/>
    <s v="CUST2700"/>
    <s v="Home Office"/>
    <s v="Office Supplies"/>
    <s v="Laptop"/>
    <x v="87"/>
    <x v="1"/>
    <s v="Online"/>
    <s v="UPI"/>
    <s v="Critical"/>
    <n v="2"/>
    <n v="24523"/>
    <n v="20"/>
    <n v="39236.800000000003"/>
    <n v="-3684.99"/>
  </r>
  <r>
    <s v="Ahmedabad"/>
    <s v="CUST3684"/>
    <s v="Consumer"/>
    <s v="Furniture"/>
    <s v="Laptop"/>
    <x v="88"/>
    <x v="1"/>
    <s v="Offline"/>
    <s v="Net Banking"/>
    <s v="Low"/>
    <n v="1"/>
    <n v="34628"/>
    <n v="5"/>
    <n v="32896.6"/>
    <n v="7296.36"/>
  </r>
  <r>
    <s v="Ahmedabad"/>
    <s v="CUST6910"/>
    <s v="Home Office"/>
    <s v="Electronics"/>
    <s v="Laptop"/>
    <x v="89"/>
    <x v="3"/>
    <s v="Online"/>
    <s v="Net Banking"/>
    <s v="Medium"/>
    <n v="7"/>
    <n v="4025"/>
    <n v="10"/>
    <n v="25357.5"/>
    <n v="-1354"/>
  </r>
  <r>
    <s v="Chennai"/>
    <s v="CUST3459"/>
    <s v="Corporate"/>
    <s v="Office Supplies"/>
    <s v="Laptop"/>
    <x v="36"/>
    <x v="0"/>
    <s v="Online"/>
    <s v="Net Banking"/>
    <s v="Medium"/>
    <n v="5"/>
    <n v="6988"/>
    <n v="20"/>
    <n v="27952"/>
    <n v="70.22"/>
  </r>
  <r>
    <s v="Ahmedabad"/>
    <s v="CUST8294"/>
    <s v="Home Office"/>
    <s v="Office Supplies"/>
    <s v="Storage"/>
    <x v="2"/>
    <x v="4"/>
    <s v="Offline"/>
    <s v="UPI"/>
    <s v="High"/>
    <n v="9"/>
    <n v="22228"/>
    <n v="10"/>
    <n v="180046.8"/>
    <n v="16543.689999999999"/>
  </r>
  <r>
    <s v="Ahmedabad"/>
    <s v="CUST5224"/>
    <s v="Corporate"/>
    <s v="Furniture"/>
    <s v="Table"/>
    <x v="90"/>
    <x v="2"/>
    <s v="Online"/>
    <s v="Net Banking"/>
    <s v="Medium"/>
    <n v="10"/>
    <n v="45174"/>
    <n v="10"/>
    <n v="406566"/>
    <n v="24674.84"/>
  </r>
  <r>
    <s v="Mumbai"/>
    <s v="CUST7920"/>
    <s v="Home Office"/>
    <s v="Furniture"/>
    <s v="Mobile"/>
    <x v="91"/>
    <x v="5"/>
    <s v="Offline"/>
    <s v="Cash"/>
    <s v="Critical"/>
    <n v="4"/>
    <n v="45801"/>
    <n v="5"/>
    <n v="174043.8"/>
    <n v="43967.13"/>
  </r>
  <r>
    <s v="Ahmedabad"/>
    <s v="CUST5676"/>
    <s v="Consumer"/>
    <s v="Office Supplies"/>
    <s v="Chair"/>
    <x v="92"/>
    <x v="0"/>
    <s v="Online"/>
    <s v="Net Banking"/>
    <s v="High"/>
    <n v="6"/>
    <n v="27161"/>
    <n v="15"/>
    <n v="138521.1"/>
    <n v="12853.29"/>
  </r>
  <r>
    <s v="Bangalore"/>
    <s v="CUST6811"/>
    <s v="Home Office"/>
    <s v="Office Supplies"/>
    <s v="Mobile"/>
    <x v="93"/>
    <x v="1"/>
    <s v="Offline"/>
    <s v="UPI"/>
    <s v="Medium"/>
    <n v="1"/>
    <n v="29362"/>
    <n v="10"/>
    <n v="26425.8"/>
    <n v="2079.91"/>
  </r>
  <r>
    <s v="Mumbai"/>
    <s v="CUST2741"/>
    <s v="Corporate"/>
    <s v="Electronics"/>
    <s v="Table"/>
    <x v="94"/>
    <x v="1"/>
    <s v="Online"/>
    <s v="Debit Card"/>
    <s v="Medium"/>
    <n v="10"/>
    <n v="24093"/>
    <n v="0"/>
    <n v="240930"/>
    <n v="61771.47"/>
  </r>
  <r>
    <s v="Bangalore"/>
    <s v="CUST5043"/>
    <s v="Corporate"/>
    <s v="Office Supplies"/>
    <s v="Chair"/>
    <x v="95"/>
    <x v="1"/>
    <s v="Offline"/>
    <s v="Credit Card"/>
    <s v="Medium"/>
    <n v="4"/>
    <n v="31203"/>
    <n v="15"/>
    <n v="106090.2"/>
    <n v="-2188.88"/>
  </r>
  <r>
    <s v="Delhi"/>
    <s v="CUST9271"/>
    <s v="Consumer"/>
    <s v="Furniture"/>
    <s v="Storage"/>
    <x v="96"/>
    <x v="3"/>
    <s v="Offline"/>
    <s v="UPI"/>
    <s v="Critical"/>
    <n v="3"/>
    <n v="12673"/>
    <n v="0"/>
    <n v="38019"/>
    <n v="5444.54"/>
  </r>
  <r>
    <s v="Ahmedabad"/>
    <s v="CUST7576"/>
    <s v="Home Office"/>
    <s v="Furniture"/>
    <s v="Laptop"/>
    <x v="74"/>
    <x v="2"/>
    <s v="Online"/>
    <s v="UPI"/>
    <s v="Medium"/>
    <n v="4"/>
    <n v="27474"/>
    <n v="5"/>
    <n v="104401.2"/>
    <n v="11374.65"/>
  </r>
  <r>
    <s v="Bangalore"/>
    <s v="CUST9818"/>
    <s v="Corporate"/>
    <s v="Electronics"/>
    <s v="Table"/>
    <x v="97"/>
    <x v="3"/>
    <s v="Online"/>
    <s v="Cash"/>
    <s v="Low"/>
    <n v="10"/>
    <n v="2990"/>
    <n v="10"/>
    <n v="26910"/>
    <n v="464.73"/>
  </r>
  <r>
    <s v="Chennai"/>
    <s v="CUST6682"/>
    <s v="Home Office"/>
    <s v="Furniture"/>
    <s v="Storage"/>
    <x v="98"/>
    <x v="4"/>
    <s v="Online"/>
    <s v="UPI"/>
    <s v="Critical"/>
    <n v="9"/>
    <n v="40609"/>
    <n v="20"/>
    <n v="292384.8"/>
    <n v="-53345.04"/>
  </r>
  <r>
    <s v="Ahmedabad"/>
    <s v="CUST4786"/>
    <s v="Consumer"/>
    <s v="Office Supplies"/>
    <s v="Storage"/>
    <x v="99"/>
    <x v="1"/>
    <s v="Offline"/>
    <s v="Credit Card"/>
    <s v="High"/>
    <n v="9"/>
    <n v="27389"/>
    <n v="0"/>
    <n v="246501"/>
    <n v="20501.509999999998"/>
  </r>
  <r>
    <s v="Bangalore"/>
    <s v="CUST7494"/>
    <s v="Home Office"/>
    <s v="Electronics"/>
    <s v="Chair"/>
    <x v="100"/>
    <x v="2"/>
    <s v="Offline"/>
    <s v="Net Banking"/>
    <s v="Medium"/>
    <n v="1"/>
    <n v="18115"/>
    <n v="5"/>
    <n v="17209.25"/>
    <n v="2292.79"/>
  </r>
  <r>
    <s v="Ahmedabad"/>
    <s v="CUST5413"/>
    <s v="Home Office"/>
    <s v="Furniture"/>
    <s v="Laptop"/>
    <x v="101"/>
    <x v="2"/>
    <s v="Offline"/>
    <s v="UPI"/>
    <s v="Critical"/>
    <n v="3"/>
    <n v="825"/>
    <n v="0"/>
    <n v="2475"/>
    <n v="465.97"/>
  </r>
  <r>
    <s v="Delhi"/>
    <s v="CUST1807"/>
    <s v="Home Office"/>
    <s v="Furniture"/>
    <s v="Printer"/>
    <x v="102"/>
    <x v="1"/>
    <s v="Online"/>
    <s v="Cash"/>
    <s v="Low"/>
    <n v="9"/>
    <n v="42635"/>
    <n v="20"/>
    <n v="306972"/>
    <n v="-54348.98"/>
  </r>
  <r>
    <s v="Ahmedabad"/>
    <s v="CUST2139"/>
    <s v="Consumer"/>
    <s v="Electronics"/>
    <s v="Chair"/>
    <x v="74"/>
    <x v="1"/>
    <s v="Online"/>
    <s v="UPI"/>
    <s v="Low"/>
    <n v="9"/>
    <n v="38832"/>
    <n v="5"/>
    <n v="332013.59999999998"/>
    <n v="24393.31"/>
  </r>
  <r>
    <s v="Chennai"/>
    <s v="CUST1174"/>
    <s v="Corporate"/>
    <s v="Furniture"/>
    <s v="Laptop"/>
    <x v="88"/>
    <x v="1"/>
    <s v="Online"/>
    <s v="UPI"/>
    <s v="Medium"/>
    <n v="10"/>
    <n v="49565"/>
    <n v="10"/>
    <n v="446085"/>
    <n v="-23868.67"/>
  </r>
  <r>
    <s v="Ahmedabad"/>
    <s v="CUST6643"/>
    <s v="Home Office"/>
    <s v="Furniture"/>
    <s v="Table"/>
    <x v="94"/>
    <x v="5"/>
    <s v="Offline"/>
    <s v="Debit Card"/>
    <s v="Medium"/>
    <n v="5"/>
    <n v="10892"/>
    <n v="0"/>
    <n v="54460"/>
    <n v="8454.7999999999993"/>
  </r>
  <r>
    <s v="Bangalore"/>
    <s v="CUST7832"/>
    <s v="Home Office"/>
    <s v="Furniture"/>
    <s v="Storage"/>
    <x v="47"/>
    <x v="3"/>
    <s v="Offline"/>
    <s v="Cash"/>
    <s v="High"/>
    <n v="3"/>
    <n v="48025"/>
    <n v="15"/>
    <n v="122463.75"/>
    <n v="18840.650000000001"/>
  </r>
  <r>
    <s v="Ahmedabad"/>
    <s v="CUST6069"/>
    <s v="Corporate"/>
    <s v="Furniture"/>
    <s v="Printer"/>
    <x v="28"/>
    <x v="0"/>
    <s v="Offline"/>
    <s v="UPI"/>
    <s v="Medium"/>
    <n v="1"/>
    <n v="42848"/>
    <n v="20"/>
    <n v="34278.400000000001"/>
    <n v="-2280.83"/>
  </r>
  <r>
    <s v="Bangalore"/>
    <s v="CUST2528"/>
    <s v="Home Office"/>
    <s v="Electronics"/>
    <s v="Table"/>
    <x v="103"/>
    <x v="3"/>
    <s v="Offline"/>
    <s v="Credit Card"/>
    <s v="High"/>
    <n v="6"/>
    <n v="43458"/>
    <n v="0"/>
    <n v="260748"/>
    <n v="33804.050000000003"/>
  </r>
  <r>
    <s v="Chennai"/>
    <s v="CUST7946"/>
    <s v="Consumer"/>
    <s v="Office Supplies"/>
    <s v="Laptop"/>
    <x v="104"/>
    <x v="4"/>
    <s v="Offline"/>
    <s v="Credit Card"/>
    <s v="Low"/>
    <n v="1"/>
    <n v="623"/>
    <n v="5"/>
    <n v="591.85"/>
    <n v="42.54"/>
  </r>
  <r>
    <s v="Mumbai"/>
    <s v="CUST5480"/>
    <s v="Corporate"/>
    <s v="Electronics"/>
    <s v="Chair"/>
    <x v="105"/>
    <x v="5"/>
    <s v="Offline"/>
    <s v="UPI"/>
    <s v="High"/>
    <n v="9"/>
    <n v="21663"/>
    <n v="10"/>
    <n v="175470.3"/>
    <n v="34498.36"/>
  </r>
  <r>
    <s v="Bangalore"/>
    <s v="CUST4080"/>
    <s v="Corporate"/>
    <s v="Electronics"/>
    <s v="Printer"/>
    <x v="106"/>
    <x v="1"/>
    <s v="Online"/>
    <s v="Debit Card"/>
    <s v="Low"/>
    <n v="1"/>
    <n v="20973"/>
    <n v="10"/>
    <n v="18875.7"/>
    <n v="1098.19"/>
  </r>
  <r>
    <s v="Delhi"/>
    <s v="CUST3211"/>
    <s v="Home Office"/>
    <s v="Furniture"/>
    <s v="Chair"/>
    <x v="65"/>
    <x v="2"/>
    <s v="Online"/>
    <s v="Debit Card"/>
    <s v="Critical"/>
    <n v="1"/>
    <n v="40265"/>
    <n v="0"/>
    <n v="40265"/>
    <n v="9305.2999999999993"/>
  </r>
  <r>
    <s v="Bangalore"/>
    <s v="CUST2370"/>
    <s v="Consumer"/>
    <s v="Office Supplies"/>
    <s v="Laptop"/>
    <x v="35"/>
    <x v="0"/>
    <s v="Online"/>
    <s v="Cash"/>
    <s v="Medium"/>
    <n v="6"/>
    <n v="39040"/>
    <n v="5"/>
    <n v="222528"/>
    <n v="12524.99"/>
  </r>
  <r>
    <s v="Delhi"/>
    <s v="CUST3187"/>
    <s v="Consumer"/>
    <s v="Electronics"/>
    <s v="Printer"/>
    <x v="107"/>
    <x v="1"/>
    <s v="Offline"/>
    <s v="Debit Card"/>
    <s v="Critical"/>
    <n v="7"/>
    <n v="23221"/>
    <n v="0"/>
    <n v="162547"/>
    <n v="17518.46"/>
  </r>
  <r>
    <s v="Bangalore"/>
    <s v="CUST2417"/>
    <s v="Corporate"/>
    <s v="Furniture"/>
    <s v="Printer"/>
    <x v="18"/>
    <x v="1"/>
    <s v="Online"/>
    <s v="Cash"/>
    <s v="Low"/>
    <n v="7"/>
    <n v="23380"/>
    <n v="15"/>
    <n v="139111"/>
    <n v="-13632.15"/>
  </r>
  <r>
    <s v="Chennai"/>
    <s v="CUST1351"/>
    <s v="Corporate"/>
    <s v="Electronics"/>
    <s v="Chair"/>
    <x v="108"/>
    <x v="1"/>
    <s v="Offline"/>
    <s v="Debit Card"/>
    <s v="Medium"/>
    <n v="6"/>
    <n v="25035"/>
    <n v="20"/>
    <n v="120168"/>
    <n v="9269.2999999999993"/>
  </r>
  <r>
    <s v="Delhi"/>
    <s v="CUST7056"/>
    <s v="Corporate"/>
    <s v="Electronics"/>
    <s v="Table"/>
    <x v="109"/>
    <x v="4"/>
    <s v="Offline"/>
    <s v="Debit Card"/>
    <s v="Medium"/>
    <n v="2"/>
    <n v="22573"/>
    <n v="10"/>
    <n v="40631.4"/>
    <n v="-1837.32"/>
  </r>
  <r>
    <s v="Bangalore"/>
    <s v="CUST5454"/>
    <s v="Consumer"/>
    <s v="Furniture"/>
    <s v="Table"/>
    <x v="110"/>
    <x v="3"/>
    <s v="Online"/>
    <s v="Cash"/>
    <s v="High"/>
    <n v="8"/>
    <n v="32941"/>
    <n v="10"/>
    <n v="237175.2"/>
    <n v="45140.13"/>
  </r>
  <r>
    <s v="Chennai"/>
    <s v="CUST5648"/>
    <s v="Home Office"/>
    <s v="Office Supplies"/>
    <s v="Printer"/>
    <x v="111"/>
    <x v="2"/>
    <s v="Offline"/>
    <s v="Cash"/>
    <s v="Medium"/>
    <n v="3"/>
    <n v="41349"/>
    <n v="15"/>
    <n v="105439.95"/>
    <n v="-2783.98"/>
  </r>
  <r>
    <s v="Mumbai"/>
    <s v="CUST8554"/>
    <s v="Corporate"/>
    <s v="Furniture"/>
    <s v="Printer"/>
    <x v="28"/>
    <x v="5"/>
    <s v="Offline"/>
    <s v="Net Banking"/>
    <s v="High"/>
    <n v="9"/>
    <n v="17641"/>
    <n v="10"/>
    <n v="142892.1"/>
    <n v="6782.92"/>
  </r>
  <r>
    <s v="Delhi"/>
    <s v="CUST3223"/>
    <s v="Consumer"/>
    <s v="Electronics"/>
    <s v="Table"/>
    <x v="56"/>
    <x v="3"/>
    <s v="Online"/>
    <s v="UPI"/>
    <s v="High"/>
    <n v="9"/>
    <n v="24882"/>
    <n v="15"/>
    <n v="190347.3"/>
    <n v="-18209.009999999998"/>
  </r>
  <r>
    <s v="Chennai"/>
    <s v="CUST2063"/>
    <s v="Home Office"/>
    <s v="Electronics"/>
    <s v="Storage"/>
    <x v="112"/>
    <x v="4"/>
    <s v="Offline"/>
    <s v="Debit Card"/>
    <s v="Critical"/>
    <n v="3"/>
    <n v="5687"/>
    <n v="15"/>
    <n v="14501.85"/>
    <n v="1676.48"/>
  </r>
  <r>
    <s v="Bangalore"/>
    <s v="CUST1269"/>
    <s v="Home Office"/>
    <s v="Electronics"/>
    <s v="Storage"/>
    <x v="113"/>
    <x v="4"/>
    <s v="Offline"/>
    <s v="UPI"/>
    <s v="Low"/>
    <n v="8"/>
    <n v="23350"/>
    <n v="5"/>
    <n v="177460"/>
    <n v="25368.52"/>
  </r>
  <r>
    <s v="Chennai"/>
    <s v="CUST3716"/>
    <s v="Corporate"/>
    <s v="Furniture"/>
    <s v="Table"/>
    <x v="78"/>
    <x v="4"/>
    <s v="Offline"/>
    <s v="Debit Card"/>
    <s v="Medium"/>
    <n v="10"/>
    <n v="45045"/>
    <n v="15"/>
    <n v="382882.5"/>
    <n v="37538.870000000003"/>
  </r>
  <r>
    <s v="Bangalore"/>
    <s v="CUST3596"/>
    <s v="Home Office"/>
    <s v="Electronics"/>
    <s v="Storage"/>
    <x v="114"/>
    <x v="2"/>
    <s v="Offline"/>
    <s v="Cash"/>
    <s v="High"/>
    <n v="8"/>
    <n v="32898"/>
    <n v="0"/>
    <n v="263184"/>
    <n v="36282.699999999997"/>
  </r>
  <r>
    <s v="Bangalore"/>
    <s v="CUST2207"/>
    <s v="Home Office"/>
    <s v="Furniture"/>
    <s v="Mobile"/>
    <x v="71"/>
    <x v="0"/>
    <s v="Offline"/>
    <s v="UPI"/>
    <s v="Medium"/>
    <n v="10"/>
    <n v="21142"/>
    <n v="10"/>
    <n v="190278"/>
    <n v="4928.51"/>
  </r>
  <r>
    <s v="Mumbai"/>
    <s v="CUST7870"/>
    <s v="Home Office"/>
    <s v="Office Supplies"/>
    <s v="Chair"/>
    <x v="17"/>
    <x v="2"/>
    <s v="Online"/>
    <s v="Debit Card"/>
    <s v="Critical"/>
    <n v="6"/>
    <n v="10190"/>
    <n v="20"/>
    <n v="48912"/>
    <n v="2528.27"/>
  </r>
  <r>
    <s v="Delhi"/>
    <s v="CUST1448"/>
    <s v="Home Office"/>
    <s v="Office Supplies"/>
    <s v="Mobile"/>
    <x v="115"/>
    <x v="4"/>
    <s v="Online"/>
    <s v="Net Banking"/>
    <s v="Low"/>
    <n v="2"/>
    <n v="35924"/>
    <n v="10"/>
    <n v="64663.199999999997"/>
    <n v="11881.29"/>
  </r>
  <r>
    <s v="Mumbai"/>
    <s v="CUST5717"/>
    <s v="Corporate"/>
    <s v="Furniture"/>
    <s v="Printer"/>
    <x v="15"/>
    <x v="3"/>
    <s v="Online"/>
    <s v="Debit Card"/>
    <s v="Low"/>
    <n v="1"/>
    <n v="47013"/>
    <n v="20"/>
    <n v="37610.400000000001"/>
    <n v="-3887.47"/>
  </r>
  <r>
    <s v="Mumbai"/>
    <s v="CUST2425"/>
    <s v="Home Office"/>
    <s v="Furniture"/>
    <s v="Storage"/>
    <x v="51"/>
    <x v="4"/>
    <s v="Online"/>
    <s v="UPI"/>
    <s v="High"/>
    <n v="8"/>
    <n v="31431"/>
    <n v="10"/>
    <n v="226303.2"/>
    <n v="22957.21"/>
  </r>
  <r>
    <s v="Mumbai"/>
    <s v="CUST9529"/>
    <s v="Consumer"/>
    <s v="Electronics"/>
    <s v="Laptop"/>
    <x v="43"/>
    <x v="0"/>
    <s v="Online"/>
    <s v="Debit Card"/>
    <s v="Low"/>
    <n v="4"/>
    <n v="2024"/>
    <n v="5"/>
    <n v="7691.2"/>
    <n v="800.69"/>
  </r>
  <r>
    <s v="Bangalore"/>
    <s v="CUST7947"/>
    <s v="Home Office"/>
    <s v="Office Supplies"/>
    <s v="Printer"/>
    <x v="116"/>
    <x v="5"/>
    <s v="Online"/>
    <s v="Debit Card"/>
    <s v="Medium"/>
    <n v="7"/>
    <n v="36714"/>
    <n v="0"/>
    <n v="256998"/>
    <n v="66176.72"/>
  </r>
  <r>
    <s v="Chennai"/>
    <s v="CUST8217"/>
    <s v="Home Office"/>
    <s v="Office Supplies"/>
    <s v="Table"/>
    <x v="117"/>
    <x v="4"/>
    <s v="Offline"/>
    <s v="Debit Card"/>
    <s v="Critical"/>
    <n v="1"/>
    <n v="42682"/>
    <n v="10"/>
    <n v="38413.800000000003"/>
    <n v="-1671.04"/>
  </r>
  <r>
    <s v="Delhi"/>
    <s v="CUST2352"/>
    <s v="Consumer"/>
    <s v="Electronics"/>
    <s v="Storage"/>
    <x v="110"/>
    <x v="5"/>
    <s v="Offline"/>
    <s v="Cash"/>
    <s v="Critical"/>
    <n v="5"/>
    <n v="34489"/>
    <n v="0"/>
    <n v="172445"/>
    <n v="23245.17"/>
  </r>
  <r>
    <s v="Delhi"/>
    <s v="CUST2746"/>
    <s v="Consumer"/>
    <s v="Furniture"/>
    <s v="Printer"/>
    <x v="118"/>
    <x v="0"/>
    <s v="Online"/>
    <s v="Cash"/>
    <s v="Medium"/>
    <n v="4"/>
    <n v="32817"/>
    <n v="15"/>
    <n v="111577.8"/>
    <n v="-11064.66"/>
  </r>
  <r>
    <s v="Ahmedabad"/>
    <s v="CUST7213"/>
    <s v="Consumer"/>
    <s v="Electronics"/>
    <s v="Storage"/>
    <x v="32"/>
    <x v="1"/>
    <s v="Online"/>
    <s v="Credit Card"/>
    <s v="Medium"/>
    <n v="1"/>
    <n v="17690"/>
    <n v="10"/>
    <n v="15921"/>
    <n v="1869.6"/>
  </r>
  <r>
    <s v="Chennai"/>
    <s v="CUST2470"/>
    <s v="Consumer"/>
    <s v="Office Supplies"/>
    <s v="Storage"/>
    <x v="119"/>
    <x v="2"/>
    <s v="Offline"/>
    <s v="UPI"/>
    <s v="High"/>
    <n v="10"/>
    <n v="1975"/>
    <n v="5"/>
    <n v="18762.5"/>
    <n v="1610.89"/>
  </r>
  <r>
    <s v="Ahmedabad"/>
    <s v="CUST4299"/>
    <s v="Corporate"/>
    <s v="Office Supplies"/>
    <s v="Laptop"/>
    <x v="50"/>
    <x v="5"/>
    <s v="Online"/>
    <s v="Cash"/>
    <s v="Medium"/>
    <n v="4"/>
    <n v="11211"/>
    <n v="5"/>
    <n v="42601.8"/>
    <n v="6092.62"/>
  </r>
  <r>
    <s v="Mumbai"/>
    <s v="CUST4337"/>
    <s v="Consumer"/>
    <s v="Office Supplies"/>
    <s v="Chair"/>
    <x v="120"/>
    <x v="1"/>
    <s v="Online"/>
    <s v="Cash"/>
    <s v="High"/>
    <n v="9"/>
    <n v="37631"/>
    <n v="0"/>
    <n v="338679"/>
    <n v="88302.25"/>
  </r>
  <r>
    <s v="Delhi"/>
    <s v="CUST7449"/>
    <s v="Corporate"/>
    <s v="Electronics"/>
    <s v="Table"/>
    <x v="72"/>
    <x v="1"/>
    <s v="Offline"/>
    <s v="Net Banking"/>
    <s v="High"/>
    <n v="1"/>
    <n v="13444"/>
    <n v="10"/>
    <n v="12099.6"/>
    <n v="1227.96"/>
  </r>
  <r>
    <s v="Chennai"/>
    <s v="CUST7208"/>
    <s v="Corporate"/>
    <s v="Office Supplies"/>
    <s v="Storage"/>
    <x v="32"/>
    <x v="5"/>
    <s v="Online"/>
    <s v="Credit Card"/>
    <s v="Medium"/>
    <n v="1"/>
    <n v="47482"/>
    <n v="20"/>
    <n v="37985.599999999999"/>
    <n v="389.27"/>
  </r>
  <r>
    <s v="Mumbai"/>
    <s v="CUST4644"/>
    <s v="Consumer"/>
    <s v="Office Supplies"/>
    <s v="Chair"/>
    <x v="77"/>
    <x v="3"/>
    <s v="Online"/>
    <s v="Debit Card"/>
    <s v="Critical"/>
    <n v="4"/>
    <n v="42146"/>
    <n v="20"/>
    <n v="134867.20000000001"/>
    <n v="14623.41"/>
  </r>
  <r>
    <s v="Ahmedabad"/>
    <s v="CUST6969"/>
    <s v="Consumer"/>
    <s v="Electronics"/>
    <s v="Storage"/>
    <x v="22"/>
    <x v="2"/>
    <s v="Online"/>
    <s v="Debit Card"/>
    <s v="High"/>
    <n v="10"/>
    <n v="48186"/>
    <n v="5"/>
    <n v="457767"/>
    <n v="30083.48"/>
  </r>
  <r>
    <s v="Chennai"/>
    <s v="CUST6076"/>
    <s v="Corporate"/>
    <s v="Office Supplies"/>
    <s v="Printer"/>
    <x v="121"/>
    <x v="5"/>
    <s v="Online"/>
    <s v="Cash"/>
    <s v="Medium"/>
    <n v="2"/>
    <n v="29157"/>
    <n v="20"/>
    <n v="46651.199999999997"/>
    <n v="-4229.54"/>
  </r>
  <r>
    <s v="Mumbai"/>
    <s v="CUST4951"/>
    <s v="Corporate"/>
    <s v="Furniture"/>
    <s v="Table"/>
    <x v="14"/>
    <x v="1"/>
    <s v="Online"/>
    <s v="Net Banking"/>
    <s v="Critical"/>
    <n v="9"/>
    <n v="15882"/>
    <n v="10"/>
    <n v="128644.2"/>
    <n v="2927.87"/>
  </r>
  <r>
    <s v="Chennai"/>
    <s v="CUST7358"/>
    <s v="Corporate"/>
    <s v="Furniture"/>
    <s v="Storage"/>
    <x v="0"/>
    <x v="1"/>
    <s v="Offline"/>
    <s v="UPI"/>
    <s v="Critical"/>
    <n v="4"/>
    <n v="42607"/>
    <n v="10"/>
    <n v="153385.20000000001"/>
    <n v="9626.74"/>
  </r>
  <r>
    <s v="Ahmedabad"/>
    <s v="CUST9632"/>
    <s v="Home Office"/>
    <s v="Electronics"/>
    <s v="Chair"/>
    <x v="86"/>
    <x v="3"/>
    <s v="Offline"/>
    <s v="Net Banking"/>
    <s v="Low"/>
    <n v="6"/>
    <n v="44727"/>
    <n v="15"/>
    <n v="228107.7"/>
    <n v="-21694.01"/>
  </r>
  <r>
    <s v="Bangalore"/>
    <s v="CUST3605"/>
    <s v="Corporate"/>
    <s v="Electronics"/>
    <s v="Table"/>
    <x v="122"/>
    <x v="1"/>
    <s v="Online"/>
    <s v="Net Banking"/>
    <s v="Low"/>
    <n v="5"/>
    <n v="27654"/>
    <n v="10"/>
    <n v="124443"/>
    <n v="-2654.71"/>
  </r>
  <r>
    <s v="Mumbai"/>
    <s v="CUST9422"/>
    <s v="Corporate"/>
    <s v="Furniture"/>
    <s v="Storage"/>
    <x v="123"/>
    <x v="0"/>
    <s v="Offline"/>
    <s v="Net Banking"/>
    <s v="High"/>
    <n v="7"/>
    <n v="15287"/>
    <n v="15"/>
    <n v="90957.65"/>
    <n v="-1583.66"/>
  </r>
  <r>
    <s v="Ahmedabad"/>
    <s v="CUST7040"/>
    <s v="Corporate"/>
    <s v="Electronics"/>
    <s v="Chair"/>
    <x v="124"/>
    <x v="4"/>
    <s v="Online"/>
    <s v="Cash"/>
    <s v="Medium"/>
    <n v="5"/>
    <n v="34923"/>
    <n v="10"/>
    <n v="157153.5"/>
    <n v="26007.11"/>
  </r>
  <r>
    <s v="Chennai"/>
    <s v="CUST3070"/>
    <s v="Consumer"/>
    <s v="Electronics"/>
    <s v="Mobile"/>
    <x v="24"/>
    <x v="4"/>
    <s v="Offline"/>
    <s v="Net Banking"/>
    <s v="Low"/>
    <n v="10"/>
    <n v="2961"/>
    <n v="10"/>
    <n v="26649"/>
    <n v="1417.88"/>
  </r>
  <r>
    <s v="Ahmedabad"/>
    <s v="CUST1563"/>
    <s v="Home Office"/>
    <s v="Office Supplies"/>
    <s v="Table"/>
    <x v="90"/>
    <x v="3"/>
    <s v="Offline"/>
    <s v="Cash"/>
    <s v="Medium"/>
    <n v="8"/>
    <n v="45439"/>
    <n v="10"/>
    <n v="327160.8"/>
    <n v="34324.92"/>
  </r>
  <r>
    <s v="Chennai"/>
    <s v="CUST6214"/>
    <s v="Corporate"/>
    <s v="Electronics"/>
    <s v="Printer"/>
    <x v="125"/>
    <x v="3"/>
    <s v="Online"/>
    <s v="UPI"/>
    <s v="High"/>
    <n v="2"/>
    <n v="43985"/>
    <n v="15"/>
    <n v="74774.5"/>
    <n v="-6122.81"/>
  </r>
  <r>
    <s v="Bangalore"/>
    <s v="CUST7256"/>
    <s v="Corporate"/>
    <s v="Furniture"/>
    <s v="Table"/>
    <x v="126"/>
    <x v="0"/>
    <s v="Online"/>
    <s v="UPI"/>
    <s v="Low"/>
    <n v="10"/>
    <n v="30708"/>
    <n v="0"/>
    <n v="307080"/>
    <n v="58716.49"/>
  </r>
  <r>
    <s v="Mumbai"/>
    <s v="CUST1086"/>
    <s v="Consumer"/>
    <s v="Furniture"/>
    <s v="Printer"/>
    <x v="67"/>
    <x v="2"/>
    <s v="Online"/>
    <s v="Net Banking"/>
    <s v="Critical"/>
    <n v="6"/>
    <n v="2168"/>
    <n v="15"/>
    <n v="11056.8"/>
    <n v="240.31"/>
  </r>
  <r>
    <s v="Chennai"/>
    <s v="CUST6067"/>
    <s v="Home Office"/>
    <s v="Furniture"/>
    <s v="Mobile"/>
    <x v="3"/>
    <x v="5"/>
    <s v="Online"/>
    <s v="Credit Card"/>
    <s v="High"/>
    <n v="3"/>
    <n v="16459"/>
    <n v="15"/>
    <n v="41970.45"/>
    <n v="4881.57"/>
  </r>
  <r>
    <s v="Mumbai"/>
    <s v="CUST2296"/>
    <s v="Home Office"/>
    <s v="Office Supplies"/>
    <s v="Mobile"/>
    <x v="20"/>
    <x v="1"/>
    <s v="Online"/>
    <s v="Net Banking"/>
    <s v="High"/>
    <n v="9"/>
    <n v="27586"/>
    <n v="0"/>
    <n v="248274"/>
    <n v="71414.63"/>
  </r>
  <r>
    <s v="Mumbai"/>
    <s v="CUST5010"/>
    <s v="Consumer"/>
    <s v="Office Supplies"/>
    <s v="Chair"/>
    <x v="127"/>
    <x v="0"/>
    <s v="Online"/>
    <s v="Net Banking"/>
    <s v="Medium"/>
    <n v="9"/>
    <n v="15801"/>
    <n v="20"/>
    <n v="113767.2"/>
    <n v="13119.23"/>
  </r>
  <r>
    <s v="Mumbai"/>
    <s v="CUST5132"/>
    <s v="Corporate"/>
    <s v="Office Supplies"/>
    <s v="Mobile"/>
    <x v="128"/>
    <x v="0"/>
    <s v="Offline"/>
    <s v="UPI"/>
    <s v="Low"/>
    <n v="10"/>
    <n v="47805"/>
    <n v="0"/>
    <n v="478050"/>
    <n v="44622.99"/>
  </r>
  <r>
    <s v="Chennai"/>
    <s v="CUST3555"/>
    <s v="Home Office"/>
    <s v="Electronics"/>
    <s v="Mobile"/>
    <x v="26"/>
    <x v="1"/>
    <s v="Offline"/>
    <s v="Debit Card"/>
    <s v="Low"/>
    <n v="6"/>
    <n v="40809"/>
    <n v="0"/>
    <n v="244854"/>
    <n v="28353.71"/>
  </r>
  <r>
    <s v="Delhi"/>
    <s v="CUST4183"/>
    <s v="Consumer"/>
    <s v="Furniture"/>
    <s v="Chair"/>
    <x v="129"/>
    <x v="2"/>
    <s v="Offline"/>
    <s v="Credit Card"/>
    <s v="Critical"/>
    <n v="8"/>
    <n v="25803"/>
    <n v="20"/>
    <n v="165139.20000000001"/>
    <n v="6891.93"/>
  </r>
  <r>
    <s v="Delhi"/>
    <s v="CUST8997"/>
    <s v="Corporate"/>
    <s v="Electronics"/>
    <s v="Mobile"/>
    <x v="104"/>
    <x v="4"/>
    <s v="Online"/>
    <s v="Debit Card"/>
    <s v="Medium"/>
    <n v="7"/>
    <n v="32297"/>
    <n v="5"/>
    <n v="214775.05"/>
    <n v="34886.99"/>
  </r>
  <r>
    <s v="Chennai"/>
    <s v="CUST5294"/>
    <s v="Consumer"/>
    <s v="Furniture"/>
    <s v="Mobile"/>
    <x v="119"/>
    <x v="2"/>
    <s v="Online"/>
    <s v="Cash"/>
    <s v="Low"/>
    <n v="8"/>
    <n v="49319"/>
    <n v="5"/>
    <n v="374824.4"/>
    <n v="19894.41"/>
  </r>
  <r>
    <s v="Bangalore"/>
    <s v="CUST5144"/>
    <s v="Home Office"/>
    <s v="Electronics"/>
    <s v="Mobile"/>
    <x v="125"/>
    <x v="4"/>
    <s v="Offline"/>
    <s v="UPI"/>
    <s v="Medium"/>
    <n v="10"/>
    <n v="32830"/>
    <n v="15"/>
    <n v="279055"/>
    <n v="45742.8"/>
  </r>
  <r>
    <s v="Ahmedabad"/>
    <s v="CUST8558"/>
    <s v="Consumer"/>
    <s v="Electronics"/>
    <s v="Printer"/>
    <x v="130"/>
    <x v="1"/>
    <s v="Online"/>
    <s v="Credit Card"/>
    <s v="Critical"/>
    <n v="8"/>
    <n v="44573"/>
    <n v="15"/>
    <n v="303096.40000000002"/>
    <n v="569.28"/>
  </r>
  <r>
    <s v="Delhi"/>
    <s v="CUST5899"/>
    <s v="Home Office"/>
    <s v="Electronics"/>
    <s v="Storage"/>
    <x v="131"/>
    <x v="3"/>
    <s v="Online"/>
    <s v="Net Banking"/>
    <s v="Low"/>
    <n v="1"/>
    <n v="1898"/>
    <n v="5"/>
    <n v="1803.1"/>
    <n v="63.11"/>
  </r>
  <r>
    <s v="Ahmedabad"/>
    <s v="CUST8987"/>
    <s v="Corporate"/>
    <s v="Furniture"/>
    <s v="Printer"/>
    <x v="132"/>
    <x v="1"/>
    <s v="Offline"/>
    <s v="Cash"/>
    <s v="High"/>
    <n v="7"/>
    <n v="28469"/>
    <n v="5"/>
    <n v="189318.85"/>
    <n v="20895.830000000002"/>
  </r>
  <r>
    <s v="Mumbai"/>
    <s v="CUST8025"/>
    <s v="Corporate"/>
    <s v="Electronics"/>
    <s v="Chair"/>
    <x v="54"/>
    <x v="1"/>
    <s v="Offline"/>
    <s v="Net Banking"/>
    <s v="Medium"/>
    <n v="1"/>
    <n v="33273"/>
    <n v="10"/>
    <n v="29945.7"/>
    <n v="1501.99"/>
  </r>
  <r>
    <s v="Delhi"/>
    <s v="CUST3724"/>
    <s v="Home Office"/>
    <s v="Furniture"/>
    <s v="Printer"/>
    <x v="55"/>
    <x v="2"/>
    <s v="Online"/>
    <s v="Debit Card"/>
    <s v="Critical"/>
    <n v="4"/>
    <n v="48403"/>
    <n v="20"/>
    <n v="154889.60000000001"/>
    <n v="10721.22"/>
  </r>
  <r>
    <s v="Mumbai"/>
    <s v="CUST9776"/>
    <s v="Corporate"/>
    <s v="Furniture"/>
    <s v="Mobile"/>
    <x v="133"/>
    <x v="5"/>
    <s v="Offline"/>
    <s v="Debit Card"/>
    <s v="Low"/>
    <n v="3"/>
    <n v="1720"/>
    <n v="20"/>
    <n v="4128"/>
    <n v="-503.55"/>
  </r>
  <r>
    <s v="Mumbai"/>
    <s v="CUST1789"/>
    <s v="Corporate"/>
    <s v="Electronics"/>
    <s v="Chair"/>
    <x v="134"/>
    <x v="4"/>
    <s v="Offline"/>
    <s v="UPI"/>
    <s v="Critical"/>
    <n v="6"/>
    <n v="31064"/>
    <n v="20"/>
    <n v="149107.20000000001"/>
    <n v="-7381.27"/>
  </r>
  <r>
    <s v="Delhi"/>
    <s v="CUST6588"/>
    <s v="Corporate"/>
    <s v="Furniture"/>
    <s v="Printer"/>
    <x v="135"/>
    <x v="4"/>
    <s v="Online"/>
    <s v="Debit Card"/>
    <s v="Critical"/>
    <n v="1"/>
    <n v="49166"/>
    <n v="5"/>
    <n v="46707.7"/>
    <n v="9717.99"/>
  </r>
  <r>
    <s v="Mumbai"/>
    <s v="CUST3089"/>
    <s v="Consumer"/>
    <s v="Office Supplies"/>
    <s v="Printer"/>
    <x v="91"/>
    <x v="2"/>
    <s v="Online"/>
    <s v="UPI"/>
    <s v="Low"/>
    <n v="4"/>
    <n v="41075"/>
    <n v="10"/>
    <n v="147870"/>
    <n v="533.54999999999995"/>
  </r>
  <r>
    <s v="Mumbai"/>
    <s v="CUST3935"/>
    <s v="Home Office"/>
    <s v="Furniture"/>
    <s v="Laptop"/>
    <x v="118"/>
    <x v="3"/>
    <s v="Online"/>
    <s v="UPI"/>
    <s v="Critical"/>
    <n v="10"/>
    <n v="32299"/>
    <n v="10"/>
    <n v="290691"/>
    <n v="47862.46"/>
  </r>
  <r>
    <s v="Delhi"/>
    <s v="CUST7474"/>
    <s v="Home Office"/>
    <s v="Furniture"/>
    <s v="Mobile"/>
    <x v="136"/>
    <x v="1"/>
    <s v="Online"/>
    <s v="Credit Card"/>
    <s v="Medium"/>
    <n v="1"/>
    <n v="39755"/>
    <n v="0"/>
    <n v="39755"/>
    <n v="4374.43"/>
  </r>
  <r>
    <s v="Delhi"/>
    <s v="CUST6613"/>
    <s v="Consumer"/>
    <s v="Furniture"/>
    <s v="Laptop"/>
    <x v="39"/>
    <x v="1"/>
    <s v="Online"/>
    <s v="Net Banking"/>
    <s v="Critical"/>
    <n v="7"/>
    <n v="33581"/>
    <n v="0"/>
    <n v="235067"/>
    <n v="22227.18"/>
  </r>
  <r>
    <s v="Mumbai"/>
    <s v="CUST4316"/>
    <s v="Consumer"/>
    <s v="Office Supplies"/>
    <s v="Storage"/>
    <x v="137"/>
    <x v="5"/>
    <s v="Offline"/>
    <s v="Credit Card"/>
    <s v="Low"/>
    <n v="10"/>
    <n v="32001"/>
    <n v="0"/>
    <n v="320010"/>
    <n v="70989.36"/>
  </r>
  <r>
    <s v="Ahmedabad"/>
    <s v="CUST4907"/>
    <s v="Consumer"/>
    <s v="Furniture"/>
    <s v="Chair"/>
    <x v="128"/>
    <x v="1"/>
    <s v="Offline"/>
    <s v="Cash"/>
    <s v="High"/>
    <n v="2"/>
    <n v="47013"/>
    <n v="15"/>
    <n v="79922.100000000006"/>
    <n v="-637.99"/>
  </r>
  <r>
    <s v="Delhi"/>
    <s v="CUST1525"/>
    <s v="Corporate"/>
    <s v="Office Supplies"/>
    <s v="Printer"/>
    <x v="71"/>
    <x v="0"/>
    <s v="Offline"/>
    <s v="UPI"/>
    <s v="Medium"/>
    <n v="9"/>
    <n v="34481"/>
    <n v="5"/>
    <n v="294812.55"/>
    <n v="74784.289999999994"/>
  </r>
  <r>
    <s v="Chennai"/>
    <s v="CUST8361"/>
    <s v="Home Office"/>
    <s v="Office Supplies"/>
    <s v="Mobile"/>
    <x v="138"/>
    <x v="0"/>
    <s v="Online"/>
    <s v="Debit Card"/>
    <s v="Low"/>
    <n v="6"/>
    <n v="15940"/>
    <n v="0"/>
    <n v="95640"/>
    <n v="25291.74"/>
  </r>
  <r>
    <s v="Bangalore"/>
    <s v="CUST7773"/>
    <s v="Consumer"/>
    <s v="Office Supplies"/>
    <s v="Storage"/>
    <x v="73"/>
    <x v="0"/>
    <s v="Offline"/>
    <s v="Net Banking"/>
    <s v="Critical"/>
    <n v="5"/>
    <n v="19246"/>
    <n v="20"/>
    <n v="76984"/>
    <n v="-12493.06"/>
  </r>
  <r>
    <s v="Mumbai"/>
    <s v="CUST1827"/>
    <s v="Corporate"/>
    <s v="Office Supplies"/>
    <s v="Storage"/>
    <x v="99"/>
    <x v="5"/>
    <s v="Online"/>
    <s v="Credit Card"/>
    <s v="Low"/>
    <n v="7"/>
    <n v="8217"/>
    <n v="20"/>
    <n v="46015.199999999997"/>
    <n v="5191.6499999999996"/>
  </r>
  <r>
    <s v="Mumbai"/>
    <s v="CUST5305"/>
    <s v="Consumer"/>
    <s v="Electronics"/>
    <s v="Chair"/>
    <x v="36"/>
    <x v="3"/>
    <s v="Offline"/>
    <s v="Debit Card"/>
    <s v="Low"/>
    <n v="6"/>
    <n v="22924"/>
    <n v="5"/>
    <n v="130666.8"/>
    <n v="14266.24"/>
  </r>
  <r>
    <s v="Ahmedabad"/>
    <s v="CUST4163"/>
    <s v="Home Office"/>
    <s v="Furniture"/>
    <s v="Mobile"/>
    <x v="5"/>
    <x v="5"/>
    <s v="Online"/>
    <s v="Net Banking"/>
    <s v="High"/>
    <n v="1"/>
    <n v="17387"/>
    <n v="15"/>
    <n v="14778.95"/>
    <n v="658.19"/>
  </r>
  <r>
    <s v="Delhi"/>
    <s v="CUST3536"/>
    <s v="Home Office"/>
    <s v="Electronics"/>
    <s v="Laptop"/>
    <x v="48"/>
    <x v="4"/>
    <s v="Offline"/>
    <s v="Net Banking"/>
    <s v="Medium"/>
    <n v="10"/>
    <n v="32337"/>
    <n v="5"/>
    <n v="307201.5"/>
    <n v="35627.15"/>
  </r>
  <r>
    <s v="Bangalore"/>
    <s v="CUST8750"/>
    <s v="Consumer"/>
    <s v="Furniture"/>
    <s v="Chair"/>
    <x v="139"/>
    <x v="3"/>
    <s v="Online"/>
    <s v="Debit Card"/>
    <s v="Medium"/>
    <n v="10"/>
    <n v="14071"/>
    <n v="0"/>
    <n v="140710"/>
    <n v="16649.8"/>
  </r>
  <r>
    <s v="Ahmedabad"/>
    <s v="CUST8759"/>
    <s v="Home Office"/>
    <s v="Office Supplies"/>
    <s v="Table"/>
    <x v="22"/>
    <x v="3"/>
    <s v="Online"/>
    <s v="Debit Card"/>
    <s v="Low"/>
    <n v="8"/>
    <n v="24418"/>
    <n v="5"/>
    <n v="185576.8"/>
    <n v="2199.8200000000002"/>
  </r>
  <r>
    <s v="Chennai"/>
    <s v="CUST5054"/>
    <s v="Consumer"/>
    <s v="Office Supplies"/>
    <s v="Table"/>
    <x v="2"/>
    <x v="5"/>
    <s v="Offline"/>
    <s v="UPI"/>
    <s v="Low"/>
    <n v="7"/>
    <n v="28918"/>
    <n v="0"/>
    <n v="202426"/>
    <n v="47506.27"/>
  </r>
  <r>
    <s v="Delhi"/>
    <s v="CUST4106"/>
    <s v="Consumer"/>
    <s v="Electronics"/>
    <s v="Laptop"/>
    <x v="140"/>
    <x v="5"/>
    <s v="Online"/>
    <s v="Credit Card"/>
    <s v="Critical"/>
    <n v="2"/>
    <n v="28238"/>
    <n v="5"/>
    <n v="53652.2"/>
    <n v="8096.91"/>
  </r>
  <r>
    <s v="Mumbai"/>
    <s v="CUST5673"/>
    <s v="Corporate"/>
    <s v="Furniture"/>
    <s v="Laptop"/>
    <x v="47"/>
    <x v="1"/>
    <s v="Offline"/>
    <s v="Cash"/>
    <s v="Low"/>
    <n v="7"/>
    <n v="29617"/>
    <n v="20"/>
    <n v="165855.20000000001"/>
    <n v="-5261.29"/>
  </r>
  <r>
    <s v="Chennai"/>
    <s v="CUST9798"/>
    <s v="Corporate"/>
    <s v="Furniture"/>
    <s v="Mobile"/>
    <x v="141"/>
    <x v="1"/>
    <s v="Offline"/>
    <s v="Credit Card"/>
    <s v="Critical"/>
    <n v="3"/>
    <n v="21458"/>
    <n v="20"/>
    <n v="51499.199999999997"/>
    <n v="-5388.01"/>
  </r>
  <r>
    <s v="Bangalore"/>
    <s v="CUST1153"/>
    <s v="Home Office"/>
    <s v="Office Supplies"/>
    <s v="Mobile"/>
    <x v="142"/>
    <x v="3"/>
    <s v="Online"/>
    <s v="Debit Card"/>
    <s v="Low"/>
    <n v="7"/>
    <n v="6371"/>
    <n v="10"/>
    <n v="40137.300000000003"/>
    <n v="-303.3"/>
  </r>
  <r>
    <s v="Bangalore"/>
    <s v="CUST3035"/>
    <s v="Consumer"/>
    <s v="Office Supplies"/>
    <s v="Printer"/>
    <x v="129"/>
    <x v="0"/>
    <s v="Offline"/>
    <s v="Debit Card"/>
    <s v="Low"/>
    <n v="5"/>
    <n v="28783"/>
    <n v="5"/>
    <n v="136719.25"/>
    <n v="12796.07"/>
  </r>
  <r>
    <s v="Bangalore"/>
    <s v="CUST4732"/>
    <s v="Home Office"/>
    <s v="Electronics"/>
    <s v="Printer"/>
    <x v="139"/>
    <x v="1"/>
    <s v="Offline"/>
    <s v="Credit Card"/>
    <s v="Critical"/>
    <n v="7"/>
    <n v="7997"/>
    <n v="20"/>
    <n v="44783.199999999997"/>
    <n v="4441.22"/>
  </r>
  <r>
    <s v="Chennai"/>
    <s v="CUST5469"/>
    <s v="Home Office"/>
    <s v="Furniture"/>
    <s v="Laptop"/>
    <x v="106"/>
    <x v="5"/>
    <s v="Offline"/>
    <s v="UPI"/>
    <s v="Low"/>
    <n v="9"/>
    <n v="37052"/>
    <n v="20"/>
    <n v="266774.40000000002"/>
    <n v="-28101.26"/>
  </r>
  <r>
    <s v="Mumbai"/>
    <s v="CUST9651"/>
    <s v="Consumer"/>
    <s v="Electronics"/>
    <s v="Table"/>
    <x v="1"/>
    <x v="5"/>
    <s v="Offline"/>
    <s v="Debit Card"/>
    <s v="Low"/>
    <n v="1"/>
    <n v="33087"/>
    <n v="10"/>
    <n v="29778.3"/>
    <n v="2881.36"/>
  </r>
  <r>
    <s v="Mumbai"/>
    <s v="CUST9777"/>
    <s v="Home Office"/>
    <s v="Furniture"/>
    <s v="Storage"/>
    <x v="143"/>
    <x v="4"/>
    <s v="Online"/>
    <s v="Debit Card"/>
    <s v="Medium"/>
    <n v="9"/>
    <n v="23916"/>
    <n v="0"/>
    <n v="215244"/>
    <n v="64399.15"/>
  </r>
  <r>
    <s v="Bangalore"/>
    <s v="CUST9654"/>
    <s v="Consumer"/>
    <s v="Furniture"/>
    <s v="Storage"/>
    <x v="144"/>
    <x v="4"/>
    <s v="Online"/>
    <s v="Cash"/>
    <s v="High"/>
    <n v="9"/>
    <n v="48246"/>
    <n v="15"/>
    <n v="369081.9"/>
    <n v="-42955.519999999997"/>
  </r>
  <r>
    <s v="Delhi"/>
    <s v="CUST6635"/>
    <s v="Corporate"/>
    <s v="Electronics"/>
    <s v="Printer"/>
    <x v="119"/>
    <x v="2"/>
    <s v="Offline"/>
    <s v="UPI"/>
    <s v="Low"/>
    <n v="9"/>
    <n v="31572"/>
    <n v="0"/>
    <n v="284148"/>
    <n v="45424.7"/>
  </r>
  <r>
    <s v="Mumbai"/>
    <s v="CUST6315"/>
    <s v="Home Office"/>
    <s v="Office Supplies"/>
    <s v="Storage"/>
    <x v="27"/>
    <x v="5"/>
    <s v="Online"/>
    <s v="UPI"/>
    <s v="Critical"/>
    <n v="1"/>
    <n v="30365"/>
    <n v="15"/>
    <n v="25810.25"/>
    <n v="-1278.67"/>
  </r>
  <r>
    <s v="Chennai"/>
    <s v="CUST7332"/>
    <s v="Consumer"/>
    <s v="Electronics"/>
    <s v="Storage"/>
    <x v="2"/>
    <x v="4"/>
    <s v="Offline"/>
    <s v="Cash"/>
    <s v="Critical"/>
    <n v="3"/>
    <n v="2400"/>
    <n v="15"/>
    <n v="6120"/>
    <n v="427.69"/>
  </r>
  <r>
    <s v="Chennai"/>
    <s v="CUST5849"/>
    <s v="Corporate"/>
    <s v="Furniture"/>
    <s v="Storage"/>
    <x v="74"/>
    <x v="5"/>
    <s v="Online"/>
    <s v="Credit Card"/>
    <s v="Medium"/>
    <n v="1"/>
    <n v="45578"/>
    <n v="5"/>
    <n v="43299.1"/>
    <n v="2564.0700000000002"/>
  </r>
  <r>
    <s v="Chennai"/>
    <s v="CUST5949"/>
    <s v="Corporate"/>
    <s v="Office Supplies"/>
    <s v="Chair"/>
    <x v="145"/>
    <x v="4"/>
    <s v="Offline"/>
    <s v="Net Banking"/>
    <s v="High"/>
    <n v="1"/>
    <n v="47078"/>
    <n v="15"/>
    <n v="40016.300000000003"/>
    <n v="-512.47"/>
  </r>
  <r>
    <s v="Bangalore"/>
    <s v="CUST6995"/>
    <s v="Consumer"/>
    <s v="Office Supplies"/>
    <s v="Laptop"/>
    <x v="8"/>
    <x v="0"/>
    <s v="Offline"/>
    <s v="Cash"/>
    <s v="Critical"/>
    <n v="7"/>
    <n v="3799"/>
    <n v="20"/>
    <n v="21274.400000000001"/>
    <n v="-2214.75"/>
  </r>
  <r>
    <s v="Delhi"/>
    <s v="CUST3400"/>
    <s v="Consumer"/>
    <s v="Furniture"/>
    <s v="Table"/>
    <x v="146"/>
    <x v="0"/>
    <s v="Offline"/>
    <s v="Net Banking"/>
    <s v="Critical"/>
    <n v="1"/>
    <n v="13367"/>
    <n v="15"/>
    <n v="11361.95"/>
    <n v="-154.09"/>
  </r>
  <r>
    <s v="Delhi"/>
    <s v="CUST6938"/>
    <s v="Consumer"/>
    <s v="Furniture"/>
    <s v="Laptop"/>
    <x v="147"/>
    <x v="3"/>
    <s v="Offline"/>
    <s v="Debit Card"/>
    <s v="Medium"/>
    <n v="7"/>
    <n v="3197"/>
    <n v="5"/>
    <n v="21260.05"/>
    <n v="2359.87"/>
  </r>
  <r>
    <s v="Delhi"/>
    <s v="CUST7466"/>
    <s v="Consumer"/>
    <s v="Electronics"/>
    <s v="Storage"/>
    <x v="148"/>
    <x v="0"/>
    <s v="Online"/>
    <s v="Credit Card"/>
    <s v="Medium"/>
    <n v="10"/>
    <n v="45679"/>
    <n v="15"/>
    <n v="388271.5"/>
    <n v="28274.880000000001"/>
  </r>
  <r>
    <s v="Delhi"/>
    <s v="CUST6813"/>
    <s v="Corporate"/>
    <s v="Office Supplies"/>
    <s v="Mobile"/>
    <x v="88"/>
    <x v="5"/>
    <s v="Online"/>
    <s v="Cash"/>
    <s v="Low"/>
    <n v="5"/>
    <n v="4812"/>
    <n v="5"/>
    <n v="22857"/>
    <n v="3986.1"/>
  </r>
  <r>
    <s v="Chennai"/>
    <s v="CUST7215"/>
    <s v="Consumer"/>
    <s v="Furniture"/>
    <s v="Storage"/>
    <x v="67"/>
    <x v="5"/>
    <s v="Online"/>
    <s v="Debit Card"/>
    <s v="Low"/>
    <n v="8"/>
    <n v="12716"/>
    <n v="5"/>
    <n v="96641.600000000006"/>
    <n v="14227.23"/>
  </r>
  <r>
    <s v="Bangalore"/>
    <s v="CUST6828"/>
    <s v="Corporate"/>
    <s v="Office Supplies"/>
    <s v="Printer"/>
    <x v="51"/>
    <x v="4"/>
    <s v="Online"/>
    <s v="Debit Card"/>
    <s v="Low"/>
    <n v="5"/>
    <n v="36658"/>
    <n v="5"/>
    <n v="174125.5"/>
    <n v="36611.18"/>
  </r>
  <r>
    <s v="Mumbai"/>
    <s v="CUST3518"/>
    <s v="Consumer"/>
    <s v="Office Supplies"/>
    <s v="Mobile"/>
    <x v="49"/>
    <x v="2"/>
    <s v="Offline"/>
    <s v="Net Banking"/>
    <s v="High"/>
    <n v="8"/>
    <n v="24638"/>
    <n v="10"/>
    <n v="177393.6"/>
    <n v="-463.86"/>
  </r>
  <r>
    <s v="Ahmedabad"/>
    <s v="CUST5125"/>
    <s v="Corporate"/>
    <s v="Electronics"/>
    <s v="Chair"/>
    <x v="76"/>
    <x v="1"/>
    <s v="Offline"/>
    <s v="Cash"/>
    <s v="Low"/>
    <n v="5"/>
    <n v="28145"/>
    <n v="0"/>
    <n v="140725"/>
    <n v="10691.24"/>
  </r>
  <r>
    <s v="Mumbai"/>
    <s v="CUST8552"/>
    <s v="Corporate"/>
    <s v="Office Supplies"/>
    <s v="Table"/>
    <x v="115"/>
    <x v="1"/>
    <s v="Online"/>
    <s v="Cash"/>
    <s v="Medium"/>
    <n v="2"/>
    <n v="38280"/>
    <n v="15"/>
    <n v="65076"/>
    <n v="-6551.27"/>
  </r>
  <r>
    <s v="Chennai"/>
    <s v="CUST5404"/>
    <s v="Home Office"/>
    <s v="Electronics"/>
    <s v="Laptop"/>
    <x v="149"/>
    <x v="1"/>
    <s v="Offline"/>
    <s v="Cash"/>
    <s v="Medium"/>
    <n v="3"/>
    <n v="7084"/>
    <n v="10"/>
    <n v="19126.8"/>
    <n v="1231.3599999999999"/>
  </r>
  <r>
    <s v="Bangalore"/>
    <s v="CUST4632"/>
    <s v="Home Office"/>
    <s v="Office Supplies"/>
    <s v="Mobile"/>
    <x v="150"/>
    <x v="0"/>
    <s v="Offline"/>
    <s v="Net Banking"/>
    <s v="High"/>
    <n v="7"/>
    <n v="48499"/>
    <n v="0"/>
    <n v="339493"/>
    <n v="50145.17"/>
  </r>
  <r>
    <s v="Ahmedabad"/>
    <s v="CUST3779"/>
    <s v="Corporate"/>
    <s v="Electronics"/>
    <s v="Chair"/>
    <x v="61"/>
    <x v="1"/>
    <s v="Online"/>
    <s v="Debit Card"/>
    <s v="Medium"/>
    <n v="7"/>
    <n v="7445"/>
    <n v="15"/>
    <n v="44297.75"/>
    <n v="-4499.9399999999996"/>
  </r>
  <r>
    <s v="Bangalore"/>
    <s v="CUST7465"/>
    <s v="Consumer"/>
    <s v="Furniture"/>
    <s v="Chair"/>
    <x v="101"/>
    <x v="3"/>
    <s v="Online"/>
    <s v="Debit Card"/>
    <s v="Medium"/>
    <n v="4"/>
    <n v="23590"/>
    <n v="5"/>
    <n v="89642"/>
    <n v="10772.17"/>
  </r>
  <r>
    <s v="Bangalore"/>
    <s v="CUST3703"/>
    <s v="Home Office"/>
    <s v="Electronics"/>
    <s v="Laptop"/>
    <x v="151"/>
    <x v="3"/>
    <s v="Online"/>
    <s v="Credit Card"/>
    <s v="Medium"/>
    <n v="5"/>
    <n v="27352"/>
    <n v="15"/>
    <n v="116246"/>
    <n v="16058.3"/>
  </r>
  <r>
    <s v="Ahmedabad"/>
    <s v="CUST7091"/>
    <s v="Consumer"/>
    <s v="Office Supplies"/>
    <s v="Chair"/>
    <x v="106"/>
    <x v="1"/>
    <s v="Offline"/>
    <s v="Credit Card"/>
    <s v="Critical"/>
    <n v="1"/>
    <n v="14495"/>
    <n v="15"/>
    <n v="12320.75"/>
    <n v="130.08000000000001"/>
  </r>
  <r>
    <s v="Mumbai"/>
    <s v="CUST3059"/>
    <s v="Corporate"/>
    <s v="Electronics"/>
    <s v="Chair"/>
    <x v="81"/>
    <x v="4"/>
    <s v="Online"/>
    <s v="Cash"/>
    <s v="High"/>
    <n v="3"/>
    <n v="45095"/>
    <n v="20"/>
    <n v="108228"/>
    <n v="11277.41"/>
  </r>
  <r>
    <s v="Chennai"/>
    <s v="CUST6972"/>
    <s v="Corporate"/>
    <s v="Furniture"/>
    <s v="Laptop"/>
    <x v="16"/>
    <x v="5"/>
    <s v="Offline"/>
    <s v="Credit Card"/>
    <s v="Critical"/>
    <n v="9"/>
    <n v="35531"/>
    <n v="0"/>
    <n v="319779"/>
    <n v="70546.990000000005"/>
  </r>
  <r>
    <s v="Delhi"/>
    <s v="CUST3713"/>
    <s v="Consumer"/>
    <s v="Office Supplies"/>
    <s v="Laptop"/>
    <x v="136"/>
    <x v="1"/>
    <s v="Online"/>
    <s v="Net Banking"/>
    <s v="Medium"/>
    <n v="3"/>
    <n v="33677"/>
    <n v="20"/>
    <n v="80824.800000000003"/>
    <n v="-1249.81"/>
  </r>
  <r>
    <s v="Chennai"/>
    <s v="CUST7921"/>
    <s v="Corporate"/>
    <s v="Electronics"/>
    <s v="Chair"/>
    <x v="59"/>
    <x v="0"/>
    <s v="Online"/>
    <s v="Cash"/>
    <s v="Medium"/>
    <n v="10"/>
    <n v="29244"/>
    <n v="0"/>
    <n v="292440"/>
    <n v="19766.419999999998"/>
  </r>
  <r>
    <s v="Ahmedabad"/>
    <s v="CUST9911"/>
    <s v="Corporate"/>
    <s v="Electronics"/>
    <s v="Chair"/>
    <x v="102"/>
    <x v="3"/>
    <s v="Online"/>
    <s v="Net Banking"/>
    <s v="High"/>
    <n v="6"/>
    <n v="1701"/>
    <n v="15"/>
    <n v="8675.1"/>
    <n v="-314.39999999999998"/>
  </r>
  <r>
    <s v="Delhi"/>
    <s v="CUST5774"/>
    <s v="Home Office"/>
    <s v="Electronics"/>
    <s v="Mobile"/>
    <x v="58"/>
    <x v="5"/>
    <s v="Online"/>
    <s v="Credit Card"/>
    <s v="High"/>
    <n v="4"/>
    <n v="27537"/>
    <n v="5"/>
    <n v="104640.6"/>
    <n v="18765.09"/>
  </r>
  <r>
    <s v="Bangalore"/>
    <s v="CUST2510"/>
    <s v="Home Office"/>
    <s v="Furniture"/>
    <s v="Mobile"/>
    <x v="152"/>
    <x v="5"/>
    <s v="Online"/>
    <s v="Net Banking"/>
    <s v="Critical"/>
    <n v="5"/>
    <n v="7125"/>
    <n v="10"/>
    <n v="32062.5"/>
    <n v="-973.67"/>
  </r>
  <r>
    <s v="Bangalore"/>
    <s v="CUST8149"/>
    <s v="Corporate"/>
    <s v="Office Supplies"/>
    <s v="Printer"/>
    <x v="14"/>
    <x v="1"/>
    <s v="Online"/>
    <s v="Net Banking"/>
    <s v="High"/>
    <n v="6"/>
    <n v="10636"/>
    <n v="20"/>
    <n v="51052.800000000003"/>
    <n v="-5115.3500000000004"/>
  </r>
  <r>
    <s v="Mumbai"/>
    <s v="CUST5387"/>
    <s v="Consumer"/>
    <s v="Furniture"/>
    <s v="Chair"/>
    <x v="150"/>
    <x v="5"/>
    <s v="Online"/>
    <s v="Debit Card"/>
    <s v="Low"/>
    <n v="7"/>
    <n v="28200"/>
    <n v="20"/>
    <n v="157920"/>
    <n v="-1013.54"/>
  </r>
  <r>
    <s v="Delhi"/>
    <s v="CUST6814"/>
    <s v="Corporate"/>
    <s v="Electronics"/>
    <s v="Laptop"/>
    <x v="99"/>
    <x v="5"/>
    <s v="Offline"/>
    <s v="UPI"/>
    <s v="High"/>
    <n v="4"/>
    <n v="39633"/>
    <n v="20"/>
    <n v="126825.60000000001"/>
    <n v="12927.64"/>
  </r>
  <r>
    <s v="Ahmedabad"/>
    <s v="CUST9394"/>
    <s v="Consumer"/>
    <s v="Electronics"/>
    <s v="Laptop"/>
    <x v="83"/>
    <x v="0"/>
    <s v="Online"/>
    <s v="Net Banking"/>
    <s v="Critical"/>
    <n v="1"/>
    <n v="1051"/>
    <n v="0"/>
    <n v="1051"/>
    <n v="135.01"/>
  </r>
  <r>
    <s v="Mumbai"/>
    <s v="CUST8922"/>
    <s v="Corporate"/>
    <s v="Office Supplies"/>
    <s v="Mobile"/>
    <x v="121"/>
    <x v="4"/>
    <s v="Online"/>
    <s v="Net Banking"/>
    <s v="Medium"/>
    <n v="1"/>
    <n v="13564"/>
    <n v="0"/>
    <n v="13564"/>
    <n v="2488.59"/>
  </r>
  <r>
    <s v="Chennai"/>
    <s v="CUST7657"/>
    <s v="Consumer"/>
    <s v="Electronics"/>
    <s v="Table"/>
    <x v="18"/>
    <x v="4"/>
    <s v="Online"/>
    <s v="Debit Card"/>
    <s v="Low"/>
    <n v="2"/>
    <n v="45190"/>
    <n v="0"/>
    <n v="90380"/>
    <n v="12213.64"/>
  </r>
  <r>
    <s v="Delhi"/>
    <s v="CUST3619"/>
    <s v="Consumer"/>
    <s v="Furniture"/>
    <s v="Printer"/>
    <x v="104"/>
    <x v="4"/>
    <s v="Online"/>
    <s v="Credit Card"/>
    <s v="High"/>
    <n v="3"/>
    <n v="36219"/>
    <n v="15"/>
    <n v="92358.45"/>
    <n v="-7752.88"/>
  </r>
  <r>
    <s v="Mumbai"/>
    <s v="CUST2604"/>
    <s v="Consumer"/>
    <s v="Electronics"/>
    <s v="Chair"/>
    <x v="153"/>
    <x v="3"/>
    <s v="Offline"/>
    <s v="UPI"/>
    <s v="High"/>
    <n v="6"/>
    <n v="5517"/>
    <n v="0"/>
    <n v="33102"/>
    <n v="3114.67"/>
  </r>
  <r>
    <s v="Bangalore"/>
    <s v="CUST6277"/>
    <s v="Corporate"/>
    <s v="Office Supplies"/>
    <s v="Table"/>
    <x v="24"/>
    <x v="5"/>
    <s v="Offline"/>
    <s v="Cash"/>
    <s v="Critical"/>
    <n v="10"/>
    <n v="17368"/>
    <n v="15"/>
    <n v="147628"/>
    <n v="-2510.0100000000002"/>
  </r>
  <r>
    <s v="Bangalore"/>
    <s v="CUST7691"/>
    <s v="Corporate"/>
    <s v="Electronics"/>
    <s v="Printer"/>
    <x v="26"/>
    <x v="5"/>
    <s v="Offline"/>
    <s v="Credit Card"/>
    <s v="Medium"/>
    <n v="1"/>
    <n v="10711"/>
    <n v="10"/>
    <n v="9639.9"/>
    <n v="-222.88"/>
  </r>
  <r>
    <s v="Bangalore"/>
    <s v="CUST8216"/>
    <s v="Consumer"/>
    <s v="Office Supplies"/>
    <s v="Chair"/>
    <x v="45"/>
    <x v="4"/>
    <s v="Online"/>
    <s v="Debit Card"/>
    <s v="Critical"/>
    <n v="5"/>
    <n v="33817"/>
    <n v="0"/>
    <n v="169085"/>
    <n v="35116.81"/>
  </r>
  <r>
    <s v="Chennai"/>
    <s v="CUST1674"/>
    <s v="Home Office"/>
    <s v="Furniture"/>
    <s v="Table"/>
    <x v="70"/>
    <x v="5"/>
    <s v="Online"/>
    <s v="UPI"/>
    <s v="Low"/>
    <n v="3"/>
    <n v="15058"/>
    <n v="5"/>
    <n v="42915.3"/>
    <n v="9643.9500000000007"/>
  </r>
  <r>
    <s v="Delhi"/>
    <s v="CUST4734"/>
    <s v="Home Office"/>
    <s v="Office Supplies"/>
    <s v="Storage"/>
    <x v="73"/>
    <x v="4"/>
    <s v="Offline"/>
    <s v="Net Banking"/>
    <s v="Low"/>
    <n v="5"/>
    <n v="11361"/>
    <n v="5"/>
    <n v="53964.75"/>
    <n v="4633.83"/>
  </r>
  <r>
    <s v="Ahmedabad"/>
    <s v="CUST8272"/>
    <s v="Consumer"/>
    <s v="Office Supplies"/>
    <s v="Storage"/>
    <x v="10"/>
    <x v="1"/>
    <s v="Online"/>
    <s v="Debit Card"/>
    <s v="Medium"/>
    <n v="9"/>
    <n v="35687"/>
    <n v="0"/>
    <n v="321183"/>
    <n v="91177.91"/>
  </r>
  <r>
    <s v="Bangalore"/>
    <s v="CUST4697"/>
    <s v="Home Office"/>
    <s v="Office Supplies"/>
    <s v="Laptop"/>
    <x v="80"/>
    <x v="0"/>
    <s v="Online"/>
    <s v="Debit Card"/>
    <s v="Critical"/>
    <n v="9"/>
    <n v="21849"/>
    <n v="20"/>
    <n v="157312.79999999999"/>
    <n v="4664.3999999999996"/>
  </r>
  <r>
    <s v="Ahmedabad"/>
    <s v="CUST2155"/>
    <s v="Home Office"/>
    <s v="Furniture"/>
    <s v="Laptop"/>
    <x v="34"/>
    <x v="4"/>
    <s v="Offline"/>
    <s v="Debit Card"/>
    <s v="Medium"/>
    <n v="9"/>
    <n v="8371"/>
    <n v="5"/>
    <n v="71572.05"/>
    <n v="9909.5"/>
  </r>
  <r>
    <s v="Ahmedabad"/>
    <s v="CUST2117"/>
    <s v="Consumer"/>
    <s v="Office Supplies"/>
    <s v="Chair"/>
    <x v="154"/>
    <x v="2"/>
    <s v="Online"/>
    <s v="UPI"/>
    <s v="Medium"/>
    <n v="9"/>
    <n v="21972"/>
    <n v="15"/>
    <n v="168085.8"/>
    <n v="24221.78"/>
  </r>
  <r>
    <s v="Bangalore"/>
    <s v="CUST4867"/>
    <s v="Corporate"/>
    <s v="Electronics"/>
    <s v="Laptop"/>
    <x v="121"/>
    <x v="2"/>
    <s v="Online"/>
    <s v="Net Banking"/>
    <s v="Critical"/>
    <n v="8"/>
    <n v="24456"/>
    <n v="0"/>
    <n v="195648"/>
    <n v="37498.75"/>
  </r>
  <r>
    <s v="Mumbai"/>
    <s v="CUST9540"/>
    <s v="Corporate"/>
    <s v="Office Supplies"/>
    <s v="Mobile"/>
    <x v="80"/>
    <x v="1"/>
    <s v="Offline"/>
    <s v="Net Banking"/>
    <s v="Medium"/>
    <n v="1"/>
    <n v="22985"/>
    <n v="20"/>
    <n v="18388"/>
    <n v="-2208.59"/>
  </r>
  <r>
    <s v="Delhi"/>
    <s v="CUST5947"/>
    <s v="Corporate"/>
    <s v="Electronics"/>
    <s v="Mobile"/>
    <x v="4"/>
    <x v="2"/>
    <s v="Offline"/>
    <s v="Debit Card"/>
    <s v="Low"/>
    <n v="7"/>
    <n v="21531"/>
    <n v="20"/>
    <n v="120573.6"/>
    <n v="-13696.29"/>
  </r>
  <r>
    <s v="Bangalore"/>
    <s v="CUST4618"/>
    <s v="Home Office"/>
    <s v="Furniture"/>
    <s v="Chair"/>
    <x v="22"/>
    <x v="4"/>
    <s v="Offline"/>
    <s v="Credit Card"/>
    <s v="High"/>
    <n v="8"/>
    <n v="46960"/>
    <n v="10"/>
    <n v="338112"/>
    <n v="27759.23"/>
  </r>
  <r>
    <s v="Chennai"/>
    <s v="CUST8249"/>
    <s v="Corporate"/>
    <s v="Office Supplies"/>
    <s v="Laptop"/>
    <x v="63"/>
    <x v="5"/>
    <s v="Online"/>
    <s v="Cash"/>
    <s v="High"/>
    <n v="2"/>
    <n v="45215"/>
    <n v="20"/>
    <n v="72344"/>
    <n v="8636.2800000000007"/>
  </r>
  <r>
    <s v="Ahmedabad"/>
    <s v="CUST7203"/>
    <s v="Corporate"/>
    <s v="Electronics"/>
    <s v="Mobile"/>
    <x v="155"/>
    <x v="3"/>
    <s v="Offline"/>
    <s v="Cash"/>
    <s v="Low"/>
    <n v="1"/>
    <n v="18480"/>
    <n v="0"/>
    <n v="18480"/>
    <n v="4225.3100000000004"/>
  </r>
  <r>
    <s v="Chennai"/>
    <s v="CUST8854"/>
    <s v="Home Office"/>
    <s v="Office Supplies"/>
    <s v="Storage"/>
    <x v="41"/>
    <x v="5"/>
    <s v="Online"/>
    <s v="Net Banking"/>
    <s v="Critical"/>
    <n v="10"/>
    <n v="10045"/>
    <n v="20"/>
    <n v="80360"/>
    <n v="-3667.8"/>
  </r>
  <r>
    <s v="Bangalore"/>
    <s v="CUST6664"/>
    <s v="Corporate"/>
    <s v="Office Supplies"/>
    <s v="Table"/>
    <x v="57"/>
    <x v="4"/>
    <s v="Online"/>
    <s v="Credit Card"/>
    <s v="High"/>
    <n v="1"/>
    <n v="10766"/>
    <n v="20"/>
    <n v="8612.7999999999993"/>
    <n v="995.7"/>
  </r>
  <r>
    <s v="Ahmedabad"/>
    <s v="CUST1743"/>
    <s v="Home Office"/>
    <s v="Furniture"/>
    <s v="Storage"/>
    <x v="156"/>
    <x v="1"/>
    <s v="Online"/>
    <s v="UPI"/>
    <s v="Medium"/>
    <n v="9"/>
    <n v="32058"/>
    <n v="5"/>
    <n v="274095.90000000002"/>
    <n v="20550.7"/>
  </r>
  <r>
    <s v="Chennai"/>
    <s v="CUST1253"/>
    <s v="Home Office"/>
    <s v="Office Supplies"/>
    <s v="Laptop"/>
    <x v="68"/>
    <x v="4"/>
    <s v="Online"/>
    <s v="Credit Card"/>
    <s v="Critical"/>
    <n v="6"/>
    <n v="20287"/>
    <n v="0"/>
    <n v="121722"/>
    <n v="20298.099999999999"/>
  </r>
  <r>
    <s v="Delhi"/>
    <s v="CUST7678"/>
    <s v="Consumer"/>
    <s v="Office Supplies"/>
    <s v="Storage"/>
    <x v="97"/>
    <x v="2"/>
    <s v="Online"/>
    <s v="Debit Card"/>
    <s v="Medium"/>
    <n v="7"/>
    <n v="38594"/>
    <n v="20"/>
    <n v="216126.4"/>
    <n v="10114.48"/>
  </r>
  <r>
    <s v="Ahmedabad"/>
    <s v="CUST5500"/>
    <s v="Home Office"/>
    <s v="Electronics"/>
    <s v="Storage"/>
    <x v="42"/>
    <x v="2"/>
    <s v="Offline"/>
    <s v="Credit Card"/>
    <s v="Medium"/>
    <n v="10"/>
    <n v="34366"/>
    <n v="15"/>
    <n v="292111"/>
    <n v="-22225.47"/>
  </r>
  <r>
    <s v="Chennai"/>
    <s v="CUST9194"/>
    <s v="Home Office"/>
    <s v="Office Supplies"/>
    <s v="Laptop"/>
    <x v="23"/>
    <x v="0"/>
    <s v="Online"/>
    <s v="Credit Card"/>
    <s v="Critical"/>
    <n v="10"/>
    <n v="44447"/>
    <n v="10"/>
    <n v="400023"/>
    <n v="23211.64"/>
  </r>
  <r>
    <s v="Mumbai"/>
    <s v="CUST8331"/>
    <s v="Corporate"/>
    <s v="Office Supplies"/>
    <s v="Mobile"/>
    <x v="73"/>
    <x v="4"/>
    <s v="Online"/>
    <s v="Debit Card"/>
    <s v="Medium"/>
    <n v="1"/>
    <n v="17868"/>
    <n v="10"/>
    <n v="16081.2"/>
    <n v="1862.65"/>
  </r>
  <r>
    <s v="Chennai"/>
    <s v="CUST5165"/>
    <s v="Corporate"/>
    <s v="Office Supplies"/>
    <s v="Mobile"/>
    <x v="53"/>
    <x v="4"/>
    <s v="Offline"/>
    <s v="Debit Card"/>
    <s v="Medium"/>
    <n v="8"/>
    <n v="33667"/>
    <n v="5"/>
    <n v="255869.2"/>
    <n v="62745.79"/>
  </r>
  <r>
    <s v="Ahmedabad"/>
    <s v="CUST4015"/>
    <s v="Home Office"/>
    <s v="Office Supplies"/>
    <s v="Mobile"/>
    <x v="103"/>
    <x v="3"/>
    <s v="Offline"/>
    <s v="Net Banking"/>
    <s v="Low"/>
    <n v="9"/>
    <n v="22806"/>
    <n v="0"/>
    <n v="205254"/>
    <n v="37675.01"/>
  </r>
  <r>
    <s v="Delhi"/>
    <s v="CUST6069"/>
    <s v="Home Office"/>
    <s v="Furniture"/>
    <s v="Chair"/>
    <x v="61"/>
    <x v="5"/>
    <s v="Offline"/>
    <s v="Cash"/>
    <s v="Critical"/>
    <n v="10"/>
    <n v="10825"/>
    <n v="15"/>
    <n v="92012.5"/>
    <n v="10002.049999999999"/>
  </r>
  <r>
    <s v="Delhi"/>
    <s v="CUST2939"/>
    <s v="Consumer"/>
    <s v="Furniture"/>
    <s v="Laptop"/>
    <x v="57"/>
    <x v="1"/>
    <s v="Online"/>
    <s v="Cash"/>
    <s v="High"/>
    <n v="3"/>
    <n v="5782"/>
    <n v="15"/>
    <n v="14744.1"/>
    <n v="2217.5100000000002"/>
  </r>
  <r>
    <s v="Mumbai"/>
    <s v="CUST4190"/>
    <s v="Home Office"/>
    <s v="Electronics"/>
    <s v="Chair"/>
    <x v="23"/>
    <x v="4"/>
    <s v="Online"/>
    <s v="UPI"/>
    <s v="High"/>
    <n v="10"/>
    <n v="19240"/>
    <n v="5"/>
    <n v="182780"/>
    <n v="34979.26"/>
  </r>
  <r>
    <s v="Ahmedabad"/>
    <s v="CUST9800"/>
    <s v="Corporate"/>
    <s v="Electronics"/>
    <s v="Table"/>
    <x v="157"/>
    <x v="2"/>
    <s v="Offline"/>
    <s v="Net Banking"/>
    <s v="High"/>
    <n v="7"/>
    <n v="14627"/>
    <n v="5"/>
    <n v="97269.55"/>
    <n v="15492.36"/>
  </r>
  <r>
    <s v="Bangalore"/>
    <s v="CUST4928"/>
    <s v="Corporate"/>
    <s v="Furniture"/>
    <s v="Chair"/>
    <x v="12"/>
    <x v="3"/>
    <s v="Offline"/>
    <s v="Cash"/>
    <s v="Low"/>
    <n v="3"/>
    <n v="44497"/>
    <n v="10"/>
    <n v="120141.9"/>
    <n v="9184.01"/>
  </r>
  <r>
    <s v="Mumbai"/>
    <s v="CUST9564"/>
    <s v="Corporate"/>
    <s v="Electronics"/>
    <s v="Printer"/>
    <x v="77"/>
    <x v="0"/>
    <s v="Online"/>
    <s v="Cash"/>
    <s v="Low"/>
    <n v="7"/>
    <n v="47092"/>
    <n v="0"/>
    <n v="329644"/>
    <n v="59748.33"/>
  </r>
  <r>
    <s v="Mumbai"/>
    <s v="CUST1162"/>
    <s v="Consumer"/>
    <s v="Furniture"/>
    <s v="Printer"/>
    <x v="75"/>
    <x v="4"/>
    <s v="Offline"/>
    <s v="Credit Card"/>
    <s v="Medium"/>
    <n v="2"/>
    <n v="21314"/>
    <n v="15"/>
    <n v="36233.800000000003"/>
    <n v="3849.43"/>
  </r>
  <r>
    <s v="Delhi"/>
    <s v="CUST2231"/>
    <s v="Consumer"/>
    <s v="Electronics"/>
    <s v="Table"/>
    <x v="59"/>
    <x v="2"/>
    <s v="Online"/>
    <s v="Cash"/>
    <s v="Low"/>
    <n v="7"/>
    <n v="8443"/>
    <n v="20"/>
    <n v="47280.800000000003"/>
    <n v="4499.91"/>
  </r>
  <r>
    <s v="Delhi"/>
    <s v="CUST6882"/>
    <s v="Corporate"/>
    <s v="Electronics"/>
    <s v="Storage"/>
    <x v="155"/>
    <x v="3"/>
    <s v="Offline"/>
    <s v="Cash"/>
    <s v="Medium"/>
    <n v="5"/>
    <n v="38786"/>
    <n v="15"/>
    <n v="164840.5"/>
    <n v="25398.95"/>
  </r>
  <r>
    <s v="Mumbai"/>
    <s v="CUST3209"/>
    <s v="Consumer"/>
    <s v="Office Supplies"/>
    <s v="Laptop"/>
    <x v="127"/>
    <x v="1"/>
    <s v="Offline"/>
    <s v="Net Banking"/>
    <s v="Critical"/>
    <n v="8"/>
    <n v="13304"/>
    <n v="5"/>
    <n v="101110.39999999999"/>
    <n v="12879.21"/>
  </r>
  <r>
    <s v="Bangalore"/>
    <s v="CUST9138"/>
    <s v="Home Office"/>
    <s v="Furniture"/>
    <s v="Table"/>
    <x v="86"/>
    <x v="0"/>
    <s v="Online"/>
    <s v="Debit Card"/>
    <s v="Critical"/>
    <n v="9"/>
    <n v="11095"/>
    <n v="20"/>
    <n v="79884"/>
    <n v="-10372.69"/>
  </r>
  <r>
    <s v="Chennai"/>
    <s v="CUST5880"/>
    <s v="Corporate"/>
    <s v="Furniture"/>
    <s v="Table"/>
    <x v="31"/>
    <x v="0"/>
    <s v="Offline"/>
    <s v="UPI"/>
    <s v="Low"/>
    <n v="9"/>
    <n v="23435"/>
    <n v="20"/>
    <n v="168732"/>
    <n v="-1030.6199999999999"/>
  </r>
  <r>
    <s v="Chennai"/>
    <s v="CUST1614"/>
    <s v="Consumer"/>
    <s v="Office Supplies"/>
    <s v="Chair"/>
    <x v="158"/>
    <x v="0"/>
    <s v="Offline"/>
    <s v="Net Banking"/>
    <s v="Medium"/>
    <n v="6"/>
    <n v="5106"/>
    <n v="0"/>
    <n v="30636"/>
    <n v="1828.99"/>
  </r>
  <r>
    <s v="Ahmedabad"/>
    <s v="CUST3553"/>
    <s v="Home Office"/>
    <s v="Electronics"/>
    <s v="Printer"/>
    <x v="97"/>
    <x v="5"/>
    <s v="Offline"/>
    <s v="UPI"/>
    <s v="Medium"/>
    <n v="4"/>
    <n v="34926"/>
    <n v="10"/>
    <n v="125733.6"/>
    <n v="24493.08"/>
  </r>
  <r>
    <s v="Ahmedabad"/>
    <s v="CUST8757"/>
    <s v="Corporate"/>
    <s v="Office Supplies"/>
    <s v="Chair"/>
    <x v="71"/>
    <x v="5"/>
    <s v="Offline"/>
    <s v="Net Banking"/>
    <s v="Low"/>
    <n v="2"/>
    <n v="42750"/>
    <n v="0"/>
    <n v="85500"/>
    <n v="24502.75"/>
  </r>
  <r>
    <s v="Delhi"/>
    <s v="CUST4700"/>
    <s v="Corporate"/>
    <s v="Electronics"/>
    <s v="Table"/>
    <x v="99"/>
    <x v="2"/>
    <s v="Offline"/>
    <s v="Net Banking"/>
    <s v="Critical"/>
    <n v="1"/>
    <n v="47604"/>
    <n v="10"/>
    <n v="42843.6"/>
    <n v="-1515.53"/>
  </r>
  <r>
    <s v="Bangalore"/>
    <s v="CUST1000"/>
    <s v="Corporate"/>
    <s v="Furniture"/>
    <s v="Printer"/>
    <x v="159"/>
    <x v="0"/>
    <s v="Online"/>
    <s v="Debit Card"/>
    <s v="Critical"/>
    <n v="1"/>
    <n v="23598"/>
    <n v="0"/>
    <n v="23598"/>
    <n v="3107.88"/>
  </r>
  <r>
    <s v="Mumbai"/>
    <s v="CUST2715"/>
    <s v="Corporate"/>
    <s v="Office Supplies"/>
    <s v="Mobile"/>
    <x v="143"/>
    <x v="4"/>
    <s v="Online"/>
    <s v="Net Banking"/>
    <s v="Critical"/>
    <n v="4"/>
    <n v="45437"/>
    <n v="10"/>
    <n v="163573.20000000001"/>
    <n v="35769.85"/>
  </r>
  <r>
    <s v="Bangalore"/>
    <s v="CUST1145"/>
    <s v="Consumer"/>
    <s v="Electronics"/>
    <s v="Table"/>
    <x v="69"/>
    <x v="4"/>
    <s v="Online"/>
    <s v="Net Banking"/>
    <s v="High"/>
    <n v="2"/>
    <n v="34467"/>
    <n v="10"/>
    <n v="62040.6"/>
    <n v="268.06"/>
  </r>
  <r>
    <s v="Bangalore"/>
    <s v="CUST4306"/>
    <s v="Corporate"/>
    <s v="Furniture"/>
    <s v="Table"/>
    <x v="131"/>
    <x v="1"/>
    <s v="Online"/>
    <s v="Net Banking"/>
    <s v="Critical"/>
    <n v="5"/>
    <n v="23079"/>
    <n v="5"/>
    <n v="109625.25"/>
    <n v="28013.51"/>
  </r>
  <r>
    <s v="Chennai"/>
    <s v="CUST9494"/>
    <s v="Corporate"/>
    <s v="Electronics"/>
    <s v="Storage"/>
    <x v="121"/>
    <x v="0"/>
    <s v="Offline"/>
    <s v="Cash"/>
    <s v="Medium"/>
    <n v="1"/>
    <n v="25487"/>
    <n v="0"/>
    <n v="25487"/>
    <n v="3363.05"/>
  </r>
  <r>
    <s v="Ahmedabad"/>
    <s v="CUST1164"/>
    <s v="Home Office"/>
    <s v="Electronics"/>
    <s v="Laptop"/>
    <x v="95"/>
    <x v="1"/>
    <s v="Offline"/>
    <s v="Credit Card"/>
    <s v="Critical"/>
    <n v="10"/>
    <n v="42250"/>
    <n v="20"/>
    <n v="338000"/>
    <n v="-27475.5"/>
  </r>
  <r>
    <s v="Chennai"/>
    <s v="CUST1244"/>
    <s v="Home Office"/>
    <s v="Office Supplies"/>
    <s v="Mobile"/>
    <x v="113"/>
    <x v="5"/>
    <s v="Offline"/>
    <s v="Debit Card"/>
    <s v="Medium"/>
    <n v="4"/>
    <n v="6510"/>
    <n v="20"/>
    <n v="20832"/>
    <n v="1051.8"/>
  </r>
  <r>
    <s v="Ahmedabad"/>
    <s v="CUST8492"/>
    <s v="Corporate"/>
    <s v="Furniture"/>
    <s v="Printer"/>
    <x v="90"/>
    <x v="5"/>
    <s v="Offline"/>
    <s v="Debit Card"/>
    <s v="Critical"/>
    <n v="1"/>
    <n v="11864"/>
    <n v="15"/>
    <n v="10084.4"/>
    <n v="650.36"/>
  </r>
  <r>
    <s v="Mumbai"/>
    <s v="CUST3173"/>
    <s v="Consumer"/>
    <s v="Electronics"/>
    <s v="Storage"/>
    <x v="17"/>
    <x v="4"/>
    <s v="Offline"/>
    <s v="Debit Card"/>
    <s v="Low"/>
    <n v="10"/>
    <n v="33838"/>
    <n v="10"/>
    <n v="304542"/>
    <n v="15644.29"/>
  </r>
  <r>
    <s v="Delhi"/>
    <s v="CUST6230"/>
    <s v="Corporate"/>
    <s v="Electronics"/>
    <s v="Chair"/>
    <x v="160"/>
    <x v="1"/>
    <s v="Offline"/>
    <s v="Cash"/>
    <s v="Medium"/>
    <n v="4"/>
    <n v="49141"/>
    <n v="20"/>
    <n v="157251.20000000001"/>
    <n v="-2616.23"/>
  </r>
  <r>
    <s v="Chennai"/>
    <s v="CUST1070"/>
    <s v="Corporate"/>
    <s v="Office Supplies"/>
    <s v="Table"/>
    <x v="52"/>
    <x v="0"/>
    <s v="Offline"/>
    <s v="Debit Card"/>
    <s v="Medium"/>
    <n v="3"/>
    <n v="18556"/>
    <n v="15"/>
    <n v="47317.8"/>
    <n v="-4095.91"/>
  </r>
  <r>
    <s v="Bangalore"/>
    <s v="CUST8022"/>
    <s v="Consumer"/>
    <s v="Electronics"/>
    <s v="Laptop"/>
    <x v="56"/>
    <x v="1"/>
    <s v="Offline"/>
    <s v="Cash"/>
    <s v="Low"/>
    <n v="4"/>
    <n v="14592"/>
    <n v="0"/>
    <n v="58368"/>
    <n v="16677.34"/>
  </r>
  <r>
    <s v="Chennai"/>
    <s v="CUST7117"/>
    <s v="Home Office"/>
    <s v="Electronics"/>
    <s v="Printer"/>
    <x v="152"/>
    <x v="2"/>
    <s v="Online"/>
    <s v="Credit Card"/>
    <s v="Medium"/>
    <n v="8"/>
    <n v="39185"/>
    <n v="20"/>
    <n v="250784"/>
    <n v="26344.7"/>
  </r>
  <r>
    <s v="Bangalore"/>
    <s v="CUST9599"/>
    <s v="Corporate"/>
    <s v="Furniture"/>
    <s v="Mobile"/>
    <x v="130"/>
    <x v="3"/>
    <s v="Online"/>
    <s v="UPI"/>
    <s v="Critical"/>
    <n v="2"/>
    <n v="20162"/>
    <n v="15"/>
    <n v="34275.4"/>
    <n v="-114.65"/>
  </r>
  <r>
    <s v="Chennai"/>
    <s v="CUST4495"/>
    <s v="Home Office"/>
    <s v="Office Supplies"/>
    <s v="Storage"/>
    <x v="161"/>
    <x v="5"/>
    <s v="Offline"/>
    <s v="Net Banking"/>
    <s v="Critical"/>
    <n v="3"/>
    <n v="24302"/>
    <n v="20"/>
    <n v="58324.800000000003"/>
    <n v="-10762.13"/>
  </r>
  <r>
    <s v="Ahmedabad"/>
    <s v="CUST9916"/>
    <s v="Consumer"/>
    <s v="Electronics"/>
    <s v="Printer"/>
    <x v="65"/>
    <x v="2"/>
    <s v="Online"/>
    <s v="Credit Card"/>
    <s v="High"/>
    <n v="7"/>
    <n v="44288"/>
    <n v="10"/>
    <n v="279014.40000000002"/>
    <n v="-8770.33"/>
  </r>
  <r>
    <s v="Ahmedabad"/>
    <s v="CUST2211"/>
    <s v="Consumer"/>
    <s v="Electronics"/>
    <s v="Laptop"/>
    <x v="162"/>
    <x v="2"/>
    <s v="Offline"/>
    <s v="Credit Card"/>
    <s v="High"/>
    <n v="3"/>
    <n v="14161"/>
    <n v="20"/>
    <n v="33986.400000000001"/>
    <n v="-4788.0600000000004"/>
  </r>
  <r>
    <s v="Bangalore"/>
    <s v="CUST3513"/>
    <s v="Consumer"/>
    <s v="Electronics"/>
    <s v="Storage"/>
    <x v="91"/>
    <x v="2"/>
    <s v="Offline"/>
    <s v="Debit Card"/>
    <s v="Low"/>
    <n v="9"/>
    <n v="25683"/>
    <n v="5"/>
    <n v="219589.65"/>
    <n v="25973.439999999999"/>
  </r>
  <r>
    <s v="Chennai"/>
    <s v="CUST1453"/>
    <s v="Consumer"/>
    <s v="Electronics"/>
    <s v="Printer"/>
    <x v="46"/>
    <x v="5"/>
    <s v="Online"/>
    <s v="Net Banking"/>
    <s v="Critical"/>
    <n v="7"/>
    <n v="39181"/>
    <n v="0"/>
    <n v="274267"/>
    <n v="75894.710000000006"/>
  </r>
  <r>
    <s v="Ahmedabad"/>
    <s v="CUST4568"/>
    <s v="Corporate"/>
    <s v="Office Supplies"/>
    <s v="Printer"/>
    <x v="117"/>
    <x v="1"/>
    <s v="Online"/>
    <s v="Net Banking"/>
    <s v="Medium"/>
    <n v="3"/>
    <n v="47397"/>
    <n v="5"/>
    <n v="135081.45000000001"/>
    <n v="34363.949999999997"/>
  </r>
  <r>
    <s v="Bangalore"/>
    <s v="CUST4130"/>
    <s v="Home Office"/>
    <s v="Office Supplies"/>
    <s v="Laptop"/>
    <x v="142"/>
    <x v="0"/>
    <s v="Online"/>
    <s v="Cash"/>
    <s v="Medium"/>
    <n v="6"/>
    <n v="7014"/>
    <n v="20"/>
    <n v="33667.199999999997"/>
    <n v="3366.47"/>
  </r>
  <r>
    <s v="Delhi"/>
    <s v="CUST3720"/>
    <s v="Consumer"/>
    <s v="Office Supplies"/>
    <s v="Chair"/>
    <x v="63"/>
    <x v="4"/>
    <s v="Offline"/>
    <s v="UPI"/>
    <s v="High"/>
    <n v="9"/>
    <n v="33503"/>
    <n v="0"/>
    <n v="301527"/>
    <n v="31062.13"/>
  </r>
  <r>
    <s v="Bangalore"/>
    <s v="CUST8591"/>
    <s v="Home Office"/>
    <s v="Office Supplies"/>
    <s v="Table"/>
    <x v="30"/>
    <x v="0"/>
    <s v="Offline"/>
    <s v="Debit Card"/>
    <s v="Critical"/>
    <n v="10"/>
    <n v="12429"/>
    <n v="10"/>
    <n v="111861"/>
    <n v="1087.92"/>
  </r>
  <r>
    <s v="Ahmedabad"/>
    <s v="CUST8623"/>
    <s v="Home Office"/>
    <s v="Office Supplies"/>
    <s v="Printer"/>
    <x v="144"/>
    <x v="4"/>
    <s v="Online"/>
    <s v="Credit Card"/>
    <s v="High"/>
    <n v="6"/>
    <n v="13149"/>
    <n v="15"/>
    <n v="67059.899999999994"/>
    <n v="1789.69"/>
  </r>
  <r>
    <s v="Delhi"/>
    <s v="CUST3132"/>
    <s v="Home Office"/>
    <s v="Furniture"/>
    <s v="Laptop"/>
    <x v="21"/>
    <x v="5"/>
    <s v="Online"/>
    <s v="Net Banking"/>
    <s v="Critical"/>
    <n v="6"/>
    <n v="36332"/>
    <n v="15"/>
    <n v="185293.2"/>
    <n v="-5447.2"/>
  </r>
  <r>
    <s v="Ahmedabad"/>
    <s v="CUST9313"/>
    <s v="Corporate"/>
    <s v="Furniture"/>
    <s v="Storage"/>
    <x v="67"/>
    <x v="2"/>
    <s v="Online"/>
    <s v="UPI"/>
    <s v="Medium"/>
    <n v="2"/>
    <n v="2567"/>
    <n v="5"/>
    <n v="4877.3"/>
    <n v="1003.54"/>
  </r>
  <r>
    <s v="Delhi"/>
    <s v="CUST2735"/>
    <s v="Consumer"/>
    <s v="Electronics"/>
    <s v="Chair"/>
    <x v="27"/>
    <x v="4"/>
    <s v="Online"/>
    <s v="Credit Card"/>
    <s v="High"/>
    <n v="4"/>
    <n v="23157"/>
    <n v="20"/>
    <n v="74102.399999999994"/>
    <n v="-2662.68"/>
  </r>
  <r>
    <s v="Chennai"/>
    <s v="CUST1301"/>
    <s v="Corporate"/>
    <s v="Office Supplies"/>
    <s v="Storage"/>
    <x v="163"/>
    <x v="0"/>
    <s v="Online"/>
    <s v="Net Banking"/>
    <s v="Critical"/>
    <n v="1"/>
    <n v="882"/>
    <n v="15"/>
    <n v="749.7"/>
    <n v="48.53"/>
  </r>
  <r>
    <s v="Chennai"/>
    <s v="CUST6171"/>
    <s v="Corporate"/>
    <s v="Electronics"/>
    <s v="Storage"/>
    <x v="89"/>
    <x v="3"/>
    <s v="Offline"/>
    <s v="Debit Card"/>
    <s v="Medium"/>
    <n v="6"/>
    <n v="26178"/>
    <n v="20"/>
    <n v="125654.39999999999"/>
    <n v="15303.58"/>
  </r>
  <r>
    <s v="Ahmedabad"/>
    <s v="CUST9745"/>
    <s v="Corporate"/>
    <s v="Furniture"/>
    <s v="Laptop"/>
    <x v="136"/>
    <x v="0"/>
    <s v="Online"/>
    <s v="Cash"/>
    <s v="Low"/>
    <n v="6"/>
    <n v="22346"/>
    <n v="5"/>
    <n v="127372.2"/>
    <n v="6565.53"/>
  </r>
  <r>
    <s v="Delhi"/>
    <s v="CUST4819"/>
    <s v="Home Office"/>
    <s v="Furniture"/>
    <s v="Laptop"/>
    <x v="164"/>
    <x v="5"/>
    <s v="Online"/>
    <s v="UPI"/>
    <s v="Medium"/>
    <n v="2"/>
    <n v="10434"/>
    <n v="15"/>
    <n v="17737.8"/>
    <n v="934.95"/>
  </r>
  <r>
    <s v="Delhi"/>
    <s v="CUST2852"/>
    <s v="Corporate"/>
    <s v="Office Supplies"/>
    <s v="Chair"/>
    <x v="141"/>
    <x v="1"/>
    <s v="Offline"/>
    <s v="Net Banking"/>
    <s v="Medium"/>
    <n v="6"/>
    <n v="1386"/>
    <n v="0"/>
    <n v="8316"/>
    <n v="547.41"/>
  </r>
  <r>
    <s v="Delhi"/>
    <s v="CUST3061"/>
    <s v="Consumer"/>
    <s v="Electronics"/>
    <s v="Laptop"/>
    <x v="126"/>
    <x v="4"/>
    <s v="Online"/>
    <s v="Net Banking"/>
    <s v="Medium"/>
    <n v="3"/>
    <n v="1194"/>
    <n v="10"/>
    <n v="3223.8"/>
    <n v="138.87"/>
  </r>
  <r>
    <s v="Ahmedabad"/>
    <s v="CUST3154"/>
    <s v="Corporate"/>
    <s v="Office Supplies"/>
    <s v="Table"/>
    <x v="76"/>
    <x v="3"/>
    <s v="Offline"/>
    <s v="Cash"/>
    <s v="High"/>
    <n v="10"/>
    <n v="43409"/>
    <n v="5"/>
    <n v="412385.5"/>
    <n v="17474.97"/>
  </r>
  <r>
    <s v="Ahmedabad"/>
    <s v="CUST3182"/>
    <s v="Corporate"/>
    <s v="Furniture"/>
    <s v="Storage"/>
    <x v="50"/>
    <x v="2"/>
    <s v="Offline"/>
    <s v="Debit Card"/>
    <s v="Low"/>
    <n v="7"/>
    <n v="28167"/>
    <n v="20"/>
    <n v="157735.20000000001"/>
    <n v="6316.82"/>
  </r>
  <r>
    <s v="Delhi"/>
    <s v="CUST2585"/>
    <s v="Corporate"/>
    <s v="Office Supplies"/>
    <s v="Storage"/>
    <x v="47"/>
    <x v="1"/>
    <s v="Offline"/>
    <s v="UPI"/>
    <s v="Low"/>
    <n v="5"/>
    <n v="16893"/>
    <n v="10"/>
    <n v="76018.5"/>
    <n v="1328.17"/>
  </r>
  <r>
    <s v="Chennai"/>
    <s v="CUST2051"/>
    <s v="Home Office"/>
    <s v="Electronics"/>
    <s v="Laptop"/>
    <x v="27"/>
    <x v="3"/>
    <s v="Online"/>
    <s v="Credit Card"/>
    <s v="Critical"/>
    <n v="6"/>
    <n v="1968"/>
    <n v="0"/>
    <n v="11808"/>
    <n v="3284.76"/>
  </r>
  <r>
    <s v="Mumbai"/>
    <s v="CUST5267"/>
    <s v="Home Office"/>
    <s v="Electronics"/>
    <s v="Table"/>
    <x v="5"/>
    <x v="0"/>
    <s v="Offline"/>
    <s v="Net Banking"/>
    <s v="Low"/>
    <n v="1"/>
    <n v="26228"/>
    <n v="0"/>
    <n v="26228"/>
    <n v="4585.29"/>
  </r>
  <r>
    <s v="Chennai"/>
    <s v="CUST9687"/>
    <s v="Consumer"/>
    <s v="Electronics"/>
    <s v="Laptop"/>
    <x v="46"/>
    <x v="0"/>
    <s v="Offline"/>
    <s v="Net Banking"/>
    <s v="Medium"/>
    <n v="2"/>
    <n v="31632"/>
    <n v="20"/>
    <n v="50611.199999999997"/>
    <n v="-8074.1"/>
  </r>
  <r>
    <s v="Ahmedabad"/>
    <s v="CUST4131"/>
    <s v="Corporate"/>
    <s v="Electronics"/>
    <s v="Storage"/>
    <x v="165"/>
    <x v="0"/>
    <s v="Offline"/>
    <s v="Debit Card"/>
    <s v="Critical"/>
    <n v="2"/>
    <n v="32873"/>
    <n v="0"/>
    <n v="65746"/>
    <n v="12924.14"/>
  </r>
  <r>
    <s v="Ahmedabad"/>
    <s v="CUST5515"/>
    <s v="Corporate"/>
    <s v="Office Supplies"/>
    <s v="Table"/>
    <x v="166"/>
    <x v="4"/>
    <s v="Online"/>
    <s v="Debit Card"/>
    <s v="Low"/>
    <n v="10"/>
    <n v="17395"/>
    <n v="20"/>
    <n v="139160"/>
    <n v="16624.45"/>
  </r>
  <r>
    <s v="Bangalore"/>
    <s v="CUST1593"/>
    <s v="Corporate"/>
    <s v="Office Supplies"/>
    <s v="Table"/>
    <x v="144"/>
    <x v="0"/>
    <s v="Online"/>
    <s v="Debit Card"/>
    <s v="High"/>
    <n v="2"/>
    <n v="8234"/>
    <n v="0"/>
    <n v="16468"/>
    <n v="1503.95"/>
  </r>
  <r>
    <s v="Bangalore"/>
    <s v="CUST4953"/>
    <s v="Corporate"/>
    <s v="Furniture"/>
    <s v="Printer"/>
    <x v="116"/>
    <x v="3"/>
    <s v="Offline"/>
    <s v="UPI"/>
    <s v="High"/>
    <n v="9"/>
    <n v="39469"/>
    <n v="0"/>
    <n v="355221"/>
    <n v="85845.17"/>
  </r>
  <r>
    <s v="Ahmedabad"/>
    <s v="CUST4267"/>
    <s v="Consumer"/>
    <s v="Electronics"/>
    <s v="Laptop"/>
    <x v="63"/>
    <x v="1"/>
    <s v="Online"/>
    <s v="Net Banking"/>
    <s v="Medium"/>
    <n v="8"/>
    <n v="14654"/>
    <n v="5"/>
    <n v="111370.4"/>
    <n v="18303.189999999999"/>
  </r>
  <r>
    <s v="Bangalore"/>
    <s v="CUST4034"/>
    <s v="Consumer"/>
    <s v="Office Supplies"/>
    <s v="Laptop"/>
    <x v="135"/>
    <x v="4"/>
    <s v="Online"/>
    <s v="UPI"/>
    <s v="Critical"/>
    <n v="8"/>
    <n v="24235"/>
    <n v="10"/>
    <n v="174492"/>
    <n v="18484.89"/>
  </r>
  <r>
    <s v="Chennai"/>
    <s v="CUST4323"/>
    <s v="Home Office"/>
    <s v="Electronics"/>
    <s v="Laptop"/>
    <x v="125"/>
    <x v="4"/>
    <s v="Online"/>
    <s v="Debit Card"/>
    <s v="High"/>
    <n v="3"/>
    <n v="29633"/>
    <n v="5"/>
    <n v="84454.05"/>
    <n v="16667.29"/>
  </r>
  <r>
    <s v="Bangalore"/>
    <s v="CUST4578"/>
    <s v="Corporate"/>
    <s v="Furniture"/>
    <s v="Laptop"/>
    <x v="167"/>
    <x v="5"/>
    <s v="Online"/>
    <s v="Cash"/>
    <s v="High"/>
    <n v="8"/>
    <n v="7875"/>
    <n v="0"/>
    <n v="63000"/>
    <n v="14690.86"/>
  </r>
  <r>
    <s v="Ahmedabad"/>
    <s v="CUST5817"/>
    <s v="Corporate"/>
    <s v="Electronics"/>
    <s v="Printer"/>
    <x v="27"/>
    <x v="4"/>
    <s v="Online"/>
    <s v="Debit Card"/>
    <s v="Low"/>
    <n v="9"/>
    <n v="49336"/>
    <n v="5"/>
    <n v="421822.8"/>
    <n v="68119.06"/>
  </r>
  <r>
    <s v="Ahmedabad"/>
    <s v="CUST9417"/>
    <s v="Consumer"/>
    <s v="Electronics"/>
    <s v="Mobile"/>
    <x v="124"/>
    <x v="4"/>
    <s v="Offline"/>
    <s v="Debit Card"/>
    <s v="Critical"/>
    <n v="10"/>
    <n v="19395"/>
    <n v="5"/>
    <n v="184252.5"/>
    <n v="1149.51"/>
  </r>
  <r>
    <s v="Chennai"/>
    <s v="CUST3360"/>
    <s v="Home Office"/>
    <s v="Furniture"/>
    <s v="Table"/>
    <x v="152"/>
    <x v="1"/>
    <s v="Offline"/>
    <s v="Net Banking"/>
    <s v="Critical"/>
    <n v="5"/>
    <n v="25687"/>
    <n v="5"/>
    <n v="122013.25"/>
    <n v="11128.51"/>
  </r>
  <r>
    <s v="Ahmedabad"/>
    <s v="CUST9942"/>
    <s v="Consumer"/>
    <s v="Furniture"/>
    <s v="Mobile"/>
    <x v="50"/>
    <x v="5"/>
    <s v="Online"/>
    <s v="Cash"/>
    <s v="Low"/>
    <n v="3"/>
    <n v="48914"/>
    <n v="0"/>
    <n v="146742"/>
    <n v="27143.51"/>
  </r>
  <r>
    <s v="Ahmedabad"/>
    <s v="CUST1579"/>
    <s v="Home Office"/>
    <s v="Furniture"/>
    <s v="Chair"/>
    <x v="135"/>
    <x v="0"/>
    <s v="Offline"/>
    <s v="UPI"/>
    <s v="Low"/>
    <n v="7"/>
    <n v="17114"/>
    <n v="20"/>
    <n v="95838.399999999994"/>
    <n v="5663.36"/>
  </r>
  <r>
    <s v="Mumbai"/>
    <s v="CUST1535"/>
    <s v="Home Office"/>
    <s v="Furniture"/>
    <s v="Mobile"/>
    <x v="22"/>
    <x v="4"/>
    <s v="Online"/>
    <s v="UPI"/>
    <s v="High"/>
    <n v="3"/>
    <n v="4329"/>
    <n v="10"/>
    <n v="11688.3"/>
    <n v="2056.15"/>
  </r>
  <r>
    <s v="Delhi"/>
    <s v="CUST3104"/>
    <s v="Home Office"/>
    <s v="Electronics"/>
    <s v="Storage"/>
    <x v="51"/>
    <x v="5"/>
    <s v="Offline"/>
    <s v="Net Banking"/>
    <s v="High"/>
    <n v="10"/>
    <n v="1340"/>
    <n v="10"/>
    <n v="12060"/>
    <n v="871.1"/>
  </r>
  <r>
    <s v="Delhi"/>
    <s v="CUST8169"/>
    <s v="Consumer"/>
    <s v="Electronics"/>
    <s v="Chair"/>
    <x v="96"/>
    <x v="2"/>
    <s v="Online"/>
    <s v="Cash"/>
    <s v="Medium"/>
    <n v="4"/>
    <n v="21606"/>
    <n v="5"/>
    <n v="82102.8"/>
    <n v="13389.45"/>
  </r>
  <r>
    <s v="Bangalore"/>
    <s v="CUST6586"/>
    <s v="Consumer"/>
    <s v="Office Supplies"/>
    <s v="Laptop"/>
    <x v="68"/>
    <x v="0"/>
    <s v="Online"/>
    <s v="Credit Card"/>
    <s v="Low"/>
    <n v="9"/>
    <n v="24852"/>
    <n v="5"/>
    <n v="212484.6"/>
    <n v="17289.79"/>
  </r>
  <r>
    <s v="Bangalore"/>
    <s v="CUST9107"/>
    <s v="Consumer"/>
    <s v="Office Supplies"/>
    <s v="Printer"/>
    <x v="82"/>
    <x v="0"/>
    <s v="Online"/>
    <s v="Credit Card"/>
    <s v="Medium"/>
    <n v="2"/>
    <n v="1001"/>
    <n v="10"/>
    <n v="1801.8"/>
    <n v="239.66"/>
  </r>
  <r>
    <s v="Bangalore"/>
    <s v="CUST6361"/>
    <s v="Consumer"/>
    <s v="Furniture"/>
    <s v="Laptop"/>
    <x v="20"/>
    <x v="0"/>
    <s v="Offline"/>
    <s v="Debit Card"/>
    <s v="High"/>
    <n v="1"/>
    <n v="36768"/>
    <n v="15"/>
    <n v="31252.799999999999"/>
    <n v="-321.75"/>
  </r>
  <r>
    <s v="Chennai"/>
    <s v="CUST2431"/>
    <s v="Home Office"/>
    <s v="Furniture"/>
    <s v="Storage"/>
    <x v="36"/>
    <x v="3"/>
    <s v="Offline"/>
    <s v="Net Banking"/>
    <s v="Critical"/>
    <n v="10"/>
    <n v="25786"/>
    <n v="10"/>
    <n v="232074"/>
    <n v="14613.04"/>
  </r>
  <r>
    <s v="Bangalore"/>
    <s v="CUST8800"/>
    <s v="Corporate"/>
    <s v="Office Supplies"/>
    <s v="Table"/>
    <x v="56"/>
    <x v="0"/>
    <s v="Online"/>
    <s v="Credit Card"/>
    <s v="Low"/>
    <n v="8"/>
    <n v="39182"/>
    <n v="10"/>
    <n v="282110.40000000002"/>
    <n v="39042.519999999997"/>
  </r>
  <r>
    <s v="Ahmedabad"/>
    <s v="CUST4411"/>
    <s v="Home Office"/>
    <s v="Electronics"/>
    <s v="Table"/>
    <x v="95"/>
    <x v="5"/>
    <s v="Online"/>
    <s v="Net Banking"/>
    <s v="Critical"/>
    <n v="6"/>
    <n v="17611"/>
    <n v="15"/>
    <n v="89816.1"/>
    <n v="14228.15"/>
  </r>
  <r>
    <s v="Delhi"/>
    <s v="CUST9505"/>
    <s v="Home Office"/>
    <s v="Electronics"/>
    <s v="Mobile"/>
    <x v="106"/>
    <x v="5"/>
    <s v="Online"/>
    <s v="Credit Card"/>
    <s v="Critical"/>
    <n v="1"/>
    <n v="21836"/>
    <n v="5"/>
    <n v="20744.2"/>
    <n v="4322.5"/>
  </r>
  <r>
    <s v="Mumbai"/>
    <s v="CUST1287"/>
    <s v="Corporate"/>
    <s v="Office Supplies"/>
    <s v="Mobile"/>
    <x v="124"/>
    <x v="5"/>
    <s v="Online"/>
    <s v="Credit Card"/>
    <s v="Medium"/>
    <n v="4"/>
    <n v="31987"/>
    <n v="20"/>
    <n v="102358.39999999999"/>
    <n v="-15367"/>
  </r>
  <r>
    <s v="Delhi"/>
    <s v="CUST4767"/>
    <s v="Consumer"/>
    <s v="Office Supplies"/>
    <s v="Chair"/>
    <x v="168"/>
    <x v="3"/>
    <s v="Offline"/>
    <s v="Cash"/>
    <s v="High"/>
    <n v="6"/>
    <n v="13449"/>
    <n v="5"/>
    <n v="76659.3"/>
    <n v="13967.29"/>
  </r>
  <r>
    <s v="Ahmedabad"/>
    <s v="CUST4641"/>
    <s v="Consumer"/>
    <s v="Electronics"/>
    <s v="Storage"/>
    <x v="100"/>
    <x v="3"/>
    <s v="Online"/>
    <s v="Credit Card"/>
    <s v="Medium"/>
    <n v="10"/>
    <n v="23095"/>
    <n v="5"/>
    <n v="219402.5"/>
    <n v="55000.639999999999"/>
  </r>
  <r>
    <s v="Mumbai"/>
    <s v="CUST9586"/>
    <s v="Home Office"/>
    <s v="Furniture"/>
    <s v="Laptop"/>
    <x v="93"/>
    <x v="5"/>
    <s v="Offline"/>
    <s v="Cash"/>
    <s v="High"/>
    <n v="7"/>
    <n v="14688"/>
    <n v="15"/>
    <n v="87393.600000000006"/>
    <n v="3533.46"/>
  </r>
  <r>
    <s v="Mumbai"/>
    <s v="CUST3747"/>
    <s v="Consumer"/>
    <s v="Electronics"/>
    <s v="Printer"/>
    <x v="24"/>
    <x v="2"/>
    <s v="Offline"/>
    <s v="Cash"/>
    <s v="Critical"/>
    <n v="3"/>
    <n v="26008"/>
    <n v="20"/>
    <n v="62419.199999999997"/>
    <n v="-279.92"/>
  </r>
  <r>
    <s v="Bangalore"/>
    <s v="CUST2911"/>
    <s v="Consumer"/>
    <s v="Electronics"/>
    <s v="Mobile"/>
    <x v="19"/>
    <x v="0"/>
    <s v="Offline"/>
    <s v="UPI"/>
    <s v="Medium"/>
    <n v="2"/>
    <n v="26784"/>
    <n v="5"/>
    <n v="50889.599999999999"/>
    <n v="9845.6200000000008"/>
  </r>
  <r>
    <s v="Delhi"/>
    <s v="CUST6405"/>
    <s v="Corporate"/>
    <s v="Electronics"/>
    <s v="Laptop"/>
    <x v="143"/>
    <x v="4"/>
    <s v="Online"/>
    <s v="Debit Card"/>
    <s v="Critical"/>
    <n v="6"/>
    <n v="46325"/>
    <n v="15"/>
    <n v="236257.5"/>
    <n v="-9844.24"/>
  </r>
  <r>
    <s v="Mumbai"/>
    <s v="CUST5918"/>
    <s v="Consumer"/>
    <s v="Office Supplies"/>
    <s v="Chair"/>
    <x v="168"/>
    <x v="1"/>
    <s v="Online"/>
    <s v="Debit Card"/>
    <s v="Low"/>
    <n v="5"/>
    <n v="34684"/>
    <n v="20"/>
    <n v="138736"/>
    <n v="14180.66"/>
  </r>
  <r>
    <s v="Delhi"/>
    <s v="CUST8473"/>
    <s v="Home Office"/>
    <s v="Furniture"/>
    <s v="Printer"/>
    <x v="123"/>
    <x v="1"/>
    <s v="Online"/>
    <s v="Credit Card"/>
    <s v="Critical"/>
    <n v="9"/>
    <n v="25332"/>
    <n v="10"/>
    <n v="205189.2"/>
    <n v="30255.71"/>
  </r>
  <r>
    <s v="Chennai"/>
    <s v="CUST9093"/>
    <s v="Consumer"/>
    <s v="Electronics"/>
    <s v="Mobile"/>
    <x v="95"/>
    <x v="2"/>
    <s v="Offline"/>
    <s v="Cash"/>
    <s v="Critical"/>
    <n v="1"/>
    <n v="11902"/>
    <n v="15"/>
    <n v="10116.700000000001"/>
    <n v="1542.62"/>
  </r>
  <r>
    <s v="Chennai"/>
    <s v="CUST5305"/>
    <s v="Corporate"/>
    <s v="Furniture"/>
    <s v="Table"/>
    <x v="32"/>
    <x v="3"/>
    <s v="Offline"/>
    <s v="UPI"/>
    <s v="High"/>
    <n v="6"/>
    <n v="3406"/>
    <n v="20"/>
    <n v="16348.8"/>
    <n v="-625.97"/>
  </r>
  <r>
    <s v="Chennai"/>
    <s v="CUST3958"/>
    <s v="Corporate"/>
    <s v="Office Supplies"/>
    <s v="Table"/>
    <x v="39"/>
    <x v="3"/>
    <s v="Online"/>
    <s v="Credit Card"/>
    <s v="Critical"/>
    <n v="10"/>
    <n v="3334"/>
    <n v="15"/>
    <n v="28339"/>
    <n v="1613.15"/>
  </r>
  <r>
    <s v="Bangalore"/>
    <s v="CUST8682"/>
    <s v="Home Office"/>
    <s v="Office Supplies"/>
    <s v="Chair"/>
    <x v="93"/>
    <x v="2"/>
    <s v="Offline"/>
    <s v="Credit Card"/>
    <s v="Low"/>
    <n v="5"/>
    <n v="18123"/>
    <n v="20"/>
    <n v="72492"/>
    <n v="-7767.17"/>
  </r>
  <r>
    <s v="Chennai"/>
    <s v="CUST1230"/>
    <s v="Corporate"/>
    <s v="Office Supplies"/>
    <s v="Table"/>
    <x v="105"/>
    <x v="3"/>
    <s v="Online"/>
    <s v="UPI"/>
    <s v="Critical"/>
    <n v="7"/>
    <n v="3020"/>
    <n v="10"/>
    <n v="19026"/>
    <n v="-985.59"/>
  </r>
  <r>
    <s v="Ahmedabad"/>
    <s v="CUST7268"/>
    <s v="Home Office"/>
    <s v="Furniture"/>
    <s v="Table"/>
    <x v="169"/>
    <x v="5"/>
    <s v="Online"/>
    <s v="Cash"/>
    <s v="Medium"/>
    <n v="4"/>
    <n v="16536"/>
    <n v="5"/>
    <n v="62836.800000000003"/>
    <n v="9998.98"/>
  </r>
  <r>
    <s v="Bangalore"/>
    <s v="CUST2104"/>
    <s v="Corporate"/>
    <s v="Electronics"/>
    <s v="Chair"/>
    <x v="170"/>
    <x v="4"/>
    <s v="Online"/>
    <s v="Debit Card"/>
    <s v="Critical"/>
    <n v="7"/>
    <n v="1210"/>
    <n v="15"/>
    <n v="7199.5"/>
    <n v="-205.58"/>
  </r>
  <r>
    <s v="Chennai"/>
    <s v="CUST1026"/>
    <s v="Home Office"/>
    <s v="Office Supplies"/>
    <s v="Mobile"/>
    <x v="99"/>
    <x v="4"/>
    <s v="Online"/>
    <s v="Cash"/>
    <s v="Critical"/>
    <n v="8"/>
    <n v="34958"/>
    <n v="5"/>
    <n v="265680.8"/>
    <n v="46970.25"/>
  </r>
  <r>
    <s v="Chennai"/>
    <s v="CUST9872"/>
    <s v="Home Office"/>
    <s v="Office Supplies"/>
    <s v="Table"/>
    <x v="101"/>
    <x v="1"/>
    <s v="Online"/>
    <s v="Net Banking"/>
    <s v="Medium"/>
    <n v="3"/>
    <n v="32855"/>
    <n v="20"/>
    <n v="78852"/>
    <n v="-5424.75"/>
  </r>
  <r>
    <s v="Ahmedabad"/>
    <s v="CUST1559"/>
    <s v="Home Office"/>
    <s v="Office Supplies"/>
    <s v="Mobile"/>
    <x v="155"/>
    <x v="4"/>
    <s v="Online"/>
    <s v="Net Banking"/>
    <s v="High"/>
    <n v="7"/>
    <n v="38505"/>
    <n v="20"/>
    <n v="215628"/>
    <n v="-29139.05"/>
  </r>
  <r>
    <s v="Mumbai"/>
    <s v="CUST3153"/>
    <s v="Consumer"/>
    <s v="Electronics"/>
    <s v="Table"/>
    <x v="53"/>
    <x v="3"/>
    <s v="Offline"/>
    <s v="Debit Card"/>
    <s v="High"/>
    <n v="7"/>
    <n v="48188"/>
    <n v="20"/>
    <n v="269852.79999999999"/>
    <n v="995.06"/>
  </r>
  <r>
    <s v="Chennai"/>
    <s v="CUST2339"/>
    <s v="Consumer"/>
    <s v="Electronics"/>
    <s v="Laptop"/>
    <x v="141"/>
    <x v="1"/>
    <s v="Online"/>
    <s v="Cash"/>
    <s v="Low"/>
    <n v="1"/>
    <n v="45800"/>
    <n v="0"/>
    <n v="45800"/>
    <n v="9670.18"/>
  </r>
  <r>
    <s v="Delhi"/>
    <s v="CUST2350"/>
    <s v="Corporate"/>
    <s v="Electronics"/>
    <s v="Chair"/>
    <x v="33"/>
    <x v="5"/>
    <s v="Online"/>
    <s v="Net Banking"/>
    <s v="Low"/>
    <n v="4"/>
    <n v="8692"/>
    <n v="0"/>
    <n v="34768"/>
    <n v="6970.71"/>
  </r>
  <r>
    <s v="Delhi"/>
    <s v="CUST5658"/>
    <s v="Corporate"/>
    <s v="Electronics"/>
    <s v="Storage"/>
    <x v="55"/>
    <x v="4"/>
    <s v="Online"/>
    <s v="Cash"/>
    <s v="Medium"/>
    <n v="10"/>
    <n v="35801"/>
    <n v="10"/>
    <n v="322209"/>
    <n v="-4477.54"/>
  </r>
  <r>
    <s v="Ahmedabad"/>
    <s v="CUST5375"/>
    <s v="Corporate"/>
    <s v="Electronics"/>
    <s v="Printer"/>
    <x v="159"/>
    <x v="2"/>
    <s v="Offline"/>
    <s v="Net Banking"/>
    <s v="Medium"/>
    <n v="3"/>
    <n v="3974"/>
    <n v="0"/>
    <n v="11922"/>
    <n v="3498.04"/>
  </r>
  <r>
    <s v="Bangalore"/>
    <s v="CUST1175"/>
    <s v="Corporate"/>
    <s v="Electronics"/>
    <s v="Storage"/>
    <x v="171"/>
    <x v="2"/>
    <s v="Online"/>
    <s v="Net Banking"/>
    <s v="Medium"/>
    <n v="9"/>
    <n v="27287"/>
    <n v="10"/>
    <n v="221024.7"/>
    <n v="27018.3"/>
  </r>
  <r>
    <s v="Chennai"/>
    <s v="CUST2914"/>
    <s v="Home Office"/>
    <s v="Office Supplies"/>
    <s v="Chair"/>
    <x v="172"/>
    <x v="3"/>
    <s v="Offline"/>
    <s v="Cash"/>
    <s v="Low"/>
    <n v="5"/>
    <n v="744"/>
    <n v="15"/>
    <n v="3162"/>
    <n v="-176.44"/>
  </r>
  <r>
    <s v="Chennai"/>
    <s v="CUST8936"/>
    <s v="Corporate"/>
    <s v="Electronics"/>
    <s v="Table"/>
    <x v="156"/>
    <x v="5"/>
    <s v="Offline"/>
    <s v="UPI"/>
    <s v="Low"/>
    <n v="4"/>
    <n v="30338"/>
    <n v="20"/>
    <n v="97081.600000000006"/>
    <n v="2313.63"/>
  </r>
  <r>
    <s v="Bangalore"/>
    <s v="CUST9358"/>
    <s v="Corporate"/>
    <s v="Office Supplies"/>
    <s v="Laptop"/>
    <x v="36"/>
    <x v="3"/>
    <s v="Offline"/>
    <s v="Net Banking"/>
    <s v="Low"/>
    <n v="9"/>
    <n v="23200"/>
    <n v="20"/>
    <n v="167040"/>
    <n v="3872.7"/>
  </r>
  <r>
    <s v="Mumbai"/>
    <s v="CUST3802"/>
    <s v="Corporate"/>
    <s v="Office Supplies"/>
    <s v="Mobile"/>
    <x v="89"/>
    <x v="3"/>
    <s v="Online"/>
    <s v="Net Banking"/>
    <s v="Critical"/>
    <n v="10"/>
    <n v="17220"/>
    <n v="10"/>
    <n v="154980"/>
    <n v="3905.79"/>
  </r>
  <r>
    <s v="Delhi"/>
    <s v="CUST3312"/>
    <s v="Corporate"/>
    <s v="Furniture"/>
    <s v="Chair"/>
    <x v="110"/>
    <x v="4"/>
    <s v="Offline"/>
    <s v="Net Banking"/>
    <s v="High"/>
    <n v="5"/>
    <n v="7131"/>
    <n v="10"/>
    <n v="32089.5"/>
    <n v="177.6"/>
  </r>
  <r>
    <s v="Bangalore"/>
    <s v="CUST9600"/>
    <s v="Corporate"/>
    <s v="Office Supplies"/>
    <s v="Storage"/>
    <x v="49"/>
    <x v="5"/>
    <s v="Online"/>
    <s v="Net Banking"/>
    <s v="Critical"/>
    <n v="1"/>
    <n v="1212"/>
    <n v="15"/>
    <n v="1030.2"/>
    <n v="152.72999999999999"/>
  </r>
  <r>
    <s v="Bangalore"/>
    <s v="CUST1565"/>
    <s v="Corporate"/>
    <s v="Electronics"/>
    <s v="Printer"/>
    <x v="170"/>
    <x v="5"/>
    <s v="Online"/>
    <s v="UPI"/>
    <s v="Low"/>
    <n v="10"/>
    <n v="26555"/>
    <n v="15"/>
    <n v="225717.5"/>
    <n v="10196.459999999999"/>
  </r>
  <r>
    <s v="Bangalore"/>
    <s v="CUST5606"/>
    <s v="Corporate"/>
    <s v="Office Supplies"/>
    <s v="Table"/>
    <x v="7"/>
    <x v="3"/>
    <s v="Offline"/>
    <s v="Cash"/>
    <s v="High"/>
    <n v="8"/>
    <n v="41393"/>
    <n v="20"/>
    <n v="264915.20000000001"/>
    <n v="-31916.6"/>
  </r>
  <r>
    <s v="Delhi"/>
    <s v="CUST2622"/>
    <s v="Home Office"/>
    <s v="Office Supplies"/>
    <s v="Laptop"/>
    <x v="35"/>
    <x v="0"/>
    <s v="Offline"/>
    <s v="Debit Card"/>
    <s v="High"/>
    <n v="4"/>
    <n v="31385"/>
    <n v="10"/>
    <n v="112986"/>
    <n v="3173.18"/>
  </r>
  <r>
    <s v="Delhi"/>
    <s v="CUST9352"/>
    <s v="Corporate"/>
    <s v="Electronics"/>
    <s v="Storage"/>
    <x v="173"/>
    <x v="5"/>
    <s v="Online"/>
    <s v="Debit Card"/>
    <s v="Low"/>
    <n v="9"/>
    <n v="41757"/>
    <n v="5"/>
    <n v="357022.35"/>
    <n v="13218.62"/>
  </r>
  <r>
    <s v="Ahmedabad"/>
    <s v="CUST7014"/>
    <s v="Corporate"/>
    <s v="Office Supplies"/>
    <s v="Printer"/>
    <x v="13"/>
    <x v="2"/>
    <s v="Offline"/>
    <s v="Cash"/>
    <s v="Low"/>
    <n v="8"/>
    <n v="42306"/>
    <n v="15"/>
    <n v="287680.8"/>
    <n v="13968.97"/>
  </r>
  <r>
    <s v="Bangalore"/>
    <s v="CUST5231"/>
    <s v="Home Office"/>
    <s v="Furniture"/>
    <s v="Table"/>
    <x v="62"/>
    <x v="3"/>
    <s v="Online"/>
    <s v="Credit Card"/>
    <s v="Medium"/>
    <n v="5"/>
    <n v="41478"/>
    <n v="0"/>
    <n v="207390"/>
    <n v="16784.060000000001"/>
  </r>
  <r>
    <s v="Delhi"/>
    <s v="CUST8246"/>
    <s v="Corporate"/>
    <s v="Electronics"/>
    <s v="Mobile"/>
    <x v="153"/>
    <x v="4"/>
    <s v="Online"/>
    <s v="Debit Card"/>
    <s v="High"/>
    <n v="6"/>
    <n v="19620"/>
    <n v="20"/>
    <n v="94176"/>
    <n v="818.64"/>
  </r>
  <r>
    <s v="Bangalore"/>
    <s v="CUST9084"/>
    <s v="Consumer"/>
    <s v="Furniture"/>
    <s v="Printer"/>
    <x v="148"/>
    <x v="2"/>
    <s v="Online"/>
    <s v="Credit Card"/>
    <s v="Medium"/>
    <n v="4"/>
    <n v="34764"/>
    <n v="10"/>
    <n v="125150.39999999999"/>
    <n v="7704.73"/>
  </r>
  <r>
    <s v="Delhi"/>
    <s v="CUST2058"/>
    <s v="Consumer"/>
    <s v="Office Supplies"/>
    <s v="Mobile"/>
    <x v="113"/>
    <x v="2"/>
    <s v="Offline"/>
    <s v="Debit Card"/>
    <s v="Critical"/>
    <n v="8"/>
    <n v="43685"/>
    <n v="15"/>
    <n v="297058"/>
    <n v="30804.799999999999"/>
  </r>
  <r>
    <s v="Bangalore"/>
    <s v="CUST6970"/>
    <s v="Consumer"/>
    <s v="Office Supplies"/>
    <s v="Storage"/>
    <x v="147"/>
    <x v="1"/>
    <s v="Online"/>
    <s v="Cash"/>
    <s v="Low"/>
    <n v="10"/>
    <n v="5881"/>
    <n v="20"/>
    <n v="47048"/>
    <n v="1138.97"/>
  </r>
  <r>
    <s v="Chennai"/>
    <s v="CUST4556"/>
    <s v="Corporate"/>
    <s v="Electronics"/>
    <s v="Mobile"/>
    <x v="122"/>
    <x v="2"/>
    <s v="Offline"/>
    <s v="Net Banking"/>
    <s v="High"/>
    <n v="9"/>
    <n v="18053"/>
    <n v="0"/>
    <n v="162477"/>
    <n v="9170.6200000000008"/>
  </r>
  <r>
    <s v="Ahmedabad"/>
    <s v="CUST4138"/>
    <s v="Home Office"/>
    <s v="Furniture"/>
    <s v="Chair"/>
    <x v="99"/>
    <x v="5"/>
    <s v="Online"/>
    <s v="Net Banking"/>
    <s v="Low"/>
    <n v="4"/>
    <n v="43407"/>
    <n v="20"/>
    <n v="138902.39999999999"/>
    <n v="9793.7999999999993"/>
  </r>
  <r>
    <s v="Chennai"/>
    <s v="CUST6333"/>
    <s v="Consumer"/>
    <s v="Electronics"/>
    <s v="Laptop"/>
    <x v="83"/>
    <x v="5"/>
    <s v="Offline"/>
    <s v="Cash"/>
    <s v="Critical"/>
    <n v="5"/>
    <n v="45720"/>
    <n v="5"/>
    <n v="217170"/>
    <n v="11272.93"/>
  </r>
  <r>
    <s v="Bangalore"/>
    <s v="CUST8945"/>
    <s v="Home Office"/>
    <s v="Furniture"/>
    <s v="Printer"/>
    <x v="165"/>
    <x v="4"/>
    <s v="Offline"/>
    <s v="Cash"/>
    <s v="Low"/>
    <n v="1"/>
    <n v="8311"/>
    <n v="0"/>
    <n v="8311"/>
    <n v="661.48"/>
  </r>
  <r>
    <s v="Chennai"/>
    <s v="CUST4283"/>
    <s v="Consumer"/>
    <s v="Office Supplies"/>
    <s v="Table"/>
    <x v="171"/>
    <x v="4"/>
    <s v="Online"/>
    <s v="Cash"/>
    <s v="Medium"/>
    <n v="7"/>
    <n v="19423"/>
    <n v="10"/>
    <n v="122364.9"/>
    <n v="26218.6"/>
  </r>
  <r>
    <s v="Ahmedabad"/>
    <s v="CUST1830"/>
    <s v="Home Office"/>
    <s v="Office Supplies"/>
    <s v="Laptop"/>
    <x v="135"/>
    <x v="5"/>
    <s v="Offline"/>
    <s v="Debit Card"/>
    <s v="Low"/>
    <n v="8"/>
    <n v="37470"/>
    <n v="0"/>
    <n v="299760"/>
    <n v="69250.149999999994"/>
  </r>
  <r>
    <s v="Bangalore"/>
    <s v="CUST6069"/>
    <s v="Consumer"/>
    <s v="Electronics"/>
    <s v="Mobile"/>
    <x v="7"/>
    <x v="2"/>
    <s v="Online"/>
    <s v="Debit Card"/>
    <s v="Critical"/>
    <n v="1"/>
    <n v="32871"/>
    <n v="20"/>
    <n v="26296.799999999999"/>
    <n v="-4881.95"/>
  </r>
  <r>
    <s v="Delhi"/>
    <s v="CUST5354"/>
    <s v="Corporate"/>
    <s v="Electronics"/>
    <s v="Chair"/>
    <x v="2"/>
    <x v="4"/>
    <s v="Offline"/>
    <s v="UPI"/>
    <s v="Low"/>
    <n v="2"/>
    <n v="20407"/>
    <n v="5"/>
    <n v="38773.300000000003"/>
    <n v="5009.47"/>
  </r>
  <r>
    <s v="Delhi"/>
    <s v="CUST5114"/>
    <s v="Home Office"/>
    <s v="Furniture"/>
    <s v="Storage"/>
    <x v="154"/>
    <x v="0"/>
    <s v="Online"/>
    <s v="Debit Card"/>
    <s v="Medium"/>
    <n v="6"/>
    <n v="19414"/>
    <n v="15"/>
    <n v="99011.4"/>
    <n v="-1083.06"/>
  </r>
  <r>
    <s v="Delhi"/>
    <s v="CUST8764"/>
    <s v="Consumer"/>
    <s v="Furniture"/>
    <s v="Chair"/>
    <x v="78"/>
    <x v="4"/>
    <s v="Online"/>
    <s v="Debit Card"/>
    <s v="Medium"/>
    <n v="3"/>
    <n v="20378"/>
    <n v="0"/>
    <n v="61134"/>
    <n v="12962.17"/>
  </r>
  <r>
    <s v="Delhi"/>
    <s v="CUST4585"/>
    <s v="Consumer"/>
    <s v="Office Supplies"/>
    <s v="Storage"/>
    <x v="63"/>
    <x v="2"/>
    <s v="Online"/>
    <s v="Debit Card"/>
    <s v="Critical"/>
    <n v="10"/>
    <n v="48923"/>
    <n v="10"/>
    <n v="440307"/>
    <n v="60472.24"/>
  </r>
  <r>
    <s v="Delhi"/>
    <s v="CUST2728"/>
    <s v="Corporate"/>
    <s v="Furniture"/>
    <s v="Chair"/>
    <x v="174"/>
    <x v="1"/>
    <s v="Offline"/>
    <s v="Cash"/>
    <s v="Critical"/>
    <n v="6"/>
    <n v="41653"/>
    <n v="20"/>
    <n v="199934.4"/>
    <n v="-15916.08"/>
  </r>
  <r>
    <s v="Ahmedabad"/>
    <s v="CUST3836"/>
    <s v="Corporate"/>
    <s v="Furniture"/>
    <s v="Table"/>
    <x v="167"/>
    <x v="1"/>
    <s v="Offline"/>
    <s v="Debit Card"/>
    <s v="Medium"/>
    <n v="5"/>
    <n v="7436"/>
    <n v="10"/>
    <n v="33462"/>
    <n v="1014.43"/>
  </r>
  <r>
    <s v="Ahmedabad"/>
    <s v="CUST9899"/>
    <s v="Consumer"/>
    <s v="Electronics"/>
    <s v="Table"/>
    <x v="85"/>
    <x v="3"/>
    <s v="Offline"/>
    <s v="Credit Card"/>
    <s v="High"/>
    <n v="7"/>
    <n v="46419"/>
    <n v="20"/>
    <n v="259946.4"/>
    <n v="-36199.769999999997"/>
  </r>
  <r>
    <s v="Delhi"/>
    <s v="CUST4204"/>
    <s v="Corporate"/>
    <s v="Office Supplies"/>
    <s v="Mobile"/>
    <x v="43"/>
    <x v="3"/>
    <s v="Offline"/>
    <s v="Cash"/>
    <s v="Medium"/>
    <n v="2"/>
    <n v="29024"/>
    <n v="15"/>
    <n v="49340.800000000003"/>
    <n v="-3150.76"/>
  </r>
  <r>
    <s v="Delhi"/>
    <s v="CUST7931"/>
    <s v="Corporate"/>
    <s v="Furniture"/>
    <s v="Table"/>
    <x v="56"/>
    <x v="3"/>
    <s v="Offline"/>
    <s v="UPI"/>
    <s v="Critical"/>
    <n v="7"/>
    <n v="23493"/>
    <n v="10"/>
    <n v="148005.9"/>
    <n v="25287.31"/>
  </r>
  <r>
    <s v="Chennai"/>
    <s v="CUST7225"/>
    <s v="Home Office"/>
    <s v="Office Supplies"/>
    <s v="Table"/>
    <x v="69"/>
    <x v="0"/>
    <s v="Online"/>
    <s v="Debit Card"/>
    <s v="High"/>
    <n v="10"/>
    <n v="25424"/>
    <n v="15"/>
    <n v="216104"/>
    <n v="37171.61"/>
  </r>
  <r>
    <s v="Ahmedabad"/>
    <s v="CUST2664"/>
    <s v="Consumer"/>
    <s v="Office Supplies"/>
    <s v="Chair"/>
    <x v="11"/>
    <x v="3"/>
    <s v="Offline"/>
    <s v="Debit Card"/>
    <s v="Critical"/>
    <n v="9"/>
    <n v="21839"/>
    <n v="20"/>
    <n v="157240.79999999999"/>
    <n v="14693.51"/>
  </r>
  <r>
    <s v="Bangalore"/>
    <s v="CUST2574"/>
    <s v="Corporate"/>
    <s v="Office Supplies"/>
    <s v="Laptop"/>
    <x v="87"/>
    <x v="0"/>
    <s v="Offline"/>
    <s v="Net Banking"/>
    <s v="Low"/>
    <n v="7"/>
    <n v="14106"/>
    <n v="15"/>
    <n v="83930.7"/>
    <n v="-700.05"/>
  </r>
  <r>
    <s v="Delhi"/>
    <s v="CUST8101"/>
    <s v="Consumer"/>
    <s v="Office Supplies"/>
    <s v="Laptop"/>
    <x v="166"/>
    <x v="5"/>
    <s v="Offline"/>
    <s v="Credit Card"/>
    <s v="Low"/>
    <n v="7"/>
    <n v="24049"/>
    <n v="15"/>
    <n v="143091.54999999999"/>
    <n v="-10161.85"/>
  </r>
  <r>
    <s v="Chennai"/>
    <s v="CUST8913"/>
    <s v="Home Office"/>
    <s v="Furniture"/>
    <s v="Table"/>
    <x v="175"/>
    <x v="3"/>
    <s v="Online"/>
    <s v="Net Banking"/>
    <s v="Low"/>
    <n v="10"/>
    <n v="6574"/>
    <n v="0"/>
    <n v="65740"/>
    <n v="6091.17"/>
  </r>
  <r>
    <s v="Chennai"/>
    <s v="CUST3922"/>
    <s v="Corporate"/>
    <s v="Furniture"/>
    <s v="Laptop"/>
    <x v="99"/>
    <x v="0"/>
    <s v="Online"/>
    <s v="Credit Card"/>
    <s v="Medium"/>
    <n v="8"/>
    <n v="12083"/>
    <n v="15"/>
    <n v="82164.399999999994"/>
    <n v="8753.0499999999993"/>
  </r>
  <r>
    <s v="Mumbai"/>
    <s v="CUST5866"/>
    <s v="Consumer"/>
    <s v="Office Supplies"/>
    <s v="Table"/>
    <x v="71"/>
    <x v="4"/>
    <s v="Online"/>
    <s v="Credit Card"/>
    <s v="High"/>
    <n v="4"/>
    <n v="34623"/>
    <n v="15"/>
    <n v="117718.2"/>
    <n v="-10072.969999999999"/>
  </r>
  <r>
    <s v="Ahmedabad"/>
    <s v="CUST6486"/>
    <s v="Home Office"/>
    <s v="Electronics"/>
    <s v="Laptop"/>
    <x v="102"/>
    <x v="3"/>
    <s v="Offline"/>
    <s v="Net Banking"/>
    <s v="High"/>
    <n v="5"/>
    <n v="44059"/>
    <n v="0"/>
    <n v="220295"/>
    <n v="63662.879999999997"/>
  </r>
  <r>
    <s v="Delhi"/>
    <s v="CUST9102"/>
    <s v="Consumer"/>
    <s v="Electronics"/>
    <s v="Chair"/>
    <x v="174"/>
    <x v="3"/>
    <s v="Online"/>
    <s v="Credit Card"/>
    <s v="Low"/>
    <n v="7"/>
    <n v="46718"/>
    <n v="5"/>
    <n v="310674.7"/>
    <n v="8676.36"/>
  </r>
  <r>
    <s v="Mumbai"/>
    <s v="CUST3044"/>
    <s v="Corporate"/>
    <s v="Electronics"/>
    <s v="Chair"/>
    <x v="176"/>
    <x v="3"/>
    <s v="Offline"/>
    <s v="Credit Card"/>
    <s v="Medium"/>
    <n v="5"/>
    <n v="17360"/>
    <n v="15"/>
    <n v="73780"/>
    <n v="11795.02"/>
  </r>
  <r>
    <s v="Delhi"/>
    <s v="CUST5442"/>
    <s v="Consumer"/>
    <s v="Furniture"/>
    <s v="Storage"/>
    <x v="60"/>
    <x v="0"/>
    <s v="Online"/>
    <s v="Net Banking"/>
    <s v="High"/>
    <n v="5"/>
    <n v="13673"/>
    <n v="15"/>
    <n v="58110.25"/>
    <n v="3784.94"/>
  </r>
  <r>
    <s v="Bangalore"/>
    <s v="CUST8042"/>
    <s v="Corporate"/>
    <s v="Office Supplies"/>
    <s v="Chair"/>
    <x v="87"/>
    <x v="2"/>
    <s v="Online"/>
    <s v="Net Banking"/>
    <s v="Low"/>
    <n v="1"/>
    <n v="7768"/>
    <n v="5"/>
    <n v="7379.6"/>
    <n v="504.53"/>
  </r>
  <r>
    <s v="Delhi"/>
    <s v="CUST3449"/>
    <s v="Corporate"/>
    <s v="Electronics"/>
    <s v="Mobile"/>
    <x v="103"/>
    <x v="4"/>
    <s v="Online"/>
    <s v="UPI"/>
    <s v="Low"/>
    <n v="1"/>
    <n v="15147"/>
    <n v="0"/>
    <n v="15147"/>
    <n v="1058.8"/>
  </r>
  <r>
    <s v="Ahmedabad"/>
    <s v="CUST9123"/>
    <s v="Home Office"/>
    <s v="Office Supplies"/>
    <s v="Chair"/>
    <x v="102"/>
    <x v="2"/>
    <s v="Online"/>
    <s v="Cash"/>
    <s v="Critical"/>
    <n v="6"/>
    <n v="2037"/>
    <n v="15"/>
    <n v="10388.700000000001"/>
    <n v="1449.86"/>
  </r>
  <r>
    <s v="Ahmedabad"/>
    <s v="CUST2526"/>
    <s v="Consumer"/>
    <s v="Office Supplies"/>
    <s v="Printer"/>
    <x v="72"/>
    <x v="2"/>
    <s v="Online"/>
    <s v="Net Banking"/>
    <s v="Medium"/>
    <n v="9"/>
    <n v="1451"/>
    <n v="0"/>
    <n v="13059"/>
    <n v="1825.11"/>
  </r>
  <r>
    <s v="Chennai"/>
    <s v="CUST1414"/>
    <s v="Home Office"/>
    <s v="Furniture"/>
    <s v="Printer"/>
    <x v="176"/>
    <x v="2"/>
    <s v="Online"/>
    <s v="Credit Card"/>
    <s v="High"/>
    <n v="1"/>
    <n v="25410"/>
    <n v="5"/>
    <n v="24139.5"/>
    <n v="1270.3"/>
  </r>
  <r>
    <s v="Chennai"/>
    <s v="CUST5685"/>
    <s v="Consumer"/>
    <s v="Furniture"/>
    <s v="Chair"/>
    <x v="82"/>
    <x v="2"/>
    <s v="Offline"/>
    <s v="Net Banking"/>
    <s v="High"/>
    <n v="3"/>
    <n v="39750"/>
    <n v="20"/>
    <n v="95400"/>
    <n v="6741.01"/>
  </r>
  <r>
    <s v="Chennai"/>
    <s v="CUST3121"/>
    <s v="Consumer"/>
    <s v="Electronics"/>
    <s v="Storage"/>
    <x v="132"/>
    <x v="5"/>
    <s v="Online"/>
    <s v="Net Banking"/>
    <s v="Critical"/>
    <n v="5"/>
    <n v="14122"/>
    <n v="5"/>
    <n v="67079.5"/>
    <n v="10085.17"/>
  </r>
  <r>
    <s v="Mumbai"/>
    <s v="CUST4886"/>
    <s v="Corporate"/>
    <s v="Electronics"/>
    <s v="Chair"/>
    <x v="177"/>
    <x v="2"/>
    <s v="Offline"/>
    <s v="Debit Card"/>
    <s v="Medium"/>
    <n v="10"/>
    <n v="33890"/>
    <n v="5"/>
    <n v="321955"/>
    <n v="63068.54"/>
  </r>
  <r>
    <s v="Delhi"/>
    <s v="CUST4018"/>
    <s v="Corporate"/>
    <s v="Electronics"/>
    <s v="Table"/>
    <x v="92"/>
    <x v="3"/>
    <s v="Online"/>
    <s v="Net Banking"/>
    <s v="Low"/>
    <n v="1"/>
    <n v="39839"/>
    <n v="15"/>
    <n v="33863.15"/>
    <n v="531.88"/>
  </r>
  <r>
    <s v="Ahmedabad"/>
    <s v="CUST8344"/>
    <s v="Consumer"/>
    <s v="Electronics"/>
    <s v="Mobile"/>
    <x v="5"/>
    <x v="3"/>
    <s v="Offline"/>
    <s v="Credit Card"/>
    <s v="Low"/>
    <n v="6"/>
    <n v="21515"/>
    <n v="0"/>
    <n v="129090"/>
    <n v="27462.69"/>
  </r>
  <r>
    <s v="Ahmedabad"/>
    <s v="CUST2473"/>
    <s v="Consumer"/>
    <s v="Electronics"/>
    <s v="Printer"/>
    <x v="78"/>
    <x v="0"/>
    <s v="Offline"/>
    <s v="UPI"/>
    <s v="Medium"/>
    <n v="9"/>
    <n v="36574"/>
    <n v="0"/>
    <n v="329166"/>
    <n v="83800.13"/>
  </r>
  <r>
    <s v="Chennai"/>
    <s v="CUST7176"/>
    <s v="Corporate"/>
    <s v="Furniture"/>
    <s v="Laptop"/>
    <x v="90"/>
    <x v="2"/>
    <s v="Online"/>
    <s v="Cash"/>
    <s v="Medium"/>
    <n v="8"/>
    <n v="23232"/>
    <n v="10"/>
    <n v="167270.39999999999"/>
    <n v="-626.05999999999995"/>
  </r>
  <r>
    <s v="Chennai"/>
    <s v="CUST4980"/>
    <s v="Home Office"/>
    <s v="Office Supplies"/>
    <s v="Laptop"/>
    <x v="174"/>
    <x v="2"/>
    <s v="Offline"/>
    <s v="UPI"/>
    <s v="Critical"/>
    <n v="9"/>
    <n v="29959"/>
    <n v="10"/>
    <n v="242667.9"/>
    <n v="26426.15"/>
  </r>
  <r>
    <s v="Mumbai"/>
    <s v="CUST1761"/>
    <s v="Consumer"/>
    <s v="Office Supplies"/>
    <s v="Printer"/>
    <x v="10"/>
    <x v="3"/>
    <s v="Offline"/>
    <s v="Cash"/>
    <s v="Medium"/>
    <n v="7"/>
    <n v="37700"/>
    <n v="0"/>
    <n v="263900"/>
    <n v="78778.61"/>
  </r>
  <r>
    <s v="Ahmedabad"/>
    <s v="CUST3816"/>
    <s v="Corporate"/>
    <s v="Office Supplies"/>
    <s v="Laptop"/>
    <x v="23"/>
    <x v="4"/>
    <s v="Online"/>
    <s v="Net Banking"/>
    <s v="High"/>
    <n v="8"/>
    <n v="31636"/>
    <n v="15"/>
    <n v="215124.8"/>
    <n v="2236.39"/>
  </r>
  <r>
    <s v="Chennai"/>
    <s v="CUST3058"/>
    <s v="Home Office"/>
    <s v="Furniture"/>
    <s v="Storage"/>
    <x v="130"/>
    <x v="5"/>
    <s v="Online"/>
    <s v="Debit Card"/>
    <s v="Low"/>
    <n v="10"/>
    <n v="27682"/>
    <n v="5"/>
    <n v="262979"/>
    <n v="8739.2999999999993"/>
  </r>
  <r>
    <s v="Ahmedabad"/>
    <s v="CUST9958"/>
    <s v="Corporate"/>
    <s v="Office Supplies"/>
    <s v="Table"/>
    <x v="98"/>
    <x v="3"/>
    <s v="Offline"/>
    <s v="UPI"/>
    <s v="High"/>
    <n v="1"/>
    <n v="23102"/>
    <n v="5"/>
    <n v="21946.9"/>
    <n v="2592.36"/>
  </r>
  <r>
    <s v="Chennai"/>
    <s v="CUST3724"/>
    <s v="Corporate"/>
    <s v="Electronics"/>
    <s v="Printer"/>
    <x v="93"/>
    <x v="5"/>
    <s v="Online"/>
    <s v="Cash"/>
    <s v="High"/>
    <n v="9"/>
    <n v="12616"/>
    <n v="10"/>
    <n v="102189.6"/>
    <n v="12142.21"/>
  </r>
  <r>
    <s v="Mumbai"/>
    <s v="CUST4177"/>
    <s v="Consumer"/>
    <s v="Furniture"/>
    <s v="Printer"/>
    <x v="0"/>
    <x v="1"/>
    <s v="Online"/>
    <s v="Net Banking"/>
    <s v="Critical"/>
    <n v="10"/>
    <n v="7662"/>
    <n v="20"/>
    <n v="61296"/>
    <n v="-4343.13"/>
  </r>
  <r>
    <s v="Ahmedabad"/>
    <s v="CUST4130"/>
    <s v="Consumer"/>
    <s v="Electronics"/>
    <s v="Laptop"/>
    <x v="172"/>
    <x v="1"/>
    <s v="Offline"/>
    <s v="Cash"/>
    <s v="Critical"/>
    <n v="1"/>
    <n v="9008"/>
    <n v="0"/>
    <n v="9008"/>
    <n v="1804.77"/>
  </r>
  <r>
    <s v="Mumbai"/>
    <s v="CUST1692"/>
    <s v="Corporate"/>
    <s v="Electronics"/>
    <s v="Chair"/>
    <x v="178"/>
    <x v="3"/>
    <s v="Offline"/>
    <s v="UPI"/>
    <s v="Medium"/>
    <n v="8"/>
    <n v="16289"/>
    <n v="0"/>
    <n v="130312"/>
    <n v="25093.39"/>
  </r>
  <r>
    <s v="Ahmedabad"/>
    <s v="CUST8056"/>
    <s v="Corporate"/>
    <s v="Electronics"/>
    <s v="Chair"/>
    <x v="10"/>
    <x v="1"/>
    <s v="Offline"/>
    <s v="Debit Card"/>
    <s v="Critical"/>
    <n v="3"/>
    <n v="7420"/>
    <n v="15"/>
    <n v="18921"/>
    <n v="1808.29"/>
  </r>
  <r>
    <s v="Ahmedabad"/>
    <s v="CUST2567"/>
    <s v="Home Office"/>
    <s v="Office Supplies"/>
    <s v="Chair"/>
    <x v="149"/>
    <x v="2"/>
    <s v="Online"/>
    <s v="Cash"/>
    <s v="Medium"/>
    <n v="1"/>
    <n v="36553"/>
    <n v="10"/>
    <n v="32897.699999999997"/>
    <n v="3924.32"/>
  </r>
  <r>
    <s v="Mumbai"/>
    <s v="CUST7184"/>
    <s v="Home Office"/>
    <s v="Furniture"/>
    <s v="Chair"/>
    <x v="17"/>
    <x v="3"/>
    <s v="Offline"/>
    <s v="Cash"/>
    <s v="Medium"/>
    <n v="8"/>
    <n v="9384"/>
    <n v="20"/>
    <n v="60057.599999999999"/>
    <n v="-2492.02"/>
  </r>
  <r>
    <s v="Bangalore"/>
    <s v="CUST6581"/>
    <s v="Home Office"/>
    <s v="Office Supplies"/>
    <s v="Storage"/>
    <x v="81"/>
    <x v="2"/>
    <s v="Offline"/>
    <s v="UPI"/>
    <s v="Low"/>
    <n v="9"/>
    <n v="18198"/>
    <n v="10"/>
    <n v="147403.79999999999"/>
    <n v="6419.06"/>
  </r>
  <r>
    <s v="Ahmedabad"/>
    <s v="CUST8815"/>
    <s v="Consumer"/>
    <s v="Office Supplies"/>
    <s v="Storage"/>
    <x v="174"/>
    <x v="1"/>
    <s v="Online"/>
    <s v="Debit Card"/>
    <s v="Low"/>
    <n v="9"/>
    <n v="16867"/>
    <n v="20"/>
    <n v="121442.4"/>
    <n v="-4139.91"/>
  </r>
  <r>
    <s v="Delhi"/>
    <s v="CUST1824"/>
    <s v="Consumer"/>
    <s v="Office Supplies"/>
    <s v="Chair"/>
    <x v="116"/>
    <x v="4"/>
    <s v="Online"/>
    <s v="Debit Card"/>
    <s v="Medium"/>
    <n v="1"/>
    <n v="1706"/>
    <n v="0"/>
    <n v="1706"/>
    <n v="489.86"/>
  </r>
  <r>
    <s v="Chennai"/>
    <s v="CUST8155"/>
    <s v="Home Office"/>
    <s v="Office Supplies"/>
    <s v="Chair"/>
    <x v="23"/>
    <x v="0"/>
    <s v="Offline"/>
    <s v="UPI"/>
    <s v="Critical"/>
    <n v="8"/>
    <n v="49040"/>
    <n v="15"/>
    <n v="333472"/>
    <n v="-35558.29"/>
  </r>
  <r>
    <s v="Mumbai"/>
    <s v="CUST6031"/>
    <s v="Consumer"/>
    <s v="Furniture"/>
    <s v="Chair"/>
    <x v="93"/>
    <x v="0"/>
    <s v="Offline"/>
    <s v="Credit Card"/>
    <s v="Critical"/>
    <n v="1"/>
    <n v="34946"/>
    <n v="5"/>
    <n v="33198.699999999997"/>
    <n v="1560.08"/>
  </r>
  <r>
    <s v="Ahmedabad"/>
    <s v="CUST7938"/>
    <s v="Corporate"/>
    <s v="Furniture"/>
    <s v="Mobile"/>
    <x v="95"/>
    <x v="5"/>
    <s v="Online"/>
    <s v="UPI"/>
    <s v="Medium"/>
    <n v="7"/>
    <n v="1804"/>
    <n v="10"/>
    <n v="11365.2"/>
    <n v="1240.4000000000001"/>
  </r>
  <r>
    <s v="Bangalore"/>
    <s v="CUST5409"/>
    <s v="Home Office"/>
    <s v="Furniture"/>
    <s v="Laptop"/>
    <x v="151"/>
    <x v="0"/>
    <s v="Offline"/>
    <s v="Net Banking"/>
    <s v="Critical"/>
    <n v="8"/>
    <n v="17327"/>
    <n v="10"/>
    <n v="124754.4"/>
    <n v="26941.89"/>
  </r>
  <r>
    <s v="Mumbai"/>
    <s v="CUST9882"/>
    <s v="Consumer"/>
    <s v="Furniture"/>
    <s v="Table"/>
    <x v="179"/>
    <x v="2"/>
    <s v="Offline"/>
    <s v="Cash"/>
    <s v="Medium"/>
    <n v="4"/>
    <n v="31096"/>
    <n v="20"/>
    <n v="99507.199999999997"/>
    <n v="11285.73"/>
  </r>
  <r>
    <s v="Ahmedabad"/>
    <s v="CUST6981"/>
    <s v="Consumer"/>
    <s v="Electronics"/>
    <s v="Laptop"/>
    <x v="19"/>
    <x v="2"/>
    <s v="Online"/>
    <s v="Cash"/>
    <s v="Critical"/>
    <n v="1"/>
    <n v="17712"/>
    <n v="20"/>
    <n v="14169.6"/>
    <n v="830.51"/>
  </r>
  <r>
    <s v="Ahmedabad"/>
    <s v="CUST8543"/>
    <s v="Home Office"/>
    <s v="Electronics"/>
    <s v="Table"/>
    <x v="180"/>
    <x v="5"/>
    <s v="Online"/>
    <s v="Debit Card"/>
    <s v="Critical"/>
    <n v="1"/>
    <n v="7147"/>
    <n v="20"/>
    <n v="5717.6"/>
    <n v="-773.57"/>
  </r>
  <r>
    <s v="Ahmedabad"/>
    <s v="CUST1252"/>
    <s v="Consumer"/>
    <s v="Electronics"/>
    <s v="Storage"/>
    <x v="22"/>
    <x v="2"/>
    <s v="Offline"/>
    <s v="UPI"/>
    <s v="High"/>
    <n v="5"/>
    <n v="22046"/>
    <n v="15"/>
    <n v="93695.5"/>
    <n v="5641.39"/>
  </r>
  <r>
    <s v="Ahmedabad"/>
    <s v="CUST1345"/>
    <s v="Home Office"/>
    <s v="Office Supplies"/>
    <s v="Laptop"/>
    <x v="119"/>
    <x v="0"/>
    <s v="Online"/>
    <s v="UPI"/>
    <s v="High"/>
    <n v="3"/>
    <n v="27514"/>
    <n v="15"/>
    <n v="70160.7"/>
    <n v="3346.57"/>
  </r>
  <r>
    <s v="Ahmedabad"/>
    <s v="CUST1996"/>
    <s v="Corporate"/>
    <s v="Furniture"/>
    <s v="Chair"/>
    <x v="85"/>
    <x v="2"/>
    <s v="Online"/>
    <s v="Cash"/>
    <s v="Critical"/>
    <n v="1"/>
    <n v="2705"/>
    <n v="5"/>
    <n v="2569.75"/>
    <n v="59.11"/>
  </r>
  <r>
    <s v="Mumbai"/>
    <s v="CUST3721"/>
    <s v="Home Office"/>
    <s v="Furniture"/>
    <s v="Chair"/>
    <x v="115"/>
    <x v="3"/>
    <s v="Online"/>
    <s v="Credit Card"/>
    <s v="Low"/>
    <n v="8"/>
    <n v="8351"/>
    <n v="20"/>
    <n v="53446.400000000001"/>
    <n v="-5357.41"/>
  </r>
  <r>
    <s v="Ahmedabad"/>
    <s v="CUST5875"/>
    <s v="Consumer"/>
    <s v="Electronics"/>
    <s v="Storage"/>
    <x v="35"/>
    <x v="5"/>
    <s v="Offline"/>
    <s v="UPI"/>
    <s v="Low"/>
    <n v="5"/>
    <n v="3157"/>
    <n v="10"/>
    <n v="14206.5"/>
    <n v="1155.99"/>
  </r>
  <r>
    <s v="Chennai"/>
    <s v="CUST8791"/>
    <s v="Corporate"/>
    <s v="Furniture"/>
    <s v="Table"/>
    <x v="181"/>
    <x v="5"/>
    <s v="Offline"/>
    <s v="Cash"/>
    <s v="Low"/>
    <n v="9"/>
    <n v="41895"/>
    <n v="0"/>
    <n v="377055"/>
    <n v="23982.71"/>
  </r>
  <r>
    <s v="Mumbai"/>
    <s v="CUST5696"/>
    <s v="Consumer"/>
    <s v="Office Supplies"/>
    <s v="Storage"/>
    <x v="76"/>
    <x v="4"/>
    <s v="Offline"/>
    <s v="UPI"/>
    <s v="Low"/>
    <n v="6"/>
    <n v="20327"/>
    <n v="0"/>
    <n v="121962"/>
    <n v="24160.31"/>
  </r>
  <r>
    <s v="Ahmedabad"/>
    <s v="CUST8690"/>
    <s v="Home Office"/>
    <s v="Furniture"/>
    <s v="Storage"/>
    <x v="160"/>
    <x v="2"/>
    <s v="Offline"/>
    <s v="Debit Card"/>
    <s v="Medium"/>
    <n v="5"/>
    <n v="17504"/>
    <n v="20"/>
    <n v="70016"/>
    <n v="-524.41999999999996"/>
  </r>
  <r>
    <s v="Delhi"/>
    <s v="CUST7217"/>
    <s v="Corporate"/>
    <s v="Office Supplies"/>
    <s v="Printer"/>
    <x v="56"/>
    <x v="3"/>
    <s v="Online"/>
    <s v="Cash"/>
    <s v="High"/>
    <n v="7"/>
    <n v="47748"/>
    <n v="10"/>
    <n v="300812.40000000002"/>
    <n v="51809.42"/>
  </r>
  <r>
    <s v="Chennai"/>
    <s v="CUST3870"/>
    <s v="Consumer"/>
    <s v="Electronics"/>
    <s v="Storage"/>
    <x v="119"/>
    <x v="0"/>
    <s v="Online"/>
    <s v="Cash"/>
    <s v="Low"/>
    <n v="6"/>
    <n v="16886"/>
    <n v="20"/>
    <n v="81052.800000000003"/>
    <n v="6792.07"/>
  </r>
  <r>
    <s v="Bangalore"/>
    <s v="CUST7543"/>
    <s v="Home Office"/>
    <s v="Electronics"/>
    <s v="Table"/>
    <x v="67"/>
    <x v="0"/>
    <s v="Offline"/>
    <s v="Credit Card"/>
    <s v="Medium"/>
    <n v="8"/>
    <n v="29149"/>
    <n v="20"/>
    <n v="186553.60000000001"/>
    <n v="-13254.55"/>
  </r>
  <r>
    <s v="Mumbai"/>
    <s v="CUST1646"/>
    <s v="Consumer"/>
    <s v="Office Supplies"/>
    <s v="Storage"/>
    <x v="148"/>
    <x v="1"/>
    <s v="Offline"/>
    <s v="Cash"/>
    <s v="Low"/>
    <n v="7"/>
    <n v="23991"/>
    <n v="5"/>
    <n v="159540.15"/>
    <n v="26798.42"/>
  </r>
  <r>
    <s v="Bangalore"/>
    <s v="CUST9576"/>
    <s v="Corporate"/>
    <s v="Electronics"/>
    <s v="Laptop"/>
    <x v="160"/>
    <x v="3"/>
    <s v="Offline"/>
    <s v="Cash"/>
    <s v="Critical"/>
    <n v="1"/>
    <n v="36702"/>
    <n v="20"/>
    <n v="29361.599999999999"/>
    <n v="2160.0300000000002"/>
  </r>
  <r>
    <s v="Delhi"/>
    <s v="CUST3957"/>
    <s v="Home Office"/>
    <s v="Office Supplies"/>
    <s v="Laptop"/>
    <x v="102"/>
    <x v="3"/>
    <s v="Online"/>
    <s v="UPI"/>
    <s v="High"/>
    <n v="8"/>
    <n v="19171"/>
    <n v="20"/>
    <n v="122694.39999999999"/>
    <n v="6518.37"/>
  </r>
  <r>
    <s v="Ahmedabad"/>
    <s v="CUST5029"/>
    <s v="Corporate"/>
    <s v="Electronics"/>
    <s v="Chair"/>
    <x v="36"/>
    <x v="4"/>
    <s v="Offline"/>
    <s v="Credit Card"/>
    <s v="Medium"/>
    <n v="7"/>
    <n v="18143"/>
    <n v="10"/>
    <n v="114300.9"/>
    <n v="15885.8"/>
  </r>
  <r>
    <s v="Delhi"/>
    <s v="CUST1081"/>
    <s v="Consumer"/>
    <s v="Furniture"/>
    <s v="Mobile"/>
    <x v="43"/>
    <x v="1"/>
    <s v="Offline"/>
    <s v="Net Banking"/>
    <s v="Medium"/>
    <n v="1"/>
    <n v="3673"/>
    <n v="15"/>
    <n v="3122.05"/>
    <n v="-140.34"/>
  </r>
  <r>
    <s v="Delhi"/>
    <s v="CUST9989"/>
    <s v="Consumer"/>
    <s v="Electronics"/>
    <s v="Mobile"/>
    <x v="43"/>
    <x v="0"/>
    <s v="Online"/>
    <s v="Credit Card"/>
    <s v="Medium"/>
    <n v="1"/>
    <n v="21229"/>
    <n v="10"/>
    <n v="19106.099999999999"/>
    <n v="3541.51"/>
  </r>
  <r>
    <s v="Bangalore"/>
    <s v="CUST5522"/>
    <s v="Corporate"/>
    <s v="Electronics"/>
    <s v="Storage"/>
    <x v="50"/>
    <x v="0"/>
    <s v="Online"/>
    <s v="UPI"/>
    <s v="Critical"/>
    <n v="7"/>
    <n v="21888"/>
    <n v="15"/>
    <n v="130233.60000000001"/>
    <n v="1446.95"/>
  </r>
  <r>
    <s v="Mumbai"/>
    <s v="CUST1008"/>
    <s v="Consumer"/>
    <s v="Furniture"/>
    <s v="Table"/>
    <x v="89"/>
    <x v="2"/>
    <s v="Offline"/>
    <s v="UPI"/>
    <s v="High"/>
    <n v="5"/>
    <n v="6679"/>
    <n v="0"/>
    <n v="33395"/>
    <n v="3615.08"/>
  </r>
  <r>
    <s v="Mumbai"/>
    <s v="CUST8250"/>
    <s v="Corporate"/>
    <s v="Electronics"/>
    <s v="Laptop"/>
    <x v="182"/>
    <x v="3"/>
    <s v="Offline"/>
    <s v="Cash"/>
    <s v="Low"/>
    <n v="4"/>
    <n v="31110"/>
    <n v="0"/>
    <n v="124440"/>
    <n v="27780.39"/>
  </r>
  <r>
    <s v="Chennai"/>
    <s v="CUST9720"/>
    <s v="Home Office"/>
    <s v="Office Supplies"/>
    <s v="Table"/>
    <x v="101"/>
    <x v="5"/>
    <s v="Offline"/>
    <s v="UPI"/>
    <s v="High"/>
    <n v="1"/>
    <n v="29936"/>
    <n v="10"/>
    <n v="26942.400000000001"/>
    <n v="836.28"/>
  </r>
  <r>
    <s v="Mumbai"/>
    <s v="CUST1645"/>
    <s v="Corporate"/>
    <s v="Electronics"/>
    <s v="Printer"/>
    <x v="18"/>
    <x v="1"/>
    <s v="Online"/>
    <s v="Cash"/>
    <s v="Low"/>
    <n v="3"/>
    <n v="23662"/>
    <n v="20"/>
    <n v="56788.800000000003"/>
    <n v="4326.6499999999996"/>
  </r>
  <r>
    <s v="Delhi"/>
    <s v="CUST1216"/>
    <s v="Consumer"/>
    <s v="Electronics"/>
    <s v="Printer"/>
    <x v="164"/>
    <x v="5"/>
    <s v="Offline"/>
    <s v="Credit Card"/>
    <s v="High"/>
    <n v="1"/>
    <n v="3587"/>
    <n v="10"/>
    <n v="3228.3"/>
    <n v="357.7"/>
  </r>
  <r>
    <s v="Chennai"/>
    <s v="CUST9615"/>
    <s v="Consumer"/>
    <s v="Electronics"/>
    <s v="Storage"/>
    <x v="164"/>
    <x v="5"/>
    <s v="Offline"/>
    <s v="Cash"/>
    <s v="Critical"/>
    <n v="2"/>
    <n v="22411"/>
    <n v="5"/>
    <n v="42580.9"/>
    <n v="1445.98"/>
  </r>
  <r>
    <s v="Ahmedabad"/>
    <s v="CUST1906"/>
    <s v="Home Office"/>
    <s v="Office Supplies"/>
    <s v="Chair"/>
    <x v="183"/>
    <x v="2"/>
    <s v="Offline"/>
    <s v="Credit Card"/>
    <s v="Critical"/>
    <n v="3"/>
    <n v="25712"/>
    <n v="20"/>
    <n v="61708.800000000003"/>
    <n v="-1110.6099999999999"/>
  </r>
  <r>
    <s v="Ahmedabad"/>
    <s v="CUST2407"/>
    <s v="Home Office"/>
    <s v="Electronics"/>
    <s v="Chair"/>
    <x v="167"/>
    <x v="1"/>
    <s v="Offline"/>
    <s v="UPI"/>
    <s v="Medium"/>
    <n v="7"/>
    <n v="2352"/>
    <n v="15"/>
    <n v="13994.4"/>
    <n v="970.45"/>
  </r>
  <r>
    <s v="Mumbai"/>
    <s v="CUST6657"/>
    <s v="Consumer"/>
    <s v="Electronics"/>
    <s v="Table"/>
    <x v="102"/>
    <x v="3"/>
    <s v="Online"/>
    <s v="Cash"/>
    <s v="High"/>
    <n v="9"/>
    <n v="45499"/>
    <n v="15"/>
    <n v="348067.35"/>
    <n v="-30990.720000000001"/>
  </r>
  <r>
    <s v="Chennai"/>
    <s v="CUST1363"/>
    <s v="Home Office"/>
    <s v="Furniture"/>
    <s v="Table"/>
    <x v="176"/>
    <x v="1"/>
    <s v="Online"/>
    <s v="Debit Card"/>
    <s v="High"/>
    <n v="3"/>
    <n v="2744"/>
    <n v="0"/>
    <n v="8232"/>
    <n v="2196.86"/>
  </r>
  <r>
    <s v="Chennai"/>
    <s v="CUST2784"/>
    <s v="Home Office"/>
    <s v="Electronics"/>
    <s v="Chair"/>
    <x v="28"/>
    <x v="5"/>
    <s v="Online"/>
    <s v="UPI"/>
    <s v="Medium"/>
    <n v="9"/>
    <n v="33479"/>
    <n v="5"/>
    <n v="286245.45"/>
    <n v="33730.1"/>
  </r>
  <r>
    <s v="Ahmedabad"/>
    <s v="CUST2294"/>
    <s v="Consumer"/>
    <s v="Furniture"/>
    <s v="Laptop"/>
    <x v="132"/>
    <x v="3"/>
    <s v="Online"/>
    <s v="Credit Card"/>
    <s v="Critical"/>
    <n v="2"/>
    <n v="23207"/>
    <n v="0"/>
    <n v="46414"/>
    <n v="11433.22"/>
  </r>
  <r>
    <s v="Ahmedabad"/>
    <s v="CUST3630"/>
    <s v="Corporate"/>
    <s v="Electronics"/>
    <s v="Laptop"/>
    <x v="51"/>
    <x v="3"/>
    <s v="Offline"/>
    <s v="UPI"/>
    <s v="Critical"/>
    <n v="9"/>
    <n v="19017"/>
    <n v="5"/>
    <n v="162595.35"/>
    <n v="31365.77"/>
  </r>
  <r>
    <s v="Mumbai"/>
    <s v="CUST7561"/>
    <s v="Consumer"/>
    <s v="Office Supplies"/>
    <s v="Chair"/>
    <x v="89"/>
    <x v="4"/>
    <s v="Offline"/>
    <s v="Credit Card"/>
    <s v="Medium"/>
    <n v="4"/>
    <n v="29015"/>
    <n v="20"/>
    <n v="92848"/>
    <n v="-4676.54"/>
  </r>
  <r>
    <s v="Bangalore"/>
    <s v="CUST9997"/>
    <s v="Corporate"/>
    <s v="Office Supplies"/>
    <s v="Laptop"/>
    <x v="140"/>
    <x v="5"/>
    <s v="Online"/>
    <s v="Debit Card"/>
    <s v="Medium"/>
    <n v="10"/>
    <n v="46266"/>
    <n v="10"/>
    <n v="416394"/>
    <n v="14544.46"/>
  </r>
  <r>
    <s v="Bangalore"/>
    <s v="CUST5084"/>
    <s v="Corporate"/>
    <s v="Electronics"/>
    <s v="Mobile"/>
    <x v="11"/>
    <x v="2"/>
    <s v="Online"/>
    <s v="Net Banking"/>
    <s v="Medium"/>
    <n v="6"/>
    <n v="14998"/>
    <n v="20"/>
    <n v="71990.399999999994"/>
    <n v="-5710.64"/>
  </r>
  <r>
    <s v="Mumbai"/>
    <s v="CUST9223"/>
    <s v="Corporate"/>
    <s v="Office Supplies"/>
    <s v="Mobile"/>
    <x v="3"/>
    <x v="2"/>
    <s v="Offline"/>
    <s v="Debit Card"/>
    <s v="Medium"/>
    <n v="4"/>
    <n v="18075"/>
    <n v="15"/>
    <n v="61455"/>
    <n v="-1512.24"/>
  </r>
  <r>
    <s v="Mumbai"/>
    <s v="CUST5371"/>
    <s v="Consumer"/>
    <s v="Electronics"/>
    <s v="Mobile"/>
    <x v="42"/>
    <x v="1"/>
    <s v="Online"/>
    <s v="Debit Card"/>
    <s v="Medium"/>
    <n v="8"/>
    <n v="34878"/>
    <n v="15"/>
    <n v="237170.4"/>
    <n v="31326.17"/>
  </r>
  <r>
    <s v="Delhi"/>
    <s v="CUST7471"/>
    <s v="Home Office"/>
    <s v="Office Supplies"/>
    <s v="Printer"/>
    <x v="109"/>
    <x v="0"/>
    <s v="Online"/>
    <s v="Cash"/>
    <s v="High"/>
    <n v="10"/>
    <n v="43748"/>
    <n v="0"/>
    <n v="437480"/>
    <n v="125013.25"/>
  </r>
  <r>
    <s v="Bangalore"/>
    <s v="CUST8278"/>
    <s v="Consumer"/>
    <s v="Office Supplies"/>
    <s v="Table"/>
    <x v="160"/>
    <x v="2"/>
    <s v="Online"/>
    <s v="Debit Card"/>
    <s v="High"/>
    <n v="2"/>
    <n v="15845"/>
    <n v="20"/>
    <n v="25352"/>
    <n v="1169.82"/>
  </r>
  <r>
    <s v="Ahmedabad"/>
    <s v="CUST6090"/>
    <s v="Corporate"/>
    <s v="Furniture"/>
    <s v="Printer"/>
    <x v="184"/>
    <x v="3"/>
    <s v="Online"/>
    <s v="Net Banking"/>
    <s v="High"/>
    <n v="6"/>
    <n v="32294"/>
    <n v="15"/>
    <n v="164699.4"/>
    <n v="6327.42"/>
  </r>
  <r>
    <s v="Bangalore"/>
    <s v="CUST2517"/>
    <s v="Corporate"/>
    <s v="Office Supplies"/>
    <s v="Chair"/>
    <x v="164"/>
    <x v="2"/>
    <s v="Online"/>
    <s v="Credit Card"/>
    <s v="High"/>
    <n v="6"/>
    <n v="14870"/>
    <n v="5"/>
    <n v="84759"/>
    <n v="16937.97"/>
  </r>
  <r>
    <s v="Mumbai"/>
    <s v="CUST4856"/>
    <s v="Corporate"/>
    <s v="Electronics"/>
    <s v="Chair"/>
    <x v="44"/>
    <x v="4"/>
    <s v="Online"/>
    <s v="Debit Card"/>
    <s v="Critical"/>
    <n v="10"/>
    <n v="37202"/>
    <n v="15"/>
    <n v="316217"/>
    <n v="26378.92"/>
  </r>
  <r>
    <s v="Ahmedabad"/>
    <s v="CUST6641"/>
    <s v="Corporate"/>
    <s v="Furniture"/>
    <s v="Table"/>
    <x v="87"/>
    <x v="1"/>
    <s v="Online"/>
    <s v="Cash"/>
    <s v="Low"/>
    <n v="7"/>
    <n v="44095"/>
    <n v="20"/>
    <n v="246932"/>
    <n v="-38413.06"/>
  </r>
  <r>
    <s v="Chennai"/>
    <s v="CUST5342"/>
    <s v="Corporate"/>
    <s v="Furniture"/>
    <s v="Printer"/>
    <x v="185"/>
    <x v="1"/>
    <s v="Online"/>
    <s v="UPI"/>
    <s v="Critical"/>
    <n v="1"/>
    <n v="2760"/>
    <n v="5"/>
    <n v="2622"/>
    <n v="371.87"/>
  </r>
  <r>
    <s v="Chennai"/>
    <s v="CUST5589"/>
    <s v="Home Office"/>
    <s v="Office Supplies"/>
    <s v="Table"/>
    <x v="24"/>
    <x v="2"/>
    <s v="Online"/>
    <s v="UPI"/>
    <s v="Medium"/>
    <n v="4"/>
    <n v="6118"/>
    <n v="0"/>
    <n v="24472"/>
    <n v="5041.97"/>
  </r>
  <r>
    <s v="Ahmedabad"/>
    <s v="CUST3242"/>
    <s v="Home Office"/>
    <s v="Office Supplies"/>
    <s v="Storage"/>
    <x v="186"/>
    <x v="0"/>
    <s v="Online"/>
    <s v="Net Banking"/>
    <s v="Critical"/>
    <n v="10"/>
    <n v="19986"/>
    <n v="5"/>
    <n v="189867"/>
    <n v="11278.88"/>
  </r>
  <r>
    <s v="Mumbai"/>
    <s v="CUST3809"/>
    <s v="Home Office"/>
    <s v="Furniture"/>
    <s v="Laptop"/>
    <x v="29"/>
    <x v="2"/>
    <s v="Offline"/>
    <s v="Credit Card"/>
    <s v="Medium"/>
    <n v="6"/>
    <n v="4646"/>
    <n v="15"/>
    <n v="23694.6"/>
    <n v="-2034.89"/>
  </r>
  <r>
    <s v="Chennai"/>
    <s v="CUST9394"/>
    <s v="Consumer"/>
    <s v="Furniture"/>
    <s v="Laptop"/>
    <x v="10"/>
    <x v="2"/>
    <s v="Offline"/>
    <s v="Net Banking"/>
    <s v="Critical"/>
    <n v="3"/>
    <n v="5050"/>
    <n v="20"/>
    <n v="12120"/>
    <n v="-2257.77"/>
  </r>
  <r>
    <s v="Delhi"/>
    <s v="CUST6721"/>
    <s v="Home Office"/>
    <s v="Furniture"/>
    <s v="Table"/>
    <x v="135"/>
    <x v="5"/>
    <s v="Online"/>
    <s v="Credit Card"/>
    <s v="Medium"/>
    <n v="5"/>
    <n v="27956"/>
    <n v="0"/>
    <n v="139780"/>
    <n v="12542.38"/>
  </r>
  <r>
    <s v="Mumbai"/>
    <s v="CUST9626"/>
    <s v="Corporate"/>
    <s v="Office Supplies"/>
    <s v="Mobile"/>
    <x v="107"/>
    <x v="1"/>
    <s v="Offline"/>
    <s v="Debit Card"/>
    <s v="Medium"/>
    <n v="6"/>
    <n v="49426"/>
    <n v="10"/>
    <n v="266900.40000000002"/>
    <n v="-12686.65"/>
  </r>
  <r>
    <s v="Mumbai"/>
    <s v="CUST7510"/>
    <s v="Consumer"/>
    <s v="Electronics"/>
    <s v="Chair"/>
    <x v="120"/>
    <x v="1"/>
    <s v="Offline"/>
    <s v="Credit Card"/>
    <s v="High"/>
    <n v="10"/>
    <n v="24590"/>
    <n v="5"/>
    <n v="233605"/>
    <n v="57687.32"/>
  </r>
  <r>
    <s v="Chennai"/>
    <s v="CUST7611"/>
    <s v="Home Office"/>
    <s v="Electronics"/>
    <s v="Mobile"/>
    <x v="94"/>
    <x v="0"/>
    <s v="Online"/>
    <s v="UPI"/>
    <s v="Low"/>
    <n v="8"/>
    <n v="39214"/>
    <n v="10"/>
    <n v="282340.8"/>
    <n v="23676.9"/>
  </r>
  <r>
    <s v="Ahmedabad"/>
    <s v="CUST7666"/>
    <s v="Corporate"/>
    <s v="Furniture"/>
    <s v="Chair"/>
    <x v="0"/>
    <x v="4"/>
    <s v="Online"/>
    <s v="Debit Card"/>
    <s v="Medium"/>
    <n v="5"/>
    <n v="45633"/>
    <n v="0"/>
    <n v="228165"/>
    <n v="30227.94"/>
  </r>
  <r>
    <s v="Bangalore"/>
    <s v="CUST1747"/>
    <s v="Corporate"/>
    <s v="Furniture"/>
    <s v="Storage"/>
    <x v="58"/>
    <x v="1"/>
    <s v="Offline"/>
    <s v="UPI"/>
    <s v="High"/>
    <n v="5"/>
    <n v="8184"/>
    <n v="0"/>
    <n v="40920"/>
    <n v="9552.08"/>
  </r>
  <r>
    <s v="Delhi"/>
    <s v="CUST7634"/>
    <s v="Consumer"/>
    <s v="Furniture"/>
    <s v="Printer"/>
    <x v="123"/>
    <x v="4"/>
    <s v="Offline"/>
    <s v="Debit Card"/>
    <s v="Medium"/>
    <n v="1"/>
    <n v="17345"/>
    <n v="0"/>
    <n v="17345"/>
    <n v="1710.57"/>
  </r>
  <r>
    <s v="Chennai"/>
    <s v="CUST3247"/>
    <s v="Corporate"/>
    <s v="Furniture"/>
    <s v="Mobile"/>
    <x v="178"/>
    <x v="3"/>
    <s v="Offline"/>
    <s v="Cash"/>
    <s v="Low"/>
    <n v="3"/>
    <n v="41284"/>
    <n v="20"/>
    <n v="99081.600000000006"/>
    <n v="-3713.72"/>
  </r>
  <r>
    <s v="Ahmedabad"/>
    <s v="CUST8113"/>
    <s v="Home Office"/>
    <s v="Office Supplies"/>
    <s v="Laptop"/>
    <x v="156"/>
    <x v="4"/>
    <s v="Offline"/>
    <s v="Debit Card"/>
    <s v="Critical"/>
    <n v="6"/>
    <n v="34214"/>
    <n v="15"/>
    <n v="174491.4"/>
    <n v="23874.09"/>
  </r>
  <r>
    <s v="Ahmedabad"/>
    <s v="CUST2399"/>
    <s v="Consumer"/>
    <s v="Furniture"/>
    <s v="Table"/>
    <x v="40"/>
    <x v="4"/>
    <s v="Online"/>
    <s v="Debit Card"/>
    <s v="Medium"/>
    <n v="8"/>
    <n v="43540"/>
    <n v="10"/>
    <n v="313488"/>
    <n v="64735.519999999997"/>
  </r>
  <r>
    <s v="Bangalore"/>
    <s v="CUST6637"/>
    <s v="Home Office"/>
    <s v="Office Supplies"/>
    <s v="Laptop"/>
    <x v="48"/>
    <x v="2"/>
    <s v="Online"/>
    <s v="Net Banking"/>
    <s v="Medium"/>
    <n v="10"/>
    <n v="8065"/>
    <n v="15"/>
    <n v="68552.5"/>
    <n v="8076.76"/>
  </r>
  <r>
    <s v="Mumbai"/>
    <s v="CUST3428"/>
    <s v="Home Office"/>
    <s v="Furniture"/>
    <s v="Storage"/>
    <x v="126"/>
    <x v="5"/>
    <s v="Online"/>
    <s v="UPI"/>
    <s v="Low"/>
    <n v="8"/>
    <n v="11214"/>
    <n v="10"/>
    <n v="80740.800000000003"/>
    <n v="-3148.64"/>
  </r>
  <r>
    <s v="Ahmedabad"/>
    <s v="CUST9507"/>
    <s v="Consumer"/>
    <s v="Furniture"/>
    <s v="Storage"/>
    <x v="99"/>
    <x v="2"/>
    <s v="Online"/>
    <s v="Cash"/>
    <s v="High"/>
    <n v="9"/>
    <n v="45582"/>
    <n v="5"/>
    <n v="389726.1"/>
    <n v="46579.86"/>
  </r>
  <r>
    <s v="Bangalore"/>
    <s v="CUST1970"/>
    <s v="Corporate"/>
    <s v="Electronics"/>
    <s v="Chair"/>
    <x v="124"/>
    <x v="4"/>
    <s v="Online"/>
    <s v="Debit Card"/>
    <s v="High"/>
    <n v="4"/>
    <n v="48300"/>
    <n v="10"/>
    <n v="173880"/>
    <n v="13196.71"/>
  </r>
  <r>
    <s v="Ahmedabad"/>
    <s v="CUST7260"/>
    <s v="Consumer"/>
    <s v="Office Supplies"/>
    <s v="Table"/>
    <x v="159"/>
    <x v="3"/>
    <s v="Online"/>
    <s v="UPI"/>
    <s v="Critical"/>
    <n v="4"/>
    <n v="10362"/>
    <n v="15"/>
    <n v="35230.800000000003"/>
    <n v="1222.8900000000001"/>
  </r>
  <r>
    <s v="Delhi"/>
    <s v="CUST8986"/>
    <s v="Consumer"/>
    <s v="Electronics"/>
    <s v="Table"/>
    <x v="18"/>
    <x v="4"/>
    <s v="Online"/>
    <s v="Cash"/>
    <s v="Low"/>
    <n v="2"/>
    <n v="27739"/>
    <n v="20"/>
    <n v="44382.400000000001"/>
    <n v="-8045.57"/>
  </r>
  <r>
    <s v="Mumbai"/>
    <s v="CUST3626"/>
    <s v="Corporate"/>
    <s v="Furniture"/>
    <s v="Storage"/>
    <x v="175"/>
    <x v="3"/>
    <s v="Offline"/>
    <s v="Debit Card"/>
    <s v="High"/>
    <n v="5"/>
    <n v="40424"/>
    <n v="0"/>
    <n v="202120"/>
    <n v="47663.32"/>
  </r>
  <r>
    <s v="Chennai"/>
    <s v="CUST1458"/>
    <s v="Consumer"/>
    <s v="Electronics"/>
    <s v="Storage"/>
    <x v="5"/>
    <x v="0"/>
    <s v="Offline"/>
    <s v="Net Banking"/>
    <s v="High"/>
    <n v="4"/>
    <n v="23387"/>
    <n v="5"/>
    <n v="88870.6"/>
    <n v="14561.8"/>
  </r>
  <r>
    <s v="Mumbai"/>
    <s v="CUST4700"/>
    <s v="Consumer"/>
    <s v="Furniture"/>
    <s v="Laptop"/>
    <x v="112"/>
    <x v="0"/>
    <s v="Offline"/>
    <s v="Cash"/>
    <s v="Medium"/>
    <n v="4"/>
    <n v="26836"/>
    <n v="5"/>
    <n v="101976.8"/>
    <n v="24414.61"/>
  </r>
  <r>
    <s v="Bangalore"/>
    <s v="CUST4390"/>
    <s v="Corporate"/>
    <s v="Electronics"/>
    <s v="Mobile"/>
    <x v="74"/>
    <x v="3"/>
    <s v="Online"/>
    <s v="Net Banking"/>
    <s v="Low"/>
    <n v="10"/>
    <n v="22469"/>
    <n v="0"/>
    <n v="224690"/>
    <n v="62063.12"/>
  </r>
  <r>
    <s v="Ahmedabad"/>
    <s v="CUST9037"/>
    <s v="Home Office"/>
    <s v="Furniture"/>
    <s v="Chair"/>
    <x v="65"/>
    <x v="0"/>
    <s v="Online"/>
    <s v="Debit Card"/>
    <s v="Low"/>
    <n v="4"/>
    <n v="13762"/>
    <n v="5"/>
    <n v="52295.6"/>
    <n v="10121.5"/>
  </r>
  <r>
    <s v="Mumbai"/>
    <s v="CUST6528"/>
    <s v="Home Office"/>
    <s v="Office Supplies"/>
    <s v="Table"/>
    <x v="159"/>
    <x v="1"/>
    <s v="Offline"/>
    <s v="Cash"/>
    <s v="Critical"/>
    <n v="2"/>
    <n v="21518"/>
    <n v="0"/>
    <n v="43036"/>
    <n v="8740.75"/>
  </r>
  <r>
    <s v="Delhi"/>
    <s v="CUST2271"/>
    <s v="Corporate"/>
    <s v="Office Supplies"/>
    <s v="Storage"/>
    <x v="4"/>
    <x v="4"/>
    <s v="Online"/>
    <s v="Net Banking"/>
    <s v="Critical"/>
    <n v="1"/>
    <n v="44402"/>
    <n v="15"/>
    <n v="37741.699999999997"/>
    <n v="2802.79"/>
  </r>
  <r>
    <s v="Bangalore"/>
    <s v="CUST6017"/>
    <s v="Corporate"/>
    <s v="Office Supplies"/>
    <s v="Storage"/>
    <x v="128"/>
    <x v="2"/>
    <s v="Online"/>
    <s v="Cash"/>
    <s v="High"/>
    <n v="10"/>
    <n v="18814"/>
    <n v="20"/>
    <n v="150512"/>
    <n v="-14159.14"/>
  </r>
  <r>
    <s v="Chennai"/>
    <s v="CUST9107"/>
    <s v="Consumer"/>
    <s v="Office Supplies"/>
    <s v="Table"/>
    <x v="99"/>
    <x v="3"/>
    <s v="Offline"/>
    <s v="Debit Card"/>
    <s v="Critical"/>
    <n v="5"/>
    <n v="14028"/>
    <n v="20"/>
    <n v="56112"/>
    <n v="4579.3"/>
  </r>
  <r>
    <s v="Ahmedabad"/>
    <s v="CUST9583"/>
    <s v="Consumer"/>
    <s v="Furniture"/>
    <s v="Printer"/>
    <x v="101"/>
    <x v="1"/>
    <s v="Online"/>
    <s v="UPI"/>
    <s v="Critical"/>
    <n v="4"/>
    <n v="9172"/>
    <n v="15"/>
    <n v="31184.799999999999"/>
    <n v="4616.37"/>
  </r>
  <r>
    <s v="Mumbai"/>
    <s v="CUST4637"/>
    <s v="Corporate"/>
    <s v="Furniture"/>
    <s v="Laptop"/>
    <x v="153"/>
    <x v="0"/>
    <s v="Offline"/>
    <s v="Credit Card"/>
    <s v="Medium"/>
    <n v="8"/>
    <n v="10342"/>
    <n v="10"/>
    <n v="74462.399999999994"/>
    <n v="9527.07"/>
  </r>
  <r>
    <s v="Ahmedabad"/>
    <s v="CUST9589"/>
    <s v="Consumer"/>
    <s v="Electronics"/>
    <s v="Storage"/>
    <x v="134"/>
    <x v="5"/>
    <s v="Online"/>
    <s v="Debit Card"/>
    <s v="Low"/>
    <n v="5"/>
    <n v="32552"/>
    <n v="20"/>
    <n v="130208"/>
    <n v="-66.489999999999995"/>
  </r>
  <r>
    <s v="Chennai"/>
    <s v="CUST4819"/>
    <s v="Corporate"/>
    <s v="Furniture"/>
    <s v="Storage"/>
    <x v="121"/>
    <x v="1"/>
    <s v="Offline"/>
    <s v="Cash"/>
    <s v="Low"/>
    <n v="4"/>
    <n v="17586"/>
    <n v="15"/>
    <n v="59792.4"/>
    <n v="9850.4"/>
  </r>
  <r>
    <s v="Ahmedabad"/>
    <s v="CUST9700"/>
    <s v="Consumer"/>
    <s v="Furniture"/>
    <s v="Chair"/>
    <x v="131"/>
    <x v="3"/>
    <s v="Offline"/>
    <s v="Credit Card"/>
    <s v="Medium"/>
    <n v="5"/>
    <n v="43474"/>
    <n v="15"/>
    <n v="184764.5"/>
    <n v="3161.55"/>
  </r>
  <r>
    <s v="Ahmedabad"/>
    <s v="CUST5406"/>
    <s v="Corporate"/>
    <s v="Electronics"/>
    <s v="Storage"/>
    <x v="147"/>
    <x v="3"/>
    <s v="Offline"/>
    <s v="Cash"/>
    <s v="High"/>
    <n v="6"/>
    <n v="2527"/>
    <n v="5"/>
    <n v="14403.9"/>
    <n v="1452.43"/>
  </r>
  <r>
    <s v="Mumbai"/>
    <s v="CUST1072"/>
    <s v="Home Office"/>
    <s v="Electronics"/>
    <s v="Storage"/>
    <x v="14"/>
    <x v="3"/>
    <s v="Online"/>
    <s v="Net Banking"/>
    <s v="Medium"/>
    <n v="6"/>
    <n v="3671"/>
    <n v="0"/>
    <n v="22026"/>
    <n v="3563.29"/>
  </r>
  <r>
    <s v="Mumbai"/>
    <s v="CUST5834"/>
    <s v="Home Office"/>
    <s v="Furniture"/>
    <s v="Mobile"/>
    <x v="187"/>
    <x v="1"/>
    <s v="Online"/>
    <s v="Net Banking"/>
    <s v="High"/>
    <n v="2"/>
    <n v="5015"/>
    <n v="10"/>
    <n v="9027"/>
    <n v="1968.19"/>
  </r>
  <r>
    <s v="Ahmedabad"/>
    <s v="CUST7518"/>
    <s v="Home Office"/>
    <s v="Electronics"/>
    <s v="Printer"/>
    <x v="123"/>
    <x v="0"/>
    <s v="Online"/>
    <s v="Debit Card"/>
    <s v="Medium"/>
    <n v="10"/>
    <n v="49613"/>
    <n v="0"/>
    <n v="496130"/>
    <n v="54803.47"/>
  </r>
  <r>
    <s v="Mumbai"/>
    <s v="CUST7623"/>
    <s v="Corporate"/>
    <s v="Furniture"/>
    <s v="Mobile"/>
    <x v="169"/>
    <x v="1"/>
    <s v="Online"/>
    <s v="Cash"/>
    <s v="Critical"/>
    <n v="1"/>
    <n v="3130"/>
    <n v="15"/>
    <n v="2660.5"/>
    <n v="-261.12"/>
  </r>
  <r>
    <s v="Ahmedabad"/>
    <s v="CUST4587"/>
    <s v="Consumer"/>
    <s v="Office Supplies"/>
    <s v="Storage"/>
    <x v="67"/>
    <x v="3"/>
    <s v="Offline"/>
    <s v="Credit Card"/>
    <s v="Critical"/>
    <n v="10"/>
    <n v="19969"/>
    <n v="10"/>
    <n v="179721"/>
    <n v="-5277.93"/>
  </r>
  <r>
    <s v="Mumbai"/>
    <s v="CUST6841"/>
    <s v="Consumer"/>
    <s v="Office Supplies"/>
    <s v="Chair"/>
    <x v="151"/>
    <x v="0"/>
    <s v="Offline"/>
    <s v="UPI"/>
    <s v="Low"/>
    <n v="9"/>
    <n v="10300"/>
    <n v="0"/>
    <n v="92700"/>
    <n v="10640.25"/>
  </r>
  <r>
    <s v="Chennai"/>
    <s v="CUST7557"/>
    <s v="Corporate"/>
    <s v="Furniture"/>
    <s v="Chair"/>
    <x v="117"/>
    <x v="2"/>
    <s v="Offline"/>
    <s v="UPI"/>
    <s v="High"/>
    <n v="3"/>
    <n v="48879"/>
    <n v="15"/>
    <n v="124641.45"/>
    <n v="20311.72"/>
  </r>
  <r>
    <s v="Mumbai"/>
    <s v="CUST4204"/>
    <s v="Home Office"/>
    <s v="Electronics"/>
    <s v="Table"/>
    <x v="24"/>
    <x v="0"/>
    <s v="Online"/>
    <s v="Debit Card"/>
    <s v="High"/>
    <n v="1"/>
    <n v="33993"/>
    <n v="0"/>
    <n v="33993"/>
    <n v="6963.85"/>
  </r>
  <r>
    <s v="Bangalore"/>
    <s v="CUST9046"/>
    <s v="Home Office"/>
    <s v="Office Supplies"/>
    <s v="Mobile"/>
    <x v="82"/>
    <x v="0"/>
    <s v="Online"/>
    <s v="Credit Card"/>
    <s v="Medium"/>
    <n v="5"/>
    <n v="28175"/>
    <n v="15"/>
    <n v="119743.75"/>
    <n v="18243.310000000001"/>
  </r>
  <r>
    <s v="Chennai"/>
    <s v="CUST4907"/>
    <s v="Home Office"/>
    <s v="Furniture"/>
    <s v="Table"/>
    <x v="174"/>
    <x v="4"/>
    <s v="Offline"/>
    <s v="Credit Card"/>
    <s v="Critical"/>
    <n v="3"/>
    <n v="11442"/>
    <n v="5"/>
    <n v="32609.7"/>
    <n v="7865.49"/>
  </r>
  <r>
    <s v="Delhi"/>
    <s v="CUST7287"/>
    <s v="Corporate"/>
    <s v="Office Supplies"/>
    <s v="Printer"/>
    <x v="6"/>
    <x v="5"/>
    <s v="Offline"/>
    <s v="Debit Card"/>
    <s v="Critical"/>
    <n v="3"/>
    <n v="45174"/>
    <n v="5"/>
    <n v="128745.9"/>
    <n v="4624.1400000000003"/>
  </r>
  <r>
    <s v="Mumbai"/>
    <s v="CUST2836"/>
    <s v="Home Office"/>
    <s v="Electronics"/>
    <s v="Mobile"/>
    <x v="12"/>
    <x v="4"/>
    <s v="Offline"/>
    <s v="Cash"/>
    <s v="Low"/>
    <n v="2"/>
    <n v="40790"/>
    <n v="0"/>
    <n v="81580"/>
    <n v="12280.62"/>
  </r>
  <r>
    <s v="Chennai"/>
    <s v="CUST6693"/>
    <s v="Corporate"/>
    <s v="Office Supplies"/>
    <s v="Printer"/>
    <x v="176"/>
    <x v="2"/>
    <s v="Online"/>
    <s v="UPI"/>
    <s v="Critical"/>
    <n v="1"/>
    <n v="31855"/>
    <n v="5"/>
    <n v="30262.25"/>
    <n v="4812.18"/>
  </r>
  <r>
    <s v="Chennai"/>
    <s v="CUST9880"/>
    <s v="Home Office"/>
    <s v="Office Supplies"/>
    <s v="Laptop"/>
    <x v="131"/>
    <x v="3"/>
    <s v="Online"/>
    <s v="Credit Card"/>
    <s v="Low"/>
    <n v="6"/>
    <n v="10290"/>
    <n v="20"/>
    <n v="49392"/>
    <n v="133.85"/>
  </r>
  <r>
    <s v="Ahmedabad"/>
    <s v="CUST4627"/>
    <s v="Home Office"/>
    <s v="Electronics"/>
    <s v="Mobile"/>
    <x v="7"/>
    <x v="5"/>
    <s v="Offline"/>
    <s v="Credit Card"/>
    <s v="High"/>
    <n v="2"/>
    <n v="4286"/>
    <n v="5"/>
    <n v="8143.4"/>
    <n v="829.17"/>
  </r>
  <r>
    <s v="Delhi"/>
    <s v="CUST8148"/>
    <s v="Corporate"/>
    <s v="Electronics"/>
    <s v="Mobile"/>
    <x v="169"/>
    <x v="3"/>
    <s v="Online"/>
    <s v="Debit Card"/>
    <s v="High"/>
    <n v="9"/>
    <n v="18677"/>
    <n v="0"/>
    <n v="168093"/>
    <n v="43860.49"/>
  </r>
  <r>
    <s v="Ahmedabad"/>
    <s v="CUST7755"/>
    <s v="Consumer"/>
    <s v="Furniture"/>
    <s v="Chair"/>
    <x v="110"/>
    <x v="0"/>
    <s v="Offline"/>
    <s v="UPI"/>
    <s v="Critical"/>
    <n v="2"/>
    <n v="6632"/>
    <n v="5"/>
    <n v="12600.8"/>
    <n v="2278.1"/>
  </r>
  <r>
    <s v="Delhi"/>
    <s v="CUST2261"/>
    <s v="Corporate"/>
    <s v="Furniture"/>
    <s v="Laptop"/>
    <x v="109"/>
    <x v="4"/>
    <s v="Online"/>
    <s v="Debit Card"/>
    <s v="Medium"/>
    <n v="3"/>
    <n v="49295"/>
    <n v="5"/>
    <n v="140490.75"/>
    <n v="33540.57"/>
  </r>
  <r>
    <s v="Bangalore"/>
    <s v="CUST6398"/>
    <s v="Home Office"/>
    <s v="Furniture"/>
    <s v="Chair"/>
    <x v="180"/>
    <x v="0"/>
    <s v="Online"/>
    <s v="UPI"/>
    <s v="Low"/>
    <n v="2"/>
    <n v="48424"/>
    <n v="10"/>
    <n v="87163.199999999997"/>
    <n v="1080.23"/>
  </r>
  <r>
    <s v="Mumbai"/>
    <s v="CUST9668"/>
    <s v="Home Office"/>
    <s v="Furniture"/>
    <s v="Printer"/>
    <x v="167"/>
    <x v="5"/>
    <s v="Online"/>
    <s v="UPI"/>
    <s v="High"/>
    <n v="2"/>
    <n v="48474"/>
    <n v="10"/>
    <n v="87253.2"/>
    <n v="12526.63"/>
  </r>
  <r>
    <s v="Bangalore"/>
    <s v="CUST4648"/>
    <s v="Home Office"/>
    <s v="Furniture"/>
    <s v="Mobile"/>
    <x v="74"/>
    <x v="3"/>
    <s v="Offline"/>
    <s v="Credit Card"/>
    <s v="Medium"/>
    <n v="8"/>
    <n v="19336"/>
    <n v="0"/>
    <n v="154688"/>
    <n v="24615.7"/>
  </r>
  <r>
    <s v="Ahmedabad"/>
    <s v="CUST7582"/>
    <s v="Home Office"/>
    <s v="Electronics"/>
    <s v="Mobile"/>
    <x v="139"/>
    <x v="0"/>
    <s v="Offline"/>
    <s v="Credit Card"/>
    <s v="High"/>
    <n v="5"/>
    <n v="15366"/>
    <n v="15"/>
    <n v="65305.5"/>
    <n v="1278.77"/>
  </r>
  <r>
    <s v="Mumbai"/>
    <s v="CUST3006"/>
    <s v="Consumer"/>
    <s v="Furniture"/>
    <s v="Chair"/>
    <x v="86"/>
    <x v="2"/>
    <s v="Online"/>
    <s v="Net Banking"/>
    <s v="Medium"/>
    <n v="8"/>
    <n v="6177"/>
    <n v="10"/>
    <n v="44474.400000000001"/>
    <n v="9540.81"/>
  </r>
  <r>
    <s v="Chennai"/>
    <s v="CUST5689"/>
    <s v="Home Office"/>
    <s v="Electronics"/>
    <s v="Chair"/>
    <x v="107"/>
    <x v="4"/>
    <s v="Offline"/>
    <s v="Cash"/>
    <s v="Low"/>
    <n v="10"/>
    <n v="1379"/>
    <n v="15"/>
    <n v="11721.5"/>
    <n v="-6.5"/>
  </r>
  <r>
    <s v="Ahmedabad"/>
    <s v="CUST5069"/>
    <s v="Home Office"/>
    <s v="Electronics"/>
    <s v="Storage"/>
    <x v="67"/>
    <x v="3"/>
    <s v="Online"/>
    <s v="UPI"/>
    <s v="High"/>
    <n v="2"/>
    <n v="29402"/>
    <n v="10"/>
    <n v="52923.6"/>
    <n v="-1810.82"/>
  </r>
  <r>
    <s v="Delhi"/>
    <s v="CUST4263"/>
    <s v="Home Office"/>
    <s v="Office Supplies"/>
    <s v="Mobile"/>
    <x v="15"/>
    <x v="5"/>
    <s v="Online"/>
    <s v="Net Banking"/>
    <s v="Low"/>
    <n v="4"/>
    <n v="31807"/>
    <n v="0"/>
    <n v="127228"/>
    <n v="24616.78"/>
  </r>
  <r>
    <s v="Chennai"/>
    <s v="CUST6791"/>
    <s v="Corporate"/>
    <s v="Electronics"/>
    <s v="Laptop"/>
    <x v="163"/>
    <x v="2"/>
    <s v="Online"/>
    <s v="Credit Card"/>
    <s v="Medium"/>
    <n v="7"/>
    <n v="12152"/>
    <n v="15"/>
    <n v="72304.399999999994"/>
    <n v="4946.22"/>
  </r>
  <r>
    <s v="Mumbai"/>
    <s v="CUST7802"/>
    <s v="Home Office"/>
    <s v="Electronics"/>
    <s v="Chair"/>
    <x v="131"/>
    <x v="0"/>
    <s v="Online"/>
    <s v="Debit Card"/>
    <s v="High"/>
    <n v="9"/>
    <n v="11908"/>
    <n v="5"/>
    <n v="101813.4"/>
    <n v="23866.89"/>
  </r>
  <r>
    <s v="Chennai"/>
    <s v="CUST7453"/>
    <s v="Corporate"/>
    <s v="Office Supplies"/>
    <s v="Storage"/>
    <x v="50"/>
    <x v="0"/>
    <s v="Online"/>
    <s v="Cash"/>
    <s v="Low"/>
    <n v="1"/>
    <n v="13789"/>
    <n v="20"/>
    <n v="11031.2"/>
    <n v="-922.13"/>
  </r>
  <r>
    <s v="Ahmedabad"/>
    <s v="CUST8772"/>
    <s v="Consumer"/>
    <s v="Electronics"/>
    <s v="Storage"/>
    <x v="12"/>
    <x v="5"/>
    <s v="Offline"/>
    <s v="Debit Card"/>
    <s v="Low"/>
    <n v="10"/>
    <n v="33336"/>
    <n v="0"/>
    <n v="333360"/>
    <n v="94878.51"/>
  </r>
  <r>
    <s v="Chennai"/>
    <s v="CUST5350"/>
    <s v="Home Office"/>
    <s v="Electronics"/>
    <s v="Table"/>
    <x v="124"/>
    <x v="3"/>
    <s v="Online"/>
    <s v="Cash"/>
    <s v="Medium"/>
    <n v="1"/>
    <n v="40526"/>
    <n v="20"/>
    <n v="32420.799999999999"/>
    <n v="3270.5"/>
  </r>
  <r>
    <s v="Mumbai"/>
    <s v="CUST1328"/>
    <s v="Corporate"/>
    <s v="Office Supplies"/>
    <s v="Mobile"/>
    <x v="185"/>
    <x v="5"/>
    <s v="Offline"/>
    <s v="UPI"/>
    <s v="Critical"/>
    <n v="6"/>
    <n v="16540"/>
    <n v="15"/>
    <n v="84354"/>
    <n v="7253.35"/>
  </r>
  <r>
    <s v="Chennai"/>
    <s v="CUST8054"/>
    <s v="Consumer"/>
    <s v="Electronics"/>
    <s v="Chair"/>
    <x v="117"/>
    <x v="3"/>
    <s v="Online"/>
    <s v="Cash"/>
    <s v="Medium"/>
    <n v="3"/>
    <n v="48620"/>
    <n v="0"/>
    <n v="145860"/>
    <n v="26113.79"/>
  </r>
  <r>
    <s v="Bangalore"/>
    <s v="CUST1725"/>
    <s v="Home Office"/>
    <s v="Furniture"/>
    <s v="Table"/>
    <x v="32"/>
    <x v="3"/>
    <s v="Offline"/>
    <s v="Cash"/>
    <s v="Critical"/>
    <n v="7"/>
    <n v="25749"/>
    <n v="0"/>
    <n v="180243"/>
    <n v="46870.28"/>
  </r>
  <r>
    <s v="Bangalore"/>
    <s v="CUST5330"/>
    <s v="Home Office"/>
    <s v="Office Supplies"/>
    <s v="Printer"/>
    <x v="158"/>
    <x v="2"/>
    <s v="Offline"/>
    <s v="Debit Card"/>
    <s v="Critical"/>
    <n v="1"/>
    <n v="33483"/>
    <n v="20"/>
    <n v="26786.400000000001"/>
    <n v="-1592.41"/>
  </r>
  <r>
    <s v="Chennai"/>
    <s v="CUST9582"/>
    <s v="Corporate"/>
    <s v="Electronics"/>
    <s v="Chair"/>
    <x v="137"/>
    <x v="1"/>
    <s v="Offline"/>
    <s v="Debit Card"/>
    <s v="Medium"/>
    <n v="1"/>
    <n v="5097"/>
    <n v="15"/>
    <n v="4332.45"/>
    <n v="-478.69"/>
  </r>
  <r>
    <s v="Delhi"/>
    <s v="CUST7840"/>
    <s v="Consumer"/>
    <s v="Furniture"/>
    <s v="Laptop"/>
    <x v="86"/>
    <x v="4"/>
    <s v="Offline"/>
    <s v="Debit Card"/>
    <s v="Low"/>
    <n v="2"/>
    <n v="38060"/>
    <n v="15"/>
    <n v="64702"/>
    <n v="1099.94"/>
  </r>
  <r>
    <s v="Bangalore"/>
    <s v="CUST2062"/>
    <s v="Corporate"/>
    <s v="Office Supplies"/>
    <s v="Printer"/>
    <x v="83"/>
    <x v="1"/>
    <s v="Offline"/>
    <s v="Net Banking"/>
    <s v="Medium"/>
    <n v="3"/>
    <n v="11455"/>
    <n v="10"/>
    <n v="30928.5"/>
    <n v="741.88"/>
  </r>
  <r>
    <s v="Mumbai"/>
    <s v="CUST7592"/>
    <s v="Home Office"/>
    <s v="Electronics"/>
    <s v="Storage"/>
    <x v="127"/>
    <x v="1"/>
    <s v="Online"/>
    <s v="Cash"/>
    <s v="Low"/>
    <n v="10"/>
    <n v="17171"/>
    <n v="0"/>
    <n v="171710"/>
    <n v="12316.59"/>
  </r>
  <r>
    <s v="Delhi"/>
    <s v="CUST8093"/>
    <s v="Corporate"/>
    <s v="Furniture"/>
    <s v="Mobile"/>
    <x v="39"/>
    <x v="4"/>
    <s v="Offline"/>
    <s v="Credit Card"/>
    <s v="High"/>
    <n v="3"/>
    <n v="8460"/>
    <n v="10"/>
    <n v="22842"/>
    <n v="4363.3900000000003"/>
  </r>
  <r>
    <s v="Mumbai"/>
    <s v="CUST1737"/>
    <s v="Consumer"/>
    <s v="Electronics"/>
    <s v="Chair"/>
    <x v="124"/>
    <x v="0"/>
    <s v="Online"/>
    <s v="UPI"/>
    <s v="Low"/>
    <n v="2"/>
    <n v="3141"/>
    <n v="0"/>
    <n v="6282"/>
    <n v="1139.26"/>
  </r>
  <r>
    <s v="Bangalore"/>
    <s v="CUST8225"/>
    <s v="Corporate"/>
    <s v="Electronics"/>
    <s v="Chair"/>
    <x v="57"/>
    <x v="2"/>
    <s v="Online"/>
    <s v="Debit Card"/>
    <s v="High"/>
    <n v="7"/>
    <n v="33252"/>
    <n v="10"/>
    <n v="209487.6"/>
    <n v="45461.17"/>
  </r>
  <r>
    <s v="Ahmedabad"/>
    <s v="CUST3302"/>
    <s v="Home Office"/>
    <s v="Electronics"/>
    <s v="Laptop"/>
    <x v="11"/>
    <x v="4"/>
    <s v="Online"/>
    <s v="Cash"/>
    <s v="Medium"/>
    <n v="10"/>
    <n v="49581"/>
    <n v="10"/>
    <n v="446229"/>
    <n v="60787.199999999997"/>
  </r>
  <r>
    <s v="Delhi"/>
    <s v="CUST2785"/>
    <s v="Consumer"/>
    <s v="Office Supplies"/>
    <s v="Table"/>
    <x v="129"/>
    <x v="5"/>
    <s v="Online"/>
    <s v="Credit Card"/>
    <s v="Medium"/>
    <n v="5"/>
    <n v="8816"/>
    <n v="20"/>
    <n v="35264"/>
    <n v="-323.58999999999997"/>
  </r>
  <r>
    <s v="Chennai"/>
    <s v="CUST1564"/>
    <s v="Home Office"/>
    <s v="Furniture"/>
    <s v="Laptop"/>
    <x v="184"/>
    <x v="0"/>
    <s v="Online"/>
    <s v="Debit Card"/>
    <s v="Critical"/>
    <n v="6"/>
    <n v="47344"/>
    <n v="10"/>
    <n v="255657.60000000001"/>
    <n v="45014.75"/>
  </r>
  <r>
    <s v="Mumbai"/>
    <s v="CUST8747"/>
    <s v="Home Office"/>
    <s v="Furniture"/>
    <s v="Mobile"/>
    <x v="69"/>
    <x v="1"/>
    <s v="Offline"/>
    <s v="Credit Card"/>
    <s v="Critical"/>
    <n v="4"/>
    <n v="7290"/>
    <n v="5"/>
    <n v="27702"/>
    <n v="3573.32"/>
  </r>
  <r>
    <s v="Delhi"/>
    <s v="CUST6974"/>
    <s v="Home Office"/>
    <s v="Office Supplies"/>
    <s v="Storage"/>
    <x v="188"/>
    <x v="4"/>
    <s v="Offline"/>
    <s v="Credit Card"/>
    <s v="Critical"/>
    <n v="9"/>
    <n v="25579"/>
    <n v="0"/>
    <n v="230211"/>
    <n v="46648.62"/>
  </r>
  <r>
    <s v="Bangalore"/>
    <s v="CUST3999"/>
    <s v="Corporate"/>
    <s v="Office Supplies"/>
    <s v="Mobile"/>
    <x v="49"/>
    <x v="3"/>
    <s v="Offline"/>
    <s v="Net Banking"/>
    <s v="Critical"/>
    <n v="4"/>
    <n v="34501"/>
    <n v="0"/>
    <n v="138004"/>
    <n v="23496.53"/>
  </r>
  <r>
    <s v="Chennai"/>
    <s v="CUST4075"/>
    <s v="Consumer"/>
    <s v="Office Supplies"/>
    <s v="Laptop"/>
    <x v="44"/>
    <x v="1"/>
    <s v="Online"/>
    <s v="Net Banking"/>
    <s v="Critical"/>
    <n v="8"/>
    <n v="23472"/>
    <n v="5"/>
    <n v="178387.20000000001"/>
    <n v="44504.99"/>
  </r>
  <r>
    <s v="Delhi"/>
    <s v="CUST4954"/>
    <s v="Corporate"/>
    <s v="Office Supplies"/>
    <s v="Storage"/>
    <x v="26"/>
    <x v="4"/>
    <s v="Online"/>
    <s v="UPI"/>
    <s v="Medium"/>
    <n v="4"/>
    <n v="45555"/>
    <n v="0"/>
    <n v="182220"/>
    <n v="34607.519999999997"/>
  </r>
  <r>
    <s v="Chennai"/>
    <s v="CUST4593"/>
    <s v="Corporate"/>
    <s v="Furniture"/>
    <s v="Chair"/>
    <x v="90"/>
    <x v="1"/>
    <s v="Online"/>
    <s v="Credit Card"/>
    <s v="Low"/>
    <n v="7"/>
    <n v="49461"/>
    <n v="15"/>
    <n v="294292.95"/>
    <n v="30663.46"/>
  </r>
  <r>
    <s v="Chennai"/>
    <s v="CUST2790"/>
    <s v="Home Office"/>
    <s v="Electronics"/>
    <s v="Table"/>
    <x v="98"/>
    <x v="0"/>
    <s v="Offline"/>
    <s v="Credit Card"/>
    <s v="Critical"/>
    <n v="4"/>
    <n v="34073"/>
    <n v="15"/>
    <n v="115848.2"/>
    <n v="8518.98"/>
  </r>
  <r>
    <s v="Mumbai"/>
    <s v="CUST9407"/>
    <s v="Consumer"/>
    <s v="Electronics"/>
    <s v="Printer"/>
    <x v="66"/>
    <x v="1"/>
    <s v="Offline"/>
    <s v="Credit Card"/>
    <s v="Low"/>
    <n v="7"/>
    <n v="43066"/>
    <n v="15"/>
    <n v="256242.7"/>
    <n v="-2165.54"/>
  </r>
  <r>
    <s v="Ahmedabad"/>
    <s v="CUST1160"/>
    <s v="Corporate"/>
    <s v="Electronics"/>
    <s v="Printer"/>
    <x v="86"/>
    <x v="5"/>
    <s v="Offline"/>
    <s v="Net Banking"/>
    <s v="Medium"/>
    <n v="6"/>
    <n v="4199"/>
    <n v="0"/>
    <n v="25194"/>
    <n v="1974.94"/>
  </r>
  <r>
    <s v="Delhi"/>
    <s v="CUST3619"/>
    <s v="Corporate"/>
    <s v="Electronics"/>
    <s v="Storage"/>
    <x v="189"/>
    <x v="1"/>
    <s v="Offline"/>
    <s v="Credit Card"/>
    <s v="Medium"/>
    <n v="5"/>
    <n v="28604"/>
    <n v="10"/>
    <n v="128718"/>
    <n v="22176.98"/>
  </r>
  <r>
    <s v="Delhi"/>
    <s v="CUST2568"/>
    <s v="Consumer"/>
    <s v="Electronics"/>
    <s v="Laptop"/>
    <x v="96"/>
    <x v="4"/>
    <s v="Online"/>
    <s v="Net Banking"/>
    <s v="Critical"/>
    <n v="5"/>
    <n v="47346"/>
    <n v="20"/>
    <n v="189384"/>
    <n v="8200.5499999999993"/>
  </r>
  <r>
    <s v="Ahmedabad"/>
    <s v="CUST2684"/>
    <s v="Consumer"/>
    <s v="Office Supplies"/>
    <s v="Storage"/>
    <x v="189"/>
    <x v="1"/>
    <s v="Offline"/>
    <s v="Cash"/>
    <s v="Medium"/>
    <n v="5"/>
    <n v="5358"/>
    <n v="15"/>
    <n v="22771.5"/>
    <n v="1965.06"/>
  </r>
  <r>
    <s v="Chennai"/>
    <s v="CUST5992"/>
    <s v="Corporate"/>
    <s v="Furniture"/>
    <s v="Table"/>
    <x v="104"/>
    <x v="0"/>
    <s v="Offline"/>
    <s v="Credit Card"/>
    <s v="Critical"/>
    <n v="2"/>
    <n v="20406"/>
    <n v="10"/>
    <n v="36730.800000000003"/>
    <n v="5338.53"/>
  </r>
  <r>
    <s v="Ahmedabad"/>
    <s v="CUST3841"/>
    <s v="Consumer"/>
    <s v="Office Supplies"/>
    <s v="Table"/>
    <x v="142"/>
    <x v="1"/>
    <s v="Offline"/>
    <s v="Cash"/>
    <s v="High"/>
    <n v="2"/>
    <n v="26012"/>
    <n v="10"/>
    <n v="46821.599999999999"/>
    <n v="5240.54"/>
  </r>
  <r>
    <s v="Delhi"/>
    <s v="CUST3031"/>
    <s v="Home Office"/>
    <s v="Electronics"/>
    <s v="Mobile"/>
    <x v="67"/>
    <x v="2"/>
    <s v="Online"/>
    <s v="Credit Card"/>
    <s v="Low"/>
    <n v="6"/>
    <n v="7755"/>
    <n v="5"/>
    <n v="44203.5"/>
    <n v="2357.13"/>
  </r>
  <r>
    <s v="Ahmedabad"/>
    <s v="CUST5357"/>
    <s v="Consumer"/>
    <s v="Electronics"/>
    <s v="Table"/>
    <x v="142"/>
    <x v="5"/>
    <s v="Online"/>
    <s v="Credit Card"/>
    <s v="Medium"/>
    <n v="2"/>
    <n v="2743"/>
    <n v="10"/>
    <n v="4937.3999999999996"/>
    <n v="881.76"/>
  </r>
  <r>
    <s v="Mumbai"/>
    <s v="CUST9428"/>
    <s v="Home Office"/>
    <s v="Furniture"/>
    <s v="Table"/>
    <x v="47"/>
    <x v="2"/>
    <s v="Offline"/>
    <s v="Cash"/>
    <s v="Critical"/>
    <n v="10"/>
    <n v="3494"/>
    <n v="20"/>
    <n v="27952"/>
    <n v="2441.09"/>
  </r>
  <r>
    <s v="Delhi"/>
    <s v="CUST2785"/>
    <s v="Consumer"/>
    <s v="Furniture"/>
    <s v="Table"/>
    <x v="72"/>
    <x v="0"/>
    <s v="Online"/>
    <s v="Cash"/>
    <s v="High"/>
    <n v="1"/>
    <n v="20748"/>
    <n v="10"/>
    <n v="18673.2"/>
    <n v="1224.6400000000001"/>
  </r>
  <r>
    <s v="Chennai"/>
    <s v="CUST1801"/>
    <s v="Corporate"/>
    <s v="Electronics"/>
    <s v="Chair"/>
    <x v="141"/>
    <x v="3"/>
    <s v="Offline"/>
    <s v="Debit Card"/>
    <s v="Medium"/>
    <n v="2"/>
    <n v="38964"/>
    <n v="0"/>
    <n v="77928"/>
    <n v="16977.2"/>
  </r>
  <r>
    <s v="Delhi"/>
    <s v="CUST6515"/>
    <s v="Corporate"/>
    <s v="Furniture"/>
    <s v="Printer"/>
    <x v="190"/>
    <x v="5"/>
    <s v="Offline"/>
    <s v="Debit Card"/>
    <s v="Low"/>
    <n v="7"/>
    <n v="45909"/>
    <n v="15"/>
    <n v="273158.55"/>
    <n v="40042.47"/>
  </r>
  <r>
    <s v="Bangalore"/>
    <s v="CUST6163"/>
    <s v="Consumer"/>
    <s v="Furniture"/>
    <s v="Chair"/>
    <x v="183"/>
    <x v="2"/>
    <s v="Offline"/>
    <s v="Debit Card"/>
    <s v="Medium"/>
    <n v="8"/>
    <n v="21910"/>
    <n v="5"/>
    <n v="166516"/>
    <n v="10699.32"/>
  </r>
  <r>
    <s v="Mumbai"/>
    <s v="CUST3381"/>
    <s v="Consumer"/>
    <s v="Electronics"/>
    <s v="Storage"/>
    <x v="122"/>
    <x v="3"/>
    <s v="Online"/>
    <s v="Cash"/>
    <s v="Medium"/>
    <n v="1"/>
    <n v="36661"/>
    <n v="20"/>
    <n v="29328.799999999999"/>
    <n v="-4139.54"/>
  </r>
  <r>
    <s v="Bangalore"/>
    <s v="CUST1445"/>
    <s v="Corporate"/>
    <s v="Electronics"/>
    <s v="Laptop"/>
    <x v="135"/>
    <x v="3"/>
    <s v="Online"/>
    <s v="Credit Card"/>
    <s v="Critical"/>
    <n v="9"/>
    <n v="33679"/>
    <n v="5"/>
    <n v="287955.45"/>
    <n v="25278.35"/>
  </r>
  <r>
    <s v="Bangalore"/>
    <s v="CUST8213"/>
    <s v="Home Office"/>
    <s v="Office Supplies"/>
    <s v="Laptop"/>
    <x v="113"/>
    <x v="5"/>
    <s v="Offline"/>
    <s v="Net Banking"/>
    <s v="Low"/>
    <n v="7"/>
    <n v="47410"/>
    <n v="0"/>
    <n v="331870"/>
    <n v="33571.07"/>
  </r>
  <r>
    <s v="Delhi"/>
    <s v="CUST3596"/>
    <s v="Consumer"/>
    <s v="Furniture"/>
    <s v="Storage"/>
    <x v="162"/>
    <x v="3"/>
    <s v="Online"/>
    <s v="Credit Card"/>
    <s v="High"/>
    <n v="3"/>
    <n v="27879"/>
    <n v="0"/>
    <n v="83637"/>
    <n v="23635.07"/>
  </r>
  <r>
    <s v="Chennai"/>
    <s v="CUST3445"/>
    <s v="Consumer"/>
    <s v="Office Supplies"/>
    <s v="Printer"/>
    <x v="106"/>
    <x v="0"/>
    <s v="Offline"/>
    <s v="Net Banking"/>
    <s v="Critical"/>
    <n v="6"/>
    <n v="33596"/>
    <n v="10"/>
    <n v="181418.4"/>
    <n v="26148.98"/>
  </r>
  <r>
    <s v="Ahmedabad"/>
    <s v="CUST3161"/>
    <s v="Consumer"/>
    <s v="Electronics"/>
    <s v="Table"/>
    <x v="177"/>
    <x v="0"/>
    <s v="Offline"/>
    <s v="Cash"/>
    <s v="High"/>
    <n v="1"/>
    <n v="30341"/>
    <n v="10"/>
    <n v="27306.9"/>
    <n v="4303.97"/>
  </r>
  <r>
    <s v="Ahmedabad"/>
    <s v="CUST9359"/>
    <s v="Corporate"/>
    <s v="Office Supplies"/>
    <s v="Storage"/>
    <x v="24"/>
    <x v="2"/>
    <s v="Offline"/>
    <s v="Net Banking"/>
    <s v="Low"/>
    <n v="8"/>
    <n v="38374"/>
    <n v="20"/>
    <n v="245593.60000000001"/>
    <n v="664.05"/>
  </r>
  <r>
    <s v="Delhi"/>
    <s v="CUST4626"/>
    <s v="Home Office"/>
    <s v="Electronics"/>
    <s v="Printer"/>
    <x v="42"/>
    <x v="0"/>
    <s v="Online"/>
    <s v="Debit Card"/>
    <s v="Medium"/>
    <n v="8"/>
    <n v="30127"/>
    <n v="0"/>
    <n v="241016"/>
    <n v="55054.17"/>
  </r>
  <r>
    <s v="Chennai"/>
    <s v="CUST4102"/>
    <s v="Corporate"/>
    <s v="Furniture"/>
    <s v="Laptop"/>
    <x v="159"/>
    <x v="2"/>
    <s v="Offline"/>
    <s v="Cash"/>
    <s v="Critical"/>
    <n v="10"/>
    <n v="30315"/>
    <n v="0"/>
    <n v="303150"/>
    <n v="18803.72"/>
  </r>
  <r>
    <s v="Mumbai"/>
    <s v="CUST7620"/>
    <s v="Consumer"/>
    <s v="Electronics"/>
    <s v="Laptop"/>
    <x v="156"/>
    <x v="5"/>
    <s v="Offline"/>
    <s v="UPI"/>
    <s v="Critical"/>
    <n v="1"/>
    <n v="28398"/>
    <n v="20"/>
    <n v="22718.400000000001"/>
    <n v="-283.22000000000003"/>
  </r>
  <r>
    <s v="Chennai"/>
    <s v="CUST2189"/>
    <s v="Corporate"/>
    <s v="Furniture"/>
    <s v="Table"/>
    <x v="35"/>
    <x v="3"/>
    <s v="Online"/>
    <s v="Credit Card"/>
    <s v="Critical"/>
    <n v="5"/>
    <n v="6950"/>
    <n v="20"/>
    <n v="27800"/>
    <n v="-1580.09"/>
  </r>
  <r>
    <s v="Bangalore"/>
    <s v="CUST3541"/>
    <s v="Home Office"/>
    <s v="Furniture"/>
    <s v="Chair"/>
    <x v="94"/>
    <x v="5"/>
    <s v="Online"/>
    <s v="Debit Card"/>
    <s v="High"/>
    <n v="8"/>
    <n v="46363"/>
    <n v="0"/>
    <n v="370904"/>
    <n v="31320.34"/>
  </r>
  <r>
    <s v="Chennai"/>
    <s v="CUST9350"/>
    <s v="Corporate"/>
    <s v="Electronics"/>
    <s v="Storage"/>
    <x v="101"/>
    <x v="0"/>
    <s v="Offline"/>
    <s v="Credit Card"/>
    <s v="Critical"/>
    <n v="9"/>
    <n v="22862"/>
    <n v="20"/>
    <n v="164606.39999999999"/>
    <n v="520.12"/>
  </r>
  <r>
    <s v="Ahmedabad"/>
    <s v="CUST2152"/>
    <s v="Corporate"/>
    <s v="Electronics"/>
    <s v="Mobile"/>
    <x v="94"/>
    <x v="0"/>
    <s v="Offline"/>
    <s v="Credit Card"/>
    <s v="Critical"/>
    <n v="6"/>
    <n v="33279"/>
    <n v="5"/>
    <n v="189690.3"/>
    <n v="14194.02"/>
  </r>
  <r>
    <s v="Ahmedabad"/>
    <s v="CUST1021"/>
    <s v="Consumer"/>
    <s v="Furniture"/>
    <s v="Laptop"/>
    <x v="21"/>
    <x v="0"/>
    <s v="Online"/>
    <s v="Cash"/>
    <s v="Critical"/>
    <n v="8"/>
    <n v="35713"/>
    <n v="0"/>
    <n v="285704"/>
    <n v="20107.93"/>
  </r>
  <r>
    <s v="Mumbai"/>
    <s v="CUST9328"/>
    <s v="Home Office"/>
    <s v="Office Supplies"/>
    <s v="Mobile"/>
    <x v="130"/>
    <x v="0"/>
    <s v="Offline"/>
    <s v="Debit Card"/>
    <s v="High"/>
    <n v="5"/>
    <n v="21941"/>
    <n v="20"/>
    <n v="87764"/>
    <n v="-15390.4"/>
  </r>
  <r>
    <s v="Mumbai"/>
    <s v="CUST4394"/>
    <s v="Consumer"/>
    <s v="Electronics"/>
    <s v="Printer"/>
    <x v="67"/>
    <x v="1"/>
    <s v="Online"/>
    <s v="Debit Card"/>
    <s v="Critical"/>
    <n v="4"/>
    <n v="32828"/>
    <n v="20"/>
    <n v="105049.60000000001"/>
    <n v="7440.49"/>
  </r>
  <r>
    <s v="Ahmedabad"/>
    <s v="CUST4044"/>
    <s v="Corporate"/>
    <s v="Furniture"/>
    <s v="Chair"/>
    <x v="57"/>
    <x v="3"/>
    <s v="Online"/>
    <s v="Cash"/>
    <s v="High"/>
    <n v="4"/>
    <n v="18592"/>
    <n v="15"/>
    <n v="63212.800000000003"/>
    <n v="-565.88"/>
  </r>
  <r>
    <s v="Mumbai"/>
    <s v="CUST3039"/>
    <s v="Consumer"/>
    <s v="Electronics"/>
    <s v="Laptop"/>
    <x v="28"/>
    <x v="2"/>
    <s v="Offline"/>
    <s v="UPI"/>
    <s v="High"/>
    <n v="7"/>
    <n v="21394"/>
    <n v="20"/>
    <n v="119806.39999999999"/>
    <n v="297.64999999999998"/>
  </r>
  <r>
    <s v="Chennai"/>
    <s v="CUST7435"/>
    <s v="Corporate"/>
    <s v="Electronics"/>
    <s v="Printer"/>
    <x v="26"/>
    <x v="3"/>
    <s v="Offline"/>
    <s v="Debit Card"/>
    <s v="Critical"/>
    <n v="8"/>
    <n v="6374"/>
    <n v="0"/>
    <n v="50992"/>
    <n v="14409.48"/>
  </r>
  <r>
    <s v="Chennai"/>
    <s v="CUST4378"/>
    <s v="Home Office"/>
    <s v="Electronics"/>
    <s v="Table"/>
    <x v="191"/>
    <x v="0"/>
    <s v="Offline"/>
    <s v="Credit Card"/>
    <s v="High"/>
    <n v="7"/>
    <n v="45064"/>
    <n v="0"/>
    <n v="315448"/>
    <n v="58889.93"/>
  </r>
  <r>
    <s v="Chennai"/>
    <s v="CUST7796"/>
    <s v="Consumer"/>
    <s v="Electronics"/>
    <s v="Printer"/>
    <x v="143"/>
    <x v="1"/>
    <s v="Online"/>
    <s v="UPI"/>
    <s v="High"/>
    <n v="5"/>
    <n v="15869"/>
    <n v="0"/>
    <n v="79345"/>
    <n v="17520.849999999999"/>
  </r>
  <r>
    <s v="Ahmedabad"/>
    <s v="CUST5760"/>
    <s v="Home Office"/>
    <s v="Furniture"/>
    <s v="Printer"/>
    <x v="31"/>
    <x v="3"/>
    <s v="Offline"/>
    <s v="UPI"/>
    <s v="Critical"/>
    <n v="8"/>
    <n v="44731"/>
    <n v="20"/>
    <n v="286278.40000000002"/>
    <n v="-18116.39"/>
  </r>
  <r>
    <s v="Ahmedabad"/>
    <s v="CUST9614"/>
    <s v="Corporate"/>
    <s v="Furniture"/>
    <s v="Printer"/>
    <x v="116"/>
    <x v="2"/>
    <s v="Online"/>
    <s v="Cash"/>
    <s v="High"/>
    <n v="2"/>
    <n v="1138"/>
    <n v="20"/>
    <n v="1820.8"/>
    <n v="132.08000000000001"/>
  </r>
  <r>
    <s v="Bangalore"/>
    <s v="CUST1401"/>
    <s v="Consumer"/>
    <s v="Electronics"/>
    <s v="Mobile"/>
    <x v="179"/>
    <x v="3"/>
    <s v="Offline"/>
    <s v="Credit Card"/>
    <s v="Critical"/>
    <n v="8"/>
    <n v="15502"/>
    <n v="5"/>
    <n v="117815.2"/>
    <n v="16936.47"/>
  </r>
  <r>
    <s v="Chennai"/>
    <s v="CUST8757"/>
    <s v="Consumer"/>
    <s v="Furniture"/>
    <s v="Storage"/>
    <x v="120"/>
    <x v="0"/>
    <s v="Offline"/>
    <s v="Credit Card"/>
    <s v="High"/>
    <n v="6"/>
    <n v="44471"/>
    <n v="5"/>
    <n v="253484.7"/>
    <n v="16396.14"/>
  </r>
  <r>
    <s v="Ahmedabad"/>
    <s v="CUST9481"/>
    <s v="Corporate"/>
    <s v="Electronics"/>
    <s v="Laptop"/>
    <x v="145"/>
    <x v="1"/>
    <s v="Online"/>
    <s v="UPI"/>
    <s v="Critical"/>
    <n v="6"/>
    <n v="10767"/>
    <n v="15"/>
    <n v="54911.7"/>
    <n v="4485.43"/>
  </r>
  <r>
    <s v="Delhi"/>
    <s v="CUST6657"/>
    <s v="Corporate"/>
    <s v="Furniture"/>
    <s v="Mobile"/>
    <x v="77"/>
    <x v="0"/>
    <s v="Offline"/>
    <s v="UPI"/>
    <s v="Critical"/>
    <n v="6"/>
    <n v="28920"/>
    <n v="20"/>
    <n v="138816"/>
    <n v="13190.83"/>
  </r>
  <r>
    <s v="Delhi"/>
    <s v="CUST9478"/>
    <s v="Consumer"/>
    <s v="Office Supplies"/>
    <s v="Table"/>
    <x v="27"/>
    <x v="3"/>
    <s v="Offline"/>
    <s v="Net Banking"/>
    <s v="Medium"/>
    <n v="2"/>
    <n v="13656"/>
    <n v="5"/>
    <n v="25946.400000000001"/>
    <n v="538"/>
  </r>
  <r>
    <s v="Chennai"/>
    <s v="CUST9838"/>
    <s v="Corporate"/>
    <s v="Furniture"/>
    <s v="Printer"/>
    <x v="80"/>
    <x v="1"/>
    <s v="Online"/>
    <s v="Debit Card"/>
    <s v="Low"/>
    <n v="8"/>
    <n v="42273"/>
    <n v="15"/>
    <n v="287456.40000000002"/>
    <n v="16297.29"/>
  </r>
  <r>
    <s v="Delhi"/>
    <s v="CUST3447"/>
    <s v="Consumer"/>
    <s v="Furniture"/>
    <s v="Laptop"/>
    <x v="95"/>
    <x v="3"/>
    <s v="Online"/>
    <s v="UPI"/>
    <s v="Low"/>
    <n v="1"/>
    <n v="15882"/>
    <n v="20"/>
    <n v="12705.6"/>
    <n v="221.13"/>
  </r>
  <r>
    <s v="Chennai"/>
    <s v="CUST7145"/>
    <s v="Consumer"/>
    <s v="Electronics"/>
    <s v="Printer"/>
    <x v="153"/>
    <x v="3"/>
    <s v="Offline"/>
    <s v="Net Banking"/>
    <s v="Medium"/>
    <n v="7"/>
    <n v="15210"/>
    <n v="5"/>
    <n v="101146.5"/>
    <n v="22366.47"/>
  </r>
  <r>
    <s v="Chennai"/>
    <s v="CUST1277"/>
    <s v="Corporate"/>
    <s v="Furniture"/>
    <s v="Mobile"/>
    <x v="164"/>
    <x v="4"/>
    <s v="Offline"/>
    <s v="UPI"/>
    <s v="Low"/>
    <n v="9"/>
    <n v="47515"/>
    <n v="0"/>
    <n v="427635"/>
    <n v="81219.520000000004"/>
  </r>
  <r>
    <s v="Chennai"/>
    <s v="CUST4574"/>
    <s v="Consumer"/>
    <s v="Electronics"/>
    <s v="Table"/>
    <x v="80"/>
    <x v="3"/>
    <s v="Online"/>
    <s v="Cash"/>
    <s v="Critical"/>
    <n v="9"/>
    <n v="5077"/>
    <n v="10"/>
    <n v="41123.699999999997"/>
    <n v="6014.47"/>
  </r>
  <r>
    <s v="Mumbai"/>
    <s v="CUST4150"/>
    <s v="Home Office"/>
    <s v="Office Supplies"/>
    <s v="Mobile"/>
    <x v="109"/>
    <x v="4"/>
    <s v="Offline"/>
    <s v="Cash"/>
    <s v="Critical"/>
    <n v="1"/>
    <n v="34979"/>
    <n v="20"/>
    <n v="27983.200000000001"/>
    <n v="2086.66"/>
  </r>
  <r>
    <s v="Bangalore"/>
    <s v="CUST2458"/>
    <s v="Home Office"/>
    <s v="Office Supplies"/>
    <s v="Table"/>
    <x v="30"/>
    <x v="4"/>
    <s v="Online"/>
    <s v="Debit Card"/>
    <s v="Medium"/>
    <n v="6"/>
    <n v="27924"/>
    <n v="10"/>
    <n v="150789.6"/>
    <n v="30996.5"/>
  </r>
  <r>
    <s v="Delhi"/>
    <s v="CUST4321"/>
    <s v="Home Office"/>
    <s v="Office Supplies"/>
    <s v="Mobile"/>
    <x v="117"/>
    <x v="4"/>
    <s v="Offline"/>
    <s v="UPI"/>
    <s v="Low"/>
    <n v="9"/>
    <n v="19954"/>
    <n v="20"/>
    <n v="143668.79999999999"/>
    <n v="-19971.330000000002"/>
  </r>
  <r>
    <s v="Delhi"/>
    <s v="CUST7475"/>
    <s v="Corporate"/>
    <s v="Office Supplies"/>
    <s v="Printer"/>
    <x v="2"/>
    <x v="1"/>
    <s v="Online"/>
    <s v="Debit Card"/>
    <s v="High"/>
    <n v="3"/>
    <n v="25390"/>
    <n v="20"/>
    <n v="60936"/>
    <n v="-1422.36"/>
  </r>
  <r>
    <s v="Delhi"/>
    <s v="CUST7014"/>
    <s v="Consumer"/>
    <s v="Furniture"/>
    <s v="Table"/>
    <x v="152"/>
    <x v="2"/>
    <s v="Online"/>
    <s v="Net Banking"/>
    <s v="Low"/>
    <n v="4"/>
    <n v="618"/>
    <n v="0"/>
    <n v="2472"/>
    <n v="356.28"/>
  </r>
  <r>
    <s v="Ahmedabad"/>
    <s v="CUST9266"/>
    <s v="Home Office"/>
    <s v="Furniture"/>
    <s v="Table"/>
    <x v="191"/>
    <x v="0"/>
    <s v="Online"/>
    <s v="Credit Card"/>
    <s v="Low"/>
    <n v="6"/>
    <n v="1816"/>
    <n v="5"/>
    <n v="10351.200000000001"/>
    <n v="824.12"/>
  </r>
  <r>
    <s v="Chennai"/>
    <s v="CUST8542"/>
    <s v="Consumer"/>
    <s v="Office Supplies"/>
    <s v="Laptop"/>
    <x v="14"/>
    <x v="1"/>
    <s v="Online"/>
    <s v="Cash"/>
    <s v="Critical"/>
    <n v="8"/>
    <n v="36595"/>
    <n v="20"/>
    <n v="234208"/>
    <n v="9870.6200000000008"/>
  </r>
  <r>
    <s v="Chennai"/>
    <s v="CUST2634"/>
    <s v="Corporate"/>
    <s v="Furniture"/>
    <s v="Table"/>
    <x v="125"/>
    <x v="2"/>
    <s v="Offline"/>
    <s v="Cash"/>
    <s v="High"/>
    <n v="6"/>
    <n v="41704"/>
    <n v="0"/>
    <n v="250224"/>
    <n v="58587.28"/>
  </r>
  <r>
    <s v="Ahmedabad"/>
    <s v="CUST1152"/>
    <s v="Consumer"/>
    <s v="Office Supplies"/>
    <s v="Laptop"/>
    <x v="66"/>
    <x v="2"/>
    <s v="Offline"/>
    <s v="Cash"/>
    <s v="Medium"/>
    <n v="1"/>
    <n v="21562"/>
    <n v="15"/>
    <n v="18327.7"/>
    <n v="-390.71"/>
  </r>
  <r>
    <s v="Bangalore"/>
    <s v="CUST9708"/>
    <s v="Consumer"/>
    <s v="Office Supplies"/>
    <s v="Laptop"/>
    <x v="61"/>
    <x v="5"/>
    <s v="Online"/>
    <s v="Credit Card"/>
    <s v="Medium"/>
    <n v="3"/>
    <n v="20457"/>
    <n v="15"/>
    <n v="52165.35"/>
    <n v="-2831.8"/>
  </r>
  <r>
    <s v="Chennai"/>
    <s v="CUST1082"/>
    <s v="Corporate"/>
    <s v="Office Supplies"/>
    <s v="Laptop"/>
    <x v="94"/>
    <x v="4"/>
    <s v="Online"/>
    <s v="UPI"/>
    <s v="Low"/>
    <n v="4"/>
    <n v="41523"/>
    <n v="5"/>
    <n v="157787.4"/>
    <n v="14576.31"/>
  </r>
  <r>
    <s v="Delhi"/>
    <s v="CUST7882"/>
    <s v="Consumer"/>
    <s v="Furniture"/>
    <s v="Laptop"/>
    <x v="44"/>
    <x v="1"/>
    <s v="Online"/>
    <s v="Credit Card"/>
    <s v="High"/>
    <n v="8"/>
    <n v="26569"/>
    <n v="0"/>
    <n v="212552"/>
    <n v="33060.35"/>
  </r>
  <r>
    <s v="Ahmedabad"/>
    <s v="CUST6855"/>
    <s v="Consumer"/>
    <s v="Furniture"/>
    <s v="Storage"/>
    <x v="181"/>
    <x v="2"/>
    <s v="Online"/>
    <s v="Cash"/>
    <s v="Low"/>
    <n v="4"/>
    <n v="28151"/>
    <n v="0"/>
    <n v="112604"/>
    <n v="7622.14"/>
  </r>
  <r>
    <s v="Mumbai"/>
    <s v="CUST8191"/>
    <s v="Home Office"/>
    <s v="Office Supplies"/>
    <s v="Storage"/>
    <x v="46"/>
    <x v="1"/>
    <s v="Online"/>
    <s v="UPI"/>
    <s v="Low"/>
    <n v="8"/>
    <n v="46931"/>
    <n v="10"/>
    <n v="337903.2"/>
    <n v="44012.42"/>
  </r>
  <r>
    <s v="Delhi"/>
    <s v="CUST3900"/>
    <s v="Consumer"/>
    <s v="Electronics"/>
    <s v="Mobile"/>
    <x v="192"/>
    <x v="3"/>
    <s v="Offline"/>
    <s v="Debit Card"/>
    <s v="Medium"/>
    <n v="1"/>
    <n v="4162"/>
    <n v="10"/>
    <n v="3745.8"/>
    <n v="327.07"/>
  </r>
  <r>
    <s v="Mumbai"/>
    <s v="CUST5671"/>
    <s v="Home Office"/>
    <s v="Electronics"/>
    <s v="Printer"/>
    <x v="47"/>
    <x v="5"/>
    <s v="Offline"/>
    <s v="Credit Card"/>
    <s v="Low"/>
    <n v="7"/>
    <n v="36563"/>
    <n v="0"/>
    <n v="255941"/>
    <n v="74136.56"/>
  </r>
  <r>
    <s v="Ahmedabad"/>
    <s v="CUST5562"/>
    <s v="Corporate"/>
    <s v="Electronics"/>
    <s v="Chair"/>
    <x v="18"/>
    <x v="2"/>
    <s v="Offline"/>
    <s v="Cash"/>
    <s v="Critical"/>
    <n v="6"/>
    <n v="5971"/>
    <n v="10"/>
    <n v="32243.4"/>
    <n v="3017.32"/>
  </r>
  <r>
    <s v="Bangalore"/>
    <s v="CUST9507"/>
    <s v="Corporate"/>
    <s v="Office Supplies"/>
    <s v="Storage"/>
    <x v="29"/>
    <x v="2"/>
    <s v="Online"/>
    <s v="UPI"/>
    <s v="Low"/>
    <n v="5"/>
    <n v="28923"/>
    <n v="5"/>
    <n v="137384.25"/>
    <n v="27891.18"/>
  </r>
  <r>
    <s v="Delhi"/>
    <s v="CUST5213"/>
    <s v="Corporate"/>
    <s v="Electronics"/>
    <s v="Printer"/>
    <x v="71"/>
    <x v="2"/>
    <s v="Offline"/>
    <s v="UPI"/>
    <s v="High"/>
    <n v="5"/>
    <n v="28596"/>
    <n v="15"/>
    <n v="121533"/>
    <n v="-3688.26"/>
  </r>
  <r>
    <s v="Chennai"/>
    <s v="CUST7990"/>
    <s v="Consumer"/>
    <s v="Office Supplies"/>
    <s v="Laptop"/>
    <x v="29"/>
    <x v="1"/>
    <s v="Online"/>
    <s v="Debit Card"/>
    <s v="Low"/>
    <n v="8"/>
    <n v="26560"/>
    <n v="15"/>
    <n v="180608"/>
    <n v="30465.72"/>
  </r>
  <r>
    <s v="Bangalore"/>
    <s v="CUST4323"/>
    <s v="Consumer"/>
    <s v="Electronics"/>
    <s v="Storage"/>
    <x v="84"/>
    <x v="5"/>
    <s v="Online"/>
    <s v="UPI"/>
    <s v="High"/>
    <n v="9"/>
    <n v="47481"/>
    <n v="0"/>
    <n v="427329"/>
    <n v="78063.259999999995"/>
  </r>
  <r>
    <s v="Delhi"/>
    <s v="CUST4112"/>
    <s v="Corporate"/>
    <s v="Furniture"/>
    <s v="Printer"/>
    <x v="61"/>
    <x v="1"/>
    <s v="Online"/>
    <s v="Debit Card"/>
    <s v="Medium"/>
    <n v="1"/>
    <n v="16348"/>
    <n v="10"/>
    <n v="14713.2"/>
    <n v="2583.12"/>
  </r>
  <r>
    <s v="Delhi"/>
    <s v="CUST1195"/>
    <s v="Home Office"/>
    <s v="Electronics"/>
    <s v="Table"/>
    <x v="67"/>
    <x v="1"/>
    <s v="Online"/>
    <s v="Debit Card"/>
    <s v="Medium"/>
    <n v="8"/>
    <n v="31811"/>
    <n v="0"/>
    <n v="254488"/>
    <n v="34617.1"/>
  </r>
  <r>
    <s v="Ahmedabad"/>
    <s v="CUST6460"/>
    <s v="Corporate"/>
    <s v="Electronics"/>
    <s v="Table"/>
    <x v="181"/>
    <x v="1"/>
    <s v="Offline"/>
    <s v="Net Banking"/>
    <s v="Medium"/>
    <n v="3"/>
    <n v="1329"/>
    <n v="0"/>
    <n v="3987"/>
    <n v="750.08"/>
  </r>
  <r>
    <s v="Bangalore"/>
    <s v="CUST4841"/>
    <s v="Consumer"/>
    <s v="Electronics"/>
    <s v="Storage"/>
    <x v="120"/>
    <x v="0"/>
    <s v="Online"/>
    <s v="Debit Card"/>
    <s v="Medium"/>
    <n v="10"/>
    <n v="10684"/>
    <n v="15"/>
    <n v="90814"/>
    <n v="-2186.1999999999998"/>
  </r>
  <r>
    <s v="Mumbai"/>
    <s v="CUST7926"/>
    <s v="Home Office"/>
    <s v="Furniture"/>
    <s v="Storage"/>
    <x v="143"/>
    <x v="0"/>
    <s v="Offline"/>
    <s v="Credit Card"/>
    <s v="Medium"/>
    <n v="1"/>
    <n v="24502"/>
    <n v="0"/>
    <n v="24502"/>
    <n v="5310.08"/>
  </r>
  <r>
    <s v="Chennai"/>
    <s v="CUST9287"/>
    <s v="Consumer"/>
    <s v="Office Supplies"/>
    <s v="Printer"/>
    <x v="50"/>
    <x v="0"/>
    <s v="Online"/>
    <s v="Net Banking"/>
    <s v="Critical"/>
    <n v="3"/>
    <n v="46867"/>
    <n v="20"/>
    <n v="112480.8"/>
    <n v="-2941.46"/>
  </r>
  <r>
    <s v="Bangalore"/>
    <s v="CUST6783"/>
    <s v="Consumer"/>
    <s v="Furniture"/>
    <s v="Mobile"/>
    <x v="10"/>
    <x v="5"/>
    <s v="Offline"/>
    <s v="Cash"/>
    <s v="Low"/>
    <n v="7"/>
    <n v="32635"/>
    <n v="15"/>
    <n v="194178.25"/>
    <n v="-13551.07"/>
  </r>
  <r>
    <s v="Bangalore"/>
    <s v="CUST7601"/>
    <s v="Corporate"/>
    <s v="Electronics"/>
    <s v="Table"/>
    <x v="129"/>
    <x v="4"/>
    <s v="Offline"/>
    <s v="Cash"/>
    <s v="Low"/>
    <n v="2"/>
    <n v="6875"/>
    <n v="20"/>
    <n v="11000"/>
    <n v="651.88"/>
  </r>
  <r>
    <s v="Bangalore"/>
    <s v="CUST4292"/>
    <s v="Consumer"/>
    <s v="Office Supplies"/>
    <s v="Printer"/>
    <x v="89"/>
    <x v="3"/>
    <s v="Offline"/>
    <s v="UPI"/>
    <s v="Low"/>
    <n v="10"/>
    <n v="2986"/>
    <n v="15"/>
    <n v="25381"/>
    <n v="-1268.92"/>
  </r>
  <r>
    <s v="Delhi"/>
    <s v="CUST9751"/>
    <s v="Home Office"/>
    <s v="Electronics"/>
    <s v="Table"/>
    <x v="169"/>
    <x v="1"/>
    <s v="Online"/>
    <s v="UPI"/>
    <s v="Low"/>
    <n v="1"/>
    <n v="40004"/>
    <n v="15"/>
    <n v="34003.4"/>
    <n v="2084.75"/>
  </r>
  <r>
    <s v="Ahmedabad"/>
    <s v="CUST1482"/>
    <s v="Consumer"/>
    <s v="Electronics"/>
    <s v="Table"/>
    <x v="131"/>
    <x v="1"/>
    <s v="Offline"/>
    <s v="UPI"/>
    <s v="Low"/>
    <n v="10"/>
    <n v="39198"/>
    <n v="0"/>
    <n v="391980"/>
    <n v="35568.76"/>
  </r>
  <r>
    <s v="Bangalore"/>
    <s v="CUST6530"/>
    <s v="Home Office"/>
    <s v="Electronics"/>
    <s v="Storage"/>
    <x v="174"/>
    <x v="3"/>
    <s v="Offline"/>
    <s v="Debit Card"/>
    <s v="Low"/>
    <n v="3"/>
    <n v="23848"/>
    <n v="20"/>
    <n v="57235.199999999997"/>
    <n v="-2032.1"/>
  </r>
  <r>
    <s v="Bangalore"/>
    <s v="CUST4073"/>
    <s v="Consumer"/>
    <s v="Office Supplies"/>
    <s v="Storage"/>
    <x v="168"/>
    <x v="2"/>
    <s v="Online"/>
    <s v="Cash"/>
    <s v="Low"/>
    <n v="9"/>
    <n v="28929"/>
    <n v="20"/>
    <n v="208288.8"/>
    <n v="5930.59"/>
  </r>
  <r>
    <s v="Chennai"/>
    <s v="CUST6294"/>
    <s v="Consumer"/>
    <s v="Furniture"/>
    <s v="Chair"/>
    <x v="193"/>
    <x v="4"/>
    <s v="Offline"/>
    <s v="Credit Card"/>
    <s v="Low"/>
    <n v="7"/>
    <n v="25184"/>
    <n v="0"/>
    <n v="176288"/>
    <n v="14780.51"/>
  </r>
  <r>
    <s v="Chennai"/>
    <s v="CUST3905"/>
    <s v="Corporate"/>
    <s v="Electronics"/>
    <s v="Laptop"/>
    <x v="160"/>
    <x v="1"/>
    <s v="Offline"/>
    <s v="Credit Card"/>
    <s v="Low"/>
    <n v="2"/>
    <n v="29319"/>
    <n v="15"/>
    <n v="49842.3"/>
    <n v="6461.6"/>
  </r>
  <r>
    <s v="Ahmedabad"/>
    <s v="CUST4835"/>
    <s v="Home Office"/>
    <s v="Office Supplies"/>
    <s v="Chair"/>
    <x v="61"/>
    <x v="0"/>
    <s v="Online"/>
    <s v="Debit Card"/>
    <s v="Medium"/>
    <n v="8"/>
    <n v="22229"/>
    <n v="20"/>
    <n v="142265.60000000001"/>
    <n v="-25283.4"/>
  </r>
  <r>
    <s v="Delhi"/>
    <s v="CUST2101"/>
    <s v="Corporate"/>
    <s v="Furniture"/>
    <s v="Printer"/>
    <x v="69"/>
    <x v="5"/>
    <s v="Online"/>
    <s v="Cash"/>
    <s v="Medium"/>
    <n v="5"/>
    <n v="24533"/>
    <n v="5"/>
    <n v="116531.75"/>
    <n v="3740.26"/>
  </r>
  <r>
    <s v="Bangalore"/>
    <s v="CUST3107"/>
    <s v="Corporate"/>
    <s v="Furniture"/>
    <s v="Printer"/>
    <x v="67"/>
    <x v="3"/>
    <s v="Offline"/>
    <s v="Net Banking"/>
    <s v="Medium"/>
    <n v="6"/>
    <n v="5554"/>
    <n v="15"/>
    <n v="28325.4"/>
    <n v="1487.08"/>
  </r>
  <r>
    <s v="Chennai"/>
    <s v="CUST6656"/>
    <s v="Corporate"/>
    <s v="Electronics"/>
    <s v="Mobile"/>
    <x v="46"/>
    <x v="1"/>
    <s v="Offline"/>
    <s v="Net Banking"/>
    <s v="Low"/>
    <n v="5"/>
    <n v="44931"/>
    <n v="5"/>
    <n v="213422.25"/>
    <n v="18425.150000000001"/>
  </r>
  <r>
    <s v="Delhi"/>
    <s v="CUST9791"/>
    <s v="Home Office"/>
    <s v="Office Supplies"/>
    <s v="Printer"/>
    <x v="21"/>
    <x v="1"/>
    <s v="Online"/>
    <s v="Debit Card"/>
    <s v="Medium"/>
    <n v="1"/>
    <n v="24697"/>
    <n v="5"/>
    <n v="23462.15"/>
    <n v="30.38"/>
  </r>
  <r>
    <s v="Delhi"/>
    <s v="CUST6055"/>
    <s v="Consumer"/>
    <s v="Furniture"/>
    <s v="Printer"/>
    <x v="153"/>
    <x v="5"/>
    <s v="Offline"/>
    <s v="UPI"/>
    <s v="Low"/>
    <n v="4"/>
    <n v="48573"/>
    <n v="20"/>
    <n v="155433.60000000001"/>
    <n v="-8097.56"/>
  </r>
  <r>
    <s v="Delhi"/>
    <s v="CUST8053"/>
    <s v="Consumer"/>
    <s v="Furniture"/>
    <s v="Laptop"/>
    <x v="175"/>
    <x v="0"/>
    <s v="Offline"/>
    <s v="Credit Card"/>
    <s v="Medium"/>
    <n v="8"/>
    <n v="17602"/>
    <n v="15"/>
    <n v="119693.6"/>
    <n v="-10804.5"/>
  </r>
  <r>
    <s v="Delhi"/>
    <s v="CUST9709"/>
    <s v="Home Office"/>
    <s v="Office Supplies"/>
    <s v="Storage"/>
    <x v="45"/>
    <x v="1"/>
    <s v="Online"/>
    <s v="Net Banking"/>
    <s v="Medium"/>
    <n v="8"/>
    <n v="41423"/>
    <n v="10"/>
    <n v="298245.59999999998"/>
    <n v="-13761.71"/>
  </r>
  <r>
    <s v="Mumbai"/>
    <s v="CUST6177"/>
    <s v="Consumer"/>
    <s v="Office Supplies"/>
    <s v="Table"/>
    <x v="186"/>
    <x v="3"/>
    <s v="Online"/>
    <s v="Net Banking"/>
    <s v="High"/>
    <n v="6"/>
    <n v="35465"/>
    <n v="10"/>
    <n v="191511"/>
    <n v="35600.910000000003"/>
  </r>
  <r>
    <s v="Bangalore"/>
    <s v="CUST8833"/>
    <s v="Consumer"/>
    <s v="Office Supplies"/>
    <s v="Printer"/>
    <x v="123"/>
    <x v="0"/>
    <s v="Offline"/>
    <s v="Debit Card"/>
    <s v="High"/>
    <n v="4"/>
    <n v="31069"/>
    <n v="10"/>
    <n v="111848.4"/>
    <n v="6020.19"/>
  </r>
  <r>
    <s v="Bangalore"/>
    <s v="CUST1123"/>
    <s v="Consumer"/>
    <s v="Furniture"/>
    <s v="Storage"/>
    <x v="80"/>
    <x v="2"/>
    <s v="Online"/>
    <s v="Net Banking"/>
    <s v="Low"/>
    <n v="4"/>
    <n v="966"/>
    <n v="0"/>
    <n v="3864"/>
    <n v="1018.17"/>
  </r>
  <r>
    <s v="Ahmedabad"/>
    <s v="CUST2461"/>
    <s v="Home Office"/>
    <s v="Office Supplies"/>
    <s v="Storage"/>
    <x v="1"/>
    <x v="1"/>
    <s v="Offline"/>
    <s v="Debit Card"/>
    <s v="High"/>
    <n v="3"/>
    <n v="46948"/>
    <n v="0"/>
    <n v="140844"/>
    <n v="38244.9"/>
  </r>
  <r>
    <s v="Bangalore"/>
    <s v="CUST9988"/>
    <s v="Consumer"/>
    <s v="Office Supplies"/>
    <s v="Laptop"/>
    <x v="150"/>
    <x v="4"/>
    <s v="Offline"/>
    <s v="UPI"/>
    <s v="Critical"/>
    <n v="1"/>
    <n v="39101"/>
    <n v="20"/>
    <n v="31280.799999999999"/>
    <n v="2340.5700000000002"/>
  </r>
  <r>
    <s v="Ahmedabad"/>
    <s v="CUST6502"/>
    <s v="Consumer"/>
    <s v="Furniture"/>
    <s v="Laptop"/>
    <x v="100"/>
    <x v="3"/>
    <s v="Online"/>
    <s v="Debit Card"/>
    <s v="Critical"/>
    <n v="7"/>
    <n v="17218"/>
    <n v="20"/>
    <n v="96420.800000000003"/>
    <n v="-17305.48"/>
  </r>
  <r>
    <s v="Mumbai"/>
    <s v="CUST9062"/>
    <s v="Corporate"/>
    <s v="Furniture"/>
    <s v="Mobile"/>
    <x v="4"/>
    <x v="5"/>
    <s v="Offline"/>
    <s v="UPI"/>
    <s v="Low"/>
    <n v="10"/>
    <n v="4062"/>
    <n v="0"/>
    <n v="40620"/>
    <n v="6779.39"/>
  </r>
  <r>
    <s v="Ahmedabad"/>
    <s v="CUST8817"/>
    <s v="Corporate"/>
    <s v="Furniture"/>
    <s v="Printer"/>
    <x v="85"/>
    <x v="3"/>
    <s v="Offline"/>
    <s v="Cash"/>
    <s v="High"/>
    <n v="6"/>
    <n v="29082"/>
    <n v="15"/>
    <n v="148318.20000000001"/>
    <n v="16837.419999999998"/>
  </r>
  <r>
    <s v="Bangalore"/>
    <s v="CUST7509"/>
    <s v="Consumer"/>
    <s v="Office Supplies"/>
    <s v="Table"/>
    <x v="140"/>
    <x v="4"/>
    <s v="Online"/>
    <s v="Net Banking"/>
    <s v="High"/>
    <n v="2"/>
    <n v="882"/>
    <n v="20"/>
    <n v="1411.2"/>
    <n v="-76.209999999999994"/>
  </r>
  <r>
    <s v="Chennai"/>
    <s v="CUST2411"/>
    <s v="Home Office"/>
    <s v="Office Supplies"/>
    <s v="Storage"/>
    <x v="53"/>
    <x v="1"/>
    <s v="Offline"/>
    <s v="Net Banking"/>
    <s v="Low"/>
    <n v="2"/>
    <n v="1332"/>
    <n v="10"/>
    <n v="2397.6"/>
    <n v="82.14"/>
  </r>
  <r>
    <s v="Chennai"/>
    <s v="CUST7861"/>
    <s v="Home Office"/>
    <s v="Office Supplies"/>
    <s v="Table"/>
    <x v="130"/>
    <x v="2"/>
    <s v="Offline"/>
    <s v="UPI"/>
    <s v="Medium"/>
    <n v="7"/>
    <n v="3025"/>
    <n v="5"/>
    <n v="20116.25"/>
    <n v="775.97"/>
  </r>
  <r>
    <s v="Delhi"/>
    <s v="CUST3885"/>
    <s v="Home Office"/>
    <s v="Office Supplies"/>
    <s v="Laptop"/>
    <x v="126"/>
    <x v="5"/>
    <s v="Offline"/>
    <s v="Net Banking"/>
    <s v="Low"/>
    <n v="9"/>
    <n v="24804"/>
    <n v="10"/>
    <n v="200912.4"/>
    <n v="35171.129999999997"/>
  </r>
  <r>
    <s v="Mumbai"/>
    <s v="CUST1892"/>
    <s v="Consumer"/>
    <s v="Furniture"/>
    <s v="Storage"/>
    <x v="144"/>
    <x v="5"/>
    <s v="Online"/>
    <s v="UPI"/>
    <s v="Critical"/>
    <n v="10"/>
    <n v="16290"/>
    <n v="20"/>
    <n v="130320"/>
    <n v="-17427.43"/>
  </r>
  <r>
    <s v="Delhi"/>
    <s v="CUST3522"/>
    <s v="Corporate"/>
    <s v="Electronics"/>
    <s v="Printer"/>
    <x v="4"/>
    <x v="3"/>
    <s v="Online"/>
    <s v="Credit Card"/>
    <s v="Critical"/>
    <n v="2"/>
    <n v="45128"/>
    <n v="15"/>
    <n v="76717.600000000006"/>
    <n v="4911.1899999999996"/>
  </r>
  <r>
    <s v="Ahmedabad"/>
    <s v="CUST7581"/>
    <s v="Home Office"/>
    <s v="Office Supplies"/>
    <s v="Mobile"/>
    <x v="31"/>
    <x v="5"/>
    <s v="Online"/>
    <s v="Credit Card"/>
    <s v="High"/>
    <n v="4"/>
    <n v="47756"/>
    <n v="20"/>
    <n v="152819.20000000001"/>
    <n v="9077.89"/>
  </r>
  <r>
    <s v="Ahmedabad"/>
    <s v="CUST7834"/>
    <s v="Corporate"/>
    <s v="Electronics"/>
    <s v="Mobile"/>
    <x v="163"/>
    <x v="1"/>
    <s v="Online"/>
    <s v="UPI"/>
    <s v="Critical"/>
    <n v="3"/>
    <n v="11032"/>
    <n v="15"/>
    <n v="28131.599999999999"/>
    <n v="1186.8900000000001"/>
  </r>
  <r>
    <s v="Ahmedabad"/>
    <s v="CUST3596"/>
    <s v="Home Office"/>
    <s v="Furniture"/>
    <s v="Table"/>
    <x v="32"/>
    <x v="5"/>
    <s v="Online"/>
    <s v="Debit Card"/>
    <s v="Critical"/>
    <n v="9"/>
    <n v="13302"/>
    <n v="0"/>
    <n v="119718"/>
    <n v="31368.93"/>
  </r>
  <r>
    <s v="Mumbai"/>
    <s v="CUST4394"/>
    <s v="Home Office"/>
    <s v="Furniture"/>
    <s v="Table"/>
    <x v="76"/>
    <x v="4"/>
    <s v="Online"/>
    <s v="Cash"/>
    <s v="Medium"/>
    <n v="3"/>
    <n v="47791"/>
    <n v="15"/>
    <n v="121867.05"/>
    <n v="15542.81"/>
  </r>
  <r>
    <s v="Mumbai"/>
    <s v="CUST8537"/>
    <s v="Consumer"/>
    <s v="Electronics"/>
    <s v="Storage"/>
    <x v="90"/>
    <x v="4"/>
    <s v="Online"/>
    <s v="Net Banking"/>
    <s v="High"/>
    <n v="1"/>
    <n v="7425"/>
    <n v="5"/>
    <n v="7053.75"/>
    <n v="818.19"/>
  </r>
  <r>
    <s v="Delhi"/>
    <s v="CUST6223"/>
    <s v="Home Office"/>
    <s v="Electronics"/>
    <s v="Mobile"/>
    <x v="106"/>
    <x v="1"/>
    <s v="Online"/>
    <s v="UPI"/>
    <s v="Medium"/>
    <n v="9"/>
    <n v="36090"/>
    <n v="20"/>
    <n v="259848"/>
    <n v="27375.86"/>
  </r>
  <r>
    <s v="Delhi"/>
    <s v="CUST5444"/>
    <s v="Corporate"/>
    <s v="Furniture"/>
    <s v="Storage"/>
    <x v="103"/>
    <x v="2"/>
    <s v="Online"/>
    <s v="Cash"/>
    <s v="High"/>
    <n v="9"/>
    <n v="14568"/>
    <n v="5"/>
    <n v="124556.4"/>
    <n v="18054.509999999998"/>
  </r>
  <r>
    <s v="Bangalore"/>
    <s v="CUST5405"/>
    <s v="Corporate"/>
    <s v="Electronics"/>
    <s v="Mobile"/>
    <x v="110"/>
    <x v="2"/>
    <s v="Online"/>
    <s v="Cash"/>
    <s v="Critical"/>
    <n v="8"/>
    <n v="21341"/>
    <n v="15"/>
    <n v="145118.79999999999"/>
    <n v="10351.56"/>
  </r>
  <r>
    <s v="Chennai"/>
    <s v="CUST4612"/>
    <s v="Consumer"/>
    <s v="Office Supplies"/>
    <s v="Mobile"/>
    <x v="160"/>
    <x v="0"/>
    <s v="Online"/>
    <s v="Debit Card"/>
    <s v="High"/>
    <n v="3"/>
    <n v="22244"/>
    <n v="15"/>
    <n v="56722.2"/>
    <n v="5801.69"/>
  </r>
  <r>
    <s v="Delhi"/>
    <s v="CUST1325"/>
    <s v="Consumer"/>
    <s v="Electronics"/>
    <s v="Laptop"/>
    <x v="70"/>
    <x v="4"/>
    <s v="Offline"/>
    <s v="Cash"/>
    <s v="High"/>
    <n v="2"/>
    <n v="23630"/>
    <n v="20"/>
    <n v="37808"/>
    <n v="1929.77"/>
  </r>
  <r>
    <s v="Chennai"/>
    <s v="CUST6544"/>
    <s v="Home Office"/>
    <s v="Office Supplies"/>
    <s v="Table"/>
    <x v="154"/>
    <x v="4"/>
    <s v="Offline"/>
    <s v="Debit Card"/>
    <s v="Medium"/>
    <n v="3"/>
    <n v="27854"/>
    <n v="20"/>
    <n v="66849.600000000006"/>
    <n v="-8665.02"/>
  </r>
  <r>
    <s v="Mumbai"/>
    <s v="CUST6952"/>
    <s v="Corporate"/>
    <s v="Electronics"/>
    <s v="Laptop"/>
    <x v="136"/>
    <x v="3"/>
    <s v="Online"/>
    <s v="Net Banking"/>
    <s v="Low"/>
    <n v="10"/>
    <n v="45023"/>
    <n v="15"/>
    <n v="382695.5"/>
    <n v="41614.61"/>
  </r>
  <r>
    <s v="Ahmedabad"/>
    <s v="CUST1157"/>
    <s v="Corporate"/>
    <s v="Office Supplies"/>
    <s v="Table"/>
    <x v="13"/>
    <x v="4"/>
    <s v="Offline"/>
    <s v="UPI"/>
    <s v="High"/>
    <n v="6"/>
    <n v="8706"/>
    <n v="20"/>
    <n v="41788.800000000003"/>
    <n v="-2086.65"/>
  </r>
  <r>
    <s v="Delhi"/>
    <s v="CUST8228"/>
    <s v="Home Office"/>
    <s v="Furniture"/>
    <s v="Mobile"/>
    <x v="30"/>
    <x v="1"/>
    <s v="Offline"/>
    <s v="Credit Card"/>
    <s v="Critical"/>
    <n v="10"/>
    <n v="36510"/>
    <n v="20"/>
    <n v="292080"/>
    <n v="-9651.84"/>
  </r>
  <r>
    <s v="Ahmedabad"/>
    <s v="CUST6236"/>
    <s v="Consumer"/>
    <s v="Electronics"/>
    <s v="Mobile"/>
    <x v="6"/>
    <x v="4"/>
    <s v="Online"/>
    <s v="Debit Card"/>
    <s v="High"/>
    <n v="4"/>
    <n v="21037"/>
    <n v="5"/>
    <n v="79940.600000000006"/>
    <n v="7961.23"/>
  </r>
  <r>
    <s v="Bangalore"/>
    <s v="CUST9705"/>
    <s v="Home Office"/>
    <s v="Office Supplies"/>
    <s v="Laptop"/>
    <x v="73"/>
    <x v="0"/>
    <s v="Offline"/>
    <s v="Cash"/>
    <s v="Medium"/>
    <n v="5"/>
    <n v="13739"/>
    <n v="10"/>
    <n v="61825.5"/>
    <n v="3515.93"/>
  </r>
  <r>
    <s v="Chennai"/>
    <s v="CUST2875"/>
    <s v="Consumer"/>
    <s v="Furniture"/>
    <s v="Chair"/>
    <x v="43"/>
    <x v="4"/>
    <s v="Online"/>
    <s v="UPI"/>
    <s v="Critical"/>
    <n v="6"/>
    <n v="30068"/>
    <n v="15"/>
    <n v="153346.79999999999"/>
    <n v="-11804.18"/>
  </r>
  <r>
    <s v="Mumbai"/>
    <s v="CUST8616"/>
    <s v="Home Office"/>
    <s v="Electronics"/>
    <s v="Printer"/>
    <x v="91"/>
    <x v="3"/>
    <s v="Online"/>
    <s v="Net Banking"/>
    <s v="Medium"/>
    <n v="2"/>
    <n v="40584"/>
    <n v="5"/>
    <n v="77109.600000000006"/>
    <n v="259.55"/>
  </r>
  <r>
    <s v="Mumbai"/>
    <s v="CUST4198"/>
    <s v="Corporate"/>
    <s v="Electronics"/>
    <s v="Printer"/>
    <x v="46"/>
    <x v="3"/>
    <s v="Online"/>
    <s v="Net Banking"/>
    <s v="Low"/>
    <n v="4"/>
    <n v="22292"/>
    <n v="10"/>
    <n v="80251.199999999997"/>
    <n v="6688.86"/>
  </r>
  <r>
    <s v="Ahmedabad"/>
    <s v="CUST2032"/>
    <s v="Home Office"/>
    <s v="Electronics"/>
    <s v="Chair"/>
    <x v="116"/>
    <x v="5"/>
    <s v="Online"/>
    <s v="Credit Card"/>
    <s v="High"/>
    <n v="5"/>
    <n v="28614"/>
    <n v="5"/>
    <n v="135916.5"/>
    <n v="875.89"/>
  </r>
  <r>
    <s v="Ahmedabad"/>
    <s v="CUST9581"/>
    <s v="Corporate"/>
    <s v="Electronics"/>
    <s v="Laptop"/>
    <x v="51"/>
    <x v="1"/>
    <s v="Offline"/>
    <s v="Credit Card"/>
    <s v="Critical"/>
    <n v="10"/>
    <n v="42388"/>
    <n v="10"/>
    <n v="381492"/>
    <n v="78030.58"/>
  </r>
  <r>
    <s v="Delhi"/>
    <s v="CUST2423"/>
    <s v="Home Office"/>
    <s v="Furniture"/>
    <s v="Storage"/>
    <x v="55"/>
    <x v="2"/>
    <s v="Offline"/>
    <s v="UPI"/>
    <s v="Low"/>
    <n v="8"/>
    <n v="16214"/>
    <n v="20"/>
    <n v="103769.60000000001"/>
    <n v="-6683"/>
  </r>
  <r>
    <s v="Bangalore"/>
    <s v="CUST5231"/>
    <s v="Home Office"/>
    <s v="Office Supplies"/>
    <s v="Laptop"/>
    <x v="141"/>
    <x v="5"/>
    <s v="Offline"/>
    <s v="Cash"/>
    <s v="Critical"/>
    <n v="9"/>
    <n v="22961"/>
    <n v="10"/>
    <n v="185984.1"/>
    <n v="26669.07"/>
  </r>
  <r>
    <s v="Ahmedabad"/>
    <s v="CUST6617"/>
    <s v="Corporate"/>
    <s v="Electronics"/>
    <s v="Mobile"/>
    <x v="17"/>
    <x v="5"/>
    <s v="Offline"/>
    <s v="Net Banking"/>
    <s v="Medium"/>
    <n v="10"/>
    <n v="31904"/>
    <n v="0"/>
    <n v="319040"/>
    <n v="93540"/>
  </r>
  <r>
    <s v="Ahmedabad"/>
    <s v="CUST7874"/>
    <s v="Corporate"/>
    <s v="Office Supplies"/>
    <s v="Table"/>
    <x v="24"/>
    <x v="4"/>
    <s v="Online"/>
    <s v="UPI"/>
    <s v="Critical"/>
    <n v="2"/>
    <n v="48862"/>
    <n v="0"/>
    <n v="97724"/>
    <n v="7752.42"/>
  </r>
  <r>
    <s v="Ahmedabad"/>
    <s v="CUST2819"/>
    <s v="Home Office"/>
    <s v="Electronics"/>
    <s v="Table"/>
    <x v="169"/>
    <x v="5"/>
    <s v="Online"/>
    <s v="Debit Card"/>
    <s v="Low"/>
    <n v="6"/>
    <n v="10541"/>
    <n v="15"/>
    <n v="53759.1"/>
    <n v="9248.6"/>
  </r>
  <r>
    <s v="Mumbai"/>
    <s v="CUST2812"/>
    <s v="Consumer"/>
    <s v="Office Supplies"/>
    <s v="Laptop"/>
    <x v="113"/>
    <x v="2"/>
    <s v="Online"/>
    <s v="Credit Card"/>
    <s v="Critical"/>
    <n v="3"/>
    <n v="38728"/>
    <n v="10"/>
    <n v="104565.6"/>
    <n v="4196.07"/>
  </r>
  <r>
    <s v="Chennai"/>
    <s v="CUST9878"/>
    <s v="Home Office"/>
    <s v="Electronics"/>
    <s v="Storage"/>
    <x v="10"/>
    <x v="1"/>
    <s v="Offline"/>
    <s v="Cash"/>
    <s v="Low"/>
    <n v="9"/>
    <n v="41426"/>
    <n v="0"/>
    <n v="372834"/>
    <n v="72573.929999999993"/>
  </r>
  <r>
    <s v="Delhi"/>
    <s v="CUST8858"/>
    <s v="Consumer"/>
    <s v="Electronics"/>
    <s v="Table"/>
    <x v="116"/>
    <x v="5"/>
    <s v="Online"/>
    <s v="Credit Card"/>
    <s v="Low"/>
    <n v="7"/>
    <n v="22871"/>
    <n v="5"/>
    <n v="152092.15"/>
    <n v="16313.11"/>
  </r>
  <r>
    <s v="Ahmedabad"/>
    <s v="CUST6785"/>
    <s v="Corporate"/>
    <s v="Furniture"/>
    <s v="Mobile"/>
    <x v="77"/>
    <x v="0"/>
    <s v="Offline"/>
    <s v="Credit Card"/>
    <s v="Medium"/>
    <n v="3"/>
    <n v="24018"/>
    <n v="15"/>
    <n v="61245.9"/>
    <n v="6276.05"/>
  </r>
  <r>
    <s v="Delhi"/>
    <s v="CUST9535"/>
    <s v="Consumer"/>
    <s v="Electronics"/>
    <s v="Storage"/>
    <x v="136"/>
    <x v="0"/>
    <s v="Online"/>
    <s v="Credit Card"/>
    <s v="Low"/>
    <n v="7"/>
    <n v="10526"/>
    <n v="5"/>
    <n v="69997.899999999994"/>
    <n v="15948.42"/>
  </r>
  <r>
    <s v="Bangalore"/>
    <s v="CUST7356"/>
    <s v="Corporate"/>
    <s v="Electronics"/>
    <s v="Storage"/>
    <x v="194"/>
    <x v="1"/>
    <s v="Online"/>
    <s v="Cash"/>
    <s v="Critical"/>
    <n v="2"/>
    <n v="22803"/>
    <n v="0"/>
    <n v="45606"/>
    <n v="12683.03"/>
  </r>
  <r>
    <s v="Bangalore"/>
    <s v="CUST2892"/>
    <s v="Corporate"/>
    <s v="Electronics"/>
    <s v="Table"/>
    <x v="183"/>
    <x v="5"/>
    <s v="Online"/>
    <s v="Cash"/>
    <s v="High"/>
    <n v="9"/>
    <n v="6278"/>
    <n v="0"/>
    <n v="56502"/>
    <n v="16620.38"/>
  </r>
  <r>
    <s v="Ahmedabad"/>
    <s v="CUST9503"/>
    <s v="Consumer"/>
    <s v="Office Supplies"/>
    <s v="Laptop"/>
    <x v="195"/>
    <x v="3"/>
    <s v="Online"/>
    <s v="Net Banking"/>
    <s v="High"/>
    <n v="9"/>
    <n v="25121"/>
    <n v="5"/>
    <n v="214784.55"/>
    <n v="42170.96"/>
  </r>
  <r>
    <s v="Ahmedabad"/>
    <s v="CUST8554"/>
    <s v="Home Office"/>
    <s v="Electronics"/>
    <s v="Laptop"/>
    <x v="179"/>
    <x v="4"/>
    <s v="Online"/>
    <s v="Credit Card"/>
    <s v="High"/>
    <n v="6"/>
    <n v="35933"/>
    <n v="20"/>
    <n v="172478.4"/>
    <n v="-11492.72"/>
  </r>
  <r>
    <s v="Bangalore"/>
    <s v="CUST7596"/>
    <s v="Home Office"/>
    <s v="Furniture"/>
    <s v="Printer"/>
    <x v="164"/>
    <x v="1"/>
    <s v="Offline"/>
    <s v="Net Banking"/>
    <s v="Medium"/>
    <n v="4"/>
    <n v="14610"/>
    <n v="15"/>
    <n v="49674"/>
    <n v="701.1"/>
  </r>
  <r>
    <s v="Chennai"/>
    <s v="CUST8371"/>
    <s v="Corporate"/>
    <s v="Electronics"/>
    <s v="Printer"/>
    <x v="95"/>
    <x v="1"/>
    <s v="Online"/>
    <s v="Debit Card"/>
    <s v="High"/>
    <n v="5"/>
    <n v="16092"/>
    <n v="15"/>
    <n v="68391"/>
    <n v="-6700.27"/>
  </r>
  <r>
    <s v="Bangalore"/>
    <s v="CUST6638"/>
    <s v="Home Office"/>
    <s v="Office Supplies"/>
    <s v="Storage"/>
    <x v="107"/>
    <x v="3"/>
    <s v="Offline"/>
    <s v="Credit Card"/>
    <s v="Medium"/>
    <n v="5"/>
    <n v="42313"/>
    <n v="5"/>
    <n v="200986.75"/>
    <n v="1939.43"/>
  </r>
  <r>
    <s v="Bangalore"/>
    <s v="CUST4113"/>
    <s v="Home Office"/>
    <s v="Office Supplies"/>
    <s v="Storage"/>
    <x v="96"/>
    <x v="5"/>
    <s v="Offline"/>
    <s v="Cash"/>
    <s v="Low"/>
    <n v="9"/>
    <n v="31019"/>
    <n v="10"/>
    <n v="251253.9"/>
    <n v="16028.63"/>
  </r>
  <r>
    <s v="Chennai"/>
    <s v="CUST9588"/>
    <s v="Home Office"/>
    <s v="Electronics"/>
    <s v="Laptop"/>
    <x v="141"/>
    <x v="0"/>
    <s v="Online"/>
    <s v="UPI"/>
    <s v="Medium"/>
    <n v="9"/>
    <n v="28938"/>
    <n v="5"/>
    <n v="247419.9"/>
    <n v="59294.63"/>
  </r>
  <r>
    <s v="Ahmedabad"/>
    <s v="CUST6689"/>
    <s v="Home Office"/>
    <s v="Furniture"/>
    <s v="Table"/>
    <x v="76"/>
    <x v="3"/>
    <s v="Online"/>
    <s v="Credit Card"/>
    <s v="High"/>
    <n v="10"/>
    <n v="10193"/>
    <n v="20"/>
    <n v="81544"/>
    <n v="9009.08"/>
  </r>
  <r>
    <s v="Chennai"/>
    <s v="CUST4644"/>
    <s v="Consumer"/>
    <s v="Furniture"/>
    <s v="Storage"/>
    <x v="24"/>
    <x v="3"/>
    <s v="Online"/>
    <s v="Net Banking"/>
    <s v="Critical"/>
    <n v="5"/>
    <n v="28585"/>
    <n v="20"/>
    <n v="114340"/>
    <n v="1273.44"/>
  </r>
  <r>
    <s v="Mumbai"/>
    <s v="CUST4750"/>
    <s v="Corporate"/>
    <s v="Furniture"/>
    <s v="Laptop"/>
    <x v="101"/>
    <x v="1"/>
    <s v="Offline"/>
    <s v="Cash"/>
    <s v="Low"/>
    <n v="3"/>
    <n v="3014"/>
    <n v="5"/>
    <n v="8589.9"/>
    <n v="1445.76"/>
  </r>
  <r>
    <s v="Bangalore"/>
    <s v="CUST5147"/>
    <s v="Home Office"/>
    <s v="Electronics"/>
    <s v="Storage"/>
    <x v="100"/>
    <x v="5"/>
    <s v="Online"/>
    <s v="UPI"/>
    <s v="Critical"/>
    <n v="10"/>
    <n v="28166"/>
    <n v="20"/>
    <n v="225328"/>
    <n v="889.41"/>
  </r>
  <r>
    <s v="Bangalore"/>
    <s v="CUST1253"/>
    <s v="Consumer"/>
    <s v="Electronics"/>
    <s v="Storage"/>
    <x v="6"/>
    <x v="5"/>
    <s v="Online"/>
    <s v="Net Banking"/>
    <s v="High"/>
    <n v="10"/>
    <n v="24964"/>
    <n v="20"/>
    <n v="199712"/>
    <n v="-10838.69"/>
  </r>
  <r>
    <s v="Mumbai"/>
    <s v="CUST5675"/>
    <s v="Home Office"/>
    <s v="Electronics"/>
    <s v="Chair"/>
    <x v="188"/>
    <x v="1"/>
    <s v="Online"/>
    <s v="Net Banking"/>
    <s v="Critical"/>
    <n v="9"/>
    <n v="45071"/>
    <n v="0"/>
    <n v="405639"/>
    <n v="58220.11"/>
  </r>
  <r>
    <s v="Bangalore"/>
    <s v="CUST1087"/>
    <s v="Corporate"/>
    <s v="Office Supplies"/>
    <s v="Laptop"/>
    <x v="186"/>
    <x v="3"/>
    <s v="Online"/>
    <s v="Credit Card"/>
    <s v="Medium"/>
    <n v="3"/>
    <n v="20583"/>
    <n v="10"/>
    <n v="55574.1"/>
    <n v="-107.03"/>
  </r>
  <r>
    <s v="Ahmedabad"/>
    <s v="CUST8143"/>
    <s v="Corporate"/>
    <s v="Office Supplies"/>
    <s v="Chair"/>
    <x v="51"/>
    <x v="5"/>
    <s v="Online"/>
    <s v="Debit Card"/>
    <s v="Medium"/>
    <n v="6"/>
    <n v="16601"/>
    <n v="0"/>
    <n v="99606"/>
    <n v="11402.31"/>
  </r>
  <r>
    <s v="Bangalore"/>
    <s v="CUST3007"/>
    <s v="Home Office"/>
    <s v="Furniture"/>
    <s v="Laptop"/>
    <x v="32"/>
    <x v="1"/>
    <s v="Offline"/>
    <s v="Credit Card"/>
    <s v="Medium"/>
    <n v="4"/>
    <n v="26968"/>
    <n v="15"/>
    <n v="91691.199999999997"/>
    <n v="-4210.83"/>
  </r>
  <r>
    <s v="Ahmedabad"/>
    <s v="CUST3430"/>
    <s v="Consumer"/>
    <s v="Office Supplies"/>
    <s v="Printer"/>
    <x v="126"/>
    <x v="1"/>
    <s v="Offline"/>
    <s v="Debit Card"/>
    <s v="Low"/>
    <n v="6"/>
    <n v="26855"/>
    <n v="15"/>
    <n v="136960.5"/>
    <n v="15422.39"/>
  </r>
  <r>
    <s v="Mumbai"/>
    <s v="CUST8190"/>
    <s v="Consumer"/>
    <s v="Furniture"/>
    <s v="Table"/>
    <x v="70"/>
    <x v="0"/>
    <s v="Online"/>
    <s v="Debit Card"/>
    <s v="Medium"/>
    <n v="4"/>
    <n v="34414"/>
    <n v="5"/>
    <n v="130773.2"/>
    <n v="3350.43"/>
  </r>
  <r>
    <s v="Delhi"/>
    <s v="CUST9440"/>
    <s v="Consumer"/>
    <s v="Office Supplies"/>
    <s v="Printer"/>
    <x v="157"/>
    <x v="0"/>
    <s v="Offline"/>
    <s v="Debit Card"/>
    <s v="High"/>
    <n v="3"/>
    <n v="7784"/>
    <n v="20"/>
    <n v="18681.599999999999"/>
    <n v="1412.62"/>
  </r>
  <r>
    <s v="Bangalore"/>
    <s v="CUST5614"/>
    <s v="Home Office"/>
    <s v="Electronics"/>
    <s v="Mobile"/>
    <x v="193"/>
    <x v="5"/>
    <s v="Online"/>
    <s v="Net Banking"/>
    <s v="Critical"/>
    <n v="6"/>
    <n v="10294"/>
    <n v="0"/>
    <n v="61764"/>
    <n v="4546.63"/>
  </r>
  <r>
    <s v="Chennai"/>
    <s v="CUST6810"/>
    <s v="Home Office"/>
    <s v="Electronics"/>
    <s v="Laptop"/>
    <x v="120"/>
    <x v="5"/>
    <s v="Online"/>
    <s v="Debit Card"/>
    <s v="High"/>
    <n v="4"/>
    <n v="39823"/>
    <n v="10"/>
    <n v="143362.79999999999"/>
    <n v="26096.59"/>
  </r>
  <r>
    <s v="Delhi"/>
    <s v="CUST2039"/>
    <s v="Home Office"/>
    <s v="Furniture"/>
    <s v="Chair"/>
    <x v="161"/>
    <x v="4"/>
    <s v="Online"/>
    <s v="Debit Card"/>
    <s v="Medium"/>
    <n v="3"/>
    <n v="48787"/>
    <n v="5"/>
    <n v="139042.95000000001"/>
    <n v="10259.07"/>
  </r>
  <r>
    <s v="Delhi"/>
    <s v="CUST1674"/>
    <s v="Consumer"/>
    <s v="Electronics"/>
    <s v="Laptop"/>
    <x v="132"/>
    <x v="3"/>
    <s v="Offline"/>
    <s v="Net Banking"/>
    <s v="Critical"/>
    <n v="4"/>
    <n v="24477"/>
    <n v="15"/>
    <n v="83221.8"/>
    <n v="11044.1"/>
  </r>
  <r>
    <s v="Ahmedabad"/>
    <s v="CUST6843"/>
    <s v="Corporate"/>
    <s v="Furniture"/>
    <s v="Chair"/>
    <x v="8"/>
    <x v="0"/>
    <s v="Offline"/>
    <s v="Net Banking"/>
    <s v="High"/>
    <n v="5"/>
    <n v="21949"/>
    <n v="10"/>
    <n v="98770.5"/>
    <n v="17128.009999999998"/>
  </r>
  <r>
    <s v="Ahmedabad"/>
    <s v="CUST1643"/>
    <s v="Corporate"/>
    <s v="Office Supplies"/>
    <s v="Chair"/>
    <x v="151"/>
    <x v="4"/>
    <s v="Online"/>
    <s v="Credit Card"/>
    <s v="Critical"/>
    <n v="6"/>
    <n v="14443"/>
    <n v="15"/>
    <n v="73659.3"/>
    <n v="7248.26"/>
  </r>
  <r>
    <s v="Mumbai"/>
    <s v="CUST2352"/>
    <s v="Home Office"/>
    <s v="Electronics"/>
    <s v="Printer"/>
    <x v="196"/>
    <x v="5"/>
    <s v="Online"/>
    <s v="Debit Card"/>
    <s v="Low"/>
    <n v="1"/>
    <n v="23624"/>
    <n v="10"/>
    <n v="21261.599999999999"/>
    <n v="1935.82"/>
  </r>
  <r>
    <s v="Mumbai"/>
    <s v="CUST9039"/>
    <s v="Corporate"/>
    <s v="Office Supplies"/>
    <s v="Chair"/>
    <x v="142"/>
    <x v="4"/>
    <s v="Offline"/>
    <s v="Net Banking"/>
    <s v="High"/>
    <n v="8"/>
    <n v="45867"/>
    <n v="15"/>
    <n v="311895.59999999998"/>
    <n v="42904.37"/>
  </r>
  <r>
    <s v="Chennai"/>
    <s v="CUST4662"/>
    <s v="Home Office"/>
    <s v="Furniture"/>
    <s v="Chair"/>
    <x v="72"/>
    <x v="4"/>
    <s v="Online"/>
    <s v="Cash"/>
    <s v="Critical"/>
    <n v="8"/>
    <n v="37128"/>
    <n v="0"/>
    <n v="297024"/>
    <n v="52257.7"/>
  </r>
  <r>
    <s v="Ahmedabad"/>
    <s v="CUST7650"/>
    <s v="Consumer"/>
    <s v="Office Supplies"/>
    <s v="Storage"/>
    <x v="53"/>
    <x v="0"/>
    <s v="Offline"/>
    <s v="Cash"/>
    <s v="High"/>
    <n v="8"/>
    <n v="49829"/>
    <n v="20"/>
    <n v="318905.59999999998"/>
    <n v="-1879.08"/>
  </r>
  <r>
    <s v="Delhi"/>
    <s v="CUST6550"/>
    <s v="Corporate"/>
    <s v="Office Supplies"/>
    <s v="Chair"/>
    <x v="123"/>
    <x v="2"/>
    <s v="Online"/>
    <s v="Cash"/>
    <s v="Critical"/>
    <n v="1"/>
    <n v="49318"/>
    <n v="20"/>
    <n v="39454.400000000001"/>
    <n v="854.52"/>
  </r>
  <r>
    <s v="Mumbai"/>
    <s v="CUST7212"/>
    <s v="Consumer"/>
    <s v="Office Supplies"/>
    <s v="Storage"/>
    <x v="82"/>
    <x v="0"/>
    <s v="Online"/>
    <s v="Credit Card"/>
    <s v="Critical"/>
    <n v="1"/>
    <n v="11092"/>
    <n v="20"/>
    <n v="8873.6"/>
    <n v="-1553.66"/>
  </r>
  <r>
    <s v="Ahmedabad"/>
    <s v="CUST8059"/>
    <s v="Corporate"/>
    <s v="Office Supplies"/>
    <s v="Printer"/>
    <x v="57"/>
    <x v="3"/>
    <s v="Online"/>
    <s v="Net Banking"/>
    <s v="Critical"/>
    <n v="4"/>
    <n v="6249"/>
    <n v="15"/>
    <n v="21246.6"/>
    <n v="1508.51"/>
  </r>
  <r>
    <s v="Ahmedabad"/>
    <s v="CUST9438"/>
    <s v="Home Office"/>
    <s v="Electronics"/>
    <s v="Printer"/>
    <x v="114"/>
    <x v="1"/>
    <s v="Online"/>
    <s v="UPI"/>
    <s v="Medium"/>
    <n v="7"/>
    <n v="32992"/>
    <n v="15"/>
    <n v="196302.4"/>
    <n v="-6314.16"/>
  </r>
  <r>
    <s v="Delhi"/>
    <s v="CUST9969"/>
    <s v="Consumer"/>
    <s v="Office Supplies"/>
    <s v="Mobile"/>
    <x v="158"/>
    <x v="4"/>
    <s v="Online"/>
    <s v="Net Banking"/>
    <s v="High"/>
    <n v="2"/>
    <n v="29310"/>
    <n v="0"/>
    <n v="58620"/>
    <n v="15190.76"/>
  </r>
  <r>
    <s v="Ahmedabad"/>
    <s v="CUST9935"/>
    <s v="Corporate"/>
    <s v="Electronics"/>
    <s v="Printer"/>
    <x v="9"/>
    <x v="1"/>
    <s v="Offline"/>
    <s v="Debit Card"/>
    <s v="Critical"/>
    <n v="10"/>
    <n v="43388"/>
    <n v="5"/>
    <n v="412186"/>
    <n v="98742.1"/>
  </r>
  <r>
    <s v="Ahmedabad"/>
    <s v="CUST4650"/>
    <s v="Corporate"/>
    <s v="Furniture"/>
    <s v="Mobile"/>
    <x v="117"/>
    <x v="5"/>
    <s v="Offline"/>
    <s v="Debit Card"/>
    <s v="Low"/>
    <n v="5"/>
    <n v="46777"/>
    <n v="20"/>
    <n v="187108"/>
    <n v="-14114.09"/>
  </r>
  <r>
    <s v="Delhi"/>
    <s v="CUST8539"/>
    <s v="Home Office"/>
    <s v="Office Supplies"/>
    <s v="Printer"/>
    <x v="96"/>
    <x v="3"/>
    <s v="Online"/>
    <s v="Cash"/>
    <s v="High"/>
    <n v="4"/>
    <n v="45129"/>
    <n v="20"/>
    <n v="144412.79999999999"/>
    <n v="8527.2099999999991"/>
  </r>
  <r>
    <s v="Ahmedabad"/>
    <s v="CUST1429"/>
    <s v="Consumer"/>
    <s v="Furniture"/>
    <s v="Printer"/>
    <x v="65"/>
    <x v="5"/>
    <s v="Online"/>
    <s v="Credit Card"/>
    <s v="Critical"/>
    <n v="6"/>
    <n v="48505"/>
    <n v="10"/>
    <n v="261927"/>
    <n v="611.70000000000005"/>
  </r>
  <r>
    <s v="Ahmedabad"/>
    <s v="CUST8516"/>
    <s v="Home Office"/>
    <s v="Electronics"/>
    <s v="Printer"/>
    <x v="58"/>
    <x v="2"/>
    <s v="Offline"/>
    <s v="Cash"/>
    <s v="Low"/>
    <n v="3"/>
    <n v="31382"/>
    <n v="5"/>
    <n v="89438.7"/>
    <n v="17027.72"/>
  </r>
  <r>
    <s v="Delhi"/>
    <s v="CUST7614"/>
    <s v="Corporate"/>
    <s v="Furniture"/>
    <s v="Mobile"/>
    <x v="142"/>
    <x v="3"/>
    <s v="Offline"/>
    <s v="Net Banking"/>
    <s v="Low"/>
    <n v="7"/>
    <n v="31851"/>
    <n v="5"/>
    <n v="211809.15"/>
    <n v="17499.37"/>
  </r>
  <r>
    <s v="Bangalore"/>
    <s v="CUST5961"/>
    <s v="Home Office"/>
    <s v="Office Supplies"/>
    <s v="Mobile"/>
    <x v="99"/>
    <x v="1"/>
    <s v="Offline"/>
    <s v="Credit Card"/>
    <s v="High"/>
    <n v="10"/>
    <n v="21577"/>
    <n v="5"/>
    <n v="204981.5"/>
    <n v="48433.37"/>
  </r>
  <r>
    <s v="Bangalore"/>
    <s v="CUST6543"/>
    <s v="Consumer"/>
    <s v="Electronics"/>
    <s v="Laptop"/>
    <x v="197"/>
    <x v="1"/>
    <s v="Offline"/>
    <s v="Credit Card"/>
    <s v="Low"/>
    <n v="9"/>
    <n v="5562"/>
    <n v="5"/>
    <n v="47555.1"/>
    <n v="417.57"/>
  </r>
  <r>
    <s v="Chennai"/>
    <s v="CUST3713"/>
    <s v="Consumer"/>
    <s v="Furniture"/>
    <s v="Mobile"/>
    <x v="36"/>
    <x v="2"/>
    <s v="Offline"/>
    <s v="Cash"/>
    <s v="Medium"/>
    <n v="6"/>
    <n v="3630"/>
    <n v="20"/>
    <n v="17424"/>
    <n v="1235.46"/>
  </r>
  <r>
    <s v="Ahmedabad"/>
    <s v="CUST9235"/>
    <s v="Home Office"/>
    <s v="Electronics"/>
    <s v="Chair"/>
    <x v="11"/>
    <x v="4"/>
    <s v="Offline"/>
    <s v="Cash"/>
    <s v="Low"/>
    <n v="3"/>
    <n v="45847"/>
    <n v="10"/>
    <n v="123786.9"/>
    <n v="10711.55"/>
  </r>
  <r>
    <s v="Bangalore"/>
    <s v="CUST6094"/>
    <s v="Corporate"/>
    <s v="Furniture"/>
    <s v="Chair"/>
    <x v="2"/>
    <x v="3"/>
    <s v="Offline"/>
    <s v="Cash"/>
    <s v="High"/>
    <n v="3"/>
    <n v="47511"/>
    <n v="15"/>
    <n v="121153.05"/>
    <n v="-12807.91"/>
  </r>
  <r>
    <s v="Mumbai"/>
    <s v="CUST9135"/>
    <s v="Corporate"/>
    <s v="Office Supplies"/>
    <s v="Mobile"/>
    <x v="45"/>
    <x v="3"/>
    <s v="Online"/>
    <s v="Credit Card"/>
    <s v="Low"/>
    <n v="2"/>
    <n v="23482"/>
    <n v="20"/>
    <n v="37571.199999999997"/>
    <n v="2267.65"/>
  </r>
  <r>
    <s v="Ahmedabad"/>
    <s v="CUST8928"/>
    <s v="Consumer"/>
    <s v="Electronics"/>
    <s v="Table"/>
    <x v="179"/>
    <x v="3"/>
    <s v="Offline"/>
    <s v="Cash"/>
    <s v="Critical"/>
    <n v="10"/>
    <n v="46043"/>
    <n v="5"/>
    <n v="437408.5"/>
    <n v="573.63"/>
  </r>
  <r>
    <s v="Chennai"/>
    <s v="CUST9334"/>
    <s v="Consumer"/>
    <s v="Furniture"/>
    <s v="Chair"/>
    <x v="196"/>
    <x v="3"/>
    <s v="Online"/>
    <s v="Debit Card"/>
    <s v="Critical"/>
    <n v="4"/>
    <n v="8364"/>
    <n v="5"/>
    <n v="31783.200000000001"/>
    <n v="4949.0600000000004"/>
  </r>
  <r>
    <s v="Bangalore"/>
    <s v="CUST1666"/>
    <s v="Corporate"/>
    <s v="Electronics"/>
    <s v="Printer"/>
    <x v="101"/>
    <x v="2"/>
    <s v="Offline"/>
    <s v="UPI"/>
    <s v="Low"/>
    <n v="8"/>
    <n v="48482"/>
    <n v="10"/>
    <n v="349070.4"/>
    <n v="13784.33"/>
  </r>
  <r>
    <s v="Delhi"/>
    <s v="CUST4630"/>
    <s v="Corporate"/>
    <s v="Office Supplies"/>
    <s v="Storage"/>
    <x v="196"/>
    <x v="3"/>
    <s v="Online"/>
    <s v="Debit Card"/>
    <s v="High"/>
    <n v="8"/>
    <n v="11811"/>
    <n v="5"/>
    <n v="89763.6"/>
    <n v="8958.1299999999992"/>
  </r>
  <r>
    <s v="Bangalore"/>
    <s v="CUST5092"/>
    <s v="Corporate"/>
    <s v="Office Supplies"/>
    <s v="Storage"/>
    <x v="122"/>
    <x v="1"/>
    <s v="Offline"/>
    <s v="UPI"/>
    <s v="Low"/>
    <n v="8"/>
    <n v="41890"/>
    <n v="5"/>
    <n v="318364"/>
    <n v="61704.77"/>
  </r>
  <r>
    <s v="Bangalore"/>
    <s v="CUST5791"/>
    <s v="Consumer"/>
    <s v="Furniture"/>
    <s v="Table"/>
    <x v="111"/>
    <x v="5"/>
    <s v="Online"/>
    <s v="Credit Card"/>
    <s v="Critical"/>
    <n v="3"/>
    <n v="47798"/>
    <n v="20"/>
    <n v="114715.2"/>
    <n v="-12009.49"/>
  </r>
  <r>
    <s v="Chennai"/>
    <s v="CUST6543"/>
    <s v="Consumer"/>
    <s v="Furniture"/>
    <s v="Chair"/>
    <x v="26"/>
    <x v="0"/>
    <s v="Offline"/>
    <s v="Net Banking"/>
    <s v="Low"/>
    <n v="8"/>
    <n v="20657"/>
    <n v="20"/>
    <n v="132204.79999999999"/>
    <n v="-18034.3"/>
  </r>
  <r>
    <s v="Delhi"/>
    <s v="CUST7357"/>
    <s v="Consumer"/>
    <s v="Electronics"/>
    <s v="Printer"/>
    <x v="185"/>
    <x v="3"/>
    <s v="Online"/>
    <s v="Debit Card"/>
    <s v="High"/>
    <n v="6"/>
    <n v="35170"/>
    <n v="10"/>
    <n v="189918"/>
    <n v="32481.64"/>
  </r>
  <r>
    <s v="Mumbai"/>
    <s v="CUST3802"/>
    <s v="Consumer"/>
    <s v="Furniture"/>
    <s v="Table"/>
    <x v="63"/>
    <x v="0"/>
    <s v="Online"/>
    <s v="Cash"/>
    <s v="Critical"/>
    <n v="5"/>
    <n v="26708"/>
    <n v="20"/>
    <n v="106832"/>
    <n v="3994.05"/>
  </r>
  <r>
    <s v="Mumbai"/>
    <s v="CUST7439"/>
    <s v="Home Office"/>
    <s v="Electronics"/>
    <s v="Mobile"/>
    <x v="97"/>
    <x v="5"/>
    <s v="Online"/>
    <s v="Cash"/>
    <s v="Critical"/>
    <n v="2"/>
    <n v="11872"/>
    <n v="5"/>
    <n v="22556.799999999999"/>
    <n v="2756.84"/>
  </r>
  <r>
    <s v="Ahmedabad"/>
    <s v="CUST7791"/>
    <s v="Corporate"/>
    <s v="Office Supplies"/>
    <s v="Chair"/>
    <x v="161"/>
    <x v="4"/>
    <s v="Online"/>
    <s v="Debit Card"/>
    <s v="Critical"/>
    <n v="5"/>
    <n v="48341"/>
    <n v="0"/>
    <n v="241705"/>
    <n v="62751.54"/>
  </r>
  <r>
    <s v="Ahmedabad"/>
    <s v="CUST5088"/>
    <s v="Home Office"/>
    <s v="Office Supplies"/>
    <s v="Storage"/>
    <x v="37"/>
    <x v="1"/>
    <s v="Online"/>
    <s v="UPI"/>
    <s v="Critical"/>
    <n v="6"/>
    <n v="29796"/>
    <n v="20"/>
    <n v="143020.79999999999"/>
    <n v="-21158.49"/>
  </r>
  <r>
    <s v="Chennai"/>
    <s v="CUST2279"/>
    <s v="Home Office"/>
    <s v="Electronics"/>
    <s v="Table"/>
    <x v="48"/>
    <x v="5"/>
    <s v="Online"/>
    <s v="Net Banking"/>
    <s v="Medium"/>
    <n v="6"/>
    <n v="8924"/>
    <n v="0"/>
    <n v="53544"/>
    <n v="5877.73"/>
  </r>
  <r>
    <s v="Bangalore"/>
    <s v="CUST6938"/>
    <s v="Home Office"/>
    <s v="Electronics"/>
    <s v="Chair"/>
    <x v="81"/>
    <x v="2"/>
    <s v="Offline"/>
    <s v="Net Banking"/>
    <s v="Critical"/>
    <n v="10"/>
    <n v="18518"/>
    <n v="0"/>
    <n v="185180"/>
    <n v="42884.07"/>
  </r>
  <r>
    <s v="Ahmedabad"/>
    <s v="CUST6540"/>
    <s v="Corporate"/>
    <s v="Office Supplies"/>
    <s v="Chair"/>
    <x v="66"/>
    <x v="4"/>
    <s v="Offline"/>
    <s v="Cash"/>
    <s v="High"/>
    <n v="6"/>
    <n v="33720"/>
    <n v="5"/>
    <n v="192204"/>
    <n v="31715.61"/>
  </r>
  <r>
    <s v="Bangalore"/>
    <s v="CUST7899"/>
    <s v="Corporate"/>
    <s v="Electronics"/>
    <s v="Table"/>
    <x v="92"/>
    <x v="0"/>
    <s v="Offline"/>
    <s v="Cash"/>
    <s v="Critical"/>
    <n v="8"/>
    <n v="49815"/>
    <n v="5"/>
    <n v="378594"/>
    <n v="56525.79"/>
  </r>
  <r>
    <s v="Ahmedabad"/>
    <s v="CUST5847"/>
    <s v="Corporate"/>
    <s v="Office Supplies"/>
    <s v="Table"/>
    <x v="29"/>
    <x v="0"/>
    <s v="Online"/>
    <s v="UPI"/>
    <s v="Medium"/>
    <n v="10"/>
    <n v="31721"/>
    <n v="20"/>
    <n v="253768"/>
    <n v="-45391.99"/>
  </r>
  <r>
    <s v="Mumbai"/>
    <s v="CUST1194"/>
    <s v="Consumer"/>
    <s v="Furniture"/>
    <s v="Laptop"/>
    <x v="178"/>
    <x v="0"/>
    <s v="Offline"/>
    <s v="UPI"/>
    <s v="Critical"/>
    <n v="3"/>
    <n v="1080"/>
    <n v="20"/>
    <n v="2592"/>
    <n v="33.369999999999997"/>
  </r>
  <r>
    <s v="Delhi"/>
    <s v="CUST9133"/>
    <s v="Consumer"/>
    <s v="Electronics"/>
    <s v="Table"/>
    <x v="1"/>
    <x v="5"/>
    <s v="Online"/>
    <s v="Debit Card"/>
    <s v="Low"/>
    <n v="6"/>
    <n v="12208"/>
    <n v="20"/>
    <n v="58598.400000000001"/>
    <n v="-2578.42"/>
  </r>
  <r>
    <s v="Ahmedabad"/>
    <s v="CUST8654"/>
    <s v="Consumer"/>
    <s v="Electronics"/>
    <s v="Storage"/>
    <x v="70"/>
    <x v="4"/>
    <s v="Offline"/>
    <s v="UPI"/>
    <s v="Critical"/>
    <n v="5"/>
    <n v="26191"/>
    <n v="5"/>
    <n v="124407.25"/>
    <n v="118.08"/>
  </r>
  <r>
    <s v="Ahmedabad"/>
    <s v="CUST4206"/>
    <s v="Home Office"/>
    <s v="Furniture"/>
    <s v="Table"/>
    <x v="151"/>
    <x v="1"/>
    <s v="Online"/>
    <s v="Credit Card"/>
    <s v="High"/>
    <n v="7"/>
    <n v="16823"/>
    <n v="10"/>
    <n v="105984.9"/>
    <n v="7512.03"/>
  </r>
  <r>
    <s v="Bangalore"/>
    <s v="CUST4637"/>
    <s v="Home Office"/>
    <s v="Furniture"/>
    <s v="Printer"/>
    <x v="79"/>
    <x v="4"/>
    <s v="Offline"/>
    <s v="Debit Card"/>
    <s v="Low"/>
    <n v="6"/>
    <n v="47663"/>
    <n v="10"/>
    <n v="257380.2"/>
    <n v="24388.36"/>
  </r>
  <r>
    <s v="Bangalore"/>
    <s v="CUST5345"/>
    <s v="Consumer"/>
    <s v="Furniture"/>
    <s v="Table"/>
    <x v="180"/>
    <x v="1"/>
    <s v="Offline"/>
    <s v="Debit Card"/>
    <s v="Critical"/>
    <n v="10"/>
    <n v="37732"/>
    <n v="10"/>
    <n v="339588"/>
    <n v="13062.88"/>
  </r>
  <r>
    <s v="Bangalore"/>
    <s v="CUST1616"/>
    <s v="Consumer"/>
    <s v="Office Supplies"/>
    <s v="Storage"/>
    <x v="192"/>
    <x v="1"/>
    <s v="Online"/>
    <s v="Cash"/>
    <s v="High"/>
    <n v="5"/>
    <n v="38160"/>
    <n v="15"/>
    <n v="162180"/>
    <n v="-16213.38"/>
  </r>
  <r>
    <s v="Ahmedabad"/>
    <s v="CUST3672"/>
    <s v="Corporate"/>
    <s v="Office Supplies"/>
    <s v="Printer"/>
    <x v="109"/>
    <x v="5"/>
    <s v="Offline"/>
    <s v="UPI"/>
    <s v="High"/>
    <n v="4"/>
    <n v="46277"/>
    <n v="0"/>
    <n v="185108"/>
    <n v="43880.08"/>
  </r>
  <r>
    <s v="Mumbai"/>
    <s v="CUST1612"/>
    <s v="Corporate"/>
    <s v="Electronics"/>
    <s v="Chair"/>
    <x v="13"/>
    <x v="4"/>
    <s v="Online"/>
    <s v="Net Banking"/>
    <s v="Medium"/>
    <n v="9"/>
    <n v="770"/>
    <n v="10"/>
    <n v="6237"/>
    <n v="580.92999999999995"/>
  </r>
  <r>
    <s v="Chennai"/>
    <s v="CUST2755"/>
    <s v="Consumer"/>
    <s v="Electronics"/>
    <s v="Storage"/>
    <x v="198"/>
    <x v="4"/>
    <s v="Offline"/>
    <s v="Credit Card"/>
    <s v="Critical"/>
    <n v="8"/>
    <n v="44883"/>
    <n v="10"/>
    <n v="323157.59999999998"/>
    <n v="35110.68"/>
  </r>
  <r>
    <s v="Delhi"/>
    <s v="CUST2420"/>
    <s v="Corporate"/>
    <s v="Office Supplies"/>
    <s v="Storage"/>
    <x v="31"/>
    <x v="3"/>
    <s v="Online"/>
    <s v="Cash"/>
    <s v="Critical"/>
    <n v="6"/>
    <n v="44868"/>
    <n v="0"/>
    <n v="269208"/>
    <n v="34938.29"/>
  </r>
  <r>
    <s v="Mumbai"/>
    <s v="CUST1332"/>
    <s v="Home Office"/>
    <s v="Furniture"/>
    <s v="Chair"/>
    <x v="100"/>
    <x v="2"/>
    <s v="Online"/>
    <s v="UPI"/>
    <s v="High"/>
    <n v="8"/>
    <n v="4238"/>
    <n v="0"/>
    <n v="33904"/>
    <n v="2583.21"/>
  </r>
  <r>
    <s v="Mumbai"/>
    <s v="CUST8665"/>
    <s v="Home Office"/>
    <s v="Office Supplies"/>
    <s v="Table"/>
    <x v="45"/>
    <x v="2"/>
    <s v="Offline"/>
    <s v="Net Banking"/>
    <s v="Medium"/>
    <n v="6"/>
    <n v="8860"/>
    <n v="15"/>
    <n v="45186"/>
    <n v="4981.58"/>
  </r>
  <r>
    <s v="Bangalore"/>
    <s v="CUST5641"/>
    <s v="Corporate"/>
    <s v="Furniture"/>
    <s v="Printer"/>
    <x v="45"/>
    <x v="0"/>
    <s v="Offline"/>
    <s v="UPI"/>
    <s v="Medium"/>
    <n v="4"/>
    <n v="9631"/>
    <n v="20"/>
    <n v="30819.200000000001"/>
    <n v="-4075.9"/>
  </r>
  <r>
    <s v="Delhi"/>
    <s v="CUST6577"/>
    <s v="Corporate"/>
    <s v="Furniture"/>
    <s v="Storage"/>
    <x v="46"/>
    <x v="3"/>
    <s v="Offline"/>
    <s v="Credit Card"/>
    <s v="Low"/>
    <n v="8"/>
    <n v="14900"/>
    <n v="5"/>
    <n v="113240"/>
    <n v="12741.86"/>
  </r>
  <r>
    <s v="Bangalore"/>
    <s v="CUST2061"/>
    <s v="Consumer"/>
    <s v="Furniture"/>
    <s v="Printer"/>
    <x v="145"/>
    <x v="0"/>
    <s v="Online"/>
    <s v="Net Banking"/>
    <s v="Critical"/>
    <n v="6"/>
    <n v="29830"/>
    <n v="10"/>
    <n v="161082"/>
    <n v="31707.77"/>
  </r>
  <r>
    <s v="Mumbai"/>
    <s v="CUST5772"/>
    <s v="Consumer"/>
    <s v="Electronics"/>
    <s v="Chair"/>
    <x v="14"/>
    <x v="1"/>
    <s v="Offline"/>
    <s v="UPI"/>
    <s v="Medium"/>
    <n v="4"/>
    <n v="4512"/>
    <n v="5"/>
    <n v="17145.599999999999"/>
    <n v="556.9"/>
  </r>
  <r>
    <s v="Bangalore"/>
    <s v="CUST7264"/>
    <s v="Corporate"/>
    <s v="Electronics"/>
    <s v="Storage"/>
    <x v="1"/>
    <x v="2"/>
    <s v="Online"/>
    <s v="Cash"/>
    <s v="Low"/>
    <n v="6"/>
    <n v="6467"/>
    <n v="10"/>
    <n v="34921.800000000003"/>
    <n v="-1828.11"/>
  </r>
  <r>
    <s v="Mumbai"/>
    <s v="CUST9124"/>
    <s v="Corporate"/>
    <s v="Electronics"/>
    <s v="Laptop"/>
    <x v="12"/>
    <x v="4"/>
    <s v="Online"/>
    <s v="Net Banking"/>
    <s v="Critical"/>
    <n v="4"/>
    <n v="33784"/>
    <n v="0"/>
    <n v="135136"/>
    <n v="27993.34"/>
  </r>
  <r>
    <s v="Chennai"/>
    <s v="CUST7806"/>
    <s v="Consumer"/>
    <s v="Office Supplies"/>
    <s v="Chair"/>
    <x v="88"/>
    <x v="5"/>
    <s v="Offline"/>
    <s v="Credit Card"/>
    <s v="Critical"/>
    <n v="1"/>
    <n v="25657"/>
    <n v="15"/>
    <n v="21808.45"/>
    <n v="978.45"/>
  </r>
  <r>
    <s v="Mumbai"/>
    <s v="CUST3279"/>
    <s v="Home Office"/>
    <s v="Furniture"/>
    <s v="Printer"/>
    <x v="169"/>
    <x v="1"/>
    <s v="Online"/>
    <s v="Credit Card"/>
    <s v="High"/>
    <n v="4"/>
    <n v="42451"/>
    <n v="15"/>
    <n v="144333.4"/>
    <n v="5287.75"/>
  </r>
  <r>
    <s v="Chennai"/>
    <s v="CUST3480"/>
    <s v="Home Office"/>
    <s v="Electronics"/>
    <s v="Storage"/>
    <x v="103"/>
    <x v="1"/>
    <s v="Offline"/>
    <s v="Debit Card"/>
    <s v="High"/>
    <n v="7"/>
    <n v="6463"/>
    <n v="5"/>
    <n v="42978.95"/>
    <n v="6510.35"/>
  </r>
  <r>
    <s v="Delhi"/>
    <s v="CUST6920"/>
    <s v="Corporate"/>
    <s v="Electronics"/>
    <s v="Table"/>
    <x v="8"/>
    <x v="1"/>
    <s v="Offline"/>
    <s v="Debit Card"/>
    <s v="High"/>
    <n v="6"/>
    <n v="9134"/>
    <n v="15"/>
    <n v="46583.4"/>
    <n v="-4740.59"/>
  </r>
  <r>
    <s v="Bangalore"/>
    <s v="CUST1948"/>
    <s v="Corporate"/>
    <s v="Office Supplies"/>
    <s v="Chair"/>
    <x v="82"/>
    <x v="0"/>
    <s v="Online"/>
    <s v="Cash"/>
    <s v="High"/>
    <n v="10"/>
    <n v="3332"/>
    <n v="15"/>
    <n v="28322"/>
    <n v="-3082.61"/>
  </r>
  <r>
    <s v="Delhi"/>
    <s v="CUST8767"/>
    <s v="Corporate"/>
    <s v="Furniture"/>
    <s v="Mobile"/>
    <x v="124"/>
    <x v="4"/>
    <s v="Offline"/>
    <s v="UPI"/>
    <s v="Medium"/>
    <n v="2"/>
    <n v="15195"/>
    <n v="5"/>
    <n v="28870.5"/>
    <n v="3911.2"/>
  </r>
  <r>
    <s v="Mumbai"/>
    <s v="CUST9484"/>
    <s v="Corporate"/>
    <s v="Office Supplies"/>
    <s v="Table"/>
    <x v="126"/>
    <x v="3"/>
    <s v="Offline"/>
    <s v="UPI"/>
    <s v="High"/>
    <n v="3"/>
    <n v="11576"/>
    <n v="0"/>
    <n v="34728"/>
    <n v="2169.8200000000002"/>
  </r>
  <r>
    <s v="Mumbai"/>
    <s v="CUST5236"/>
    <s v="Consumer"/>
    <s v="Electronics"/>
    <s v="Mobile"/>
    <x v="52"/>
    <x v="5"/>
    <s v="Offline"/>
    <s v="Cash"/>
    <s v="Low"/>
    <n v="7"/>
    <n v="48837"/>
    <n v="10"/>
    <n v="307673.09999999998"/>
    <n v="58343.9"/>
  </r>
  <r>
    <s v="Chennai"/>
    <s v="CUST1442"/>
    <s v="Corporate"/>
    <s v="Furniture"/>
    <s v="Printer"/>
    <x v="127"/>
    <x v="3"/>
    <s v="Online"/>
    <s v="Cash"/>
    <s v="High"/>
    <n v="10"/>
    <n v="34149"/>
    <n v="0"/>
    <n v="341490"/>
    <n v="57508.12"/>
  </r>
  <r>
    <s v="Mumbai"/>
    <s v="CUST9930"/>
    <s v="Home Office"/>
    <s v="Electronics"/>
    <s v="Printer"/>
    <x v="184"/>
    <x v="0"/>
    <s v="Online"/>
    <s v="Cash"/>
    <s v="Critical"/>
    <n v="1"/>
    <n v="40688"/>
    <n v="0"/>
    <n v="40688"/>
    <n v="4313.7700000000004"/>
  </r>
  <r>
    <s v="Chennai"/>
    <s v="CUST2834"/>
    <s v="Corporate"/>
    <s v="Electronics"/>
    <s v="Table"/>
    <x v="78"/>
    <x v="5"/>
    <s v="Online"/>
    <s v="Cash"/>
    <s v="High"/>
    <n v="7"/>
    <n v="16789"/>
    <n v="0"/>
    <n v="117523"/>
    <n v="28994.240000000002"/>
  </r>
  <r>
    <s v="Ahmedabad"/>
    <s v="CUST3600"/>
    <s v="Home Office"/>
    <s v="Furniture"/>
    <s v="Chair"/>
    <x v="113"/>
    <x v="3"/>
    <s v="Online"/>
    <s v="Net Banking"/>
    <s v="High"/>
    <n v="9"/>
    <n v="5435"/>
    <n v="20"/>
    <n v="39132"/>
    <n v="2583.94"/>
  </r>
  <r>
    <s v="Chennai"/>
    <s v="CUST2631"/>
    <s v="Consumer"/>
    <s v="Office Supplies"/>
    <s v="Printer"/>
    <x v="78"/>
    <x v="0"/>
    <s v="Offline"/>
    <s v="Debit Card"/>
    <s v="Low"/>
    <n v="7"/>
    <n v="10459"/>
    <n v="20"/>
    <n v="58570.400000000001"/>
    <n v="419.58"/>
  </r>
  <r>
    <s v="Mumbai"/>
    <s v="CUST6957"/>
    <s v="Corporate"/>
    <s v="Furniture"/>
    <s v="Laptop"/>
    <x v="192"/>
    <x v="2"/>
    <s v="Offline"/>
    <s v="Cash"/>
    <s v="Critical"/>
    <n v="3"/>
    <n v="9369"/>
    <n v="0"/>
    <n v="28107"/>
    <n v="3193.16"/>
  </r>
  <r>
    <s v="Mumbai"/>
    <s v="CUST4862"/>
    <s v="Consumer"/>
    <s v="Furniture"/>
    <s v="Storage"/>
    <x v="190"/>
    <x v="5"/>
    <s v="Offline"/>
    <s v="UPI"/>
    <s v="Low"/>
    <n v="10"/>
    <n v="19012"/>
    <n v="10"/>
    <n v="171108"/>
    <n v="29633.8"/>
  </r>
  <r>
    <s v="Mumbai"/>
    <s v="CUST3160"/>
    <s v="Corporate"/>
    <s v="Office Supplies"/>
    <s v="Printer"/>
    <x v="166"/>
    <x v="3"/>
    <s v="Online"/>
    <s v="Debit Card"/>
    <s v="High"/>
    <n v="8"/>
    <n v="21129"/>
    <n v="10"/>
    <n v="152128.79999999999"/>
    <n v="33555.25"/>
  </r>
  <r>
    <s v="Chennai"/>
    <s v="CUST1920"/>
    <s v="Home Office"/>
    <s v="Furniture"/>
    <s v="Chair"/>
    <x v="198"/>
    <x v="4"/>
    <s v="Online"/>
    <s v="Cash"/>
    <s v="Critical"/>
    <n v="7"/>
    <n v="40663"/>
    <n v="0"/>
    <n v="284641"/>
    <n v="52727.34"/>
  </r>
  <r>
    <s v="Ahmedabad"/>
    <s v="CUST8058"/>
    <s v="Home Office"/>
    <s v="Furniture"/>
    <s v="Storage"/>
    <x v="85"/>
    <x v="0"/>
    <s v="Online"/>
    <s v="Credit Card"/>
    <s v="Critical"/>
    <n v="6"/>
    <n v="30475"/>
    <n v="15"/>
    <n v="155422.5"/>
    <n v="23889.15"/>
  </r>
  <r>
    <s v="Chennai"/>
    <s v="CUST4285"/>
    <s v="Consumer"/>
    <s v="Electronics"/>
    <s v="Chair"/>
    <x v="179"/>
    <x v="2"/>
    <s v="Online"/>
    <s v="Debit Card"/>
    <s v="Medium"/>
    <n v="4"/>
    <n v="8507"/>
    <n v="20"/>
    <n v="27222.400000000001"/>
    <n v="-2803.07"/>
  </r>
  <r>
    <s v="Ahmedabad"/>
    <s v="CUST6786"/>
    <s v="Corporate"/>
    <s v="Furniture"/>
    <s v="Storage"/>
    <x v="78"/>
    <x v="4"/>
    <s v="Offline"/>
    <s v="Cash"/>
    <s v="High"/>
    <n v="1"/>
    <n v="18781"/>
    <n v="5"/>
    <n v="17841.95"/>
    <n v="3167.79"/>
  </r>
  <r>
    <s v="Mumbai"/>
    <s v="CUST7073"/>
    <s v="Consumer"/>
    <s v="Electronics"/>
    <s v="Laptop"/>
    <x v="143"/>
    <x v="5"/>
    <s v="Offline"/>
    <s v="Debit Card"/>
    <s v="High"/>
    <n v="4"/>
    <n v="29595"/>
    <n v="15"/>
    <n v="100623"/>
    <n v="5757.13"/>
  </r>
  <r>
    <s v="Ahmedabad"/>
    <s v="CUST8465"/>
    <s v="Consumer"/>
    <s v="Office Supplies"/>
    <s v="Laptop"/>
    <x v="3"/>
    <x v="1"/>
    <s v="Online"/>
    <s v="UPI"/>
    <s v="High"/>
    <n v="2"/>
    <n v="34321"/>
    <n v="20"/>
    <n v="54913.599999999999"/>
    <n v="-7551.93"/>
  </r>
  <r>
    <s v="Delhi"/>
    <s v="CUST1463"/>
    <s v="Home Office"/>
    <s v="Electronics"/>
    <s v="Mobile"/>
    <x v="144"/>
    <x v="0"/>
    <s v="Offline"/>
    <s v="Debit Card"/>
    <s v="High"/>
    <n v="1"/>
    <n v="8219"/>
    <n v="10"/>
    <n v="7397.1"/>
    <n v="638.41999999999996"/>
  </r>
  <r>
    <s v="Mumbai"/>
    <s v="CUST9103"/>
    <s v="Home Office"/>
    <s v="Electronics"/>
    <s v="Chair"/>
    <x v="4"/>
    <x v="0"/>
    <s v="Offline"/>
    <s v="Credit Card"/>
    <s v="Medium"/>
    <n v="6"/>
    <n v="2897"/>
    <n v="20"/>
    <n v="13905.6"/>
    <n v="-553.65"/>
  </r>
  <r>
    <s v="Delhi"/>
    <s v="CUST4961"/>
    <s v="Corporate"/>
    <s v="Electronics"/>
    <s v="Printer"/>
    <x v="75"/>
    <x v="3"/>
    <s v="Offline"/>
    <s v="Net Banking"/>
    <s v="High"/>
    <n v="7"/>
    <n v="23889"/>
    <n v="5"/>
    <n v="158861.85"/>
    <n v="32659.91"/>
  </r>
  <r>
    <s v="Ahmedabad"/>
    <s v="CUST8794"/>
    <s v="Corporate"/>
    <s v="Office Supplies"/>
    <s v="Chair"/>
    <x v="74"/>
    <x v="2"/>
    <s v="Offline"/>
    <s v="Cash"/>
    <s v="Medium"/>
    <n v="10"/>
    <n v="25835"/>
    <n v="10"/>
    <n v="232515"/>
    <n v="35613.74"/>
  </r>
  <r>
    <s v="Ahmedabad"/>
    <s v="CUST1028"/>
    <s v="Corporate"/>
    <s v="Electronics"/>
    <s v="Printer"/>
    <x v="101"/>
    <x v="0"/>
    <s v="Online"/>
    <s v="Cash"/>
    <s v="Critical"/>
    <n v="7"/>
    <n v="30268"/>
    <n v="0"/>
    <n v="211876"/>
    <n v="31430.69"/>
  </r>
  <r>
    <s v="Bangalore"/>
    <s v="CUST3866"/>
    <s v="Consumer"/>
    <s v="Electronics"/>
    <s v="Laptop"/>
    <x v="176"/>
    <x v="5"/>
    <s v="Online"/>
    <s v="Credit Card"/>
    <s v="High"/>
    <n v="5"/>
    <n v="5797"/>
    <n v="5"/>
    <n v="27535.75"/>
    <n v="2965.41"/>
  </r>
  <r>
    <s v="Chennai"/>
    <s v="CUST8489"/>
    <s v="Home Office"/>
    <s v="Electronics"/>
    <s v="Laptop"/>
    <x v="194"/>
    <x v="3"/>
    <s v="Online"/>
    <s v="Debit Card"/>
    <s v="Critical"/>
    <n v="8"/>
    <n v="11975"/>
    <n v="15"/>
    <n v="81430"/>
    <n v="3351.31"/>
  </r>
  <r>
    <s v="Delhi"/>
    <s v="CUST7515"/>
    <s v="Corporate"/>
    <s v="Furniture"/>
    <s v="Table"/>
    <x v="177"/>
    <x v="0"/>
    <s v="Offline"/>
    <s v="Debit Card"/>
    <s v="High"/>
    <n v="8"/>
    <n v="17739"/>
    <n v="15"/>
    <n v="120625.2"/>
    <n v="13710.5"/>
  </r>
  <r>
    <s v="Delhi"/>
    <s v="CUST3313"/>
    <s v="Consumer"/>
    <s v="Electronics"/>
    <s v="Storage"/>
    <x v="24"/>
    <x v="5"/>
    <s v="Offline"/>
    <s v="Net Banking"/>
    <s v="Low"/>
    <n v="6"/>
    <n v="17849"/>
    <n v="15"/>
    <n v="91029.9"/>
    <n v="-9224.2900000000009"/>
  </r>
  <r>
    <s v="Chennai"/>
    <s v="CUST6142"/>
    <s v="Home Office"/>
    <s v="Office Supplies"/>
    <s v="Mobile"/>
    <x v="76"/>
    <x v="5"/>
    <s v="Offline"/>
    <s v="UPI"/>
    <s v="Critical"/>
    <n v="7"/>
    <n v="34532"/>
    <n v="10"/>
    <n v="217551.6"/>
    <n v="30580.34"/>
  </r>
  <r>
    <s v="Bangalore"/>
    <s v="CUST6301"/>
    <s v="Corporate"/>
    <s v="Furniture"/>
    <s v="Laptop"/>
    <x v="152"/>
    <x v="4"/>
    <s v="Offline"/>
    <s v="UPI"/>
    <s v="High"/>
    <n v="9"/>
    <n v="2889"/>
    <n v="10"/>
    <n v="23400.9"/>
    <n v="-1055.69"/>
  </r>
  <r>
    <s v="Bangalore"/>
    <s v="CUST6787"/>
    <s v="Corporate"/>
    <s v="Furniture"/>
    <s v="Mobile"/>
    <x v="159"/>
    <x v="2"/>
    <s v="Offline"/>
    <s v="Net Banking"/>
    <s v="Low"/>
    <n v="4"/>
    <n v="27960"/>
    <n v="5"/>
    <n v="106248"/>
    <n v="14299.42"/>
  </r>
  <r>
    <s v="Ahmedabad"/>
    <s v="CUST6314"/>
    <s v="Corporate"/>
    <s v="Office Supplies"/>
    <s v="Storage"/>
    <x v="192"/>
    <x v="4"/>
    <s v="Offline"/>
    <s v="Debit Card"/>
    <s v="High"/>
    <n v="5"/>
    <n v="47045"/>
    <n v="0"/>
    <n v="235225"/>
    <n v="50814.2"/>
  </r>
  <r>
    <s v="Bangalore"/>
    <s v="CUST5811"/>
    <s v="Consumer"/>
    <s v="Electronics"/>
    <s v="Mobile"/>
    <x v="113"/>
    <x v="5"/>
    <s v="Online"/>
    <s v="Credit Card"/>
    <s v="High"/>
    <n v="5"/>
    <n v="46983"/>
    <n v="0"/>
    <n v="234915"/>
    <n v="26271.49"/>
  </r>
  <r>
    <s v="Delhi"/>
    <s v="CUST2553"/>
    <s v="Home Office"/>
    <s v="Electronics"/>
    <s v="Laptop"/>
    <x v="75"/>
    <x v="3"/>
    <s v="Online"/>
    <s v="UPI"/>
    <s v="Low"/>
    <n v="4"/>
    <n v="3147"/>
    <n v="5"/>
    <n v="11958.6"/>
    <n v="2586.86"/>
  </r>
  <r>
    <s v="Bangalore"/>
    <s v="CUST5993"/>
    <s v="Consumer"/>
    <s v="Office Supplies"/>
    <s v="Table"/>
    <x v="176"/>
    <x v="5"/>
    <s v="Offline"/>
    <s v="Cash"/>
    <s v="Critical"/>
    <n v="8"/>
    <n v="1274"/>
    <n v="10"/>
    <n v="9172.7999999999993"/>
    <n v="422.09"/>
  </r>
  <r>
    <s v="Ahmedabad"/>
    <s v="CUST3783"/>
    <s v="Corporate"/>
    <s v="Electronics"/>
    <s v="Mobile"/>
    <x v="180"/>
    <x v="3"/>
    <s v="Offline"/>
    <s v="Cash"/>
    <s v="High"/>
    <n v="4"/>
    <n v="34102"/>
    <n v="10"/>
    <n v="122767.2"/>
    <n v="22931.57"/>
  </r>
  <r>
    <s v="Chennai"/>
    <s v="CUST2398"/>
    <s v="Corporate"/>
    <s v="Furniture"/>
    <s v="Chair"/>
    <x v="50"/>
    <x v="2"/>
    <s v="Offline"/>
    <s v="Credit Card"/>
    <s v="Low"/>
    <n v="9"/>
    <n v="21528"/>
    <n v="0"/>
    <n v="193752"/>
    <n v="46477.53"/>
  </r>
  <r>
    <s v="Ahmedabad"/>
    <s v="CUST5136"/>
    <s v="Corporate"/>
    <s v="Electronics"/>
    <s v="Storage"/>
    <x v="38"/>
    <x v="4"/>
    <s v="Offline"/>
    <s v="Net Banking"/>
    <s v="Medium"/>
    <n v="5"/>
    <n v="22997"/>
    <n v="5"/>
    <n v="109235.75"/>
    <n v="20821.13"/>
  </r>
  <r>
    <s v="Mumbai"/>
    <s v="CUST4543"/>
    <s v="Corporate"/>
    <s v="Electronics"/>
    <s v="Table"/>
    <x v="172"/>
    <x v="0"/>
    <s v="Online"/>
    <s v="UPI"/>
    <s v="Medium"/>
    <n v="1"/>
    <n v="27285"/>
    <n v="20"/>
    <n v="21828"/>
    <n v="-1549.71"/>
  </r>
  <r>
    <s v="Bangalore"/>
    <s v="CUST7740"/>
    <s v="Consumer"/>
    <s v="Electronics"/>
    <s v="Laptop"/>
    <x v="22"/>
    <x v="5"/>
    <s v="Online"/>
    <s v="Debit Card"/>
    <s v="Critical"/>
    <n v="1"/>
    <n v="3787"/>
    <n v="5"/>
    <n v="3597.65"/>
    <n v="645.21"/>
  </r>
  <r>
    <s v="Mumbai"/>
    <s v="CUST1084"/>
    <s v="Consumer"/>
    <s v="Furniture"/>
    <s v="Chair"/>
    <x v="164"/>
    <x v="1"/>
    <s v="Offline"/>
    <s v="Cash"/>
    <s v="Critical"/>
    <n v="5"/>
    <n v="10252"/>
    <n v="10"/>
    <n v="46134"/>
    <n v="-981.1"/>
  </r>
  <r>
    <s v="Mumbai"/>
    <s v="CUST3248"/>
    <s v="Corporate"/>
    <s v="Furniture"/>
    <s v="Mobile"/>
    <x v="40"/>
    <x v="3"/>
    <s v="Offline"/>
    <s v="Net Banking"/>
    <s v="High"/>
    <n v="3"/>
    <n v="15097"/>
    <n v="5"/>
    <n v="43026.45"/>
    <n v="29.51"/>
  </r>
  <r>
    <s v="Ahmedabad"/>
    <s v="CUST5621"/>
    <s v="Home Office"/>
    <s v="Electronics"/>
    <s v="Laptop"/>
    <x v="138"/>
    <x v="2"/>
    <s v="Online"/>
    <s v="Cash"/>
    <s v="Low"/>
    <n v="8"/>
    <n v="39770"/>
    <n v="20"/>
    <n v="254528"/>
    <n v="-44619.07"/>
  </r>
  <r>
    <s v="Bangalore"/>
    <s v="CUST6429"/>
    <s v="Consumer"/>
    <s v="Office Supplies"/>
    <s v="Laptop"/>
    <x v="135"/>
    <x v="1"/>
    <s v="Online"/>
    <s v="Net Banking"/>
    <s v="Critical"/>
    <n v="3"/>
    <n v="6917"/>
    <n v="5"/>
    <n v="19713.45"/>
    <n v="4304.2299999999996"/>
  </r>
  <r>
    <s v="Ahmedabad"/>
    <s v="CUST2753"/>
    <s v="Home Office"/>
    <s v="Furniture"/>
    <s v="Mobile"/>
    <x v="27"/>
    <x v="5"/>
    <s v="Offline"/>
    <s v="Cash"/>
    <s v="High"/>
    <n v="5"/>
    <n v="26918"/>
    <n v="0"/>
    <n v="134590"/>
    <n v="13723.48"/>
  </r>
  <r>
    <s v="Delhi"/>
    <s v="CUST6903"/>
    <s v="Corporate"/>
    <s v="Electronics"/>
    <s v="Printer"/>
    <x v="85"/>
    <x v="3"/>
    <s v="Online"/>
    <s v="Cash"/>
    <s v="Low"/>
    <n v="9"/>
    <n v="7801"/>
    <n v="10"/>
    <n v="63188.1"/>
    <n v="9426.82"/>
  </r>
  <r>
    <s v="Bangalore"/>
    <s v="CUST3395"/>
    <s v="Corporate"/>
    <s v="Electronics"/>
    <s v="Table"/>
    <x v="192"/>
    <x v="3"/>
    <s v="Online"/>
    <s v="Debit Card"/>
    <s v="High"/>
    <n v="2"/>
    <n v="9735"/>
    <n v="5"/>
    <n v="18496.5"/>
    <n v="1050.51"/>
  </r>
  <r>
    <s v="Chennai"/>
    <s v="CUST5466"/>
    <s v="Consumer"/>
    <s v="Furniture"/>
    <s v="Printer"/>
    <x v="107"/>
    <x v="0"/>
    <s v="Offline"/>
    <s v="Credit Card"/>
    <s v="High"/>
    <n v="10"/>
    <n v="45942"/>
    <n v="5"/>
    <n v="436449"/>
    <n v="303.67"/>
  </r>
  <r>
    <s v="Bangalore"/>
    <s v="CUST4482"/>
    <s v="Home Office"/>
    <s v="Electronics"/>
    <s v="Table"/>
    <x v="171"/>
    <x v="3"/>
    <s v="Online"/>
    <s v="UPI"/>
    <s v="High"/>
    <n v="6"/>
    <n v="1671"/>
    <n v="20"/>
    <n v="8020.8"/>
    <n v="938.9"/>
  </r>
  <r>
    <s v="Chennai"/>
    <s v="CUST9869"/>
    <s v="Consumer"/>
    <s v="Electronics"/>
    <s v="Mobile"/>
    <x v="41"/>
    <x v="3"/>
    <s v="Online"/>
    <s v="Debit Card"/>
    <s v="Low"/>
    <n v="10"/>
    <n v="26083"/>
    <n v="20"/>
    <n v="208664"/>
    <n v="4627.3599999999997"/>
  </r>
  <r>
    <s v="Chennai"/>
    <s v="CUST9487"/>
    <s v="Corporate"/>
    <s v="Furniture"/>
    <s v="Table"/>
    <x v="152"/>
    <x v="1"/>
    <s v="Offline"/>
    <s v="Net Banking"/>
    <s v="Critical"/>
    <n v="6"/>
    <n v="15279"/>
    <n v="10"/>
    <n v="82506.600000000006"/>
    <n v="2261.14"/>
  </r>
  <r>
    <s v="Ahmedabad"/>
    <s v="CUST4252"/>
    <s v="Consumer"/>
    <s v="Electronics"/>
    <s v="Chair"/>
    <x v="43"/>
    <x v="3"/>
    <s v="Offline"/>
    <s v="Debit Card"/>
    <s v="Low"/>
    <n v="3"/>
    <n v="25762"/>
    <n v="20"/>
    <n v="61828.800000000003"/>
    <n v="2896.54"/>
  </r>
  <r>
    <s v="Chennai"/>
    <s v="CUST8188"/>
    <s v="Home Office"/>
    <s v="Electronics"/>
    <s v="Printer"/>
    <x v="116"/>
    <x v="0"/>
    <s v="Offline"/>
    <s v="UPI"/>
    <s v="Medium"/>
    <n v="7"/>
    <n v="17882"/>
    <n v="10"/>
    <n v="112656.6"/>
    <n v="-2698.42"/>
  </r>
  <r>
    <s v="Chennai"/>
    <s v="CUST1819"/>
    <s v="Consumer"/>
    <s v="Electronics"/>
    <s v="Storage"/>
    <x v="60"/>
    <x v="0"/>
    <s v="Online"/>
    <s v="UPI"/>
    <s v="Critical"/>
    <n v="6"/>
    <n v="42496"/>
    <n v="5"/>
    <n v="242227.20000000001"/>
    <n v="52208.83"/>
  </r>
  <r>
    <s v="Mumbai"/>
    <s v="CUST1940"/>
    <s v="Home Office"/>
    <s v="Furniture"/>
    <s v="Table"/>
    <x v="123"/>
    <x v="0"/>
    <s v="Offline"/>
    <s v="Credit Card"/>
    <s v="Critical"/>
    <n v="9"/>
    <n v="24923"/>
    <n v="10"/>
    <n v="201876.3"/>
    <n v="40196.35"/>
  </r>
  <r>
    <s v="Ahmedabad"/>
    <s v="CUST9041"/>
    <s v="Consumer"/>
    <s v="Office Supplies"/>
    <s v="Table"/>
    <x v="122"/>
    <x v="1"/>
    <s v="Online"/>
    <s v="Cash"/>
    <s v="High"/>
    <n v="9"/>
    <n v="10293"/>
    <n v="5"/>
    <n v="88005.15"/>
    <n v="22763.16"/>
  </r>
  <r>
    <s v="Ahmedabad"/>
    <s v="CUST2418"/>
    <s v="Corporate"/>
    <s v="Electronics"/>
    <s v="Laptop"/>
    <x v="191"/>
    <x v="5"/>
    <s v="Online"/>
    <s v="Debit Card"/>
    <s v="Low"/>
    <n v="8"/>
    <n v="46402"/>
    <n v="5"/>
    <n v="352655.2"/>
    <n v="50444.56"/>
  </r>
  <r>
    <s v="Bangalore"/>
    <s v="CUST8628"/>
    <s v="Corporate"/>
    <s v="Furniture"/>
    <s v="Chair"/>
    <x v="128"/>
    <x v="1"/>
    <s v="Online"/>
    <s v="Cash"/>
    <s v="High"/>
    <n v="1"/>
    <n v="37539"/>
    <n v="15"/>
    <n v="31908.15"/>
    <n v="902.15"/>
  </r>
  <r>
    <s v="Mumbai"/>
    <s v="CUST9133"/>
    <s v="Home Office"/>
    <s v="Furniture"/>
    <s v="Table"/>
    <x v="82"/>
    <x v="3"/>
    <s v="Online"/>
    <s v="Debit Card"/>
    <s v="Low"/>
    <n v="1"/>
    <n v="45952"/>
    <n v="10"/>
    <n v="41356.800000000003"/>
    <n v="752.3"/>
  </r>
  <r>
    <s v="Delhi"/>
    <s v="CUST8286"/>
    <s v="Consumer"/>
    <s v="Electronics"/>
    <s v="Chair"/>
    <x v="181"/>
    <x v="0"/>
    <s v="Online"/>
    <s v="Debit Card"/>
    <s v="Medium"/>
    <n v="8"/>
    <n v="48742"/>
    <n v="5"/>
    <n v="370439.2"/>
    <n v="17981.46"/>
  </r>
  <r>
    <s v="Mumbai"/>
    <s v="CUST6929"/>
    <s v="Home Office"/>
    <s v="Electronics"/>
    <s v="Mobile"/>
    <x v="119"/>
    <x v="0"/>
    <s v="Online"/>
    <s v="Net Banking"/>
    <s v="Critical"/>
    <n v="7"/>
    <n v="10543"/>
    <n v="5"/>
    <n v="70110.95"/>
    <n v="9097.68"/>
  </r>
  <r>
    <s v="Bangalore"/>
    <s v="CUST4190"/>
    <s v="Consumer"/>
    <s v="Office Supplies"/>
    <s v="Laptop"/>
    <x v="34"/>
    <x v="0"/>
    <s v="Offline"/>
    <s v="Cash"/>
    <s v="High"/>
    <n v="6"/>
    <n v="2119"/>
    <n v="10"/>
    <n v="11442.6"/>
    <n v="-62.51"/>
  </r>
  <r>
    <s v="Delhi"/>
    <s v="CUST7530"/>
    <s v="Home Office"/>
    <s v="Furniture"/>
    <s v="Laptop"/>
    <x v="144"/>
    <x v="0"/>
    <s v="Online"/>
    <s v="Debit Card"/>
    <s v="Low"/>
    <n v="1"/>
    <n v="4164"/>
    <n v="10"/>
    <n v="3747.6"/>
    <n v="-99.14"/>
  </r>
  <r>
    <s v="Chennai"/>
    <s v="CUST5752"/>
    <s v="Corporate"/>
    <s v="Electronics"/>
    <s v="Storage"/>
    <x v="153"/>
    <x v="1"/>
    <s v="Offline"/>
    <s v="Debit Card"/>
    <s v="High"/>
    <n v="6"/>
    <n v="16965"/>
    <n v="20"/>
    <n v="81432"/>
    <n v="1051.17"/>
  </r>
  <r>
    <s v="Mumbai"/>
    <s v="CUST6388"/>
    <s v="Consumer"/>
    <s v="Electronics"/>
    <s v="Mobile"/>
    <x v="33"/>
    <x v="1"/>
    <s v="Offline"/>
    <s v="Cash"/>
    <s v="High"/>
    <n v="7"/>
    <n v="40731"/>
    <n v="15"/>
    <n v="242349.45"/>
    <n v="-21642.35"/>
  </r>
  <r>
    <s v="Chennai"/>
    <s v="CUST5601"/>
    <s v="Corporate"/>
    <s v="Office Supplies"/>
    <s v="Mobile"/>
    <x v="115"/>
    <x v="4"/>
    <s v="Offline"/>
    <s v="Debit Card"/>
    <s v="High"/>
    <n v="8"/>
    <n v="17346"/>
    <n v="20"/>
    <n v="111014.39999999999"/>
    <n v="-15948.87"/>
  </r>
  <r>
    <s v="Bangalore"/>
    <s v="CUST7363"/>
    <s v="Corporate"/>
    <s v="Electronics"/>
    <s v="Chair"/>
    <x v="91"/>
    <x v="5"/>
    <s v="Online"/>
    <s v="Cash"/>
    <s v="High"/>
    <n v="6"/>
    <n v="10620"/>
    <n v="0"/>
    <n v="63720"/>
    <n v="17766.96"/>
  </r>
  <r>
    <s v="Delhi"/>
    <s v="CUST3922"/>
    <s v="Consumer"/>
    <s v="Office Supplies"/>
    <s v="Chair"/>
    <x v="192"/>
    <x v="1"/>
    <s v="Offline"/>
    <s v="Cash"/>
    <s v="Low"/>
    <n v="3"/>
    <n v="1143"/>
    <n v="10"/>
    <n v="3086.1"/>
    <n v="-153.51"/>
  </r>
  <r>
    <s v="Ahmedabad"/>
    <s v="CUST3411"/>
    <s v="Home Office"/>
    <s v="Electronics"/>
    <s v="Chair"/>
    <x v="175"/>
    <x v="2"/>
    <s v="Offline"/>
    <s v="Net Banking"/>
    <s v="High"/>
    <n v="4"/>
    <n v="46429"/>
    <n v="20"/>
    <n v="148572.79999999999"/>
    <n v="10733.9"/>
  </r>
  <r>
    <s v="Mumbai"/>
    <s v="CUST1183"/>
    <s v="Corporate"/>
    <s v="Office Supplies"/>
    <s v="Printer"/>
    <x v="35"/>
    <x v="4"/>
    <s v="Online"/>
    <s v="Net Banking"/>
    <s v="High"/>
    <n v="7"/>
    <n v="7781"/>
    <n v="0"/>
    <n v="54467"/>
    <n v="7379.19"/>
  </r>
  <r>
    <s v="Ahmedabad"/>
    <s v="CUST8711"/>
    <s v="Home Office"/>
    <s v="Electronics"/>
    <s v="Storage"/>
    <x v="122"/>
    <x v="4"/>
    <s v="Offline"/>
    <s v="UPI"/>
    <s v="High"/>
    <n v="6"/>
    <n v="10196"/>
    <n v="0"/>
    <n v="61176"/>
    <n v="11740.46"/>
  </r>
  <r>
    <s v="Delhi"/>
    <s v="CUST1515"/>
    <s v="Home Office"/>
    <s v="Furniture"/>
    <s v="Laptop"/>
    <x v="191"/>
    <x v="1"/>
    <s v="Online"/>
    <s v="UPI"/>
    <s v="High"/>
    <n v="5"/>
    <n v="30834"/>
    <n v="20"/>
    <n v="123336"/>
    <n v="3935.76"/>
  </r>
  <r>
    <s v="Ahmedabad"/>
    <s v="CUST7570"/>
    <s v="Consumer"/>
    <s v="Electronics"/>
    <s v="Table"/>
    <x v="133"/>
    <x v="2"/>
    <s v="Online"/>
    <s v="Cash"/>
    <s v="Medium"/>
    <n v="1"/>
    <n v="29169"/>
    <n v="20"/>
    <n v="23335.200000000001"/>
    <n v="-3308.69"/>
  </r>
  <r>
    <s v="Chennai"/>
    <s v="CUST7361"/>
    <s v="Corporate"/>
    <s v="Furniture"/>
    <s v="Chair"/>
    <x v="180"/>
    <x v="4"/>
    <s v="Online"/>
    <s v="Debit Card"/>
    <s v="High"/>
    <n v="1"/>
    <n v="34113"/>
    <n v="20"/>
    <n v="27290.400000000001"/>
    <n v="-3083.32"/>
  </r>
  <r>
    <s v="Ahmedabad"/>
    <s v="CUST6831"/>
    <s v="Home Office"/>
    <s v="Furniture"/>
    <s v="Storage"/>
    <x v="184"/>
    <x v="1"/>
    <s v="Online"/>
    <s v="Credit Card"/>
    <s v="High"/>
    <n v="10"/>
    <n v="3437"/>
    <n v="20"/>
    <n v="27496"/>
    <n v="-211.73"/>
  </r>
  <r>
    <s v="Chennai"/>
    <s v="CUST5055"/>
    <s v="Corporate"/>
    <s v="Office Supplies"/>
    <s v="Storage"/>
    <x v="75"/>
    <x v="5"/>
    <s v="Offline"/>
    <s v="Debit Card"/>
    <s v="Critical"/>
    <n v="7"/>
    <n v="21100"/>
    <n v="20"/>
    <n v="118160"/>
    <n v="-18846.28"/>
  </r>
  <r>
    <s v="Bangalore"/>
    <s v="CUST7640"/>
    <s v="Home Office"/>
    <s v="Electronics"/>
    <s v="Laptop"/>
    <x v="25"/>
    <x v="2"/>
    <s v="Online"/>
    <s v="UPI"/>
    <s v="High"/>
    <n v="6"/>
    <n v="38036"/>
    <n v="0"/>
    <n v="228216"/>
    <n v="32758.23"/>
  </r>
  <r>
    <s v="Chennai"/>
    <s v="CUST2187"/>
    <s v="Corporate"/>
    <s v="Furniture"/>
    <s v="Mobile"/>
    <x v="173"/>
    <x v="5"/>
    <s v="Offline"/>
    <s v="Debit Card"/>
    <s v="Medium"/>
    <n v="9"/>
    <n v="45208"/>
    <n v="20"/>
    <n v="325497.59999999998"/>
    <n v="-3687.44"/>
  </r>
  <r>
    <s v="Delhi"/>
    <s v="CUST4070"/>
    <s v="Consumer"/>
    <s v="Electronics"/>
    <s v="Mobile"/>
    <x v="54"/>
    <x v="0"/>
    <s v="Offline"/>
    <s v="Cash"/>
    <s v="Critical"/>
    <n v="8"/>
    <n v="8787"/>
    <n v="20"/>
    <n v="56236.800000000003"/>
    <n v="-4278.79"/>
  </r>
  <r>
    <s v="Delhi"/>
    <s v="CUST7142"/>
    <s v="Home Office"/>
    <s v="Office Supplies"/>
    <s v="Table"/>
    <x v="98"/>
    <x v="3"/>
    <s v="Offline"/>
    <s v="Credit Card"/>
    <s v="Low"/>
    <n v="4"/>
    <n v="32837"/>
    <n v="20"/>
    <n v="105078.39999999999"/>
    <n v="5451.43"/>
  </r>
  <r>
    <s v="Mumbai"/>
    <s v="CUST4041"/>
    <s v="Corporate"/>
    <s v="Electronics"/>
    <s v="Laptop"/>
    <x v="51"/>
    <x v="0"/>
    <s v="Offline"/>
    <s v="Net Banking"/>
    <s v="High"/>
    <n v="1"/>
    <n v="7007"/>
    <n v="0"/>
    <n v="7007"/>
    <n v="944.43"/>
  </r>
  <r>
    <s v="Bangalore"/>
    <s v="CUST5864"/>
    <s v="Home Office"/>
    <s v="Office Supplies"/>
    <s v="Chair"/>
    <x v="66"/>
    <x v="5"/>
    <s v="Online"/>
    <s v="Debit Card"/>
    <s v="High"/>
    <n v="10"/>
    <n v="24093"/>
    <n v="0"/>
    <n v="240930"/>
    <n v="33640.370000000003"/>
  </r>
  <r>
    <s v="Ahmedabad"/>
    <s v="CUST5814"/>
    <s v="Corporate"/>
    <s v="Electronics"/>
    <s v="Printer"/>
    <x v="36"/>
    <x v="2"/>
    <s v="Online"/>
    <s v="Credit Card"/>
    <s v="High"/>
    <n v="9"/>
    <n v="49599"/>
    <n v="10"/>
    <n v="401751.9"/>
    <n v="-13220.61"/>
  </r>
  <r>
    <s v="Bangalore"/>
    <s v="CUST4785"/>
    <s v="Corporate"/>
    <s v="Office Supplies"/>
    <s v="Mobile"/>
    <x v="49"/>
    <x v="4"/>
    <s v="Online"/>
    <s v="Credit Card"/>
    <s v="Medium"/>
    <n v="5"/>
    <n v="12528"/>
    <n v="20"/>
    <n v="50112"/>
    <n v="-5420.92"/>
  </r>
  <r>
    <s v="Ahmedabad"/>
    <s v="CUST5074"/>
    <s v="Home Office"/>
    <s v="Electronics"/>
    <s v="Mobile"/>
    <x v="121"/>
    <x v="1"/>
    <s v="Online"/>
    <s v="Net Banking"/>
    <s v="Medium"/>
    <n v="6"/>
    <n v="39336"/>
    <n v="0"/>
    <n v="236016"/>
    <n v="48838.25"/>
  </r>
  <r>
    <s v="Bangalore"/>
    <s v="CUST8794"/>
    <s v="Consumer"/>
    <s v="Furniture"/>
    <s v="Chair"/>
    <x v="85"/>
    <x v="5"/>
    <s v="Offline"/>
    <s v="Cash"/>
    <s v="Critical"/>
    <n v="8"/>
    <n v="2781"/>
    <n v="15"/>
    <n v="18910.8"/>
    <n v="834.27"/>
  </r>
  <r>
    <s v="Delhi"/>
    <s v="CUST3275"/>
    <s v="Home Office"/>
    <s v="Furniture"/>
    <s v="Printer"/>
    <x v="150"/>
    <x v="2"/>
    <s v="Offline"/>
    <s v="Cash"/>
    <s v="Low"/>
    <n v="4"/>
    <n v="49190"/>
    <n v="5"/>
    <n v="186922"/>
    <n v="26565.43"/>
  </r>
  <r>
    <s v="Chennai"/>
    <s v="CUST5412"/>
    <s v="Corporate"/>
    <s v="Electronics"/>
    <s v="Printer"/>
    <x v="177"/>
    <x v="2"/>
    <s v="Offline"/>
    <s v="Credit Card"/>
    <s v="Low"/>
    <n v="1"/>
    <n v="39390"/>
    <n v="20"/>
    <n v="31512"/>
    <n v="-5795.73"/>
  </r>
  <r>
    <s v="Chennai"/>
    <s v="CUST2325"/>
    <s v="Consumer"/>
    <s v="Electronics"/>
    <s v="Storage"/>
    <x v="90"/>
    <x v="4"/>
    <s v="Online"/>
    <s v="Cash"/>
    <s v="High"/>
    <n v="8"/>
    <n v="29019"/>
    <n v="0"/>
    <n v="232152"/>
    <n v="22830.73"/>
  </r>
  <r>
    <s v="Mumbai"/>
    <s v="CUST8454"/>
    <s v="Corporate"/>
    <s v="Office Supplies"/>
    <s v="Table"/>
    <x v="152"/>
    <x v="3"/>
    <s v="Online"/>
    <s v="Debit Card"/>
    <s v="High"/>
    <n v="3"/>
    <n v="31086"/>
    <n v="10"/>
    <n v="83932.2"/>
    <n v="575.46"/>
  </r>
  <r>
    <s v="Mumbai"/>
    <s v="CUST5624"/>
    <s v="Consumer"/>
    <s v="Furniture"/>
    <s v="Storage"/>
    <x v="19"/>
    <x v="0"/>
    <s v="Offline"/>
    <s v="Cash"/>
    <s v="Medium"/>
    <n v="9"/>
    <n v="27088"/>
    <n v="5"/>
    <n v="231602.4"/>
    <n v="47880.01"/>
  </r>
  <r>
    <s v="Ahmedabad"/>
    <s v="CUST3766"/>
    <s v="Home Office"/>
    <s v="Electronics"/>
    <s v="Table"/>
    <x v="95"/>
    <x v="3"/>
    <s v="Online"/>
    <s v="Credit Card"/>
    <s v="Medium"/>
    <n v="4"/>
    <n v="18042"/>
    <n v="0"/>
    <n v="72168"/>
    <n v="15319.36"/>
  </r>
  <r>
    <s v="Bangalore"/>
    <s v="CUST5670"/>
    <s v="Corporate"/>
    <s v="Furniture"/>
    <s v="Storage"/>
    <x v="192"/>
    <x v="4"/>
    <s v="Online"/>
    <s v="Debit Card"/>
    <s v="High"/>
    <n v="2"/>
    <n v="35700"/>
    <n v="20"/>
    <n v="57120"/>
    <n v="5841.08"/>
  </r>
  <r>
    <s v="Delhi"/>
    <s v="CUST5940"/>
    <s v="Consumer"/>
    <s v="Office Supplies"/>
    <s v="Mobile"/>
    <x v="118"/>
    <x v="3"/>
    <s v="Offline"/>
    <s v="Net Banking"/>
    <s v="Low"/>
    <n v="9"/>
    <n v="15337"/>
    <n v="5"/>
    <n v="131131.35"/>
    <n v="15633.69"/>
  </r>
  <r>
    <s v="Mumbai"/>
    <s v="CUST9392"/>
    <s v="Consumer"/>
    <s v="Furniture"/>
    <s v="Storage"/>
    <x v="27"/>
    <x v="3"/>
    <s v="Offline"/>
    <s v="Credit Card"/>
    <s v="Medium"/>
    <n v="7"/>
    <n v="19106"/>
    <n v="20"/>
    <n v="106993.60000000001"/>
    <n v="4172.76"/>
  </r>
  <r>
    <s v="Ahmedabad"/>
    <s v="CUST2984"/>
    <s v="Corporate"/>
    <s v="Office Supplies"/>
    <s v="Table"/>
    <x v="160"/>
    <x v="3"/>
    <s v="Offline"/>
    <s v="Cash"/>
    <s v="Medium"/>
    <n v="6"/>
    <n v="13787"/>
    <n v="15"/>
    <n v="70313.7"/>
    <n v="-1160.3900000000001"/>
  </r>
  <r>
    <s v="Mumbai"/>
    <s v="CUST1101"/>
    <s v="Consumer"/>
    <s v="Electronics"/>
    <s v="Laptop"/>
    <x v="0"/>
    <x v="2"/>
    <s v="Offline"/>
    <s v="Cash"/>
    <s v="Critical"/>
    <n v="3"/>
    <n v="1055"/>
    <n v="5"/>
    <n v="3006.75"/>
    <n v="128.91999999999999"/>
  </r>
  <r>
    <s v="Ahmedabad"/>
    <s v="CUST7210"/>
    <s v="Corporate"/>
    <s v="Office Supplies"/>
    <s v="Mobile"/>
    <x v="134"/>
    <x v="5"/>
    <s v="Online"/>
    <s v="Cash"/>
    <s v="Low"/>
    <n v="8"/>
    <n v="1560"/>
    <n v="5"/>
    <n v="11856"/>
    <n v="478.43"/>
  </r>
  <r>
    <s v="Delhi"/>
    <s v="CUST3318"/>
    <s v="Corporate"/>
    <s v="Furniture"/>
    <s v="Laptop"/>
    <x v="97"/>
    <x v="3"/>
    <s v="Offline"/>
    <s v="Credit Card"/>
    <s v="Medium"/>
    <n v="4"/>
    <n v="10221"/>
    <n v="0"/>
    <n v="40884"/>
    <n v="7530.25"/>
  </r>
  <r>
    <s v="Mumbai"/>
    <s v="CUST8299"/>
    <s v="Consumer"/>
    <s v="Furniture"/>
    <s v="Printer"/>
    <x v="13"/>
    <x v="1"/>
    <s v="Online"/>
    <s v="UPI"/>
    <s v="Medium"/>
    <n v="2"/>
    <n v="45349"/>
    <n v="0"/>
    <n v="90698"/>
    <n v="14339.64"/>
  </r>
  <r>
    <s v="Mumbai"/>
    <s v="CUST1157"/>
    <s v="Consumer"/>
    <s v="Electronics"/>
    <s v="Laptop"/>
    <x v="121"/>
    <x v="1"/>
    <s v="Online"/>
    <s v="Net Banking"/>
    <s v="High"/>
    <n v="2"/>
    <n v="10912"/>
    <n v="20"/>
    <n v="17459.2"/>
    <n v="793.66"/>
  </r>
  <r>
    <s v="Delhi"/>
    <s v="CUST2517"/>
    <s v="Corporate"/>
    <s v="Office Supplies"/>
    <s v="Chair"/>
    <x v="12"/>
    <x v="1"/>
    <s v="Online"/>
    <s v="Debit Card"/>
    <s v="High"/>
    <n v="2"/>
    <n v="48860"/>
    <n v="5"/>
    <n v="92834"/>
    <n v="2936.75"/>
  </r>
  <r>
    <s v="Delhi"/>
    <s v="CUST2217"/>
    <s v="Consumer"/>
    <s v="Electronics"/>
    <s v="Table"/>
    <x v="76"/>
    <x v="5"/>
    <s v="Offline"/>
    <s v="Net Banking"/>
    <s v="Critical"/>
    <n v="5"/>
    <n v="26519"/>
    <n v="0"/>
    <n v="132595"/>
    <n v="27586.86"/>
  </r>
  <r>
    <s v="Delhi"/>
    <s v="CUST3789"/>
    <s v="Home Office"/>
    <s v="Electronics"/>
    <s v="Mobile"/>
    <x v="108"/>
    <x v="3"/>
    <s v="Online"/>
    <s v="UPI"/>
    <s v="High"/>
    <n v="10"/>
    <n v="44619"/>
    <n v="15"/>
    <n v="379261.5"/>
    <n v="333.13"/>
  </r>
  <r>
    <s v="Chennai"/>
    <s v="CUST7760"/>
    <s v="Corporate"/>
    <s v="Office Supplies"/>
    <s v="Chair"/>
    <x v="110"/>
    <x v="5"/>
    <s v="Offline"/>
    <s v="UPI"/>
    <s v="High"/>
    <n v="6"/>
    <n v="7564"/>
    <n v="10"/>
    <n v="40845.599999999999"/>
    <n v="4365.88"/>
  </r>
  <r>
    <s v="Chennai"/>
    <s v="CUST2830"/>
    <s v="Consumer"/>
    <s v="Office Supplies"/>
    <s v="Chair"/>
    <x v="64"/>
    <x v="1"/>
    <s v="Online"/>
    <s v="Debit Card"/>
    <s v="Medium"/>
    <n v="5"/>
    <n v="28872"/>
    <n v="10"/>
    <n v="129924"/>
    <n v="4155.6000000000004"/>
  </r>
  <r>
    <s v="Mumbai"/>
    <s v="CUST5831"/>
    <s v="Corporate"/>
    <s v="Electronics"/>
    <s v="Chair"/>
    <x v="187"/>
    <x v="3"/>
    <s v="Online"/>
    <s v="Net Banking"/>
    <s v="Low"/>
    <n v="10"/>
    <n v="18360"/>
    <n v="5"/>
    <n v="174420"/>
    <n v="21286.61"/>
  </r>
  <r>
    <s v="Delhi"/>
    <s v="CUST5144"/>
    <s v="Home Office"/>
    <s v="Furniture"/>
    <s v="Storage"/>
    <x v="39"/>
    <x v="1"/>
    <s v="Offline"/>
    <s v="Net Banking"/>
    <s v="High"/>
    <n v="6"/>
    <n v="8352"/>
    <n v="0"/>
    <n v="50112"/>
    <n v="4363.09"/>
  </r>
  <r>
    <s v="Bangalore"/>
    <s v="CUST6902"/>
    <s v="Home Office"/>
    <s v="Furniture"/>
    <s v="Storage"/>
    <x v="69"/>
    <x v="5"/>
    <s v="Offline"/>
    <s v="Net Banking"/>
    <s v="Critical"/>
    <n v="8"/>
    <n v="4668"/>
    <n v="15"/>
    <n v="31742.400000000001"/>
    <n v="4798.18"/>
  </r>
  <r>
    <s v="Mumbai"/>
    <s v="CUST1736"/>
    <s v="Home Office"/>
    <s v="Office Supplies"/>
    <s v="Chair"/>
    <x v="61"/>
    <x v="1"/>
    <s v="Offline"/>
    <s v="Net Banking"/>
    <s v="High"/>
    <n v="2"/>
    <n v="38482"/>
    <n v="15"/>
    <n v="65419.4"/>
    <n v="-787.62"/>
  </r>
  <r>
    <s v="Bangalore"/>
    <s v="CUST7317"/>
    <s v="Corporate"/>
    <s v="Office Supplies"/>
    <s v="Chair"/>
    <x v="87"/>
    <x v="2"/>
    <s v="Online"/>
    <s v="Cash"/>
    <s v="Critical"/>
    <n v="7"/>
    <n v="12133"/>
    <n v="15"/>
    <n v="72191.350000000006"/>
    <n v="-2126.4299999999998"/>
  </r>
  <r>
    <s v="Chennai"/>
    <s v="CUST8358"/>
    <s v="Corporate"/>
    <s v="Electronics"/>
    <s v="Printer"/>
    <x v="69"/>
    <x v="1"/>
    <s v="Offline"/>
    <s v="Credit Card"/>
    <s v="Critical"/>
    <n v="1"/>
    <n v="24075"/>
    <n v="0"/>
    <n v="24075"/>
    <n v="1459.45"/>
  </r>
  <r>
    <s v="Chennai"/>
    <s v="CUST2451"/>
    <s v="Consumer"/>
    <s v="Office Supplies"/>
    <s v="Laptop"/>
    <x v="41"/>
    <x v="3"/>
    <s v="Offline"/>
    <s v="Debit Card"/>
    <s v="Critical"/>
    <n v="8"/>
    <n v="41346"/>
    <n v="0"/>
    <n v="330768"/>
    <n v="20407.97"/>
  </r>
  <r>
    <s v="Delhi"/>
    <s v="CUST5904"/>
    <s v="Consumer"/>
    <s v="Furniture"/>
    <s v="Laptop"/>
    <x v="190"/>
    <x v="1"/>
    <s v="Online"/>
    <s v="UPI"/>
    <s v="Critical"/>
    <n v="3"/>
    <n v="15441"/>
    <n v="5"/>
    <n v="44006.85"/>
    <n v="3297.46"/>
  </r>
  <r>
    <s v="Chennai"/>
    <s v="CUST4702"/>
    <s v="Consumer"/>
    <s v="Electronics"/>
    <s v="Mobile"/>
    <x v="178"/>
    <x v="0"/>
    <s v="Online"/>
    <s v="UPI"/>
    <s v="High"/>
    <n v="5"/>
    <n v="3795"/>
    <n v="5"/>
    <n v="18026.25"/>
    <n v="1652.25"/>
  </r>
  <r>
    <s v="Delhi"/>
    <s v="CUST4884"/>
    <s v="Home Office"/>
    <s v="Electronics"/>
    <s v="Printer"/>
    <x v="79"/>
    <x v="3"/>
    <s v="Offline"/>
    <s v="UPI"/>
    <s v="Critical"/>
    <n v="6"/>
    <n v="15504"/>
    <n v="20"/>
    <n v="74419.199999999997"/>
    <n v="-11498.17"/>
  </r>
  <r>
    <s v="Mumbai"/>
    <s v="CUST2066"/>
    <s v="Corporate"/>
    <s v="Furniture"/>
    <s v="Printer"/>
    <x v="145"/>
    <x v="3"/>
    <s v="Offline"/>
    <s v="Cash"/>
    <s v="High"/>
    <n v="9"/>
    <n v="43754"/>
    <n v="0"/>
    <n v="393786"/>
    <n v="97518.94"/>
  </r>
  <r>
    <s v="Ahmedabad"/>
    <s v="CUST8811"/>
    <s v="Home Office"/>
    <s v="Office Supplies"/>
    <s v="Mobile"/>
    <x v="53"/>
    <x v="4"/>
    <s v="Offline"/>
    <s v="Credit Card"/>
    <s v="Critical"/>
    <n v="2"/>
    <n v="543"/>
    <n v="5"/>
    <n v="1031.7"/>
    <n v="127.6"/>
  </r>
  <r>
    <s v="Chennai"/>
    <s v="CUST6337"/>
    <s v="Consumer"/>
    <s v="Furniture"/>
    <s v="Laptop"/>
    <x v="175"/>
    <x v="4"/>
    <s v="Online"/>
    <s v="Cash"/>
    <s v="Low"/>
    <n v="5"/>
    <n v="15609"/>
    <n v="20"/>
    <n v="62436"/>
    <n v="6593.97"/>
  </r>
  <r>
    <s v="Ahmedabad"/>
    <s v="CUST9662"/>
    <s v="Corporate"/>
    <s v="Electronics"/>
    <s v="Storage"/>
    <x v="73"/>
    <x v="5"/>
    <s v="Online"/>
    <s v="Net Banking"/>
    <s v="Critical"/>
    <n v="9"/>
    <n v="23527"/>
    <n v="5"/>
    <n v="201155.85"/>
    <n v="33348.67"/>
  </r>
  <r>
    <s v="Bangalore"/>
    <s v="CUST1554"/>
    <s v="Home Office"/>
    <s v="Office Supplies"/>
    <s v="Table"/>
    <x v="137"/>
    <x v="1"/>
    <s v="Offline"/>
    <s v="UPI"/>
    <s v="Critical"/>
    <n v="8"/>
    <n v="19391"/>
    <n v="0"/>
    <n v="155128"/>
    <n v="12668.86"/>
  </r>
  <r>
    <s v="Bangalore"/>
    <s v="CUST6387"/>
    <s v="Consumer"/>
    <s v="Electronics"/>
    <s v="Chair"/>
    <x v="77"/>
    <x v="1"/>
    <s v="Offline"/>
    <s v="UPI"/>
    <s v="Low"/>
    <n v="6"/>
    <n v="46202"/>
    <n v="5"/>
    <n v="263351.40000000002"/>
    <n v="9853.27"/>
  </r>
  <r>
    <s v="Mumbai"/>
    <s v="CUST8866"/>
    <s v="Consumer"/>
    <s v="Electronics"/>
    <s v="Laptop"/>
    <x v="78"/>
    <x v="3"/>
    <s v="Offline"/>
    <s v="Debit Card"/>
    <s v="High"/>
    <n v="8"/>
    <n v="10311"/>
    <n v="10"/>
    <n v="74239.199999999997"/>
    <n v="-549.71"/>
  </r>
  <r>
    <s v="Delhi"/>
    <s v="CUST6564"/>
    <s v="Corporate"/>
    <s v="Office Supplies"/>
    <s v="Storage"/>
    <x v="199"/>
    <x v="2"/>
    <s v="Online"/>
    <s v="Cash"/>
    <s v="Low"/>
    <n v="8"/>
    <n v="30606"/>
    <n v="20"/>
    <n v="195878.39999999999"/>
    <n v="7836.53"/>
  </r>
  <r>
    <s v="Delhi"/>
    <s v="CUST2011"/>
    <s v="Home Office"/>
    <s v="Furniture"/>
    <s v="Table"/>
    <x v="93"/>
    <x v="3"/>
    <s v="Online"/>
    <s v="UPI"/>
    <s v="High"/>
    <n v="4"/>
    <n v="37260"/>
    <n v="0"/>
    <n v="149040"/>
    <n v="28470.45"/>
  </r>
  <r>
    <s v="Ahmedabad"/>
    <s v="CUST3138"/>
    <s v="Consumer"/>
    <s v="Furniture"/>
    <s v="Table"/>
    <x v="74"/>
    <x v="1"/>
    <s v="Offline"/>
    <s v="Credit Card"/>
    <s v="Medium"/>
    <n v="5"/>
    <n v="7217"/>
    <n v="10"/>
    <n v="32476.5"/>
    <n v="6547.77"/>
  </r>
  <r>
    <s v="Mumbai"/>
    <s v="CUST6942"/>
    <s v="Home Office"/>
    <s v="Electronics"/>
    <s v="Storage"/>
    <x v="93"/>
    <x v="5"/>
    <s v="Online"/>
    <s v="UPI"/>
    <s v="High"/>
    <n v="4"/>
    <n v="41923"/>
    <n v="15"/>
    <n v="142538.20000000001"/>
    <n v="15145.85"/>
  </r>
  <r>
    <s v="Chennai"/>
    <s v="CUST1439"/>
    <s v="Consumer"/>
    <s v="Office Supplies"/>
    <s v="Printer"/>
    <x v="125"/>
    <x v="2"/>
    <s v="Offline"/>
    <s v="UPI"/>
    <s v="Critical"/>
    <n v="3"/>
    <n v="44217"/>
    <n v="15"/>
    <n v="112753.35"/>
    <n v="10914.68"/>
  </r>
  <r>
    <s v="Mumbai"/>
    <s v="CUST9222"/>
    <s v="Consumer"/>
    <s v="Furniture"/>
    <s v="Storage"/>
    <x v="124"/>
    <x v="3"/>
    <s v="Offline"/>
    <s v="Cash"/>
    <s v="Low"/>
    <n v="1"/>
    <n v="33160"/>
    <n v="0"/>
    <n v="33160"/>
    <n v="3729.13"/>
  </r>
  <r>
    <s v="Mumbai"/>
    <s v="CUST1814"/>
    <s v="Home Office"/>
    <s v="Office Supplies"/>
    <s v="Printer"/>
    <x v="70"/>
    <x v="1"/>
    <s v="Online"/>
    <s v="Net Banking"/>
    <s v="Medium"/>
    <n v="5"/>
    <n v="49212"/>
    <n v="0"/>
    <n v="246060"/>
    <n v="52858.9"/>
  </r>
  <r>
    <s v="Delhi"/>
    <s v="CUST1916"/>
    <s v="Consumer"/>
    <s v="Furniture"/>
    <s v="Mobile"/>
    <x v="143"/>
    <x v="2"/>
    <s v="Offline"/>
    <s v="UPI"/>
    <s v="High"/>
    <n v="9"/>
    <n v="18212"/>
    <n v="0"/>
    <n v="163908"/>
    <n v="32947.019999999997"/>
  </r>
  <r>
    <s v="Chennai"/>
    <s v="CUST9649"/>
    <s v="Consumer"/>
    <s v="Office Supplies"/>
    <s v="Chair"/>
    <x v="17"/>
    <x v="4"/>
    <s v="Online"/>
    <s v="UPI"/>
    <s v="Low"/>
    <n v="6"/>
    <n v="6698"/>
    <n v="15"/>
    <n v="34159.800000000003"/>
    <n v="581.6"/>
  </r>
  <r>
    <s v="Ahmedabad"/>
    <s v="CUST8956"/>
    <s v="Corporate"/>
    <s v="Office Supplies"/>
    <s v="Mobile"/>
    <x v="140"/>
    <x v="5"/>
    <s v="Offline"/>
    <s v="Net Banking"/>
    <s v="Critical"/>
    <n v="10"/>
    <n v="42129"/>
    <n v="15"/>
    <n v="358096.5"/>
    <n v="42620.639999999999"/>
  </r>
  <r>
    <s v="Ahmedabad"/>
    <s v="CUST7101"/>
    <s v="Home Office"/>
    <s v="Furniture"/>
    <s v="Table"/>
    <x v="197"/>
    <x v="3"/>
    <s v="Online"/>
    <s v="Cash"/>
    <s v="Medium"/>
    <n v="7"/>
    <n v="31150"/>
    <n v="20"/>
    <n v="174440"/>
    <n v="2520.2199999999998"/>
  </r>
  <r>
    <s v="Delhi"/>
    <s v="CUST9732"/>
    <s v="Consumer"/>
    <s v="Furniture"/>
    <s v="Printer"/>
    <x v="16"/>
    <x v="1"/>
    <s v="Online"/>
    <s v="UPI"/>
    <s v="Critical"/>
    <n v="6"/>
    <n v="31781"/>
    <n v="20"/>
    <n v="152548.79999999999"/>
    <n v="-26593.03"/>
  </r>
  <r>
    <s v="Delhi"/>
    <s v="CUST5642"/>
    <s v="Home Office"/>
    <s v="Electronics"/>
    <s v="Storage"/>
    <x v="84"/>
    <x v="5"/>
    <s v="Online"/>
    <s v="Debit Card"/>
    <s v="Critical"/>
    <n v="4"/>
    <n v="16282"/>
    <n v="20"/>
    <n v="52102.400000000001"/>
    <n v="2998.78"/>
  </r>
  <r>
    <s v="Chennai"/>
    <s v="CUST3848"/>
    <s v="Consumer"/>
    <s v="Electronics"/>
    <s v="Storage"/>
    <x v="8"/>
    <x v="1"/>
    <s v="Offline"/>
    <s v="Cash"/>
    <s v="Critical"/>
    <n v="10"/>
    <n v="19621"/>
    <n v="10"/>
    <n v="176589"/>
    <n v="29930.02"/>
  </r>
  <r>
    <s v="Chennai"/>
    <s v="CUST3777"/>
    <s v="Home Office"/>
    <s v="Electronics"/>
    <s v="Table"/>
    <x v="18"/>
    <x v="1"/>
    <s v="Offline"/>
    <s v="UPI"/>
    <s v="Critical"/>
    <n v="3"/>
    <n v="18731"/>
    <n v="0"/>
    <n v="56193"/>
    <n v="10521.23"/>
  </r>
  <r>
    <s v="Mumbai"/>
    <s v="CUST2231"/>
    <s v="Home Office"/>
    <s v="Office Supplies"/>
    <s v="Chair"/>
    <x v="93"/>
    <x v="5"/>
    <s v="Offline"/>
    <s v="UPI"/>
    <s v="Critical"/>
    <n v="6"/>
    <n v="26531"/>
    <n v="0"/>
    <n v="159186"/>
    <n v="31687.56"/>
  </r>
  <r>
    <s v="Chennai"/>
    <s v="CUST6806"/>
    <s v="Corporate"/>
    <s v="Furniture"/>
    <s v="Printer"/>
    <x v="192"/>
    <x v="2"/>
    <s v="Online"/>
    <s v="UPI"/>
    <s v="Critical"/>
    <n v="9"/>
    <n v="17216"/>
    <n v="10"/>
    <n v="139449.60000000001"/>
    <n v="5640.81"/>
  </r>
  <r>
    <s v="Chennai"/>
    <s v="CUST4412"/>
    <s v="Home Office"/>
    <s v="Electronics"/>
    <s v="Printer"/>
    <x v="190"/>
    <x v="4"/>
    <s v="Online"/>
    <s v="Cash"/>
    <s v="Low"/>
    <n v="1"/>
    <n v="1661"/>
    <n v="10"/>
    <n v="1494.9"/>
    <n v="-57.31"/>
  </r>
  <r>
    <s v="Bangalore"/>
    <s v="CUST6845"/>
    <s v="Home Office"/>
    <s v="Office Supplies"/>
    <s v="Table"/>
    <x v="112"/>
    <x v="2"/>
    <s v="Offline"/>
    <s v="UPI"/>
    <s v="Medium"/>
    <n v="10"/>
    <n v="22861"/>
    <n v="0"/>
    <n v="228610"/>
    <n v="45761.41"/>
  </r>
  <r>
    <s v="Chennai"/>
    <s v="CUST6137"/>
    <s v="Home Office"/>
    <s v="Office Supplies"/>
    <s v="Chair"/>
    <x v="68"/>
    <x v="0"/>
    <s v="Online"/>
    <s v="Net Banking"/>
    <s v="Medium"/>
    <n v="1"/>
    <n v="33656"/>
    <n v="10"/>
    <n v="30290.400000000001"/>
    <n v="4737.78"/>
  </r>
  <r>
    <s v="Mumbai"/>
    <s v="CUST1396"/>
    <s v="Home Office"/>
    <s v="Electronics"/>
    <s v="Mobile"/>
    <x v="170"/>
    <x v="2"/>
    <s v="Offline"/>
    <s v="Cash"/>
    <s v="Critical"/>
    <n v="3"/>
    <n v="37201"/>
    <n v="20"/>
    <n v="89282.4"/>
    <n v="-1333.48"/>
  </r>
  <r>
    <s v="Bangalore"/>
    <s v="CUST3502"/>
    <s v="Home Office"/>
    <s v="Furniture"/>
    <s v="Mobile"/>
    <x v="73"/>
    <x v="3"/>
    <s v="Online"/>
    <s v="Cash"/>
    <s v="Medium"/>
    <n v="4"/>
    <n v="43165"/>
    <n v="20"/>
    <n v="138128"/>
    <n v="-25213.65"/>
  </r>
  <r>
    <s v="Delhi"/>
    <s v="CUST3091"/>
    <s v="Consumer"/>
    <s v="Electronics"/>
    <s v="Mobile"/>
    <x v="4"/>
    <x v="0"/>
    <s v="Online"/>
    <s v="Debit Card"/>
    <s v="Critical"/>
    <n v="8"/>
    <n v="34064"/>
    <n v="5"/>
    <n v="258886.39999999999"/>
    <n v="21463.9"/>
  </r>
  <r>
    <s v="Ahmedabad"/>
    <s v="CUST4969"/>
    <s v="Home Office"/>
    <s v="Office Supplies"/>
    <s v="Mobile"/>
    <x v="12"/>
    <x v="3"/>
    <s v="Offline"/>
    <s v="Net Banking"/>
    <s v="Low"/>
    <n v="10"/>
    <n v="18603"/>
    <n v="10"/>
    <n v="167427"/>
    <n v="17841.23"/>
  </r>
  <r>
    <s v="Chennai"/>
    <s v="CUST8327"/>
    <s v="Consumer"/>
    <s v="Furniture"/>
    <s v="Chair"/>
    <x v="118"/>
    <x v="0"/>
    <s v="Offline"/>
    <s v="Net Banking"/>
    <s v="Low"/>
    <n v="8"/>
    <n v="36498"/>
    <n v="10"/>
    <n v="262785.59999999998"/>
    <n v="25270.46"/>
  </r>
  <r>
    <s v="Ahmedabad"/>
    <s v="CUST5837"/>
    <s v="Consumer"/>
    <s v="Office Supplies"/>
    <s v="Laptop"/>
    <x v="78"/>
    <x v="4"/>
    <s v="Online"/>
    <s v="Credit Card"/>
    <s v="Low"/>
    <n v="9"/>
    <n v="11853"/>
    <n v="0"/>
    <n v="106677"/>
    <n v="16721.68"/>
  </r>
  <r>
    <s v="Chennai"/>
    <s v="CUST7016"/>
    <s v="Consumer"/>
    <s v="Furniture"/>
    <s v="Printer"/>
    <x v="81"/>
    <x v="0"/>
    <s v="Online"/>
    <s v="Debit Card"/>
    <s v="Medium"/>
    <n v="3"/>
    <n v="46767"/>
    <n v="0"/>
    <n v="140301"/>
    <n v="13642.01"/>
  </r>
  <r>
    <s v="Delhi"/>
    <s v="CUST1577"/>
    <s v="Home Office"/>
    <s v="Office Supplies"/>
    <s v="Printer"/>
    <x v="60"/>
    <x v="4"/>
    <s v="Offline"/>
    <s v="Credit Card"/>
    <s v="Medium"/>
    <n v="9"/>
    <n v="11140"/>
    <n v="15"/>
    <n v="85221"/>
    <n v="9645.19"/>
  </r>
  <r>
    <s v="Chennai"/>
    <s v="CUST7177"/>
    <s v="Consumer"/>
    <s v="Office Supplies"/>
    <s v="Table"/>
    <x v="197"/>
    <x v="0"/>
    <s v="Online"/>
    <s v="UPI"/>
    <s v="Low"/>
    <n v="1"/>
    <n v="45603"/>
    <n v="20"/>
    <n v="36482.400000000001"/>
    <n v="-4944.74"/>
  </r>
  <r>
    <s v="Ahmedabad"/>
    <s v="CUST8616"/>
    <s v="Home Office"/>
    <s v="Electronics"/>
    <s v="Chair"/>
    <x v="33"/>
    <x v="3"/>
    <s v="Offline"/>
    <s v="Debit Card"/>
    <s v="Low"/>
    <n v="6"/>
    <n v="38235"/>
    <n v="0"/>
    <n v="229410"/>
    <n v="24151.279999999999"/>
  </r>
  <r>
    <s v="Chennai"/>
    <s v="CUST6203"/>
    <s v="Corporate"/>
    <s v="Electronics"/>
    <s v="Storage"/>
    <x v="175"/>
    <x v="1"/>
    <s v="Online"/>
    <s v="Cash"/>
    <s v="High"/>
    <n v="9"/>
    <n v="37173"/>
    <n v="10"/>
    <n v="301101.3"/>
    <n v="19452.62"/>
  </r>
  <r>
    <s v="Delhi"/>
    <s v="CUST2191"/>
    <s v="Corporate"/>
    <s v="Office Supplies"/>
    <s v="Table"/>
    <x v="4"/>
    <x v="2"/>
    <s v="Online"/>
    <s v="UPI"/>
    <s v="High"/>
    <n v="7"/>
    <n v="5147"/>
    <n v="10"/>
    <n v="32426.1"/>
    <n v="1993.23"/>
  </r>
  <r>
    <s v="Mumbai"/>
    <s v="CUST7722"/>
    <s v="Consumer"/>
    <s v="Electronics"/>
    <s v="Storage"/>
    <x v="1"/>
    <x v="0"/>
    <s v="Online"/>
    <s v="Credit Card"/>
    <s v="Medium"/>
    <n v="6"/>
    <n v="25771"/>
    <n v="15"/>
    <n v="131432.1"/>
    <n v="13899.77"/>
  </r>
  <r>
    <s v="Chennai"/>
    <s v="CUST4660"/>
    <s v="Corporate"/>
    <s v="Furniture"/>
    <s v="Storage"/>
    <x v="25"/>
    <x v="1"/>
    <s v="Offline"/>
    <s v="Debit Card"/>
    <s v="Medium"/>
    <n v="5"/>
    <n v="33814"/>
    <n v="10"/>
    <n v="152163"/>
    <n v="13066.38"/>
  </r>
  <r>
    <s v="Chennai"/>
    <s v="CUST5554"/>
    <s v="Consumer"/>
    <s v="Electronics"/>
    <s v="Table"/>
    <x v="102"/>
    <x v="4"/>
    <s v="Online"/>
    <s v="Debit Card"/>
    <s v="Medium"/>
    <n v="3"/>
    <n v="9584"/>
    <n v="0"/>
    <n v="28752"/>
    <n v="7083.37"/>
  </r>
  <r>
    <s v="Bangalore"/>
    <s v="CUST1943"/>
    <s v="Corporate"/>
    <s v="Furniture"/>
    <s v="Mobile"/>
    <x v="146"/>
    <x v="4"/>
    <s v="Online"/>
    <s v="UPI"/>
    <s v="Critical"/>
    <n v="5"/>
    <n v="24455"/>
    <n v="20"/>
    <n v="97820"/>
    <n v="-16037.51"/>
  </r>
  <r>
    <s v="Ahmedabad"/>
    <s v="CUST9322"/>
    <s v="Corporate"/>
    <s v="Furniture"/>
    <s v="Printer"/>
    <x v="197"/>
    <x v="2"/>
    <s v="Online"/>
    <s v="Cash"/>
    <s v="Critical"/>
    <n v="9"/>
    <n v="33362"/>
    <n v="10"/>
    <n v="270232.2"/>
    <n v="54541.41"/>
  </r>
  <r>
    <s v="Mumbai"/>
    <s v="CUST1768"/>
    <s v="Home Office"/>
    <s v="Electronics"/>
    <s v="Chair"/>
    <x v="88"/>
    <x v="4"/>
    <s v="Offline"/>
    <s v="Cash"/>
    <s v="Medium"/>
    <n v="5"/>
    <n v="27131"/>
    <n v="5"/>
    <n v="128872.25"/>
    <n v="6277.42"/>
  </r>
  <r>
    <s v="Bangalore"/>
    <s v="CUST5655"/>
    <s v="Corporate"/>
    <s v="Electronics"/>
    <s v="Mobile"/>
    <x v="51"/>
    <x v="1"/>
    <s v="Offline"/>
    <s v="Net Banking"/>
    <s v="Critical"/>
    <n v="9"/>
    <n v="46711"/>
    <n v="0"/>
    <n v="420399"/>
    <n v="21291.31"/>
  </r>
  <r>
    <s v="Bangalore"/>
    <s v="CUST2193"/>
    <s v="Corporate"/>
    <s v="Furniture"/>
    <s v="Storage"/>
    <x v="172"/>
    <x v="5"/>
    <s v="Online"/>
    <s v="Cash"/>
    <s v="High"/>
    <n v="4"/>
    <n v="17362"/>
    <n v="5"/>
    <n v="65975.600000000006"/>
    <n v="12558.32"/>
  </r>
  <r>
    <s v="Chennai"/>
    <s v="CUST8278"/>
    <s v="Consumer"/>
    <s v="Electronics"/>
    <s v="Storage"/>
    <x v="19"/>
    <x v="3"/>
    <s v="Offline"/>
    <s v="Net Banking"/>
    <s v="Medium"/>
    <n v="5"/>
    <n v="38485"/>
    <n v="0"/>
    <n v="192425"/>
    <n v="37359.89"/>
  </r>
  <r>
    <s v="Chennai"/>
    <s v="CUST5516"/>
    <s v="Corporate"/>
    <s v="Electronics"/>
    <s v="Table"/>
    <x v="126"/>
    <x v="4"/>
    <s v="Online"/>
    <s v="Cash"/>
    <s v="High"/>
    <n v="1"/>
    <n v="42328"/>
    <n v="15"/>
    <n v="35978.800000000003"/>
    <n v="-1610.14"/>
  </r>
  <r>
    <s v="Mumbai"/>
    <s v="CUST1006"/>
    <s v="Consumer"/>
    <s v="Office Supplies"/>
    <s v="Chair"/>
    <x v="192"/>
    <x v="5"/>
    <s v="Online"/>
    <s v="UPI"/>
    <s v="Critical"/>
    <n v="5"/>
    <n v="16795"/>
    <n v="5"/>
    <n v="79776.25"/>
    <n v="19547.810000000001"/>
  </r>
  <r>
    <s v="Bangalore"/>
    <s v="CUST8934"/>
    <s v="Home Office"/>
    <s v="Furniture"/>
    <s v="Printer"/>
    <x v="117"/>
    <x v="0"/>
    <s v="Online"/>
    <s v="Net Banking"/>
    <s v="Critical"/>
    <n v="10"/>
    <n v="22627"/>
    <n v="15"/>
    <n v="192329.5"/>
    <n v="9822.59"/>
  </r>
  <r>
    <s v="Chennai"/>
    <s v="CUST8185"/>
    <s v="Corporate"/>
    <s v="Furniture"/>
    <s v="Storage"/>
    <x v="36"/>
    <x v="0"/>
    <s v="Online"/>
    <s v="UPI"/>
    <s v="High"/>
    <n v="6"/>
    <n v="15305"/>
    <n v="20"/>
    <n v="73464"/>
    <n v="6847.42"/>
  </r>
  <r>
    <s v="Bangalore"/>
    <s v="CUST9517"/>
    <s v="Consumer"/>
    <s v="Electronics"/>
    <s v="Laptop"/>
    <x v="192"/>
    <x v="1"/>
    <s v="Offline"/>
    <s v="Credit Card"/>
    <s v="Low"/>
    <n v="8"/>
    <n v="41429"/>
    <n v="15"/>
    <n v="281717.2"/>
    <n v="3641.66"/>
  </r>
  <r>
    <s v="Bangalore"/>
    <s v="CUST6581"/>
    <s v="Corporate"/>
    <s v="Electronics"/>
    <s v="Laptop"/>
    <x v="19"/>
    <x v="4"/>
    <s v="Offline"/>
    <s v="Debit Card"/>
    <s v="Critical"/>
    <n v="8"/>
    <n v="24582"/>
    <n v="20"/>
    <n v="157324.79999999999"/>
    <n v="-9868.99"/>
  </r>
  <r>
    <s v="Chennai"/>
    <s v="CUST4198"/>
    <s v="Corporate"/>
    <s v="Furniture"/>
    <s v="Chair"/>
    <x v="28"/>
    <x v="1"/>
    <s v="Offline"/>
    <s v="UPI"/>
    <s v="Critical"/>
    <n v="4"/>
    <n v="17965"/>
    <n v="15"/>
    <n v="61081"/>
    <n v="8867.0499999999993"/>
  </r>
  <r>
    <s v="Chennai"/>
    <s v="CUST9135"/>
    <s v="Consumer"/>
    <s v="Office Supplies"/>
    <s v="Mobile"/>
    <x v="152"/>
    <x v="3"/>
    <s v="Offline"/>
    <s v="UPI"/>
    <s v="Critical"/>
    <n v="1"/>
    <n v="19986"/>
    <n v="10"/>
    <n v="17987.400000000001"/>
    <n v="3552.68"/>
  </r>
  <r>
    <s v="Delhi"/>
    <s v="CUST7366"/>
    <s v="Corporate"/>
    <s v="Furniture"/>
    <s v="Laptop"/>
    <x v="107"/>
    <x v="1"/>
    <s v="Online"/>
    <s v="Cash"/>
    <s v="Low"/>
    <n v="2"/>
    <n v="13295"/>
    <n v="20"/>
    <n v="21272"/>
    <n v="1675.25"/>
  </r>
  <r>
    <s v="Bangalore"/>
    <s v="CUST2769"/>
    <s v="Home Office"/>
    <s v="Electronics"/>
    <s v="Printer"/>
    <x v="21"/>
    <x v="5"/>
    <s v="Offline"/>
    <s v="Debit Card"/>
    <s v="Low"/>
    <n v="9"/>
    <n v="4235"/>
    <n v="5"/>
    <n v="36209.25"/>
    <n v="9261.06"/>
  </r>
  <r>
    <s v="Bangalore"/>
    <s v="CUST5186"/>
    <s v="Consumer"/>
    <s v="Electronics"/>
    <s v="Table"/>
    <x v="113"/>
    <x v="1"/>
    <s v="Offline"/>
    <s v="Debit Card"/>
    <s v="High"/>
    <n v="5"/>
    <n v="2393"/>
    <n v="5"/>
    <n v="11366.75"/>
    <n v="1269.31"/>
  </r>
  <r>
    <s v="Delhi"/>
    <s v="CUST2410"/>
    <s v="Corporate"/>
    <s v="Furniture"/>
    <s v="Storage"/>
    <x v="45"/>
    <x v="5"/>
    <s v="Offline"/>
    <s v="Cash"/>
    <s v="Low"/>
    <n v="6"/>
    <n v="7130"/>
    <n v="0"/>
    <n v="42780"/>
    <n v="12764.11"/>
  </r>
  <r>
    <s v="Ahmedabad"/>
    <s v="CUST7240"/>
    <s v="Home Office"/>
    <s v="Office Supplies"/>
    <s v="Laptop"/>
    <x v="192"/>
    <x v="5"/>
    <s v="Online"/>
    <s v="Cash"/>
    <s v="Medium"/>
    <n v="1"/>
    <n v="10353"/>
    <n v="10"/>
    <n v="9317.7000000000007"/>
    <n v="-383.1"/>
  </r>
  <r>
    <s v="Chennai"/>
    <s v="CUST5540"/>
    <s v="Corporate"/>
    <s v="Office Supplies"/>
    <s v="Mobile"/>
    <x v="86"/>
    <x v="5"/>
    <s v="Offline"/>
    <s v="Cash"/>
    <s v="High"/>
    <n v="2"/>
    <n v="29436"/>
    <n v="20"/>
    <n v="47097.599999999999"/>
    <n v="-3126.97"/>
  </r>
  <r>
    <s v="Mumbai"/>
    <s v="CUST5856"/>
    <s v="Corporate"/>
    <s v="Furniture"/>
    <s v="Mobile"/>
    <x v="199"/>
    <x v="1"/>
    <s v="Online"/>
    <s v="Net Banking"/>
    <s v="Medium"/>
    <n v="7"/>
    <n v="32251"/>
    <n v="15"/>
    <n v="191893.45"/>
    <n v="-11114.82"/>
  </r>
  <r>
    <s v="Ahmedabad"/>
    <s v="CUST2559"/>
    <s v="Consumer"/>
    <s v="Electronics"/>
    <s v="Storage"/>
    <x v="100"/>
    <x v="5"/>
    <s v="Online"/>
    <s v="Credit Card"/>
    <s v="Low"/>
    <n v="7"/>
    <n v="7905"/>
    <n v="10"/>
    <n v="49801.5"/>
    <n v="276.52999999999997"/>
  </r>
  <r>
    <s v="Mumbai"/>
    <s v="CUST7773"/>
    <s v="Consumer"/>
    <s v="Furniture"/>
    <s v="Table"/>
    <x v="69"/>
    <x v="2"/>
    <s v="Online"/>
    <s v="Debit Card"/>
    <s v="Low"/>
    <n v="2"/>
    <n v="16664"/>
    <n v="5"/>
    <n v="31661.599999999999"/>
    <n v="5001.6099999999997"/>
  </r>
  <r>
    <s v="Mumbai"/>
    <s v="CUST7734"/>
    <s v="Home Office"/>
    <s v="Electronics"/>
    <s v="Storage"/>
    <x v="89"/>
    <x v="5"/>
    <s v="Online"/>
    <s v="Credit Card"/>
    <s v="Medium"/>
    <n v="6"/>
    <n v="31053"/>
    <n v="20"/>
    <n v="149054.39999999999"/>
    <n v="7044.21"/>
  </r>
  <r>
    <s v="Bangalore"/>
    <s v="CUST2004"/>
    <s v="Corporate"/>
    <s v="Office Supplies"/>
    <s v="Storage"/>
    <x v="143"/>
    <x v="4"/>
    <s v="Online"/>
    <s v="UPI"/>
    <s v="Medium"/>
    <n v="10"/>
    <n v="33334"/>
    <n v="0"/>
    <n v="333340"/>
    <n v="97377.85"/>
  </r>
  <r>
    <s v="Ahmedabad"/>
    <s v="CUST2928"/>
    <s v="Consumer"/>
    <s v="Electronics"/>
    <s v="Mobile"/>
    <x v="152"/>
    <x v="1"/>
    <s v="Offline"/>
    <s v="Credit Card"/>
    <s v="Low"/>
    <n v="6"/>
    <n v="40497"/>
    <n v="15"/>
    <n v="206534.7"/>
    <n v="7768.6"/>
  </r>
  <r>
    <s v="Ahmedabad"/>
    <s v="CUST3672"/>
    <s v="Home Office"/>
    <s v="Office Supplies"/>
    <s v="Chair"/>
    <x v="8"/>
    <x v="4"/>
    <s v="Offline"/>
    <s v="Credit Card"/>
    <s v="Medium"/>
    <n v="6"/>
    <n v="24166"/>
    <n v="15"/>
    <n v="123246.6"/>
    <n v="7478.6"/>
  </r>
  <r>
    <s v="Mumbai"/>
    <s v="CUST7082"/>
    <s v="Home Office"/>
    <s v="Furniture"/>
    <s v="Printer"/>
    <x v="94"/>
    <x v="4"/>
    <s v="Offline"/>
    <s v="UPI"/>
    <s v="Medium"/>
    <n v="4"/>
    <n v="17264"/>
    <n v="15"/>
    <n v="58697.599999999999"/>
    <n v="-4905.58"/>
  </r>
  <r>
    <s v="Delhi"/>
    <s v="CUST5160"/>
    <s v="Consumer"/>
    <s v="Office Supplies"/>
    <s v="Mobile"/>
    <x v="57"/>
    <x v="5"/>
    <s v="Online"/>
    <s v="UPI"/>
    <s v="Critical"/>
    <n v="9"/>
    <n v="12887"/>
    <n v="5"/>
    <n v="110183.85"/>
    <n v="12948.63"/>
  </r>
  <r>
    <s v="Ahmedabad"/>
    <s v="CUST7902"/>
    <s v="Home Office"/>
    <s v="Office Supplies"/>
    <s v="Storage"/>
    <x v="20"/>
    <x v="2"/>
    <s v="Offline"/>
    <s v="Net Banking"/>
    <s v="High"/>
    <n v="7"/>
    <n v="29068"/>
    <n v="0"/>
    <n v="203476"/>
    <n v="34476.26"/>
  </r>
  <r>
    <s v="Delhi"/>
    <s v="CUST1559"/>
    <s v="Corporate"/>
    <s v="Office Supplies"/>
    <s v="Printer"/>
    <x v="98"/>
    <x v="0"/>
    <s v="Online"/>
    <s v="Credit Card"/>
    <s v="Critical"/>
    <n v="6"/>
    <n v="13089"/>
    <n v="10"/>
    <n v="70680.600000000006"/>
    <n v="7738.16"/>
  </r>
  <r>
    <s v="Ahmedabad"/>
    <s v="CUST3836"/>
    <s v="Consumer"/>
    <s v="Office Supplies"/>
    <s v="Table"/>
    <x v="106"/>
    <x v="1"/>
    <s v="Online"/>
    <s v="Debit Card"/>
    <s v="Low"/>
    <n v="7"/>
    <n v="47845"/>
    <n v="15"/>
    <n v="284677.75"/>
    <n v="-11918.94"/>
  </r>
  <r>
    <s v="Chennai"/>
    <s v="CUST1213"/>
    <s v="Home Office"/>
    <s v="Electronics"/>
    <s v="Table"/>
    <x v="186"/>
    <x v="1"/>
    <s v="Online"/>
    <s v="UPI"/>
    <s v="Medium"/>
    <n v="5"/>
    <n v="33432"/>
    <n v="20"/>
    <n v="133728"/>
    <n v="-15993"/>
  </r>
  <r>
    <s v="Delhi"/>
    <s v="CUST9123"/>
    <s v="Home Office"/>
    <s v="Office Supplies"/>
    <s v="Laptop"/>
    <x v="139"/>
    <x v="2"/>
    <s v="Offline"/>
    <s v="Credit Card"/>
    <s v="Low"/>
    <n v="8"/>
    <n v="13584"/>
    <n v="15"/>
    <n v="92371.199999999997"/>
    <n v="15788.72"/>
  </r>
  <r>
    <s v="Bangalore"/>
    <s v="CUST7579"/>
    <s v="Corporate"/>
    <s v="Office Supplies"/>
    <s v="Chair"/>
    <x v="171"/>
    <x v="5"/>
    <s v="Online"/>
    <s v="UPI"/>
    <s v="Low"/>
    <n v="2"/>
    <n v="6352"/>
    <n v="20"/>
    <n v="10163.200000000001"/>
    <n v="1258.77"/>
  </r>
  <r>
    <s v="Ahmedabad"/>
    <s v="CUST1837"/>
    <s v="Home Office"/>
    <s v="Furniture"/>
    <s v="Chair"/>
    <x v="166"/>
    <x v="1"/>
    <s v="Offline"/>
    <s v="Debit Card"/>
    <s v="Medium"/>
    <n v="8"/>
    <n v="2149"/>
    <n v="10"/>
    <n v="15472.8"/>
    <n v="2028.05"/>
  </r>
  <r>
    <s v="Chennai"/>
    <s v="CUST2585"/>
    <s v="Corporate"/>
    <s v="Electronics"/>
    <s v="Chair"/>
    <x v="174"/>
    <x v="1"/>
    <s v="Offline"/>
    <s v="Credit Card"/>
    <s v="Medium"/>
    <n v="5"/>
    <n v="48968"/>
    <n v="20"/>
    <n v="195872"/>
    <n v="15899.3"/>
  </r>
  <r>
    <s v="Bangalore"/>
    <s v="CUST5040"/>
    <s v="Home Office"/>
    <s v="Electronics"/>
    <s v="Printer"/>
    <x v="25"/>
    <x v="1"/>
    <s v="Offline"/>
    <s v="Credit Card"/>
    <s v="Critical"/>
    <n v="2"/>
    <n v="35323"/>
    <n v="10"/>
    <n v="63581.4"/>
    <n v="-2803.37"/>
  </r>
  <r>
    <s v="Mumbai"/>
    <s v="CUST9154"/>
    <s v="Home Office"/>
    <s v="Electronics"/>
    <s v="Mobile"/>
    <x v="38"/>
    <x v="3"/>
    <s v="Offline"/>
    <s v="Debit Card"/>
    <s v="Critical"/>
    <n v="3"/>
    <n v="45889"/>
    <n v="5"/>
    <n v="130783.65"/>
    <n v="16446.46"/>
  </r>
  <r>
    <s v="Mumbai"/>
    <s v="CUST7837"/>
    <s v="Corporate"/>
    <s v="Furniture"/>
    <s v="Storage"/>
    <x v="162"/>
    <x v="0"/>
    <s v="Online"/>
    <s v="Credit Card"/>
    <s v="Critical"/>
    <n v="3"/>
    <n v="35595"/>
    <n v="5"/>
    <n v="101445.75"/>
    <n v="1702.95"/>
  </r>
  <r>
    <s v="Delhi"/>
    <s v="CUST2933"/>
    <s v="Consumer"/>
    <s v="Electronics"/>
    <s v="Laptop"/>
    <x v="19"/>
    <x v="0"/>
    <s v="Online"/>
    <s v="Net Banking"/>
    <s v="Critical"/>
    <n v="8"/>
    <n v="43447"/>
    <n v="10"/>
    <n v="312818.40000000002"/>
    <n v="1251.71"/>
  </r>
  <r>
    <s v="Delhi"/>
    <s v="CUST5484"/>
    <s v="Consumer"/>
    <s v="Office Supplies"/>
    <s v="Mobile"/>
    <x v="86"/>
    <x v="4"/>
    <s v="Online"/>
    <s v="Net Banking"/>
    <s v="Critical"/>
    <n v="1"/>
    <n v="43075"/>
    <n v="10"/>
    <n v="38767.5"/>
    <n v="2676.67"/>
  </r>
  <r>
    <s v="Delhi"/>
    <s v="CUST1671"/>
    <s v="Corporate"/>
    <s v="Furniture"/>
    <s v="Table"/>
    <x v="21"/>
    <x v="2"/>
    <s v="Online"/>
    <s v="Net Banking"/>
    <s v="Medium"/>
    <n v="5"/>
    <n v="14673"/>
    <n v="0"/>
    <n v="73365"/>
    <n v="18245.16"/>
  </r>
  <r>
    <s v="Chennai"/>
    <s v="CUST8696"/>
    <s v="Corporate"/>
    <s v="Office Supplies"/>
    <s v="Laptop"/>
    <x v="26"/>
    <x v="2"/>
    <s v="Online"/>
    <s v="Credit Card"/>
    <s v="Medium"/>
    <n v="7"/>
    <n v="949"/>
    <n v="20"/>
    <n v="5314.4"/>
    <n v="-390.73"/>
  </r>
  <r>
    <s v="Chennai"/>
    <s v="CUST2365"/>
    <s v="Home Office"/>
    <s v="Office Supplies"/>
    <s v="Printer"/>
    <x v="162"/>
    <x v="2"/>
    <s v="Online"/>
    <s v="UPI"/>
    <s v="Medium"/>
    <n v="2"/>
    <n v="24958"/>
    <n v="15"/>
    <n v="42428.6"/>
    <n v="-3697.37"/>
  </r>
  <r>
    <s v="Bangalore"/>
    <s v="CUST8242"/>
    <s v="Corporate"/>
    <s v="Furniture"/>
    <s v="Mobile"/>
    <x v="122"/>
    <x v="0"/>
    <s v="Online"/>
    <s v="Cash"/>
    <s v="Medium"/>
    <n v="5"/>
    <n v="10132"/>
    <n v="10"/>
    <n v="45594"/>
    <n v="-77.13"/>
  </r>
  <r>
    <s v="Delhi"/>
    <s v="CUST9944"/>
    <s v="Consumer"/>
    <s v="Electronics"/>
    <s v="Table"/>
    <x v="34"/>
    <x v="0"/>
    <s v="Online"/>
    <s v="Credit Card"/>
    <s v="High"/>
    <n v="8"/>
    <n v="25404"/>
    <n v="5"/>
    <n v="193070.4"/>
    <n v="33245.660000000003"/>
  </r>
  <r>
    <s v="Chennai"/>
    <s v="CUST1243"/>
    <s v="Home Office"/>
    <s v="Electronics"/>
    <s v="Storage"/>
    <x v="36"/>
    <x v="4"/>
    <s v="Offline"/>
    <s v="Net Banking"/>
    <s v="Critical"/>
    <n v="6"/>
    <n v="21636"/>
    <n v="20"/>
    <n v="103852.8"/>
    <n v="-18178.560000000001"/>
  </r>
  <r>
    <s v="Bangalore"/>
    <s v="CUST4412"/>
    <s v="Consumer"/>
    <s v="Office Supplies"/>
    <s v="Laptop"/>
    <x v="171"/>
    <x v="2"/>
    <s v="Offline"/>
    <s v="Net Banking"/>
    <s v="High"/>
    <n v="1"/>
    <n v="44189"/>
    <n v="10"/>
    <n v="39770.1"/>
    <n v="-1413.6"/>
  </r>
  <r>
    <s v="Bangalore"/>
    <s v="CUST5602"/>
    <s v="Corporate"/>
    <s v="Office Supplies"/>
    <s v="Chair"/>
    <x v="170"/>
    <x v="4"/>
    <s v="Offline"/>
    <s v="Credit Card"/>
    <s v="Critical"/>
    <n v="3"/>
    <n v="47034"/>
    <n v="15"/>
    <n v="119936.7"/>
    <n v="3802.3"/>
  </r>
  <r>
    <s v="Mumbai"/>
    <s v="CUST1604"/>
    <s v="Home Office"/>
    <s v="Office Supplies"/>
    <s v="Printer"/>
    <x v="25"/>
    <x v="4"/>
    <s v="Online"/>
    <s v="UPI"/>
    <s v="Low"/>
    <n v="8"/>
    <n v="49992"/>
    <n v="0"/>
    <n v="399936"/>
    <n v="50155.1"/>
  </r>
  <r>
    <s v="Delhi"/>
    <s v="CUST1552"/>
    <s v="Consumer"/>
    <s v="Furniture"/>
    <s v="Chair"/>
    <x v="22"/>
    <x v="0"/>
    <s v="Online"/>
    <s v="Debit Card"/>
    <s v="Critical"/>
    <n v="5"/>
    <n v="17287"/>
    <n v="20"/>
    <n v="69148"/>
    <n v="-10564.52"/>
  </r>
  <r>
    <s v="Mumbai"/>
    <s v="CUST8929"/>
    <s v="Corporate"/>
    <s v="Office Supplies"/>
    <s v="Printer"/>
    <x v="84"/>
    <x v="0"/>
    <s v="Offline"/>
    <s v="Debit Card"/>
    <s v="Medium"/>
    <n v="6"/>
    <n v="32749"/>
    <n v="15"/>
    <n v="167019.9"/>
    <n v="27391.53"/>
  </r>
  <r>
    <s v="Bangalore"/>
    <s v="CUST5176"/>
    <s v="Corporate"/>
    <s v="Furniture"/>
    <s v="Mobile"/>
    <x v="176"/>
    <x v="1"/>
    <s v="Offline"/>
    <s v="Debit Card"/>
    <s v="High"/>
    <n v="5"/>
    <n v="27480"/>
    <n v="5"/>
    <n v="130530"/>
    <n v="26601.5"/>
  </r>
  <r>
    <s v="Bangalore"/>
    <s v="CUST3128"/>
    <s v="Corporate"/>
    <s v="Electronics"/>
    <s v="Printer"/>
    <x v="169"/>
    <x v="5"/>
    <s v="Offline"/>
    <s v="Net Banking"/>
    <s v="High"/>
    <n v="5"/>
    <n v="34363"/>
    <n v="0"/>
    <n v="171815"/>
    <n v="38394.18"/>
  </r>
  <r>
    <s v="Bangalore"/>
    <s v="CUST4139"/>
    <s v="Corporate"/>
    <s v="Electronics"/>
    <s v="Mobile"/>
    <x v="96"/>
    <x v="5"/>
    <s v="Offline"/>
    <s v="Cash"/>
    <s v="Low"/>
    <n v="9"/>
    <n v="9021"/>
    <n v="10"/>
    <n v="73070.100000000006"/>
    <n v="8623.57"/>
  </r>
  <r>
    <s v="Mumbai"/>
    <s v="CUST9449"/>
    <s v="Home Office"/>
    <s v="Electronics"/>
    <s v="Printer"/>
    <x v="110"/>
    <x v="5"/>
    <s v="Offline"/>
    <s v="Net Banking"/>
    <s v="Low"/>
    <n v="10"/>
    <n v="19742"/>
    <n v="10"/>
    <n v="177678"/>
    <n v="-340.09"/>
  </r>
  <r>
    <s v="Ahmedabad"/>
    <s v="CUST3459"/>
    <s v="Home Office"/>
    <s v="Office Supplies"/>
    <s v="Mobile"/>
    <x v="48"/>
    <x v="5"/>
    <s v="Offline"/>
    <s v="UPI"/>
    <s v="Medium"/>
    <n v="6"/>
    <n v="42738"/>
    <n v="15"/>
    <n v="217963.8"/>
    <n v="17658.830000000002"/>
  </r>
  <r>
    <s v="Chennai"/>
    <s v="CUST9323"/>
    <s v="Consumer"/>
    <s v="Electronics"/>
    <s v="Chair"/>
    <x v="156"/>
    <x v="5"/>
    <s v="Offline"/>
    <s v="Debit Card"/>
    <s v="Medium"/>
    <n v="10"/>
    <n v="9753"/>
    <n v="15"/>
    <n v="82900.5"/>
    <n v="8274.6"/>
  </r>
  <r>
    <s v="Ahmedabad"/>
    <s v="CUST5979"/>
    <s v="Corporate"/>
    <s v="Electronics"/>
    <s v="Laptop"/>
    <x v="74"/>
    <x v="1"/>
    <s v="Online"/>
    <s v="Debit Card"/>
    <s v="Low"/>
    <n v="8"/>
    <n v="21408"/>
    <n v="10"/>
    <n v="154137.60000000001"/>
    <n v="31900.15"/>
  </r>
  <r>
    <s v="Delhi"/>
    <s v="CUST9605"/>
    <s v="Corporate"/>
    <s v="Furniture"/>
    <s v="Mobile"/>
    <x v="121"/>
    <x v="0"/>
    <s v="Offline"/>
    <s v="Cash"/>
    <s v="High"/>
    <n v="3"/>
    <n v="40263"/>
    <n v="5"/>
    <n v="114749.55"/>
    <n v="10827.48"/>
  </r>
  <r>
    <s v="Mumbai"/>
    <s v="CUST2122"/>
    <s v="Home Office"/>
    <s v="Office Supplies"/>
    <s v="Printer"/>
    <x v="136"/>
    <x v="2"/>
    <s v="Online"/>
    <s v="Credit Card"/>
    <s v="Critical"/>
    <n v="8"/>
    <n v="41881"/>
    <n v="5"/>
    <n v="318295.59999999998"/>
    <n v="54537.86"/>
  </r>
  <r>
    <s v="Delhi"/>
    <s v="CUST1028"/>
    <s v="Corporate"/>
    <s v="Electronics"/>
    <s v="Chair"/>
    <x v="66"/>
    <x v="2"/>
    <s v="Offline"/>
    <s v="Cash"/>
    <s v="Low"/>
    <n v="3"/>
    <n v="28949"/>
    <n v="5"/>
    <n v="82504.649999999994"/>
    <n v="15151.13"/>
  </r>
  <r>
    <s v="Bangalore"/>
    <s v="CUST9566"/>
    <s v="Corporate"/>
    <s v="Electronics"/>
    <s v="Chair"/>
    <x v="19"/>
    <x v="1"/>
    <s v="Online"/>
    <s v="Net Banking"/>
    <s v="Medium"/>
    <n v="5"/>
    <n v="9264"/>
    <n v="20"/>
    <n v="37056"/>
    <n v="-6100.51"/>
  </r>
  <r>
    <s v="Delhi"/>
    <s v="CUST7159"/>
    <s v="Consumer"/>
    <s v="Electronics"/>
    <s v="Storage"/>
    <x v="11"/>
    <x v="5"/>
    <s v="Online"/>
    <s v="Debit Card"/>
    <s v="Low"/>
    <n v="5"/>
    <n v="18219"/>
    <n v="5"/>
    <n v="86540.25"/>
    <n v="5099.84"/>
  </r>
  <r>
    <s v="Bangalore"/>
    <s v="CUST7211"/>
    <s v="Consumer"/>
    <s v="Furniture"/>
    <s v="Mobile"/>
    <x v="109"/>
    <x v="1"/>
    <s v="Offline"/>
    <s v="Credit Card"/>
    <s v="Critical"/>
    <n v="7"/>
    <n v="8255"/>
    <n v="20"/>
    <n v="46228"/>
    <n v="-5580.98"/>
  </r>
  <r>
    <s v="Mumbai"/>
    <s v="CUST1708"/>
    <s v="Corporate"/>
    <s v="Office Supplies"/>
    <s v="Chair"/>
    <x v="191"/>
    <x v="3"/>
    <s v="Online"/>
    <s v="UPI"/>
    <s v="Medium"/>
    <n v="7"/>
    <n v="19053"/>
    <n v="5"/>
    <n v="126702.45"/>
    <n v="32531.74"/>
  </r>
  <r>
    <s v="Ahmedabad"/>
    <s v="CUST7454"/>
    <s v="Consumer"/>
    <s v="Electronics"/>
    <s v="Laptop"/>
    <x v="161"/>
    <x v="5"/>
    <s v="Online"/>
    <s v="Debit Card"/>
    <s v="Critical"/>
    <n v="2"/>
    <n v="46680"/>
    <n v="15"/>
    <n v="79356"/>
    <n v="-7525.78"/>
  </r>
  <r>
    <s v="Mumbai"/>
    <s v="CUST9952"/>
    <s v="Home Office"/>
    <s v="Furniture"/>
    <s v="Laptop"/>
    <x v="191"/>
    <x v="2"/>
    <s v="Offline"/>
    <s v="Debit Card"/>
    <s v="High"/>
    <n v="9"/>
    <n v="35634"/>
    <n v="10"/>
    <n v="288635.40000000002"/>
    <n v="54073.85"/>
  </r>
  <r>
    <s v="Bangalore"/>
    <s v="CUST4819"/>
    <s v="Corporate"/>
    <s v="Furniture"/>
    <s v="Table"/>
    <x v="150"/>
    <x v="1"/>
    <s v="Offline"/>
    <s v="Cash"/>
    <s v="Critical"/>
    <n v="8"/>
    <n v="38190"/>
    <n v="15"/>
    <n v="259692"/>
    <n v="12403.82"/>
  </r>
  <r>
    <s v="Delhi"/>
    <s v="CUST6358"/>
    <s v="Consumer"/>
    <s v="Furniture"/>
    <s v="Chair"/>
    <x v="146"/>
    <x v="0"/>
    <s v="Online"/>
    <s v="Credit Card"/>
    <s v="Low"/>
    <n v="3"/>
    <n v="19378"/>
    <n v="0"/>
    <n v="58134"/>
    <n v="12861.62"/>
  </r>
  <r>
    <s v="Delhi"/>
    <s v="CUST1916"/>
    <s v="Consumer"/>
    <s v="Furniture"/>
    <s v="Mobile"/>
    <x v="68"/>
    <x v="0"/>
    <s v="Offline"/>
    <s v="Cash"/>
    <s v="Low"/>
    <n v="2"/>
    <n v="26734"/>
    <n v="0"/>
    <n v="53468"/>
    <n v="13985.76"/>
  </r>
  <r>
    <s v="Chennai"/>
    <s v="CUST8772"/>
    <s v="Corporate"/>
    <s v="Electronics"/>
    <s v="Laptop"/>
    <x v="108"/>
    <x v="5"/>
    <s v="Offline"/>
    <s v="Net Banking"/>
    <s v="High"/>
    <n v="6"/>
    <n v="49077"/>
    <n v="5"/>
    <n v="279738.90000000002"/>
    <n v="6606.76"/>
  </r>
  <r>
    <s v="Ahmedabad"/>
    <s v="CUST7252"/>
    <s v="Home Office"/>
    <s v="Electronics"/>
    <s v="Printer"/>
    <x v="42"/>
    <x v="4"/>
    <s v="Offline"/>
    <s v="UPI"/>
    <s v="High"/>
    <n v="4"/>
    <n v="40292"/>
    <n v="0"/>
    <n v="161168"/>
    <n v="37459.129999999997"/>
  </r>
  <r>
    <s v="Mumbai"/>
    <s v="CUST1010"/>
    <s v="Consumer"/>
    <s v="Electronics"/>
    <s v="Printer"/>
    <x v="99"/>
    <x v="3"/>
    <s v="Online"/>
    <s v="Credit Card"/>
    <s v="Medium"/>
    <n v="3"/>
    <n v="42611"/>
    <n v="10"/>
    <n v="115049.7"/>
    <n v="18367.43"/>
  </r>
  <r>
    <s v="Chennai"/>
    <s v="CUST8305"/>
    <s v="Home Office"/>
    <s v="Office Supplies"/>
    <s v="Printer"/>
    <x v="4"/>
    <x v="3"/>
    <s v="Online"/>
    <s v="UPI"/>
    <s v="Low"/>
    <n v="4"/>
    <n v="26058"/>
    <n v="0"/>
    <n v="104232"/>
    <n v="15888.67"/>
  </r>
  <r>
    <s v="Mumbai"/>
    <s v="CUST6951"/>
    <s v="Home Office"/>
    <s v="Office Supplies"/>
    <s v="Storage"/>
    <x v="25"/>
    <x v="5"/>
    <s v="Online"/>
    <s v="UPI"/>
    <s v="Low"/>
    <n v="6"/>
    <n v="12635"/>
    <n v="15"/>
    <n v="64438.5"/>
    <n v="2653.28"/>
  </r>
  <r>
    <s v="Ahmedabad"/>
    <s v="CUST8128"/>
    <s v="Corporate"/>
    <s v="Office Supplies"/>
    <s v="Chair"/>
    <x v="186"/>
    <x v="3"/>
    <s v="Offline"/>
    <s v="Debit Card"/>
    <s v="High"/>
    <n v="7"/>
    <n v="9751"/>
    <n v="0"/>
    <n v="68257"/>
    <n v="5233.22"/>
  </r>
  <r>
    <s v="Ahmedabad"/>
    <s v="CUST4302"/>
    <s v="Home Office"/>
    <s v="Furniture"/>
    <s v="Laptop"/>
    <x v="123"/>
    <x v="2"/>
    <s v="Online"/>
    <s v="Debit Card"/>
    <s v="Medium"/>
    <n v="5"/>
    <n v="43362"/>
    <n v="10"/>
    <n v="195129"/>
    <n v="4245.84"/>
  </r>
  <r>
    <s v="Mumbai"/>
    <s v="CUST6459"/>
    <s v="Consumer"/>
    <s v="Electronics"/>
    <s v="Chair"/>
    <x v="149"/>
    <x v="1"/>
    <s v="Offline"/>
    <s v="Credit Card"/>
    <s v="Low"/>
    <n v="5"/>
    <n v="21139"/>
    <n v="0"/>
    <n v="105695"/>
    <n v="14762.82"/>
  </r>
  <r>
    <s v="Ahmedabad"/>
    <s v="CUST7230"/>
    <s v="Corporate"/>
    <s v="Furniture"/>
    <s v="Storage"/>
    <x v="75"/>
    <x v="2"/>
    <s v="Online"/>
    <s v="UPI"/>
    <s v="Critical"/>
    <n v="7"/>
    <n v="25727"/>
    <n v="0"/>
    <n v="180089"/>
    <n v="41366.57"/>
  </r>
  <r>
    <s v="Delhi"/>
    <s v="CUST2443"/>
    <s v="Corporate"/>
    <s v="Furniture"/>
    <s v="Chair"/>
    <x v="84"/>
    <x v="2"/>
    <s v="Online"/>
    <s v="Debit Card"/>
    <s v="Low"/>
    <n v="6"/>
    <n v="9033"/>
    <n v="10"/>
    <n v="48778.2"/>
    <n v="-2616.14"/>
  </r>
  <r>
    <s v="Bangalore"/>
    <s v="CUST5269"/>
    <s v="Home Office"/>
    <s v="Office Supplies"/>
    <s v="Laptop"/>
    <x v="176"/>
    <x v="0"/>
    <s v="Offline"/>
    <s v="UPI"/>
    <s v="Critical"/>
    <n v="4"/>
    <n v="30325"/>
    <n v="15"/>
    <n v="103105"/>
    <n v="-3420.21"/>
  </r>
  <r>
    <s v="Chennai"/>
    <s v="CUST7261"/>
    <s v="Home Office"/>
    <s v="Furniture"/>
    <s v="Laptop"/>
    <x v="79"/>
    <x v="4"/>
    <s v="Offline"/>
    <s v="Net Banking"/>
    <s v="Medium"/>
    <n v="4"/>
    <n v="46879"/>
    <n v="10"/>
    <n v="168764.4"/>
    <n v="37306.11"/>
  </r>
  <r>
    <s v="Chennai"/>
    <s v="CUST4318"/>
    <s v="Consumer"/>
    <s v="Office Supplies"/>
    <s v="Chair"/>
    <x v="116"/>
    <x v="5"/>
    <s v="Online"/>
    <s v="Debit Card"/>
    <s v="Low"/>
    <n v="2"/>
    <n v="6836"/>
    <n v="15"/>
    <n v="11621.2"/>
    <n v="-1058.3499999999999"/>
  </r>
  <r>
    <s v="Ahmedabad"/>
    <s v="CUST8485"/>
    <s v="Consumer"/>
    <s v="Office Supplies"/>
    <s v="Storage"/>
    <x v="35"/>
    <x v="1"/>
    <s v="Online"/>
    <s v="Cash"/>
    <s v="Low"/>
    <n v="4"/>
    <n v="28086"/>
    <n v="15"/>
    <n v="95492.4"/>
    <n v="2507.2800000000002"/>
  </r>
  <r>
    <s v="Bangalore"/>
    <s v="CUST6654"/>
    <s v="Corporate"/>
    <s v="Office Supplies"/>
    <s v="Mobile"/>
    <x v="146"/>
    <x v="0"/>
    <s v="Offline"/>
    <s v="Credit Card"/>
    <s v="Critical"/>
    <n v="6"/>
    <n v="6338"/>
    <n v="20"/>
    <n v="30422.400000000001"/>
    <n v="3076.8"/>
  </r>
  <r>
    <s v="Delhi"/>
    <s v="CUST2760"/>
    <s v="Home Office"/>
    <s v="Electronics"/>
    <s v="Chair"/>
    <x v="67"/>
    <x v="4"/>
    <s v="Offline"/>
    <s v="Net Banking"/>
    <s v="Medium"/>
    <n v="2"/>
    <n v="42595"/>
    <n v="0"/>
    <n v="85190"/>
    <n v="18488.86"/>
  </r>
  <r>
    <s v="Chennai"/>
    <s v="CUST7525"/>
    <s v="Consumer"/>
    <s v="Office Supplies"/>
    <s v="Storage"/>
    <x v="70"/>
    <x v="4"/>
    <s v="Offline"/>
    <s v="Credit Card"/>
    <s v="Critical"/>
    <n v="5"/>
    <n v="7274"/>
    <n v="20"/>
    <n v="29096"/>
    <n v="288.23"/>
  </r>
  <r>
    <s v="Bangalore"/>
    <s v="CUST4191"/>
    <s v="Home Office"/>
    <s v="Electronics"/>
    <s v="Storage"/>
    <x v="46"/>
    <x v="4"/>
    <s v="Offline"/>
    <s v="Cash"/>
    <s v="High"/>
    <n v="6"/>
    <n v="12912"/>
    <n v="0"/>
    <n v="77472"/>
    <n v="15520.81"/>
  </r>
  <r>
    <s v="Delhi"/>
    <s v="CUST8574"/>
    <s v="Corporate"/>
    <s v="Office Supplies"/>
    <s v="Laptop"/>
    <x v="36"/>
    <x v="3"/>
    <s v="Offline"/>
    <s v="Net Banking"/>
    <s v="Critical"/>
    <n v="3"/>
    <n v="13451"/>
    <n v="0"/>
    <n v="40353"/>
    <n v="11941.23"/>
  </r>
  <r>
    <s v="Chennai"/>
    <s v="CUST7150"/>
    <s v="Home Office"/>
    <s v="Office Supplies"/>
    <s v="Printer"/>
    <x v="23"/>
    <x v="3"/>
    <s v="Online"/>
    <s v="UPI"/>
    <s v="Critical"/>
    <n v="10"/>
    <n v="12929"/>
    <n v="20"/>
    <n v="103432"/>
    <n v="4741.3999999999996"/>
  </r>
  <r>
    <s v="Delhi"/>
    <s v="CUST9653"/>
    <s v="Consumer"/>
    <s v="Office Supplies"/>
    <s v="Chair"/>
    <x v="9"/>
    <x v="2"/>
    <s v="Online"/>
    <s v="Debit Card"/>
    <s v="Low"/>
    <n v="6"/>
    <n v="48934"/>
    <n v="0"/>
    <n v="293604"/>
    <n v="48602.61"/>
  </r>
  <r>
    <s v="Ahmedabad"/>
    <s v="CUST2926"/>
    <s v="Consumer"/>
    <s v="Electronics"/>
    <s v="Chair"/>
    <x v="161"/>
    <x v="3"/>
    <s v="Offline"/>
    <s v="Net Banking"/>
    <s v="High"/>
    <n v="1"/>
    <n v="10471"/>
    <n v="5"/>
    <n v="9947.4500000000007"/>
    <n v="556.87"/>
  </r>
  <r>
    <s v="Ahmedabad"/>
    <s v="CUST4366"/>
    <s v="Consumer"/>
    <s v="Electronics"/>
    <s v="Laptop"/>
    <x v="83"/>
    <x v="3"/>
    <s v="Online"/>
    <s v="Cash"/>
    <s v="High"/>
    <n v="5"/>
    <n v="38552"/>
    <n v="10"/>
    <n v="173484"/>
    <n v="26507.06"/>
  </r>
  <r>
    <s v="Chennai"/>
    <s v="CUST2806"/>
    <s v="Corporate"/>
    <s v="Office Supplies"/>
    <s v="Mobile"/>
    <x v="116"/>
    <x v="0"/>
    <s v="Offline"/>
    <s v="Debit Card"/>
    <s v="Medium"/>
    <n v="1"/>
    <n v="33206"/>
    <n v="10"/>
    <n v="29885.4"/>
    <n v="4513.9799999999996"/>
  </r>
  <r>
    <s v="Chennai"/>
    <s v="CUST3018"/>
    <s v="Consumer"/>
    <s v="Furniture"/>
    <s v="Laptop"/>
    <x v="199"/>
    <x v="0"/>
    <s v="Offline"/>
    <s v="Debit Card"/>
    <s v="High"/>
    <n v="2"/>
    <n v="1213"/>
    <n v="0"/>
    <n v="2426"/>
    <n v="128.85"/>
  </r>
  <r>
    <s v="Delhi"/>
    <s v="CUST5292"/>
    <s v="Consumer"/>
    <s v="Furniture"/>
    <s v="Mobile"/>
    <x v="67"/>
    <x v="5"/>
    <s v="Offline"/>
    <s v="UPI"/>
    <s v="Medium"/>
    <n v="2"/>
    <n v="28496"/>
    <n v="10"/>
    <n v="51292.800000000003"/>
    <n v="391.49"/>
  </r>
  <r>
    <s v="Mumbai"/>
    <s v="CUST3584"/>
    <s v="Consumer"/>
    <s v="Furniture"/>
    <s v="Printer"/>
    <x v="2"/>
    <x v="2"/>
    <s v="Online"/>
    <s v="Cash"/>
    <s v="Low"/>
    <n v="7"/>
    <n v="41612"/>
    <n v="15"/>
    <n v="247591.4"/>
    <n v="-11375.72"/>
  </r>
  <r>
    <s v="Mumbai"/>
    <s v="CUST7681"/>
    <s v="Consumer"/>
    <s v="Furniture"/>
    <s v="Chair"/>
    <x v="61"/>
    <x v="2"/>
    <s v="Online"/>
    <s v="Credit Card"/>
    <s v="Low"/>
    <n v="9"/>
    <n v="47938"/>
    <n v="20"/>
    <n v="345153.6"/>
    <n v="-26570.12"/>
  </r>
  <r>
    <s v="Delhi"/>
    <s v="CUST3965"/>
    <s v="Home Office"/>
    <s v="Electronics"/>
    <s v="Storage"/>
    <x v="36"/>
    <x v="1"/>
    <s v="Offline"/>
    <s v="Credit Card"/>
    <s v="High"/>
    <n v="10"/>
    <n v="12254"/>
    <n v="15"/>
    <n v="104159"/>
    <n v="14878.41"/>
  </r>
  <r>
    <s v="Bangalore"/>
    <s v="CUST8078"/>
    <s v="Corporate"/>
    <s v="Electronics"/>
    <s v="Laptop"/>
    <x v="49"/>
    <x v="1"/>
    <s v="Online"/>
    <s v="Debit Card"/>
    <s v="High"/>
    <n v="9"/>
    <n v="15097"/>
    <n v="0"/>
    <n v="135873"/>
    <n v="22722.560000000001"/>
  </r>
  <r>
    <s v="Bangalore"/>
    <s v="CUST3481"/>
    <s v="Home Office"/>
    <s v="Electronics"/>
    <s v="Laptop"/>
    <x v="185"/>
    <x v="2"/>
    <s v="Offline"/>
    <s v="Credit Card"/>
    <s v="Low"/>
    <n v="10"/>
    <n v="25014"/>
    <n v="15"/>
    <n v="212619"/>
    <n v="-12761.36"/>
  </r>
  <r>
    <s v="Ahmedabad"/>
    <s v="CUST3632"/>
    <s v="Consumer"/>
    <s v="Furniture"/>
    <s v="Chair"/>
    <x v="38"/>
    <x v="1"/>
    <s v="Offline"/>
    <s v="Credit Card"/>
    <s v="Low"/>
    <n v="6"/>
    <n v="2272"/>
    <n v="10"/>
    <n v="12268.8"/>
    <n v="1840.42"/>
  </r>
  <r>
    <s v="Chennai"/>
    <s v="CUST5216"/>
    <s v="Home Office"/>
    <s v="Electronics"/>
    <s v="Table"/>
    <x v="144"/>
    <x v="1"/>
    <s v="Online"/>
    <s v="Net Banking"/>
    <s v="Critical"/>
    <n v="8"/>
    <n v="47374"/>
    <n v="15"/>
    <n v="322143.2"/>
    <n v="48357.39"/>
  </r>
  <r>
    <s v="Delhi"/>
    <s v="CUST5295"/>
    <s v="Consumer"/>
    <s v="Furniture"/>
    <s v="Chair"/>
    <x v="119"/>
    <x v="1"/>
    <s v="Offline"/>
    <s v="Net Banking"/>
    <s v="Medium"/>
    <n v="4"/>
    <n v="29666"/>
    <n v="0"/>
    <n v="118664"/>
    <n v="13749.17"/>
  </r>
  <r>
    <s v="Bangalore"/>
    <s v="CUST6842"/>
    <s v="Home Office"/>
    <s v="Electronics"/>
    <s v="Mobile"/>
    <x v="187"/>
    <x v="1"/>
    <s v="Offline"/>
    <s v="Debit Card"/>
    <s v="Critical"/>
    <n v="3"/>
    <n v="21429"/>
    <n v="20"/>
    <n v="51429.599999999999"/>
    <n v="2605.7800000000002"/>
  </r>
  <r>
    <s v="Mumbai"/>
    <s v="CUST5526"/>
    <s v="Corporate"/>
    <s v="Furniture"/>
    <s v="Table"/>
    <x v="141"/>
    <x v="1"/>
    <s v="Online"/>
    <s v="Credit Card"/>
    <s v="Medium"/>
    <n v="10"/>
    <n v="9296"/>
    <n v="0"/>
    <n v="92960"/>
    <n v="7550.06"/>
  </r>
  <r>
    <s v="Chennai"/>
    <s v="CUST2789"/>
    <s v="Corporate"/>
    <s v="Electronics"/>
    <s v="Mobile"/>
    <x v="93"/>
    <x v="0"/>
    <s v="Offline"/>
    <s v="UPI"/>
    <s v="Critical"/>
    <n v="1"/>
    <n v="23834"/>
    <n v="10"/>
    <n v="21450.6"/>
    <n v="326.16000000000003"/>
  </r>
  <r>
    <s v="Chennai"/>
    <s v="CUST3609"/>
    <s v="Home Office"/>
    <s v="Electronics"/>
    <s v="Table"/>
    <x v="177"/>
    <x v="2"/>
    <s v="Online"/>
    <s v="Credit Card"/>
    <s v="Critical"/>
    <n v="9"/>
    <n v="18472"/>
    <n v="5"/>
    <n v="157935.6"/>
    <n v="22453.35"/>
  </r>
  <r>
    <s v="Chennai"/>
    <s v="CUST9758"/>
    <s v="Corporate"/>
    <s v="Electronics"/>
    <s v="Chair"/>
    <x v="158"/>
    <x v="5"/>
    <s v="Online"/>
    <s v="Cash"/>
    <s v="Critical"/>
    <n v="3"/>
    <n v="29816"/>
    <n v="20"/>
    <n v="71558.399999999994"/>
    <n v="-11101.02"/>
  </r>
  <r>
    <s v="Bangalore"/>
    <s v="CUST9555"/>
    <s v="Home Office"/>
    <s v="Furniture"/>
    <s v="Mobile"/>
    <x v="169"/>
    <x v="5"/>
    <s v="Offline"/>
    <s v="Credit Card"/>
    <s v="Medium"/>
    <n v="10"/>
    <n v="45641"/>
    <n v="5"/>
    <n v="433589.5"/>
    <n v="47774.54"/>
  </r>
  <r>
    <s v="Bangalore"/>
    <s v="CUST8566"/>
    <s v="Home Office"/>
    <s v="Electronics"/>
    <s v="Mobile"/>
    <x v="99"/>
    <x v="5"/>
    <s v="Offline"/>
    <s v="Net Banking"/>
    <s v="Low"/>
    <n v="1"/>
    <n v="37245"/>
    <n v="10"/>
    <n v="33520.5"/>
    <n v="5246.74"/>
  </r>
  <r>
    <s v="Mumbai"/>
    <s v="CUST3306"/>
    <s v="Corporate"/>
    <s v="Office Supplies"/>
    <s v="Chair"/>
    <x v="163"/>
    <x v="4"/>
    <s v="Online"/>
    <s v="UPI"/>
    <s v="Critical"/>
    <n v="5"/>
    <n v="34964"/>
    <n v="10"/>
    <n v="157338"/>
    <n v="-2948.56"/>
  </r>
  <r>
    <s v="Chennai"/>
    <s v="CUST4890"/>
    <s v="Consumer"/>
    <s v="Furniture"/>
    <s v="Chair"/>
    <x v="136"/>
    <x v="2"/>
    <s v="Offline"/>
    <s v="Credit Card"/>
    <s v="Critical"/>
    <n v="5"/>
    <n v="14258"/>
    <n v="0"/>
    <n v="71290"/>
    <n v="11941.06"/>
  </r>
  <r>
    <s v="Chennai"/>
    <s v="CUST2556"/>
    <s v="Home Office"/>
    <s v="Electronics"/>
    <s v="Table"/>
    <x v="150"/>
    <x v="4"/>
    <s v="Offline"/>
    <s v="Debit Card"/>
    <s v="Medium"/>
    <n v="1"/>
    <n v="39468"/>
    <n v="15"/>
    <n v="33547.800000000003"/>
    <n v="3114.55"/>
  </r>
  <r>
    <s v="Mumbai"/>
    <s v="CUST7444"/>
    <s v="Corporate"/>
    <s v="Office Supplies"/>
    <s v="Storage"/>
    <x v="110"/>
    <x v="2"/>
    <s v="Online"/>
    <s v="Net Banking"/>
    <s v="Medium"/>
    <n v="2"/>
    <n v="6918"/>
    <n v="5"/>
    <n v="13144.2"/>
    <n v="942.96"/>
  </r>
  <r>
    <s v="Mumbai"/>
    <s v="CUST2659"/>
    <s v="Consumer"/>
    <s v="Electronics"/>
    <s v="Table"/>
    <x v="195"/>
    <x v="4"/>
    <s v="Online"/>
    <s v="UPI"/>
    <s v="Low"/>
    <n v="9"/>
    <n v="9818"/>
    <n v="10"/>
    <n v="79525.8"/>
    <n v="-2040.02"/>
  </r>
  <r>
    <s v="Chennai"/>
    <s v="CUST6056"/>
    <s v="Consumer"/>
    <s v="Office Supplies"/>
    <s v="Printer"/>
    <x v="114"/>
    <x v="3"/>
    <s v="Online"/>
    <s v="UPI"/>
    <s v="Low"/>
    <n v="7"/>
    <n v="35000"/>
    <n v="10"/>
    <n v="220500"/>
    <n v="44019.79"/>
  </r>
  <r>
    <s v="Mumbai"/>
    <s v="CUST8951"/>
    <s v="Consumer"/>
    <s v="Office Supplies"/>
    <s v="Chair"/>
    <x v="162"/>
    <x v="2"/>
    <s v="Offline"/>
    <s v="Cash"/>
    <s v="High"/>
    <n v="8"/>
    <n v="24945"/>
    <n v="5"/>
    <n v="189582"/>
    <n v="16174.33"/>
  </r>
  <r>
    <s v="Ahmedabad"/>
    <s v="CUST3119"/>
    <s v="Consumer"/>
    <s v="Electronics"/>
    <s v="Storage"/>
    <x v="195"/>
    <x v="1"/>
    <s v="Online"/>
    <s v="Cash"/>
    <s v="Medium"/>
    <n v="5"/>
    <n v="18817"/>
    <n v="10"/>
    <n v="84676.5"/>
    <n v="-2458.5500000000002"/>
  </r>
  <r>
    <s v="Ahmedabad"/>
    <s v="CUST3820"/>
    <s v="Home Office"/>
    <s v="Electronics"/>
    <s v="Mobile"/>
    <x v="126"/>
    <x v="0"/>
    <s v="Offline"/>
    <s v="Credit Card"/>
    <s v="Low"/>
    <n v="5"/>
    <n v="29676"/>
    <n v="0"/>
    <n v="148380"/>
    <n v="7696.48"/>
  </r>
  <r>
    <s v="Ahmedabad"/>
    <s v="CUST9911"/>
    <s v="Consumer"/>
    <s v="Electronics"/>
    <s v="Laptop"/>
    <x v="120"/>
    <x v="4"/>
    <s v="Online"/>
    <s v="Debit Card"/>
    <s v="Low"/>
    <n v="10"/>
    <n v="44954"/>
    <n v="15"/>
    <n v="382109"/>
    <n v="19206.68"/>
  </r>
  <r>
    <s v="Mumbai"/>
    <s v="CUST4038"/>
    <s v="Corporate"/>
    <s v="Office Supplies"/>
    <s v="Mobile"/>
    <x v="107"/>
    <x v="5"/>
    <s v="Online"/>
    <s v="Cash"/>
    <s v="High"/>
    <n v="1"/>
    <n v="17315"/>
    <n v="20"/>
    <n v="13852"/>
    <n v="386.02"/>
  </r>
  <r>
    <s v="Bangalore"/>
    <s v="CUST5799"/>
    <s v="Consumer"/>
    <s v="Electronics"/>
    <s v="Chair"/>
    <x v="190"/>
    <x v="2"/>
    <s v="Online"/>
    <s v="Cash"/>
    <s v="Low"/>
    <n v="6"/>
    <n v="1283"/>
    <n v="15"/>
    <n v="6543.3"/>
    <n v="-521.48"/>
  </r>
  <r>
    <s v="Bangalore"/>
    <s v="CUST7593"/>
    <s v="Corporate"/>
    <s v="Electronics"/>
    <s v="Chair"/>
    <x v="46"/>
    <x v="1"/>
    <s v="Online"/>
    <s v="Debit Card"/>
    <s v="Medium"/>
    <n v="7"/>
    <n v="9419"/>
    <n v="20"/>
    <n v="52746.400000000001"/>
    <n v="2209.6799999999998"/>
  </r>
  <r>
    <s v="Bangalore"/>
    <s v="CUST1452"/>
    <s v="Home Office"/>
    <s v="Furniture"/>
    <s v="Chair"/>
    <x v="198"/>
    <x v="1"/>
    <s v="Online"/>
    <s v="Credit Card"/>
    <s v="Low"/>
    <n v="5"/>
    <n v="40279"/>
    <n v="15"/>
    <n v="171185.75"/>
    <n v="29748.04"/>
  </r>
  <r>
    <s v="Bangalore"/>
    <s v="CUST9932"/>
    <s v="Corporate"/>
    <s v="Furniture"/>
    <s v="Storage"/>
    <x v="67"/>
    <x v="4"/>
    <s v="Offline"/>
    <s v="Credit Card"/>
    <s v="Medium"/>
    <n v="8"/>
    <n v="49959"/>
    <n v="20"/>
    <n v="319737.59999999998"/>
    <n v="-40050.639999999999"/>
  </r>
  <r>
    <s v="Ahmedabad"/>
    <s v="CUST8188"/>
    <s v="Consumer"/>
    <s v="Electronics"/>
    <s v="Chair"/>
    <x v="7"/>
    <x v="5"/>
    <s v="Online"/>
    <s v="Debit Card"/>
    <s v="Critical"/>
    <n v="7"/>
    <n v="2875"/>
    <n v="10"/>
    <n v="18112.5"/>
    <n v="-237.95"/>
  </r>
  <r>
    <s v="Mumbai"/>
    <s v="CUST8769"/>
    <s v="Home Office"/>
    <s v="Furniture"/>
    <s v="Table"/>
    <x v="158"/>
    <x v="4"/>
    <s v="Online"/>
    <s v="Credit Card"/>
    <s v="Medium"/>
    <n v="5"/>
    <n v="46845"/>
    <n v="10"/>
    <n v="210802.5"/>
    <n v="-9215.1299999999992"/>
  </r>
  <r>
    <s v="Mumbai"/>
    <s v="CUST9776"/>
    <s v="Consumer"/>
    <s v="Electronics"/>
    <s v="Chair"/>
    <x v="100"/>
    <x v="0"/>
    <s v="Offline"/>
    <s v="Net Banking"/>
    <s v="High"/>
    <n v="8"/>
    <n v="48218"/>
    <n v="10"/>
    <n v="347169.6"/>
    <n v="38386.15"/>
  </r>
  <r>
    <s v="Chennai"/>
    <s v="CUST5426"/>
    <s v="Corporate"/>
    <s v="Electronics"/>
    <s v="Storage"/>
    <x v="71"/>
    <x v="5"/>
    <s v="Offline"/>
    <s v="UPI"/>
    <s v="Medium"/>
    <n v="7"/>
    <n v="1031"/>
    <n v="20"/>
    <n v="5773.6"/>
    <n v="-754.78"/>
  </r>
  <r>
    <s v="Delhi"/>
    <s v="CUST4950"/>
    <s v="Consumer"/>
    <s v="Office Supplies"/>
    <s v="Table"/>
    <x v="167"/>
    <x v="2"/>
    <s v="Offline"/>
    <s v="Credit Card"/>
    <s v="High"/>
    <n v="5"/>
    <n v="44038"/>
    <n v="20"/>
    <n v="176152"/>
    <n v="-27747.31"/>
  </r>
  <r>
    <s v="Ahmedabad"/>
    <s v="CUST7981"/>
    <s v="Corporate"/>
    <s v="Furniture"/>
    <s v="Mobile"/>
    <x v="83"/>
    <x v="3"/>
    <s v="Offline"/>
    <s v="Net Banking"/>
    <s v="Medium"/>
    <n v="2"/>
    <n v="6248"/>
    <n v="15"/>
    <n v="10621.6"/>
    <n v="741.44"/>
  </r>
  <r>
    <s v="Ahmedabad"/>
    <s v="CUST4681"/>
    <s v="Home Office"/>
    <s v="Electronics"/>
    <s v="Storage"/>
    <x v="133"/>
    <x v="4"/>
    <s v="Online"/>
    <s v="Debit Card"/>
    <s v="Critical"/>
    <n v="9"/>
    <n v="28960"/>
    <n v="0"/>
    <n v="260640"/>
    <n v="46993.3"/>
  </r>
  <r>
    <s v="Mumbai"/>
    <s v="CUST9280"/>
    <s v="Corporate"/>
    <s v="Furniture"/>
    <s v="Printer"/>
    <x v="178"/>
    <x v="2"/>
    <s v="Online"/>
    <s v="Cash"/>
    <s v="Medium"/>
    <n v="6"/>
    <n v="10840"/>
    <n v="10"/>
    <n v="58536"/>
    <n v="6500.35"/>
  </r>
  <r>
    <s v="Ahmedabad"/>
    <s v="CUST8808"/>
    <s v="Corporate"/>
    <s v="Furniture"/>
    <s v="Table"/>
    <x v="42"/>
    <x v="3"/>
    <s v="Offline"/>
    <s v="Cash"/>
    <s v="Critical"/>
    <n v="7"/>
    <n v="45152"/>
    <n v="5"/>
    <n v="300260.8"/>
    <n v="25330.799999999999"/>
  </r>
  <r>
    <s v="Ahmedabad"/>
    <s v="CUST6249"/>
    <s v="Corporate"/>
    <s v="Office Supplies"/>
    <s v="Storage"/>
    <x v="59"/>
    <x v="0"/>
    <s v="Offline"/>
    <s v="Credit Card"/>
    <s v="High"/>
    <n v="2"/>
    <n v="38746"/>
    <n v="5"/>
    <n v="73617.399999999994"/>
    <n v="4990.3599999999997"/>
  </r>
  <r>
    <s v="Bangalore"/>
    <s v="CUST3427"/>
    <s v="Home Office"/>
    <s v="Office Supplies"/>
    <s v="Mobile"/>
    <x v="32"/>
    <x v="5"/>
    <s v="Offline"/>
    <s v="Credit Card"/>
    <s v="Medium"/>
    <n v="8"/>
    <n v="41781"/>
    <n v="15"/>
    <n v="284110.8"/>
    <n v="-16757.86"/>
  </r>
  <r>
    <s v="Mumbai"/>
    <s v="CUST9015"/>
    <s v="Consumer"/>
    <s v="Electronics"/>
    <s v="Table"/>
    <x v="159"/>
    <x v="0"/>
    <s v="Offline"/>
    <s v="UPI"/>
    <s v="Low"/>
    <n v="5"/>
    <n v="36571"/>
    <n v="10"/>
    <n v="164569.5"/>
    <n v="13838.98"/>
  </r>
  <r>
    <s v="Chennai"/>
    <s v="CUST2325"/>
    <s v="Home Office"/>
    <s v="Office Supplies"/>
    <s v="Mobile"/>
    <x v="32"/>
    <x v="2"/>
    <s v="Online"/>
    <s v="Credit Card"/>
    <s v="Low"/>
    <n v="7"/>
    <n v="16945"/>
    <n v="0"/>
    <n v="118615"/>
    <n v="32198.92"/>
  </r>
  <r>
    <s v="Delhi"/>
    <s v="CUST9238"/>
    <s v="Consumer"/>
    <s v="Furniture"/>
    <s v="Mobile"/>
    <x v="18"/>
    <x v="5"/>
    <s v="Online"/>
    <s v="Debit Card"/>
    <s v="Medium"/>
    <n v="8"/>
    <n v="6545"/>
    <n v="5"/>
    <n v="49742"/>
    <n v="11280.75"/>
  </r>
  <r>
    <s v="Bangalore"/>
    <s v="CUST1361"/>
    <s v="Home Office"/>
    <s v="Furniture"/>
    <s v="Chair"/>
    <x v="114"/>
    <x v="5"/>
    <s v="Offline"/>
    <s v="UPI"/>
    <s v="Critical"/>
    <n v="9"/>
    <n v="23904"/>
    <n v="0"/>
    <n v="215136"/>
    <n v="63971.22"/>
  </r>
  <r>
    <s v="Mumbai"/>
    <s v="CUST5648"/>
    <s v="Corporate"/>
    <s v="Electronics"/>
    <s v="Mobile"/>
    <x v="29"/>
    <x v="4"/>
    <s v="Offline"/>
    <s v="Credit Card"/>
    <s v="Low"/>
    <n v="8"/>
    <n v="32990"/>
    <n v="5"/>
    <n v="250724"/>
    <n v="57824"/>
  </r>
  <r>
    <s v="Mumbai"/>
    <s v="CUST8552"/>
    <s v="Home Office"/>
    <s v="Furniture"/>
    <s v="Table"/>
    <x v="122"/>
    <x v="5"/>
    <s v="Offline"/>
    <s v="Debit Card"/>
    <s v="High"/>
    <n v="9"/>
    <n v="10203"/>
    <n v="20"/>
    <n v="73461.600000000006"/>
    <n v="-5839.38"/>
  </r>
  <r>
    <s v="Ahmedabad"/>
    <s v="CUST4026"/>
    <s v="Corporate"/>
    <s v="Office Supplies"/>
    <s v="Storage"/>
    <x v="185"/>
    <x v="5"/>
    <s v="Offline"/>
    <s v="Net Banking"/>
    <s v="High"/>
    <n v="1"/>
    <n v="31929"/>
    <n v="5"/>
    <n v="30332.55"/>
    <n v="4038.79"/>
  </r>
  <r>
    <s v="Chennai"/>
    <s v="CUST5085"/>
    <s v="Corporate"/>
    <s v="Furniture"/>
    <s v="Table"/>
    <x v="197"/>
    <x v="2"/>
    <s v="Offline"/>
    <s v="Net Banking"/>
    <s v="Critical"/>
    <n v="4"/>
    <n v="12787"/>
    <n v="15"/>
    <n v="43475.8"/>
    <n v="5227.3999999999996"/>
  </r>
  <r>
    <s v="Bangalore"/>
    <s v="CUST5704"/>
    <s v="Corporate"/>
    <s v="Electronics"/>
    <s v="Chair"/>
    <x v="175"/>
    <x v="5"/>
    <s v="Online"/>
    <s v="Net Banking"/>
    <s v="Critical"/>
    <n v="9"/>
    <n v="16818"/>
    <n v="10"/>
    <n v="136225.79999999999"/>
    <n v="-2332.29"/>
  </r>
  <r>
    <s v="Mumbai"/>
    <s v="CUST8477"/>
    <s v="Home Office"/>
    <s v="Office Supplies"/>
    <s v="Laptop"/>
    <x v="19"/>
    <x v="5"/>
    <s v="Online"/>
    <s v="Net Banking"/>
    <s v="Low"/>
    <n v="2"/>
    <n v="25497"/>
    <n v="20"/>
    <n v="40795.199999999997"/>
    <n v="4453.83"/>
  </r>
  <r>
    <s v="Bangalore"/>
    <s v="CUST8613"/>
    <s v="Home Office"/>
    <s v="Office Supplies"/>
    <s v="Storage"/>
    <x v="47"/>
    <x v="4"/>
    <s v="Online"/>
    <s v="Credit Card"/>
    <s v="Critical"/>
    <n v="9"/>
    <n v="41562"/>
    <n v="15"/>
    <n v="317949.3"/>
    <n v="46880.959999999999"/>
  </r>
  <r>
    <s v="Chennai"/>
    <s v="CUST5888"/>
    <s v="Corporate"/>
    <s v="Furniture"/>
    <s v="Storage"/>
    <x v="191"/>
    <x v="1"/>
    <s v="Online"/>
    <s v="UPI"/>
    <s v="High"/>
    <n v="1"/>
    <n v="15096"/>
    <n v="10"/>
    <n v="13586.4"/>
    <n v="860.51"/>
  </r>
  <r>
    <s v="Chennai"/>
    <s v="CUST7789"/>
    <s v="Consumer"/>
    <s v="Electronics"/>
    <s v="Table"/>
    <x v="98"/>
    <x v="3"/>
    <s v="Online"/>
    <s v="Credit Card"/>
    <s v="Low"/>
    <n v="7"/>
    <n v="18409"/>
    <n v="15"/>
    <n v="109533.55"/>
    <n v="11214.35"/>
  </r>
  <r>
    <s v="Delhi"/>
    <s v="CUST7867"/>
    <s v="Home Office"/>
    <s v="Office Supplies"/>
    <s v="Mobile"/>
    <x v="59"/>
    <x v="1"/>
    <s v="Online"/>
    <s v="UPI"/>
    <s v="Medium"/>
    <n v="9"/>
    <n v="38675"/>
    <n v="0"/>
    <n v="348075"/>
    <n v="91012.13"/>
  </r>
  <r>
    <s v="Bangalore"/>
    <s v="CUST8437"/>
    <s v="Corporate"/>
    <s v="Furniture"/>
    <s v="Storage"/>
    <x v="53"/>
    <x v="4"/>
    <s v="Offline"/>
    <s v="Net Banking"/>
    <s v="Critical"/>
    <n v="6"/>
    <n v="14955"/>
    <n v="5"/>
    <n v="85243.5"/>
    <n v="323.87"/>
  </r>
  <r>
    <s v="Mumbai"/>
    <s v="CUST6459"/>
    <s v="Consumer"/>
    <s v="Furniture"/>
    <s v="Laptop"/>
    <x v="149"/>
    <x v="2"/>
    <s v="Offline"/>
    <s v="UPI"/>
    <s v="High"/>
    <n v="9"/>
    <n v="23343"/>
    <n v="5"/>
    <n v="199582.65"/>
    <n v="31834.55"/>
  </r>
  <r>
    <s v="Mumbai"/>
    <s v="CUST1327"/>
    <s v="Consumer"/>
    <s v="Office Supplies"/>
    <s v="Mobile"/>
    <x v="195"/>
    <x v="1"/>
    <s v="Online"/>
    <s v="Cash"/>
    <s v="High"/>
    <n v="8"/>
    <n v="12445"/>
    <n v="20"/>
    <n v="79648"/>
    <n v="-9823.93"/>
  </r>
  <r>
    <s v="Bangalore"/>
    <s v="CUST9063"/>
    <s v="Home Office"/>
    <s v="Electronics"/>
    <s v="Storage"/>
    <x v="132"/>
    <x v="4"/>
    <s v="Offline"/>
    <s v="Debit Card"/>
    <s v="Medium"/>
    <n v="10"/>
    <n v="11012"/>
    <n v="0"/>
    <n v="110120"/>
    <n v="20900.79"/>
  </r>
  <r>
    <s v="Bangalore"/>
    <s v="CUST2530"/>
    <s v="Consumer"/>
    <s v="Furniture"/>
    <s v="Table"/>
    <x v="118"/>
    <x v="4"/>
    <s v="Online"/>
    <s v="Net Banking"/>
    <s v="High"/>
    <n v="8"/>
    <n v="25769"/>
    <n v="5"/>
    <n v="195844.4"/>
    <n v="49621.45"/>
  </r>
  <r>
    <s v="Delhi"/>
    <s v="CUST1228"/>
    <s v="Corporate"/>
    <s v="Office Supplies"/>
    <s v="Printer"/>
    <x v="51"/>
    <x v="4"/>
    <s v="Online"/>
    <s v="Net Banking"/>
    <s v="High"/>
    <n v="9"/>
    <n v="9406"/>
    <n v="15"/>
    <n v="71955.899999999994"/>
    <n v="3633.89"/>
  </r>
  <r>
    <s v="Bangalore"/>
    <s v="CUST5383"/>
    <s v="Consumer"/>
    <s v="Electronics"/>
    <s v="Laptop"/>
    <x v="128"/>
    <x v="2"/>
    <s v="Offline"/>
    <s v="Cash"/>
    <s v="Critical"/>
    <n v="6"/>
    <n v="48203"/>
    <n v="20"/>
    <n v="231374.4"/>
    <n v="-28949.85"/>
  </r>
  <r>
    <s v="Ahmedabad"/>
    <s v="CUST2400"/>
    <s v="Corporate"/>
    <s v="Furniture"/>
    <s v="Storage"/>
    <x v="110"/>
    <x v="5"/>
    <s v="Online"/>
    <s v="Cash"/>
    <s v="Low"/>
    <n v="7"/>
    <n v="27516"/>
    <n v="15"/>
    <n v="163720.20000000001"/>
    <n v="-465.34"/>
  </r>
  <r>
    <s v="Mumbai"/>
    <s v="CUST8706"/>
    <s v="Home Office"/>
    <s v="Furniture"/>
    <s v="Mobile"/>
    <x v="60"/>
    <x v="1"/>
    <s v="Offline"/>
    <s v="UPI"/>
    <s v="Critical"/>
    <n v="8"/>
    <n v="12037"/>
    <n v="10"/>
    <n v="86666.4"/>
    <n v="11642.86"/>
  </r>
  <r>
    <s v="Bangalore"/>
    <s v="CUST2267"/>
    <s v="Corporate"/>
    <s v="Office Supplies"/>
    <s v="Laptop"/>
    <x v="146"/>
    <x v="1"/>
    <s v="Offline"/>
    <s v="UPI"/>
    <s v="Critical"/>
    <n v="9"/>
    <n v="31107"/>
    <n v="10"/>
    <n v="251966.7"/>
    <n v="7215.42"/>
  </r>
  <r>
    <s v="Bangalore"/>
    <s v="CUST6686"/>
    <s v="Consumer"/>
    <s v="Electronics"/>
    <s v="Mobile"/>
    <x v="51"/>
    <x v="1"/>
    <s v="Offline"/>
    <s v="Net Banking"/>
    <s v="Medium"/>
    <n v="3"/>
    <n v="2196"/>
    <n v="15"/>
    <n v="5599.8"/>
    <n v="400.33"/>
  </r>
  <r>
    <s v="Mumbai"/>
    <s v="CUST4933"/>
    <s v="Home Office"/>
    <s v="Furniture"/>
    <s v="Printer"/>
    <x v="4"/>
    <x v="3"/>
    <s v="Offline"/>
    <s v="Net Banking"/>
    <s v="Medium"/>
    <n v="3"/>
    <n v="39789"/>
    <n v="20"/>
    <n v="95493.6"/>
    <n v="-4028.96"/>
  </r>
  <r>
    <s v="Ahmedabad"/>
    <s v="CUST7087"/>
    <s v="Home Office"/>
    <s v="Furniture"/>
    <s v="Laptop"/>
    <x v="143"/>
    <x v="2"/>
    <s v="Offline"/>
    <s v="UPI"/>
    <s v="Medium"/>
    <n v="2"/>
    <n v="32159"/>
    <n v="15"/>
    <n v="54670.3"/>
    <n v="5067.12"/>
  </r>
  <r>
    <s v="Bangalore"/>
    <s v="CUST7917"/>
    <s v="Consumer"/>
    <s v="Electronics"/>
    <s v="Table"/>
    <x v="112"/>
    <x v="4"/>
    <s v="Offline"/>
    <s v="Cash"/>
    <s v="Medium"/>
    <n v="1"/>
    <n v="32058"/>
    <n v="20"/>
    <n v="25646.400000000001"/>
    <n v="2302.73"/>
  </r>
  <r>
    <s v="Chennai"/>
    <s v="CUST6925"/>
    <s v="Consumer"/>
    <s v="Office Supplies"/>
    <s v="Laptop"/>
    <x v="195"/>
    <x v="3"/>
    <s v="Offline"/>
    <s v="Cash"/>
    <s v="High"/>
    <n v="5"/>
    <n v="47429"/>
    <n v="0"/>
    <n v="237145"/>
    <n v="30687.07"/>
  </r>
  <r>
    <s v="Chennai"/>
    <s v="CUST3449"/>
    <s v="Corporate"/>
    <s v="Furniture"/>
    <s v="Chair"/>
    <x v="64"/>
    <x v="1"/>
    <s v="Offline"/>
    <s v="Debit Card"/>
    <s v="Critical"/>
    <n v="7"/>
    <n v="27311"/>
    <n v="10"/>
    <n v="172059.3"/>
    <n v="33678.980000000003"/>
  </r>
  <r>
    <s v="Bangalore"/>
    <s v="CUST4207"/>
    <s v="Consumer"/>
    <s v="Electronics"/>
    <s v="Printer"/>
    <x v="125"/>
    <x v="2"/>
    <s v="Offline"/>
    <s v="Credit Card"/>
    <s v="Low"/>
    <n v="8"/>
    <n v="43798"/>
    <n v="5"/>
    <n v="332864.8"/>
    <n v="41787.25"/>
  </r>
  <r>
    <s v="Chennai"/>
    <s v="CUST6701"/>
    <s v="Corporate"/>
    <s v="Office Supplies"/>
    <s v="Chair"/>
    <x v="60"/>
    <x v="5"/>
    <s v="Offline"/>
    <s v="Credit Card"/>
    <s v="Low"/>
    <n v="1"/>
    <n v="22753"/>
    <n v="5"/>
    <n v="21615.35"/>
    <n v="1242.7"/>
  </r>
  <r>
    <s v="Delhi"/>
    <s v="CUST4321"/>
    <s v="Consumer"/>
    <s v="Electronics"/>
    <s v="Printer"/>
    <x v="12"/>
    <x v="5"/>
    <s v="Offline"/>
    <s v="UPI"/>
    <s v="Medium"/>
    <n v="1"/>
    <n v="48897"/>
    <n v="5"/>
    <n v="46452.15"/>
    <n v="1315.5"/>
  </r>
  <r>
    <s v="Mumbai"/>
    <s v="CUST6987"/>
    <s v="Consumer"/>
    <s v="Electronics"/>
    <s v="Chair"/>
    <x v="45"/>
    <x v="3"/>
    <s v="Offline"/>
    <s v="Net Banking"/>
    <s v="Low"/>
    <n v="3"/>
    <n v="31070"/>
    <n v="5"/>
    <n v="88549.5"/>
    <n v="18881.41"/>
  </r>
  <r>
    <s v="Mumbai"/>
    <s v="CUST9912"/>
    <s v="Corporate"/>
    <s v="Electronics"/>
    <s v="Table"/>
    <x v="22"/>
    <x v="5"/>
    <s v="Online"/>
    <s v="Debit Card"/>
    <s v="Medium"/>
    <n v="2"/>
    <n v="18052"/>
    <n v="10"/>
    <n v="32493.599999999999"/>
    <n v="5393.65"/>
  </r>
  <r>
    <s v="Ahmedabad"/>
    <s v="CUST5779"/>
    <s v="Consumer"/>
    <s v="Office Supplies"/>
    <s v="Printer"/>
    <x v="65"/>
    <x v="1"/>
    <s v="Offline"/>
    <s v="UPI"/>
    <s v="Low"/>
    <n v="10"/>
    <n v="16662"/>
    <n v="0"/>
    <n v="166620"/>
    <n v="31911.86"/>
  </r>
  <r>
    <s v="Delhi"/>
    <s v="CUST6212"/>
    <s v="Consumer"/>
    <s v="Electronics"/>
    <s v="Storage"/>
    <x v="172"/>
    <x v="2"/>
    <s v="Offline"/>
    <s v="Cash"/>
    <s v="High"/>
    <n v="5"/>
    <n v="37242"/>
    <n v="0"/>
    <n v="186210"/>
    <n v="25726.46"/>
  </r>
  <r>
    <s v="Bangalore"/>
    <s v="CUST8931"/>
    <s v="Corporate"/>
    <s v="Furniture"/>
    <s v="Printer"/>
    <x v="27"/>
    <x v="2"/>
    <s v="Offline"/>
    <s v="Debit Card"/>
    <s v="Critical"/>
    <n v="3"/>
    <n v="43512"/>
    <n v="0"/>
    <n v="130536"/>
    <n v="21259.73"/>
  </r>
  <r>
    <s v="Ahmedabad"/>
    <s v="CUST4985"/>
    <s v="Home Office"/>
    <s v="Furniture"/>
    <s v="Chair"/>
    <x v="108"/>
    <x v="2"/>
    <s v="Online"/>
    <s v="UPI"/>
    <s v="High"/>
    <n v="8"/>
    <n v="16916"/>
    <n v="5"/>
    <n v="128561.60000000001"/>
    <n v="20180.93"/>
  </r>
  <r>
    <s v="Delhi"/>
    <s v="CUST5805"/>
    <s v="Consumer"/>
    <s v="Office Supplies"/>
    <s v="Table"/>
    <x v="112"/>
    <x v="1"/>
    <s v="Online"/>
    <s v="Net Banking"/>
    <s v="High"/>
    <n v="4"/>
    <n v="11950"/>
    <n v="5"/>
    <n v="45410"/>
    <n v="1997.93"/>
  </r>
  <r>
    <s v="Chennai"/>
    <s v="CUST5091"/>
    <s v="Consumer"/>
    <s v="Furniture"/>
    <s v="Chair"/>
    <x v="174"/>
    <x v="4"/>
    <s v="Offline"/>
    <s v="Debit Card"/>
    <s v="High"/>
    <n v="8"/>
    <n v="23064"/>
    <n v="20"/>
    <n v="147609.60000000001"/>
    <n v="-14855.84"/>
  </r>
  <r>
    <s v="Delhi"/>
    <s v="CUST1074"/>
    <s v="Home Office"/>
    <s v="Furniture"/>
    <s v="Laptop"/>
    <x v="193"/>
    <x v="3"/>
    <s v="Offline"/>
    <s v="Net Banking"/>
    <s v="High"/>
    <n v="10"/>
    <n v="33749"/>
    <n v="5"/>
    <n v="320615.5"/>
    <n v="16247.1"/>
  </r>
  <r>
    <s v="Chennai"/>
    <s v="CUST4976"/>
    <s v="Corporate"/>
    <s v="Furniture"/>
    <s v="Chair"/>
    <x v="47"/>
    <x v="3"/>
    <s v="Online"/>
    <s v="Cash"/>
    <s v="Medium"/>
    <n v="4"/>
    <n v="20732"/>
    <n v="20"/>
    <n v="66342.399999999994"/>
    <n v="-7582.97"/>
  </r>
  <r>
    <s v="Delhi"/>
    <s v="CUST8219"/>
    <s v="Home Office"/>
    <s v="Office Supplies"/>
    <s v="Chair"/>
    <x v="134"/>
    <x v="3"/>
    <s v="Online"/>
    <s v="Net Banking"/>
    <s v="High"/>
    <n v="8"/>
    <n v="16233"/>
    <n v="5"/>
    <n v="123370.8"/>
    <n v="10598.09"/>
  </r>
  <r>
    <s v="Mumbai"/>
    <s v="CUST9306"/>
    <s v="Consumer"/>
    <s v="Office Supplies"/>
    <s v="Mobile"/>
    <x v="113"/>
    <x v="3"/>
    <s v="Offline"/>
    <s v="Debit Card"/>
    <s v="Low"/>
    <n v="8"/>
    <n v="48675"/>
    <n v="0"/>
    <n v="389400"/>
    <n v="96326.45"/>
  </r>
  <r>
    <s v="Ahmedabad"/>
    <s v="CUST1803"/>
    <s v="Consumer"/>
    <s v="Electronics"/>
    <s v="Printer"/>
    <x v="146"/>
    <x v="0"/>
    <s v="Online"/>
    <s v="Credit Card"/>
    <s v="High"/>
    <n v="5"/>
    <n v="19210"/>
    <n v="15"/>
    <n v="81642.5"/>
    <n v="-2749.53"/>
  </r>
  <r>
    <s v="Chennai"/>
    <s v="CUST3256"/>
    <s v="Corporate"/>
    <s v="Office Supplies"/>
    <s v="Printer"/>
    <x v="70"/>
    <x v="0"/>
    <s v="Online"/>
    <s v="Credit Card"/>
    <s v="Critical"/>
    <n v="8"/>
    <n v="1479"/>
    <n v="15"/>
    <n v="10057.200000000001"/>
    <n v="966.82"/>
  </r>
  <r>
    <s v="Bangalore"/>
    <s v="CUST8914"/>
    <s v="Corporate"/>
    <s v="Electronics"/>
    <s v="Mobile"/>
    <x v="57"/>
    <x v="5"/>
    <s v="Online"/>
    <s v="Credit Card"/>
    <s v="Medium"/>
    <n v="6"/>
    <n v="39663"/>
    <n v="10"/>
    <n v="214180.2"/>
    <n v="35187.07"/>
  </r>
  <r>
    <s v="Delhi"/>
    <s v="CUST4249"/>
    <s v="Consumer"/>
    <s v="Electronics"/>
    <s v="Laptop"/>
    <x v="60"/>
    <x v="5"/>
    <s v="Offline"/>
    <s v="Cash"/>
    <s v="High"/>
    <n v="1"/>
    <n v="26779"/>
    <n v="10"/>
    <n v="24101.1"/>
    <n v="3842.88"/>
  </r>
  <r>
    <s v="Ahmedabad"/>
    <s v="CUST2587"/>
    <s v="Corporate"/>
    <s v="Furniture"/>
    <s v="Laptop"/>
    <x v="54"/>
    <x v="5"/>
    <s v="Offline"/>
    <s v="Credit Card"/>
    <s v="Medium"/>
    <n v="4"/>
    <n v="14684"/>
    <n v="15"/>
    <n v="49925.599999999999"/>
    <n v="-1493.69"/>
  </r>
  <r>
    <s v="Delhi"/>
    <s v="CUST3096"/>
    <s v="Corporate"/>
    <s v="Office Supplies"/>
    <s v="Storage"/>
    <x v="9"/>
    <x v="4"/>
    <s v="Offline"/>
    <s v="Cash"/>
    <s v="Low"/>
    <n v="5"/>
    <n v="37447"/>
    <n v="5"/>
    <n v="177873.25"/>
    <n v="38853.800000000003"/>
  </r>
  <r>
    <s v="Mumbai"/>
    <s v="CUST2173"/>
    <s v="Consumer"/>
    <s v="Electronics"/>
    <s v="Storage"/>
    <x v="105"/>
    <x v="2"/>
    <s v="Offline"/>
    <s v="UPI"/>
    <s v="Critical"/>
    <n v="5"/>
    <n v="45314"/>
    <n v="10"/>
    <n v="203913"/>
    <n v="-4757.67"/>
  </r>
  <r>
    <s v="Ahmedabad"/>
    <s v="CUST4692"/>
    <s v="Consumer"/>
    <s v="Electronics"/>
    <s v="Chair"/>
    <x v="135"/>
    <x v="4"/>
    <s v="Offline"/>
    <s v="Credit Card"/>
    <s v="Low"/>
    <n v="2"/>
    <n v="21122"/>
    <n v="20"/>
    <n v="33795.199999999997"/>
    <n v="-1171.3499999999999"/>
  </r>
  <r>
    <s v="Ahmedabad"/>
    <s v="CUST6430"/>
    <s v="Consumer"/>
    <s v="Electronics"/>
    <s v="Mobile"/>
    <x v="71"/>
    <x v="4"/>
    <s v="Online"/>
    <s v="UPI"/>
    <s v="Critical"/>
    <n v="10"/>
    <n v="4559"/>
    <n v="10"/>
    <n v="41031"/>
    <n v="8835.19"/>
  </r>
  <r>
    <s v="Bangalore"/>
    <s v="CUST3621"/>
    <s v="Consumer"/>
    <s v="Office Supplies"/>
    <s v="Table"/>
    <x v="56"/>
    <x v="2"/>
    <s v="Offline"/>
    <s v="Credit Card"/>
    <s v="Low"/>
    <n v="6"/>
    <n v="27559"/>
    <n v="15"/>
    <n v="140550.9"/>
    <n v="-16087.84"/>
  </r>
  <r>
    <s v="Bangalore"/>
    <s v="CUST7374"/>
    <s v="Home Office"/>
    <s v="Office Supplies"/>
    <s v="Storage"/>
    <x v="79"/>
    <x v="5"/>
    <s v="Online"/>
    <s v="UPI"/>
    <s v="Low"/>
    <n v="6"/>
    <n v="43987"/>
    <n v="20"/>
    <n v="211137.6"/>
    <n v="-16341.51"/>
  </r>
  <r>
    <s v="Delhi"/>
    <s v="CUST6582"/>
    <s v="Consumer"/>
    <s v="Furniture"/>
    <s v="Storage"/>
    <x v="53"/>
    <x v="4"/>
    <s v="Offline"/>
    <s v="Cash"/>
    <s v="Low"/>
    <n v="8"/>
    <n v="7304"/>
    <n v="0"/>
    <n v="58432"/>
    <n v="4683.43"/>
  </r>
  <r>
    <s v="Delhi"/>
    <s v="CUST8167"/>
    <s v="Corporate"/>
    <s v="Electronics"/>
    <s v="Mobile"/>
    <x v="70"/>
    <x v="2"/>
    <s v="Offline"/>
    <s v="Net Banking"/>
    <s v="Medium"/>
    <n v="3"/>
    <n v="20398"/>
    <n v="20"/>
    <n v="48955.199999999997"/>
    <n v="-3777.29"/>
  </r>
  <r>
    <s v="Bangalore"/>
    <s v="CUST1731"/>
    <s v="Home Office"/>
    <s v="Furniture"/>
    <s v="Table"/>
    <x v="55"/>
    <x v="0"/>
    <s v="Offline"/>
    <s v="Net Banking"/>
    <s v="Medium"/>
    <n v="6"/>
    <n v="5245"/>
    <n v="0"/>
    <n v="31470"/>
    <n v="1821.75"/>
  </r>
  <r>
    <s v="Delhi"/>
    <s v="CUST6048"/>
    <s v="Home Office"/>
    <s v="Office Supplies"/>
    <s v="Table"/>
    <x v="50"/>
    <x v="5"/>
    <s v="Offline"/>
    <s v="Credit Card"/>
    <s v="Low"/>
    <n v="6"/>
    <n v="37512"/>
    <n v="20"/>
    <n v="180057.60000000001"/>
    <n v="-33727.769999999997"/>
  </r>
  <r>
    <s v="Ahmedabad"/>
    <s v="CUST8354"/>
    <s v="Corporate"/>
    <s v="Furniture"/>
    <s v="Printer"/>
    <x v="12"/>
    <x v="1"/>
    <s v="Offline"/>
    <s v="UPI"/>
    <s v="Medium"/>
    <n v="3"/>
    <n v="12982"/>
    <n v="15"/>
    <n v="33104.1"/>
    <n v="3741.25"/>
  </r>
  <r>
    <s v="Ahmedabad"/>
    <s v="CUST7068"/>
    <s v="Corporate"/>
    <s v="Furniture"/>
    <s v="Printer"/>
    <x v="193"/>
    <x v="4"/>
    <s v="Offline"/>
    <s v="Cash"/>
    <s v="High"/>
    <n v="10"/>
    <n v="41351"/>
    <n v="10"/>
    <n v="372159"/>
    <n v="67278.38"/>
  </r>
  <r>
    <s v="Ahmedabad"/>
    <s v="CUST2266"/>
    <s v="Corporate"/>
    <s v="Electronics"/>
    <s v="Storage"/>
    <x v="164"/>
    <x v="5"/>
    <s v="Offline"/>
    <s v="Debit Card"/>
    <s v="Medium"/>
    <n v="2"/>
    <n v="5595"/>
    <n v="0"/>
    <n v="11190"/>
    <n v="776.1"/>
  </r>
  <r>
    <s v="Delhi"/>
    <s v="CUST2216"/>
    <s v="Corporate"/>
    <s v="Furniture"/>
    <s v="Printer"/>
    <x v="136"/>
    <x v="3"/>
    <s v="Online"/>
    <s v="Debit Card"/>
    <s v="Critical"/>
    <n v="10"/>
    <n v="31145"/>
    <n v="10"/>
    <n v="280305"/>
    <n v="30244.04"/>
  </r>
  <r>
    <s v="Ahmedabad"/>
    <s v="CUST3192"/>
    <s v="Corporate"/>
    <s v="Electronics"/>
    <s v="Table"/>
    <x v="99"/>
    <x v="5"/>
    <s v="Offline"/>
    <s v="Net Banking"/>
    <s v="High"/>
    <n v="2"/>
    <n v="29160"/>
    <n v="5"/>
    <n v="55404"/>
    <n v="7793.34"/>
  </r>
  <r>
    <s v="Delhi"/>
    <s v="CUST2511"/>
    <s v="Corporate"/>
    <s v="Electronics"/>
    <s v="Laptop"/>
    <x v="60"/>
    <x v="1"/>
    <s v="Offline"/>
    <s v="Cash"/>
    <s v="High"/>
    <n v="8"/>
    <n v="38855"/>
    <n v="10"/>
    <n v="279756"/>
    <n v="30356.19"/>
  </r>
  <r>
    <s v="Mumbai"/>
    <s v="CUST7346"/>
    <s v="Home Office"/>
    <s v="Furniture"/>
    <s v="Printer"/>
    <x v="140"/>
    <x v="3"/>
    <s v="Online"/>
    <s v="Credit Card"/>
    <s v="Critical"/>
    <n v="2"/>
    <n v="32451"/>
    <n v="15"/>
    <n v="55166.7"/>
    <n v="-2384.46"/>
  </r>
  <r>
    <s v="Ahmedabad"/>
    <s v="CUST8081"/>
    <s v="Home Office"/>
    <s v="Furniture"/>
    <s v="Chair"/>
    <x v="143"/>
    <x v="2"/>
    <s v="Offline"/>
    <s v="Cash"/>
    <s v="High"/>
    <n v="9"/>
    <n v="37558"/>
    <n v="0"/>
    <n v="338022"/>
    <n v="33556.44"/>
  </r>
  <r>
    <s v="Delhi"/>
    <s v="CUST4089"/>
    <s v="Corporate"/>
    <s v="Office Supplies"/>
    <s v="Mobile"/>
    <x v="126"/>
    <x v="0"/>
    <s v="Offline"/>
    <s v="Net Banking"/>
    <s v="High"/>
    <n v="4"/>
    <n v="27562"/>
    <n v="0"/>
    <n v="110248"/>
    <n v="14677.75"/>
  </r>
  <r>
    <s v="Chennai"/>
    <s v="CUST2383"/>
    <s v="Corporate"/>
    <s v="Electronics"/>
    <s v="Table"/>
    <x v="171"/>
    <x v="0"/>
    <s v="Online"/>
    <s v="Credit Card"/>
    <s v="Low"/>
    <n v="10"/>
    <n v="21975"/>
    <n v="5"/>
    <n v="208762.5"/>
    <n v="34176.04"/>
  </r>
  <r>
    <s v="Mumbai"/>
    <s v="CUST3770"/>
    <s v="Corporate"/>
    <s v="Electronics"/>
    <s v="Printer"/>
    <x v="47"/>
    <x v="3"/>
    <s v="Offline"/>
    <s v="UPI"/>
    <s v="Medium"/>
    <n v="10"/>
    <n v="5191"/>
    <n v="0"/>
    <n v="51910"/>
    <n v="4872.8900000000003"/>
  </r>
  <r>
    <s v="Bangalore"/>
    <s v="CUST2751"/>
    <s v="Home Office"/>
    <s v="Office Supplies"/>
    <s v="Chair"/>
    <x v="181"/>
    <x v="3"/>
    <s v="Offline"/>
    <s v="Credit Card"/>
    <s v="Low"/>
    <n v="9"/>
    <n v="49354"/>
    <n v="10"/>
    <n v="399767.4"/>
    <n v="81093.23"/>
  </r>
  <r>
    <s v="Bangalore"/>
    <s v="CUST5797"/>
    <s v="Home Office"/>
    <s v="Electronics"/>
    <s v="Table"/>
    <x v="131"/>
    <x v="0"/>
    <s v="Offline"/>
    <s v="Net Banking"/>
    <s v="Critical"/>
    <n v="2"/>
    <n v="22721"/>
    <n v="20"/>
    <n v="36353.599999999999"/>
    <n v="-877.28"/>
  </r>
  <r>
    <s v="Bangalore"/>
    <s v="CUST3085"/>
    <s v="Corporate"/>
    <s v="Office Supplies"/>
    <s v="Chair"/>
    <x v="28"/>
    <x v="4"/>
    <s v="Online"/>
    <s v="Credit Card"/>
    <s v="Low"/>
    <n v="5"/>
    <n v="34106"/>
    <n v="20"/>
    <n v="136424"/>
    <n v="-25312.11"/>
  </r>
  <r>
    <s v="Chennai"/>
    <s v="CUST9861"/>
    <s v="Home Office"/>
    <s v="Electronics"/>
    <s v="Printer"/>
    <x v="185"/>
    <x v="1"/>
    <s v="Offline"/>
    <s v="Cash"/>
    <s v="Critical"/>
    <n v="2"/>
    <n v="32110"/>
    <n v="20"/>
    <n v="51376"/>
    <n v="-5707.57"/>
  </r>
  <r>
    <s v="Ahmedabad"/>
    <s v="CUST8629"/>
    <s v="Home Office"/>
    <s v="Office Supplies"/>
    <s v="Table"/>
    <x v="38"/>
    <x v="2"/>
    <s v="Offline"/>
    <s v="UPI"/>
    <s v="Critical"/>
    <n v="1"/>
    <n v="866"/>
    <n v="15"/>
    <n v="736.1"/>
    <n v="-30.59"/>
  </r>
  <r>
    <s v="Chennai"/>
    <s v="CUST8415"/>
    <s v="Corporate"/>
    <s v="Furniture"/>
    <s v="Storage"/>
    <x v="133"/>
    <x v="0"/>
    <s v="Offline"/>
    <s v="Credit Card"/>
    <s v="Low"/>
    <n v="4"/>
    <n v="27436"/>
    <n v="20"/>
    <n v="87795.199999999997"/>
    <n v="6540.5"/>
  </r>
  <r>
    <s v="Bangalore"/>
    <s v="CUST8252"/>
    <s v="Home Office"/>
    <s v="Furniture"/>
    <s v="Chair"/>
    <x v="16"/>
    <x v="1"/>
    <s v="Offline"/>
    <s v="Cash"/>
    <s v="Critical"/>
    <n v="2"/>
    <n v="21042"/>
    <n v="0"/>
    <n v="42084"/>
    <n v="11720.95"/>
  </r>
  <r>
    <s v="Ahmedabad"/>
    <s v="CUST5840"/>
    <s v="Consumer"/>
    <s v="Furniture"/>
    <s v="Chair"/>
    <x v="79"/>
    <x v="1"/>
    <s v="Offline"/>
    <s v="Credit Card"/>
    <s v="High"/>
    <n v="10"/>
    <n v="44765"/>
    <n v="20"/>
    <n v="358120"/>
    <n v="-58897.56"/>
  </r>
  <r>
    <s v="Mumbai"/>
    <s v="CUST1654"/>
    <s v="Consumer"/>
    <s v="Office Supplies"/>
    <s v="Storage"/>
    <x v="103"/>
    <x v="4"/>
    <s v="Online"/>
    <s v="Net Banking"/>
    <s v="Critical"/>
    <n v="9"/>
    <n v="28013"/>
    <n v="20"/>
    <n v="201693.6"/>
    <n v="-18058.349999999999"/>
  </r>
  <r>
    <s v="Bangalore"/>
    <s v="CUST5467"/>
    <s v="Corporate"/>
    <s v="Furniture"/>
    <s v="Printer"/>
    <x v="143"/>
    <x v="1"/>
    <s v="Offline"/>
    <s v="Net Banking"/>
    <s v="High"/>
    <n v="3"/>
    <n v="16912"/>
    <n v="10"/>
    <n v="45662.400000000001"/>
    <n v="1252.0999999999999"/>
  </r>
  <r>
    <s v="Ahmedabad"/>
    <s v="CUST2553"/>
    <s v="Corporate"/>
    <s v="Electronics"/>
    <s v="Mobile"/>
    <x v="44"/>
    <x v="0"/>
    <s v="Offline"/>
    <s v="Debit Card"/>
    <s v="High"/>
    <n v="5"/>
    <n v="25312"/>
    <n v="10"/>
    <n v="113904"/>
    <n v="21095.09"/>
  </r>
  <r>
    <s v="Chennai"/>
    <s v="CUST8364"/>
    <s v="Corporate"/>
    <s v="Furniture"/>
    <s v="Laptop"/>
    <x v="21"/>
    <x v="2"/>
    <s v="Offline"/>
    <s v="UPI"/>
    <s v="Critical"/>
    <n v="6"/>
    <n v="3451"/>
    <n v="15"/>
    <n v="17600.099999999999"/>
    <n v="1626.16"/>
  </r>
  <r>
    <s v="Mumbai"/>
    <s v="CUST4650"/>
    <s v="Home Office"/>
    <s v="Electronics"/>
    <s v="Mobile"/>
    <x v="199"/>
    <x v="2"/>
    <s v="Offline"/>
    <s v="Net Banking"/>
    <s v="Low"/>
    <n v="4"/>
    <n v="17966"/>
    <n v="10"/>
    <n v="64677.599999999999"/>
    <n v="13865.31"/>
  </r>
  <r>
    <s v="Delhi"/>
    <s v="CUST5560"/>
    <s v="Home Office"/>
    <s v="Furniture"/>
    <s v="Mobile"/>
    <x v="42"/>
    <x v="0"/>
    <s v="Online"/>
    <s v="UPI"/>
    <s v="Low"/>
    <n v="6"/>
    <n v="27864"/>
    <n v="15"/>
    <n v="142106.4"/>
    <n v="-224.78"/>
  </r>
  <r>
    <s v="Chennai"/>
    <s v="CUST9402"/>
    <s v="Consumer"/>
    <s v="Electronics"/>
    <s v="Chair"/>
    <x v="117"/>
    <x v="1"/>
    <s v="Offline"/>
    <s v="Cash"/>
    <s v="High"/>
    <n v="4"/>
    <n v="5757"/>
    <n v="20"/>
    <n v="18422.400000000001"/>
    <n v="-285.73"/>
  </r>
  <r>
    <s v="Ahmedabad"/>
    <s v="CUST1702"/>
    <s v="Home Office"/>
    <s v="Furniture"/>
    <s v="Storage"/>
    <x v="35"/>
    <x v="1"/>
    <s v="Online"/>
    <s v="Cash"/>
    <s v="High"/>
    <n v="2"/>
    <n v="35698"/>
    <n v="0"/>
    <n v="71396"/>
    <n v="4060.46"/>
  </r>
  <r>
    <s v="Ahmedabad"/>
    <s v="CUST3071"/>
    <s v="Home Office"/>
    <s v="Furniture"/>
    <s v="Table"/>
    <x v="132"/>
    <x v="1"/>
    <s v="Online"/>
    <s v="UPI"/>
    <s v="Low"/>
    <n v="3"/>
    <n v="37250"/>
    <n v="10"/>
    <n v="100575"/>
    <n v="22029.74"/>
  </r>
  <r>
    <s v="Ahmedabad"/>
    <s v="CUST2690"/>
    <s v="Home Office"/>
    <s v="Furniture"/>
    <s v="Laptop"/>
    <x v="28"/>
    <x v="5"/>
    <s v="Online"/>
    <s v="Net Banking"/>
    <s v="Low"/>
    <n v="1"/>
    <n v="11160"/>
    <n v="5"/>
    <n v="10602"/>
    <n v="1667.82"/>
  </r>
  <r>
    <s v="Chennai"/>
    <s v="CUST4544"/>
    <s v="Corporate"/>
    <s v="Furniture"/>
    <s v="Chair"/>
    <x v="86"/>
    <x v="3"/>
    <s v="Online"/>
    <s v="Debit Card"/>
    <s v="Low"/>
    <n v="4"/>
    <n v="43862"/>
    <n v="0"/>
    <n v="175448"/>
    <n v="32634.83"/>
  </r>
  <r>
    <s v="Ahmedabad"/>
    <s v="CUST3279"/>
    <s v="Consumer"/>
    <s v="Electronics"/>
    <s v="Storage"/>
    <x v="36"/>
    <x v="0"/>
    <s v="Offline"/>
    <s v="UPI"/>
    <s v="Medium"/>
    <n v="8"/>
    <n v="44971"/>
    <n v="0"/>
    <n v="359768"/>
    <n v="47725.15"/>
  </r>
  <r>
    <s v="Delhi"/>
    <s v="CUST9715"/>
    <s v="Home Office"/>
    <s v="Furniture"/>
    <s v="Mobile"/>
    <x v="164"/>
    <x v="5"/>
    <s v="Online"/>
    <s v="UPI"/>
    <s v="Critical"/>
    <n v="1"/>
    <n v="46746"/>
    <n v="20"/>
    <n v="37396.800000000003"/>
    <n v="-1720.56"/>
  </r>
  <r>
    <s v="Mumbai"/>
    <s v="CUST7815"/>
    <s v="Home Office"/>
    <s v="Office Supplies"/>
    <s v="Chair"/>
    <x v="61"/>
    <x v="4"/>
    <s v="Online"/>
    <s v="UPI"/>
    <s v="Critical"/>
    <n v="10"/>
    <n v="36575"/>
    <n v="0"/>
    <n v="365750"/>
    <n v="43872.54"/>
  </r>
  <r>
    <s v="Delhi"/>
    <s v="CUST4426"/>
    <s v="Consumer"/>
    <s v="Office Supplies"/>
    <s v="Table"/>
    <x v="67"/>
    <x v="0"/>
    <s v="Offline"/>
    <s v="Credit Card"/>
    <s v="Low"/>
    <n v="7"/>
    <n v="39783"/>
    <n v="0"/>
    <n v="278481"/>
    <n v="54095.360000000001"/>
  </r>
  <r>
    <s v="Delhi"/>
    <s v="CUST5991"/>
    <s v="Home Office"/>
    <s v="Electronics"/>
    <s v="Laptop"/>
    <x v="30"/>
    <x v="4"/>
    <s v="Online"/>
    <s v="UPI"/>
    <s v="High"/>
    <n v="8"/>
    <n v="2462"/>
    <n v="10"/>
    <n v="17726.400000000001"/>
    <n v="654.65"/>
  </r>
  <r>
    <s v="Chennai"/>
    <s v="CUST8528"/>
    <s v="Consumer"/>
    <s v="Electronics"/>
    <s v="Printer"/>
    <x v="60"/>
    <x v="3"/>
    <s v="Offline"/>
    <s v="UPI"/>
    <s v="Medium"/>
    <n v="10"/>
    <n v="36931"/>
    <n v="15"/>
    <n v="313913.5"/>
    <n v="4734.49"/>
  </r>
  <r>
    <s v="Ahmedabad"/>
    <s v="CUST6834"/>
    <s v="Home Office"/>
    <s v="Furniture"/>
    <s v="Storage"/>
    <x v="181"/>
    <x v="1"/>
    <s v="Online"/>
    <s v="Credit Card"/>
    <s v="High"/>
    <n v="10"/>
    <n v="23538"/>
    <n v="5"/>
    <n v="223611"/>
    <n v="46019.08"/>
  </r>
  <r>
    <s v="Delhi"/>
    <s v="CUST9384"/>
    <s v="Consumer"/>
    <s v="Office Supplies"/>
    <s v="Storage"/>
    <x v="102"/>
    <x v="1"/>
    <s v="Online"/>
    <s v="Credit Card"/>
    <s v="Low"/>
    <n v="10"/>
    <n v="21293"/>
    <n v="10"/>
    <n v="191637"/>
    <n v="16929.759999999998"/>
  </r>
  <r>
    <s v="Chennai"/>
    <s v="CUST6198"/>
    <s v="Home Office"/>
    <s v="Furniture"/>
    <s v="Chair"/>
    <x v="40"/>
    <x v="0"/>
    <s v="Online"/>
    <s v="Credit Card"/>
    <s v="Medium"/>
    <n v="5"/>
    <n v="24258"/>
    <n v="10"/>
    <n v="109161"/>
    <n v="4818.59"/>
  </r>
  <r>
    <s v="Mumbai"/>
    <s v="CUST3008"/>
    <s v="Consumer"/>
    <s v="Electronics"/>
    <s v="Storage"/>
    <x v="136"/>
    <x v="0"/>
    <s v="Offline"/>
    <s v="Debit Card"/>
    <s v="Low"/>
    <n v="3"/>
    <n v="43112"/>
    <n v="0"/>
    <n v="129336"/>
    <n v="19618.650000000001"/>
  </r>
  <r>
    <s v="Mumbai"/>
    <s v="CUST4705"/>
    <s v="Consumer"/>
    <s v="Electronics"/>
    <s v="Chair"/>
    <x v="3"/>
    <x v="3"/>
    <s v="Online"/>
    <s v="Debit Card"/>
    <s v="Medium"/>
    <n v="3"/>
    <n v="35515"/>
    <n v="20"/>
    <n v="85236"/>
    <n v="-14789.92"/>
  </r>
  <r>
    <s v="Chennai"/>
    <s v="CUST9774"/>
    <s v="Corporate"/>
    <s v="Electronics"/>
    <s v="Storage"/>
    <x v="1"/>
    <x v="1"/>
    <s v="Offline"/>
    <s v="Net Banking"/>
    <s v="Low"/>
    <n v="7"/>
    <n v="8719"/>
    <n v="20"/>
    <n v="48826.400000000001"/>
    <n v="604.54999999999995"/>
  </r>
  <r>
    <s v="Mumbai"/>
    <s v="CUST9761"/>
    <s v="Corporate"/>
    <s v="Electronics"/>
    <s v="Printer"/>
    <x v="84"/>
    <x v="5"/>
    <s v="Offline"/>
    <s v="Debit Card"/>
    <s v="High"/>
    <n v="10"/>
    <n v="6350"/>
    <n v="10"/>
    <n v="57150"/>
    <n v="824.62"/>
  </r>
  <r>
    <s v="Ahmedabad"/>
    <s v="CUST5064"/>
    <s v="Consumer"/>
    <s v="Electronics"/>
    <s v="Mobile"/>
    <x v="134"/>
    <x v="3"/>
    <s v="Offline"/>
    <s v="Credit Card"/>
    <s v="Critical"/>
    <n v="10"/>
    <n v="9357"/>
    <n v="10"/>
    <n v="84213"/>
    <n v="-4344.68"/>
  </r>
  <r>
    <s v="Delhi"/>
    <s v="CUST1637"/>
    <s v="Consumer"/>
    <s v="Electronics"/>
    <s v="Laptop"/>
    <x v="172"/>
    <x v="2"/>
    <s v="Online"/>
    <s v="Credit Card"/>
    <s v="Medium"/>
    <n v="7"/>
    <n v="38698"/>
    <n v="0"/>
    <n v="270886"/>
    <n v="51968.94"/>
  </r>
  <r>
    <s v="Mumbai"/>
    <s v="CUST1939"/>
    <s v="Home Office"/>
    <s v="Electronics"/>
    <s v="Table"/>
    <x v="95"/>
    <x v="3"/>
    <s v="Online"/>
    <s v="Net Banking"/>
    <s v="Critical"/>
    <n v="8"/>
    <n v="5086"/>
    <n v="20"/>
    <n v="32550.400000000001"/>
    <n v="-251.14"/>
  </r>
  <r>
    <s v="Chennai"/>
    <s v="CUST9279"/>
    <s v="Consumer"/>
    <s v="Electronics"/>
    <s v="Storage"/>
    <x v="159"/>
    <x v="2"/>
    <s v="Online"/>
    <s v="Net Banking"/>
    <s v="High"/>
    <n v="2"/>
    <n v="905"/>
    <n v="20"/>
    <n v="1448"/>
    <n v="134.94999999999999"/>
  </r>
  <r>
    <s v="Mumbai"/>
    <s v="CUST8435"/>
    <s v="Consumer"/>
    <s v="Office Supplies"/>
    <s v="Laptop"/>
    <x v="32"/>
    <x v="1"/>
    <s v="Offline"/>
    <s v="Debit Card"/>
    <s v="Low"/>
    <n v="10"/>
    <n v="32895"/>
    <n v="10"/>
    <n v="296055"/>
    <n v="-4315.1099999999997"/>
  </r>
  <r>
    <s v="Mumbai"/>
    <s v="CUST6952"/>
    <s v="Corporate"/>
    <s v="Office Supplies"/>
    <s v="Table"/>
    <x v="31"/>
    <x v="3"/>
    <s v="Online"/>
    <s v="Net Banking"/>
    <s v="High"/>
    <n v="6"/>
    <n v="21962"/>
    <n v="5"/>
    <n v="125183.4"/>
    <n v="14893.7"/>
  </r>
  <r>
    <s v="Bangalore"/>
    <s v="CUST4877"/>
    <s v="Home Office"/>
    <s v="Office Supplies"/>
    <s v="Table"/>
    <x v="139"/>
    <x v="3"/>
    <s v="Online"/>
    <s v="Credit Card"/>
    <s v="High"/>
    <n v="9"/>
    <n v="49552"/>
    <n v="15"/>
    <n v="379072.8"/>
    <n v="12188.14"/>
  </r>
  <r>
    <s v="Bangalore"/>
    <s v="CUST2469"/>
    <s v="Home Office"/>
    <s v="Furniture"/>
    <s v="Table"/>
    <x v="133"/>
    <x v="0"/>
    <s v="Online"/>
    <s v="Debit Card"/>
    <s v="Critical"/>
    <n v="2"/>
    <n v="22349"/>
    <n v="5"/>
    <n v="42463.1"/>
    <n v="9789.4"/>
  </r>
  <r>
    <s v="Bangalore"/>
    <s v="CUST3061"/>
    <s v="Corporate"/>
    <s v="Electronics"/>
    <s v="Chair"/>
    <x v="74"/>
    <x v="0"/>
    <s v="Online"/>
    <s v="Debit Card"/>
    <s v="Critical"/>
    <n v="2"/>
    <n v="12674"/>
    <n v="15"/>
    <n v="21545.8"/>
    <n v="1449.39"/>
  </r>
  <r>
    <s v="Delhi"/>
    <s v="CUST6039"/>
    <s v="Consumer"/>
    <s v="Electronics"/>
    <s v="Mobile"/>
    <x v="30"/>
    <x v="2"/>
    <s v="Offline"/>
    <s v="Net Banking"/>
    <s v="Critical"/>
    <n v="1"/>
    <n v="1185"/>
    <n v="15"/>
    <n v="1007.25"/>
    <n v="-24.97"/>
  </r>
  <r>
    <s v="Ahmedabad"/>
    <s v="CUST6272"/>
    <s v="Home Office"/>
    <s v="Electronics"/>
    <s v="Storage"/>
    <x v="163"/>
    <x v="4"/>
    <s v="Online"/>
    <s v="Debit Card"/>
    <s v="Critical"/>
    <n v="3"/>
    <n v="10079"/>
    <n v="0"/>
    <n v="30237"/>
    <n v="6339.01"/>
  </r>
  <r>
    <s v="Mumbai"/>
    <s v="CUST1934"/>
    <s v="Corporate"/>
    <s v="Office Supplies"/>
    <s v="Mobile"/>
    <x v="191"/>
    <x v="0"/>
    <s v="Online"/>
    <s v="UPI"/>
    <s v="Low"/>
    <n v="6"/>
    <n v="20718"/>
    <n v="5"/>
    <n v="118092.6"/>
    <n v="10342.74"/>
  </r>
  <r>
    <s v="Bangalore"/>
    <s v="CUST9640"/>
    <s v="Corporate"/>
    <s v="Office Supplies"/>
    <s v="Table"/>
    <x v="180"/>
    <x v="0"/>
    <s v="Online"/>
    <s v="Credit Card"/>
    <s v="Low"/>
    <n v="10"/>
    <n v="3729"/>
    <n v="15"/>
    <n v="31696.5"/>
    <n v="1969.24"/>
  </r>
  <r>
    <s v="Ahmedabad"/>
    <s v="CUST2522"/>
    <s v="Consumer"/>
    <s v="Furniture"/>
    <s v="Table"/>
    <x v="85"/>
    <x v="3"/>
    <s v="Online"/>
    <s v="Debit Card"/>
    <s v="Low"/>
    <n v="3"/>
    <n v="36174"/>
    <n v="0"/>
    <n v="108522"/>
    <n v="8453.23"/>
  </r>
  <r>
    <s v="Chennai"/>
    <s v="CUST9150"/>
    <s v="Corporate"/>
    <s v="Office Supplies"/>
    <s v="Mobile"/>
    <x v="10"/>
    <x v="3"/>
    <s v="Offline"/>
    <s v="Net Banking"/>
    <s v="Critical"/>
    <n v="2"/>
    <n v="47835"/>
    <n v="10"/>
    <n v="86103"/>
    <n v="13700.86"/>
  </r>
  <r>
    <s v="Ahmedabad"/>
    <s v="CUST9151"/>
    <s v="Consumer"/>
    <s v="Office Supplies"/>
    <s v="Table"/>
    <x v="132"/>
    <x v="3"/>
    <s v="Online"/>
    <s v="Credit Card"/>
    <s v="Critical"/>
    <n v="9"/>
    <n v="42213"/>
    <n v="20"/>
    <n v="303933.59999999998"/>
    <n v="5663.97"/>
  </r>
  <r>
    <s v="Chennai"/>
    <s v="CUST7594"/>
    <s v="Consumer"/>
    <s v="Office Supplies"/>
    <s v="Table"/>
    <x v="3"/>
    <x v="4"/>
    <s v="Online"/>
    <s v="Debit Card"/>
    <s v="Critical"/>
    <n v="2"/>
    <n v="32145"/>
    <n v="15"/>
    <n v="54646.5"/>
    <n v="-6161.98"/>
  </r>
  <r>
    <s v="Chennai"/>
    <s v="CUST6193"/>
    <s v="Consumer"/>
    <s v="Office Supplies"/>
    <s v="Table"/>
    <x v="114"/>
    <x v="5"/>
    <s v="Online"/>
    <s v="Net Banking"/>
    <s v="High"/>
    <n v="3"/>
    <n v="3621"/>
    <n v="15"/>
    <n v="9233.5499999999993"/>
    <n v="544.91"/>
  </r>
  <r>
    <s v="Mumbai"/>
    <s v="CUST3875"/>
    <s v="Consumer"/>
    <s v="Furniture"/>
    <s v="Mobile"/>
    <x v="9"/>
    <x v="0"/>
    <s v="Online"/>
    <s v="Cash"/>
    <s v="Low"/>
    <n v="1"/>
    <n v="16647"/>
    <n v="0"/>
    <n v="16647"/>
    <n v="3005.4"/>
  </r>
  <r>
    <s v="Ahmedabad"/>
    <s v="CUST6027"/>
    <s v="Consumer"/>
    <s v="Electronics"/>
    <s v="Laptop"/>
    <x v="163"/>
    <x v="3"/>
    <s v="Online"/>
    <s v="Credit Card"/>
    <s v="High"/>
    <n v="4"/>
    <n v="10906"/>
    <n v="0"/>
    <n v="43624"/>
    <n v="6901.53"/>
  </r>
  <r>
    <s v="Chennai"/>
    <s v="CUST5000"/>
    <s v="Corporate"/>
    <s v="Furniture"/>
    <s v="Chair"/>
    <x v="44"/>
    <x v="5"/>
    <s v="Online"/>
    <s v="Cash"/>
    <s v="High"/>
    <n v="8"/>
    <n v="21231"/>
    <n v="5"/>
    <n v="161355.6"/>
    <n v="10057.44"/>
  </r>
  <r>
    <s v="Ahmedabad"/>
    <s v="CUST5712"/>
    <s v="Consumer"/>
    <s v="Office Supplies"/>
    <s v="Laptop"/>
    <x v="117"/>
    <x v="3"/>
    <s v="Online"/>
    <s v="Credit Card"/>
    <s v="High"/>
    <n v="9"/>
    <n v="8353"/>
    <n v="0"/>
    <n v="75177"/>
    <n v="18751.7"/>
  </r>
  <r>
    <s v="Delhi"/>
    <s v="CUST2377"/>
    <s v="Home Office"/>
    <s v="Furniture"/>
    <s v="Chair"/>
    <x v="184"/>
    <x v="1"/>
    <s v="Online"/>
    <s v="UPI"/>
    <s v="Critical"/>
    <n v="3"/>
    <n v="19113"/>
    <n v="10"/>
    <n v="51605.1"/>
    <n v="5882.13"/>
  </r>
  <r>
    <s v="Chennai"/>
    <s v="CUST3065"/>
    <s v="Corporate"/>
    <s v="Electronics"/>
    <s v="Printer"/>
    <x v="28"/>
    <x v="0"/>
    <s v="Offline"/>
    <s v="Credit Card"/>
    <s v="Critical"/>
    <n v="5"/>
    <n v="7223"/>
    <n v="15"/>
    <n v="30697.75"/>
    <n v="1530.86"/>
  </r>
  <r>
    <s v="Delhi"/>
    <s v="CUST4513"/>
    <s v="Consumer"/>
    <s v="Office Supplies"/>
    <s v="Mobile"/>
    <x v="96"/>
    <x v="1"/>
    <s v="Online"/>
    <s v="Net Banking"/>
    <s v="Medium"/>
    <n v="6"/>
    <n v="5425"/>
    <n v="0"/>
    <n v="32550"/>
    <n v="6014.8"/>
  </r>
  <r>
    <s v="Chennai"/>
    <s v="CUST9572"/>
    <s v="Consumer"/>
    <s v="Electronics"/>
    <s v="Laptop"/>
    <x v="187"/>
    <x v="0"/>
    <s v="Offline"/>
    <s v="Credit Card"/>
    <s v="Medium"/>
    <n v="2"/>
    <n v="13054"/>
    <n v="20"/>
    <n v="20886.400000000001"/>
    <n v="-1235.8499999999999"/>
  </r>
  <r>
    <s v="Delhi"/>
    <s v="CUST9869"/>
    <s v="Home Office"/>
    <s v="Office Supplies"/>
    <s v="Table"/>
    <x v="43"/>
    <x v="1"/>
    <s v="Online"/>
    <s v="Cash"/>
    <s v="Medium"/>
    <n v="8"/>
    <n v="35947"/>
    <n v="5"/>
    <n v="273197.2"/>
    <n v="5086.07"/>
  </r>
  <r>
    <s v="Ahmedabad"/>
    <s v="CUST9393"/>
    <s v="Corporate"/>
    <s v="Office Supplies"/>
    <s v="Mobile"/>
    <x v="66"/>
    <x v="2"/>
    <s v="Offline"/>
    <s v="Net Banking"/>
    <s v="Low"/>
    <n v="9"/>
    <n v="17573"/>
    <n v="15"/>
    <n v="134433.45000000001"/>
    <n v="10650.8"/>
  </r>
  <r>
    <s v="Chennai"/>
    <s v="CUST4460"/>
    <s v="Consumer"/>
    <s v="Office Supplies"/>
    <s v="Chair"/>
    <x v="64"/>
    <x v="1"/>
    <s v="Online"/>
    <s v="Credit Card"/>
    <s v="Critical"/>
    <n v="9"/>
    <n v="5822"/>
    <n v="10"/>
    <n v="47158.2"/>
    <n v="10464.57"/>
  </r>
  <r>
    <s v="Bangalore"/>
    <s v="CUST4564"/>
    <s v="Corporate"/>
    <s v="Furniture"/>
    <s v="Chair"/>
    <x v="62"/>
    <x v="0"/>
    <s v="Offline"/>
    <s v="Credit Card"/>
    <s v="Low"/>
    <n v="9"/>
    <n v="2660"/>
    <n v="0"/>
    <n v="23940"/>
    <n v="1392.06"/>
  </r>
  <r>
    <s v="Bangalore"/>
    <s v="CUST1389"/>
    <s v="Home Office"/>
    <s v="Furniture"/>
    <s v="Laptop"/>
    <x v="6"/>
    <x v="4"/>
    <s v="Online"/>
    <s v="Cash"/>
    <s v="Critical"/>
    <n v="1"/>
    <n v="38075"/>
    <n v="5"/>
    <n v="36171.25"/>
    <n v="9165.44"/>
  </r>
  <r>
    <s v="Chennai"/>
    <s v="CUST4335"/>
    <s v="Home Office"/>
    <s v="Office Supplies"/>
    <s v="Storage"/>
    <x v="81"/>
    <x v="0"/>
    <s v="Online"/>
    <s v="Net Banking"/>
    <s v="Medium"/>
    <n v="6"/>
    <n v="3843"/>
    <n v="10"/>
    <n v="20752.2"/>
    <n v="3386.3"/>
  </r>
  <r>
    <s v="Delhi"/>
    <s v="CUST4405"/>
    <s v="Home Office"/>
    <s v="Furniture"/>
    <s v="Chair"/>
    <x v="87"/>
    <x v="1"/>
    <s v="Offline"/>
    <s v="UPI"/>
    <s v="High"/>
    <n v="5"/>
    <n v="44413"/>
    <n v="5"/>
    <n v="210961.75"/>
    <n v="18925.490000000002"/>
  </r>
  <r>
    <s v="Delhi"/>
    <s v="CUST1180"/>
    <s v="Consumer"/>
    <s v="Office Supplies"/>
    <s v="Storage"/>
    <x v="100"/>
    <x v="4"/>
    <s v="Offline"/>
    <s v="Credit Card"/>
    <s v="Low"/>
    <n v="6"/>
    <n v="37167"/>
    <n v="15"/>
    <n v="189551.7"/>
    <n v="31114.959999999999"/>
  </r>
  <r>
    <s v="Delhi"/>
    <s v="CUST1266"/>
    <s v="Home Office"/>
    <s v="Electronics"/>
    <s v="Table"/>
    <x v="6"/>
    <x v="4"/>
    <s v="Offline"/>
    <s v="Credit Card"/>
    <s v="Medium"/>
    <n v="3"/>
    <n v="45083"/>
    <n v="20"/>
    <n v="108199.2"/>
    <n v="10363.620000000001"/>
  </r>
  <r>
    <s v="Delhi"/>
    <s v="CUST5502"/>
    <s v="Home Office"/>
    <s v="Office Supplies"/>
    <s v="Table"/>
    <x v="15"/>
    <x v="4"/>
    <s v="Online"/>
    <s v="Credit Card"/>
    <s v="Low"/>
    <n v="7"/>
    <n v="39417"/>
    <n v="0"/>
    <n v="275919"/>
    <n v="56799.76"/>
  </r>
  <r>
    <s v="Mumbai"/>
    <s v="CUST4626"/>
    <s v="Consumer"/>
    <s v="Electronics"/>
    <s v="Mobile"/>
    <x v="129"/>
    <x v="5"/>
    <s v="Online"/>
    <s v="Cash"/>
    <s v="Low"/>
    <n v="4"/>
    <n v="27316"/>
    <n v="5"/>
    <n v="103800.8"/>
    <n v="23254"/>
  </r>
  <r>
    <s v="Delhi"/>
    <s v="CUST8889"/>
    <s v="Consumer"/>
    <s v="Office Supplies"/>
    <s v="Table"/>
    <x v="30"/>
    <x v="3"/>
    <s v="Offline"/>
    <s v="Net Banking"/>
    <s v="Medium"/>
    <n v="8"/>
    <n v="46574"/>
    <n v="20"/>
    <n v="298073.59999999998"/>
    <n v="33130.06"/>
  </r>
  <r>
    <s v="Bangalore"/>
    <s v="CUST4156"/>
    <s v="Corporate"/>
    <s v="Furniture"/>
    <s v="Laptop"/>
    <x v="84"/>
    <x v="0"/>
    <s v="Offline"/>
    <s v="Cash"/>
    <s v="Low"/>
    <n v="10"/>
    <n v="2331"/>
    <n v="10"/>
    <n v="20979"/>
    <n v="-461.65"/>
  </r>
  <r>
    <s v="Mumbai"/>
    <s v="CUST3459"/>
    <s v="Consumer"/>
    <s v="Furniture"/>
    <s v="Table"/>
    <x v="102"/>
    <x v="5"/>
    <s v="Online"/>
    <s v="Net Banking"/>
    <s v="Medium"/>
    <n v="5"/>
    <n v="3718"/>
    <n v="0"/>
    <n v="18590"/>
    <n v="4556.28"/>
  </r>
  <r>
    <s v="Mumbai"/>
    <s v="CUST5617"/>
    <s v="Home Office"/>
    <s v="Furniture"/>
    <s v="Mobile"/>
    <x v="22"/>
    <x v="5"/>
    <s v="Online"/>
    <s v="UPI"/>
    <s v="High"/>
    <n v="5"/>
    <n v="47644"/>
    <n v="0"/>
    <n v="238220"/>
    <n v="34937.589999999997"/>
  </r>
  <r>
    <s v="Delhi"/>
    <s v="CUST5820"/>
    <s v="Consumer"/>
    <s v="Office Supplies"/>
    <s v="Printer"/>
    <x v="22"/>
    <x v="1"/>
    <s v="Offline"/>
    <s v="Debit Card"/>
    <s v="Medium"/>
    <n v="9"/>
    <n v="8455"/>
    <n v="15"/>
    <n v="64680.75"/>
    <n v="1634.91"/>
  </r>
  <r>
    <s v="Chennai"/>
    <s v="CUST8264"/>
    <s v="Home Office"/>
    <s v="Furniture"/>
    <s v="Printer"/>
    <x v="7"/>
    <x v="5"/>
    <s v="Online"/>
    <s v="Cash"/>
    <s v="Critical"/>
    <n v="7"/>
    <n v="14213"/>
    <n v="15"/>
    <n v="84567.35"/>
    <n v="-8667.31"/>
  </r>
  <r>
    <s v="Ahmedabad"/>
    <s v="CUST7328"/>
    <s v="Consumer"/>
    <s v="Furniture"/>
    <s v="Storage"/>
    <x v="141"/>
    <x v="5"/>
    <s v="Online"/>
    <s v="UPI"/>
    <s v="Low"/>
    <n v="7"/>
    <n v="24091"/>
    <n v="5"/>
    <n v="160205.15"/>
    <n v="23802.81"/>
  </r>
  <r>
    <s v="Ahmedabad"/>
    <s v="CUST7569"/>
    <s v="Corporate"/>
    <s v="Furniture"/>
    <s v="Mobile"/>
    <x v="111"/>
    <x v="1"/>
    <s v="Offline"/>
    <s v="Cash"/>
    <s v="Critical"/>
    <n v="4"/>
    <n v="30662"/>
    <n v="10"/>
    <n v="110383.2"/>
    <n v="8968.5400000000009"/>
  </r>
  <r>
    <s v="Chennai"/>
    <s v="CUST8465"/>
    <s v="Consumer"/>
    <s v="Furniture"/>
    <s v="Printer"/>
    <x v="166"/>
    <x v="4"/>
    <s v="Offline"/>
    <s v="Debit Card"/>
    <s v="Critical"/>
    <n v="9"/>
    <n v="6020"/>
    <n v="10"/>
    <n v="48762"/>
    <n v="6958.55"/>
  </r>
  <r>
    <s v="Mumbai"/>
    <s v="CUST4270"/>
    <s v="Corporate"/>
    <s v="Electronics"/>
    <s v="Storage"/>
    <x v="127"/>
    <x v="4"/>
    <s v="Offline"/>
    <s v="Cash"/>
    <s v="Medium"/>
    <n v="4"/>
    <n v="36763"/>
    <n v="0"/>
    <n v="147052"/>
    <n v="38569.61"/>
  </r>
  <r>
    <s v="Mumbai"/>
    <s v="CUST4647"/>
    <s v="Home Office"/>
    <s v="Electronics"/>
    <s v="Mobile"/>
    <x v="20"/>
    <x v="2"/>
    <s v="Offline"/>
    <s v="Debit Card"/>
    <s v="High"/>
    <n v="2"/>
    <n v="7161"/>
    <n v="5"/>
    <n v="13605.9"/>
    <n v="620.42999999999995"/>
  </r>
  <r>
    <s v="Chennai"/>
    <s v="CUST3637"/>
    <s v="Corporate"/>
    <s v="Office Supplies"/>
    <s v="Table"/>
    <x v="112"/>
    <x v="2"/>
    <s v="Online"/>
    <s v="Debit Card"/>
    <s v="High"/>
    <n v="4"/>
    <n v="35293"/>
    <n v="0"/>
    <n v="141172"/>
    <n v="34111.31"/>
  </r>
  <r>
    <s v="Mumbai"/>
    <s v="CUST5313"/>
    <s v="Home Office"/>
    <s v="Office Supplies"/>
    <s v="Storage"/>
    <x v="119"/>
    <x v="5"/>
    <s v="Offline"/>
    <s v="UPI"/>
    <s v="Low"/>
    <n v="6"/>
    <n v="19871"/>
    <n v="5"/>
    <n v="113264.7"/>
    <n v="26618.83"/>
  </r>
  <r>
    <s v="Mumbai"/>
    <s v="CUST3815"/>
    <s v="Corporate"/>
    <s v="Electronics"/>
    <s v="Laptop"/>
    <x v="145"/>
    <x v="2"/>
    <s v="Online"/>
    <s v="Cash"/>
    <s v="Low"/>
    <n v="2"/>
    <n v="23750"/>
    <n v="15"/>
    <n v="40375"/>
    <n v="3169.12"/>
  </r>
  <r>
    <s v="Bangalore"/>
    <s v="CUST3699"/>
    <s v="Home Office"/>
    <s v="Office Supplies"/>
    <s v="Table"/>
    <x v="141"/>
    <x v="2"/>
    <s v="Online"/>
    <s v="Net Banking"/>
    <s v="High"/>
    <n v="7"/>
    <n v="45971"/>
    <n v="5"/>
    <n v="305707.15000000002"/>
    <n v="16859.560000000001"/>
  </r>
  <r>
    <s v="Ahmedabad"/>
    <s v="CUST6077"/>
    <s v="Home Office"/>
    <s v="Electronics"/>
    <s v="Mobile"/>
    <x v="53"/>
    <x v="4"/>
    <s v="Offline"/>
    <s v="Debit Card"/>
    <s v="Low"/>
    <n v="9"/>
    <n v="25978"/>
    <n v="15"/>
    <n v="198731.7"/>
    <n v="-15763.77"/>
  </r>
  <r>
    <s v="Chennai"/>
    <s v="CUST9256"/>
    <s v="Home Office"/>
    <s v="Office Supplies"/>
    <s v="Mobile"/>
    <x v="29"/>
    <x v="2"/>
    <s v="Offline"/>
    <s v="Debit Card"/>
    <s v="Low"/>
    <n v="10"/>
    <n v="28297"/>
    <n v="15"/>
    <n v="240524.5"/>
    <n v="3545.4"/>
  </r>
  <r>
    <s v="Bangalore"/>
    <s v="CUST6778"/>
    <s v="Corporate"/>
    <s v="Electronics"/>
    <s v="Chair"/>
    <x v="148"/>
    <x v="1"/>
    <s v="Online"/>
    <s v="Net Banking"/>
    <s v="Low"/>
    <n v="7"/>
    <n v="11149"/>
    <n v="20"/>
    <n v="62434.400000000001"/>
    <n v="5791.26"/>
  </r>
  <r>
    <s v="Ahmedabad"/>
    <s v="CUST3172"/>
    <s v="Consumer"/>
    <s v="Furniture"/>
    <s v="Printer"/>
    <x v="127"/>
    <x v="0"/>
    <s v="Offline"/>
    <s v="Net Banking"/>
    <s v="Low"/>
    <n v="4"/>
    <n v="29909"/>
    <n v="5"/>
    <n v="113654.2"/>
    <n v="25616.880000000001"/>
  </r>
  <r>
    <s v="Delhi"/>
    <s v="CUST9172"/>
    <s v="Corporate"/>
    <s v="Office Supplies"/>
    <s v="Storage"/>
    <x v="148"/>
    <x v="5"/>
    <s v="Online"/>
    <s v="Net Banking"/>
    <s v="High"/>
    <n v="9"/>
    <n v="49285"/>
    <n v="5"/>
    <n v="421386.75"/>
    <n v="24548.77"/>
  </r>
  <r>
    <s v="Delhi"/>
    <s v="CUST6150"/>
    <s v="Corporate"/>
    <s v="Electronics"/>
    <s v="Chair"/>
    <x v="162"/>
    <x v="1"/>
    <s v="Offline"/>
    <s v="UPI"/>
    <s v="Critical"/>
    <n v="9"/>
    <n v="5660"/>
    <n v="15"/>
    <n v="43299"/>
    <n v="-2606.29"/>
  </r>
  <r>
    <s v="Chennai"/>
    <s v="CUST9535"/>
    <s v="Home Office"/>
    <s v="Electronics"/>
    <s v="Mobile"/>
    <x v="47"/>
    <x v="0"/>
    <s v="Online"/>
    <s v="UPI"/>
    <s v="Critical"/>
    <n v="10"/>
    <n v="43461"/>
    <n v="20"/>
    <n v="347688"/>
    <n v="-4353.37"/>
  </r>
  <r>
    <s v="Chennai"/>
    <s v="CUST6715"/>
    <s v="Corporate"/>
    <s v="Electronics"/>
    <s v="Laptop"/>
    <x v="189"/>
    <x v="0"/>
    <s v="Offline"/>
    <s v="Credit Card"/>
    <s v="High"/>
    <n v="2"/>
    <n v="7103"/>
    <n v="20"/>
    <n v="11364.8"/>
    <n v="-1726.64"/>
  </r>
  <r>
    <s v="Delhi"/>
    <s v="CUST8955"/>
    <s v="Consumer"/>
    <s v="Furniture"/>
    <s v="Mobile"/>
    <x v="2"/>
    <x v="2"/>
    <s v="Offline"/>
    <s v="UPI"/>
    <s v="High"/>
    <n v="8"/>
    <n v="49083"/>
    <n v="0"/>
    <n v="392664"/>
    <n v="84092.89"/>
  </r>
  <r>
    <s v="Delhi"/>
    <s v="CUST8183"/>
    <s v="Home Office"/>
    <s v="Furniture"/>
    <s v="Printer"/>
    <x v="53"/>
    <x v="2"/>
    <s v="Online"/>
    <s v="Net Banking"/>
    <s v="High"/>
    <n v="10"/>
    <n v="14186"/>
    <n v="10"/>
    <n v="127674"/>
    <n v="9611.1"/>
  </r>
  <r>
    <s v="Mumbai"/>
    <s v="CUST7061"/>
    <s v="Corporate"/>
    <s v="Electronics"/>
    <s v="Mobile"/>
    <x v="128"/>
    <x v="4"/>
    <s v="Online"/>
    <s v="Net Banking"/>
    <s v="Low"/>
    <n v="8"/>
    <n v="3726"/>
    <n v="5"/>
    <n v="28317.599999999999"/>
    <n v="968.7"/>
  </r>
  <r>
    <s v="Ahmedabad"/>
    <s v="CUST8289"/>
    <s v="Home Office"/>
    <s v="Electronics"/>
    <s v="Table"/>
    <x v="166"/>
    <x v="1"/>
    <s v="Offline"/>
    <s v="Cash"/>
    <s v="Critical"/>
    <n v="10"/>
    <n v="40257"/>
    <n v="0"/>
    <n v="402570"/>
    <n v="50605.32"/>
  </r>
  <r>
    <s v="Chennai"/>
    <s v="CUST2996"/>
    <s v="Home Office"/>
    <s v="Electronics"/>
    <s v="Laptop"/>
    <x v="94"/>
    <x v="4"/>
    <s v="Online"/>
    <s v="Debit Card"/>
    <s v="Medium"/>
    <n v="8"/>
    <n v="2897"/>
    <n v="10"/>
    <n v="20858.400000000001"/>
    <n v="2685.46"/>
  </r>
  <r>
    <s v="Delhi"/>
    <s v="CUST2905"/>
    <s v="Home Office"/>
    <s v="Office Supplies"/>
    <s v="Mobile"/>
    <x v="63"/>
    <x v="2"/>
    <s v="Offline"/>
    <s v="Debit Card"/>
    <s v="High"/>
    <n v="5"/>
    <n v="6359"/>
    <n v="0"/>
    <n v="31795"/>
    <n v="6581.37"/>
  </r>
  <r>
    <s v="Ahmedabad"/>
    <s v="CUST8901"/>
    <s v="Consumer"/>
    <s v="Furniture"/>
    <s v="Table"/>
    <x v="25"/>
    <x v="5"/>
    <s v="Online"/>
    <s v="Net Banking"/>
    <s v="Critical"/>
    <n v="2"/>
    <n v="48263"/>
    <n v="20"/>
    <n v="77220.800000000003"/>
    <n v="6288.93"/>
  </r>
  <r>
    <s v="Chennai"/>
    <s v="CUST1534"/>
    <s v="Consumer"/>
    <s v="Office Supplies"/>
    <s v="Printer"/>
    <x v="18"/>
    <x v="0"/>
    <s v="Offline"/>
    <s v="Net Banking"/>
    <s v="Low"/>
    <n v="5"/>
    <n v="48739"/>
    <n v="5"/>
    <n v="231510.25"/>
    <n v="23095.34"/>
  </r>
  <r>
    <s v="Mumbai"/>
    <s v="CUST2811"/>
    <s v="Home Office"/>
    <s v="Furniture"/>
    <s v="Chair"/>
    <x v="121"/>
    <x v="4"/>
    <s v="Offline"/>
    <s v="Cash"/>
    <s v="Critical"/>
    <n v="9"/>
    <n v="27744"/>
    <n v="0"/>
    <n v="249696"/>
    <n v="69493.25"/>
  </r>
  <r>
    <s v="Ahmedabad"/>
    <s v="CUST2668"/>
    <s v="Home Office"/>
    <s v="Furniture"/>
    <s v="Chair"/>
    <x v="24"/>
    <x v="4"/>
    <s v="Online"/>
    <s v="Debit Card"/>
    <s v="High"/>
    <n v="6"/>
    <n v="38060"/>
    <n v="0"/>
    <n v="228360"/>
    <n v="40318.379999999997"/>
  </r>
  <r>
    <s v="Mumbai"/>
    <s v="CUST6164"/>
    <s v="Corporate"/>
    <s v="Electronics"/>
    <s v="Printer"/>
    <x v="137"/>
    <x v="1"/>
    <s v="Offline"/>
    <s v="Net Banking"/>
    <s v="Medium"/>
    <n v="3"/>
    <n v="35073"/>
    <n v="15"/>
    <n v="89436.15"/>
    <n v="7812.91"/>
  </r>
  <r>
    <s v="Chennai"/>
    <s v="CUST9557"/>
    <s v="Corporate"/>
    <s v="Furniture"/>
    <s v="Laptop"/>
    <x v="10"/>
    <x v="5"/>
    <s v="Offline"/>
    <s v="Debit Card"/>
    <s v="Critical"/>
    <n v="3"/>
    <n v="12936"/>
    <n v="20"/>
    <n v="31046.400000000001"/>
    <n v="-1585.51"/>
  </r>
  <r>
    <s v="Bangalore"/>
    <s v="CUST5225"/>
    <s v="Home Office"/>
    <s v="Electronics"/>
    <s v="Chair"/>
    <x v="186"/>
    <x v="4"/>
    <s v="Online"/>
    <s v="Net Banking"/>
    <s v="Medium"/>
    <n v="8"/>
    <n v="33448"/>
    <n v="5"/>
    <n v="254204.79999999999"/>
    <n v="21990.44"/>
  </r>
  <r>
    <s v="Ahmedabad"/>
    <s v="CUST9128"/>
    <s v="Home Office"/>
    <s v="Electronics"/>
    <s v="Storage"/>
    <x v="177"/>
    <x v="1"/>
    <s v="Offline"/>
    <s v="Credit Card"/>
    <s v="Medium"/>
    <n v="3"/>
    <n v="4355"/>
    <n v="20"/>
    <n v="10452"/>
    <n v="-264.72000000000003"/>
  </r>
  <r>
    <s v="Ahmedabad"/>
    <s v="CUST8326"/>
    <s v="Home Office"/>
    <s v="Electronics"/>
    <s v="Storage"/>
    <x v="104"/>
    <x v="1"/>
    <s v="Online"/>
    <s v="Net Banking"/>
    <s v="Low"/>
    <n v="6"/>
    <n v="33843"/>
    <n v="10"/>
    <n v="182752.2"/>
    <n v="34711.879999999997"/>
  </r>
  <r>
    <s v="Delhi"/>
    <s v="CUST8635"/>
    <s v="Corporate"/>
    <s v="Office Supplies"/>
    <s v="Table"/>
    <x v="113"/>
    <x v="1"/>
    <s v="Online"/>
    <s v="Credit Card"/>
    <s v="High"/>
    <n v="7"/>
    <n v="16699"/>
    <n v="10"/>
    <n v="105203.7"/>
    <n v="17082.89"/>
  </r>
  <r>
    <s v="Ahmedabad"/>
    <s v="CUST9202"/>
    <s v="Home Office"/>
    <s v="Office Supplies"/>
    <s v="Storage"/>
    <x v="65"/>
    <x v="1"/>
    <s v="Offline"/>
    <s v="Credit Card"/>
    <s v="Low"/>
    <n v="1"/>
    <n v="30877"/>
    <n v="20"/>
    <n v="24701.599999999999"/>
    <n v="-1607.2"/>
  </r>
  <r>
    <s v="Mumbai"/>
    <s v="CUST5024"/>
    <s v="Corporate"/>
    <s v="Furniture"/>
    <s v="Chair"/>
    <x v="106"/>
    <x v="0"/>
    <s v="Online"/>
    <s v="UPI"/>
    <s v="Low"/>
    <n v="5"/>
    <n v="46040"/>
    <n v="15"/>
    <n v="195670"/>
    <n v="-7150.33"/>
  </r>
  <r>
    <s v="Ahmedabad"/>
    <s v="CUST1566"/>
    <s v="Corporate"/>
    <s v="Office Supplies"/>
    <s v="Laptop"/>
    <x v="132"/>
    <x v="2"/>
    <s v="Online"/>
    <s v="UPI"/>
    <s v="Medium"/>
    <n v="6"/>
    <n v="29998"/>
    <n v="10"/>
    <n v="161989.20000000001"/>
    <n v="24450.720000000001"/>
  </r>
  <r>
    <s v="Mumbai"/>
    <s v="CUST6960"/>
    <s v="Home Office"/>
    <s v="Office Supplies"/>
    <s v="Laptop"/>
    <x v="30"/>
    <x v="1"/>
    <s v="Offline"/>
    <s v="Net Banking"/>
    <s v="Critical"/>
    <n v="1"/>
    <n v="24277"/>
    <n v="20"/>
    <n v="19421.599999999999"/>
    <n v="-770.04"/>
  </r>
  <r>
    <s v="Ahmedabad"/>
    <s v="CUST3425"/>
    <s v="Home Office"/>
    <s v="Furniture"/>
    <s v="Table"/>
    <x v="107"/>
    <x v="5"/>
    <s v="Offline"/>
    <s v="Debit Card"/>
    <s v="Low"/>
    <n v="3"/>
    <n v="14731"/>
    <n v="20"/>
    <n v="35354.400000000001"/>
    <n v="82.65"/>
  </r>
  <r>
    <s v="Mumbai"/>
    <s v="CUST4792"/>
    <s v="Corporate"/>
    <s v="Office Supplies"/>
    <s v="Table"/>
    <x v="91"/>
    <x v="5"/>
    <s v="Online"/>
    <s v="Cash"/>
    <s v="Critical"/>
    <n v="10"/>
    <n v="1334"/>
    <n v="10"/>
    <n v="12006"/>
    <n v="835.63"/>
  </r>
  <r>
    <s v="Ahmedabad"/>
    <s v="CUST9271"/>
    <s v="Corporate"/>
    <s v="Office Supplies"/>
    <s v="Mobile"/>
    <x v="154"/>
    <x v="5"/>
    <s v="Online"/>
    <s v="UPI"/>
    <s v="Critical"/>
    <n v="1"/>
    <n v="12026"/>
    <n v="20"/>
    <n v="9620.7999999999993"/>
    <n v="486.78"/>
  </r>
  <r>
    <s v="Mumbai"/>
    <s v="CUST9388"/>
    <s v="Corporate"/>
    <s v="Office Supplies"/>
    <s v="Printer"/>
    <x v="35"/>
    <x v="1"/>
    <s v="Offline"/>
    <s v="UPI"/>
    <s v="Critical"/>
    <n v="7"/>
    <n v="23003"/>
    <n v="0"/>
    <n v="161021"/>
    <n v="15561.12"/>
  </r>
  <r>
    <s v="Bangalore"/>
    <s v="CUST4349"/>
    <s v="Consumer"/>
    <s v="Office Supplies"/>
    <s v="Storage"/>
    <x v="73"/>
    <x v="2"/>
    <s v="Offline"/>
    <s v="Debit Card"/>
    <s v="Critical"/>
    <n v="6"/>
    <n v="33978"/>
    <n v="5"/>
    <n v="193674.6"/>
    <n v="1338.73"/>
  </r>
  <r>
    <s v="Ahmedabad"/>
    <s v="CUST2554"/>
    <s v="Home Office"/>
    <s v="Furniture"/>
    <s v="Table"/>
    <x v="158"/>
    <x v="1"/>
    <s v="Offline"/>
    <s v="Cash"/>
    <s v="Critical"/>
    <n v="8"/>
    <n v="37998"/>
    <n v="5"/>
    <n v="288784.8"/>
    <n v="45545.440000000002"/>
  </r>
  <r>
    <s v="Chennai"/>
    <s v="CUST8297"/>
    <s v="Corporate"/>
    <s v="Electronics"/>
    <s v="Table"/>
    <x v="70"/>
    <x v="5"/>
    <s v="Online"/>
    <s v="UPI"/>
    <s v="Medium"/>
    <n v="5"/>
    <n v="48232"/>
    <n v="5"/>
    <n v="229102"/>
    <n v="20796.29"/>
  </r>
  <r>
    <s v="Chennai"/>
    <s v="CUST4506"/>
    <s v="Home Office"/>
    <s v="Office Supplies"/>
    <s v="Table"/>
    <x v="36"/>
    <x v="1"/>
    <s v="Offline"/>
    <s v="UPI"/>
    <s v="Medium"/>
    <n v="9"/>
    <n v="12585"/>
    <n v="20"/>
    <n v="90612"/>
    <n v="-4531.43"/>
  </r>
  <r>
    <s v="Ahmedabad"/>
    <s v="CUST9208"/>
    <s v="Home Office"/>
    <s v="Electronics"/>
    <s v="Printer"/>
    <x v="199"/>
    <x v="5"/>
    <s v="Offline"/>
    <s v="UPI"/>
    <s v="Critical"/>
    <n v="8"/>
    <n v="11304"/>
    <n v="15"/>
    <n v="76867.199999999997"/>
    <n v="-7797.52"/>
  </r>
  <r>
    <s v="Delhi"/>
    <s v="CUST1875"/>
    <s v="Consumer"/>
    <s v="Office Supplies"/>
    <s v="Laptop"/>
    <x v="97"/>
    <x v="3"/>
    <s v="Offline"/>
    <s v="Credit Card"/>
    <s v="Critical"/>
    <n v="9"/>
    <n v="45175"/>
    <n v="20"/>
    <n v="325260"/>
    <n v="26468.58"/>
  </r>
  <r>
    <s v="Delhi"/>
    <s v="CUST7032"/>
    <s v="Home Office"/>
    <s v="Furniture"/>
    <s v="Table"/>
    <x v="3"/>
    <x v="2"/>
    <s v="Offline"/>
    <s v="UPI"/>
    <s v="Low"/>
    <n v="10"/>
    <n v="44658"/>
    <n v="5"/>
    <n v="424251"/>
    <n v="55464.44"/>
  </r>
  <r>
    <s v="Mumbai"/>
    <s v="CUST1663"/>
    <s v="Consumer"/>
    <s v="Furniture"/>
    <s v="Mobile"/>
    <x v="2"/>
    <x v="0"/>
    <s v="Online"/>
    <s v="UPI"/>
    <s v="High"/>
    <n v="3"/>
    <n v="25447"/>
    <n v="5"/>
    <n v="72523.95"/>
    <n v="17279.59"/>
  </r>
  <r>
    <s v="Chennai"/>
    <s v="CUST7566"/>
    <s v="Corporate"/>
    <s v="Office Supplies"/>
    <s v="Chair"/>
    <x v="175"/>
    <x v="4"/>
    <s v="Offline"/>
    <s v="Cash"/>
    <s v="High"/>
    <n v="10"/>
    <n v="43987"/>
    <n v="20"/>
    <n v="351896"/>
    <n v="31388.66"/>
  </r>
  <r>
    <s v="Chennai"/>
    <s v="CUST7024"/>
    <s v="Corporate"/>
    <s v="Furniture"/>
    <s v="Mobile"/>
    <x v="125"/>
    <x v="5"/>
    <s v="Online"/>
    <s v="Net Banking"/>
    <s v="Medium"/>
    <n v="2"/>
    <n v="8338"/>
    <n v="5"/>
    <n v="15842.2"/>
    <n v="2114.31"/>
  </r>
  <r>
    <s v="Bangalore"/>
    <s v="CUST4429"/>
    <s v="Home Office"/>
    <s v="Office Supplies"/>
    <s v="Printer"/>
    <x v="47"/>
    <x v="1"/>
    <s v="Offline"/>
    <s v="Cash"/>
    <s v="High"/>
    <n v="4"/>
    <n v="26271"/>
    <n v="10"/>
    <n v="94575.6"/>
    <n v="16769.05"/>
  </r>
  <r>
    <s v="Delhi"/>
    <s v="CUST1453"/>
    <s v="Consumer"/>
    <s v="Electronics"/>
    <s v="Laptop"/>
    <x v="80"/>
    <x v="4"/>
    <s v="Online"/>
    <s v="Debit Card"/>
    <s v="Critical"/>
    <n v="7"/>
    <n v="14328"/>
    <n v="10"/>
    <n v="90266.4"/>
    <n v="-4384.71"/>
  </r>
  <r>
    <s v="Mumbai"/>
    <s v="CUST8010"/>
    <s v="Corporate"/>
    <s v="Office Supplies"/>
    <s v="Storage"/>
    <x v="115"/>
    <x v="1"/>
    <s v="Online"/>
    <s v="UPI"/>
    <s v="Medium"/>
    <n v="1"/>
    <n v="28134"/>
    <n v="5"/>
    <n v="26727.3"/>
    <n v="1862.58"/>
  </r>
  <r>
    <s v="Delhi"/>
    <s v="CUST3226"/>
    <s v="Corporate"/>
    <s v="Furniture"/>
    <s v="Chair"/>
    <x v="196"/>
    <x v="5"/>
    <s v="Online"/>
    <s v="Cash"/>
    <s v="High"/>
    <n v="9"/>
    <n v="45011"/>
    <n v="10"/>
    <n v="364589.1"/>
    <n v="66133.5"/>
  </r>
  <r>
    <s v="Bangalore"/>
    <s v="CUST4617"/>
    <s v="Consumer"/>
    <s v="Electronics"/>
    <s v="Table"/>
    <x v="82"/>
    <x v="0"/>
    <s v="Online"/>
    <s v="UPI"/>
    <s v="High"/>
    <n v="6"/>
    <n v="17259"/>
    <n v="10"/>
    <n v="93198.6"/>
    <n v="10237.77"/>
  </r>
  <r>
    <s v="Mumbai"/>
    <s v="CUST8841"/>
    <s v="Consumer"/>
    <s v="Office Supplies"/>
    <s v="Laptop"/>
    <x v="58"/>
    <x v="3"/>
    <s v="Online"/>
    <s v="Credit Card"/>
    <s v="Critical"/>
    <n v="4"/>
    <n v="23597"/>
    <n v="0"/>
    <n v="94388"/>
    <n v="12477.61"/>
  </r>
  <r>
    <s v="Chennai"/>
    <s v="CUST4020"/>
    <s v="Corporate"/>
    <s v="Electronics"/>
    <s v="Mobile"/>
    <x v="132"/>
    <x v="0"/>
    <s v="Offline"/>
    <s v="Net Banking"/>
    <s v="High"/>
    <n v="7"/>
    <n v="32833"/>
    <n v="20"/>
    <n v="183864.8"/>
    <n v="-30435.35"/>
  </r>
  <r>
    <s v="Ahmedabad"/>
    <s v="CUST7664"/>
    <s v="Corporate"/>
    <s v="Electronics"/>
    <s v="Printer"/>
    <x v="125"/>
    <x v="3"/>
    <s v="Offline"/>
    <s v="Debit Card"/>
    <s v="High"/>
    <n v="9"/>
    <n v="41963"/>
    <n v="15"/>
    <n v="321016.95"/>
    <n v="-31538.7"/>
  </r>
  <r>
    <s v="Ahmedabad"/>
    <s v="CUST4646"/>
    <s v="Corporate"/>
    <s v="Furniture"/>
    <s v="Storage"/>
    <x v="25"/>
    <x v="1"/>
    <s v="Offline"/>
    <s v="Cash"/>
    <s v="Critical"/>
    <n v="10"/>
    <n v="21360"/>
    <n v="15"/>
    <n v="181560"/>
    <n v="22808.27"/>
  </r>
  <r>
    <s v="Ahmedabad"/>
    <s v="CUST5434"/>
    <s v="Consumer"/>
    <s v="Furniture"/>
    <s v="Mobile"/>
    <x v="177"/>
    <x v="5"/>
    <s v="Online"/>
    <s v="Credit Card"/>
    <s v="Medium"/>
    <n v="2"/>
    <n v="32659"/>
    <n v="5"/>
    <n v="62052.1"/>
    <n v="233.88"/>
  </r>
  <r>
    <s v="Chennai"/>
    <s v="CUST1695"/>
    <s v="Corporate"/>
    <s v="Office Supplies"/>
    <s v="Printer"/>
    <x v="177"/>
    <x v="4"/>
    <s v="Online"/>
    <s v="Debit Card"/>
    <s v="Critical"/>
    <n v="8"/>
    <n v="33558"/>
    <n v="5"/>
    <n v="255040.8"/>
    <n v="2988.29"/>
  </r>
  <r>
    <s v="Ahmedabad"/>
    <s v="CUST6322"/>
    <s v="Home Office"/>
    <s v="Office Supplies"/>
    <s v="Table"/>
    <x v="183"/>
    <x v="4"/>
    <s v="Online"/>
    <s v="Credit Card"/>
    <s v="Medium"/>
    <n v="5"/>
    <n v="29002"/>
    <n v="5"/>
    <n v="137759.5"/>
    <n v="25982.13"/>
  </r>
  <r>
    <s v="Mumbai"/>
    <s v="CUST6311"/>
    <s v="Corporate"/>
    <s v="Electronics"/>
    <s v="Printer"/>
    <x v="166"/>
    <x v="0"/>
    <s v="Online"/>
    <s v="Credit Card"/>
    <s v="High"/>
    <n v="9"/>
    <n v="34006"/>
    <n v="20"/>
    <n v="244843.2"/>
    <n v="-33783.360000000001"/>
  </r>
  <r>
    <s v="Ahmedabad"/>
    <s v="CUST6297"/>
    <s v="Consumer"/>
    <s v="Electronics"/>
    <s v="Table"/>
    <x v="55"/>
    <x v="4"/>
    <s v="Offline"/>
    <s v="Credit Card"/>
    <s v="Critical"/>
    <n v="7"/>
    <n v="47951"/>
    <n v="5"/>
    <n v="318874.15000000002"/>
    <n v="13237.02"/>
  </r>
  <r>
    <s v="Chennai"/>
    <s v="CUST7694"/>
    <s v="Consumer"/>
    <s v="Office Supplies"/>
    <s v="Mobile"/>
    <x v="47"/>
    <x v="1"/>
    <s v="Offline"/>
    <s v="Credit Card"/>
    <s v="Low"/>
    <n v="6"/>
    <n v="5475"/>
    <n v="15"/>
    <n v="27922.5"/>
    <n v="3680"/>
  </r>
  <r>
    <s v="Chennai"/>
    <s v="CUST2920"/>
    <s v="Home Office"/>
    <s v="Furniture"/>
    <s v="Printer"/>
    <x v="183"/>
    <x v="5"/>
    <s v="Online"/>
    <s v="Net Banking"/>
    <s v="Medium"/>
    <n v="5"/>
    <n v="29231"/>
    <n v="5"/>
    <n v="138847.25"/>
    <n v="20805.86"/>
  </r>
  <r>
    <s v="Bangalore"/>
    <s v="CUST7391"/>
    <s v="Consumer"/>
    <s v="Electronics"/>
    <s v="Mobile"/>
    <x v="177"/>
    <x v="5"/>
    <s v="Offline"/>
    <s v="Debit Card"/>
    <s v="High"/>
    <n v="10"/>
    <n v="3831"/>
    <n v="20"/>
    <n v="30648"/>
    <n v="1278.82"/>
  </r>
  <r>
    <s v="Chennai"/>
    <s v="CUST9023"/>
    <s v="Home Office"/>
    <s v="Office Supplies"/>
    <s v="Laptop"/>
    <x v="167"/>
    <x v="5"/>
    <s v="Online"/>
    <s v="UPI"/>
    <s v="Medium"/>
    <n v="10"/>
    <n v="16214"/>
    <n v="5"/>
    <n v="154033"/>
    <n v="30323.1"/>
  </r>
  <r>
    <s v="Chennai"/>
    <s v="CUST5437"/>
    <s v="Consumer"/>
    <s v="Electronics"/>
    <s v="Mobile"/>
    <x v="186"/>
    <x v="0"/>
    <s v="Online"/>
    <s v="Debit Card"/>
    <s v="Low"/>
    <n v="3"/>
    <n v="35742"/>
    <n v="5"/>
    <n v="101864.7"/>
    <n v="15338.53"/>
  </r>
  <r>
    <s v="Chennai"/>
    <s v="CUST1733"/>
    <s v="Home Office"/>
    <s v="Furniture"/>
    <s v="Laptop"/>
    <x v="47"/>
    <x v="5"/>
    <s v="Offline"/>
    <s v="UPI"/>
    <s v="Critical"/>
    <n v="9"/>
    <n v="15365"/>
    <n v="20"/>
    <n v="110628"/>
    <n v="-6682.77"/>
  </r>
  <r>
    <s v="Mumbai"/>
    <s v="CUST4882"/>
    <s v="Consumer"/>
    <s v="Electronics"/>
    <s v="Mobile"/>
    <x v="198"/>
    <x v="4"/>
    <s v="Offline"/>
    <s v="UPI"/>
    <s v="High"/>
    <n v="4"/>
    <n v="30907"/>
    <n v="5"/>
    <n v="117446.6"/>
    <n v="27706.17"/>
  </r>
  <r>
    <s v="Bangalore"/>
    <s v="CUST4416"/>
    <s v="Corporate"/>
    <s v="Office Supplies"/>
    <s v="Chair"/>
    <x v="78"/>
    <x v="3"/>
    <s v="Offline"/>
    <s v="Cash"/>
    <s v="High"/>
    <n v="8"/>
    <n v="9551"/>
    <n v="0"/>
    <n v="76408"/>
    <n v="9524.39"/>
  </r>
  <r>
    <s v="Mumbai"/>
    <s v="CUST3343"/>
    <s v="Home Office"/>
    <s v="Furniture"/>
    <s v="Mobile"/>
    <x v="118"/>
    <x v="3"/>
    <s v="Offline"/>
    <s v="Debit Card"/>
    <s v="High"/>
    <n v="5"/>
    <n v="5592"/>
    <n v="20"/>
    <n v="22368"/>
    <n v="-4166.18"/>
  </r>
  <r>
    <s v="Bangalore"/>
    <s v="CUST7493"/>
    <s v="Corporate"/>
    <s v="Furniture"/>
    <s v="Laptop"/>
    <x v="147"/>
    <x v="2"/>
    <s v="Offline"/>
    <s v="Credit Card"/>
    <s v="Medium"/>
    <n v="10"/>
    <n v="22529"/>
    <n v="20"/>
    <n v="180232"/>
    <n v="-4456.46"/>
  </r>
  <r>
    <s v="Ahmedabad"/>
    <s v="CUST4018"/>
    <s v="Consumer"/>
    <s v="Furniture"/>
    <s v="Chair"/>
    <x v="16"/>
    <x v="2"/>
    <s v="Online"/>
    <s v="Credit Card"/>
    <s v="Critical"/>
    <n v="5"/>
    <n v="1308"/>
    <n v="10"/>
    <n v="5886"/>
    <n v="1062.73"/>
  </r>
  <r>
    <s v="Ahmedabad"/>
    <s v="CUST9687"/>
    <s v="Home Office"/>
    <s v="Furniture"/>
    <s v="Chair"/>
    <x v="27"/>
    <x v="1"/>
    <s v="Offline"/>
    <s v="Debit Card"/>
    <s v="Medium"/>
    <n v="9"/>
    <n v="45485"/>
    <n v="10"/>
    <n v="368428.5"/>
    <n v="71824.350000000006"/>
  </r>
  <r>
    <s v="Ahmedabad"/>
    <s v="CUST1283"/>
    <s v="Home Office"/>
    <s v="Electronics"/>
    <s v="Mobile"/>
    <x v="126"/>
    <x v="5"/>
    <s v="Online"/>
    <s v="Net Banking"/>
    <s v="Critical"/>
    <n v="2"/>
    <n v="20128"/>
    <n v="15"/>
    <n v="34217.599999999999"/>
    <n v="-3730.06"/>
  </r>
  <r>
    <s v="Ahmedabad"/>
    <s v="CUST6117"/>
    <s v="Home Office"/>
    <s v="Office Supplies"/>
    <s v="Mobile"/>
    <x v="60"/>
    <x v="0"/>
    <s v="Offline"/>
    <s v="Debit Card"/>
    <s v="Medium"/>
    <n v="10"/>
    <n v="20669"/>
    <n v="5"/>
    <n v="196355.5"/>
    <n v="28042.97"/>
  </r>
  <r>
    <s v="Bangalore"/>
    <s v="CUST3732"/>
    <s v="Corporate"/>
    <s v="Furniture"/>
    <s v="Chair"/>
    <x v="97"/>
    <x v="4"/>
    <s v="Online"/>
    <s v="Net Banking"/>
    <s v="Low"/>
    <n v="8"/>
    <n v="11832"/>
    <n v="20"/>
    <n v="75724.800000000003"/>
    <n v="7025.46"/>
  </r>
  <r>
    <s v="Mumbai"/>
    <s v="CUST4860"/>
    <s v="Consumer"/>
    <s v="Furniture"/>
    <s v="Storage"/>
    <x v="19"/>
    <x v="3"/>
    <s v="Offline"/>
    <s v="Credit Card"/>
    <s v="Low"/>
    <n v="5"/>
    <n v="49984"/>
    <n v="20"/>
    <n v="199936"/>
    <n v="-10417.83"/>
  </r>
  <r>
    <s v="Ahmedabad"/>
    <s v="CUST6616"/>
    <s v="Home Office"/>
    <s v="Furniture"/>
    <s v="Mobile"/>
    <x v="140"/>
    <x v="5"/>
    <s v="Online"/>
    <s v="Net Banking"/>
    <s v="High"/>
    <n v="9"/>
    <n v="42900"/>
    <n v="10"/>
    <n v="347490"/>
    <n v="63104.34"/>
  </r>
  <r>
    <s v="Delhi"/>
    <s v="CUST1980"/>
    <s v="Corporate"/>
    <s v="Furniture"/>
    <s v="Laptop"/>
    <x v="193"/>
    <x v="1"/>
    <s v="Offline"/>
    <s v="UPI"/>
    <s v="High"/>
    <n v="2"/>
    <n v="45267"/>
    <n v="10"/>
    <n v="81480.600000000006"/>
    <n v="3693.58"/>
  </r>
  <r>
    <s v="Bangalore"/>
    <s v="CUST4183"/>
    <s v="Home Office"/>
    <s v="Electronics"/>
    <s v="Printer"/>
    <x v="165"/>
    <x v="5"/>
    <s v="Online"/>
    <s v="Net Banking"/>
    <s v="Medium"/>
    <n v="6"/>
    <n v="20967"/>
    <n v="20"/>
    <n v="100641.60000000001"/>
    <n v="-4476.78"/>
  </r>
  <r>
    <s v="Bangalore"/>
    <s v="CUST6214"/>
    <s v="Consumer"/>
    <s v="Electronics"/>
    <s v="Laptop"/>
    <x v="150"/>
    <x v="0"/>
    <s v="Offline"/>
    <s v="Debit Card"/>
    <s v="Medium"/>
    <n v="1"/>
    <n v="3485"/>
    <n v="20"/>
    <n v="2788"/>
    <n v="64.97"/>
  </r>
  <r>
    <s v="Chennai"/>
    <s v="CUST6354"/>
    <s v="Corporate"/>
    <s v="Electronics"/>
    <s v="Printer"/>
    <x v="41"/>
    <x v="1"/>
    <s v="Offline"/>
    <s v="Debit Card"/>
    <s v="Low"/>
    <n v="6"/>
    <n v="17071"/>
    <n v="20"/>
    <n v="81940.800000000003"/>
    <n v="-2631.24"/>
  </r>
  <r>
    <s v="Chennai"/>
    <s v="CUST6589"/>
    <s v="Home Office"/>
    <s v="Furniture"/>
    <s v="Chair"/>
    <x v="180"/>
    <x v="2"/>
    <s v="Online"/>
    <s v="Net Banking"/>
    <s v="Low"/>
    <n v="1"/>
    <n v="37157"/>
    <n v="5"/>
    <n v="35299.15"/>
    <n v="6312.43"/>
  </r>
  <r>
    <s v="Delhi"/>
    <s v="CUST9200"/>
    <s v="Corporate"/>
    <s v="Office Supplies"/>
    <s v="Laptop"/>
    <x v="149"/>
    <x v="0"/>
    <s v="Online"/>
    <s v="UPI"/>
    <s v="Critical"/>
    <n v="2"/>
    <n v="7585"/>
    <n v="10"/>
    <n v="13653"/>
    <n v="1236"/>
  </r>
  <r>
    <s v="Mumbai"/>
    <s v="CUST5530"/>
    <s v="Corporate"/>
    <s v="Furniture"/>
    <s v="Chair"/>
    <x v="29"/>
    <x v="2"/>
    <s v="Offline"/>
    <s v="Credit Card"/>
    <s v="High"/>
    <n v="2"/>
    <n v="14249"/>
    <n v="15"/>
    <n v="24223.3"/>
    <n v="-2312.11"/>
  </r>
  <r>
    <s v="Chennai"/>
    <s v="CUST4523"/>
    <s v="Home Office"/>
    <s v="Furniture"/>
    <s v="Storage"/>
    <x v="21"/>
    <x v="4"/>
    <s v="Offline"/>
    <s v="Cash"/>
    <s v="Critical"/>
    <n v="5"/>
    <n v="43670"/>
    <n v="20"/>
    <n v="174680"/>
    <n v="-29906.959999999999"/>
  </r>
  <r>
    <s v="Bangalore"/>
    <s v="CUST1938"/>
    <s v="Consumer"/>
    <s v="Furniture"/>
    <s v="Storage"/>
    <x v="169"/>
    <x v="2"/>
    <s v="Online"/>
    <s v="Net Banking"/>
    <s v="Low"/>
    <n v="7"/>
    <n v="8136"/>
    <n v="10"/>
    <n v="51256.800000000003"/>
    <n v="4137.21"/>
  </r>
  <r>
    <s v="Delhi"/>
    <s v="CUST4202"/>
    <s v="Consumer"/>
    <s v="Office Supplies"/>
    <s v="Printer"/>
    <x v="166"/>
    <x v="2"/>
    <s v="Online"/>
    <s v="Debit Card"/>
    <s v="Critical"/>
    <n v="7"/>
    <n v="12549"/>
    <n v="20"/>
    <n v="70274.399999999994"/>
    <n v="-2895.57"/>
  </r>
  <r>
    <s v="Delhi"/>
    <s v="CUST8403"/>
    <s v="Home Office"/>
    <s v="Office Supplies"/>
    <s v="Laptop"/>
    <x v="17"/>
    <x v="3"/>
    <s v="Offline"/>
    <s v="Net Banking"/>
    <s v="Critical"/>
    <n v="1"/>
    <n v="44483"/>
    <n v="20"/>
    <n v="35586.400000000001"/>
    <n v="-4727.3999999999996"/>
  </r>
  <r>
    <s v="Bangalore"/>
    <s v="CUST3420"/>
    <s v="Consumer"/>
    <s v="Office Supplies"/>
    <s v="Table"/>
    <x v="109"/>
    <x v="2"/>
    <s v="Offline"/>
    <s v="UPI"/>
    <s v="Low"/>
    <n v="9"/>
    <n v="41294"/>
    <n v="0"/>
    <n v="371646"/>
    <n v="34877.18"/>
  </r>
  <r>
    <s v="Ahmedabad"/>
    <s v="CUST2958"/>
    <s v="Consumer"/>
    <s v="Electronics"/>
    <s v="Laptop"/>
    <x v="85"/>
    <x v="1"/>
    <s v="Offline"/>
    <s v="Credit Card"/>
    <s v="High"/>
    <n v="2"/>
    <n v="37935"/>
    <n v="20"/>
    <n v="60696"/>
    <n v="-11359.31"/>
  </r>
  <r>
    <s v="Bangalore"/>
    <s v="CUST1344"/>
    <s v="Corporate"/>
    <s v="Furniture"/>
    <s v="Mobile"/>
    <x v="56"/>
    <x v="1"/>
    <s v="Online"/>
    <s v="Credit Card"/>
    <s v="Critical"/>
    <n v="8"/>
    <n v="29686"/>
    <n v="5"/>
    <n v="225613.6"/>
    <n v="33800.32"/>
  </r>
  <r>
    <s v="Chennai"/>
    <s v="CUST5652"/>
    <s v="Home Office"/>
    <s v="Office Supplies"/>
    <s v="Table"/>
    <x v="19"/>
    <x v="5"/>
    <s v="Offline"/>
    <s v="Credit Card"/>
    <s v="Critical"/>
    <n v="7"/>
    <n v="46233"/>
    <n v="20"/>
    <n v="258904.8"/>
    <n v="13004.51"/>
  </r>
  <r>
    <s v="Bangalore"/>
    <s v="CUST1841"/>
    <s v="Corporate"/>
    <s v="Furniture"/>
    <s v="Chair"/>
    <x v="199"/>
    <x v="2"/>
    <s v="Offline"/>
    <s v="UPI"/>
    <s v="Critical"/>
    <n v="1"/>
    <n v="11319"/>
    <n v="15"/>
    <n v="9621.15"/>
    <n v="1183.8699999999999"/>
  </r>
  <r>
    <s v="Bangalore"/>
    <s v="CUST5213"/>
    <s v="Home Office"/>
    <s v="Electronics"/>
    <s v="Table"/>
    <x v="141"/>
    <x v="1"/>
    <s v="Online"/>
    <s v="Cash"/>
    <s v="Critical"/>
    <n v="4"/>
    <n v="38465"/>
    <n v="5"/>
    <n v="146167"/>
    <n v="13576.05"/>
  </r>
  <r>
    <s v="Mumbai"/>
    <s v="CUST3775"/>
    <s v="Home Office"/>
    <s v="Furniture"/>
    <s v="Laptop"/>
    <x v="89"/>
    <x v="1"/>
    <s v="Online"/>
    <s v="UPI"/>
    <s v="Critical"/>
    <n v="6"/>
    <n v="18167"/>
    <n v="5"/>
    <n v="103551.9"/>
    <n v="16609.240000000002"/>
  </r>
  <r>
    <s v="Mumbai"/>
    <s v="CUST9445"/>
    <s v="Corporate"/>
    <s v="Furniture"/>
    <s v="Printer"/>
    <x v="21"/>
    <x v="1"/>
    <s v="Online"/>
    <s v="Credit Card"/>
    <s v="Critical"/>
    <n v="1"/>
    <n v="20282"/>
    <n v="20"/>
    <n v="16225.6"/>
    <n v="580.03"/>
  </r>
  <r>
    <s v="Mumbai"/>
    <s v="CUST7943"/>
    <s v="Corporate"/>
    <s v="Office Supplies"/>
    <s v="Storage"/>
    <x v="168"/>
    <x v="1"/>
    <s v="Online"/>
    <s v="Cash"/>
    <s v="Low"/>
    <n v="6"/>
    <n v="27523"/>
    <n v="15"/>
    <n v="140367.29999999999"/>
    <n v="-13752.63"/>
  </r>
  <r>
    <s v="Mumbai"/>
    <s v="CUST3783"/>
    <s v="Corporate"/>
    <s v="Furniture"/>
    <s v="Mobile"/>
    <x v="78"/>
    <x v="3"/>
    <s v="Online"/>
    <s v="Net Banking"/>
    <s v="Medium"/>
    <n v="9"/>
    <n v="31556"/>
    <n v="15"/>
    <n v="241403.4"/>
    <n v="-22454.67"/>
  </r>
  <r>
    <s v="Delhi"/>
    <s v="CUST3260"/>
    <s v="Consumer"/>
    <s v="Furniture"/>
    <s v="Chair"/>
    <x v="194"/>
    <x v="5"/>
    <s v="Offline"/>
    <s v="Debit Card"/>
    <s v="Medium"/>
    <n v="2"/>
    <n v="24043"/>
    <n v="15"/>
    <n v="40873.1"/>
    <n v="-460.32"/>
  </r>
  <r>
    <s v="Bangalore"/>
    <s v="CUST1500"/>
    <s v="Corporate"/>
    <s v="Furniture"/>
    <s v="Chair"/>
    <x v="112"/>
    <x v="3"/>
    <s v="Online"/>
    <s v="Debit Card"/>
    <s v="High"/>
    <n v="7"/>
    <n v="19483"/>
    <n v="5"/>
    <n v="129561.95"/>
    <n v="27125.919999999998"/>
  </r>
  <r>
    <s v="Mumbai"/>
    <s v="CUST5864"/>
    <s v="Corporate"/>
    <s v="Electronics"/>
    <s v="Chair"/>
    <x v="57"/>
    <x v="4"/>
    <s v="Offline"/>
    <s v="UPI"/>
    <s v="Critical"/>
    <n v="1"/>
    <n v="19400"/>
    <n v="15"/>
    <n v="16490"/>
    <n v="2447.4899999999998"/>
  </r>
  <r>
    <s v="Ahmedabad"/>
    <s v="CUST7895"/>
    <s v="Corporate"/>
    <s v="Office Supplies"/>
    <s v="Laptop"/>
    <x v="61"/>
    <x v="2"/>
    <s v="Offline"/>
    <s v="UPI"/>
    <s v="Critical"/>
    <n v="4"/>
    <n v="25009"/>
    <n v="5"/>
    <n v="95034.2"/>
    <n v="14537.24"/>
  </r>
  <r>
    <s v="Bangalore"/>
    <s v="CUST4179"/>
    <s v="Home Office"/>
    <s v="Electronics"/>
    <s v="Laptop"/>
    <x v="151"/>
    <x v="1"/>
    <s v="Online"/>
    <s v="Net Banking"/>
    <s v="Medium"/>
    <n v="6"/>
    <n v="11402"/>
    <n v="20"/>
    <n v="54729.599999999999"/>
    <n v="6804.15"/>
  </r>
  <r>
    <s v="Delhi"/>
    <s v="CUST5686"/>
    <s v="Corporate"/>
    <s v="Furniture"/>
    <s v="Storage"/>
    <x v="84"/>
    <x v="1"/>
    <s v="Online"/>
    <s v="Credit Card"/>
    <s v="Medium"/>
    <n v="8"/>
    <n v="31262"/>
    <n v="0"/>
    <n v="250096"/>
    <n v="13717.51"/>
  </r>
  <r>
    <s v="Chennai"/>
    <s v="CUST4381"/>
    <s v="Corporate"/>
    <s v="Office Supplies"/>
    <s v="Mobile"/>
    <x v="174"/>
    <x v="2"/>
    <s v="Online"/>
    <s v="Cash"/>
    <s v="Medium"/>
    <n v="2"/>
    <n v="17307"/>
    <n v="0"/>
    <n v="34614"/>
    <n v="3293.46"/>
  </r>
  <r>
    <s v="Delhi"/>
    <s v="CUST2128"/>
    <s v="Corporate"/>
    <s v="Office Supplies"/>
    <s v="Storage"/>
    <x v="147"/>
    <x v="1"/>
    <s v="Online"/>
    <s v="Net Banking"/>
    <s v="Medium"/>
    <n v="4"/>
    <n v="24179"/>
    <n v="10"/>
    <n v="87044.4"/>
    <n v="14385.7"/>
  </r>
  <r>
    <s v="Chennai"/>
    <s v="CUST2920"/>
    <s v="Home Office"/>
    <s v="Electronics"/>
    <s v="Mobile"/>
    <x v="33"/>
    <x v="4"/>
    <s v="Online"/>
    <s v="Cash"/>
    <s v="High"/>
    <n v="1"/>
    <n v="23202"/>
    <n v="15"/>
    <n v="19721.7"/>
    <n v="-2147.61"/>
  </r>
  <r>
    <s v="Chennai"/>
    <s v="CUST5392"/>
    <s v="Consumer"/>
    <s v="Furniture"/>
    <s v="Table"/>
    <x v="22"/>
    <x v="3"/>
    <s v="Online"/>
    <s v="Debit Card"/>
    <s v="Low"/>
    <n v="10"/>
    <n v="46600"/>
    <n v="20"/>
    <n v="372800"/>
    <n v="29107.34"/>
  </r>
  <r>
    <s v="Ahmedabad"/>
    <s v="CUST5974"/>
    <s v="Corporate"/>
    <s v="Office Supplies"/>
    <s v="Printer"/>
    <x v="96"/>
    <x v="0"/>
    <s v="Online"/>
    <s v="Net Banking"/>
    <s v="Medium"/>
    <n v="8"/>
    <n v="26977"/>
    <n v="5"/>
    <n v="205025.2"/>
    <n v="4608.7299999999996"/>
  </r>
  <r>
    <s v="Chennai"/>
    <s v="CUST6813"/>
    <s v="Corporate"/>
    <s v="Electronics"/>
    <s v="Storage"/>
    <x v="26"/>
    <x v="4"/>
    <s v="Offline"/>
    <s v="Debit Card"/>
    <s v="Low"/>
    <n v="5"/>
    <n v="5390"/>
    <n v="10"/>
    <n v="24255"/>
    <n v="2521.4499999999998"/>
  </r>
  <r>
    <s v="Delhi"/>
    <s v="CUST1829"/>
    <s v="Corporate"/>
    <s v="Electronics"/>
    <s v="Printer"/>
    <x v="110"/>
    <x v="4"/>
    <s v="Offline"/>
    <s v="Credit Card"/>
    <s v="Low"/>
    <n v="7"/>
    <n v="47655"/>
    <n v="5"/>
    <n v="316905.75"/>
    <n v="23238.83"/>
  </r>
  <r>
    <s v="Mumbai"/>
    <s v="CUST4840"/>
    <s v="Consumer"/>
    <s v="Electronics"/>
    <s v="Printer"/>
    <x v="65"/>
    <x v="0"/>
    <s v="Offline"/>
    <s v="Cash"/>
    <s v="Critical"/>
    <n v="6"/>
    <n v="44473"/>
    <n v="10"/>
    <n v="240154.2"/>
    <n v="40585.11"/>
  </r>
  <r>
    <s v="Ahmedabad"/>
    <s v="CUST1914"/>
    <s v="Home Office"/>
    <s v="Furniture"/>
    <s v="Chair"/>
    <x v="90"/>
    <x v="4"/>
    <s v="Offline"/>
    <s v="Debit Card"/>
    <s v="High"/>
    <n v="9"/>
    <n v="28181"/>
    <n v="0"/>
    <n v="253629"/>
    <n v="58475.14"/>
  </r>
  <r>
    <s v="Delhi"/>
    <s v="CUST9158"/>
    <s v="Corporate"/>
    <s v="Office Supplies"/>
    <s v="Printer"/>
    <x v="20"/>
    <x v="2"/>
    <s v="Offline"/>
    <s v="UPI"/>
    <s v="High"/>
    <n v="10"/>
    <n v="11009"/>
    <n v="5"/>
    <n v="104585.5"/>
    <n v="11682.46"/>
  </r>
  <r>
    <s v="Delhi"/>
    <s v="CUST5073"/>
    <s v="Corporate"/>
    <s v="Office Supplies"/>
    <s v="Mobile"/>
    <x v="158"/>
    <x v="3"/>
    <s v="Offline"/>
    <s v="Net Banking"/>
    <s v="Medium"/>
    <n v="9"/>
    <n v="49644"/>
    <n v="15"/>
    <n v="379776.6"/>
    <n v="-33233.339999999997"/>
  </r>
  <r>
    <s v="Delhi"/>
    <s v="CUST9604"/>
    <s v="Home Office"/>
    <s v="Furniture"/>
    <s v="Table"/>
    <x v="115"/>
    <x v="4"/>
    <s v="Offline"/>
    <s v="Cash"/>
    <s v="Low"/>
    <n v="4"/>
    <n v="20906"/>
    <n v="15"/>
    <n v="71080.399999999994"/>
    <n v="49.11"/>
  </r>
  <r>
    <s v="Mumbai"/>
    <s v="CUST7592"/>
    <s v="Home Office"/>
    <s v="Office Supplies"/>
    <s v="Table"/>
    <x v="121"/>
    <x v="4"/>
    <s v="Online"/>
    <s v="Net Banking"/>
    <s v="High"/>
    <n v="3"/>
    <n v="49345"/>
    <n v="5"/>
    <n v="140633.25"/>
    <n v="6967.79"/>
  </r>
  <r>
    <s v="Bangalore"/>
    <s v="CUST4609"/>
    <s v="Home Office"/>
    <s v="Electronics"/>
    <s v="Laptop"/>
    <x v="82"/>
    <x v="4"/>
    <s v="Offline"/>
    <s v="Credit Card"/>
    <s v="Medium"/>
    <n v="7"/>
    <n v="48636"/>
    <n v="15"/>
    <n v="289384.2"/>
    <n v="-7868.93"/>
  </r>
  <r>
    <s v="Mumbai"/>
    <s v="CUST3472"/>
    <s v="Home Office"/>
    <s v="Office Supplies"/>
    <s v="Table"/>
    <x v="82"/>
    <x v="1"/>
    <s v="Offline"/>
    <s v="Cash"/>
    <s v="High"/>
    <n v="7"/>
    <n v="40031"/>
    <n v="10"/>
    <n v="252195.3"/>
    <n v="54293.1"/>
  </r>
  <r>
    <s v="Chennai"/>
    <s v="CUST9826"/>
    <s v="Corporate"/>
    <s v="Electronics"/>
    <s v="Laptop"/>
    <x v="179"/>
    <x v="1"/>
    <s v="Offline"/>
    <s v="UPI"/>
    <s v="Low"/>
    <n v="7"/>
    <n v="28533"/>
    <n v="15"/>
    <n v="169771.35"/>
    <n v="-9818.2900000000009"/>
  </r>
  <r>
    <s v="Bangalore"/>
    <s v="CUST8056"/>
    <s v="Home Office"/>
    <s v="Office Supplies"/>
    <s v="Laptop"/>
    <x v="97"/>
    <x v="1"/>
    <s v="Online"/>
    <s v="Net Banking"/>
    <s v="Low"/>
    <n v="8"/>
    <n v="16041"/>
    <n v="20"/>
    <n v="102662.39999999999"/>
    <n v="-5866.03"/>
  </r>
  <r>
    <s v="Delhi"/>
    <s v="CUST8844"/>
    <s v="Consumer"/>
    <s v="Furniture"/>
    <s v="Storage"/>
    <x v="73"/>
    <x v="1"/>
    <s v="Online"/>
    <s v="Net Banking"/>
    <s v="Low"/>
    <n v="2"/>
    <n v="29195"/>
    <n v="5"/>
    <n v="55470.5"/>
    <n v="6621.14"/>
  </r>
  <r>
    <s v="Mumbai"/>
    <s v="CUST3691"/>
    <s v="Home Office"/>
    <s v="Office Supplies"/>
    <s v="Table"/>
    <x v="101"/>
    <x v="5"/>
    <s v="Offline"/>
    <s v="UPI"/>
    <s v="High"/>
    <n v="6"/>
    <n v="21229"/>
    <n v="10"/>
    <n v="114636.6"/>
    <n v="15159.07"/>
  </r>
  <r>
    <s v="Chennai"/>
    <s v="CUST6437"/>
    <s v="Consumer"/>
    <s v="Electronics"/>
    <s v="Laptop"/>
    <x v="106"/>
    <x v="3"/>
    <s v="Offline"/>
    <s v="UPI"/>
    <s v="Low"/>
    <n v="6"/>
    <n v="4046"/>
    <n v="5"/>
    <n v="23062.2"/>
    <n v="3840.59"/>
  </r>
  <r>
    <s v="Chennai"/>
    <s v="CUST9691"/>
    <s v="Corporate"/>
    <s v="Office Supplies"/>
    <s v="Laptop"/>
    <x v="160"/>
    <x v="1"/>
    <s v="Offline"/>
    <s v="UPI"/>
    <s v="Medium"/>
    <n v="1"/>
    <n v="5941"/>
    <n v="0"/>
    <n v="5941"/>
    <n v="621.11"/>
  </r>
  <r>
    <s v="Mumbai"/>
    <s v="CUST6860"/>
    <s v="Corporate"/>
    <s v="Electronics"/>
    <s v="Laptop"/>
    <x v="168"/>
    <x v="5"/>
    <s v="Offline"/>
    <s v="Cash"/>
    <s v="Medium"/>
    <n v="5"/>
    <n v="24927"/>
    <n v="0"/>
    <n v="124635"/>
    <n v="25913.67"/>
  </r>
  <r>
    <s v="Mumbai"/>
    <s v="CUST9244"/>
    <s v="Home Office"/>
    <s v="Furniture"/>
    <s v="Laptop"/>
    <x v="92"/>
    <x v="3"/>
    <s v="Offline"/>
    <s v="Cash"/>
    <s v="Medium"/>
    <n v="8"/>
    <n v="34187"/>
    <n v="15"/>
    <n v="232471.6"/>
    <n v="30544.71"/>
  </r>
  <r>
    <s v="Bangalore"/>
    <s v="CUST6846"/>
    <s v="Corporate"/>
    <s v="Furniture"/>
    <s v="Storage"/>
    <x v="188"/>
    <x v="0"/>
    <s v="Offline"/>
    <s v="Debit Card"/>
    <s v="High"/>
    <n v="7"/>
    <n v="39947"/>
    <n v="5"/>
    <n v="265647.55"/>
    <n v="23688.48"/>
  </r>
  <r>
    <s v="Chennai"/>
    <s v="CUST2072"/>
    <s v="Home Office"/>
    <s v="Electronics"/>
    <s v="Laptop"/>
    <x v="139"/>
    <x v="0"/>
    <s v="Online"/>
    <s v="Credit Card"/>
    <s v="High"/>
    <n v="8"/>
    <n v="25205"/>
    <n v="5"/>
    <n v="191558"/>
    <n v="18341.599999999999"/>
  </r>
  <r>
    <s v="Bangalore"/>
    <s v="CUST1327"/>
    <s v="Home Office"/>
    <s v="Electronics"/>
    <s v="Chair"/>
    <x v="81"/>
    <x v="0"/>
    <s v="Offline"/>
    <s v="Cash"/>
    <s v="High"/>
    <n v="3"/>
    <n v="25739"/>
    <n v="0"/>
    <n v="77217"/>
    <n v="19453.25"/>
  </r>
  <r>
    <s v="Chennai"/>
    <s v="CUST2213"/>
    <s v="Consumer"/>
    <s v="Electronics"/>
    <s v="Storage"/>
    <x v="66"/>
    <x v="3"/>
    <s v="Online"/>
    <s v="UPI"/>
    <s v="Medium"/>
    <n v="1"/>
    <n v="16536"/>
    <n v="20"/>
    <n v="13228.8"/>
    <n v="193.64"/>
  </r>
  <r>
    <s v="Mumbai"/>
    <s v="CUST7572"/>
    <s v="Home Office"/>
    <s v="Furniture"/>
    <s v="Storage"/>
    <x v="107"/>
    <x v="1"/>
    <s v="Offline"/>
    <s v="Net Banking"/>
    <s v="Medium"/>
    <n v="7"/>
    <n v="2552"/>
    <n v="10"/>
    <n v="16077.6"/>
    <n v="2693.18"/>
  </r>
  <r>
    <s v="Chennai"/>
    <s v="CUST3923"/>
    <s v="Corporate"/>
    <s v="Furniture"/>
    <s v="Storage"/>
    <x v="61"/>
    <x v="5"/>
    <s v="Online"/>
    <s v="Net Banking"/>
    <s v="Critical"/>
    <n v="6"/>
    <n v="26730"/>
    <n v="15"/>
    <n v="136323"/>
    <n v="-6361.61"/>
  </r>
  <r>
    <s v="Bangalore"/>
    <s v="CUST5737"/>
    <s v="Consumer"/>
    <s v="Electronics"/>
    <s v="Table"/>
    <x v="131"/>
    <x v="1"/>
    <s v="Online"/>
    <s v="UPI"/>
    <s v="Critical"/>
    <n v="5"/>
    <n v="13527"/>
    <n v="15"/>
    <n v="57489.75"/>
    <n v="4647.4799999999996"/>
  </r>
  <r>
    <s v="Delhi"/>
    <s v="CUST3013"/>
    <s v="Corporate"/>
    <s v="Furniture"/>
    <s v="Storage"/>
    <x v="189"/>
    <x v="1"/>
    <s v="Online"/>
    <s v="UPI"/>
    <s v="Low"/>
    <n v="2"/>
    <n v="36452"/>
    <n v="15"/>
    <n v="61968.4"/>
    <n v="10737.94"/>
  </r>
  <r>
    <s v="Ahmedabad"/>
    <s v="CUST2615"/>
    <s v="Home Office"/>
    <s v="Office Supplies"/>
    <s v="Printer"/>
    <x v="40"/>
    <x v="1"/>
    <s v="Offline"/>
    <s v="UPI"/>
    <s v="Critical"/>
    <n v="5"/>
    <n v="22723"/>
    <n v="5"/>
    <n v="107934.25"/>
    <n v="21875.71"/>
  </r>
  <r>
    <s v="Ahmedabad"/>
    <s v="CUST6853"/>
    <s v="Corporate"/>
    <s v="Office Supplies"/>
    <s v="Chair"/>
    <x v="53"/>
    <x v="2"/>
    <s v="Offline"/>
    <s v="Net Banking"/>
    <s v="High"/>
    <n v="5"/>
    <n v="3432"/>
    <n v="5"/>
    <n v="16302"/>
    <n v="343.48"/>
  </r>
  <r>
    <s v="Mumbai"/>
    <s v="CUST2633"/>
    <s v="Consumer"/>
    <s v="Office Supplies"/>
    <s v="Storage"/>
    <x v="146"/>
    <x v="0"/>
    <s v="Online"/>
    <s v="Net Banking"/>
    <s v="Critical"/>
    <n v="3"/>
    <n v="28048"/>
    <n v="10"/>
    <n v="75729.600000000006"/>
    <n v="11526.14"/>
  </r>
  <r>
    <s v="Delhi"/>
    <s v="CUST3871"/>
    <s v="Corporate"/>
    <s v="Electronics"/>
    <s v="Chair"/>
    <x v="52"/>
    <x v="4"/>
    <s v="Offline"/>
    <s v="Cash"/>
    <s v="Low"/>
    <n v="6"/>
    <n v="24269"/>
    <n v="20"/>
    <n v="116491.2"/>
    <n v="-12196.05"/>
  </r>
  <r>
    <s v="Bangalore"/>
    <s v="CUST2731"/>
    <s v="Home Office"/>
    <s v="Office Supplies"/>
    <s v="Laptop"/>
    <x v="170"/>
    <x v="1"/>
    <s v="Online"/>
    <s v="Credit Card"/>
    <s v="Critical"/>
    <n v="3"/>
    <n v="31416"/>
    <n v="10"/>
    <n v="84823.2"/>
    <n v="14221.5"/>
  </r>
  <r>
    <s v="Delhi"/>
    <s v="CUST9948"/>
    <s v="Consumer"/>
    <s v="Office Supplies"/>
    <s v="Laptop"/>
    <x v="107"/>
    <x v="3"/>
    <s v="Online"/>
    <s v="Credit Card"/>
    <s v="Critical"/>
    <n v="2"/>
    <n v="21176"/>
    <n v="0"/>
    <n v="42352"/>
    <n v="11236.6"/>
  </r>
  <r>
    <s v="Chennai"/>
    <s v="CUST6064"/>
    <s v="Corporate"/>
    <s v="Office Supplies"/>
    <s v="Chair"/>
    <x v="143"/>
    <x v="3"/>
    <s v="Online"/>
    <s v="Net Banking"/>
    <s v="Critical"/>
    <n v="7"/>
    <n v="14953"/>
    <n v="5"/>
    <n v="99437.45"/>
    <n v="4482.68"/>
  </r>
  <r>
    <s v="Ahmedabad"/>
    <s v="CUST5669"/>
    <s v="Consumer"/>
    <s v="Electronics"/>
    <s v="Printer"/>
    <x v="93"/>
    <x v="3"/>
    <s v="Online"/>
    <s v="Debit Card"/>
    <s v="Medium"/>
    <n v="10"/>
    <n v="24608"/>
    <n v="10"/>
    <n v="221472"/>
    <n v="-7465.32"/>
  </r>
  <r>
    <s v="Ahmedabad"/>
    <s v="CUST6597"/>
    <s v="Corporate"/>
    <s v="Furniture"/>
    <s v="Storage"/>
    <x v="97"/>
    <x v="4"/>
    <s v="Offline"/>
    <s v="UPI"/>
    <s v="Low"/>
    <n v="9"/>
    <n v="45408"/>
    <n v="5"/>
    <n v="388238.4"/>
    <n v="39506.620000000003"/>
  </r>
  <r>
    <s v="Delhi"/>
    <s v="CUST5528"/>
    <s v="Home Office"/>
    <s v="Electronics"/>
    <s v="Chair"/>
    <x v="198"/>
    <x v="4"/>
    <s v="Online"/>
    <s v="UPI"/>
    <s v="Critical"/>
    <n v="3"/>
    <n v="5312"/>
    <n v="5"/>
    <n v="15139.2"/>
    <n v="353.38"/>
  </r>
  <r>
    <s v="Bangalore"/>
    <s v="CUST2762"/>
    <s v="Corporate"/>
    <s v="Office Supplies"/>
    <s v="Chair"/>
    <x v="82"/>
    <x v="4"/>
    <s v="Online"/>
    <s v="UPI"/>
    <s v="Medium"/>
    <n v="1"/>
    <n v="8920"/>
    <n v="0"/>
    <n v="8920"/>
    <n v="778.53"/>
  </r>
  <r>
    <s v="Delhi"/>
    <s v="CUST8912"/>
    <s v="Consumer"/>
    <s v="Furniture"/>
    <s v="Mobile"/>
    <x v="24"/>
    <x v="3"/>
    <s v="Online"/>
    <s v="Net Banking"/>
    <s v="Low"/>
    <n v="1"/>
    <n v="11128"/>
    <n v="15"/>
    <n v="9458.7999999999993"/>
    <n v="-252.2"/>
  </r>
  <r>
    <s v="Chennai"/>
    <s v="CUST9897"/>
    <s v="Home Office"/>
    <s v="Furniture"/>
    <s v="Table"/>
    <x v="101"/>
    <x v="0"/>
    <s v="Offline"/>
    <s v="Debit Card"/>
    <s v="High"/>
    <n v="9"/>
    <n v="35348"/>
    <n v="20"/>
    <n v="254505.60000000001"/>
    <n v="-30476.52"/>
  </r>
  <r>
    <s v="Ahmedabad"/>
    <s v="CUST7564"/>
    <s v="Consumer"/>
    <s v="Electronics"/>
    <s v="Storage"/>
    <x v="58"/>
    <x v="0"/>
    <s v="Offline"/>
    <s v="UPI"/>
    <s v="Critical"/>
    <n v="2"/>
    <n v="30894"/>
    <n v="15"/>
    <n v="52519.8"/>
    <n v="-2354.2600000000002"/>
  </r>
  <r>
    <s v="Delhi"/>
    <s v="CUST6373"/>
    <s v="Consumer"/>
    <s v="Office Supplies"/>
    <s v="Table"/>
    <x v="8"/>
    <x v="4"/>
    <s v="Online"/>
    <s v="Credit Card"/>
    <s v="Low"/>
    <n v="3"/>
    <n v="42109"/>
    <n v="5"/>
    <n v="120010.65"/>
    <n v="12248.14"/>
  </r>
  <r>
    <s v="Mumbai"/>
    <s v="CUST1727"/>
    <s v="Consumer"/>
    <s v="Electronics"/>
    <s v="Chair"/>
    <x v="164"/>
    <x v="2"/>
    <s v="Offline"/>
    <s v="Credit Card"/>
    <s v="Critical"/>
    <n v="5"/>
    <n v="14264"/>
    <n v="10"/>
    <n v="64188"/>
    <n v="4925.09"/>
  </r>
  <r>
    <s v="Mumbai"/>
    <s v="CUST1879"/>
    <s v="Home Office"/>
    <s v="Office Supplies"/>
    <s v="Printer"/>
    <x v="78"/>
    <x v="2"/>
    <s v="Online"/>
    <s v="UPI"/>
    <s v="High"/>
    <n v="6"/>
    <n v="15037"/>
    <n v="10"/>
    <n v="81199.8"/>
    <n v="15830.02"/>
  </r>
  <r>
    <s v="Ahmedabad"/>
    <s v="CUST1730"/>
    <s v="Consumer"/>
    <s v="Office Supplies"/>
    <s v="Printer"/>
    <x v="105"/>
    <x v="3"/>
    <s v="Online"/>
    <s v="Cash"/>
    <s v="High"/>
    <n v="5"/>
    <n v="13510"/>
    <n v="5"/>
    <n v="64172.5"/>
    <n v="4379.58"/>
  </r>
  <r>
    <s v="Ahmedabad"/>
    <s v="CUST2419"/>
    <s v="Consumer"/>
    <s v="Furniture"/>
    <s v="Chair"/>
    <x v="152"/>
    <x v="0"/>
    <s v="Online"/>
    <s v="Cash"/>
    <s v="Critical"/>
    <n v="3"/>
    <n v="3599"/>
    <n v="5"/>
    <n v="10257.15"/>
    <n v="1925.51"/>
  </r>
  <r>
    <s v="Delhi"/>
    <s v="CUST2473"/>
    <s v="Home Office"/>
    <s v="Office Supplies"/>
    <s v="Table"/>
    <x v="79"/>
    <x v="2"/>
    <s v="Online"/>
    <s v="Debit Card"/>
    <s v="Critical"/>
    <n v="2"/>
    <n v="23539"/>
    <n v="0"/>
    <n v="47078"/>
    <n v="12538.73"/>
  </r>
  <r>
    <s v="Ahmedabad"/>
    <s v="CUST4388"/>
    <s v="Home Office"/>
    <s v="Office Supplies"/>
    <s v="Printer"/>
    <x v="68"/>
    <x v="3"/>
    <s v="Online"/>
    <s v="UPI"/>
    <s v="High"/>
    <n v="9"/>
    <n v="40873"/>
    <n v="15"/>
    <n v="312678.45"/>
    <n v="33097.21"/>
  </r>
  <r>
    <s v="Delhi"/>
    <s v="CUST3159"/>
    <s v="Consumer"/>
    <s v="Office Supplies"/>
    <s v="Mobile"/>
    <x v="4"/>
    <x v="3"/>
    <s v="Offline"/>
    <s v="Net Banking"/>
    <s v="Medium"/>
    <n v="10"/>
    <n v="14386"/>
    <n v="20"/>
    <n v="115088"/>
    <n v="-16260.79"/>
  </r>
  <r>
    <s v="Mumbai"/>
    <s v="CUST9760"/>
    <s v="Home Office"/>
    <s v="Electronics"/>
    <s v="Table"/>
    <x v="130"/>
    <x v="3"/>
    <s v="Online"/>
    <s v="Net Banking"/>
    <s v="High"/>
    <n v="5"/>
    <n v="21025"/>
    <n v="20"/>
    <n v="84100"/>
    <n v="-5834.09"/>
  </r>
  <r>
    <s v="Delhi"/>
    <s v="CUST8620"/>
    <s v="Home Office"/>
    <s v="Office Supplies"/>
    <s v="Storage"/>
    <x v="64"/>
    <x v="4"/>
    <s v="Offline"/>
    <s v="Debit Card"/>
    <s v="Medium"/>
    <n v="4"/>
    <n v="46210"/>
    <n v="15"/>
    <n v="157114"/>
    <n v="-947.83"/>
  </r>
  <r>
    <s v="Bangalore"/>
    <s v="CUST1776"/>
    <s v="Corporate"/>
    <s v="Office Supplies"/>
    <s v="Table"/>
    <x v="166"/>
    <x v="0"/>
    <s v="Online"/>
    <s v="Credit Card"/>
    <s v="High"/>
    <n v="6"/>
    <n v="3903"/>
    <n v="0"/>
    <n v="23418"/>
    <n v="4992.68"/>
  </r>
  <r>
    <s v="Delhi"/>
    <s v="CUST8418"/>
    <s v="Corporate"/>
    <s v="Office Supplies"/>
    <s v="Storage"/>
    <x v="129"/>
    <x v="2"/>
    <s v="Online"/>
    <s v="Debit Card"/>
    <s v="High"/>
    <n v="2"/>
    <n v="29014"/>
    <n v="15"/>
    <n v="49323.8"/>
    <n v="6966.5"/>
  </r>
  <r>
    <s v="Bangalore"/>
    <s v="CUST7181"/>
    <s v="Home Office"/>
    <s v="Office Supplies"/>
    <s v="Chair"/>
    <x v="85"/>
    <x v="2"/>
    <s v="Online"/>
    <s v="Cash"/>
    <s v="High"/>
    <n v="8"/>
    <n v="40237"/>
    <n v="10"/>
    <n v="289706.40000000002"/>
    <n v="53472.77"/>
  </r>
  <r>
    <s v="Ahmedabad"/>
    <s v="CUST1121"/>
    <s v="Home Office"/>
    <s v="Office Supplies"/>
    <s v="Printer"/>
    <x v="153"/>
    <x v="1"/>
    <s v="Online"/>
    <s v="UPI"/>
    <s v="High"/>
    <n v="5"/>
    <n v="11020"/>
    <n v="15"/>
    <n v="46835"/>
    <n v="1353.29"/>
  </r>
  <r>
    <s v="Bangalore"/>
    <s v="CUST5214"/>
    <s v="Consumer"/>
    <s v="Office Supplies"/>
    <s v="Table"/>
    <x v="112"/>
    <x v="1"/>
    <s v="Offline"/>
    <s v="UPI"/>
    <s v="Low"/>
    <n v="4"/>
    <n v="38661"/>
    <n v="15"/>
    <n v="131447.4"/>
    <n v="20935.87"/>
  </r>
  <r>
    <s v="Bangalore"/>
    <s v="CUST7726"/>
    <s v="Home Office"/>
    <s v="Furniture"/>
    <s v="Chair"/>
    <x v="163"/>
    <x v="0"/>
    <s v="Offline"/>
    <s v="UPI"/>
    <s v="Low"/>
    <n v="2"/>
    <n v="12445"/>
    <n v="20"/>
    <n v="19912"/>
    <n v="-2966.78"/>
  </r>
  <r>
    <s v="Bangalore"/>
    <s v="CUST3031"/>
    <s v="Home Office"/>
    <s v="Electronics"/>
    <s v="Printer"/>
    <x v="25"/>
    <x v="0"/>
    <s v="Online"/>
    <s v="Debit Card"/>
    <s v="Medium"/>
    <n v="3"/>
    <n v="13095"/>
    <n v="5"/>
    <n v="37320.75"/>
    <n v="5740.92"/>
  </r>
  <r>
    <s v="Ahmedabad"/>
    <s v="CUST8787"/>
    <s v="Corporate"/>
    <s v="Furniture"/>
    <s v="Storage"/>
    <x v="67"/>
    <x v="2"/>
    <s v="Offline"/>
    <s v="Debit Card"/>
    <s v="High"/>
    <n v="5"/>
    <n v="49119"/>
    <n v="20"/>
    <n v="196476"/>
    <n v="-10222.049999999999"/>
  </r>
  <r>
    <s v="Mumbai"/>
    <s v="CUST1979"/>
    <s v="Corporate"/>
    <s v="Electronics"/>
    <s v="Mobile"/>
    <x v="15"/>
    <x v="2"/>
    <s v="Offline"/>
    <s v="Credit Card"/>
    <s v="Low"/>
    <n v="1"/>
    <n v="28939"/>
    <n v="5"/>
    <n v="27492.05"/>
    <n v="1701.18"/>
  </r>
  <r>
    <s v="Bangalore"/>
    <s v="CUST1325"/>
    <s v="Corporate"/>
    <s v="Furniture"/>
    <s v="Printer"/>
    <x v="5"/>
    <x v="0"/>
    <s v="Online"/>
    <s v="Debit Card"/>
    <s v="Critical"/>
    <n v="10"/>
    <n v="23034"/>
    <n v="5"/>
    <n v="218823"/>
    <n v="2904.94"/>
  </r>
  <r>
    <s v="Ahmedabad"/>
    <s v="CUST1373"/>
    <s v="Consumer"/>
    <s v="Furniture"/>
    <s v="Printer"/>
    <x v="148"/>
    <x v="5"/>
    <s v="Offline"/>
    <s v="Credit Card"/>
    <s v="Critical"/>
    <n v="1"/>
    <n v="32945"/>
    <n v="10"/>
    <n v="29650.5"/>
    <n v="5831.72"/>
  </r>
  <r>
    <s v="Ahmedabad"/>
    <s v="CUST2205"/>
    <s v="Corporate"/>
    <s v="Office Supplies"/>
    <s v="Chair"/>
    <x v="144"/>
    <x v="3"/>
    <s v="Offline"/>
    <s v="Cash"/>
    <s v="Medium"/>
    <n v="6"/>
    <n v="9246"/>
    <n v="15"/>
    <n v="47154.6"/>
    <n v="-1152.53"/>
  </r>
  <r>
    <s v="Mumbai"/>
    <s v="CUST3795"/>
    <s v="Home Office"/>
    <s v="Furniture"/>
    <s v="Chair"/>
    <x v="94"/>
    <x v="0"/>
    <s v="Online"/>
    <s v="Debit Card"/>
    <s v="Medium"/>
    <n v="7"/>
    <n v="41012"/>
    <n v="5"/>
    <n v="272729.8"/>
    <n v="36812.800000000003"/>
  </r>
  <r>
    <s v="Mumbai"/>
    <s v="CUST9840"/>
    <s v="Home Office"/>
    <s v="Office Supplies"/>
    <s v="Storage"/>
    <x v="164"/>
    <x v="1"/>
    <s v="Online"/>
    <s v="Cash"/>
    <s v="Critical"/>
    <n v="2"/>
    <n v="46788"/>
    <n v="15"/>
    <n v="79539.600000000006"/>
    <n v="8279.84"/>
  </r>
  <r>
    <s v="Mumbai"/>
    <s v="CUST7918"/>
    <s v="Home Office"/>
    <s v="Office Supplies"/>
    <s v="Laptop"/>
    <x v="72"/>
    <x v="3"/>
    <s v="Online"/>
    <s v="Debit Card"/>
    <s v="Medium"/>
    <n v="8"/>
    <n v="37891"/>
    <n v="15"/>
    <n v="257658.8"/>
    <n v="12377.17"/>
  </r>
  <r>
    <s v="Mumbai"/>
    <s v="CUST2024"/>
    <s v="Home Office"/>
    <s v="Furniture"/>
    <s v="Storage"/>
    <x v="38"/>
    <x v="0"/>
    <s v="Offline"/>
    <s v="Debit Card"/>
    <s v="Low"/>
    <n v="9"/>
    <n v="11684"/>
    <n v="15"/>
    <n v="89382.6"/>
    <n v="-7734.37"/>
  </r>
  <r>
    <s v="Mumbai"/>
    <s v="CUST5844"/>
    <s v="Home Office"/>
    <s v="Office Supplies"/>
    <s v="Chair"/>
    <x v="15"/>
    <x v="0"/>
    <s v="Offline"/>
    <s v="Cash"/>
    <s v="Medium"/>
    <n v="2"/>
    <n v="47552"/>
    <n v="10"/>
    <n v="85593.600000000006"/>
    <n v="3364.32"/>
  </r>
  <r>
    <s v="Bangalore"/>
    <s v="CUST8936"/>
    <s v="Consumer"/>
    <s v="Electronics"/>
    <s v="Printer"/>
    <x v="196"/>
    <x v="5"/>
    <s v="Online"/>
    <s v="UPI"/>
    <s v="High"/>
    <n v="3"/>
    <n v="40624"/>
    <n v="5"/>
    <n v="115778.4"/>
    <n v="18459.150000000001"/>
  </r>
  <r>
    <s v="Delhi"/>
    <s v="CUST4543"/>
    <s v="Home Office"/>
    <s v="Office Supplies"/>
    <s v="Mobile"/>
    <x v="109"/>
    <x v="0"/>
    <s v="Offline"/>
    <s v="Net Banking"/>
    <s v="High"/>
    <n v="10"/>
    <n v="41179"/>
    <n v="20"/>
    <n v="329432"/>
    <n v="-24864.85"/>
  </r>
  <r>
    <s v="Chennai"/>
    <s v="CUST7901"/>
    <s v="Corporate"/>
    <s v="Furniture"/>
    <s v="Storage"/>
    <x v="146"/>
    <x v="1"/>
    <s v="Online"/>
    <s v="Cash"/>
    <s v="High"/>
    <n v="4"/>
    <n v="10793"/>
    <n v="20"/>
    <n v="34537.599999999999"/>
    <n v="4000.18"/>
  </r>
  <r>
    <s v="Ahmedabad"/>
    <s v="CUST5494"/>
    <s v="Corporate"/>
    <s v="Office Supplies"/>
    <s v="Mobile"/>
    <x v="151"/>
    <x v="1"/>
    <s v="Online"/>
    <s v="UPI"/>
    <s v="Low"/>
    <n v="1"/>
    <n v="41014"/>
    <n v="5"/>
    <n v="38963.300000000003"/>
    <n v="9406.84"/>
  </r>
  <r>
    <s v="Mumbai"/>
    <s v="CUST4206"/>
    <s v="Home Office"/>
    <s v="Electronics"/>
    <s v="Chair"/>
    <x v="82"/>
    <x v="0"/>
    <s v="Online"/>
    <s v="Net Banking"/>
    <s v="High"/>
    <n v="9"/>
    <n v="29081"/>
    <n v="15"/>
    <n v="222469.65"/>
    <n v="25127.77"/>
  </r>
  <r>
    <s v="Bangalore"/>
    <s v="CUST2615"/>
    <s v="Home Office"/>
    <s v="Electronics"/>
    <s v="Table"/>
    <x v="126"/>
    <x v="3"/>
    <s v="Online"/>
    <s v="Debit Card"/>
    <s v="Low"/>
    <n v="7"/>
    <n v="4482"/>
    <n v="15"/>
    <n v="26667.9"/>
    <n v="110.59"/>
  </r>
  <r>
    <s v="Ahmedabad"/>
    <s v="CUST3623"/>
    <s v="Consumer"/>
    <s v="Furniture"/>
    <s v="Storage"/>
    <x v="107"/>
    <x v="0"/>
    <s v="Online"/>
    <s v="Credit Card"/>
    <s v="Medium"/>
    <n v="9"/>
    <n v="30030"/>
    <n v="5"/>
    <n v="256756.5"/>
    <n v="1296.47"/>
  </r>
  <r>
    <s v="Delhi"/>
    <s v="CUST5217"/>
    <s v="Corporate"/>
    <s v="Office Supplies"/>
    <s v="Chair"/>
    <x v="184"/>
    <x v="3"/>
    <s v="Offline"/>
    <s v="Cash"/>
    <s v="Low"/>
    <n v="9"/>
    <n v="33577"/>
    <n v="15"/>
    <n v="256864.05"/>
    <n v="15648.91"/>
  </r>
  <r>
    <s v="Bangalore"/>
    <s v="CUST5648"/>
    <s v="Consumer"/>
    <s v="Furniture"/>
    <s v="Storage"/>
    <x v="63"/>
    <x v="2"/>
    <s v="Online"/>
    <s v="UPI"/>
    <s v="High"/>
    <n v="10"/>
    <n v="5035"/>
    <n v="5"/>
    <n v="47832.5"/>
    <n v="1906.98"/>
  </r>
  <r>
    <s v="Mumbai"/>
    <s v="CUST2326"/>
    <s v="Home Office"/>
    <s v="Furniture"/>
    <s v="Storage"/>
    <x v="108"/>
    <x v="0"/>
    <s v="Online"/>
    <s v="Credit Card"/>
    <s v="Medium"/>
    <n v="3"/>
    <n v="42196"/>
    <n v="0"/>
    <n v="126588"/>
    <n v="35510.129999999997"/>
  </r>
  <r>
    <s v="Bangalore"/>
    <s v="CUST6210"/>
    <s v="Corporate"/>
    <s v="Office Supplies"/>
    <s v="Storage"/>
    <x v="32"/>
    <x v="0"/>
    <s v="Online"/>
    <s v="Net Banking"/>
    <s v="High"/>
    <n v="6"/>
    <n v="13763"/>
    <n v="10"/>
    <n v="74320.2"/>
    <n v="3220.99"/>
  </r>
  <r>
    <s v="Bangalore"/>
    <s v="CUST6497"/>
    <s v="Consumer"/>
    <s v="Furniture"/>
    <s v="Mobile"/>
    <x v="76"/>
    <x v="3"/>
    <s v="Online"/>
    <s v="Credit Card"/>
    <s v="Medium"/>
    <n v="2"/>
    <n v="1333"/>
    <n v="15"/>
    <n v="2266.1"/>
    <n v="-252.84"/>
  </r>
  <r>
    <s v="Delhi"/>
    <s v="CUST7830"/>
    <s v="Consumer"/>
    <s v="Office Supplies"/>
    <s v="Storage"/>
    <x v="111"/>
    <x v="5"/>
    <s v="Online"/>
    <s v="Debit Card"/>
    <s v="Low"/>
    <n v="3"/>
    <n v="10327"/>
    <n v="15"/>
    <n v="26333.85"/>
    <n v="2732.32"/>
  </r>
  <r>
    <s v="Chennai"/>
    <s v="CUST1337"/>
    <s v="Home Office"/>
    <s v="Electronics"/>
    <s v="Printer"/>
    <x v="89"/>
    <x v="4"/>
    <s v="Offline"/>
    <s v="Debit Card"/>
    <s v="Medium"/>
    <n v="8"/>
    <n v="48609"/>
    <n v="10"/>
    <n v="349984.8"/>
    <n v="61884.4"/>
  </r>
  <r>
    <s v="Bangalore"/>
    <s v="CUST3199"/>
    <s v="Consumer"/>
    <s v="Furniture"/>
    <s v="Chair"/>
    <x v="50"/>
    <x v="1"/>
    <s v="Offline"/>
    <s v="Cash"/>
    <s v="Critical"/>
    <n v="6"/>
    <n v="15395"/>
    <n v="10"/>
    <n v="83133"/>
    <n v="2623.86"/>
  </r>
  <r>
    <s v="Delhi"/>
    <s v="CUST1902"/>
    <s v="Home Office"/>
    <s v="Electronics"/>
    <s v="Storage"/>
    <x v="66"/>
    <x v="2"/>
    <s v="Offline"/>
    <s v="UPI"/>
    <s v="Critical"/>
    <n v="10"/>
    <n v="18608"/>
    <n v="0"/>
    <n v="186080"/>
    <n v="13633.39"/>
  </r>
  <r>
    <s v="Ahmedabad"/>
    <s v="CUST9730"/>
    <s v="Consumer"/>
    <s v="Furniture"/>
    <s v="Storage"/>
    <x v="36"/>
    <x v="2"/>
    <s v="Online"/>
    <s v="Debit Card"/>
    <s v="Critical"/>
    <n v="6"/>
    <n v="23767"/>
    <n v="15"/>
    <n v="121211.7"/>
    <n v="-4512.62"/>
  </r>
  <r>
    <s v="Delhi"/>
    <s v="CUST3376"/>
    <s v="Consumer"/>
    <s v="Electronics"/>
    <s v="Storage"/>
    <x v="111"/>
    <x v="1"/>
    <s v="Online"/>
    <s v="Debit Card"/>
    <s v="Medium"/>
    <n v="3"/>
    <n v="16727"/>
    <n v="5"/>
    <n v="47671.95"/>
    <n v="6612.53"/>
  </r>
  <r>
    <s v="Delhi"/>
    <s v="CUST5395"/>
    <s v="Corporate"/>
    <s v="Office Supplies"/>
    <s v="Storage"/>
    <x v="117"/>
    <x v="5"/>
    <s v="Online"/>
    <s v="Net Banking"/>
    <s v="High"/>
    <n v="4"/>
    <n v="36198"/>
    <n v="20"/>
    <n v="115833.60000000001"/>
    <n v="5757.42"/>
  </r>
  <r>
    <s v="Chennai"/>
    <s v="CUST7216"/>
    <s v="Consumer"/>
    <s v="Office Supplies"/>
    <s v="Chair"/>
    <x v="98"/>
    <x v="4"/>
    <s v="Online"/>
    <s v="Cash"/>
    <s v="High"/>
    <n v="2"/>
    <n v="13961"/>
    <n v="0"/>
    <n v="27922"/>
    <n v="4558.2"/>
  </r>
  <r>
    <s v="Ahmedabad"/>
    <s v="CUST4445"/>
    <s v="Home Office"/>
    <s v="Electronics"/>
    <s v="Chair"/>
    <x v="171"/>
    <x v="3"/>
    <s v="Online"/>
    <s v="Net Banking"/>
    <s v="Low"/>
    <n v="4"/>
    <n v="4273"/>
    <n v="0"/>
    <n v="17092"/>
    <n v="3400.13"/>
  </r>
  <r>
    <s v="Chennai"/>
    <s v="CUST2515"/>
    <s v="Home Office"/>
    <s v="Office Supplies"/>
    <s v="Chair"/>
    <x v="84"/>
    <x v="4"/>
    <s v="Offline"/>
    <s v="Net Banking"/>
    <s v="High"/>
    <n v="5"/>
    <n v="32451"/>
    <n v="10"/>
    <n v="146029.5"/>
    <n v="-6852.42"/>
  </r>
  <r>
    <s v="Bangalore"/>
    <s v="CUST3042"/>
    <s v="Home Office"/>
    <s v="Furniture"/>
    <s v="Chair"/>
    <x v="142"/>
    <x v="0"/>
    <s v="Offline"/>
    <s v="Cash"/>
    <s v="Medium"/>
    <n v="10"/>
    <n v="29099"/>
    <n v="10"/>
    <n v="261891"/>
    <n v="-3363.45"/>
  </r>
  <r>
    <s v="Mumbai"/>
    <s v="CUST5723"/>
    <s v="Home Office"/>
    <s v="Furniture"/>
    <s v="Table"/>
    <x v="97"/>
    <x v="0"/>
    <s v="Offline"/>
    <s v="UPI"/>
    <s v="Medium"/>
    <n v="4"/>
    <n v="11780"/>
    <n v="15"/>
    <n v="40052"/>
    <n v="-2782.96"/>
  </r>
  <r>
    <s v="Bangalore"/>
    <s v="CUST9362"/>
    <s v="Corporate"/>
    <s v="Furniture"/>
    <s v="Printer"/>
    <x v="42"/>
    <x v="3"/>
    <s v="Online"/>
    <s v="Net Banking"/>
    <s v="High"/>
    <n v="8"/>
    <n v="39148"/>
    <n v="15"/>
    <n v="266206.40000000002"/>
    <n v="-8340.92"/>
  </r>
  <r>
    <s v="Chennai"/>
    <s v="CUST9666"/>
    <s v="Corporate"/>
    <s v="Electronics"/>
    <s v="Storage"/>
    <x v="71"/>
    <x v="4"/>
    <s v="Offline"/>
    <s v="Net Banking"/>
    <s v="Low"/>
    <n v="1"/>
    <n v="7149"/>
    <n v="0"/>
    <n v="7149"/>
    <n v="1161.67"/>
  </r>
  <r>
    <s v="Chennai"/>
    <s v="CUST9529"/>
    <s v="Home Office"/>
    <s v="Electronics"/>
    <s v="Storage"/>
    <x v="154"/>
    <x v="5"/>
    <s v="Offline"/>
    <s v="Debit Card"/>
    <s v="Low"/>
    <n v="8"/>
    <n v="2392"/>
    <n v="20"/>
    <n v="15308.8"/>
    <n v="161.43"/>
  </r>
  <r>
    <s v="Chennai"/>
    <s v="CUST7062"/>
    <s v="Corporate"/>
    <s v="Office Supplies"/>
    <s v="Printer"/>
    <x v="153"/>
    <x v="2"/>
    <s v="Online"/>
    <s v="Net Banking"/>
    <s v="Medium"/>
    <n v="5"/>
    <n v="20325"/>
    <n v="10"/>
    <n v="91462.5"/>
    <n v="635.38"/>
  </r>
  <r>
    <s v="Chennai"/>
    <s v="CUST5040"/>
    <s v="Corporate"/>
    <s v="Electronics"/>
    <s v="Storage"/>
    <x v="114"/>
    <x v="3"/>
    <s v="Offline"/>
    <s v="Debit Card"/>
    <s v="Medium"/>
    <n v="4"/>
    <n v="6652"/>
    <n v="10"/>
    <n v="23947.200000000001"/>
    <n v="2280.0500000000002"/>
  </r>
  <r>
    <s v="Bangalore"/>
    <s v="CUST6103"/>
    <s v="Corporate"/>
    <s v="Office Supplies"/>
    <s v="Mobile"/>
    <x v="83"/>
    <x v="1"/>
    <s v="Online"/>
    <s v="Net Banking"/>
    <s v="Critical"/>
    <n v="7"/>
    <n v="5349"/>
    <n v="20"/>
    <n v="29954.400000000001"/>
    <n v="-454.56"/>
  </r>
  <r>
    <s v="Ahmedabad"/>
    <s v="CUST4736"/>
    <s v="Home Office"/>
    <s v="Electronics"/>
    <s v="Table"/>
    <x v="179"/>
    <x v="2"/>
    <s v="Offline"/>
    <s v="Net Banking"/>
    <s v="Low"/>
    <n v="3"/>
    <n v="3541"/>
    <n v="10"/>
    <n v="9560.7000000000007"/>
    <n v="573.5"/>
  </r>
  <r>
    <s v="Delhi"/>
    <s v="CUST9593"/>
    <s v="Corporate"/>
    <s v="Electronics"/>
    <s v="Storage"/>
    <x v="64"/>
    <x v="5"/>
    <s v="Offline"/>
    <s v="Credit Card"/>
    <s v="High"/>
    <n v="2"/>
    <n v="22156"/>
    <n v="0"/>
    <n v="44312"/>
    <n v="6027.13"/>
  </r>
  <r>
    <s v="Mumbai"/>
    <s v="CUST6335"/>
    <s v="Corporate"/>
    <s v="Electronics"/>
    <s v="Mobile"/>
    <x v="43"/>
    <x v="0"/>
    <s v="Offline"/>
    <s v="UPI"/>
    <s v="High"/>
    <n v="3"/>
    <n v="11784"/>
    <n v="20"/>
    <n v="28281.599999999999"/>
    <n v="-2071.7800000000002"/>
  </r>
  <r>
    <s v="Bangalore"/>
    <s v="CUST9912"/>
    <s v="Home Office"/>
    <s v="Electronics"/>
    <s v="Mobile"/>
    <x v="161"/>
    <x v="3"/>
    <s v="Online"/>
    <s v="UPI"/>
    <s v="Medium"/>
    <n v="1"/>
    <n v="3974"/>
    <n v="5"/>
    <n v="3775.3"/>
    <n v="723.22"/>
  </r>
  <r>
    <s v="Bangalore"/>
    <s v="CUST4728"/>
    <s v="Consumer"/>
    <s v="Electronics"/>
    <s v="Table"/>
    <x v="184"/>
    <x v="4"/>
    <s v="Online"/>
    <s v="Net Banking"/>
    <s v="High"/>
    <n v="10"/>
    <n v="37886"/>
    <n v="20"/>
    <n v="303088"/>
    <n v="34249.199999999997"/>
  </r>
  <r>
    <s v="Bangalore"/>
    <s v="CUST8139"/>
    <s v="Corporate"/>
    <s v="Electronics"/>
    <s v="Printer"/>
    <x v="180"/>
    <x v="1"/>
    <s v="Offline"/>
    <s v="Credit Card"/>
    <s v="Low"/>
    <n v="7"/>
    <n v="7756"/>
    <n v="20"/>
    <n v="43433.599999999999"/>
    <n v="-1951.32"/>
  </r>
  <r>
    <s v="Mumbai"/>
    <s v="CUST9190"/>
    <s v="Consumer"/>
    <s v="Office Supplies"/>
    <s v="Chair"/>
    <x v="9"/>
    <x v="0"/>
    <s v="Offline"/>
    <s v="Debit Card"/>
    <s v="Low"/>
    <n v="6"/>
    <n v="31391"/>
    <n v="10"/>
    <n v="169511.4"/>
    <n v="23711.29"/>
  </r>
  <r>
    <s v="Chennai"/>
    <s v="CUST1097"/>
    <s v="Corporate"/>
    <s v="Electronics"/>
    <s v="Chair"/>
    <x v="172"/>
    <x v="0"/>
    <s v="Offline"/>
    <s v="Debit Card"/>
    <s v="Low"/>
    <n v="6"/>
    <n v="41555"/>
    <n v="15"/>
    <n v="211930.5"/>
    <n v="25719.33"/>
  </r>
  <r>
    <s v="Mumbai"/>
    <s v="CUST4595"/>
    <s v="Home Office"/>
    <s v="Office Supplies"/>
    <s v="Storage"/>
    <x v="5"/>
    <x v="5"/>
    <s v="Offline"/>
    <s v="Debit Card"/>
    <s v="High"/>
    <n v="1"/>
    <n v="14447"/>
    <n v="10"/>
    <n v="13002.3"/>
    <n v="-109.59"/>
  </r>
  <r>
    <s v="Chennai"/>
    <s v="CUST2688"/>
    <s v="Home Office"/>
    <s v="Office Supplies"/>
    <s v="Laptop"/>
    <x v="73"/>
    <x v="1"/>
    <s v="Offline"/>
    <s v="UPI"/>
    <s v="High"/>
    <n v="10"/>
    <n v="9389"/>
    <n v="10"/>
    <n v="84501"/>
    <n v="2927.42"/>
  </r>
  <r>
    <s v="Bangalore"/>
    <s v="CUST1758"/>
    <s v="Home Office"/>
    <s v="Office Supplies"/>
    <s v="Laptop"/>
    <x v="141"/>
    <x v="0"/>
    <s v="Online"/>
    <s v="Cash"/>
    <s v="Medium"/>
    <n v="3"/>
    <n v="4109"/>
    <n v="0"/>
    <n v="12327"/>
    <n v="1102.53"/>
  </r>
  <r>
    <s v="Ahmedabad"/>
    <s v="CUST2070"/>
    <s v="Home Office"/>
    <s v="Furniture"/>
    <s v="Printer"/>
    <x v="162"/>
    <x v="1"/>
    <s v="Online"/>
    <s v="UPI"/>
    <s v="Low"/>
    <n v="4"/>
    <n v="35680"/>
    <n v="0"/>
    <n v="142720"/>
    <n v="29448.43"/>
  </r>
  <r>
    <s v="Delhi"/>
    <s v="CUST9946"/>
    <s v="Corporate"/>
    <s v="Office Supplies"/>
    <s v="Printer"/>
    <x v="187"/>
    <x v="2"/>
    <s v="Online"/>
    <s v="Net Banking"/>
    <s v="High"/>
    <n v="9"/>
    <n v="9230"/>
    <n v="15"/>
    <n v="70609.5"/>
    <n v="4150.7"/>
  </r>
  <r>
    <s v="Chennai"/>
    <s v="CUST8364"/>
    <s v="Consumer"/>
    <s v="Furniture"/>
    <s v="Chair"/>
    <x v="144"/>
    <x v="5"/>
    <s v="Online"/>
    <s v="Debit Card"/>
    <s v="Medium"/>
    <n v="1"/>
    <n v="27331"/>
    <n v="10"/>
    <n v="24597.9"/>
    <n v="-1343.39"/>
  </r>
  <r>
    <s v="Bangalore"/>
    <s v="CUST8522"/>
    <s v="Corporate"/>
    <s v="Electronics"/>
    <s v="Laptop"/>
    <x v="39"/>
    <x v="5"/>
    <s v="Offline"/>
    <s v="Net Banking"/>
    <s v="Medium"/>
    <n v="7"/>
    <n v="27908"/>
    <n v="20"/>
    <n v="156284.79999999999"/>
    <n v="15470.32"/>
  </r>
  <r>
    <s v="Bangalore"/>
    <s v="CUST4975"/>
    <s v="Home Office"/>
    <s v="Office Supplies"/>
    <s v="Chair"/>
    <x v="51"/>
    <x v="5"/>
    <s v="Online"/>
    <s v="Credit Card"/>
    <s v="Low"/>
    <n v="5"/>
    <n v="40842"/>
    <n v="20"/>
    <n v="163368"/>
    <n v="14502.56"/>
  </r>
  <r>
    <s v="Mumbai"/>
    <s v="CUST5606"/>
    <s v="Consumer"/>
    <s v="Office Supplies"/>
    <s v="Mobile"/>
    <x v="71"/>
    <x v="5"/>
    <s v="Online"/>
    <s v="UPI"/>
    <s v="Medium"/>
    <n v="10"/>
    <n v="28951"/>
    <n v="10"/>
    <n v="260559"/>
    <n v="46493.17"/>
  </r>
  <r>
    <s v="Ahmedabad"/>
    <s v="CUST8112"/>
    <s v="Consumer"/>
    <s v="Electronics"/>
    <s v="Table"/>
    <x v="33"/>
    <x v="2"/>
    <s v="Online"/>
    <s v="Credit Card"/>
    <s v="Low"/>
    <n v="9"/>
    <n v="47065"/>
    <n v="15"/>
    <n v="360047.25"/>
    <n v="9282.84"/>
  </r>
  <r>
    <s v="Bangalore"/>
    <s v="CUST4163"/>
    <s v="Home Office"/>
    <s v="Electronics"/>
    <s v="Laptop"/>
    <x v="180"/>
    <x v="2"/>
    <s v="Online"/>
    <s v="Credit Card"/>
    <s v="Medium"/>
    <n v="10"/>
    <n v="19558"/>
    <n v="15"/>
    <n v="166243"/>
    <n v="22479.35"/>
  </r>
  <r>
    <s v="Delhi"/>
    <s v="CUST7804"/>
    <s v="Consumer"/>
    <s v="Furniture"/>
    <s v="Laptop"/>
    <x v="55"/>
    <x v="1"/>
    <s v="Offline"/>
    <s v="UPI"/>
    <s v="Low"/>
    <n v="10"/>
    <n v="3819"/>
    <n v="0"/>
    <n v="38190"/>
    <n v="4559.9799999999996"/>
  </r>
  <r>
    <s v="Mumbai"/>
    <s v="CUST9444"/>
    <s v="Corporate"/>
    <s v="Furniture"/>
    <s v="Storage"/>
    <x v="168"/>
    <x v="5"/>
    <s v="Offline"/>
    <s v="Credit Card"/>
    <s v="Critical"/>
    <n v="7"/>
    <n v="15678"/>
    <n v="0"/>
    <n v="109746"/>
    <n v="1096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0285EF-26A4-48FE-8B7B-A059FC608283}" name="Profit by Sales Rep"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Q3:R10"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4"/>
        <item x="5"/>
        <item x="1"/>
        <item x="0"/>
        <item x="2"/>
        <item x="3"/>
        <item h="1" x="6"/>
        <item t="default"/>
      </items>
    </pivotField>
    <pivotField showAll="0"/>
    <pivotField showAll="0"/>
    <pivotField showAll="0"/>
    <pivotField showAll="0"/>
    <pivotField showAll="0"/>
    <pivotField showAll="0"/>
    <pivotField dataField="1" showAll="0"/>
    <pivotField showAll="0"/>
    <pivotField showAll="0"/>
  </pivotFields>
  <rowFields count="1">
    <field x="12"/>
  </rowFields>
  <rowItems count="7">
    <i>
      <x/>
    </i>
    <i>
      <x v="1"/>
    </i>
    <i>
      <x v="2"/>
    </i>
    <i>
      <x v="3"/>
    </i>
    <i>
      <x v="4"/>
    </i>
    <i>
      <x v="5"/>
    </i>
    <i t="grand">
      <x/>
    </i>
  </rowItems>
  <colItems count="1">
    <i/>
  </colItems>
  <dataFields count="1">
    <dataField name="Sum of Revenue" fld="19" baseField="0" baseItem="0"/>
  </dataFields>
  <chartFormats count="5">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CD9299-0C3B-487E-9D04-F1BAF6C07695}" name="Monthly Sales Tren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3:N16" firstHeaderRow="1" firstDataRow="1" firstDataCol="1"/>
  <pivotFields count="22">
    <pivotField showAll="0"/>
    <pivotField showAll="0">
      <items count="787">
        <item x="526"/>
        <item x="560"/>
        <item x="692"/>
        <item x="15"/>
        <item x="178"/>
        <item x="416"/>
        <item x="465"/>
        <item x="187"/>
        <item x="95"/>
        <item x="237"/>
        <item x="388"/>
        <item x="111"/>
        <item x="317"/>
        <item x="2"/>
        <item x="726"/>
        <item x="271"/>
        <item x="93"/>
        <item x="715"/>
        <item x="729"/>
        <item x="351"/>
        <item x="367"/>
        <item x="525"/>
        <item x="406"/>
        <item x="723"/>
        <item x="150"/>
        <item x="52"/>
        <item x="462"/>
        <item x="606"/>
        <item x="696"/>
        <item x="430"/>
        <item x="419"/>
        <item x="305"/>
        <item x="461"/>
        <item x="368"/>
        <item x="13"/>
        <item x="433"/>
        <item x="769"/>
        <item x="720"/>
        <item x="557"/>
        <item x="210"/>
        <item x="356"/>
        <item x="246"/>
        <item x="256"/>
        <item x="366"/>
        <item x="343"/>
        <item x="400"/>
        <item x="510"/>
        <item x="702"/>
        <item x="494"/>
        <item x="16"/>
        <item x="450"/>
        <item x="396"/>
        <item x="14"/>
        <item x="443"/>
        <item x="134"/>
        <item x="336"/>
        <item x="653"/>
        <item x="636"/>
        <item x="390"/>
        <item x="4"/>
        <item x="438"/>
        <item x="496"/>
        <item x="541"/>
        <item x="75"/>
        <item x="91"/>
        <item x="586"/>
        <item x="756"/>
        <item x="597"/>
        <item x="684"/>
        <item x="627"/>
        <item x="408"/>
        <item x="21"/>
        <item x="549"/>
        <item x="183"/>
        <item x="572"/>
        <item x="25"/>
        <item x="358"/>
        <item x="17"/>
        <item x="559"/>
        <item x="121"/>
        <item x="575"/>
        <item x="660"/>
        <item x="164"/>
        <item x="601"/>
        <item x="63"/>
        <item x="69"/>
        <item x="626"/>
        <item x="425"/>
        <item x="708"/>
        <item x="274"/>
        <item x="664"/>
        <item x="376"/>
        <item x="143"/>
        <item x="96"/>
        <item x="637"/>
        <item x="18"/>
        <item x="193"/>
        <item x="99"/>
        <item x="472"/>
        <item x="669"/>
        <item x="209"/>
        <item x="533"/>
        <item x="371"/>
        <item x="573"/>
        <item x="158"/>
        <item x="524"/>
        <item x="12"/>
        <item x="171"/>
        <item x="429"/>
        <item x="231"/>
        <item x="154"/>
        <item x="654"/>
        <item x="230"/>
        <item x="185"/>
        <item x="446"/>
        <item x="45"/>
        <item x="545"/>
        <item x="10"/>
        <item x="123"/>
        <item x="489"/>
        <item x="574"/>
        <item x="432"/>
        <item x="553"/>
        <item x="76"/>
        <item x="731"/>
        <item x="331"/>
        <item x="404"/>
        <item x="348"/>
        <item x="434"/>
        <item x="659"/>
        <item x="415"/>
        <item x="662"/>
        <item x="721"/>
        <item x="132"/>
        <item x="267"/>
        <item x="147"/>
        <item x="445"/>
        <item x="129"/>
        <item x="469"/>
        <item x="83"/>
        <item x="452"/>
        <item x="73"/>
        <item x="115"/>
        <item x="70"/>
        <item x="312"/>
        <item x="661"/>
        <item x="217"/>
        <item x="84"/>
        <item x="554"/>
        <item x="49"/>
        <item x="269"/>
        <item x="282"/>
        <item x="398"/>
        <item x="681"/>
        <item x="734"/>
        <item x="169"/>
        <item x="43"/>
        <item x="629"/>
        <item x="620"/>
        <item x="667"/>
        <item x="632"/>
        <item x="242"/>
        <item x="779"/>
        <item x="337"/>
        <item x="221"/>
        <item x="763"/>
        <item x="405"/>
        <item x="710"/>
        <item x="610"/>
        <item x="522"/>
        <item x="146"/>
        <item x="362"/>
        <item x="213"/>
        <item x="195"/>
        <item x="266"/>
        <item x="622"/>
        <item x="61"/>
        <item x="44"/>
        <item x="42"/>
        <item x="752"/>
        <item x="216"/>
        <item x="607"/>
        <item x="569"/>
        <item x="218"/>
        <item x="656"/>
        <item x="738"/>
        <item x="609"/>
        <item x="618"/>
        <item x="23"/>
        <item x="201"/>
        <item x="612"/>
        <item x="516"/>
        <item x="236"/>
        <item x="608"/>
        <item x="384"/>
        <item x="719"/>
        <item x="186"/>
        <item x="24"/>
        <item x="238"/>
        <item x="100"/>
        <item x="229"/>
        <item x="370"/>
        <item x="298"/>
        <item x="621"/>
        <item x="184"/>
        <item x="220"/>
        <item x="90"/>
        <item x="369"/>
        <item x="276"/>
        <item x="718"/>
        <item x="585"/>
        <item x="687"/>
        <item x="544"/>
        <item x="303"/>
        <item x="272"/>
        <item x="379"/>
        <item x="241"/>
        <item x="704"/>
        <item x="35"/>
        <item x="491"/>
        <item x="199"/>
        <item x="506"/>
        <item x="495"/>
        <item x="486"/>
        <item x="595"/>
        <item x="89"/>
        <item x="265"/>
        <item x="139"/>
        <item x="502"/>
        <item x="782"/>
        <item x="378"/>
        <item x="68"/>
        <item x="536"/>
        <item x="313"/>
        <item x="28"/>
        <item x="417"/>
        <item x="498"/>
        <item x="736"/>
        <item x="695"/>
        <item x="550"/>
        <item x="646"/>
        <item x="707"/>
        <item x="62"/>
        <item x="407"/>
        <item x="211"/>
        <item x="74"/>
        <item x="582"/>
        <item x="330"/>
        <item x="760"/>
        <item x="270"/>
        <item x="456"/>
        <item x="296"/>
        <item x="649"/>
        <item x="778"/>
        <item x="634"/>
        <item x="758"/>
        <item x="751"/>
        <item x="288"/>
        <item x="365"/>
        <item x="440"/>
        <item x="490"/>
        <item x="592"/>
        <item x="722"/>
        <item x="697"/>
        <item x="56"/>
        <item x="538"/>
        <item x="353"/>
        <item x="477"/>
        <item x="327"/>
        <item x="245"/>
        <item x="174"/>
        <item x="675"/>
        <item x="364"/>
        <item x="576"/>
        <item x="511"/>
        <item x="148"/>
        <item x="253"/>
        <item x="243"/>
        <item x="426"/>
        <item x="735"/>
        <item x="535"/>
        <item x="248"/>
        <item x="680"/>
        <item x="475"/>
        <item x="431"/>
        <item x="668"/>
        <item x="192"/>
        <item x="614"/>
        <item x="181"/>
        <item x="413"/>
        <item x="161"/>
        <item x="497"/>
        <item x="641"/>
        <item x="783"/>
        <item x="520"/>
        <item x="700"/>
        <item x="383"/>
        <item x="644"/>
        <item x="54"/>
        <item x="189"/>
        <item x="30"/>
        <item x="552"/>
        <item x="625"/>
        <item x="81"/>
        <item x="515"/>
        <item x="421"/>
        <item x="471"/>
        <item x="254"/>
        <item x="304"/>
        <item x="564"/>
        <item x="326"/>
        <item x="509"/>
        <item x="7"/>
        <item x="534"/>
        <item x="587"/>
        <item x="3"/>
        <item x="360"/>
        <item x="389"/>
        <item x="694"/>
        <item x="672"/>
        <item x="227"/>
        <item x="427"/>
        <item x="518"/>
        <item x="194"/>
        <item x="755"/>
        <item x="275"/>
        <item x="691"/>
        <item x="357"/>
        <item x="119"/>
        <item x="577"/>
        <item x="663"/>
        <item x="420"/>
        <item x="714"/>
        <item x="60"/>
        <item x="323"/>
        <item x="301"/>
        <item x="232"/>
        <item x="11"/>
        <item x="342"/>
        <item x="683"/>
        <item x="480"/>
        <item x="198"/>
        <item x="244"/>
        <item x="449"/>
        <item x="94"/>
        <item x="80"/>
        <item x="483"/>
        <item x="297"/>
        <item x="473"/>
        <item x="589"/>
        <item x="128"/>
        <item x="239"/>
        <item x="590"/>
        <item x="101"/>
        <item x="0"/>
        <item x="322"/>
        <item x="746"/>
        <item x="72"/>
        <item x="215"/>
        <item x="170"/>
        <item x="293"/>
        <item x="88"/>
        <item x="403"/>
        <item x="142"/>
        <item x="543"/>
        <item x="249"/>
        <item x="260"/>
        <item x="640"/>
        <item x="92"/>
        <item x="66"/>
        <item x="131"/>
        <item x="482"/>
        <item x="153"/>
        <item x="261"/>
        <item x="176"/>
        <item x="647"/>
        <item x="180"/>
        <item x="38"/>
        <item x="750"/>
        <item x="770"/>
        <item x="596"/>
        <item x="401"/>
        <item x="34"/>
        <item x="454"/>
        <item x="77"/>
        <item x="113"/>
        <item x="118"/>
        <item x="728"/>
        <item x="47"/>
        <item x="479"/>
        <item x="556"/>
        <item x="529"/>
        <item x="145"/>
        <item x="739"/>
        <item x="130"/>
        <item x="460"/>
        <item x="352"/>
        <item x="262"/>
        <item x="36"/>
        <item x="447"/>
        <item x="713"/>
        <item x="307"/>
        <item x="619"/>
        <item x="98"/>
        <item x="594"/>
        <item x="693"/>
        <item x="202"/>
        <item x="294"/>
        <item x="299"/>
        <item x="598"/>
        <item x="530"/>
        <item x="730"/>
        <item x="414"/>
        <item x="197"/>
        <item x="103"/>
        <item x="716"/>
        <item x="761"/>
        <item x="196"/>
        <item x="703"/>
        <item x="225"/>
        <item x="290"/>
        <item x="568"/>
        <item x="252"/>
        <item x="361"/>
        <item x="340"/>
        <item x="258"/>
        <item x="126"/>
        <item x="156"/>
        <item x="563"/>
        <item x="527"/>
        <item x="423"/>
        <item x="442"/>
        <item x="106"/>
        <item x="567"/>
        <item x="688"/>
        <item x="548"/>
        <item x="335"/>
        <item x="41"/>
        <item x="311"/>
        <item x="624"/>
        <item x="570"/>
        <item x="657"/>
        <item x="159"/>
        <item x="316"/>
        <item x="333"/>
        <item x="493"/>
        <item x="448"/>
        <item x="5"/>
        <item x="283"/>
        <item x="578"/>
        <item x="234"/>
        <item x="78"/>
        <item x="418"/>
        <item x="500"/>
        <item x="85"/>
        <item x="508"/>
        <item x="263"/>
        <item x="48"/>
        <item x="514"/>
        <item x="474"/>
        <item x="341"/>
        <item x="485"/>
        <item x="765"/>
        <item x="648"/>
        <item x="690"/>
        <item x="377"/>
        <item x="321"/>
        <item x="604"/>
        <item x="344"/>
        <item x="302"/>
        <item x="144"/>
        <item x="775"/>
        <item x="631"/>
        <item x="375"/>
        <item x="711"/>
        <item x="137"/>
        <item x="749"/>
        <item x="754"/>
        <item x="33"/>
        <item x="638"/>
        <item x="350"/>
        <item x="670"/>
        <item x="764"/>
        <item x="20"/>
        <item x="374"/>
        <item x="223"/>
        <item x="685"/>
        <item x="373"/>
        <item x="359"/>
        <item x="71"/>
        <item x="124"/>
        <item x="487"/>
        <item x="655"/>
        <item x="709"/>
        <item x="588"/>
        <item x="784"/>
        <item x="745"/>
        <item x="292"/>
        <item x="777"/>
        <item x="104"/>
        <item x="712"/>
        <item x="422"/>
        <item x="463"/>
        <item x="226"/>
        <item x="671"/>
        <item x="628"/>
        <item x="381"/>
        <item x="287"/>
        <item x="780"/>
        <item x="658"/>
        <item x="235"/>
        <item x="19"/>
        <item x="682"/>
        <item x="546"/>
        <item x="291"/>
        <item x="133"/>
        <item x="162"/>
        <item x="155"/>
        <item x="107"/>
        <item x="318"/>
        <item x="116"/>
        <item x="324"/>
        <item x="453"/>
        <item x="741"/>
        <item x="284"/>
        <item x="412"/>
        <item x="149"/>
        <item x="678"/>
        <item x="776"/>
        <item x="264"/>
        <item x="395"/>
        <item x="676"/>
        <item x="102"/>
        <item x="165"/>
        <item x="138"/>
        <item x="320"/>
        <item x="492"/>
        <item x="444"/>
        <item x="325"/>
        <item x="581"/>
        <item x="571"/>
        <item x="532"/>
        <item x="300"/>
        <item x="542"/>
        <item x="651"/>
        <item x="8"/>
        <item x="347"/>
        <item x="380"/>
        <item x="652"/>
        <item x="386"/>
        <item x="599"/>
        <item x="633"/>
        <item x="725"/>
        <item x="319"/>
        <item x="701"/>
        <item x="259"/>
        <item x="523"/>
        <item x="428"/>
        <item x="600"/>
        <item x="584"/>
        <item x="470"/>
        <item x="402"/>
        <item x="605"/>
        <item x="315"/>
        <item x="345"/>
        <item x="152"/>
        <item x="757"/>
        <item x="753"/>
        <item x="40"/>
        <item x="26"/>
        <item x="51"/>
        <item x="512"/>
        <item x="332"/>
        <item x="451"/>
        <item x="251"/>
        <item x="774"/>
        <item x="206"/>
        <item x="127"/>
        <item x="203"/>
        <item x="768"/>
        <item x="277"/>
        <item x="334"/>
        <item x="117"/>
        <item x="517"/>
        <item x="665"/>
        <item x="240"/>
        <item x="528"/>
        <item x="699"/>
        <item x="151"/>
        <item x="175"/>
        <item x="459"/>
        <item x="182"/>
        <item x="87"/>
        <item x="481"/>
        <item x="410"/>
        <item x="179"/>
        <item x="643"/>
        <item x="65"/>
        <item x="67"/>
        <item x="339"/>
        <item x="743"/>
        <item x="177"/>
        <item x="740"/>
        <item x="172"/>
        <item x="439"/>
        <item x="286"/>
        <item x="705"/>
        <item x="650"/>
        <item x="555"/>
        <item x="278"/>
        <item x="580"/>
        <item x="457"/>
        <item x="349"/>
        <item x="521"/>
        <item x="392"/>
        <item x="561"/>
        <item x="122"/>
        <item x="499"/>
        <item x="208"/>
        <item x="255"/>
        <item x="114"/>
        <item x="200"/>
        <item x="466"/>
        <item x="773"/>
        <item x="355"/>
        <item x="37"/>
        <item x="531"/>
        <item x="781"/>
        <item x="281"/>
        <item x="505"/>
        <item x="698"/>
        <item x="32"/>
        <item x="1"/>
        <item x="120"/>
        <item x="435"/>
        <item x="393"/>
        <item x="436"/>
        <item x="306"/>
        <item x="507"/>
        <item x="748"/>
        <item x="476"/>
        <item x="338"/>
        <item x="674"/>
        <item x="742"/>
        <item x="64"/>
        <item x="579"/>
        <item x="27"/>
        <item x="190"/>
        <item x="140"/>
        <item x="679"/>
        <item x="630"/>
        <item x="732"/>
        <item x="689"/>
        <item x="141"/>
        <item x="727"/>
        <item x="108"/>
        <item x="22"/>
        <item x="424"/>
        <item x="603"/>
        <item x="677"/>
        <item x="173"/>
        <item x="645"/>
        <item x="639"/>
        <item x="191"/>
        <item x="250"/>
        <item x="224"/>
        <item x="58"/>
        <item x="136"/>
        <item x="97"/>
        <item x="458"/>
        <item x="467"/>
        <item x="547"/>
        <item x="39"/>
        <item x="354"/>
        <item x="55"/>
        <item x="733"/>
        <item x="537"/>
        <item x="717"/>
        <item x="279"/>
        <item x="611"/>
        <item x="558"/>
        <item x="617"/>
        <item x="166"/>
        <item x="168"/>
        <item x="112"/>
        <item x="105"/>
        <item x="562"/>
        <item x="399"/>
        <item x="747"/>
        <item x="464"/>
        <item x="9"/>
        <item x="109"/>
        <item x="329"/>
        <item x="247"/>
        <item x="160"/>
        <item x="31"/>
        <item x="273"/>
        <item x="615"/>
        <item x="744"/>
        <item x="219"/>
        <item x="228"/>
        <item x="205"/>
        <item x="503"/>
        <item x="163"/>
        <item x="673"/>
        <item x="635"/>
        <item x="212"/>
        <item x="382"/>
        <item x="29"/>
        <item x="6"/>
        <item x="583"/>
        <item x="602"/>
        <item x="411"/>
        <item x="519"/>
        <item x="504"/>
        <item x="135"/>
        <item x="593"/>
        <item x="285"/>
        <item x="771"/>
        <item x="204"/>
        <item x="613"/>
        <item x="79"/>
        <item x="309"/>
        <item x="289"/>
        <item x="409"/>
        <item x="222"/>
        <item x="50"/>
        <item x="110"/>
        <item x="513"/>
        <item x="478"/>
        <item x="686"/>
        <item x="86"/>
        <item x="372"/>
        <item x="565"/>
        <item x="387"/>
        <item x="363"/>
        <item x="566"/>
        <item x="455"/>
        <item x="295"/>
        <item x="46"/>
        <item x="391"/>
        <item x="314"/>
        <item x="737"/>
        <item x="766"/>
        <item x="642"/>
        <item x="501"/>
        <item x="767"/>
        <item x="724"/>
        <item x="328"/>
        <item x="59"/>
        <item x="82"/>
        <item x="540"/>
        <item x="706"/>
        <item x="57"/>
        <item x="468"/>
        <item x="666"/>
        <item x="762"/>
        <item x="233"/>
        <item x="157"/>
        <item x="207"/>
        <item x="385"/>
        <item x="623"/>
        <item x="268"/>
        <item x="616"/>
        <item x="394"/>
        <item x="772"/>
        <item x="346"/>
        <item x="441"/>
        <item x="488"/>
        <item x="280"/>
        <item x="308"/>
        <item x="125"/>
        <item x="167"/>
        <item x="551"/>
        <item x="188"/>
        <item x="310"/>
        <item x="53"/>
        <item x="591"/>
        <item x="397"/>
        <item x="759"/>
        <item x="437"/>
        <item x="484"/>
        <item x="214"/>
        <item x="257"/>
        <item x="539"/>
        <item x="785"/>
        <item t="default"/>
      </items>
    </pivotField>
    <pivotField showAll="0"/>
    <pivotField showAll="0"/>
    <pivotField showAll="0"/>
    <pivotField showAll="0"/>
    <pivotField showAll="0"/>
    <pivotField showAll="0"/>
    <pivotField showAll="0">
      <items count="5">
        <item h="1" x="0"/>
        <item h="1" x="1"/>
        <item h="1" x="2"/>
        <item x="3"/>
        <item t="default"/>
      </items>
    </pivotField>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 showAll="0"/>
    <pivotField axis="axisRow" showAll="0">
      <items count="14">
        <item x="1"/>
        <item x="5"/>
        <item x="0"/>
        <item x="6"/>
        <item x="4"/>
        <item x="2"/>
        <item x="11"/>
        <item x="8"/>
        <item x="7"/>
        <item x="10"/>
        <item x="3"/>
        <item x="9"/>
        <item h="1" x="12"/>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Revenue" fld="19" baseField="0" baseItem="0"/>
  </dataFields>
  <chartFormats count="5">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DC4067-F651-452E-A42C-EDA77A2CE2D1}" name="Sales by Category"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H3:I5" firstHeaderRow="1" firstDataRow="1" firstDataCol="1"/>
  <pivotFields count="21">
    <pivotField showAll="0"/>
    <pivotField showAll="0"/>
    <pivotField showAll="0"/>
    <pivotField axis="axisRow" showAll="0">
      <items count="5">
        <item x="1"/>
        <item h="1" x="0"/>
        <item h="1" x="2"/>
        <item h="1" x="3"/>
        <item t="default"/>
      </items>
    </pivotField>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pivotField showAll="0"/>
    <pivotField showAll="0"/>
    <pivotField showAll="0"/>
    <pivotField numFmtId="2" showAll="0"/>
    <pivotField dataField="1" numFmtId="2" showAll="0"/>
    <pivotField showAll="0"/>
  </pivotFields>
  <rowFields count="1">
    <field x="3"/>
  </rowFields>
  <rowItems count="2">
    <i>
      <x/>
    </i>
    <i t="grand">
      <x/>
    </i>
  </rowItems>
  <colItems count="1">
    <i/>
  </colItems>
  <dataFields count="1">
    <dataField name="Sum of Revenue" fld="19" baseField="0" baseItem="0" numFmtId="2"/>
  </dataFields>
  <chartFormats count="20">
    <chartFormat chart="3"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3" count="1" selected="0">
            <x v="0"/>
          </reference>
        </references>
      </pivotArea>
    </chartFormat>
    <chartFormat chart="13" format="2">
      <pivotArea type="data" outline="0" fieldPosition="0">
        <references count="2">
          <reference field="4294967294" count="1" selected="0">
            <x v="0"/>
          </reference>
          <reference field="3" count="1" selected="0">
            <x v="1"/>
          </reference>
        </references>
      </pivotArea>
    </chartFormat>
    <chartFormat chart="13" format="3">
      <pivotArea type="data" outline="0" fieldPosition="0">
        <references count="2">
          <reference field="4294967294" count="1" selected="0">
            <x v="0"/>
          </reference>
          <reference field="3" count="1" selected="0">
            <x v="2"/>
          </reference>
        </references>
      </pivotArea>
    </chartFormat>
    <chartFormat chart="13" format="4">
      <pivotArea type="data" outline="0" fieldPosition="0">
        <references count="2">
          <reference field="4294967294" count="1" selected="0">
            <x v="0"/>
          </reference>
          <reference field="3" count="1" selected="0">
            <x v="3"/>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3" count="1" selected="0">
            <x v="1"/>
          </reference>
        </references>
      </pivotArea>
    </chartFormat>
    <chartFormat chart="16" format="11">
      <pivotArea type="data" outline="0" fieldPosition="0">
        <references count="2">
          <reference field="4294967294" count="1" selected="0">
            <x v="0"/>
          </reference>
          <reference field="3" count="1" selected="0">
            <x v="2"/>
          </reference>
        </references>
      </pivotArea>
    </chartFormat>
    <chartFormat chart="16" format="12">
      <pivotArea type="data" outline="0" fieldPosition="0">
        <references count="2">
          <reference field="4294967294" count="1" selected="0">
            <x v="0"/>
          </reference>
          <reference field="3" count="1" selected="0">
            <x v="3"/>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3" count="1" selected="0">
            <x v="1"/>
          </reference>
        </references>
      </pivotArea>
    </chartFormat>
    <chartFormat chart="17" format="15">
      <pivotArea type="data" outline="0" fieldPosition="0">
        <references count="2">
          <reference field="4294967294" count="1" selected="0">
            <x v="0"/>
          </reference>
          <reference field="3" count="1" selected="0">
            <x v="2"/>
          </reference>
        </references>
      </pivotArea>
    </chartFormat>
    <chartFormat chart="17" format="16">
      <pivotArea type="data" outline="0" fieldPosition="0">
        <references count="2">
          <reference field="4294967294" count="1" selected="0">
            <x v="0"/>
          </reference>
          <reference field="3" count="1" selected="0">
            <x v="3"/>
          </reference>
        </references>
      </pivotArea>
    </chartFormat>
    <chartFormat chart="18" format="21" series="1">
      <pivotArea type="data" outline="0" fieldPosition="0">
        <references count="1">
          <reference field="4294967294" count="1" selected="0">
            <x v="0"/>
          </reference>
        </references>
      </pivotArea>
    </chartFormat>
    <chartFormat chart="18" format="22">
      <pivotArea type="data" outline="0" fieldPosition="0">
        <references count="2">
          <reference field="4294967294" count="1" selected="0">
            <x v="0"/>
          </reference>
          <reference field="3" count="1" selected="0">
            <x v="1"/>
          </reference>
        </references>
      </pivotArea>
    </chartFormat>
    <chartFormat chart="18" format="23">
      <pivotArea type="data" outline="0" fieldPosition="0">
        <references count="2">
          <reference field="4294967294" count="1" selected="0">
            <x v="0"/>
          </reference>
          <reference field="3" count="1" selected="0">
            <x v="2"/>
          </reference>
        </references>
      </pivotArea>
    </chartFormat>
    <chartFormat chart="18" format="24">
      <pivotArea type="data" outline="0" fieldPosition="0">
        <references count="2">
          <reference field="4294967294" count="1" selected="0">
            <x v="0"/>
          </reference>
          <reference field="3" count="1" selected="0">
            <x v="3"/>
          </reference>
        </references>
      </pivotArea>
    </chartFormat>
    <chartFormat chart="16" format="13">
      <pivotArea type="data" outline="0" fieldPosition="0">
        <references count="2">
          <reference field="4294967294" count="1" selected="0">
            <x v="0"/>
          </reference>
          <reference field="3" count="1" selected="0">
            <x v="0"/>
          </reference>
        </references>
      </pivotArea>
    </chartFormat>
    <chartFormat chart="18" format="2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F445F3-CF94-48C7-A339-96F842D67B57}"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6:B63" firstHeaderRow="1" firstDataRow="1" firstDataCol="1"/>
  <pivotFields count="15">
    <pivotField showAll="0"/>
    <pivotField showAll="0"/>
    <pivotField showAll="0"/>
    <pivotField showAll="0"/>
    <pivotField showAll="0"/>
    <pivotField showAll="0">
      <items count="201">
        <item x="190"/>
        <item x="46"/>
        <item x="25"/>
        <item x="84"/>
        <item x="27"/>
        <item x="160"/>
        <item x="3"/>
        <item x="88"/>
        <item x="129"/>
        <item x="134"/>
        <item x="155"/>
        <item x="195"/>
        <item x="86"/>
        <item x="16"/>
        <item x="41"/>
        <item x="130"/>
        <item x="22"/>
        <item x="120"/>
        <item x="168"/>
        <item x="76"/>
        <item x="167"/>
        <item x="188"/>
        <item x="87"/>
        <item x="194"/>
        <item x="82"/>
        <item x="9"/>
        <item x="175"/>
        <item x="56"/>
        <item x="189"/>
        <item x="91"/>
        <item x="89"/>
        <item x="51"/>
        <item x="158"/>
        <item x="166"/>
        <item x="136"/>
        <item x="118"/>
        <item x="37"/>
        <item x="95"/>
        <item x="193"/>
        <item x="151"/>
        <item x="173"/>
        <item x="143"/>
        <item x="98"/>
        <item x="39"/>
        <item x="183"/>
        <item x="170"/>
        <item x="23"/>
        <item x="40"/>
        <item x="64"/>
        <item x="26"/>
        <item x="172"/>
        <item x="157"/>
        <item x="94"/>
        <item x="186"/>
        <item x="111"/>
        <item x="21"/>
        <item x="153"/>
        <item x="138"/>
        <item x="197"/>
        <item x="154"/>
        <item x="159"/>
        <item x="78"/>
        <item x="116"/>
        <item x="117"/>
        <item x="99"/>
        <item x="62"/>
        <item x="74"/>
        <item x="180"/>
        <item x="33"/>
        <item x="96"/>
        <item x="14"/>
        <item x="44"/>
        <item x="85"/>
        <item x="164"/>
        <item x="144"/>
        <item x="19"/>
        <item x="53"/>
        <item x="174"/>
        <item x="132"/>
        <item x="152"/>
        <item x="13"/>
        <item x="47"/>
        <item x="178"/>
        <item x="4"/>
        <item x="90"/>
        <item x="126"/>
        <item x="75"/>
        <item x="73"/>
        <item x="104"/>
        <item x="105"/>
        <item x="171"/>
        <item x="93"/>
        <item x="61"/>
        <item x="24"/>
        <item x="123"/>
        <item x="141"/>
        <item x="169"/>
        <item x="198"/>
        <item x="133"/>
        <item x="12"/>
        <item x="109"/>
        <item x="38"/>
        <item x="8"/>
        <item x="28"/>
        <item x="185"/>
        <item x="156"/>
        <item x="49"/>
        <item x="140"/>
        <item x="108"/>
        <item x="20"/>
        <item x="18"/>
        <item x="122"/>
        <item x="196"/>
        <item x="106"/>
        <item x="10"/>
        <item x="100"/>
        <item x="119"/>
        <item x="192"/>
        <item x="113"/>
        <item x="5"/>
        <item x="77"/>
        <item x="181"/>
        <item x="176"/>
        <item x="43"/>
        <item x="147"/>
        <item x="58"/>
        <item x="31"/>
        <item x="52"/>
        <item x="59"/>
        <item x="67"/>
        <item x="50"/>
        <item x="65"/>
        <item x="11"/>
        <item x="35"/>
        <item x="163"/>
        <item x="127"/>
        <item x="7"/>
        <item x="32"/>
        <item x="187"/>
        <item x="112"/>
        <item x="6"/>
        <item x="45"/>
        <item x="36"/>
        <item x="146"/>
        <item x="72"/>
        <item x="55"/>
        <item x="101"/>
        <item x="182"/>
        <item x="92"/>
        <item x="15"/>
        <item x="83"/>
        <item x="161"/>
        <item x="70"/>
        <item x="60"/>
        <item x="139"/>
        <item x="162"/>
        <item x="191"/>
        <item x="103"/>
        <item x="137"/>
        <item x="115"/>
        <item x="29"/>
        <item x="179"/>
        <item x="149"/>
        <item x="135"/>
        <item x="2"/>
        <item x="145"/>
        <item x="184"/>
        <item x="66"/>
        <item x="121"/>
        <item x="0"/>
        <item x="165"/>
        <item x="107"/>
        <item x="48"/>
        <item x="97"/>
        <item x="114"/>
        <item x="131"/>
        <item x="68"/>
        <item x="30"/>
        <item x="79"/>
        <item x="63"/>
        <item x="1"/>
        <item x="142"/>
        <item x="125"/>
        <item x="128"/>
        <item x="81"/>
        <item x="150"/>
        <item x="177"/>
        <item x="34"/>
        <item x="69"/>
        <item x="110"/>
        <item x="57"/>
        <item x="80"/>
        <item x="148"/>
        <item x="102"/>
        <item x="54"/>
        <item x="124"/>
        <item x="17"/>
        <item x="71"/>
        <item x="42"/>
        <item x="199"/>
        <item t="default"/>
      </items>
    </pivotField>
    <pivotField axis="axisRow" showAll="0">
      <items count="7">
        <item x="4"/>
        <item x="5"/>
        <item x="1"/>
        <item x="0"/>
        <item x="2"/>
        <item x="3"/>
        <item t="default"/>
      </items>
    </pivotField>
    <pivotField showAll="0"/>
    <pivotField showAll="0"/>
    <pivotField showAll="0"/>
    <pivotField showAll="0"/>
    <pivotField showAll="0"/>
    <pivotField numFmtId="2" showAll="0"/>
    <pivotField dataField="1" numFmtId="2" showAll="0"/>
    <pivotField showAll="0"/>
  </pivotFields>
  <rowFields count="1">
    <field x="6"/>
  </rowFields>
  <rowItems count="7">
    <i>
      <x/>
    </i>
    <i>
      <x v="1"/>
    </i>
    <i>
      <x v="2"/>
    </i>
    <i>
      <x v="3"/>
    </i>
    <i>
      <x v="4"/>
    </i>
    <i>
      <x v="5"/>
    </i>
    <i t="grand">
      <x/>
    </i>
  </rowItems>
  <colItems count="1">
    <i/>
  </colItems>
  <dataFields count="1">
    <dataField name="Sum of Revenue" fld="13"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177D35-D64D-4864-9CDA-FE22366ED927}" name="Sales by Region"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5" firstHeaderRow="1" firstDataRow="1" firstDataCol="1"/>
  <pivotFields count="21">
    <pivotField showAll="0"/>
    <pivotField showAll="0"/>
    <pivotField showAll="0"/>
    <pivotField axis="axisRow" showAll="0">
      <items count="5">
        <item x="1"/>
        <item h="1" x="0"/>
        <item h="1" x="2"/>
        <item h="1" x="3"/>
        <item t="default"/>
      </items>
    </pivotField>
    <pivotField showAll="0"/>
    <pivotField showAll="0"/>
    <pivotField showAll="0"/>
    <pivotField showAll="0"/>
    <pivotField showAll="0">
      <items count="4">
        <item x="0"/>
        <item h="1" x="1"/>
        <item h="1" x="2"/>
        <item t="default"/>
      </items>
    </pivotField>
    <pivotField showAll="0">
      <items count="4">
        <item h="1" x="2"/>
        <item h="1" x="1"/>
        <item x="0"/>
        <item t="default"/>
      </items>
    </pivotField>
    <pivotField showAll="0"/>
    <pivotField showAll="0"/>
    <pivotField showAll="0"/>
    <pivotField showAll="0">
      <items count="3">
        <item h="1" x="1"/>
        <item x="0"/>
        <item t="default"/>
      </items>
    </pivotField>
    <pivotField showAll="0"/>
    <pivotField showAll="0">
      <items count="5">
        <item x="0"/>
        <item h="1" x="3"/>
        <item h="1" x="1"/>
        <item h="1" x="2"/>
        <item t="default"/>
      </items>
    </pivotField>
    <pivotField showAll="0"/>
    <pivotField showAll="0"/>
    <pivotField numFmtId="2" showAll="0"/>
    <pivotField dataField="1" numFmtId="2" showAll="0"/>
    <pivotField showAll="0"/>
  </pivotFields>
  <rowFields count="1">
    <field x="3"/>
  </rowFields>
  <rowItems count="2">
    <i>
      <x/>
    </i>
    <i t="grand">
      <x/>
    </i>
  </rowItems>
  <colItems count="1">
    <i/>
  </colItems>
  <dataFields count="1">
    <dataField name="Sum of Revenue" fld="19" baseField="0" baseItem="0" numFmtId="2"/>
  </dataFields>
  <chartFormats count="7">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1EEA95-3040-4FCC-A509-1104F237C733}" name="Sales Channel Contributio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U3:V6"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dataField="1" showAll="0"/>
    <pivotField showAll="0"/>
    <pivotField showAll="0"/>
  </pivotFields>
  <rowFields count="1">
    <field x="13"/>
  </rowFields>
  <rowItems count="3">
    <i>
      <x/>
    </i>
    <i>
      <x v="1"/>
    </i>
    <i t="grand">
      <x/>
    </i>
  </rowItems>
  <colItems count="1">
    <i/>
  </colItems>
  <dataFields count="1">
    <dataField name="Sum of Revenue" fld="19" baseField="0" baseItem="0"/>
  </dataFields>
  <chartFormats count="13">
    <chartFormat chart="1"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3" count="1" selected="0">
            <x v="0"/>
          </reference>
        </references>
      </pivotArea>
    </chartFormat>
    <chartFormat chart="6" format="2">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3" count="1" selected="0">
            <x v="0"/>
          </reference>
        </references>
      </pivotArea>
    </chartFormat>
    <chartFormat chart="8" format="8">
      <pivotArea type="data" outline="0" fieldPosition="0">
        <references count="2">
          <reference field="4294967294" count="1" selected="0">
            <x v="0"/>
          </reference>
          <reference field="13" count="1" selected="0">
            <x v="1"/>
          </reference>
        </references>
      </pivotArea>
    </chartFormat>
    <chartFormat chart="11" format="9" series="1">
      <pivotArea type="data" outline="0" fieldPosition="0">
        <references count="1">
          <reference field="4294967294" count="1" selected="0">
            <x v="0"/>
          </reference>
        </references>
      </pivotArea>
    </chartFormat>
    <chartFormat chart="11" format="10">
      <pivotArea type="data" outline="0" fieldPosition="0">
        <references count="2">
          <reference field="4294967294" count="1" selected="0">
            <x v="0"/>
          </reference>
          <reference field="13" count="1" selected="0">
            <x v="0"/>
          </reference>
        </references>
      </pivotArea>
    </chartFormat>
    <chartFormat chart="11" format="11">
      <pivotArea type="data" outline="0" fieldPosition="0">
        <references count="2">
          <reference field="4294967294" count="1" selected="0">
            <x v="0"/>
          </reference>
          <reference field="13" count="1" selected="0">
            <x v="1"/>
          </reference>
        </references>
      </pivotArea>
    </chartFormat>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13" count="1" selected="0">
            <x v="0"/>
          </reference>
        </references>
      </pivotArea>
    </chartFormat>
    <chartFormat chart="12" format="17">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E294A4-28D9-4DC4-8D5D-9A91DA2DC340}" sourceName="Region">
  <pivotTables>
    <pivotTable tabId="5" name="Sales by Category"/>
    <pivotTable tabId="5" name="Sales by Region"/>
  </pivotTables>
  <data>
    <tabular pivotCacheId="2142171055">
      <items count="4">
        <i x="1" s="1"/>
        <i x="0"/>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B531B96F-4325-402B-8D6E-1DCB1EE04785}" sourceName="Product_Category">
  <pivotTables>
    <pivotTable tabId="5" name="Sales by Region"/>
  </pivotTables>
  <data>
    <tabular pivotCacheId="2142171055">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4605BFF-3BEA-4E20-B10E-1F32AD39F535}" sourceName="Sales_Channel">
  <pivotTables>
    <pivotTable tabId="5" name="Sales by Region"/>
    <pivotTable tabId="5" name="Sales by Category"/>
  </pivotTables>
  <data>
    <tabular pivotCacheId="2142171055">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7846F10A-1438-4549-A76C-6E6F93553C04}" sourceName="Order_Priority">
  <pivotTables>
    <pivotTable tabId="5" name="Sales by Region"/>
  </pivotTables>
  <data>
    <tabular pivotCacheId="2142171055">
      <items count="4">
        <i x="0" s="1"/>
        <i x="3"/>
        <i x="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A75F72F4-FADF-428E-BE1A-705D656C6056}" sourceName="Customer_Segment">
  <pivotTables>
    <pivotTable tabId="5" name="Sales by Region"/>
  </pivotTables>
  <data>
    <tabular pivotCacheId="214217105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83704E-C076-4F9F-8116-1BEA01ED97D6}" cache="Slicer_Region" caption="Region" startItem="1" showCaption="0" rowHeight="234950"/>
  <slicer name="Product_Category" xr10:uid="{3D5762FB-4C99-426C-A95A-A5466D28E365}" cache="Slicer_Product_Category" caption="Product_Category" showCaption="0" rowHeight="234950"/>
  <slicer name="Sales_Channel" xr10:uid="{614DA7BD-0752-4738-AB48-771B6A6B05E3}" cache="Slicer_Sales_Channel" caption="Sales_Channel" showCaption="0" rowHeight="234950"/>
  <slicer name="Order_Priority" xr10:uid="{D077D9D1-DB50-4ECA-900D-46D7EF7D1C27}" cache="Slicer_Order_Priority" caption="Order_Priority" showCaption="0" rowHeight="234950"/>
  <slicer name="Customer_Segment" xr10:uid="{F83C800E-8927-41D4-B9D6-A69329AA2E5B}" cache="Slicer_Customer_Segment" caption="Customer_Segment" showCaption="0"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581160DB-EB9E-4C4A-AAF5-798F1D8520E2}" cache="Slicer_Region" caption="Region" showCaption="0" rowHeight="234950"/>
  <slicer name="Product_Category 3" xr10:uid="{B2D2B15E-DA8F-4292-9C5D-D76504736CD7}" cache="Slicer_Product_Category" caption="Product_Category" showCaption="0" rowHeight="234950"/>
  <slicer name="Sales_Channel 3" xr10:uid="{65CE6024-5DA9-4267-AB15-FADE8279E06E}" cache="Slicer_Sales_Channel" caption="Sales_Channel" showCaption="0" rowHeight="234950"/>
  <slicer name="Order_Priority 3" xr10:uid="{184E1FC1-299F-40DB-8DDA-ACD8A2B2FEB5}" cache="Slicer_Order_Priority" caption="Order_Priority" showCaption="0" rowHeight="234950"/>
  <slicer name="Customer_Segment 3" xr10:uid="{7E4E6AE5-8685-43A7-B161-E15F8A443BC4}" cache="Slicer_Customer_Segment" caption="Customer_Segment" showCaption="0"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950BEB11-495E-496A-90B1-DF2E7F2BCFAA}" cache="Slicer_Region" caption="Region" showCaption="0" rowHeight="234950"/>
  <slicer name="Product_Category 2" xr10:uid="{27D9FDCC-FEB3-44D1-BE7E-9D9F24C64740}" cache="Slicer_Product_Category" caption="Product_Category" columnCount="3" showCaption="0" rowHeight="234950"/>
  <slicer name="Sales_Channel 2" xr10:uid="{AEE1E3DE-7225-40C6-9B1A-94345CC0091B}" cache="Slicer_Sales_Channel" caption="Sales_Channel" columnCount="2" showCaption="0" rowHeight="234950"/>
  <slicer name="Order_Priority 2" xr10:uid="{F93956DE-8CDA-4A0D-83BE-CDB22940B116}" cache="Slicer_Order_Priority" caption="Order_Priority" showCaption="0" rowHeight="234950"/>
  <slicer name="Customer_Segment 2" xr10:uid="{BCC3A26D-A454-4C61-B89B-10072C0DE5E5}" cache="Slicer_Customer_Segment" caption="Customer_Segment" columnCount="3" showCaption="0"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C8421-4ADA-4233-9434-397F32A00860}">
  <dimension ref="A1"/>
  <sheetViews>
    <sheetView workbookViewId="0">
      <selection activeCell="C28" sqref="C28"/>
    </sheetView>
  </sheetViews>
  <sheetFormatPr defaultRowHeight="14.6" x14ac:dyDescent="0.4"/>
  <cols>
    <col min="1" max="1" width="12.53515625" bestFit="1" customWidth="1"/>
    <col min="2" max="2" width="12.074218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501"/>
  <sheetViews>
    <sheetView topLeftCell="Q1" zoomScale="115" zoomScaleNormal="115" workbookViewId="0">
      <selection activeCell="X10" sqref="X10"/>
    </sheetView>
  </sheetViews>
  <sheetFormatPr defaultRowHeight="14.6" x14ac:dyDescent="0.4"/>
  <cols>
    <col min="1" max="1" width="11.07421875" customWidth="1"/>
    <col min="2" max="2" width="18" customWidth="1"/>
    <col min="3" max="3" width="18" style="12" customWidth="1"/>
    <col min="4" max="20" width="18" customWidth="1"/>
    <col min="21" max="21" width="10.23046875" customWidth="1"/>
    <col min="23" max="23" width="11.69140625" customWidth="1"/>
    <col min="24" max="24" width="13.765625" bestFit="1" customWidth="1"/>
  </cols>
  <sheetData>
    <row r="1" spans="1:25" x14ac:dyDescent="0.4">
      <c r="A1" s="3" t="s">
        <v>0</v>
      </c>
      <c r="B1" s="3" t="s">
        <v>1</v>
      </c>
      <c r="C1" s="10"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3988</v>
      </c>
      <c r="U1" s="3" t="s">
        <v>19</v>
      </c>
      <c r="V1" s="13" t="s">
        <v>3992</v>
      </c>
      <c r="W1" s="13" t="s">
        <v>4005</v>
      </c>
    </row>
    <row r="2" spans="1:25" x14ac:dyDescent="0.4">
      <c r="A2" s="4" t="s">
        <v>20</v>
      </c>
      <c r="B2" s="4" t="s">
        <v>21</v>
      </c>
      <c r="C2" s="11">
        <v>45003</v>
      </c>
      <c r="D2" s="4" t="s">
        <v>23</v>
      </c>
      <c r="E2" s="4" t="s">
        <v>24</v>
      </c>
      <c r="F2" s="4" t="s">
        <v>25</v>
      </c>
      <c r="G2" s="4" t="s">
        <v>26</v>
      </c>
      <c r="H2" s="4" t="s">
        <v>27</v>
      </c>
      <c r="I2" s="4" t="s">
        <v>28</v>
      </c>
      <c r="J2" s="4" t="s">
        <v>29</v>
      </c>
      <c r="K2" s="4" t="s">
        <v>30</v>
      </c>
      <c r="L2" s="4" t="s">
        <v>31</v>
      </c>
      <c r="M2" s="4" t="s">
        <v>32</v>
      </c>
      <c r="N2" s="4" t="s">
        <v>33</v>
      </c>
      <c r="O2" s="4" t="s">
        <v>34</v>
      </c>
      <c r="P2" s="4" t="s">
        <v>35</v>
      </c>
      <c r="Q2" s="4">
        <v>10</v>
      </c>
      <c r="R2" s="4">
        <v>20306</v>
      </c>
      <c r="S2" s="5">
        <v>0</v>
      </c>
      <c r="T2" s="6">
        <f>Q2*R2*(100-S2)/100</f>
        <v>203060</v>
      </c>
      <c r="U2" s="4">
        <v>57509.34</v>
      </c>
      <c r="V2" t="str">
        <f>TEXT(B2,"MMM")</f>
        <v>Mar</v>
      </c>
      <c r="W2">
        <f>U2/T2</f>
        <v>0.28321353294592727</v>
      </c>
      <c r="X2" s="7">
        <f>SUM(T2:T1501)</f>
        <v>190623560.34999999</v>
      </c>
    </row>
    <row r="3" spans="1:25" x14ac:dyDescent="0.4">
      <c r="A3" s="4" t="s">
        <v>36</v>
      </c>
      <c r="B3" s="4" t="s">
        <v>37</v>
      </c>
      <c r="C3" s="11">
        <v>45362</v>
      </c>
      <c r="D3" s="4" t="s">
        <v>39</v>
      </c>
      <c r="E3" s="4" t="s">
        <v>24</v>
      </c>
      <c r="F3" s="4" t="s">
        <v>40</v>
      </c>
      <c r="G3" s="4" t="s">
        <v>41</v>
      </c>
      <c r="H3" s="4" t="s">
        <v>42</v>
      </c>
      <c r="I3" s="4" t="s">
        <v>43</v>
      </c>
      <c r="J3" s="4" t="s">
        <v>29</v>
      </c>
      <c r="K3" s="4" t="s">
        <v>44</v>
      </c>
      <c r="L3" s="4" t="s">
        <v>45</v>
      </c>
      <c r="M3" s="4" t="s">
        <v>32</v>
      </c>
      <c r="N3" s="4" t="s">
        <v>33</v>
      </c>
      <c r="O3" s="4" t="s">
        <v>46</v>
      </c>
      <c r="P3" s="4" t="s">
        <v>47</v>
      </c>
      <c r="Q3" s="4">
        <v>2</v>
      </c>
      <c r="R3" s="4">
        <v>14582</v>
      </c>
      <c r="S3" s="17">
        <v>15</v>
      </c>
      <c r="T3" s="6">
        <f t="shared" ref="T3:T66" si="0">Q3*R3*(100-S3)/100</f>
        <v>24789.4</v>
      </c>
      <c r="U3" s="4">
        <v>-613.97</v>
      </c>
      <c r="V3" t="str">
        <f t="shared" ref="V3:V66" si="1">TEXT(B3,"MMM")</f>
        <v>Mar</v>
      </c>
      <c r="W3">
        <f t="shared" ref="W3:W66" si="2">U3/T3</f>
        <v>-2.4767440922329704E-2</v>
      </c>
      <c r="X3">
        <f>SUM(U2:U1501)</f>
        <v>16712624.120000018</v>
      </c>
    </row>
    <row r="4" spans="1:25" x14ac:dyDescent="0.4">
      <c r="A4" s="4" t="s">
        <v>48</v>
      </c>
      <c r="B4" s="4" t="s">
        <v>49</v>
      </c>
      <c r="C4" s="11">
        <v>44579</v>
      </c>
      <c r="D4" s="4" t="s">
        <v>39</v>
      </c>
      <c r="E4" s="4" t="s">
        <v>24</v>
      </c>
      <c r="F4" s="4" t="s">
        <v>25</v>
      </c>
      <c r="G4" s="4" t="s">
        <v>26</v>
      </c>
      <c r="H4" s="4" t="s">
        <v>51</v>
      </c>
      <c r="I4" s="4" t="s">
        <v>28</v>
      </c>
      <c r="J4" s="4" t="s">
        <v>29</v>
      </c>
      <c r="K4" s="4" t="s">
        <v>30</v>
      </c>
      <c r="L4" s="4" t="s">
        <v>52</v>
      </c>
      <c r="M4" s="4" t="s">
        <v>53</v>
      </c>
      <c r="N4" s="4" t="s">
        <v>54</v>
      </c>
      <c r="O4" s="4" t="s">
        <v>34</v>
      </c>
      <c r="P4" s="4" t="s">
        <v>47</v>
      </c>
      <c r="Q4" s="4">
        <v>10</v>
      </c>
      <c r="R4" s="4">
        <v>13952</v>
      </c>
      <c r="S4" s="5">
        <v>5</v>
      </c>
      <c r="T4" s="6">
        <f t="shared" si="0"/>
        <v>132544</v>
      </c>
      <c r="U4" s="4">
        <v>9084.16</v>
      </c>
      <c r="V4" t="str">
        <f t="shared" si="1"/>
        <v>Jan</v>
      </c>
      <c r="W4">
        <f t="shared" si="2"/>
        <v>6.8536938676967654E-2</v>
      </c>
    </row>
    <row r="5" spans="1:25" x14ac:dyDescent="0.4">
      <c r="A5" s="4" t="s">
        <v>55</v>
      </c>
      <c r="B5" s="4" t="s">
        <v>56</v>
      </c>
      <c r="C5" s="11">
        <v>44955</v>
      </c>
      <c r="D5" s="4" t="s">
        <v>23</v>
      </c>
      <c r="E5" s="4" t="s">
        <v>24</v>
      </c>
      <c r="F5" s="4" t="s">
        <v>58</v>
      </c>
      <c r="G5" s="4" t="s">
        <v>59</v>
      </c>
      <c r="H5" s="4" t="s">
        <v>60</v>
      </c>
      <c r="I5" s="4" t="s">
        <v>61</v>
      </c>
      <c r="J5" s="4" t="s">
        <v>62</v>
      </c>
      <c r="K5" s="4" t="s">
        <v>63</v>
      </c>
      <c r="L5" s="4" t="s">
        <v>64</v>
      </c>
      <c r="M5" s="4" t="s">
        <v>65</v>
      </c>
      <c r="N5" s="4" t="s">
        <v>54</v>
      </c>
      <c r="O5" s="4" t="s">
        <v>66</v>
      </c>
      <c r="P5" s="4" t="s">
        <v>47</v>
      </c>
      <c r="Q5" s="4">
        <v>5</v>
      </c>
      <c r="R5" s="4">
        <v>11152</v>
      </c>
      <c r="S5" s="5">
        <v>0</v>
      </c>
      <c r="T5" s="6">
        <f t="shared" si="0"/>
        <v>55760</v>
      </c>
      <c r="U5" s="4">
        <v>4747.33</v>
      </c>
      <c r="V5" t="str">
        <f t="shared" si="1"/>
        <v>Jan</v>
      </c>
      <c r="W5">
        <f t="shared" si="2"/>
        <v>8.5138629842180777E-2</v>
      </c>
    </row>
    <row r="6" spans="1:25" x14ac:dyDescent="0.4">
      <c r="A6" s="4" t="s">
        <v>67</v>
      </c>
      <c r="B6" s="4" t="s">
        <v>68</v>
      </c>
      <c r="C6" s="11">
        <v>44649</v>
      </c>
      <c r="D6" s="4" t="s">
        <v>23</v>
      </c>
      <c r="E6" s="4" t="s">
        <v>24</v>
      </c>
      <c r="F6" s="4" t="s">
        <v>70</v>
      </c>
      <c r="G6" s="4" t="s">
        <v>41</v>
      </c>
      <c r="H6" s="4" t="s">
        <v>71</v>
      </c>
      <c r="I6" s="4" t="s">
        <v>43</v>
      </c>
      <c r="J6" s="4" t="s">
        <v>62</v>
      </c>
      <c r="K6" s="4" t="s">
        <v>63</v>
      </c>
      <c r="L6" s="4" t="s">
        <v>72</v>
      </c>
      <c r="M6" s="4" t="s">
        <v>73</v>
      </c>
      <c r="N6" s="4" t="s">
        <v>54</v>
      </c>
      <c r="O6" s="4" t="s">
        <v>34</v>
      </c>
      <c r="P6" s="4" t="s">
        <v>74</v>
      </c>
      <c r="Q6" s="4">
        <v>1</v>
      </c>
      <c r="R6" s="4">
        <v>32301</v>
      </c>
      <c r="S6" s="5">
        <v>15</v>
      </c>
      <c r="T6" s="6">
        <f t="shared" si="0"/>
        <v>27455.85</v>
      </c>
      <c r="U6" s="4">
        <v>3462.48</v>
      </c>
      <c r="V6" t="str">
        <f t="shared" si="1"/>
        <v>Mar</v>
      </c>
      <c r="W6">
        <f t="shared" si="2"/>
        <v>0.12611082883975547</v>
      </c>
    </row>
    <row r="7" spans="1:25" x14ac:dyDescent="0.4">
      <c r="A7" s="4" t="s">
        <v>75</v>
      </c>
      <c r="B7" s="4" t="s">
        <v>76</v>
      </c>
      <c r="C7" s="11">
        <v>45111</v>
      </c>
      <c r="D7" s="4" t="s">
        <v>39</v>
      </c>
      <c r="E7" s="4" t="s">
        <v>24</v>
      </c>
      <c r="F7" s="4" t="s">
        <v>40</v>
      </c>
      <c r="G7" s="4" t="s">
        <v>41</v>
      </c>
      <c r="H7" s="4" t="s">
        <v>78</v>
      </c>
      <c r="I7" s="4" t="s">
        <v>61</v>
      </c>
      <c r="J7" s="4" t="s">
        <v>79</v>
      </c>
      <c r="K7" s="4" t="s">
        <v>63</v>
      </c>
      <c r="L7" s="4" t="s">
        <v>80</v>
      </c>
      <c r="M7" s="4" t="s">
        <v>81</v>
      </c>
      <c r="N7" s="4" t="s">
        <v>33</v>
      </c>
      <c r="O7" s="4" t="s">
        <v>82</v>
      </c>
      <c r="P7" s="4" t="s">
        <v>47</v>
      </c>
      <c r="Q7" s="4">
        <v>9</v>
      </c>
      <c r="R7" s="4">
        <v>7072</v>
      </c>
      <c r="S7" s="5">
        <v>0</v>
      </c>
      <c r="T7" s="6">
        <f t="shared" si="0"/>
        <v>63648</v>
      </c>
      <c r="U7" s="4">
        <v>7268.29</v>
      </c>
      <c r="V7" t="str">
        <f t="shared" si="1"/>
        <v>Jun</v>
      </c>
      <c r="W7">
        <f t="shared" si="2"/>
        <v>0.1141951043237808</v>
      </c>
      <c r="X7" s="18">
        <f>AVERAGE(S2:S1501)/100</f>
        <v>0.10150000000000001</v>
      </c>
      <c r="Y7" s="16">
        <f>AVERAGE(S2:S1501)</f>
        <v>10.15</v>
      </c>
    </row>
    <row r="8" spans="1:25" x14ac:dyDescent="0.4">
      <c r="A8" s="4" t="s">
        <v>83</v>
      </c>
      <c r="B8" s="4" t="s">
        <v>84</v>
      </c>
      <c r="C8" s="11">
        <v>45464</v>
      </c>
      <c r="D8" s="4" t="s">
        <v>23</v>
      </c>
      <c r="E8" s="4" t="s">
        <v>24</v>
      </c>
      <c r="F8" s="4" t="s">
        <v>25</v>
      </c>
      <c r="G8" s="4" t="s">
        <v>26</v>
      </c>
      <c r="H8" s="4" t="s">
        <v>85</v>
      </c>
      <c r="I8" s="4" t="s">
        <v>28</v>
      </c>
      <c r="J8" s="4" t="s">
        <v>29</v>
      </c>
      <c r="K8" s="4" t="s">
        <v>86</v>
      </c>
      <c r="L8" s="4" t="s">
        <v>87</v>
      </c>
      <c r="M8" s="4" t="s">
        <v>53</v>
      </c>
      <c r="N8" s="4" t="s">
        <v>54</v>
      </c>
      <c r="O8" s="4" t="s">
        <v>46</v>
      </c>
      <c r="P8" s="4" t="s">
        <v>88</v>
      </c>
      <c r="Q8" s="4">
        <v>9</v>
      </c>
      <c r="R8" s="4">
        <v>19348</v>
      </c>
      <c r="S8" s="5">
        <v>15</v>
      </c>
      <c r="T8" s="6">
        <f t="shared" si="0"/>
        <v>148012.20000000001</v>
      </c>
      <c r="U8" s="4">
        <v>24591.64</v>
      </c>
      <c r="V8" t="str">
        <f t="shared" si="1"/>
        <v>Jun</v>
      </c>
      <c r="W8">
        <f t="shared" si="2"/>
        <v>0.16614603390801566</v>
      </c>
    </row>
    <row r="9" spans="1:25" x14ac:dyDescent="0.4">
      <c r="A9" s="4" t="s">
        <v>89</v>
      </c>
      <c r="B9" s="4" t="s">
        <v>90</v>
      </c>
      <c r="C9" s="11">
        <v>44959</v>
      </c>
      <c r="D9" s="4" t="s">
        <v>39</v>
      </c>
      <c r="E9" s="4" t="s">
        <v>24</v>
      </c>
      <c r="F9" s="4" t="s">
        <v>40</v>
      </c>
      <c r="G9" s="4" t="s">
        <v>92</v>
      </c>
      <c r="H9" s="4" t="s">
        <v>93</v>
      </c>
      <c r="I9" s="4" t="s">
        <v>61</v>
      </c>
      <c r="J9" s="4" t="s">
        <v>79</v>
      </c>
      <c r="K9" s="4" t="s">
        <v>86</v>
      </c>
      <c r="L9" s="4" t="s">
        <v>94</v>
      </c>
      <c r="M9" s="4" t="s">
        <v>95</v>
      </c>
      <c r="N9" s="4" t="s">
        <v>54</v>
      </c>
      <c r="O9" s="4" t="s">
        <v>66</v>
      </c>
      <c r="P9" s="4" t="s">
        <v>74</v>
      </c>
      <c r="Q9" s="4">
        <v>3</v>
      </c>
      <c r="R9" s="4">
        <v>46710</v>
      </c>
      <c r="S9" s="5">
        <v>5</v>
      </c>
      <c r="T9" s="6">
        <f t="shared" si="0"/>
        <v>133123.5</v>
      </c>
      <c r="U9" s="4">
        <v>25471.3</v>
      </c>
      <c r="V9" t="str">
        <f t="shared" si="1"/>
        <v>Jan</v>
      </c>
      <c r="W9">
        <f t="shared" si="2"/>
        <v>0.19133586481725615</v>
      </c>
      <c r="X9" s="19">
        <f>SUM(W2:W1501)</f>
        <v>115.09270808757485</v>
      </c>
    </row>
    <row r="10" spans="1:25" x14ac:dyDescent="0.4">
      <c r="A10" s="4" t="s">
        <v>96</v>
      </c>
      <c r="B10" s="4" t="s">
        <v>97</v>
      </c>
      <c r="C10" s="11">
        <v>45236</v>
      </c>
      <c r="D10" s="4" t="s">
        <v>98</v>
      </c>
      <c r="E10" s="4" t="s">
        <v>24</v>
      </c>
      <c r="F10" s="4" t="s">
        <v>40</v>
      </c>
      <c r="G10" s="4" t="s">
        <v>99</v>
      </c>
      <c r="H10" s="4" t="s">
        <v>100</v>
      </c>
      <c r="I10" s="4" t="s">
        <v>61</v>
      </c>
      <c r="J10" s="4" t="s">
        <v>29</v>
      </c>
      <c r="K10" s="4" t="s">
        <v>101</v>
      </c>
      <c r="L10" s="4" t="s">
        <v>102</v>
      </c>
      <c r="M10" s="4" t="s">
        <v>53</v>
      </c>
      <c r="N10" s="4" t="s">
        <v>54</v>
      </c>
      <c r="O10" s="4" t="s">
        <v>82</v>
      </c>
      <c r="P10" s="4" t="s">
        <v>74</v>
      </c>
      <c r="Q10" s="4">
        <v>1</v>
      </c>
      <c r="R10" s="4">
        <v>10787</v>
      </c>
      <c r="S10" s="5">
        <v>5</v>
      </c>
      <c r="T10" s="6">
        <f t="shared" si="0"/>
        <v>10247.65</v>
      </c>
      <c r="U10" s="4">
        <v>387.96</v>
      </c>
      <c r="V10" t="str">
        <f t="shared" si="1"/>
        <v>Nov</v>
      </c>
      <c r="W10">
        <f t="shared" si="2"/>
        <v>3.7858435836508858E-2</v>
      </c>
      <c r="X10" s="15">
        <f>AVERAGE(W2:W1501)</f>
        <v>7.6728472058383235E-2</v>
      </c>
    </row>
    <row r="11" spans="1:25" x14ac:dyDescent="0.4">
      <c r="A11" s="4" t="s">
        <v>103</v>
      </c>
      <c r="B11" s="4" t="s">
        <v>104</v>
      </c>
      <c r="C11" s="11">
        <v>45433</v>
      </c>
      <c r="D11" s="4" t="s">
        <v>39</v>
      </c>
      <c r="E11" s="4" t="s">
        <v>24</v>
      </c>
      <c r="F11" s="4" t="s">
        <v>40</v>
      </c>
      <c r="G11" s="4" t="s">
        <v>59</v>
      </c>
      <c r="H11" s="4" t="s">
        <v>105</v>
      </c>
      <c r="I11" s="4" t="s">
        <v>28</v>
      </c>
      <c r="J11" s="4" t="s">
        <v>62</v>
      </c>
      <c r="K11" s="4" t="s">
        <v>63</v>
      </c>
      <c r="L11" s="4" t="s">
        <v>72</v>
      </c>
      <c r="M11" s="4" t="s">
        <v>81</v>
      </c>
      <c r="N11" s="4" t="s">
        <v>54</v>
      </c>
      <c r="O11" s="4" t="s">
        <v>66</v>
      </c>
      <c r="P11" s="4" t="s">
        <v>74</v>
      </c>
      <c r="Q11" s="4">
        <v>2</v>
      </c>
      <c r="R11" s="4">
        <v>46827</v>
      </c>
      <c r="S11" s="5">
        <v>20</v>
      </c>
      <c r="T11" s="6">
        <f t="shared" si="0"/>
        <v>74923.199999999997</v>
      </c>
      <c r="U11" s="4">
        <v>-7411.97</v>
      </c>
      <c r="V11" t="str">
        <f t="shared" si="1"/>
        <v>May</v>
      </c>
      <c r="W11">
        <f t="shared" si="2"/>
        <v>-9.8927568496807408E-2</v>
      </c>
    </row>
    <row r="12" spans="1:25" x14ac:dyDescent="0.4">
      <c r="A12" s="4" t="s">
        <v>106</v>
      </c>
      <c r="B12" s="4" t="s">
        <v>107</v>
      </c>
      <c r="C12" s="11">
        <v>44716</v>
      </c>
      <c r="D12" s="4" t="s">
        <v>98</v>
      </c>
      <c r="E12" s="4" t="s">
        <v>24</v>
      </c>
      <c r="F12" s="4" t="s">
        <v>70</v>
      </c>
      <c r="G12" s="4" t="s">
        <v>41</v>
      </c>
      <c r="H12" s="4" t="s">
        <v>109</v>
      </c>
      <c r="I12" s="4" t="s">
        <v>43</v>
      </c>
      <c r="J12" s="4" t="s">
        <v>29</v>
      </c>
      <c r="K12" s="4" t="s">
        <v>63</v>
      </c>
      <c r="L12" s="4" t="s">
        <v>110</v>
      </c>
      <c r="M12" s="4" t="s">
        <v>95</v>
      </c>
      <c r="N12" s="4" t="s">
        <v>54</v>
      </c>
      <c r="O12" s="4" t="s">
        <v>46</v>
      </c>
      <c r="P12" s="4" t="s">
        <v>35</v>
      </c>
      <c r="Q12" s="4">
        <v>7</v>
      </c>
      <c r="R12" s="4">
        <v>18329</v>
      </c>
      <c r="S12" s="5">
        <v>20</v>
      </c>
      <c r="T12" s="6">
        <f t="shared" si="0"/>
        <v>102642.4</v>
      </c>
      <c r="U12" s="4">
        <v>-6604.92</v>
      </c>
      <c r="V12" t="str">
        <f t="shared" si="1"/>
        <v>May</v>
      </c>
      <c r="W12">
        <f t="shared" si="2"/>
        <v>-6.434884609089421E-2</v>
      </c>
    </row>
    <row r="13" spans="1:25" x14ac:dyDescent="0.4">
      <c r="A13" s="4" t="s">
        <v>111</v>
      </c>
      <c r="B13" s="4" t="s">
        <v>112</v>
      </c>
      <c r="C13" s="11">
        <v>44983</v>
      </c>
      <c r="D13" s="4" t="s">
        <v>23</v>
      </c>
      <c r="E13" s="4" t="s">
        <v>24</v>
      </c>
      <c r="F13" s="4" t="s">
        <v>26</v>
      </c>
      <c r="G13" s="4" t="s">
        <v>59</v>
      </c>
      <c r="H13" s="4" t="s">
        <v>113</v>
      </c>
      <c r="I13" s="4" t="s">
        <v>28</v>
      </c>
      <c r="J13" s="4" t="s">
        <v>79</v>
      </c>
      <c r="K13" s="4" t="s">
        <v>86</v>
      </c>
      <c r="L13" s="4" t="s">
        <v>114</v>
      </c>
      <c r="M13" s="4" t="s">
        <v>81</v>
      </c>
      <c r="N13" s="4" t="s">
        <v>54</v>
      </c>
      <c r="O13" s="4" t="s">
        <v>66</v>
      </c>
      <c r="P13" s="4" t="s">
        <v>88</v>
      </c>
      <c r="Q13" s="4">
        <v>8</v>
      </c>
      <c r="R13" s="4">
        <v>49805</v>
      </c>
      <c r="S13" s="5">
        <v>15</v>
      </c>
      <c r="T13" s="6">
        <f t="shared" si="0"/>
        <v>338674</v>
      </c>
      <c r="U13" s="4">
        <v>55957.29</v>
      </c>
      <c r="V13" t="str">
        <f t="shared" si="1"/>
        <v>Feb</v>
      </c>
      <c r="W13">
        <f t="shared" si="2"/>
        <v>0.16522464080502194</v>
      </c>
    </row>
    <row r="14" spans="1:25" x14ac:dyDescent="0.4">
      <c r="A14" s="4" t="s">
        <v>115</v>
      </c>
      <c r="B14" s="4" t="s">
        <v>116</v>
      </c>
      <c r="C14" s="11">
        <v>44703</v>
      </c>
      <c r="D14" s="4" t="s">
        <v>98</v>
      </c>
      <c r="E14" s="4" t="s">
        <v>24</v>
      </c>
      <c r="F14" s="4" t="s">
        <v>25</v>
      </c>
      <c r="G14" s="4" t="s">
        <v>41</v>
      </c>
      <c r="H14" s="4" t="s">
        <v>118</v>
      </c>
      <c r="I14" s="4" t="s">
        <v>28</v>
      </c>
      <c r="J14" s="4" t="s">
        <v>62</v>
      </c>
      <c r="K14" s="4" t="s">
        <v>63</v>
      </c>
      <c r="L14" s="4" t="s">
        <v>119</v>
      </c>
      <c r="M14" s="4" t="s">
        <v>73</v>
      </c>
      <c r="N14" s="4" t="s">
        <v>54</v>
      </c>
      <c r="O14" s="4" t="s">
        <v>120</v>
      </c>
      <c r="P14" s="4" t="s">
        <v>47</v>
      </c>
      <c r="Q14" s="4">
        <v>6</v>
      </c>
      <c r="R14" s="4">
        <v>1782</v>
      </c>
      <c r="S14" s="5">
        <v>15</v>
      </c>
      <c r="T14" s="6">
        <f t="shared" si="0"/>
        <v>9088.2000000000007</v>
      </c>
      <c r="U14" s="4">
        <v>140.79</v>
      </c>
      <c r="V14" t="str">
        <f t="shared" si="1"/>
        <v>May</v>
      </c>
      <c r="W14">
        <f t="shared" si="2"/>
        <v>1.5491516471908627E-2</v>
      </c>
    </row>
    <row r="15" spans="1:25" x14ac:dyDescent="0.4">
      <c r="A15" s="4" t="s">
        <v>121</v>
      </c>
      <c r="B15" s="4" t="s">
        <v>122</v>
      </c>
      <c r="C15" s="11">
        <v>44614</v>
      </c>
      <c r="D15" s="4" t="s">
        <v>124</v>
      </c>
      <c r="E15" s="4" t="s">
        <v>24</v>
      </c>
      <c r="F15" s="4" t="s">
        <v>25</v>
      </c>
      <c r="G15" s="4" t="s">
        <v>59</v>
      </c>
      <c r="H15" s="4" t="s">
        <v>125</v>
      </c>
      <c r="I15" s="4" t="s">
        <v>61</v>
      </c>
      <c r="J15" s="4" t="s">
        <v>62</v>
      </c>
      <c r="K15" s="4" t="s">
        <v>101</v>
      </c>
      <c r="L15" s="4" t="s">
        <v>126</v>
      </c>
      <c r="M15" s="4" t="s">
        <v>53</v>
      </c>
      <c r="N15" s="4" t="s">
        <v>33</v>
      </c>
      <c r="O15" s="4" t="s">
        <v>120</v>
      </c>
      <c r="P15" s="4" t="s">
        <v>74</v>
      </c>
      <c r="Q15" s="4">
        <v>10</v>
      </c>
      <c r="R15" s="4">
        <v>43616</v>
      </c>
      <c r="S15" s="5">
        <v>10</v>
      </c>
      <c r="T15" s="6">
        <f t="shared" si="0"/>
        <v>392544</v>
      </c>
      <c r="U15" s="4">
        <v>76026.78</v>
      </c>
      <c r="V15" t="str">
        <f t="shared" si="1"/>
        <v>Feb</v>
      </c>
      <c r="W15">
        <f t="shared" si="2"/>
        <v>0.1936770909757887</v>
      </c>
    </row>
    <row r="16" spans="1:25" x14ac:dyDescent="0.4">
      <c r="A16" s="4" t="s">
        <v>127</v>
      </c>
      <c r="B16" s="4" t="s">
        <v>128</v>
      </c>
      <c r="C16" s="11">
        <v>44641</v>
      </c>
      <c r="D16" s="4" t="s">
        <v>23</v>
      </c>
      <c r="E16" s="4" t="s">
        <v>24</v>
      </c>
      <c r="F16" s="4" t="s">
        <v>58</v>
      </c>
      <c r="G16" s="4" t="s">
        <v>26</v>
      </c>
      <c r="H16" s="4" t="s">
        <v>130</v>
      </c>
      <c r="I16" s="4" t="s">
        <v>28</v>
      </c>
      <c r="J16" s="4" t="s">
        <v>62</v>
      </c>
      <c r="K16" s="4" t="s">
        <v>30</v>
      </c>
      <c r="L16" s="4" t="s">
        <v>131</v>
      </c>
      <c r="M16" s="4" t="s">
        <v>95</v>
      </c>
      <c r="N16" s="4" t="s">
        <v>33</v>
      </c>
      <c r="O16" s="4" t="s">
        <v>66</v>
      </c>
      <c r="P16" s="4" t="s">
        <v>88</v>
      </c>
      <c r="Q16" s="4">
        <v>1</v>
      </c>
      <c r="R16" s="4">
        <v>45833</v>
      </c>
      <c r="S16" s="5">
        <v>20</v>
      </c>
      <c r="T16" s="6">
        <f t="shared" si="0"/>
        <v>36666.400000000001</v>
      </c>
      <c r="U16" s="4">
        <v>2315.79</v>
      </c>
      <c r="V16" t="str">
        <f t="shared" si="1"/>
        <v>Mar</v>
      </c>
      <c r="W16">
        <f t="shared" si="2"/>
        <v>6.3158368424497624E-2</v>
      </c>
    </row>
    <row r="17" spans="1:23" x14ac:dyDescent="0.4">
      <c r="A17" s="4" t="s">
        <v>132</v>
      </c>
      <c r="B17" s="4" t="s">
        <v>133</v>
      </c>
      <c r="C17" s="11">
        <v>44575</v>
      </c>
      <c r="D17" s="4" t="s">
        <v>124</v>
      </c>
      <c r="E17" s="4" t="s">
        <v>24</v>
      </c>
      <c r="F17" s="4" t="s">
        <v>26</v>
      </c>
      <c r="G17" s="4" t="s">
        <v>26</v>
      </c>
      <c r="H17" s="4" t="s">
        <v>134</v>
      </c>
      <c r="I17" s="4" t="s">
        <v>43</v>
      </c>
      <c r="J17" s="4" t="s">
        <v>79</v>
      </c>
      <c r="K17" s="4" t="s">
        <v>30</v>
      </c>
      <c r="L17" s="4" t="s">
        <v>135</v>
      </c>
      <c r="M17" s="4" t="s">
        <v>81</v>
      </c>
      <c r="N17" s="4" t="s">
        <v>33</v>
      </c>
      <c r="O17" s="4" t="s">
        <v>46</v>
      </c>
      <c r="P17" s="4" t="s">
        <v>35</v>
      </c>
      <c r="Q17" s="4">
        <v>5</v>
      </c>
      <c r="R17" s="4">
        <v>48554</v>
      </c>
      <c r="S17" s="5">
        <v>10</v>
      </c>
      <c r="T17" s="6">
        <f t="shared" si="0"/>
        <v>218493</v>
      </c>
      <c r="U17" s="4">
        <v>-7450.51</v>
      </c>
      <c r="V17" t="str">
        <f t="shared" si="1"/>
        <v>Jan</v>
      </c>
      <c r="W17">
        <f t="shared" si="2"/>
        <v>-3.4099536369586209E-2</v>
      </c>
    </row>
    <row r="18" spans="1:23" x14ac:dyDescent="0.4">
      <c r="A18" s="4" t="s">
        <v>136</v>
      </c>
      <c r="B18" s="4" t="s">
        <v>137</v>
      </c>
      <c r="C18" s="11">
        <v>44635</v>
      </c>
      <c r="D18" s="4" t="s">
        <v>23</v>
      </c>
      <c r="E18" s="4" t="s">
        <v>24</v>
      </c>
      <c r="F18" s="4" t="s">
        <v>25</v>
      </c>
      <c r="G18" s="4" t="s">
        <v>99</v>
      </c>
      <c r="H18" s="4" t="s">
        <v>138</v>
      </c>
      <c r="I18" s="4" t="s">
        <v>61</v>
      </c>
      <c r="J18" s="4" t="s">
        <v>29</v>
      </c>
      <c r="K18" s="4" t="s">
        <v>63</v>
      </c>
      <c r="L18" s="4" t="s">
        <v>139</v>
      </c>
      <c r="M18" s="4" t="s">
        <v>95</v>
      </c>
      <c r="N18" s="4" t="s">
        <v>54</v>
      </c>
      <c r="O18" s="4" t="s">
        <v>120</v>
      </c>
      <c r="P18" s="4" t="s">
        <v>47</v>
      </c>
      <c r="Q18" s="4">
        <v>1</v>
      </c>
      <c r="R18" s="4">
        <v>11708</v>
      </c>
      <c r="S18" s="5">
        <v>20</v>
      </c>
      <c r="T18" s="6">
        <f t="shared" si="0"/>
        <v>9366.4</v>
      </c>
      <c r="U18" s="4">
        <v>446.8</v>
      </c>
      <c r="V18" t="str">
        <f t="shared" si="1"/>
        <v>Mar</v>
      </c>
      <c r="W18">
        <f t="shared" si="2"/>
        <v>4.7702425691834645E-2</v>
      </c>
    </row>
    <row r="19" spans="1:23" x14ac:dyDescent="0.4">
      <c r="A19" s="4" t="s">
        <v>140</v>
      </c>
      <c r="B19" s="4" t="s">
        <v>141</v>
      </c>
      <c r="C19" s="11">
        <v>44666</v>
      </c>
      <c r="D19" s="4" t="s">
        <v>124</v>
      </c>
      <c r="E19" s="4" t="s">
        <v>24</v>
      </c>
      <c r="F19" s="4" t="s">
        <v>26</v>
      </c>
      <c r="G19" s="4" t="s">
        <v>92</v>
      </c>
      <c r="H19" s="4" t="s">
        <v>143</v>
      </c>
      <c r="I19" s="4" t="s">
        <v>43</v>
      </c>
      <c r="J19" s="4" t="s">
        <v>79</v>
      </c>
      <c r="K19" s="4" t="s">
        <v>101</v>
      </c>
      <c r="L19" s="4" t="s">
        <v>144</v>
      </c>
      <c r="M19" s="4" t="s">
        <v>95</v>
      </c>
      <c r="N19" s="4" t="s">
        <v>33</v>
      </c>
      <c r="O19" s="4" t="s">
        <v>66</v>
      </c>
      <c r="P19" s="4" t="s">
        <v>35</v>
      </c>
      <c r="Q19" s="4">
        <v>1</v>
      </c>
      <c r="R19" s="4">
        <v>33837</v>
      </c>
      <c r="S19" s="5">
        <v>5</v>
      </c>
      <c r="T19" s="6">
        <f t="shared" si="0"/>
        <v>32145.15</v>
      </c>
      <c r="U19" s="4">
        <v>7005.04</v>
      </c>
      <c r="V19" t="str">
        <f t="shared" si="1"/>
        <v>Apr</v>
      </c>
      <c r="W19">
        <f t="shared" si="2"/>
        <v>0.21791903288676517</v>
      </c>
    </row>
    <row r="20" spans="1:23" x14ac:dyDescent="0.4">
      <c r="A20" s="4" t="s">
        <v>145</v>
      </c>
      <c r="B20" s="4" t="s">
        <v>146</v>
      </c>
      <c r="C20" s="11">
        <v>44691</v>
      </c>
      <c r="D20" s="4" t="s">
        <v>23</v>
      </c>
      <c r="E20" s="4" t="s">
        <v>24</v>
      </c>
      <c r="F20" s="4" t="s">
        <v>26</v>
      </c>
      <c r="G20" s="4" t="s">
        <v>92</v>
      </c>
      <c r="H20" s="4" t="s">
        <v>148</v>
      </c>
      <c r="I20" s="4" t="s">
        <v>61</v>
      </c>
      <c r="J20" s="4" t="s">
        <v>79</v>
      </c>
      <c r="K20" s="4" t="s">
        <v>101</v>
      </c>
      <c r="L20" s="4" t="s">
        <v>149</v>
      </c>
      <c r="M20" s="4" t="s">
        <v>81</v>
      </c>
      <c r="N20" s="4" t="s">
        <v>33</v>
      </c>
      <c r="O20" s="4" t="s">
        <v>66</v>
      </c>
      <c r="P20" s="4" t="s">
        <v>47</v>
      </c>
      <c r="Q20" s="4">
        <v>5</v>
      </c>
      <c r="R20" s="4">
        <v>31535</v>
      </c>
      <c r="S20" s="5">
        <v>5</v>
      </c>
      <c r="T20" s="6">
        <f t="shared" si="0"/>
        <v>149791.25</v>
      </c>
      <c r="U20" s="4">
        <v>19517.580000000002</v>
      </c>
      <c r="V20" t="str">
        <f t="shared" si="1"/>
        <v>May</v>
      </c>
      <c r="W20">
        <f t="shared" si="2"/>
        <v>0.13029853212387241</v>
      </c>
    </row>
    <row r="21" spans="1:23" x14ac:dyDescent="0.4">
      <c r="A21" s="4" t="s">
        <v>150</v>
      </c>
      <c r="B21" s="4" t="s">
        <v>151</v>
      </c>
      <c r="C21" s="11">
        <v>45194</v>
      </c>
      <c r="D21" s="4" t="s">
        <v>98</v>
      </c>
      <c r="E21" s="4" t="s">
        <v>24</v>
      </c>
      <c r="F21" s="4" t="s">
        <v>58</v>
      </c>
      <c r="G21" s="4" t="s">
        <v>41</v>
      </c>
      <c r="H21" s="4" t="s">
        <v>152</v>
      </c>
      <c r="I21" s="4" t="s">
        <v>28</v>
      </c>
      <c r="J21" s="4" t="s">
        <v>29</v>
      </c>
      <c r="K21" s="4" t="s">
        <v>153</v>
      </c>
      <c r="L21" s="4" t="s">
        <v>154</v>
      </c>
      <c r="M21" s="4" t="s">
        <v>65</v>
      </c>
      <c r="N21" s="4" t="s">
        <v>54</v>
      </c>
      <c r="O21" s="4" t="s">
        <v>34</v>
      </c>
      <c r="P21" s="4" t="s">
        <v>47</v>
      </c>
      <c r="Q21" s="4">
        <v>5</v>
      </c>
      <c r="R21" s="4">
        <v>22152</v>
      </c>
      <c r="S21" s="5">
        <v>20</v>
      </c>
      <c r="T21" s="6">
        <f t="shared" si="0"/>
        <v>88608</v>
      </c>
      <c r="U21" s="4">
        <v>-199.08</v>
      </c>
      <c r="V21" t="str">
        <f t="shared" si="1"/>
        <v>Sep</v>
      </c>
      <c r="W21">
        <f t="shared" si="2"/>
        <v>-2.2467497291440955E-3</v>
      </c>
    </row>
    <row r="22" spans="1:23" x14ac:dyDescent="0.4">
      <c r="A22" s="4" t="s">
        <v>155</v>
      </c>
      <c r="B22" s="4" t="s">
        <v>156</v>
      </c>
      <c r="C22" s="11">
        <v>45161</v>
      </c>
      <c r="D22" s="4" t="s">
        <v>39</v>
      </c>
      <c r="E22" s="4" t="s">
        <v>24</v>
      </c>
      <c r="F22" s="4" t="s">
        <v>70</v>
      </c>
      <c r="G22" s="4" t="s">
        <v>41</v>
      </c>
      <c r="H22" s="4" t="s">
        <v>158</v>
      </c>
      <c r="I22" s="4" t="s">
        <v>28</v>
      </c>
      <c r="J22" s="4" t="s">
        <v>79</v>
      </c>
      <c r="K22" s="4" t="s">
        <v>44</v>
      </c>
      <c r="L22" s="4" t="s">
        <v>159</v>
      </c>
      <c r="M22" s="4" t="s">
        <v>95</v>
      </c>
      <c r="N22" s="4" t="s">
        <v>54</v>
      </c>
      <c r="O22" s="4" t="s">
        <v>46</v>
      </c>
      <c r="P22" s="4" t="s">
        <v>88</v>
      </c>
      <c r="Q22" s="4">
        <v>5</v>
      </c>
      <c r="R22" s="4">
        <v>12672</v>
      </c>
      <c r="S22" s="5">
        <v>20</v>
      </c>
      <c r="T22" s="6">
        <f t="shared" si="0"/>
        <v>50688</v>
      </c>
      <c r="U22" s="4">
        <v>-8257.99</v>
      </c>
      <c r="V22" t="str">
        <f t="shared" si="1"/>
        <v>Aug</v>
      </c>
      <c r="W22">
        <f t="shared" si="2"/>
        <v>-0.16291804766414142</v>
      </c>
    </row>
    <row r="23" spans="1:23" x14ac:dyDescent="0.4">
      <c r="A23" s="4" t="s">
        <v>160</v>
      </c>
      <c r="B23" s="4" t="s">
        <v>161</v>
      </c>
      <c r="C23" s="11">
        <v>44659</v>
      </c>
      <c r="D23" s="4" t="s">
        <v>23</v>
      </c>
      <c r="E23" s="4" t="s">
        <v>24</v>
      </c>
      <c r="F23" s="4" t="s">
        <v>40</v>
      </c>
      <c r="G23" s="4" t="s">
        <v>59</v>
      </c>
      <c r="H23" s="4" t="s">
        <v>162</v>
      </c>
      <c r="I23" s="4" t="s">
        <v>43</v>
      </c>
      <c r="J23" s="4" t="s">
        <v>62</v>
      </c>
      <c r="K23" s="4" t="s">
        <v>30</v>
      </c>
      <c r="L23" s="4" t="s">
        <v>163</v>
      </c>
      <c r="M23" s="4" t="s">
        <v>73</v>
      </c>
      <c r="N23" s="4" t="s">
        <v>54</v>
      </c>
      <c r="O23" s="4" t="s">
        <v>66</v>
      </c>
      <c r="P23" s="4" t="s">
        <v>74</v>
      </c>
      <c r="Q23" s="4">
        <v>1</v>
      </c>
      <c r="R23" s="4">
        <v>27817</v>
      </c>
      <c r="S23" s="5">
        <v>0</v>
      </c>
      <c r="T23" s="6">
        <f t="shared" si="0"/>
        <v>27817</v>
      </c>
      <c r="U23" s="4">
        <v>4426.18</v>
      </c>
      <c r="V23" t="str">
        <f t="shared" si="1"/>
        <v>Apr</v>
      </c>
      <c r="W23">
        <f t="shared" si="2"/>
        <v>0.15911780565841033</v>
      </c>
    </row>
    <row r="24" spans="1:23" x14ac:dyDescent="0.4">
      <c r="A24" s="4" t="s">
        <v>164</v>
      </c>
      <c r="B24" s="4" t="s">
        <v>165</v>
      </c>
      <c r="C24" s="11">
        <v>45396</v>
      </c>
      <c r="D24" s="4" t="s">
        <v>39</v>
      </c>
      <c r="E24" s="4" t="s">
        <v>24</v>
      </c>
      <c r="F24" s="4" t="s">
        <v>70</v>
      </c>
      <c r="G24" s="4" t="s">
        <v>99</v>
      </c>
      <c r="H24" s="4" t="s">
        <v>166</v>
      </c>
      <c r="I24" s="4" t="s">
        <v>28</v>
      </c>
      <c r="J24" s="4" t="s">
        <v>62</v>
      </c>
      <c r="K24" s="4" t="s">
        <v>44</v>
      </c>
      <c r="L24" s="4" t="s">
        <v>167</v>
      </c>
      <c r="M24" s="4" t="s">
        <v>95</v>
      </c>
      <c r="N24" s="4" t="s">
        <v>33</v>
      </c>
      <c r="O24" s="4" t="s">
        <v>66</v>
      </c>
      <c r="P24" s="4" t="s">
        <v>74</v>
      </c>
      <c r="Q24" s="4">
        <v>4</v>
      </c>
      <c r="R24" s="4">
        <v>48278</v>
      </c>
      <c r="S24" s="5">
        <v>5</v>
      </c>
      <c r="T24" s="6">
        <f t="shared" si="0"/>
        <v>183456.4</v>
      </c>
      <c r="U24" s="4">
        <v>33650.5</v>
      </c>
      <c r="V24" t="str">
        <f t="shared" si="1"/>
        <v>Apr</v>
      </c>
      <c r="W24">
        <f t="shared" si="2"/>
        <v>0.18342505358221353</v>
      </c>
    </row>
    <row r="25" spans="1:23" x14ac:dyDescent="0.4">
      <c r="A25" s="4" t="s">
        <v>168</v>
      </c>
      <c r="B25" s="4" t="s">
        <v>169</v>
      </c>
      <c r="C25" s="11">
        <v>44799</v>
      </c>
      <c r="D25" s="4" t="s">
        <v>23</v>
      </c>
      <c r="E25" s="4" t="s">
        <v>24</v>
      </c>
      <c r="F25" s="4" t="s">
        <v>58</v>
      </c>
      <c r="G25" s="4" t="s">
        <v>41</v>
      </c>
      <c r="H25" s="4" t="s">
        <v>170</v>
      </c>
      <c r="I25" s="4" t="s">
        <v>28</v>
      </c>
      <c r="J25" s="4" t="s">
        <v>79</v>
      </c>
      <c r="K25" s="4" t="s">
        <v>44</v>
      </c>
      <c r="L25" s="4" t="s">
        <v>171</v>
      </c>
      <c r="M25" s="4" t="s">
        <v>65</v>
      </c>
      <c r="N25" s="4" t="s">
        <v>54</v>
      </c>
      <c r="O25" s="4" t="s">
        <v>120</v>
      </c>
      <c r="P25" s="4" t="s">
        <v>88</v>
      </c>
      <c r="Q25" s="4">
        <v>10</v>
      </c>
      <c r="R25" s="4">
        <v>38128</v>
      </c>
      <c r="S25" s="5">
        <v>10</v>
      </c>
      <c r="T25" s="6">
        <f t="shared" si="0"/>
        <v>343152</v>
      </c>
      <c r="U25" s="4">
        <v>-1019.84</v>
      </c>
      <c r="V25" t="str">
        <f t="shared" si="1"/>
        <v>Aug</v>
      </c>
      <c r="W25">
        <f t="shared" si="2"/>
        <v>-2.971977432741176E-3</v>
      </c>
    </row>
    <row r="26" spans="1:23" x14ac:dyDescent="0.4">
      <c r="A26" s="4" t="s">
        <v>172</v>
      </c>
      <c r="B26" s="4" t="s">
        <v>173</v>
      </c>
      <c r="C26" s="11">
        <v>44818</v>
      </c>
      <c r="D26" s="4" t="s">
        <v>23</v>
      </c>
      <c r="E26" s="4" t="s">
        <v>24</v>
      </c>
      <c r="F26" s="4" t="s">
        <v>40</v>
      </c>
      <c r="G26" s="4" t="s">
        <v>92</v>
      </c>
      <c r="H26" s="4" t="s">
        <v>175</v>
      </c>
      <c r="I26" s="4" t="s">
        <v>43</v>
      </c>
      <c r="J26" s="4" t="s">
        <v>79</v>
      </c>
      <c r="K26" s="4" t="s">
        <v>153</v>
      </c>
      <c r="L26" s="4" t="s">
        <v>176</v>
      </c>
      <c r="M26" s="4" t="s">
        <v>32</v>
      </c>
      <c r="N26" s="4" t="s">
        <v>33</v>
      </c>
      <c r="O26" s="4" t="s">
        <v>82</v>
      </c>
      <c r="P26" s="4" t="s">
        <v>35</v>
      </c>
      <c r="Q26" s="4">
        <v>8</v>
      </c>
      <c r="R26" s="4">
        <v>22162</v>
      </c>
      <c r="S26" s="5">
        <v>5</v>
      </c>
      <c r="T26" s="6">
        <f t="shared" si="0"/>
        <v>168431.2</v>
      </c>
      <c r="U26" s="4">
        <v>8707.5400000000009</v>
      </c>
      <c r="V26" t="str">
        <f t="shared" si="1"/>
        <v>Sep</v>
      </c>
      <c r="W26">
        <f t="shared" si="2"/>
        <v>5.1697903951286935E-2</v>
      </c>
    </row>
    <row r="27" spans="1:23" x14ac:dyDescent="0.4">
      <c r="A27" s="4" t="s">
        <v>177</v>
      </c>
      <c r="B27" s="4" t="s">
        <v>178</v>
      </c>
      <c r="C27" s="11">
        <v>44670</v>
      </c>
      <c r="D27" s="4" t="s">
        <v>39</v>
      </c>
      <c r="E27" s="4" t="s">
        <v>24</v>
      </c>
      <c r="F27" s="4" t="s">
        <v>25</v>
      </c>
      <c r="G27" s="4" t="s">
        <v>59</v>
      </c>
      <c r="H27" s="4" t="s">
        <v>180</v>
      </c>
      <c r="I27" s="4" t="s">
        <v>28</v>
      </c>
      <c r="J27" s="4" t="s">
        <v>29</v>
      </c>
      <c r="K27" s="4" t="s">
        <v>101</v>
      </c>
      <c r="L27" s="4" t="s">
        <v>181</v>
      </c>
      <c r="M27" s="4" t="s">
        <v>73</v>
      </c>
      <c r="N27" s="4" t="s">
        <v>33</v>
      </c>
      <c r="O27" s="4" t="s">
        <v>34</v>
      </c>
      <c r="P27" s="4" t="s">
        <v>47</v>
      </c>
      <c r="Q27" s="4">
        <v>2</v>
      </c>
      <c r="R27" s="4">
        <v>12053</v>
      </c>
      <c r="S27" s="5">
        <v>20</v>
      </c>
      <c r="T27" s="6">
        <f t="shared" si="0"/>
        <v>19284.8</v>
      </c>
      <c r="U27" s="4">
        <v>1865.84</v>
      </c>
      <c r="V27" t="str">
        <f t="shared" si="1"/>
        <v>Apr</v>
      </c>
      <c r="W27">
        <f t="shared" si="2"/>
        <v>9.675184601344064E-2</v>
      </c>
    </row>
    <row r="28" spans="1:23" x14ac:dyDescent="0.4">
      <c r="A28" s="4" t="s">
        <v>182</v>
      </c>
      <c r="B28" s="4" t="s">
        <v>183</v>
      </c>
      <c r="C28" s="11">
        <v>45267</v>
      </c>
      <c r="D28" s="4" t="s">
        <v>23</v>
      </c>
      <c r="E28" s="4" t="s">
        <v>24</v>
      </c>
      <c r="F28" s="4" t="s">
        <v>58</v>
      </c>
      <c r="G28" s="4" t="s">
        <v>92</v>
      </c>
      <c r="H28" s="4" t="s">
        <v>185</v>
      </c>
      <c r="I28" s="4" t="s">
        <v>61</v>
      </c>
      <c r="J28" s="4" t="s">
        <v>29</v>
      </c>
      <c r="K28" s="4" t="s">
        <v>153</v>
      </c>
      <c r="L28" s="4" t="s">
        <v>186</v>
      </c>
      <c r="M28" s="4" t="s">
        <v>73</v>
      </c>
      <c r="N28" s="4" t="s">
        <v>54</v>
      </c>
      <c r="O28" s="4" t="s">
        <v>46</v>
      </c>
      <c r="P28" s="4" t="s">
        <v>35</v>
      </c>
      <c r="Q28" s="4">
        <v>2</v>
      </c>
      <c r="R28" s="4">
        <v>17652</v>
      </c>
      <c r="S28" s="5">
        <v>10</v>
      </c>
      <c r="T28" s="6">
        <f t="shared" si="0"/>
        <v>31773.599999999999</v>
      </c>
      <c r="U28" s="4">
        <v>1569.28</v>
      </c>
      <c r="V28" t="str">
        <f t="shared" si="1"/>
        <v>Dec</v>
      </c>
      <c r="W28">
        <f t="shared" si="2"/>
        <v>4.9389430218797999E-2</v>
      </c>
    </row>
    <row r="29" spans="1:23" x14ac:dyDescent="0.4">
      <c r="A29" s="4" t="s">
        <v>187</v>
      </c>
      <c r="B29" s="4" t="s">
        <v>188</v>
      </c>
      <c r="C29" s="11">
        <v>45383</v>
      </c>
      <c r="D29" s="4" t="s">
        <v>39</v>
      </c>
      <c r="E29" s="4" t="s">
        <v>24</v>
      </c>
      <c r="F29" s="4" t="s">
        <v>70</v>
      </c>
      <c r="G29" s="4" t="s">
        <v>41</v>
      </c>
      <c r="H29" s="4" t="s">
        <v>189</v>
      </c>
      <c r="I29" s="4" t="s">
        <v>28</v>
      </c>
      <c r="J29" s="4" t="s">
        <v>29</v>
      </c>
      <c r="K29" s="4" t="s">
        <v>44</v>
      </c>
      <c r="L29" s="4" t="s">
        <v>190</v>
      </c>
      <c r="M29" s="4" t="s">
        <v>73</v>
      </c>
      <c r="N29" s="4" t="s">
        <v>54</v>
      </c>
      <c r="O29" s="4" t="s">
        <v>120</v>
      </c>
      <c r="P29" s="4" t="s">
        <v>35</v>
      </c>
      <c r="Q29" s="4">
        <v>8</v>
      </c>
      <c r="R29" s="4">
        <v>46160</v>
      </c>
      <c r="S29" s="5">
        <v>0</v>
      </c>
      <c r="T29" s="6">
        <f t="shared" si="0"/>
        <v>369280</v>
      </c>
      <c r="U29" s="4">
        <v>107362.33</v>
      </c>
      <c r="V29" t="str">
        <f t="shared" si="1"/>
        <v>Mar</v>
      </c>
      <c r="W29">
        <f t="shared" si="2"/>
        <v>0.29073421252166376</v>
      </c>
    </row>
    <row r="30" spans="1:23" x14ac:dyDescent="0.4">
      <c r="A30" s="4" t="s">
        <v>191</v>
      </c>
      <c r="B30" s="4" t="s">
        <v>56</v>
      </c>
      <c r="C30" s="11">
        <v>44957</v>
      </c>
      <c r="D30" s="4" t="s">
        <v>124</v>
      </c>
      <c r="E30" s="4" t="s">
        <v>24</v>
      </c>
      <c r="F30" s="4" t="s">
        <v>58</v>
      </c>
      <c r="G30" s="4" t="s">
        <v>41</v>
      </c>
      <c r="H30" s="4" t="s">
        <v>193</v>
      </c>
      <c r="I30" s="4" t="s">
        <v>43</v>
      </c>
      <c r="J30" s="4" t="s">
        <v>29</v>
      </c>
      <c r="K30" s="4" t="s">
        <v>153</v>
      </c>
      <c r="L30" s="4" t="s">
        <v>194</v>
      </c>
      <c r="M30" s="4" t="s">
        <v>32</v>
      </c>
      <c r="N30" s="4" t="s">
        <v>33</v>
      </c>
      <c r="O30" s="4" t="s">
        <v>82</v>
      </c>
      <c r="P30" s="4" t="s">
        <v>47</v>
      </c>
      <c r="Q30" s="4">
        <v>2</v>
      </c>
      <c r="R30" s="4">
        <v>22972</v>
      </c>
      <c r="S30" s="5">
        <v>15</v>
      </c>
      <c r="T30" s="6">
        <f t="shared" si="0"/>
        <v>39052.400000000001</v>
      </c>
      <c r="U30" s="4">
        <v>1511.19</v>
      </c>
      <c r="V30" t="str">
        <f t="shared" si="1"/>
        <v>Jan</v>
      </c>
      <c r="W30">
        <f t="shared" si="2"/>
        <v>3.869646935911749E-2</v>
      </c>
    </row>
    <row r="31" spans="1:23" x14ac:dyDescent="0.4">
      <c r="A31" s="4" t="s">
        <v>195</v>
      </c>
      <c r="B31" s="4" t="s">
        <v>196</v>
      </c>
      <c r="C31" s="11">
        <v>44858</v>
      </c>
      <c r="D31" s="4" t="s">
        <v>124</v>
      </c>
      <c r="E31" s="4" t="s">
        <v>24</v>
      </c>
      <c r="F31" s="4" t="s">
        <v>40</v>
      </c>
      <c r="G31" s="4" t="s">
        <v>99</v>
      </c>
      <c r="H31" s="4" t="s">
        <v>197</v>
      </c>
      <c r="I31" s="4" t="s">
        <v>28</v>
      </c>
      <c r="J31" s="4" t="s">
        <v>79</v>
      </c>
      <c r="K31" s="4" t="s">
        <v>44</v>
      </c>
      <c r="L31" s="4" t="s">
        <v>198</v>
      </c>
      <c r="M31" s="4" t="s">
        <v>73</v>
      </c>
      <c r="N31" s="4" t="s">
        <v>33</v>
      </c>
      <c r="O31" s="4" t="s">
        <v>34</v>
      </c>
      <c r="P31" s="4" t="s">
        <v>47</v>
      </c>
      <c r="Q31" s="4">
        <v>6</v>
      </c>
      <c r="R31" s="4">
        <v>4276</v>
      </c>
      <c r="S31" s="5">
        <v>20</v>
      </c>
      <c r="T31" s="6">
        <f t="shared" si="0"/>
        <v>20524.8</v>
      </c>
      <c r="U31" s="4">
        <v>1634.75</v>
      </c>
      <c r="V31" t="str">
        <f t="shared" si="1"/>
        <v>Oct</v>
      </c>
      <c r="W31">
        <f t="shared" si="2"/>
        <v>7.9647548331774246E-2</v>
      </c>
    </row>
    <row r="32" spans="1:23" x14ac:dyDescent="0.4">
      <c r="A32" s="4" t="s">
        <v>199</v>
      </c>
      <c r="B32" s="4" t="s">
        <v>200</v>
      </c>
      <c r="C32" s="11">
        <v>45458</v>
      </c>
      <c r="D32" s="4" t="s">
        <v>98</v>
      </c>
      <c r="E32" s="4" t="s">
        <v>24</v>
      </c>
      <c r="F32" s="4" t="s">
        <v>25</v>
      </c>
      <c r="G32" s="4" t="s">
        <v>99</v>
      </c>
      <c r="H32" s="4" t="s">
        <v>202</v>
      </c>
      <c r="I32" s="4" t="s">
        <v>28</v>
      </c>
      <c r="J32" s="4" t="s">
        <v>62</v>
      </c>
      <c r="K32" s="4" t="s">
        <v>153</v>
      </c>
      <c r="L32" s="4" t="s">
        <v>203</v>
      </c>
      <c r="M32" s="4" t="s">
        <v>73</v>
      </c>
      <c r="N32" s="4" t="s">
        <v>33</v>
      </c>
      <c r="O32" s="4" t="s">
        <v>82</v>
      </c>
      <c r="P32" s="4" t="s">
        <v>88</v>
      </c>
      <c r="Q32" s="4">
        <v>5</v>
      </c>
      <c r="R32" s="4">
        <v>28873</v>
      </c>
      <c r="S32" s="5">
        <v>10</v>
      </c>
      <c r="T32" s="6">
        <f t="shared" si="0"/>
        <v>129928.5</v>
      </c>
      <c r="U32" s="4">
        <v>-3398.82</v>
      </c>
      <c r="V32" t="str">
        <f t="shared" si="1"/>
        <v>Jun</v>
      </c>
      <c r="W32">
        <f t="shared" si="2"/>
        <v>-2.6159156766991078E-2</v>
      </c>
    </row>
    <row r="33" spans="1:23" x14ac:dyDescent="0.4">
      <c r="A33" s="4" t="s">
        <v>204</v>
      </c>
      <c r="B33" s="4" t="s">
        <v>205</v>
      </c>
      <c r="C33" s="11">
        <v>44939</v>
      </c>
      <c r="D33" s="4" t="s">
        <v>98</v>
      </c>
      <c r="E33" s="4" t="s">
        <v>24</v>
      </c>
      <c r="F33" s="4" t="s">
        <v>70</v>
      </c>
      <c r="G33" s="4" t="s">
        <v>41</v>
      </c>
      <c r="H33" s="4" t="s">
        <v>207</v>
      </c>
      <c r="I33" s="4" t="s">
        <v>61</v>
      </c>
      <c r="J33" s="4" t="s">
        <v>79</v>
      </c>
      <c r="K33" s="4" t="s">
        <v>101</v>
      </c>
      <c r="L33" s="4" t="s">
        <v>208</v>
      </c>
      <c r="M33" s="4" t="s">
        <v>65</v>
      </c>
      <c r="N33" s="4" t="s">
        <v>54</v>
      </c>
      <c r="O33" s="4" t="s">
        <v>120</v>
      </c>
      <c r="P33" s="4" t="s">
        <v>88</v>
      </c>
      <c r="Q33" s="4">
        <v>9</v>
      </c>
      <c r="R33" s="4">
        <v>49562</v>
      </c>
      <c r="S33" s="5">
        <v>10</v>
      </c>
      <c r="T33" s="6">
        <f t="shared" si="0"/>
        <v>401452.2</v>
      </c>
      <c r="U33" s="4">
        <v>9254.7900000000009</v>
      </c>
      <c r="V33" t="str">
        <f t="shared" si="1"/>
        <v>Jan</v>
      </c>
      <c r="W33">
        <f t="shared" si="2"/>
        <v>2.3053280066717783E-2</v>
      </c>
    </row>
    <row r="34" spans="1:23" x14ac:dyDescent="0.4">
      <c r="A34" s="4" t="s">
        <v>209</v>
      </c>
      <c r="B34" s="4" t="s">
        <v>210</v>
      </c>
      <c r="C34" s="11">
        <v>45446</v>
      </c>
      <c r="D34" s="4" t="s">
        <v>39</v>
      </c>
      <c r="E34" s="4" t="s">
        <v>24</v>
      </c>
      <c r="F34" s="4" t="s">
        <v>58</v>
      </c>
      <c r="G34" s="4" t="s">
        <v>41</v>
      </c>
      <c r="H34" s="4" t="s">
        <v>212</v>
      </c>
      <c r="I34" s="4" t="s">
        <v>28</v>
      </c>
      <c r="J34" s="4" t="s">
        <v>62</v>
      </c>
      <c r="K34" s="4" t="s">
        <v>30</v>
      </c>
      <c r="L34" s="4" t="s">
        <v>213</v>
      </c>
      <c r="M34" s="4" t="s">
        <v>95</v>
      </c>
      <c r="N34" s="4" t="s">
        <v>33</v>
      </c>
      <c r="O34" s="4" t="s">
        <v>34</v>
      </c>
      <c r="P34" s="4" t="s">
        <v>74</v>
      </c>
      <c r="Q34" s="4">
        <v>9</v>
      </c>
      <c r="R34" s="4">
        <v>12298</v>
      </c>
      <c r="S34" s="5">
        <v>15</v>
      </c>
      <c r="T34" s="6">
        <f t="shared" si="0"/>
        <v>94079.7</v>
      </c>
      <c r="U34" s="4">
        <v>-4681.93</v>
      </c>
      <c r="V34" t="str">
        <f t="shared" si="1"/>
        <v>May</v>
      </c>
      <c r="W34">
        <f t="shared" si="2"/>
        <v>-4.9765571106200383E-2</v>
      </c>
    </row>
    <row r="35" spans="1:23" x14ac:dyDescent="0.4">
      <c r="A35" s="4" t="s">
        <v>214</v>
      </c>
      <c r="B35" s="4" t="s">
        <v>215</v>
      </c>
      <c r="C35" s="11">
        <v>45360</v>
      </c>
      <c r="D35" s="4" t="s">
        <v>98</v>
      </c>
      <c r="E35" s="4" t="s">
        <v>24</v>
      </c>
      <c r="F35" s="4" t="s">
        <v>40</v>
      </c>
      <c r="G35" s="4" t="s">
        <v>59</v>
      </c>
      <c r="H35" s="4" t="s">
        <v>217</v>
      </c>
      <c r="I35" s="4" t="s">
        <v>61</v>
      </c>
      <c r="J35" s="4" t="s">
        <v>62</v>
      </c>
      <c r="K35" s="4" t="s">
        <v>101</v>
      </c>
      <c r="L35" s="4" t="s">
        <v>218</v>
      </c>
      <c r="M35" s="4" t="s">
        <v>95</v>
      </c>
      <c r="N35" s="4" t="s">
        <v>54</v>
      </c>
      <c r="O35" s="4" t="s">
        <v>66</v>
      </c>
      <c r="P35" s="4" t="s">
        <v>74</v>
      </c>
      <c r="Q35" s="4">
        <v>10</v>
      </c>
      <c r="R35" s="4">
        <v>28052</v>
      </c>
      <c r="S35" s="5">
        <v>0</v>
      </c>
      <c r="T35" s="6">
        <f t="shared" si="0"/>
        <v>280520</v>
      </c>
      <c r="U35" s="4">
        <v>37539.019999999997</v>
      </c>
      <c r="V35" t="str">
        <f t="shared" si="1"/>
        <v>Mar</v>
      </c>
      <c r="W35">
        <f t="shared" si="2"/>
        <v>0.13381940681591328</v>
      </c>
    </row>
    <row r="36" spans="1:23" x14ac:dyDescent="0.4">
      <c r="A36" s="4" t="s">
        <v>219</v>
      </c>
      <c r="B36" s="4" t="s">
        <v>220</v>
      </c>
      <c r="C36" s="11">
        <v>45151</v>
      </c>
      <c r="D36" s="4" t="s">
        <v>23</v>
      </c>
      <c r="E36" s="4" t="s">
        <v>24</v>
      </c>
      <c r="F36" s="4" t="s">
        <v>26</v>
      </c>
      <c r="G36" s="4" t="s">
        <v>92</v>
      </c>
      <c r="H36" s="4" t="s">
        <v>222</v>
      </c>
      <c r="I36" s="4" t="s">
        <v>61</v>
      </c>
      <c r="J36" s="4" t="s">
        <v>29</v>
      </c>
      <c r="K36" s="4" t="s">
        <v>44</v>
      </c>
      <c r="L36" s="4" t="s">
        <v>223</v>
      </c>
      <c r="M36" s="4" t="s">
        <v>65</v>
      </c>
      <c r="N36" s="4" t="s">
        <v>33</v>
      </c>
      <c r="O36" s="4" t="s">
        <v>120</v>
      </c>
      <c r="P36" s="4" t="s">
        <v>35</v>
      </c>
      <c r="Q36" s="4">
        <v>9</v>
      </c>
      <c r="R36" s="4">
        <v>44223</v>
      </c>
      <c r="S36" s="5">
        <v>15</v>
      </c>
      <c r="T36" s="6">
        <f t="shared" si="0"/>
        <v>338305.95</v>
      </c>
      <c r="U36" s="4">
        <v>40479.160000000003</v>
      </c>
      <c r="V36" t="str">
        <f t="shared" si="1"/>
        <v>Aug</v>
      </c>
      <c r="W36">
        <f t="shared" si="2"/>
        <v>0.11965252163019895</v>
      </c>
    </row>
    <row r="37" spans="1:23" x14ac:dyDescent="0.4">
      <c r="A37" s="4" t="s">
        <v>224</v>
      </c>
      <c r="B37" s="4" t="s">
        <v>225</v>
      </c>
      <c r="C37" s="11">
        <v>45037</v>
      </c>
      <c r="D37" s="4" t="s">
        <v>39</v>
      </c>
      <c r="E37" s="4" t="s">
        <v>24</v>
      </c>
      <c r="F37" s="4" t="s">
        <v>70</v>
      </c>
      <c r="G37" s="4" t="s">
        <v>26</v>
      </c>
      <c r="H37" s="4" t="s">
        <v>227</v>
      </c>
      <c r="I37" s="4" t="s">
        <v>61</v>
      </c>
      <c r="J37" s="4" t="s">
        <v>29</v>
      </c>
      <c r="K37" s="4" t="s">
        <v>153</v>
      </c>
      <c r="L37" s="4" t="s">
        <v>228</v>
      </c>
      <c r="M37" s="4" t="s">
        <v>81</v>
      </c>
      <c r="N37" s="4" t="s">
        <v>33</v>
      </c>
      <c r="O37" s="4" t="s">
        <v>82</v>
      </c>
      <c r="P37" s="4" t="s">
        <v>47</v>
      </c>
      <c r="Q37" s="4">
        <v>9</v>
      </c>
      <c r="R37" s="4">
        <v>24314</v>
      </c>
      <c r="S37" s="5">
        <v>0</v>
      </c>
      <c r="T37" s="6">
        <f t="shared" si="0"/>
        <v>218826</v>
      </c>
      <c r="U37" s="4">
        <v>39737.33</v>
      </c>
      <c r="V37" t="str">
        <f t="shared" si="1"/>
        <v>Apr</v>
      </c>
      <c r="W37">
        <f t="shared" si="2"/>
        <v>0.18159327502216374</v>
      </c>
    </row>
    <row r="38" spans="1:23" x14ac:dyDescent="0.4">
      <c r="A38" s="4" t="s">
        <v>229</v>
      </c>
      <c r="B38" s="4" t="s">
        <v>230</v>
      </c>
      <c r="C38" s="11">
        <v>44838</v>
      </c>
      <c r="D38" s="4" t="s">
        <v>23</v>
      </c>
      <c r="E38" s="4" t="s">
        <v>24</v>
      </c>
      <c r="F38" s="4" t="s">
        <v>70</v>
      </c>
      <c r="G38" s="4" t="s">
        <v>41</v>
      </c>
      <c r="H38" s="4" t="s">
        <v>231</v>
      </c>
      <c r="I38" s="4" t="s">
        <v>61</v>
      </c>
      <c r="J38" s="4" t="s">
        <v>29</v>
      </c>
      <c r="K38" s="4" t="s">
        <v>30</v>
      </c>
      <c r="L38" s="4" t="s">
        <v>232</v>
      </c>
      <c r="M38" s="4" t="s">
        <v>65</v>
      </c>
      <c r="N38" s="4" t="s">
        <v>33</v>
      </c>
      <c r="O38" s="4" t="s">
        <v>66</v>
      </c>
      <c r="P38" s="4" t="s">
        <v>74</v>
      </c>
      <c r="Q38" s="4">
        <v>5</v>
      </c>
      <c r="R38" s="4">
        <v>2210</v>
      </c>
      <c r="S38" s="5">
        <v>10</v>
      </c>
      <c r="T38" s="6">
        <f t="shared" si="0"/>
        <v>9945</v>
      </c>
      <c r="U38" s="4">
        <v>2039.84</v>
      </c>
      <c r="V38" t="str">
        <f t="shared" si="1"/>
        <v>Sep</v>
      </c>
      <c r="W38">
        <f t="shared" si="2"/>
        <v>0.2051121166415284</v>
      </c>
    </row>
    <row r="39" spans="1:23" x14ac:dyDescent="0.4">
      <c r="A39" s="4" t="s">
        <v>233</v>
      </c>
      <c r="B39" s="4" t="s">
        <v>234</v>
      </c>
      <c r="C39" s="11">
        <v>45059</v>
      </c>
      <c r="D39" s="4" t="s">
        <v>23</v>
      </c>
      <c r="E39" s="4" t="s">
        <v>24</v>
      </c>
      <c r="F39" s="4" t="s">
        <v>25</v>
      </c>
      <c r="G39" s="4" t="s">
        <v>41</v>
      </c>
      <c r="H39" s="4" t="s">
        <v>236</v>
      </c>
      <c r="I39" s="4" t="s">
        <v>43</v>
      </c>
      <c r="J39" s="4" t="s">
        <v>79</v>
      </c>
      <c r="K39" s="4" t="s">
        <v>44</v>
      </c>
      <c r="L39" s="4" t="s">
        <v>237</v>
      </c>
      <c r="M39" s="4" t="s">
        <v>95</v>
      </c>
      <c r="N39" s="4" t="s">
        <v>33</v>
      </c>
      <c r="O39" s="4" t="s">
        <v>66</v>
      </c>
      <c r="P39" s="4" t="s">
        <v>88</v>
      </c>
      <c r="Q39" s="4">
        <v>8</v>
      </c>
      <c r="R39" s="4">
        <v>17701</v>
      </c>
      <c r="S39" s="5">
        <v>10</v>
      </c>
      <c r="T39" s="6">
        <f t="shared" si="0"/>
        <v>127447.2</v>
      </c>
      <c r="U39" s="4">
        <v>26222.99</v>
      </c>
      <c r="V39" t="str">
        <f t="shared" si="1"/>
        <v>May</v>
      </c>
      <c r="W39">
        <f t="shared" si="2"/>
        <v>0.20575571687726371</v>
      </c>
    </row>
    <row r="40" spans="1:23" x14ac:dyDescent="0.4">
      <c r="A40" s="4" t="s">
        <v>238</v>
      </c>
      <c r="B40" s="4" t="s">
        <v>239</v>
      </c>
      <c r="C40" s="11">
        <v>45350</v>
      </c>
      <c r="D40" s="4" t="s">
        <v>39</v>
      </c>
      <c r="E40" s="4" t="s">
        <v>24</v>
      </c>
      <c r="F40" s="4" t="s">
        <v>58</v>
      </c>
      <c r="G40" s="4" t="s">
        <v>99</v>
      </c>
      <c r="H40" s="4" t="s">
        <v>240</v>
      </c>
      <c r="I40" s="4" t="s">
        <v>28</v>
      </c>
      <c r="J40" s="4" t="s">
        <v>29</v>
      </c>
      <c r="K40" s="4" t="s">
        <v>101</v>
      </c>
      <c r="L40" s="4" t="s">
        <v>241</v>
      </c>
      <c r="M40" s="4" t="s">
        <v>32</v>
      </c>
      <c r="N40" s="4" t="s">
        <v>33</v>
      </c>
      <c r="O40" s="4" t="s">
        <v>82</v>
      </c>
      <c r="P40" s="4" t="s">
        <v>88</v>
      </c>
      <c r="Q40" s="4">
        <v>9</v>
      </c>
      <c r="R40" s="4">
        <v>19442</v>
      </c>
      <c r="S40" s="5">
        <v>20</v>
      </c>
      <c r="T40" s="6">
        <f t="shared" si="0"/>
        <v>139982.39999999999</v>
      </c>
      <c r="U40" s="4">
        <v>-10571.29</v>
      </c>
      <c r="V40" t="str">
        <f t="shared" si="1"/>
        <v>Feb</v>
      </c>
      <c r="W40">
        <f t="shared" si="2"/>
        <v>-7.5518708066156903E-2</v>
      </c>
    </row>
    <row r="41" spans="1:23" x14ac:dyDescent="0.4">
      <c r="A41" s="4" t="s">
        <v>242</v>
      </c>
      <c r="B41" s="4" t="s">
        <v>243</v>
      </c>
      <c r="C41" s="11">
        <v>45027</v>
      </c>
      <c r="D41" s="4" t="s">
        <v>23</v>
      </c>
      <c r="E41" s="4" t="s">
        <v>24</v>
      </c>
      <c r="F41" s="4" t="s">
        <v>40</v>
      </c>
      <c r="G41" s="4" t="s">
        <v>26</v>
      </c>
      <c r="H41" s="4" t="s">
        <v>245</v>
      </c>
      <c r="I41" s="4" t="s">
        <v>61</v>
      </c>
      <c r="J41" s="4" t="s">
        <v>62</v>
      </c>
      <c r="K41" s="4" t="s">
        <v>30</v>
      </c>
      <c r="L41" s="4" t="s">
        <v>246</v>
      </c>
      <c r="M41" s="4" t="s">
        <v>53</v>
      </c>
      <c r="N41" s="4" t="s">
        <v>33</v>
      </c>
      <c r="O41" s="4" t="s">
        <v>120</v>
      </c>
      <c r="P41" s="4" t="s">
        <v>88</v>
      </c>
      <c r="Q41" s="4">
        <v>9</v>
      </c>
      <c r="R41" s="4">
        <v>13193</v>
      </c>
      <c r="S41" s="5">
        <v>5</v>
      </c>
      <c r="T41" s="6">
        <f t="shared" si="0"/>
        <v>112800.15</v>
      </c>
      <c r="U41" s="4">
        <v>15206.58</v>
      </c>
      <c r="V41" t="str">
        <f t="shared" si="1"/>
        <v>Apr</v>
      </c>
      <c r="W41">
        <f t="shared" si="2"/>
        <v>0.13480992711445863</v>
      </c>
    </row>
    <row r="42" spans="1:23" x14ac:dyDescent="0.4">
      <c r="A42" s="4" t="s">
        <v>247</v>
      </c>
      <c r="B42" s="4" t="s">
        <v>248</v>
      </c>
      <c r="C42" s="11">
        <v>45421</v>
      </c>
      <c r="D42" s="4" t="s">
        <v>124</v>
      </c>
      <c r="E42" s="4" t="s">
        <v>24</v>
      </c>
      <c r="F42" s="4" t="s">
        <v>70</v>
      </c>
      <c r="G42" s="4" t="s">
        <v>99</v>
      </c>
      <c r="H42" s="4" t="s">
        <v>250</v>
      </c>
      <c r="I42" s="4" t="s">
        <v>28</v>
      </c>
      <c r="J42" s="4" t="s">
        <v>29</v>
      </c>
      <c r="K42" s="4" t="s">
        <v>101</v>
      </c>
      <c r="L42" s="4" t="s">
        <v>251</v>
      </c>
      <c r="M42" s="4" t="s">
        <v>65</v>
      </c>
      <c r="N42" s="4" t="s">
        <v>33</v>
      </c>
      <c r="O42" s="4" t="s">
        <v>34</v>
      </c>
      <c r="P42" s="4" t="s">
        <v>35</v>
      </c>
      <c r="Q42" s="4">
        <v>6</v>
      </c>
      <c r="R42" s="4">
        <v>2013</v>
      </c>
      <c r="S42" s="5">
        <v>20</v>
      </c>
      <c r="T42" s="6">
        <f t="shared" si="0"/>
        <v>9662.4</v>
      </c>
      <c r="U42" s="4">
        <v>-455.29</v>
      </c>
      <c r="V42" t="str">
        <f t="shared" si="1"/>
        <v>Apr</v>
      </c>
      <c r="W42">
        <f t="shared" si="2"/>
        <v>-4.7119763205828787E-2</v>
      </c>
    </row>
    <row r="43" spans="1:23" x14ac:dyDescent="0.4">
      <c r="A43" s="4" t="s">
        <v>252</v>
      </c>
      <c r="B43" s="4" t="s">
        <v>253</v>
      </c>
      <c r="C43" s="11">
        <v>45273</v>
      </c>
      <c r="D43" s="4" t="s">
        <v>23</v>
      </c>
      <c r="E43" s="4" t="s">
        <v>24</v>
      </c>
      <c r="F43" s="4" t="s">
        <v>26</v>
      </c>
      <c r="G43" s="4" t="s">
        <v>92</v>
      </c>
      <c r="H43" s="4" t="s">
        <v>254</v>
      </c>
      <c r="I43" s="4" t="s">
        <v>28</v>
      </c>
      <c r="J43" s="4" t="s">
        <v>79</v>
      </c>
      <c r="K43" s="4" t="s">
        <v>86</v>
      </c>
      <c r="L43" s="4" t="s">
        <v>190</v>
      </c>
      <c r="M43" s="4" t="s">
        <v>53</v>
      </c>
      <c r="N43" s="4" t="s">
        <v>33</v>
      </c>
      <c r="O43" s="4" t="s">
        <v>46</v>
      </c>
      <c r="P43" s="4" t="s">
        <v>74</v>
      </c>
      <c r="Q43" s="4">
        <v>9</v>
      </c>
      <c r="R43" s="4">
        <v>2647</v>
      </c>
      <c r="S43" s="5">
        <v>10</v>
      </c>
      <c r="T43" s="6">
        <f t="shared" si="0"/>
        <v>21440.7</v>
      </c>
      <c r="U43" s="4">
        <v>-284.89</v>
      </c>
      <c r="V43" t="str">
        <f t="shared" si="1"/>
        <v>Dec</v>
      </c>
      <c r="W43">
        <f t="shared" si="2"/>
        <v>-1.3287346028814357E-2</v>
      </c>
    </row>
    <row r="44" spans="1:23" x14ac:dyDescent="0.4">
      <c r="A44" s="4" t="s">
        <v>255</v>
      </c>
      <c r="B44" s="4" t="s">
        <v>256</v>
      </c>
      <c r="C44" s="11">
        <v>45099</v>
      </c>
      <c r="D44" s="4" t="s">
        <v>98</v>
      </c>
      <c r="E44" s="4" t="s">
        <v>24</v>
      </c>
      <c r="F44" s="4" t="s">
        <v>26</v>
      </c>
      <c r="G44" s="4" t="s">
        <v>92</v>
      </c>
      <c r="H44" s="4" t="s">
        <v>258</v>
      </c>
      <c r="I44" s="4" t="s">
        <v>43</v>
      </c>
      <c r="J44" s="4" t="s">
        <v>62</v>
      </c>
      <c r="K44" s="4" t="s">
        <v>44</v>
      </c>
      <c r="L44" s="4" t="s">
        <v>259</v>
      </c>
      <c r="M44" s="4" t="s">
        <v>32</v>
      </c>
      <c r="N44" s="4" t="s">
        <v>33</v>
      </c>
      <c r="O44" s="4" t="s">
        <v>120</v>
      </c>
      <c r="P44" s="4" t="s">
        <v>74</v>
      </c>
      <c r="Q44" s="4">
        <v>1</v>
      </c>
      <c r="R44" s="4">
        <v>37076</v>
      </c>
      <c r="S44" s="5">
        <v>5</v>
      </c>
      <c r="T44" s="6">
        <f t="shared" si="0"/>
        <v>35222.199999999997</v>
      </c>
      <c r="U44" s="4">
        <v>2673.32</v>
      </c>
      <c r="V44" t="str">
        <f t="shared" si="1"/>
        <v>Jun</v>
      </c>
      <c r="W44">
        <f t="shared" si="2"/>
        <v>7.5898722964494E-2</v>
      </c>
    </row>
    <row r="45" spans="1:23" x14ac:dyDescent="0.4">
      <c r="A45" s="4" t="s">
        <v>260</v>
      </c>
      <c r="B45" s="4" t="s">
        <v>261</v>
      </c>
      <c r="C45" s="11">
        <v>44794</v>
      </c>
      <c r="D45" s="4" t="s">
        <v>98</v>
      </c>
      <c r="E45" s="4" t="s">
        <v>24</v>
      </c>
      <c r="F45" s="4" t="s">
        <v>70</v>
      </c>
      <c r="G45" s="4" t="s">
        <v>41</v>
      </c>
      <c r="H45" s="4" t="s">
        <v>263</v>
      </c>
      <c r="I45" s="4" t="s">
        <v>61</v>
      </c>
      <c r="J45" s="4" t="s">
        <v>79</v>
      </c>
      <c r="K45" s="4" t="s">
        <v>30</v>
      </c>
      <c r="L45" s="4" t="s">
        <v>264</v>
      </c>
      <c r="M45" s="4" t="s">
        <v>81</v>
      </c>
      <c r="N45" s="4" t="s">
        <v>54</v>
      </c>
      <c r="O45" s="4" t="s">
        <v>120</v>
      </c>
      <c r="P45" s="4" t="s">
        <v>88</v>
      </c>
      <c r="Q45" s="4">
        <v>1</v>
      </c>
      <c r="R45" s="4">
        <v>5395</v>
      </c>
      <c r="S45" s="5">
        <v>20</v>
      </c>
      <c r="T45" s="6">
        <f t="shared" si="0"/>
        <v>4316</v>
      </c>
      <c r="U45" s="4">
        <v>298.14999999999998</v>
      </c>
      <c r="V45" t="str">
        <f t="shared" si="1"/>
        <v>Aug</v>
      </c>
      <c r="W45">
        <f t="shared" si="2"/>
        <v>6.9080166821130676E-2</v>
      </c>
    </row>
    <row r="46" spans="1:23" x14ac:dyDescent="0.4">
      <c r="A46" s="4" t="s">
        <v>265</v>
      </c>
      <c r="B46" s="4" t="s">
        <v>266</v>
      </c>
      <c r="C46" s="11">
        <v>44762</v>
      </c>
      <c r="D46" s="4" t="s">
        <v>39</v>
      </c>
      <c r="E46" s="4" t="s">
        <v>24</v>
      </c>
      <c r="F46" s="4" t="s">
        <v>58</v>
      </c>
      <c r="G46" s="4" t="s">
        <v>99</v>
      </c>
      <c r="H46" s="4" t="s">
        <v>268</v>
      </c>
      <c r="I46" s="4" t="s">
        <v>61</v>
      </c>
      <c r="J46" s="4" t="s">
        <v>62</v>
      </c>
      <c r="K46" s="4" t="s">
        <v>30</v>
      </c>
      <c r="L46" s="4" t="s">
        <v>203</v>
      </c>
      <c r="M46" s="4" t="s">
        <v>65</v>
      </c>
      <c r="N46" s="4" t="s">
        <v>33</v>
      </c>
      <c r="O46" s="4" t="s">
        <v>82</v>
      </c>
      <c r="P46" s="4" t="s">
        <v>74</v>
      </c>
      <c r="Q46" s="4">
        <v>3</v>
      </c>
      <c r="R46" s="4">
        <v>42319</v>
      </c>
      <c r="S46" s="5">
        <v>0</v>
      </c>
      <c r="T46" s="6">
        <f t="shared" si="0"/>
        <v>126957</v>
      </c>
      <c r="U46" s="4">
        <v>35149.85</v>
      </c>
      <c r="V46" t="str">
        <f t="shared" si="1"/>
        <v>Jul</v>
      </c>
      <c r="W46">
        <f t="shared" si="2"/>
        <v>0.27686421386768745</v>
      </c>
    </row>
    <row r="47" spans="1:23" x14ac:dyDescent="0.4">
      <c r="A47" s="4" t="s">
        <v>269</v>
      </c>
      <c r="B47" s="4" t="s">
        <v>270</v>
      </c>
      <c r="C47" s="11">
        <v>44794</v>
      </c>
      <c r="D47" s="4" t="s">
        <v>98</v>
      </c>
      <c r="E47" s="4" t="s">
        <v>24</v>
      </c>
      <c r="F47" s="4" t="s">
        <v>26</v>
      </c>
      <c r="G47" s="4" t="s">
        <v>99</v>
      </c>
      <c r="H47" s="4" t="s">
        <v>271</v>
      </c>
      <c r="I47" s="4" t="s">
        <v>43</v>
      </c>
      <c r="J47" s="4" t="s">
        <v>79</v>
      </c>
      <c r="K47" s="4" t="s">
        <v>101</v>
      </c>
      <c r="L47" s="4" t="s">
        <v>272</v>
      </c>
      <c r="M47" s="4" t="s">
        <v>73</v>
      </c>
      <c r="N47" s="4" t="s">
        <v>33</v>
      </c>
      <c r="O47" s="4" t="s">
        <v>66</v>
      </c>
      <c r="P47" s="4" t="s">
        <v>88</v>
      </c>
      <c r="Q47" s="4">
        <v>1</v>
      </c>
      <c r="R47" s="4">
        <v>10408</v>
      </c>
      <c r="S47" s="5">
        <v>10</v>
      </c>
      <c r="T47" s="6">
        <f t="shared" si="0"/>
        <v>9367.2000000000007</v>
      </c>
      <c r="U47" s="4">
        <v>1859.89</v>
      </c>
      <c r="V47" t="str">
        <f t="shared" si="1"/>
        <v>Aug</v>
      </c>
      <c r="W47">
        <f t="shared" si="2"/>
        <v>0.19855346314800582</v>
      </c>
    </row>
    <row r="48" spans="1:23" x14ac:dyDescent="0.4">
      <c r="A48" s="4" t="s">
        <v>273</v>
      </c>
      <c r="B48" s="4" t="s">
        <v>274</v>
      </c>
      <c r="C48" s="11">
        <v>44717</v>
      </c>
      <c r="D48" s="4" t="s">
        <v>23</v>
      </c>
      <c r="E48" s="4" t="s">
        <v>24</v>
      </c>
      <c r="F48" s="4" t="s">
        <v>40</v>
      </c>
      <c r="G48" s="4" t="s">
        <v>41</v>
      </c>
      <c r="H48" s="4" t="s">
        <v>276</v>
      </c>
      <c r="I48" s="4" t="s">
        <v>61</v>
      </c>
      <c r="J48" s="4" t="s">
        <v>62</v>
      </c>
      <c r="K48" s="4" t="s">
        <v>44</v>
      </c>
      <c r="L48" s="4" t="s">
        <v>277</v>
      </c>
      <c r="M48" s="4" t="s">
        <v>95</v>
      </c>
      <c r="N48" s="4" t="s">
        <v>33</v>
      </c>
      <c r="O48" s="4" t="s">
        <v>34</v>
      </c>
      <c r="P48" s="4" t="s">
        <v>35</v>
      </c>
      <c r="Q48" s="4">
        <v>7</v>
      </c>
      <c r="R48" s="4">
        <v>6480</v>
      </c>
      <c r="S48" s="5">
        <v>15</v>
      </c>
      <c r="T48" s="6">
        <f t="shared" si="0"/>
        <v>38556</v>
      </c>
      <c r="U48" s="4">
        <v>1119.9000000000001</v>
      </c>
      <c r="V48" t="str">
        <f t="shared" si="1"/>
        <v>May</v>
      </c>
      <c r="W48">
        <f t="shared" si="2"/>
        <v>2.9046062869592285E-2</v>
      </c>
    </row>
    <row r="49" spans="1:23" x14ac:dyDescent="0.4">
      <c r="A49" s="4" t="s">
        <v>278</v>
      </c>
      <c r="B49" s="4" t="s">
        <v>279</v>
      </c>
      <c r="C49" s="11">
        <v>45507</v>
      </c>
      <c r="D49" s="4" t="s">
        <v>39</v>
      </c>
      <c r="E49" s="4" t="s">
        <v>24</v>
      </c>
      <c r="F49" s="4" t="s">
        <v>58</v>
      </c>
      <c r="G49" s="4" t="s">
        <v>92</v>
      </c>
      <c r="H49" s="4" t="s">
        <v>281</v>
      </c>
      <c r="I49" s="4" t="s">
        <v>43</v>
      </c>
      <c r="J49" s="4" t="s">
        <v>79</v>
      </c>
      <c r="K49" s="4" t="s">
        <v>101</v>
      </c>
      <c r="L49" s="4" t="s">
        <v>282</v>
      </c>
      <c r="M49" s="4" t="s">
        <v>73</v>
      </c>
      <c r="N49" s="4" t="s">
        <v>33</v>
      </c>
      <c r="O49" s="4" t="s">
        <v>34</v>
      </c>
      <c r="P49" s="4" t="s">
        <v>88</v>
      </c>
      <c r="Q49" s="4">
        <v>3</v>
      </c>
      <c r="R49" s="4">
        <v>38540</v>
      </c>
      <c r="S49" s="5">
        <v>0</v>
      </c>
      <c r="T49" s="6">
        <f t="shared" si="0"/>
        <v>115620</v>
      </c>
      <c r="U49" s="4">
        <v>18664.79</v>
      </c>
      <c r="V49" t="str">
        <f t="shared" si="1"/>
        <v>Jul</v>
      </c>
      <c r="W49">
        <f t="shared" si="2"/>
        <v>0.16143219166234216</v>
      </c>
    </row>
    <row r="50" spans="1:23" x14ac:dyDescent="0.4">
      <c r="A50" s="4" t="s">
        <v>283</v>
      </c>
      <c r="B50" s="4" t="s">
        <v>284</v>
      </c>
      <c r="C50" s="11">
        <v>45048</v>
      </c>
      <c r="D50" s="4" t="s">
        <v>23</v>
      </c>
      <c r="E50" s="4" t="s">
        <v>24</v>
      </c>
      <c r="F50" s="4" t="s">
        <v>40</v>
      </c>
      <c r="G50" s="4" t="s">
        <v>92</v>
      </c>
      <c r="H50" s="4" t="s">
        <v>286</v>
      </c>
      <c r="I50" s="4" t="s">
        <v>61</v>
      </c>
      <c r="J50" s="4" t="s">
        <v>29</v>
      </c>
      <c r="K50" s="4" t="s">
        <v>101</v>
      </c>
      <c r="L50" s="4" t="s">
        <v>287</v>
      </c>
      <c r="M50" s="4" t="s">
        <v>95</v>
      </c>
      <c r="N50" s="4" t="s">
        <v>33</v>
      </c>
      <c r="O50" s="4" t="s">
        <v>82</v>
      </c>
      <c r="P50" s="4" t="s">
        <v>88</v>
      </c>
      <c r="Q50" s="4">
        <v>9</v>
      </c>
      <c r="R50" s="4">
        <v>39582</v>
      </c>
      <c r="S50" s="5">
        <v>15</v>
      </c>
      <c r="T50" s="6">
        <f t="shared" si="0"/>
        <v>302802.3</v>
      </c>
      <c r="U50" s="4">
        <v>-18114.96</v>
      </c>
      <c r="V50" t="str">
        <f t="shared" si="1"/>
        <v>Apr</v>
      </c>
      <c r="W50">
        <f t="shared" si="2"/>
        <v>-5.9824380462103491E-2</v>
      </c>
    </row>
    <row r="51" spans="1:23" x14ac:dyDescent="0.4">
      <c r="A51" s="4" t="s">
        <v>288</v>
      </c>
      <c r="B51" s="4" t="s">
        <v>289</v>
      </c>
      <c r="C51" s="11">
        <v>45126</v>
      </c>
      <c r="D51" s="4" t="s">
        <v>23</v>
      </c>
      <c r="E51" s="4" t="s">
        <v>24</v>
      </c>
      <c r="F51" s="4" t="s">
        <v>70</v>
      </c>
      <c r="G51" s="4" t="s">
        <v>26</v>
      </c>
      <c r="H51" s="4" t="s">
        <v>291</v>
      </c>
      <c r="I51" s="4" t="s">
        <v>28</v>
      </c>
      <c r="J51" s="4" t="s">
        <v>79</v>
      </c>
      <c r="K51" s="4" t="s">
        <v>86</v>
      </c>
      <c r="L51" s="4" t="s">
        <v>135</v>
      </c>
      <c r="M51" s="4" t="s">
        <v>53</v>
      </c>
      <c r="N51" s="4" t="s">
        <v>33</v>
      </c>
      <c r="O51" s="4" t="s">
        <v>120</v>
      </c>
      <c r="P51" s="4" t="s">
        <v>74</v>
      </c>
      <c r="Q51" s="4">
        <v>7</v>
      </c>
      <c r="R51" s="4">
        <v>2517</v>
      </c>
      <c r="S51" s="5">
        <v>0</v>
      </c>
      <c r="T51" s="6">
        <f t="shared" si="0"/>
        <v>17619</v>
      </c>
      <c r="U51" s="4">
        <v>2195.6799999999998</v>
      </c>
      <c r="V51" t="str">
        <f t="shared" si="1"/>
        <v>Jul</v>
      </c>
      <c r="W51">
        <f t="shared" si="2"/>
        <v>0.12462001248652023</v>
      </c>
    </row>
    <row r="52" spans="1:23" x14ac:dyDescent="0.4">
      <c r="A52" s="4" t="s">
        <v>292</v>
      </c>
      <c r="B52" s="4" t="s">
        <v>293</v>
      </c>
      <c r="C52" s="11">
        <v>44755</v>
      </c>
      <c r="D52" s="4" t="s">
        <v>23</v>
      </c>
      <c r="E52" s="4" t="s">
        <v>24</v>
      </c>
      <c r="F52" s="4" t="s">
        <v>58</v>
      </c>
      <c r="G52" s="4" t="s">
        <v>26</v>
      </c>
      <c r="H52" s="4" t="s">
        <v>295</v>
      </c>
      <c r="I52" s="4" t="s">
        <v>61</v>
      </c>
      <c r="J52" s="4" t="s">
        <v>79</v>
      </c>
      <c r="K52" s="4" t="s">
        <v>86</v>
      </c>
      <c r="L52" s="4" t="s">
        <v>296</v>
      </c>
      <c r="M52" s="4" t="s">
        <v>65</v>
      </c>
      <c r="N52" s="4" t="s">
        <v>54</v>
      </c>
      <c r="O52" s="4" t="s">
        <v>120</v>
      </c>
      <c r="P52" s="4" t="s">
        <v>35</v>
      </c>
      <c r="Q52" s="4">
        <v>2</v>
      </c>
      <c r="R52" s="4">
        <v>27999</v>
      </c>
      <c r="S52" s="5">
        <v>5</v>
      </c>
      <c r="T52" s="6">
        <f t="shared" si="0"/>
        <v>53198.1</v>
      </c>
      <c r="U52" s="4">
        <v>11279.91</v>
      </c>
      <c r="V52" t="str">
        <f t="shared" si="1"/>
        <v>Jul</v>
      </c>
      <c r="W52">
        <f t="shared" si="2"/>
        <v>0.21203595617136703</v>
      </c>
    </row>
    <row r="53" spans="1:23" x14ac:dyDescent="0.4">
      <c r="A53" s="4" t="s">
        <v>297</v>
      </c>
      <c r="B53" s="4" t="s">
        <v>298</v>
      </c>
      <c r="C53" s="11">
        <v>45484</v>
      </c>
      <c r="D53" s="4" t="s">
        <v>124</v>
      </c>
      <c r="E53" s="4" t="s">
        <v>24</v>
      </c>
      <c r="F53" s="4" t="s">
        <v>25</v>
      </c>
      <c r="G53" s="4" t="s">
        <v>59</v>
      </c>
      <c r="H53" s="4" t="s">
        <v>300</v>
      </c>
      <c r="I53" s="4" t="s">
        <v>43</v>
      </c>
      <c r="J53" s="4" t="s">
        <v>29</v>
      </c>
      <c r="K53" s="4" t="s">
        <v>101</v>
      </c>
      <c r="L53" s="4" t="s">
        <v>301</v>
      </c>
      <c r="M53" s="4" t="s">
        <v>65</v>
      </c>
      <c r="N53" s="4" t="s">
        <v>33</v>
      </c>
      <c r="O53" s="4" t="s">
        <v>120</v>
      </c>
      <c r="P53" s="4" t="s">
        <v>35</v>
      </c>
      <c r="Q53" s="4">
        <v>9</v>
      </c>
      <c r="R53" s="4">
        <v>22737</v>
      </c>
      <c r="S53" s="5">
        <v>10</v>
      </c>
      <c r="T53" s="6">
        <f t="shared" si="0"/>
        <v>184169.7</v>
      </c>
      <c r="U53" s="4">
        <v>22380.92</v>
      </c>
      <c r="V53" t="str">
        <f t="shared" si="1"/>
        <v>Jul</v>
      </c>
      <c r="W53">
        <f t="shared" si="2"/>
        <v>0.12152335590490725</v>
      </c>
    </row>
    <row r="54" spans="1:23" x14ac:dyDescent="0.4">
      <c r="A54" s="4" t="s">
        <v>302</v>
      </c>
      <c r="B54" s="4" t="s">
        <v>303</v>
      </c>
      <c r="C54" s="11">
        <v>45270</v>
      </c>
      <c r="D54" s="4" t="s">
        <v>124</v>
      </c>
      <c r="E54" s="4" t="s">
        <v>24</v>
      </c>
      <c r="F54" s="4" t="s">
        <v>25</v>
      </c>
      <c r="G54" s="4" t="s">
        <v>99</v>
      </c>
      <c r="H54" s="4" t="s">
        <v>305</v>
      </c>
      <c r="I54" s="4" t="s">
        <v>28</v>
      </c>
      <c r="J54" s="4" t="s">
        <v>29</v>
      </c>
      <c r="K54" s="4" t="s">
        <v>63</v>
      </c>
      <c r="L54" s="4" t="s">
        <v>306</v>
      </c>
      <c r="M54" s="4" t="s">
        <v>73</v>
      </c>
      <c r="N54" s="4" t="s">
        <v>33</v>
      </c>
      <c r="O54" s="4" t="s">
        <v>34</v>
      </c>
      <c r="P54" s="4" t="s">
        <v>47</v>
      </c>
      <c r="Q54" s="4">
        <v>6</v>
      </c>
      <c r="R54" s="4">
        <v>16655</v>
      </c>
      <c r="S54" s="5">
        <v>5</v>
      </c>
      <c r="T54" s="6">
        <f t="shared" si="0"/>
        <v>94933.5</v>
      </c>
      <c r="U54" s="4">
        <v>9695.2199999999993</v>
      </c>
      <c r="V54" t="str">
        <f t="shared" si="1"/>
        <v>Dec</v>
      </c>
      <c r="W54">
        <f t="shared" si="2"/>
        <v>0.10212643587353251</v>
      </c>
    </row>
    <row r="55" spans="1:23" x14ac:dyDescent="0.4">
      <c r="A55" s="4" t="s">
        <v>307</v>
      </c>
      <c r="B55" s="4" t="s">
        <v>308</v>
      </c>
      <c r="C55" s="11">
        <v>44592</v>
      </c>
      <c r="D55" s="4" t="s">
        <v>98</v>
      </c>
      <c r="E55" s="4" t="s">
        <v>24</v>
      </c>
      <c r="F55" s="4" t="s">
        <v>40</v>
      </c>
      <c r="G55" s="4" t="s">
        <v>41</v>
      </c>
      <c r="H55" s="4" t="s">
        <v>310</v>
      </c>
      <c r="I55" s="4" t="s">
        <v>28</v>
      </c>
      <c r="J55" s="4" t="s">
        <v>29</v>
      </c>
      <c r="K55" s="4" t="s">
        <v>44</v>
      </c>
      <c r="L55" s="4" t="s">
        <v>311</v>
      </c>
      <c r="M55" s="4" t="s">
        <v>53</v>
      </c>
      <c r="N55" s="4" t="s">
        <v>33</v>
      </c>
      <c r="O55" s="4" t="s">
        <v>120</v>
      </c>
      <c r="P55" s="4" t="s">
        <v>47</v>
      </c>
      <c r="Q55" s="4">
        <v>1</v>
      </c>
      <c r="R55" s="4">
        <v>7269</v>
      </c>
      <c r="S55" s="5">
        <v>15</v>
      </c>
      <c r="T55" s="6">
        <f t="shared" si="0"/>
        <v>6178.65</v>
      </c>
      <c r="U55" s="4">
        <v>624.47</v>
      </c>
      <c r="V55" t="str">
        <f t="shared" si="1"/>
        <v>Jan</v>
      </c>
      <c r="W55">
        <f t="shared" si="2"/>
        <v>0.10106900374677318</v>
      </c>
    </row>
    <row r="56" spans="1:23" x14ac:dyDescent="0.4">
      <c r="A56" s="4" t="s">
        <v>312</v>
      </c>
      <c r="B56" s="4" t="s">
        <v>313</v>
      </c>
      <c r="C56" s="11">
        <v>45549</v>
      </c>
      <c r="D56" s="4" t="s">
        <v>23</v>
      </c>
      <c r="E56" s="4" t="s">
        <v>24</v>
      </c>
      <c r="F56" s="4" t="s">
        <v>25</v>
      </c>
      <c r="G56" s="4" t="s">
        <v>41</v>
      </c>
      <c r="H56" s="4" t="s">
        <v>314</v>
      </c>
      <c r="I56" s="4" t="s">
        <v>28</v>
      </c>
      <c r="J56" s="4" t="s">
        <v>29</v>
      </c>
      <c r="K56" s="4" t="s">
        <v>44</v>
      </c>
      <c r="L56" s="4" t="s">
        <v>315</v>
      </c>
      <c r="M56" s="4" t="s">
        <v>73</v>
      </c>
      <c r="N56" s="4" t="s">
        <v>54</v>
      </c>
      <c r="O56" s="4" t="s">
        <v>34</v>
      </c>
      <c r="P56" s="4" t="s">
        <v>35</v>
      </c>
      <c r="Q56" s="4">
        <v>6</v>
      </c>
      <c r="R56" s="4">
        <v>31953</v>
      </c>
      <c r="S56" s="5">
        <v>15</v>
      </c>
      <c r="T56" s="6">
        <f t="shared" si="0"/>
        <v>162960.29999999999</v>
      </c>
      <c r="U56" s="4">
        <v>21267.11</v>
      </c>
      <c r="V56" t="str">
        <f t="shared" si="1"/>
        <v>Sep</v>
      </c>
      <c r="W56">
        <f t="shared" si="2"/>
        <v>0.13050485302248463</v>
      </c>
    </row>
    <row r="57" spans="1:23" x14ac:dyDescent="0.4">
      <c r="A57" s="4" t="s">
        <v>316</v>
      </c>
      <c r="B57" s="4" t="s">
        <v>317</v>
      </c>
      <c r="C57" s="11">
        <v>44936</v>
      </c>
      <c r="D57" s="4" t="s">
        <v>39</v>
      </c>
      <c r="E57" s="4" t="s">
        <v>24</v>
      </c>
      <c r="F57" s="4" t="s">
        <v>26</v>
      </c>
      <c r="G57" s="4" t="s">
        <v>59</v>
      </c>
      <c r="H57" s="4" t="s">
        <v>318</v>
      </c>
      <c r="I57" s="4" t="s">
        <v>43</v>
      </c>
      <c r="J57" s="4" t="s">
        <v>29</v>
      </c>
      <c r="K57" s="4" t="s">
        <v>101</v>
      </c>
      <c r="L57" s="4" t="s">
        <v>319</v>
      </c>
      <c r="M57" s="4" t="s">
        <v>81</v>
      </c>
      <c r="N57" s="4" t="s">
        <v>33</v>
      </c>
      <c r="O57" s="4" t="s">
        <v>34</v>
      </c>
      <c r="P57" s="4" t="s">
        <v>47</v>
      </c>
      <c r="Q57" s="4">
        <v>3</v>
      </c>
      <c r="R57" s="4">
        <v>22029</v>
      </c>
      <c r="S57" s="5">
        <v>10</v>
      </c>
      <c r="T57" s="6">
        <f t="shared" si="0"/>
        <v>59478.3</v>
      </c>
      <c r="U57" s="4">
        <v>9170.7800000000007</v>
      </c>
      <c r="V57" t="str">
        <f t="shared" si="1"/>
        <v>Jan</v>
      </c>
      <c r="W57">
        <f t="shared" si="2"/>
        <v>0.15418698920446616</v>
      </c>
    </row>
    <row r="58" spans="1:23" x14ac:dyDescent="0.4">
      <c r="A58" s="4" t="s">
        <v>320</v>
      </c>
      <c r="B58" s="4" t="s">
        <v>321</v>
      </c>
      <c r="C58" s="11">
        <v>45424</v>
      </c>
      <c r="D58" s="4" t="s">
        <v>23</v>
      </c>
      <c r="E58" s="4" t="s">
        <v>24</v>
      </c>
      <c r="F58" s="4" t="s">
        <v>70</v>
      </c>
      <c r="G58" s="4" t="s">
        <v>59</v>
      </c>
      <c r="H58" s="4" t="s">
        <v>323</v>
      </c>
      <c r="I58" s="4" t="s">
        <v>61</v>
      </c>
      <c r="J58" s="4" t="s">
        <v>79</v>
      </c>
      <c r="K58" s="4" t="s">
        <v>30</v>
      </c>
      <c r="L58" s="4" t="s">
        <v>324</v>
      </c>
      <c r="M58" s="4" t="s">
        <v>53</v>
      </c>
      <c r="N58" s="4" t="s">
        <v>33</v>
      </c>
      <c r="O58" s="4" t="s">
        <v>82</v>
      </c>
      <c r="P58" s="4" t="s">
        <v>35</v>
      </c>
      <c r="Q58" s="4">
        <v>3</v>
      </c>
      <c r="R58" s="4">
        <v>21721</v>
      </c>
      <c r="S58" s="5">
        <v>20</v>
      </c>
      <c r="T58" s="6">
        <f t="shared" si="0"/>
        <v>52130.400000000001</v>
      </c>
      <c r="U58" s="4">
        <v>-7441.28</v>
      </c>
      <c r="V58" t="str">
        <f t="shared" si="1"/>
        <v>May</v>
      </c>
      <c r="W58">
        <f t="shared" si="2"/>
        <v>-0.14274358148028787</v>
      </c>
    </row>
    <row r="59" spans="1:23" x14ac:dyDescent="0.4">
      <c r="A59" s="4" t="s">
        <v>325</v>
      </c>
      <c r="B59" s="4" t="s">
        <v>326</v>
      </c>
      <c r="C59" s="11">
        <v>44904</v>
      </c>
      <c r="D59" s="4" t="s">
        <v>23</v>
      </c>
      <c r="E59" s="4" t="s">
        <v>24</v>
      </c>
      <c r="F59" s="4" t="s">
        <v>58</v>
      </c>
      <c r="G59" s="4" t="s">
        <v>59</v>
      </c>
      <c r="H59" s="4" t="s">
        <v>328</v>
      </c>
      <c r="I59" s="4" t="s">
        <v>28</v>
      </c>
      <c r="J59" s="4" t="s">
        <v>62</v>
      </c>
      <c r="K59" s="4" t="s">
        <v>30</v>
      </c>
      <c r="L59" s="4" t="s">
        <v>329</v>
      </c>
      <c r="M59" s="4" t="s">
        <v>81</v>
      </c>
      <c r="N59" s="4" t="s">
        <v>54</v>
      </c>
      <c r="O59" s="4" t="s">
        <v>46</v>
      </c>
      <c r="P59" s="4" t="s">
        <v>74</v>
      </c>
      <c r="Q59" s="4">
        <v>1</v>
      </c>
      <c r="R59" s="4">
        <v>3069</v>
      </c>
      <c r="S59" s="5">
        <v>15</v>
      </c>
      <c r="T59" s="6">
        <f t="shared" si="0"/>
        <v>2608.65</v>
      </c>
      <c r="U59" s="4">
        <v>25.61</v>
      </c>
      <c r="V59" t="str">
        <f t="shared" si="1"/>
        <v>Dec</v>
      </c>
      <c r="W59">
        <f t="shared" si="2"/>
        <v>9.8173384700898925E-3</v>
      </c>
    </row>
    <row r="60" spans="1:23" x14ac:dyDescent="0.4">
      <c r="A60" s="4" t="s">
        <v>330</v>
      </c>
      <c r="B60" s="4" t="s">
        <v>331</v>
      </c>
      <c r="C60" s="11">
        <v>45525</v>
      </c>
      <c r="D60" s="4" t="s">
        <v>98</v>
      </c>
      <c r="E60" s="4" t="s">
        <v>24</v>
      </c>
      <c r="F60" s="4" t="s">
        <v>40</v>
      </c>
      <c r="G60" s="4" t="s">
        <v>59</v>
      </c>
      <c r="H60" s="4" t="s">
        <v>333</v>
      </c>
      <c r="I60" s="4" t="s">
        <v>61</v>
      </c>
      <c r="J60" s="4" t="s">
        <v>79</v>
      </c>
      <c r="K60" s="4" t="s">
        <v>44</v>
      </c>
      <c r="L60" s="4" t="s">
        <v>334</v>
      </c>
      <c r="M60" s="4" t="s">
        <v>53</v>
      </c>
      <c r="N60" s="4" t="s">
        <v>54</v>
      </c>
      <c r="O60" s="4" t="s">
        <v>34</v>
      </c>
      <c r="P60" s="4" t="s">
        <v>35</v>
      </c>
      <c r="Q60" s="4">
        <v>1</v>
      </c>
      <c r="R60" s="4">
        <v>11582</v>
      </c>
      <c r="S60" s="5">
        <v>5</v>
      </c>
      <c r="T60" s="6">
        <f t="shared" si="0"/>
        <v>11002.9</v>
      </c>
      <c r="U60" s="4">
        <v>1490.66</v>
      </c>
      <c r="V60" t="str">
        <f t="shared" si="1"/>
        <v>Aug</v>
      </c>
      <c r="W60">
        <f t="shared" si="2"/>
        <v>0.1354788283089004</v>
      </c>
    </row>
    <row r="61" spans="1:23" x14ac:dyDescent="0.4">
      <c r="A61" s="4" t="s">
        <v>335</v>
      </c>
      <c r="B61" s="4" t="s">
        <v>336</v>
      </c>
      <c r="C61" s="11">
        <v>45406</v>
      </c>
      <c r="D61" s="4" t="s">
        <v>39</v>
      </c>
      <c r="E61" s="4" t="s">
        <v>24</v>
      </c>
      <c r="F61" s="4" t="s">
        <v>58</v>
      </c>
      <c r="G61" s="4" t="s">
        <v>99</v>
      </c>
      <c r="H61" s="4" t="s">
        <v>338</v>
      </c>
      <c r="I61" s="4" t="s">
        <v>28</v>
      </c>
      <c r="J61" s="4" t="s">
        <v>79</v>
      </c>
      <c r="K61" s="4" t="s">
        <v>153</v>
      </c>
      <c r="L61" s="4" t="s">
        <v>339</v>
      </c>
      <c r="M61" s="4" t="s">
        <v>81</v>
      </c>
      <c r="N61" s="4" t="s">
        <v>54</v>
      </c>
      <c r="O61" s="4" t="s">
        <v>120</v>
      </c>
      <c r="P61" s="4" t="s">
        <v>74</v>
      </c>
      <c r="Q61" s="4">
        <v>1</v>
      </c>
      <c r="R61" s="4">
        <v>16985</v>
      </c>
      <c r="S61" s="5">
        <v>15</v>
      </c>
      <c r="T61" s="6">
        <f t="shared" si="0"/>
        <v>14437.25</v>
      </c>
      <c r="U61" s="4">
        <v>1726.85</v>
      </c>
      <c r="V61" t="str">
        <f t="shared" si="1"/>
        <v>Apr</v>
      </c>
      <c r="W61">
        <f t="shared" si="2"/>
        <v>0.11961072919011584</v>
      </c>
    </row>
    <row r="62" spans="1:23" x14ac:dyDescent="0.4">
      <c r="A62" s="4" t="s">
        <v>340</v>
      </c>
      <c r="B62" s="4" t="s">
        <v>341</v>
      </c>
      <c r="C62" s="11">
        <v>45512</v>
      </c>
      <c r="D62" s="4" t="s">
        <v>124</v>
      </c>
      <c r="E62" s="4" t="s">
        <v>24</v>
      </c>
      <c r="F62" s="4" t="s">
        <v>58</v>
      </c>
      <c r="G62" s="4" t="s">
        <v>26</v>
      </c>
      <c r="H62" s="4" t="s">
        <v>342</v>
      </c>
      <c r="I62" s="4" t="s">
        <v>43</v>
      </c>
      <c r="J62" s="4" t="s">
        <v>62</v>
      </c>
      <c r="K62" s="4" t="s">
        <v>101</v>
      </c>
      <c r="L62" s="4" t="s">
        <v>343</v>
      </c>
      <c r="M62" s="4" t="s">
        <v>65</v>
      </c>
      <c r="N62" s="4" t="s">
        <v>54</v>
      </c>
      <c r="O62" s="4" t="s">
        <v>66</v>
      </c>
      <c r="P62" s="4" t="s">
        <v>35</v>
      </c>
      <c r="Q62" s="4">
        <v>9</v>
      </c>
      <c r="R62" s="4">
        <v>40039</v>
      </c>
      <c r="S62" s="5">
        <v>10</v>
      </c>
      <c r="T62" s="6">
        <f t="shared" si="0"/>
        <v>324315.90000000002</v>
      </c>
      <c r="U62" s="4">
        <v>-15534.79</v>
      </c>
      <c r="V62" t="str">
        <f t="shared" si="1"/>
        <v>Aug</v>
      </c>
      <c r="W62">
        <f t="shared" si="2"/>
        <v>-4.7900180040509888E-2</v>
      </c>
    </row>
    <row r="63" spans="1:23" x14ac:dyDescent="0.4">
      <c r="A63" s="4" t="s">
        <v>344</v>
      </c>
      <c r="B63" s="4" t="s">
        <v>345</v>
      </c>
      <c r="C63" s="11">
        <v>44975</v>
      </c>
      <c r="D63" s="4" t="s">
        <v>124</v>
      </c>
      <c r="E63" s="4" t="s">
        <v>24</v>
      </c>
      <c r="F63" s="4" t="s">
        <v>40</v>
      </c>
      <c r="G63" s="4" t="s">
        <v>99</v>
      </c>
      <c r="H63" s="4" t="s">
        <v>347</v>
      </c>
      <c r="I63" s="4" t="s">
        <v>61</v>
      </c>
      <c r="J63" s="4" t="s">
        <v>79</v>
      </c>
      <c r="K63" s="4" t="s">
        <v>153</v>
      </c>
      <c r="L63" s="4" t="s">
        <v>348</v>
      </c>
      <c r="M63" s="4" t="s">
        <v>73</v>
      </c>
      <c r="N63" s="4" t="s">
        <v>33</v>
      </c>
      <c r="O63" s="4" t="s">
        <v>46</v>
      </c>
      <c r="P63" s="4" t="s">
        <v>47</v>
      </c>
      <c r="Q63" s="4">
        <v>2</v>
      </c>
      <c r="R63" s="4">
        <v>6526</v>
      </c>
      <c r="S63" s="5">
        <v>20</v>
      </c>
      <c r="T63" s="6">
        <f t="shared" si="0"/>
        <v>10441.6</v>
      </c>
      <c r="U63" s="4">
        <v>463.53</v>
      </c>
      <c r="V63" t="str">
        <f t="shared" si="1"/>
        <v>Feb</v>
      </c>
      <c r="W63">
        <f t="shared" si="2"/>
        <v>4.4392621820410663E-2</v>
      </c>
    </row>
    <row r="64" spans="1:23" x14ac:dyDescent="0.4">
      <c r="A64" s="4" t="s">
        <v>349</v>
      </c>
      <c r="B64" s="4" t="s">
        <v>350</v>
      </c>
      <c r="C64" s="11">
        <v>44785</v>
      </c>
      <c r="D64" s="4" t="s">
        <v>124</v>
      </c>
      <c r="E64" s="4" t="s">
        <v>24</v>
      </c>
      <c r="F64" s="4" t="s">
        <v>40</v>
      </c>
      <c r="G64" s="4" t="s">
        <v>26</v>
      </c>
      <c r="H64" s="4" t="s">
        <v>351</v>
      </c>
      <c r="I64" s="4" t="s">
        <v>61</v>
      </c>
      <c r="J64" s="4" t="s">
        <v>62</v>
      </c>
      <c r="K64" s="4" t="s">
        <v>63</v>
      </c>
      <c r="L64" s="4" t="s">
        <v>352</v>
      </c>
      <c r="M64" s="4" t="s">
        <v>81</v>
      </c>
      <c r="N64" s="4" t="s">
        <v>54</v>
      </c>
      <c r="O64" s="4" t="s">
        <v>82</v>
      </c>
      <c r="P64" s="4" t="s">
        <v>74</v>
      </c>
      <c r="Q64" s="4">
        <v>10</v>
      </c>
      <c r="R64" s="4">
        <v>29843</v>
      </c>
      <c r="S64" s="5">
        <v>0</v>
      </c>
      <c r="T64" s="6">
        <f t="shared" si="0"/>
        <v>298430</v>
      </c>
      <c r="U64" s="4">
        <v>34998.629999999997</v>
      </c>
      <c r="V64" t="str">
        <f t="shared" si="1"/>
        <v>Aug</v>
      </c>
      <c r="W64">
        <f t="shared" si="2"/>
        <v>0.11727584358140937</v>
      </c>
    </row>
    <row r="65" spans="1:23" x14ac:dyDescent="0.4">
      <c r="A65" s="4" t="s">
        <v>353</v>
      </c>
      <c r="B65" s="4" t="s">
        <v>354</v>
      </c>
      <c r="C65" s="11">
        <v>44874</v>
      </c>
      <c r="D65" s="4" t="s">
        <v>98</v>
      </c>
      <c r="E65" s="4" t="s">
        <v>24</v>
      </c>
      <c r="F65" s="4" t="s">
        <v>26</v>
      </c>
      <c r="G65" s="4" t="s">
        <v>59</v>
      </c>
      <c r="H65" s="4" t="s">
        <v>356</v>
      </c>
      <c r="I65" s="4" t="s">
        <v>43</v>
      </c>
      <c r="J65" s="4" t="s">
        <v>62</v>
      </c>
      <c r="K65" s="4" t="s">
        <v>153</v>
      </c>
      <c r="L65" s="4" t="s">
        <v>319</v>
      </c>
      <c r="M65" s="4" t="s">
        <v>53</v>
      </c>
      <c r="N65" s="4" t="s">
        <v>54</v>
      </c>
      <c r="O65" s="4" t="s">
        <v>34</v>
      </c>
      <c r="P65" s="4" t="s">
        <v>35</v>
      </c>
      <c r="Q65" s="4">
        <v>9</v>
      </c>
      <c r="R65" s="4">
        <v>21033</v>
      </c>
      <c r="S65" s="5">
        <v>5</v>
      </c>
      <c r="T65" s="6">
        <f t="shared" si="0"/>
        <v>179832.15</v>
      </c>
      <c r="U65" s="4">
        <v>4508.28</v>
      </c>
      <c r="V65" t="str">
        <f t="shared" si="1"/>
        <v>Nov</v>
      </c>
      <c r="W65">
        <f t="shared" si="2"/>
        <v>2.5069377194233623E-2</v>
      </c>
    </row>
    <row r="66" spans="1:23" x14ac:dyDescent="0.4">
      <c r="A66" s="4" t="s">
        <v>357</v>
      </c>
      <c r="B66" s="4" t="s">
        <v>179</v>
      </c>
      <c r="C66" s="11">
        <v>44679</v>
      </c>
      <c r="D66" s="4" t="s">
        <v>124</v>
      </c>
      <c r="E66" s="4" t="s">
        <v>24</v>
      </c>
      <c r="F66" s="4" t="s">
        <v>25</v>
      </c>
      <c r="G66" s="4" t="s">
        <v>99</v>
      </c>
      <c r="H66" s="4" t="s">
        <v>359</v>
      </c>
      <c r="I66" s="4" t="s">
        <v>61</v>
      </c>
      <c r="J66" s="4" t="s">
        <v>79</v>
      </c>
      <c r="K66" s="4" t="s">
        <v>30</v>
      </c>
      <c r="L66" s="4" t="s">
        <v>213</v>
      </c>
      <c r="M66" s="4" t="s">
        <v>32</v>
      </c>
      <c r="N66" s="4" t="s">
        <v>54</v>
      </c>
      <c r="O66" s="4" t="s">
        <v>82</v>
      </c>
      <c r="P66" s="4" t="s">
        <v>47</v>
      </c>
      <c r="Q66" s="4">
        <v>6</v>
      </c>
      <c r="R66" s="4">
        <v>48891</v>
      </c>
      <c r="S66" s="5">
        <v>15</v>
      </c>
      <c r="T66" s="6">
        <f t="shared" si="0"/>
        <v>249344.1</v>
      </c>
      <c r="U66" s="4">
        <v>28904.81</v>
      </c>
      <c r="V66" t="str">
        <f t="shared" si="1"/>
        <v>Apr</v>
      </c>
      <c r="W66">
        <f t="shared" si="2"/>
        <v>0.11592337657077108</v>
      </c>
    </row>
    <row r="67" spans="1:23" x14ac:dyDescent="0.4">
      <c r="A67" s="4" t="s">
        <v>360</v>
      </c>
      <c r="B67" s="4" t="s">
        <v>361</v>
      </c>
      <c r="C67" s="11">
        <v>45378</v>
      </c>
      <c r="D67" s="4" t="s">
        <v>124</v>
      </c>
      <c r="E67" s="4" t="s">
        <v>24</v>
      </c>
      <c r="F67" s="4" t="s">
        <v>40</v>
      </c>
      <c r="G67" s="4" t="s">
        <v>99</v>
      </c>
      <c r="H67" s="4" t="s">
        <v>362</v>
      </c>
      <c r="I67" s="4" t="s">
        <v>43</v>
      </c>
      <c r="J67" s="4" t="s">
        <v>79</v>
      </c>
      <c r="K67" s="4" t="s">
        <v>153</v>
      </c>
      <c r="L67" s="4" t="s">
        <v>213</v>
      </c>
      <c r="M67" s="4" t="s">
        <v>95</v>
      </c>
      <c r="N67" s="4" t="s">
        <v>54</v>
      </c>
      <c r="O67" s="4" t="s">
        <v>34</v>
      </c>
      <c r="P67" s="4" t="s">
        <v>47</v>
      </c>
      <c r="Q67" s="4">
        <v>2</v>
      </c>
      <c r="R67" s="4">
        <v>40993</v>
      </c>
      <c r="S67" s="5">
        <v>15</v>
      </c>
      <c r="T67" s="6">
        <f t="shared" ref="T67:T130" si="3">Q67*R67*(100-S67)/100</f>
        <v>69688.100000000006</v>
      </c>
      <c r="U67" s="4">
        <v>9290.5</v>
      </c>
      <c r="V67" t="str">
        <f t="shared" ref="V67:V130" si="4">TEXT(B67,"MMM")</f>
        <v>Mar</v>
      </c>
      <c r="W67">
        <f t="shared" ref="W67:W130" si="5">U67/T67</f>
        <v>0.13331544410021223</v>
      </c>
    </row>
    <row r="68" spans="1:23" x14ac:dyDescent="0.4">
      <c r="A68" s="4" t="s">
        <v>363</v>
      </c>
      <c r="B68" s="4" t="s">
        <v>364</v>
      </c>
      <c r="C68" s="11">
        <v>45313</v>
      </c>
      <c r="D68" s="4" t="s">
        <v>39</v>
      </c>
      <c r="E68" s="4" t="s">
        <v>24</v>
      </c>
      <c r="F68" s="4" t="s">
        <v>40</v>
      </c>
      <c r="G68" s="4" t="s">
        <v>99</v>
      </c>
      <c r="H68" s="4" t="s">
        <v>365</v>
      </c>
      <c r="I68" s="4" t="s">
        <v>61</v>
      </c>
      <c r="J68" s="4" t="s">
        <v>62</v>
      </c>
      <c r="K68" s="4" t="s">
        <v>153</v>
      </c>
      <c r="L68" s="4" t="s">
        <v>237</v>
      </c>
      <c r="M68" s="4" t="s">
        <v>95</v>
      </c>
      <c r="N68" s="4" t="s">
        <v>54</v>
      </c>
      <c r="O68" s="4" t="s">
        <v>46</v>
      </c>
      <c r="P68" s="4" t="s">
        <v>47</v>
      </c>
      <c r="Q68" s="4">
        <v>1</v>
      </c>
      <c r="R68" s="4">
        <v>49746</v>
      </c>
      <c r="S68" s="5">
        <v>10</v>
      </c>
      <c r="T68" s="6">
        <f t="shared" si="3"/>
        <v>44771.4</v>
      </c>
      <c r="U68" s="4">
        <v>9525.2000000000007</v>
      </c>
      <c r="V68" t="str">
        <f t="shared" si="4"/>
        <v>Jan</v>
      </c>
      <c r="W68">
        <f t="shared" si="5"/>
        <v>0.21275189071594813</v>
      </c>
    </row>
    <row r="69" spans="1:23" x14ac:dyDescent="0.4">
      <c r="A69" s="4" t="s">
        <v>366</v>
      </c>
      <c r="B69" s="4" t="s">
        <v>367</v>
      </c>
      <c r="C69" s="11">
        <v>45022</v>
      </c>
      <c r="D69" s="4" t="s">
        <v>124</v>
      </c>
      <c r="E69" s="4" t="s">
        <v>24</v>
      </c>
      <c r="F69" s="4" t="s">
        <v>25</v>
      </c>
      <c r="G69" s="4" t="s">
        <v>26</v>
      </c>
      <c r="H69" s="4" t="s">
        <v>368</v>
      </c>
      <c r="I69" s="4" t="s">
        <v>61</v>
      </c>
      <c r="J69" s="4" t="s">
        <v>29</v>
      </c>
      <c r="K69" s="4" t="s">
        <v>86</v>
      </c>
      <c r="L69" s="4" t="s">
        <v>369</v>
      </c>
      <c r="M69" s="4" t="s">
        <v>53</v>
      </c>
      <c r="N69" s="4" t="s">
        <v>54</v>
      </c>
      <c r="O69" s="4" t="s">
        <v>120</v>
      </c>
      <c r="P69" s="4" t="s">
        <v>35</v>
      </c>
      <c r="Q69" s="4">
        <v>8</v>
      </c>
      <c r="R69" s="4">
        <v>33743</v>
      </c>
      <c r="S69" s="5">
        <v>0</v>
      </c>
      <c r="T69" s="6">
        <f t="shared" si="3"/>
        <v>269944</v>
      </c>
      <c r="U69" s="4">
        <v>41092.99</v>
      </c>
      <c r="V69" t="str">
        <f t="shared" si="4"/>
        <v>Mar</v>
      </c>
      <c r="W69">
        <f t="shared" si="5"/>
        <v>0.15222783243932075</v>
      </c>
    </row>
    <row r="70" spans="1:23" x14ac:dyDescent="0.4">
      <c r="A70" s="4" t="s">
        <v>370</v>
      </c>
      <c r="B70" s="4" t="s">
        <v>371</v>
      </c>
      <c r="C70" s="11">
        <v>45309</v>
      </c>
      <c r="D70" s="4" t="s">
        <v>23</v>
      </c>
      <c r="E70" s="4" t="s">
        <v>24</v>
      </c>
      <c r="F70" s="4" t="s">
        <v>26</v>
      </c>
      <c r="G70" s="4" t="s">
        <v>26</v>
      </c>
      <c r="H70" s="4" t="s">
        <v>373</v>
      </c>
      <c r="I70" s="4" t="s">
        <v>28</v>
      </c>
      <c r="J70" s="4" t="s">
        <v>62</v>
      </c>
      <c r="K70" s="4" t="s">
        <v>101</v>
      </c>
      <c r="L70" s="4" t="s">
        <v>198</v>
      </c>
      <c r="M70" s="4" t="s">
        <v>65</v>
      </c>
      <c r="N70" s="4" t="s">
        <v>33</v>
      </c>
      <c r="O70" s="4" t="s">
        <v>66</v>
      </c>
      <c r="P70" s="4" t="s">
        <v>35</v>
      </c>
      <c r="Q70" s="4">
        <v>6</v>
      </c>
      <c r="R70" s="4">
        <v>22810</v>
      </c>
      <c r="S70" s="5">
        <v>15</v>
      </c>
      <c r="T70" s="6">
        <f t="shared" si="3"/>
        <v>116331</v>
      </c>
      <c r="U70" s="4">
        <v>-6227.99</v>
      </c>
      <c r="V70" t="str">
        <f t="shared" si="4"/>
        <v>Jan</v>
      </c>
      <c r="W70">
        <f t="shared" si="5"/>
        <v>-5.3536804463126766E-2</v>
      </c>
    </row>
    <row r="71" spans="1:23" x14ac:dyDescent="0.4">
      <c r="A71" s="4" t="s">
        <v>374</v>
      </c>
      <c r="B71" s="4" t="s">
        <v>375</v>
      </c>
      <c r="C71" s="11">
        <v>44853</v>
      </c>
      <c r="D71" s="4" t="s">
        <v>124</v>
      </c>
      <c r="E71" s="4" t="s">
        <v>24</v>
      </c>
      <c r="F71" s="4" t="s">
        <v>40</v>
      </c>
      <c r="G71" s="4" t="s">
        <v>99</v>
      </c>
      <c r="H71" s="4" t="s">
        <v>376</v>
      </c>
      <c r="I71" s="4" t="s">
        <v>28</v>
      </c>
      <c r="J71" s="4" t="s">
        <v>29</v>
      </c>
      <c r="K71" s="4" t="s">
        <v>30</v>
      </c>
      <c r="L71" s="4" t="s">
        <v>377</v>
      </c>
      <c r="M71" s="4" t="s">
        <v>53</v>
      </c>
      <c r="N71" s="4" t="s">
        <v>33</v>
      </c>
      <c r="O71" s="4" t="s">
        <v>120</v>
      </c>
      <c r="P71" s="4" t="s">
        <v>35</v>
      </c>
      <c r="Q71" s="4">
        <v>3</v>
      </c>
      <c r="R71" s="4">
        <v>19919</v>
      </c>
      <c r="S71" s="5">
        <v>10</v>
      </c>
      <c r="T71" s="6">
        <f t="shared" si="3"/>
        <v>53781.3</v>
      </c>
      <c r="U71" s="4">
        <v>-94.41</v>
      </c>
      <c r="V71" t="str">
        <f t="shared" si="4"/>
        <v>Oct</v>
      </c>
      <c r="W71">
        <f t="shared" si="5"/>
        <v>-1.7554428769851228E-3</v>
      </c>
    </row>
    <row r="72" spans="1:23" x14ac:dyDescent="0.4">
      <c r="A72" s="4" t="s">
        <v>378</v>
      </c>
      <c r="B72" s="4" t="s">
        <v>379</v>
      </c>
      <c r="C72" s="11">
        <v>44680</v>
      </c>
      <c r="D72" s="4" t="s">
        <v>39</v>
      </c>
      <c r="E72" s="4" t="s">
        <v>24</v>
      </c>
      <c r="F72" s="4" t="s">
        <v>40</v>
      </c>
      <c r="G72" s="4" t="s">
        <v>99</v>
      </c>
      <c r="H72" s="4" t="s">
        <v>381</v>
      </c>
      <c r="I72" s="4" t="s">
        <v>61</v>
      </c>
      <c r="J72" s="4" t="s">
        <v>79</v>
      </c>
      <c r="K72" s="4" t="s">
        <v>44</v>
      </c>
      <c r="L72" s="4" t="s">
        <v>382</v>
      </c>
      <c r="M72" s="4" t="s">
        <v>95</v>
      </c>
      <c r="N72" s="4" t="s">
        <v>33</v>
      </c>
      <c r="O72" s="4" t="s">
        <v>82</v>
      </c>
      <c r="P72" s="4" t="s">
        <v>35</v>
      </c>
      <c r="Q72" s="4">
        <v>7</v>
      </c>
      <c r="R72" s="4">
        <v>46901</v>
      </c>
      <c r="S72" s="5">
        <v>0</v>
      </c>
      <c r="T72" s="6">
        <f t="shared" si="3"/>
        <v>328307</v>
      </c>
      <c r="U72" s="4">
        <v>79228.19</v>
      </c>
      <c r="V72" t="str">
        <f t="shared" si="4"/>
        <v>Apr</v>
      </c>
      <c r="W72">
        <f t="shared" si="5"/>
        <v>0.24132348685833688</v>
      </c>
    </row>
    <row r="73" spans="1:23" x14ac:dyDescent="0.4">
      <c r="A73" s="4" t="s">
        <v>383</v>
      </c>
      <c r="B73" s="4" t="s">
        <v>384</v>
      </c>
      <c r="C73" s="11">
        <v>44749</v>
      </c>
      <c r="D73" s="4" t="s">
        <v>23</v>
      </c>
      <c r="E73" s="4" t="s">
        <v>24</v>
      </c>
      <c r="F73" s="4" t="s">
        <v>40</v>
      </c>
      <c r="G73" s="4" t="s">
        <v>26</v>
      </c>
      <c r="H73" s="4" t="s">
        <v>386</v>
      </c>
      <c r="I73" s="4" t="s">
        <v>43</v>
      </c>
      <c r="J73" s="4" t="s">
        <v>29</v>
      </c>
      <c r="K73" s="4" t="s">
        <v>30</v>
      </c>
      <c r="L73" s="4" t="s">
        <v>139</v>
      </c>
      <c r="M73" s="4" t="s">
        <v>65</v>
      </c>
      <c r="N73" s="4" t="s">
        <v>54</v>
      </c>
      <c r="O73" s="4" t="s">
        <v>34</v>
      </c>
      <c r="P73" s="4" t="s">
        <v>47</v>
      </c>
      <c r="Q73" s="4">
        <v>10</v>
      </c>
      <c r="R73" s="4">
        <v>13575</v>
      </c>
      <c r="S73" s="5">
        <v>20</v>
      </c>
      <c r="T73" s="6">
        <f t="shared" si="3"/>
        <v>108600</v>
      </c>
      <c r="U73" s="4">
        <v>-8226.32</v>
      </c>
      <c r="V73" t="str">
        <f t="shared" si="4"/>
        <v>Jul</v>
      </c>
      <c r="W73">
        <f t="shared" si="5"/>
        <v>-7.5748802946593002E-2</v>
      </c>
    </row>
    <row r="74" spans="1:23" x14ac:dyDescent="0.4">
      <c r="A74" s="4" t="s">
        <v>387</v>
      </c>
      <c r="B74" s="4" t="s">
        <v>388</v>
      </c>
      <c r="C74" s="11">
        <v>45165</v>
      </c>
      <c r="D74" s="4" t="s">
        <v>23</v>
      </c>
      <c r="E74" s="4" t="s">
        <v>24</v>
      </c>
      <c r="F74" s="4" t="s">
        <v>40</v>
      </c>
      <c r="G74" s="4" t="s">
        <v>92</v>
      </c>
      <c r="H74" s="4" t="s">
        <v>390</v>
      </c>
      <c r="I74" s="4" t="s">
        <v>43</v>
      </c>
      <c r="J74" s="4" t="s">
        <v>79</v>
      </c>
      <c r="K74" s="4" t="s">
        <v>63</v>
      </c>
      <c r="L74" s="4" t="s">
        <v>391</v>
      </c>
      <c r="M74" s="4" t="s">
        <v>32</v>
      </c>
      <c r="N74" s="4" t="s">
        <v>54</v>
      </c>
      <c r="O74" s="4" t="s">
        <v>82</v>
      </c>
      <c r="P74" s="4" t="s">
        <v>74</v>
      </c>
      <c r="Q74" s="4">
        <v>2</v>
      </c>
      <c r="R74" s="4">
        <v>46265</v>
      </c>
      <c r="S74" s="5">
        <v>20</v>
      </c>
      <c r="T74" s="6">
        <f t="shared" si="3"/>
        <v>74024</v>
      </c>
      <c r="U74" s="4">
        <v>8076.27</v>
      </c>
      <c r="V74" t="str">
        <f t="shared" si="4"/>
        <v>Aug</v>
      </c>
      <c r="W74">
        <f t="shared" si="5"/>
        <v>0.10910339889765482</v>
      </c>
    </row>
    <row r="75" spans="1:23" x14ac:dyDescent="0.4">
      <c r="A75" s="4" t="s">
        <v>392</v>
      </c>
      <c r="B75" s="4" t="s">
        <v>393</v>
      </c>
      <c r="C75" s="11">
        <v>45001</v>
      </c>
      <c r="D75" s="4" t="s">
        <v>23</v>
      </c>
      <c r="E75" s="4" t="s">
        <v>24</v>
      </c>
      <c r="F75" s="4" t="s">
        <v>25</v>
      </c>
      <c r="G75" s="4" t="s">
        <v>92</v>
      </c>
      <c r="H75" s="4" t="s">
        <v>395</v>
      </c>
      <c r="I75" s="4" t="s">
        <v>28</v>
      </c>
      <c r="J75" s="4" t="s">
        <v>79</v>
      </c>
      <c r="K75" s="4" t="s">
        <v>44</v>
      </c>
      <c r="L75" s="4" t="s">
        <v>396</v>
      </c>
      <c r="M75" s="4" t="s">
        <v>81</v>
      </c>
      <c r="N75" s="4" t="s">
        <v>54</v>
      </c>
      <c r="O75" s="4" t="s">
        <v>82</v>
      </c>
      <c r="P75" s="4" t="s">
        <v>88</v>
      </c>
      <c r="Q75" s="4">
        <v>1</v>
      </c>
      <c r="R75" s="4">
        <v>34505</v>
      </c>
      <c r="S75" s="5">
        <v>0</v>
      </c>
      <c r="T75" s="6">
        <f t="shared" si="3"/>
        <v>34505</v>
      </c>
      <c r="U75" s="4">
        <v>4695.21</v>
      </c>
      <c r="V75" t="str">
        <f t="shared" si="4"/>
        <v>Mar</v>
      </c>
      <c r="W75">
        <f t="shared" si="5"/>
        <v>0.13607332270685407</v>
      </c>
    </row>
    <row r="76" spans="1:23" x14ac:dyDescent="0.4">
      <c r="A76" s="4" t="s">
        <v>397</v>
      </c>
      <c r="B76" s="4" t="s">
        <v>398</v>
      </c>
      <c r="C76" s="11">
        <v>44742</v>
      </c>
      <c r="D76" s="4" t="s">
        <v>23</v>
      </c>
      <c r="E76" s="4" t="s">
        <v>24</v>
      </c>
      <c r="F76" s="4" t="s">
        <v>26</v>
      </c>
      <c r="G76" s="4" t="s">
        <v>26</v>
      </c>
      <c r="H76" s="4" t="s">
        <v>399</v>
      </c>
      <c r="I76" s="4" t="s">
        <v>28</v>
      </c>
      <c r="J76" s="4" t="s">
        <v>62</v>
      </c>
      <c r="K76" s="4" t="s">
        <v>101</v>
      </c>
      <c r="L76" s="4" t="s">
        <v>45</v>
      </c>
      <c r="M76" s="4" t="s">
        <v>53</v>
      </c>
      <c r="N76" s="4" t="s">
        <v>54</v>
      </c>
      <c r="O76" s="4" t="s">
        <v>34</v>
      </c>
      <c r="P76" s="4" t="s">
        <v>88</v>
      </c>
      <c r="Q76" s="4">
        <v>6</v>
      </c>
      <c r="R76" s="4">
        <v>31758</v>
      </c>
      <c r="S76" s="5">
        <v>10</v>
      </c>
      <c r="T76" s="6">
        <f t="shared" si="3"/>
        <v>171493.2</v>
      </c>
      <c r="U76" s="4">
        <v>23715.74</v>
      </c>
      <c r="V76" t="str">
        <f t="shared" si="4"/>
        <v>Jun</v>
      </c>
      <c r="W76">
        <f t="shared" si="5"/>
        <v>0.13828968145675746</v>
      </c>
    </row>
    <row r="77" spans="1:23" x14ac:dyDescent="0.4">
      <c r="A77" s="4" t="s">
        <v>400</v>
      </c>
      <c r="B77" s="4" t="s">
        <v>401</v>
      </c>
      <c r="C77" s="11">
        <v>44881</v>
      </c>
      <c r="D77" s="4" t="s">
        <v>23</v>
      </c>
      <c r="E77" s="4" t="s">
        <v>24</v>
      </c>
      <c r="F77" s="4" t="s">
        <v>70</v>
      </c>
      <c r="G77" s="4" t="s">
        <v>92</v>
      </c>
      <c r="H77" s="4" t="s">
        <v>403</v>
      </c>
      <c r="I77" s="4" t="s">
        <v>61</v>
      </c>
      <c r="J77" s="4" t="s">
        <v>29</v>
      </c>
      <c r="K77" s="4" t="s">
        <v>101</v>
      </c>
      <c r="L77" s="4" t="s">
        <v>404</v>
      </c>
      <c r="M77" s="4" t="s">
        <v>81</v>
      </c>
      <c r="N77" s="4" t="s">
        <v>54</v>
      </c>
      <c r="O77" s="4" t="s">
        <v>66</v>
      </c>
      <c r="P77" s="4" t="s">
        <v>47</v>
      </c>
      <c r="Q77" s="4">
        <v>1</v>
      </c>
      <c r="R77" s="4">
        <v>20483</v>
      </c>
      <c r="S77" s="5">
        <v>5</v>
      </c>
      <c r="T77" s="6">
        <f t="shared" si="3"/>
        <v>19458.849999999999</v>
      </c>
      <c r="U77" s="4">
        <v>4675.03</v>
      </c>
      <c r="V77" t="str">
        <f t="shared" si="4"/>
        <v>Nov</v>
      </c>
      <c r="W77">
        <f t="shared" si="5"/>
        <v>0.24025212178520314</v>
      </c>
    </row>
    <row r="78" spans="1:23" x14ac:dyDescent="0.4">
      <c r="A78" s="4" t="s">
        <v>405</v>
      </c>
      <c r="B78" s="4" t="s">
        <v>406</v>
      </c>
      <c r="C78" s="11">
        <v>44648</v>
      </c>
      <c r="D78" s="4" t="s">
        <v>98</v>
      </c>
      <c r="E78" s="4" t="s">
        <v>24</v>
      </c>
      <c r="F78" s="4" t="s">
        <v>70</v>
      </c>
      <c r="G78" s="4" t="s">
        <v>99</v>
      </c>
      <c r="H78" s="4" t="s">
        <v>408</v>
      </c>
      <c r="I78" s="4" t="s">
        <v>28</v>
      </c>
      <c r="J78" s="4" t="s">
        <v>79</v>
      </c>
      <c r="K78" s="4" t="s">
        <v>63</v>
      </c>
      <c r="L78" s="4" t="s">
        <v>190</v>
      </c>
      <c r="M78" s="4" t="s">
        <v>73</v>
      </c>
      <c r="N78" s="4" t="s">
        <v>33</v>
      </c>
      <c r="O78" s="4" t="s">
        <v>46</v>
      </c>
      <c r="P78" s="4" t="s">
        <v>74</v>
      </c>
      <c r="Q78" s="4">
        <v>2</v>
      </c>
      <c r="R78" s="4">
        <v>43128</v>
      </c>
      <c r="S78" s="5">
        <v>0</v>
      </c>
      <c r="T78" s="6">
        <f t="shared" si="3"/>
        <v>86256</v>
      </c>
      <c r="U78" s="4">
        <v>8414.7999999999993</v>
      </c>
      <c r="V78" t="str">
        <f t="shared" si="4"/>
        <v>Mar</v>
      </c>
      <c r="W78">
        <f t="shared" si="5"/>
        <v>9.7556112038582818E-2</v>
      </c>
    </row>
    <row r="79" spans="1:23" x14ac:dyDescent="0.4">
      <c r="A79" s="4" t="s">
        <v>409</v>
      </c>
      <c r="B79" s="4" t="s">
        <v>108</v>
      </c>
      <c r="C79" s="11">
        <v>44717</v>
      </c>
      <c r="D79" s="4" t="s">
        <v>98</v>
      </c>
      <c r="E79" s="4" t="s">
        <v>24</v>
      </c>
      <c r="F79" s="4" t="s">
        <v>26</v>
      </c>
      <c r="G79" s="4" t="s">
        <v>26</v>
      </c>
      <c r="H79" s="4" t="s">
        <v>410</v>
      </c>
      <c r="I79" s="4" t="s">
        <v>43</v>
      </c>
      <c r="J79" s="4" t="s">
        <v>29</v>
      </c>
      <c r="K79" s="4" t="s">
        <v>153</v>
      </c>
      <c r="L79" s="4" t="s">
        <v>135</v>
      </c>
      <c r="M79" s="4" t="s">
        <v>81</v>
      </c>
      <c r="N79" s="4" t="s">
        <v>54</v>
      </c>
      <c r="O79" s="4" t="s">
        <v>66</v>
      </c>
      <c r="P79" s="4" t="s">
        <v>47</v>
      </c>
      <c r="Q79" s="4">
        <v>4</v>
      </c>
      <c r="R79" s="4">
        <v>23649</v>
      </c>
      <c r="S79" s="5">
        <v>15</v>
      </c>
      <c r="T79" s="6">
        <f t="shared" si="3"/>
        <v>80406.600000000006</v>
      </c>
      <c r="U79" s="4">
        <v>-154.80000000000001</v>
      </c>
      <c r="V79" t="str">
        <f t="shared" si="4"/>
        <v>Jun</v>
      </c>
      <c r="W79">
        <f t="shared" si="5"/>
        <v>-1.9252150942833052E-3</v>
      </c>
    </row>
    <row r="80" spans="1:23" x14ac:dyDescent="0.4">
      <c r="A80" s="4" t="s">
        <v>411</v>
      </c>
      <c r="B80" s="4" t="s">
        <v>412</v>
      </c>
      <c r="C80" s="11">
        <v>45041</v>
      </c>
      <c r="D80" s="4" t="s">
        <v>124</v>
      </c>
      <c r="E80" s="4" t="s">
        <v>24</v>
      </c>
      <c r="F80" s="4" t="s">
        <v>70</v>
      </c>
      <c r="G80" s="4" t="s">
        <v>99</v>
      </c>
      <c r="H80" s="4" t="s">
        <v>413</v>
      </c>
      <c r="I80" s="4" t="s">
        <v>43</v>
      </c>
      <c r="J80" s="4" t="s">
        <v>79</v>
      </c>
      <c r="K80" s="4" t="s">
        <v>153</v>
      </c>
      <c r="L80" s="4" t="s">
        <v>414</v>
      </c>
      <c r="M80" s="4" t="s">
        <v>32</v>
      </c>
      <c r="N80" s="4" t="s">
        <v>54</v>
      </c>
      <c r="O80" s="4" t="s">
        <v>82</v>
      </c>
      <c r="P80" s="4" t="s">
        <v>74</v>
      </c>
      <c r="Q80" s="4">
        <v>1</v>
      </c>
      <c r="R80" s="4">
        <v>10430</v>
      </c>
      <c r="S80" s="5">
        <v>20</v>
      </c>
      <c r="T80" s="6">
        <f t="shared" si="3"/>
        <v>8344</v>
      </c>
      <c r="U80" s="4">
        <v>897.55</v>
      </c>
      <c r="V80" t="str">
        <f t="shared" si="4"/>
        <v>Apr</v>
      </c>
      <c r="W80">
        <f t="shared" si="5"/>
        <v>0.10756831255992329</v>
      </c>
    </row>
    <row r="81" spans="1:23" x14ac:dyDescent="0.4">
      <c r="A81" s="4" t="s">
        <v>415</v>
      </c>
      <c r="B81" s="4" t="s">
        <v>77</v>
      </c>
      <c r="C81" s="11">
        <v>45113</v>
      </c>
      <c r="D81" s="4" t="s">
        <v>124</v>
      </c>
      <c r="E81" s="4" t="s">
        <v>24</v>
      </c>
      <c r="F81" s="4" t="s">
        <v>25</v>
      </c>
      <c r="G81" s="4" t="s">
        <v>59</v>
      </c>
      <c r="H81" s="4" t="s">
        <v>417</v>
      </c>
      <c r="I81" s="4" t="s">
        <v>28</v>
      </c>
      <c r="J81" s="4" t="s">
        <v>29</v>
      </c>
      <c r="K81" s="4" t="s">
        <v>153</v>
      </c>
      <c r="L81" s="4" t="s">
        <v>418</v>
      </c>
      <c r="M81" s="4" t="s">
        <v>32</v>
      </c>
      <c r="N81" s="4" t="s">
        <v>54</v>
      </c>
      <c r="O81" s="4" t="s">
        <v>82</v>
      </c>
      <c r="P81" s="4" t="s">
        <v>35</v>
      </c>
      <c r="Q81" s="4">
        <v>3</v>
      </c>
      <c r="R81" s="4">
        <v>47483</v>
      </c>
      <c r="S81" s="5">
        <v>10</v>
      </c>
      <c r="T81" s="6">
        <f t="shared" si="3"/>
        <v>128204.1</v>
      </c>
      <c r="U81" s="4">
        <v>27673.09</v>
      </c>
      <c r="V81" t="str">
        <f t="shared" si="4"/>
        <v>Jul</v>
      </c>
      <c r="W81">
        <f t="shared" si="5"/>
        <v>0.2158518331317017</v>
      </c>
    </row>
    <row r="82" spans="1:23" x14ac:dyDescent="0.4">
      <c r="A82" s="4" t="s">
        <v>419</v>
      </c>
      <c r="B82" s="4" t="s">
        <v>420</v>
      </c>
      <c r="C82" s="11">
        <v>45478</v>
      </c>
      <c r="D82" s="4" t="s">
        <v>124</v>
      </c>
      <c r="E82" s="4" t="s">
        <v>24</v>
      </c>
      <c r="F82" s="4" t="s">
        <v>26</v>
      </c>
      <c r="G82" s="4" t="s">
        <v>92</v>
      </c>
      <c r="H82" s="4" t="s">
        <v>422</v>
      </c>
      <c r="I82" s="4" t="s">
        <v>43</v>
      </c>
      <c r="J82" s="4" t="s">
        <v>79</v>
      </c>
      <c r="K82" s="4" t="s">
        <v>86</v>
      </c>
      <c r="L82" s="4" t="s">
        <v>423</v>
      </c>
      <c r="M82" s="4" t="s">
        <v>65</v>
      </c>
      <c r="N82" s="4" t="s">
        <v>33</v>
      </c>
      <c r="O82" s="4" t="s">
        <v>46</v>
      </c>
      <c r="P82" s="4" t="s">
        <v>35</v>
      </c>
      <c r="Q82" s="4">
        <v>1</v>
      </c>
      <c r="R82" s="4">
        <v>7749</v>
      </c>
      <c r="S82" s="5">
        <v>10</v>
      </c>
      <c r="T82" s="6">
        <f t="shared" si="3"/>
        <v>6974.1</v>
      </c>
      <c r="U82" s="4">
        <v>-93.3</v>
      </c>
      <c r="V82" t="str">
        <f t="shared" si="4"/>
        <v>Jul</v>
      </c>
      <c r="W82">
        <f t="shared" si="5"/>
        <v>-1.3378070288639392E-2</v>
      </c>
    </row>
    <row r="83" spans="1:23" x14ac:dyDescent="0.4">
      <c r="A83" s="4" t="s">
        <v>424</v>
      </c>
      <c r="B83" s="4" t="s">
        <v>425</v>
      </c>
      <c r="C83" s="11">
        <v>44990</v>
      </c>
      <c r="D83" s="4" t="s">
        <v>124</v>
      </c>
      <c r="E83" s="4" t="s">
        <v>24</v>
      </c>
      <c r="F83" s="4" t="s">
        <v>58</v>
      </c>
      <c r="G83" s="4" t="s">
        <v>41</v>
      </c>
      <c r="H83" s="4" t="s">
        <v>427</v>
      </c>
      <c r="I83" s="4" t="s">
        <v>43</v>
      </c>
      <c r="J83" s="4" t="s">
        <v>62</v>
      </c>
      <c r="K83" s="4" t="s">
        <v>44</v>
      </c>
      <c r="L83" s="4" t="s">
        <v>126</v>
      </c>
      <c r="M83" s="4" t="s">
        <v>81</v>
      </c>
      <c r="N83" s="4" t="s">
        <v>33</v>
      </c>
      <c r="O83" s="4" t="s">
        <v>34</v>
      </c>
      <c r="P83" s="4" t="s">
        <v>88</v>
      </c>
      <c r="Q83" s="4">
        <v>4</v>
      </c>
      <c r="R83" s="4">
        <v>38305</v>
      </c>
      <c r="S83" s="5">
        <v>5</v>
      </c>
      <c r="T83" s="6">
        <f t="shared" si="3"/>
        <v>145559</v>
      </c>
      <c r="U83" s="4">
        <v>2401.2600000000002</v>
      </c>
      <c r="V83" t="str">
        <f t="shared" si="4"/>
        <v>Mar</v>
      </c>
      <c r="W83">
        <f t="shared" si="5"/>
        <v>1.6496815724208056E-2</v>
      </c>
    </row>
    <row r="84" spans="1:23" x14ac:dyDescent="0.4">
      <c r="A84" s="4" t="s">
        <v>428</v>
      </c>
      <c r="B84" s="4" t="s">
        <v>429</v>
      </c>
      <c r="C84" s="11">
        <v>44945</v>
      </c>
      <c r="D84" s="4" t="s">
        <v>98</v>
      </c>
      <c r="E84" s="4" t="s">
        <v>24</v>
      </c>
      <c r="F84" s="4" t="s">
        <v>25</v>
      </c>
      <c r="G84" s="4" t="s">
        <v>59</v>
      </c>
      <c r="H84" s="4" t="s">
        <v>431</v>
      </c>
      <c r="I84" s="4" t="s">
        <v>43</v>
      </c>
      <c r="J84" s="4" t="s">
        <v>62</v>
      </c>
      <c r="K84" s="4" t="s">
        <v>30</v>
      </c>
      <c r="L84" s="4" t="s">
        <v>432</v>
      </c>
      <c r="M84" s="4" t="s">
        <v>32</v>
      </c>
      <c r="N84" s="4" t="s">
        <v>54</v>
      </c>
      <c r="O84" s="4" t="s">
        <v>120</v>
      </c>
      <c r="P84" s="4" t="s">
        <v>74</v>
      </c>
      <c r="Q84" s="4">
        <v>9</v>
      </c>
      <c r="R84" s="4">
        <v>44147</v>
      </c>
      <c r="S84" s="5">
        <v>5</v>
      </c>
      <c r="T84" s="6">
        <f t="shared" si="3"/>
        <v>377456.85</v>
      </c>
      <c r="U84" s="4">
        <v>12759.5</v>
      </c>
      <c r="V84" t="str">
        <f t="shared" si="4"/>
        <v>Jan</v>
      </c>
      <c r="W84">
        <f t="shared" si="5"/>
        <v>3.3803863938354807E-2</v>
      </c>
    </row>
    <row r="85" spans="1:23" x14ac:dyDescent="0.4">
      <c r="A85" s="4" t="s">
        <v>433</v>
      </c>
      <c r="B85" s="4" t="s">
        <v>434</v>
      </c>
      <c r="C85" s="11">
        <v>45521</v>
      </c>
      <c r="D85" s="4" t="s">
        <v>98</v>
      </c>
      <c r="E85" s="4" t="s">
        <v>24</v>
      </c>
      <c r="F85" s="4" t="s">
        <v>40</v>
      </c>
      <c r="G85" s="4" t="s">
        <v>26</v>
      </c>
      <c r="H85" s="4" t="s">
        <v>436</v>
      </c>
      <c r="I85" s="4" t="s">
        <v>43</v>
      </c>
      <c r="J85" s="4" t="s">
        <v>62</v>
      </c>
      <c r="K85" s="4" t="s">
        <v>44</v>
      </c>
      <c r="L85" s="4" t="s">
        <v>306</v>
      </c>
      <c r="M85" s="4" t="s">
        <v>73</v>
      </c>
      <c r="N85" s="4" t="s">
        <v>54</v>
      </c>
      <c r="O85" s="4" t="s">
        <v>34</v>
      </c>
      <c r="P85" s="4" t="s">
        <v>35</v>
      </c>
      <c r="Q85" s="4">
        <v>3</v>
      </c>
      <c r="R85" s="4">
        <v>22823</v>
      </c>
      <c r="S85" s="5">
        <v>10</v>
      </c>
      <c r="T85" s="6">
        <f t="shared" si="3"/>
        <v>61622.1</v>
      </c>
      <c r="U85" s="4">
        <v>1323.26</v>
      </c>
      <c r="V85" t="str">
        <f t="shared" si="4"/>
        <v>Aug</v>
      </c>
      <c r="W85">
        <f t="shared" si="5"/>
        <v>2.1473789435932887E-2</v>
      </c>
    </row>
    <row r="86" spans="1:23" x14ac:dyDescent="0.4">
      <c r="A86" s="4" t="s">
        <v>437</v>
      </c>
      <c r="B86" s="4" t="s">
        <v>438</v>
      </c>
      <c r="C86" s="11">
        <v>44744</v>
      </c>
      <c r="D86" s="4" t="s">
        <v>98</v>
      </c>
      <c r="E86" s="4" t="s">
        <v>24</v>
      </c>
      <c r="F86" s="4" t="s">
        <v>26</v>
      </c>
      <c r="G86" s="4" t="s">
        <v>26</v>
      </c>
      <c r="H86" s="4" t="s">
        <v>440</v>
      </c>
      <c r="I86" s="4" t="s">
        <v>43</v>
      </c>
      <c r="J86" s="4" t="s">
        <v>62</v>
      </c>
      <c r="K86" s="4" t="s">
        <v>63</v>
      </c>
      <c r="L86" s="4" t="s">
        <v>441</v>
      </c>
      <c r="M86" s="4" t="s">
        <v>95</v>
      </c>
      <c r="N86" s="4" t="s">
        <v>54</v>
      </c>
      <c r="O86" s="4" t="s">
        <v>66</v>
      </c>
      <c r="P86" s="4" t="s">
        <v>74</v>
      </c>
      <c r="Q86" s="4">
        <v>9</v>
      </c>
      <c r="R86" s="4">
        <v>45015</v>
      </c>
      <c r="S86" s="5">
        <v>5</v>
      </c>
      <c r="T86" s="6">
        <f t="shared" si="3"/>
        <v>384878.25</v>
      </c>
      <c r="U86" s="4">
        <v>78778.2</v>
      </c>
      <c r="V86" t="str">
        <f t="shared" si="4"/>
        <v>Jun</v>
      </c>
      <c r="W86">
        <f t="shared" si="5"/>
        <v>0.20468342911037452</v>
      </c>
    </row>
    <row r="87" spans="1:23" x14ac:dyDescent="0.4">
      <c r="A87" s="4" t="s">
        <v>442</v>
      </c>
      <c r="B87" s="4" t="s">
        <v>385</v>
      </c>
      <c r="C87" s="11">
        <v>44758</v>
      </c>
      <c r="D87" s="4" t="s">
        <v>23</v>
      </c>
      <c r="E87" s="4" t="s">
        <v>24</v>
      </c>
      <c r="F87" s="4" t="s">
        <v>25</v>
      </c>
      <c r="G87" s="4" t="s">
        <v>41</v>
      </c>
      <c r="H87" s="4" t="s">
        <v>444</v>
      </c>
      <c r="I87" s="4" t="s">
        <v>43</v>
      </c>
      <c r="J87" s="4" t="s">
        <v>62</v>
      </c>
      <c r="K87" s="4" t="s">
        <v>30</v>
      </c>
      <c r="L87" s="4" t="s">
        <v>251</v>
      </c>
      <c r="M87" s="4" t="s">
        <v>95</v>
      </c>
      <c r="N87" s="4" t="s">
        <v>54</v>
      </c>
      <c r="O87" s="4" t="s">
        <v>82</v>
      </c>
      <c r="P87" s="4" t="s">
        <v>35</v>
      </c>
      <c r="Q87" s="4">
        <v>8</v>
      </c>
      <c r="R87" s="4">
        <v>1845</v>
      </c>
      <c r="S87" s="5">
        <v>5</v>
      </c>
      <c r="T87" s="6">
        <f t="shared" si="3"/>
        <v>14022</v>
      </c>
      <c r="U87" s="4">
        <v>639.20000000000005</v>
      </c>
      <c r="V87" t="str">
        <f t="shared" si="4"/>
        <v>Jul</v>
      </c>
      <c r="W87">
        <f t="shared" si="5"/>
        <v>4.5585508486663817E-2</v>
      </c>
    </row>
    <row r="88" spans="1:23" x14ac:dyDescent="0.4">
      <c r="A88" s="4" t="s">
        <v>445</v>
      </c>
      <c r="B88" s="4" t="s">
        <v>446</v>
      </c>
      <c r="C88" s="11">
        <v>45115</v>
      </c>
      <c r="D88" s="4" t="s">
        <v>23</v>
      </c>
      <c r="E88" s="4" t="s">
        <v>24</v>
      </c>
      <c r="F88" s="4" t="s">
        <v>58</v>
      </c>
      <c r="G88" s="4" t="s">
        <v>26</v>
      </c>
      <c r="H88" s="4" t="s">
        <v>448</v>
      </c>
      <c r="I88" s="4" t="s">
        <v>43</v>
      </c>
      <c r="J88" s="4" t="s">
        <v>62</v>
      </c>
      <c r="K88" s="4" t="s">
        <v>101</v>
      </c>
      <c r="L88" s="4" t="s">
        <v>52</v>
      </c>
      <c r="M88" s="4" t="s">
        <v>32</v>
      </c>
      <c r="N88" s="4" t="s">
        <v>33</v>
      </c>
      <c r="O88" s="4" t="s">
        <v>46</v>
      </c>
      <c r="P88" s="4" t="s">
        <v>47</v>
      </c>
      <c r="Q88" s="4">
        <v>8</v>
      </c>
      <c r="R88" s="4">
        <v>39976</v>
      </c>
      <c r="S88" s="5">
        <v>10</v>
      </c>
      <c r="T88" s="6">
        <f t="shared" si="3"/>
        <v>287827.20000000001</v>
      </c>
      <c r="U88" s="4">
        <v>-5343.6</v>
      </c>
      <c r="V88" t="str">
        <f t="shared" si="4"/>
        <v>Jul</v>
      </c>
      <c r="W88">
        <f t="shared" si="5"/>
        <v>-1.8565305850176773E-2</v>
      </c>
    </row>
    <row r="89" spans="1:23" x14ac:dyDescent="0.4">
      <c r="A89" s="4" t="s">
        <v>449</v>
      </c>
      <c r="B89" s="4" t="s">
        <v>393</v>
      </c>
      <c r="C89" s="11">
        <v>45002</v>
      </c>
      <c r="D89" s="4" t="s">
        <v>124</v>
      </c>
      <c r="E89" s="4" t="s">
        <v>24</v>
      </c>
      <c r="F89" s="4" t="s">
        <v>26</v>
      </c>
      <c r="G89" s="4" t="s">
        <v>41</v>
      </c>
      <c r="H89" s="4" t="s">
        <v>451</v>
      </c>
      <c r="I89" s="4" t="s">
        <v>28</v>
      </c>
      <c r="J89" s="4" t="s">
        <v>62</v>
      </c>
      <c r="K89" s="4" t="s">
        <v>86</v>
      </c>
      <c r="L89" s="4" t="s">
        <v>452</v>
      </c>
      <c r="M89" s="4" t="s">
        <v>73</v>
      </c>
      <c r="N89" s="4" t="s">
        <v>54</v>
      </c>
      <c r="O89" s="4" t="s">
        <v>46</v>
      </c>
      <c r="P89" s="4" t="s">
        <v>47</v>
      </c>
      <c r="Q89" s="4">
        <v>7</v>
      </c>
      <c r="R89" s="4">
        <v>34006</v>
      </c>
      <c r="S89" s="5">
        <v>5</v>
      </c>
      <c r="T89" s="6">
        <f t="shared" si="3"/>
        <v>226139.9</v>
      </c>
      <c r="U89" s="4">
        <v>52832.74</v>
      </c>
      <c r="V89" t="str">
        <f t="shared" si="4"/>
        <v>Mar</v>
      </c>
      <c r="W89">
        <f t="shared" si="5"/>
        <v>0.23362856355733774</v>
      </c>
    </row>
    <row r="90" spans="1:23" x14ac:dyDescent="0.4">
      <c r="A90" s="4" t="s">
        <v>453</v>
      </c>
      <c r="B90" s="4" t="s">
        <v>454</v>
      </c>
      <c r="C90" s="11">
        <v>45494</v>
      </c>
      <c r="D90" s="4" t="s">
        <v>23</v>
      </c>
      <c r="E90" s="4" t="s">
        <v>24</v>
      </c>
      <c r="F90" s="4" t="s">
        <v>25</v>
      </c>
      <c r="G90" s="4" t="s">
        <v>99</v>
      </c>
      <c r="H90" s="4" t="s">
        <v>456</v>
      </c>
      <c r="I90" s="4" t="s">
        <v>28</v>
      </c>
      <c r="J90" s="4" t="s">
        <v>62</v>
      </c>
      <c r="K90" s="4" t="s">
        <v>86</v>
      </c>
      <c r="L90" s="4" t="s">
        <v>457</v>
      </c>
      <c r="M90" s="4" t="s">
        <v>73</v>
      </c>
      <c r="N90" s="4" t="s">
        <v>54</v>
      </c>
      <c r="O90" s="4" t="s">
        <v>120</v>
      </c>
      <c r="P90" s="4" t="s">
        <v>88</v>
      </c>
      <c r="Q90" s="4">
        <v>1</v>
      </c>
      <c r="R90" s="4">
        <v>49524</v>
      </c>
      <c r="S90" s="5">
        <v>20</v>
      </c>
      <c r="T90" s="6">
        <f t="shared" si="3"/>
        <v>39619.199999999997</v>
      </c>
      <c r="U90" s="4">
        <v>-4328.33</v>
      </c>
      <c r="V90" t="str">
        <f t="shared" si="4"/>
        <v>Jul</v>
      </c>
      <c r="W90">
        <f t="shared" si="5"/>
        <v>-0.10924829375656248</v>
      </c>
    </row>
    <row r="91" spans="1:23" x14ac:dyDescent="0.4">
      <c r="A91" s="4" t="s">
        <v>458</v>
      </c>
      <c r="B91" s="4" t="s">
        <v>459</v>
      </c>
      <c r="C91" s="11">
        <v>45297</v>
      </c>
      <c r="D91" s="4" t="s">
        <v>39</v>
      </c>
      <c r="E91" s="4" t="s">
        <v>24</v>
      </c>
      <c r="F91" s="4" t="s">
        <v>58</v>
      </c>
      <c r="G91" s="4" t="s">
        <v>92</v>
      </c>
      <c r="H91" s="4" t="s">
        <v>461</v>
      </c>
      <c r="I91" s="4" t="s">
        <v>61</v>
      </c>
      <c r="J91" s="4" t="s">
        <v>29</v>
      </c>
      <c r="K91" s="4" t="s">
        <v>30</v>
      </c>
      <c r="L91" s="4" t="s">
        <v>114</v>
      </c>
      <c r="M91" s="4" t="s">
        <v>73</v>
      </c>
      <c r="N91" s="4" t="s">
        <v>33</v>
      </c>
      <c r="O91" s="4" t="s">
        <v>82</v>
      </c>
      <c r="P91" s="4" t="s">
        <v>74</v>
      </c>
      <c r="Q91" s="4">
        <v>2</v>
      </c>
      <c r="R91" s="4">
        <v>31121</v>
      </c>
      <c r="S91" s="5">
        <v>0</v>
      </c>
      <c r="T91" s="6">
        <f t="shared" si="3"/>
        <v>62242</v>
      </c>
      <c r="U91" s="4">
        <v>16875.41</v>
      </c>
      <c r="V91" t="str">
        <f t="shared" si="4"/>
        <v>Jan</v>
      </c>
      <c r="W91">
        <f t="shared" si="5"/>
        <v>0.27112576716686482</v>
      </c>
    </row>
    <row r="92" spans="1:23" x14ac:dyDescent="0.4">
      <c r="A92" s="4" t="s">
        <v>462</v>
      </c>
      <c r="B92" s="4" t="s">
        <v>22</v>
      </c>
      <c r="C92" s="11">
        <v>45006</v>
      </c>
      <c r="D92" s="4" t="s">
        <v>124</v>
      </c>
      <c r="E92" s="4" t="s">
        <v>24</v>
      </c>
      <c r="F92" s="4" t="s">
        <v>58</v>
      </c>
      <c r="G92" s="4" t="s">
        <v>92</v>
      </c>
      <c r="H92" s="4" t="s">
        <v>464</v>
      </c>
      <c r="I92" s="4" t="s">
        <v>43</v>
      </c>
      <c r="J92" s="4" t="s">
        <v>29</v>
      </c>
      <c r="K92" s="4" t="s">
        <v>101</v>
      </c>
      <c r="L92" s="4" t="s">
        <v>311</v>
      </c>
      <c r="M92" s="4" t="s">
        <v>53</v>
      </c>
      <c r="N92" s="4" t="s">
        <v>54</v>
      </c>
      <c r="O92" s="4" t="s">
        <v>120</v>
      </c>
      <c r="P92" s="4" t="s">
        <v>47</v>
      </c>
      <c r="Q92" s="4">
        <v>6</v>
      </c>
      <c r="R92" s="4">
        <v>8947</v>
      </c>
      <c r="S92" s="5">
        <v>20</v>
      </c>
      <c r="T92" s="6">
        <f t="shared" si="3"/>
        <v>42945.599999999999</v>
      </c>
      <c r="U92" s="4">
        <v>-6338.81</v>
      </c>
      <c r="V92" t="str">
        <f t="shared" si="4"/>
        <v>Mar</v>
      </c>
      <c r="W92">
        <f t="shared" si="5"/>
        <v>-0.14760091837114864</v>
      </c>
    </row>
    <row r="93" spans="1:23" x14ac:dyDescent="0.4">
      <c r="A93" s="4" t="s">
        <v>465</v>
      </c>
      <c r="B93" s="4" t="s">
        <v>466</v>
      </c>
      <c r="C93" s="11">
        <v>44844</v>
      </c>
      <c r="D93" s="4" t="s">
        <v>23</v>
      </c>
      <c r="E93" s="4" t="s">
        <v>24</v>
      </c>
      <c r="F93" s="4" t="s">
        <v>58</v>
      </c>
      <c r="G93" s="4" t="s">
        <v>99</v>
      </c>
      <c r="H93" s="4" t="s">
        <v>468</v>
      </c>
      <c r="I93" s="4" t="s">
        <v>61</v>
      </c>
      <c r="J93" s="4" t="s">
        <v>79</v>
      </c>
      <c r="K93" s="4" t="s">
        <v>101</v>
      </c>
      <c r="L93" s="4" t="s">
        <v>251</v>
      </c>
      <c r="M93" s="4" t="s">
        <v>73</v>
      </c>
      <c r="N93" s="4" t="s">
        <v>33</v>
      </c>
      <c r="O93" s="4" t="s">
        <v>34</v>
      </c>
      <c r="P93" s="4" t="s">
        <v>88</v>
      </c>
      <c r="Q93" s="4">
        <v>4</v>
      </c>
      <c r="R93" s="4">
        <v>15181</v>
      </c>
      <c r="S93" s="5">
        <v>20</v>
      </c>
      <c r="T93" s="6">
        <f t="shared" si="3"/>
        <v>48579.199999999997</v>
      </c>
      <c r="U93" s="4">
        <v>-1049.79</v>
      </c>
      <c r="V93" t="str">
        <f t="shared" si="4"/>
        <v>Oct</v>
      </c>
      <c r="W93">
        <f t="shared" si="5"/>
        <v>-2.1609865950859626E-2</v>
      </c>
    </row>
    <row r="94" spans="1:23" x14ac:dyDescent="0.4">
      <c r="A94" s="4" t="s">
        <v>469</v>
      </c>
      <c r="B94" s="4" t="s">
        <v>470</v>
      </c>
      <c r="C94" s="11">
        <v>44824</v>
      </c>
      <c r="D94" s="4" t="s">
        <v>23</v>
      </c>
      <c r="E94" s="4" t="s">
        <v>24</v>
      </c>
      <c r="F94" s="4" t="s">
        <v>25</v>
      </c>
      <c r="G94" s="4" t="s">
        <v>92</v>
      </c>
      <c r="H94" s="4" t="s">
        <v>471</v>
      </c>
      <c r="I94" s="4" t="s">
        <v>61</v>
      </c>
      <c r="J94" s="4" t="s">
        <v>62</v>
      </c>
      <c r="K94" s="4" t="s">
        <v>44</v>
      </c>
      <c r="L94" s="4" t="s">
        <v>472</v>
      </c>
      <c r="M94" s="4" t="s">
        <v>53</v>
      </c>
      <c r="N94" s="4" t="s">
        <v>33</v>
      </c>
      <c r="O94" s="4" t="s">
        <v>34</v>
      </c>
      <c r="P94" s="4" t="s">
        <v>47</v>
      </c>
      <c r="Q94" s="4">
        <v>7</v>
      </c>
      <c r="R94" s="4">
        <v>15832</v>
      </c>
      <c r="S94" s="5">
        <v>15</v>
      </c>
      <c r="T94" s="6">
        <f t="shared" si="3"/>
        <v>94200.4</v>
      </c>
      <c r="U94" s="4">
        <v>9994.42</v>
      </c>
      <c r="V94" t="str">
        <f t="shared" si="4"/>
        <v>Sep</v>
      </c>
      <c r="W94">
        <f t="shared" si="5"/>
        <v>0.10609742633789242</v>
      </c>
    </row>
    <row r="95" spans="1:23" x14ac:dyDescent="0.4">
      <c r="A95" s="4" t="s">
        <v>473</v>
      </c>
      <c r="B95" s="4" t="s">
        <v>407</v>
      </c>
      <c r="C95" s="11">
        <v>44653</v>
      </c>
      <c r="D95" s="4" t="s">
        <v>23</v>
      </c>
      <c r="E95" s="4" t="s">
        <v>24</v>
      </c>
      <c r="F95" s="4" t="s">
        <v>70</v>
      </c>
      <c r="G95" s="4" t="s">
        <v>41</v>
      </c>
      <c r="H95" s="4" t="s">
        <v>475</v>
      </c>
      <c r="I95" s="4" t="s">
        <v>61</v>
      </c>
      <c r="J95" s="4" t="s">
        <v>79</v>
      </c>
      <c r="K95" s="4" t="s">
        <v>30</v>
      </c>
      <c r="L95" s="4" t="s">
        <v>476</v>
      </c>
      <c r="M95" s="4" t="s">
        <v>81</v>
      </c>
      <c r="N95" s="4" t="s">
        <v>33</v>
      </c>
      <c r="O95" s="4" t="s">
        <v>120</v>
      </c>
      <c r="P95" s="4" t="s">
        <v>74</v>
      </c>
      <c r="Q95" s="4">
        <v>5</v>
      </c>
      <c r="R95" s="4">
        <v>22130</v>
      </c>
      <c r="S95" s="5">
        <v>15</v>
      </c>
      <c r="T95" s="6">
        <f t="shared" si="3"/>
        <v>94052.5</v>
      </c>
      <c r="U95" s="4">
        <v>11262.15</v>
      </c>
      <c r="V95" t="str">
        <f t="shared" si="4"/>
        <v>Mar</v>
      </c>
      <c r="W95">
        <f t="shared" si="5"/>
        <v>0.11974322851598841</v>
      </c>
    </row>
    <row r="96" spans="1:23" x14ac:dyDescent="0.4">
      <c r="A96" s="4" t="s">
        <v>477</v>
      </c>
      <c r="B96" s="4" t="s">
        <v>478</v>
      </c>
      <c r="C96" s="11">
        <v>45020</v>
      </c>
      <c r="D96" s="4" t="s">
        <v>124</v>
      </c>
      <c r="E96" s="4" t="s">
        <v>24</v>
      </c>
      <c r="F96" s="4" t="s">
        <v>26</v>
      </c>
      <c r="G96" s="4" t="s">
        <v>41</v>
      </c>
      <c r="H96" s="4" t="s">
        <v>480</v>
      </c>
      <c r="I96" s="4" t="s">
        <v>28</v>
      </c>
      <c r="J96" s="4" t="s">
        <v>29</v>
      </c>
      <c r="K96" s="4" t="s">
        <v>44</v>
      </c>
      <c r="L96" s="4" t="s">
        <v>481</v>
      </c>
      <c r="M96" s="4" t="s">
        <v>81</v>
      </c>
      <c r="N96" s="4" t="s">
        <v>33</v>
      </c>
      <c r="O96" s="4" t="s">
        <v>120</v>
      </c>
      <c r="P96" s="4" t="s">
        <v>74</v>
      </c>
      <c r="Q96" s="4">
        <v>7</v>
      </c>
      <c r="R96" s="4">
        <v>5830</v>
      </c>
      <c r="S96" s="5">
        <v>10</v>
      </c>
      <c r="T96" s="6">
        <f t="shared" si="3"/>
        <v>36729</v>
      </c>
      <c r="U96" s="4">
        <v>3466.42</v>
      </c>
      <c r="V96" t="str">
        <f t="shared" si="4"/>
        <v>Mar</v>
      </c>
      <c r="W96">
        <f t="shared" si="5"/>
        <v>9.437828418960495E-2</v>
      </c>
    </row>
    <row r="97" spans="1:23" x14ac:dyDescent="0.4">
      <c r="A97" s="4" t="s">
        <v>482</v>
      </c>
      <c r="B97" s="4" t="s">
        <v>483</v>
      </c>
      <c r="C97" s="11">
        <v>44583</v>
      </c>
      <c r="D97" s="4" t="s">
        <v>124</v>
      </c>
      <c r="E97" s="4" t="s">
        <v>24</v>
      </c>
      <c r="F97" s="4" t="s">
        <v>40</v>
      </c>
      <c r="G97" s="4" t="s">
        <v>41</v>
      </c>
      <c r="H97" s="4" t="s">
        <v>485</v>
      </c>
      <c r="I97" s="4" t="s">
        <v>61</v>
      </c>
      <c r="J97" s="4" t="s">
        <v>29</v>
      </c>
      <c r="K97" s="4" t="s">
        <v>101</v>
      </c>
      <c r="L97" s="4" t="s">
        <v>486</v>
      </c>
      <c r="M97" s="4" t="s">
        <v>32</v>
      </c>
      <c r="N97" s="4" t="s">
        <v>33</v>
      </c>
      <c r="O97" s="4" t="s">
        <v>34</v>
      </c>
      <c r="P97" s="4" t="s">
        <v>88</v>
      </c>
      <c r="Q97" s="4">
        <v>8</v>
      </c>
      <c r="R97" s="4">
        <v>20595</v>
      </c>
      <c r="S97" s="5">
        <v>15</v>
      </c>
      <c r="T97" s="6">
        <f t="shared" si="3"/>
        <v>140046</v>
      </c>
      <c r="U97" s="4">
        <v>8084.29</v>
      </c>
      <c r="V97" t="str">
        <f t="shared" si="4"/>
        <v>Jan</v>
      </c>
      <c r="W97">
        <f t="shared" si="5"/>
        <v>5.7725961469802779E-2</v>
      </c>
    </row>
    <row r="98" spans="1:23" x14ac:dyDescent="0.4">
      <c r="A98" s="4" t="s">
        <v>487</v>
      </c>
      <c r="B98" s="4" t="s">
        <v>488</v>
      </c>
      <c r="C98" s="11">
        <v>44993</v>
      </c>
      <c r="D98" s="4" t="s">
        <v>124</v>
      </c>
      <c r="E98" s="4" t="s">
        <v>24</v>
      </c>
      <c r="F98" s="4" t="s">
        <v>25</v>
      </c>
      <c r="G98" s="4" t="s">
        <v>59</v>
      </c>
      <c r="H98" s="4" t="s">
        <v>490</v>
      </c>
      <c r="I98" s="4" t="s">
        <v>43</v>
      </c>
      <c r="J98" s="4" t="s">
        <v>62</v>
      </c>
      <c r="K98" s="4" t="s">
        <v>63</v>
      </c>
      <c r="L98" s="4" t="s">
        <v>491</v>
      </c>
      <c r="M98" s="4" t="s">
        <v>95</v>
      </c>
      <c r="N98" s="4" t="s">
        <v>33</v>
      </c>
      <c r="O98" s="4" t="s">
        <v>34</v>
      </c>
      <c r="P98" s="4" t="s">
        <v>74</v>
      </c>
      <c r="Q98" s="4">
        <v>6</v>
      </c>
      <c r="R98" s="4">
        <v>31309</v>
      </c>
      <c r="S98" s="5">
        <v>0</v>
      </c>
      <c r="T98" s="6">
        <f t="shared" si="3"/>
        <v>187854</v>
      </c>
      <c r="U98" s="4">
        <v>34743.599999999999</v>
      </c>
      <c r="V98" t="str">
        <f t="shared" si="4"/>
        <v>Feb</v>
      </c>
      <c r="W98">
        <f t="shared" si="5"/>
        <v>0.18495001437286401</v>
      </c>
    </row>
    <row r="99" spans="1:23" x14ac:dyDescent="0.4">
      <c r="A99" s="4" t="s">
        <v>492</v>
      </c>
      <c r="B99" s="4" t="s">
        <v>401</v>
      </c>
      <c r="C99" s="11">
        <v>44874</v>
      </c>
      <c r="D99" s="4" t="s">
        <v>98</v>
      </c>
      <c r="E99" s="4" t="s">
        <v>24</v>
      </c>
      <c r="F99" s="4" t="s">
        <v>58</v>
      </c>
      <c r="G99" s="4" t="s">
        <v>99</v>
      </c>
      <c r="H99" s="4" t="s">
        <v>493</v>
      </c>
      <c r="I99" s="4" t="s">
        <v>61</v>
      </c>
      <c r="J99" s="4" t="s">
        <v>62</v>
      </c>
      <c r="K99" s="4" t="s">
        <v>44</v>
      </c>
      <c r="L99" s="4" t="s">
        <v>494</v>
      </c>
      <c r="M99" s="4" t="s">
        <v>95</v>
      </c>
      <c r="N99" s="4" t="s">
        <v>54</v>
      </c>
      <c r="O99" s="4" t="s">
        <v>34</v>
      </c>
      <c r="P99" s="4" t="s">
        <v>74</v>
      </c>
      <c r="Q99" s="4">
        <v>7</v>
      </c>
      <c r="R99" s="4">
        <v>14125</v>
      </c>
      <c r="S99" s="5">
        <v>10</v>
      </c>
      <c r="T99" s="6">
        <f t="shared" si="3"/>
        <v>88987.5</v>
      </c>
      <c r="U99" s="4">
        <v>14467.68</v>
      </c>
      <c r="V99" t="str">
        <f t="shared" si="4"/>
        <v>Nov</v>
      </c>
      <c r="W99">
        <f t="shared" si="5"/>
        <v>0.1625810366624526</v>
      </c>
    </row>
    <row r="100" spans="1:23" x14ac:dyDescent="0.4">
      <c r="A100" s="4" t="s">
        <v>495</v>
      </c>
      <c r="B100" s="4" t="s">
        <v>496</v>
      </c>
      <c r="C100" s="11">
        <v>44579</v>
      </c>
      <c r="D100" s="4" t="s">
        <v>124</v>
      </c>
      <c r="E100" s="4" t="s">
        <v>24</v>
      </c>
      <c r="F100" s="4" t="s">
        <v>25</v>
      </c>
      <c r="G100" s="4" t="s">
        <v>92</v>
      </c>
      <c r="H100" s="4" t="s">
        <v>497</v>
      </c>
      <c r="I100" s="4" t="s">
        <v>43</v>
      </c>
      <c r="J100" s="4" t="s">
        <v>62</v>
      </c>
      <c r="K100" s="4" t="s">
        <v>44</v>
      </c>
      <c r="L100" s="4" t="s">
        <v>391</v>
      </c>
      <c r="M100" s="4" t="s">
        <v>73</v>
      </c>
      <c r="N100" s="4" t="s">
        <v>54</v>
      </c>
      <c r="O100" s="4" t="s">
        <v>66</v>
      </c>
      <c r="P100" s="4" t="s">
        <v>35</v>
      </c>
      <c r="Q100" s="4">
        <v>4</v>
      </c>
      <c r="R100" s="4">
        <v>46327</v>
      </c>
      <c r="S100" s="5">
        <v>20</v>
      </c>
      <c r="T100" s="6">
        <f t="shared" si="3"/>
        <v>148246.39999999999</v>
      </c>
      <c r="U100" s="4">
        <v>15403.74</v>
      </c>
      <c r="V100" t="str">
        <f t="shared" si="4"/>
        <v>Jan</v>
      </c>
      <c r="W100">
        <f t="shared" si="5"/>
        <v>0.10390633431907959</v>
      </c>
    </row>
    <row r="101" spans="1:23" x14ac:dyDescent="0.4">
      <c r="A101" s="4" t="s">
        <v>498</v>
      </c>
      <c r="B101" s="4" t="s">
        <v>380</v>
      </c>
      <c r="C101" s="11">
        <v>44685</v>
      </c>
      <c r="D101" s="4" t="s">
        <v>39</v>
      </c>
      <c r="E101" s="4" t="s">
        <v>24</v>
      </c>
      <c r="F101" s="4" t="s">
        <v>25</v>
      </c>
      <c r="G101" s="4" t="s">
        <v>59</v>
      </c>
      <c r="H101" s="4" t="s">
        <v>499</v>
      </c>
      <c r="I101" s="4" t="s">
        <v>61</v>
      </c>
      <c r="J101" s="4" t="s">
        <v>29</v>
      </c>
      <c r="K101" s="4" t="s">
        <v>86</v>
      </c>
      <c r="L101" s="4" t="s">
        <v>500</v>
      </c>
      <c r="M101" s="4" t="s">
        <v>53</v>
      </c>
      <c r="N101" s="4" t="s">
        <v>33</v>
      </c>
      <c r="O101" s="4" t="s">
        <v>46</v>
      </c>
      <c r="P101" s="4" t="s">
        <v>74</v>
      </c>
      <c r="Q101" s="4">
        <v>5</v>
      </c>
      <c r="R101" s="4">
        <v>37007</v>
      </c>
      <c r="S101" s="5">
        <v>5</v>
      </c>
      <c r="T101" s="6">
        <f t="shared" si="3"/>
        <v>175783.25</v>
      </c>
      <c r="U101" s="4">
        <v>30785.91</v>
      </c>
      <c r="V101" t="str">
        <f t="shared" si="4"/>
        <v>Apr</v>
      </c>
      <c r="W101">
        <f t="shared" si="5"/>
        <v>0.17513562867906926</v>
      </c>
    </row>
    <row r="102" spans="1:23" x14ac:dyDescent="0.4">
      <c r="A102" s="4" t="s">
        <v>501</v>
      </c>
      <c r="B102" s="4" t="s">
        <v>337</v>
      </c>
      <c r="C102" s="11">
        <v>45407</v>
      </c>
      <c r="D102" s="4" t="s">
        <v>39</v>
      </c>
      <c r="E102" s="4" t="s">
        <v>24</v>
      </c>
      <c r="F102" s="4" t="s">
        <v>25</v>
      </c>
      <c r="G102" s="4" t="s">
        <v>92</v>
      </c>
      <c r="H102" s="4" t="s">
        <v>502</v>
      </c>
      <c r="I102" s="4" t="s">
        <v>28</v>
      </c>
      <c r="J102" s="4" t="s">
        <v>62</v>
      </c>
      <c r="K102" s="4" t="s">
        <v>63</v>
      </c>
      <c r="L102" s="4" t="s">
        <v>503</v>
      </c>
      <c r="M102" s="4" t="s">
        <v>73</v>
      </c>
      <c r="N102" s="4" t="s">
        <v>54</v>
      </c>
      <c r="O102" s="4" t="s">
        <v>34</v>
      </c>
      <c r="P102" s="4" t="s">
        <v>74</v>
      </c>
      <c r="Q102" s="4">
        <v>5</v>
      </c>
      <c r="R102" s="4">
        <v>27167</v>
      </c>
      <c r="S102" s="5">
        <v>5</v>
      </c>
      <c r="T102" s="6">
        <f t="shared" si="3"/>
        <v>129043.25</v>
      </c>
      <c r="U102" s="4">
        <v>3705.82</v>
      </c>
      <c r="V102" t="str">
        <f t="shared" si="4"/>
        <v>Apr</v>
      </c>
      <c r="W102">
        <f t="shared" si="5"/>
        <v>2.8717658614456781E-2</v>
      </c>
    </row>
    <row r="103" spans="1:23" x14ac:dyDescent="0.4">
      <c r="A103" s="4" t="s">
        <v>504</v>
      </c>
      <c r="B103" s="4" t="s">
        <v>505</v>
      </c>
      <c r="C103" s="11">
        <v>45059</v>
      </c>
      <c r="D103" s="4" t="s">
        <v>124</v>
      </c>
      <c r="E103" s="4" t="s">
        <v>24</v>
      </c>
      <c r="F103" s="4" t="s">
        <v>70</v>
      </c>
      <c r="G103" s="4" t="s">
        <v>26</v>
      </c>
      <c r="H103" s="4" t="s">
        <v>506</v>
      </c>
      <c r="I103" s="4" t="s">
        <v>43</v>
      </c>
      <c r="J103" s="4" t="s">
        <v>62</v>
      </c>
      <c r="K103" s="4" t="s">
        <v>30</v>
      </c>
      <c r="L103" s="4" t="s">
        <v>507</v>
      </c>
      <c r="M103" s="4" t="s">
        <v>95</v>
      </c>
      <c r="N103" s="4" t="s">
        <v>33</v>
      </c>
      <c r="O103" s="4" t="s">
        <v>120</v>
      </c>
      <c r="P103" s="4" t="s">
        <v>74</v>
      </c>
      <c r="Q103" s="4">
        <v>10</v>
      </c>
      <c r="R103" s="4">
        <v>42405</v>
      </c>
      <c r="S103" s="5">
        <v>5</v>
      </c>
      <c r="T103" s="6">
        <f t="shared" si="3"/>
        <v>402847.5</v>
      </c>
      <c r="U103" s="4">
        <v>21646.7</v>
      </c>
      <c r="V103" t="str">
        <f t="shared" si="4"/>
        <v>May</v>
      </c>
      <c r="W103">
        <f t="shared" si="5"/>
        <v>5.3734229454073815E-2</v>
      </c>
    </row>
    <row r="104" spans="1:23" x14ac:dyDescent="0.4">
      <c r="A104" s="4" t="s">
        <v>508</v>
      </c>
      <c r="B104" s="4" t="s">
        <v>509</v>
      </c>
      <c r="C104" s="11">
        <v>44685</v>
      </c>
      <c r="D104" s="4" t="s">
        <v>124</v>
      </c>
      <c r="E104" s="4" t="s">
        <v>24</v>
      </c>
      <c r="F104" s="4" t="s">
        <v>25</v>
      </c>
      <c r="G104" s="4" t="s">
        <v>26</v>
      </c>
      <c r="H104" s="4" t="s">
        <v>510</v>
      </c>
      <c r="I104" s="4" t="s">
        <v>61</v>
      </c>
      <c r="J104" s="4" t="s">
        <v>79</v>
      </c>
      <c r="K104" s="4" t="s">
        <v>44</v>
      </c>
      <c r="L104" s="4" t="s">
        <v>511</v>
      </c>
      <c r="M104" s="4" t="s">
        <v>73</v>
      </c>
      <c r="N104" s="4" t="s">
        <v>33</v>
      </c>
      <c r="O104" s="4" t="s">
        <v>46</v>
      </c>
      <c r="P104" s="4" t="s">
        <v>74</v>
      </c>
      <c r="Q104" s="4">
        <v>3</v>
      </c>
      <c r="R104" s="4">
        <v>31668</v>
      </c>
      <c r="S104" s="5">
        <v>10</v>
      </c>
      <c r="T104" s="6">
        <f t="shared" si="3"/>
        <v>85503.6</v>
      </c>
      <c r="U104" s="4">
        <v>-1091.32</v>
      </c>
      <c r="V104" t="str">
        <f t="shared" si="4"/>
        <v>May</v>
      </c>
      <c r="W104">
        <f t="shared" si="5"/>
        <v>-1.2763439200220808E-2</v>
      </c>
    </row>
    <row r="105" spans="1:23" x14ac:dyDescent="0.4">
      <c r="A105" s="4" t="s">
        <v>512</v>
      </c>
      <c r="B105" s="4" t="s">
        <v>513</v>
      </c>
      <c r="C105" s="11">
        <v>44813</v>
      </c>
      <c r="D105" s="4" t="s">
        <v>23</v>
      </c>
      <c r="E105" s="4" t="s">
        <v>24</v>
      </c>
      <c r="F105" s="4" t="s">
        <v>40</v>
      </c>
      <c r="G105" s="4" t="s">
        <v>41</v>
      </c>
      <c r="H105" s="4" t="s">
        <v>515</v>
      </c>
      <c r="I105" s="4" t="s">
        <v>28</v>
      </c>
      <c r="J105" s="4" t="s">
        <v>29</v>
      </c>
      <c r="K105" s="4" t="s">
        <v>44</v>
      </c>
      <c r="L105" s="4" t="s">
        <v>296</v>
      </c>
      <c r="M105" s="4" t="s">
        <v>53</v>
      </c>
      <c r="N105" s="4" t="s">
        <v>33</v>
      </c>
      <c r="O105" s="4" t="s">
        <v>66</v>
      </c>
      <c r="P105" s="4" t="s">
        <v>88</v>
      </c>
      <c r="Q105" s="4">
        <v>6</v>
      </c>
      <c r="R105" s="4">
        <v>41947</v>
      </c>
      <c r="S105" s="5">
        <v>15</v>
      </c>
      <c r="T105" s="6">
        <f t="shared" si="3"/>
        <v>213929.7</v>
      </c>
      <c r="U105" s="4">
        <v>9647.39</v>
      </c>
      <c r="V105" t="str">
        <f t="shared" si="4"/>
        <v>Sep</v>
      </c>
      <c r="W105">
        <f t="shared" si="5"/>
        <v>4.5096075953923176E-2</v>
      </c>
    </row>
    <row r="106" spans="1:23" x14ac:dyDescent="0.4">
      <c r="A106" s="4" t="s">
        <v>516</v>
      </c>
      <c r="B106" s="4" t="s">
        <v>517</v>
      </c>
      <c r="C106" s="11">
        <v>44995</v>
      </c>
      <c r="D106" s="4" t="s">
        <v>98</v>
      </c>
      <c r="E106" s="4" t="s">
        <v>24</v>
      </c>
      <c r="F106" s="4" t="s">
        <v>26</v>
      </c>
      <c r="G106" s="4" t="s">
        <v>92</v>
      </c>
      <c r="H106" s="4" t="s">
        <v>518</v>
      </c>
      <c r="I106" s="4" t="s">
        <v>28</v>
      </c>
      <c r="J106" s="4" t="s">
        <v>29</v>
      </c>
      <c r="K106" s="4" t="s">
        <v>86</v>
      </c>
      <c r="L106" s="4" t="s">
        <v>452</v>
      </c>
      <c r="M106" s="4" t="s">
        <v>95</v>
      </c>
      <c r="N106" s="4" t="s">
        <v>54</v>
      </c>
      <c r="O106" s="4" t="s">
        <v>120</v>
      </c>
      <c r="P106" s="4" t="s">
        <v>88</v>
      </c>
      <c r="Q106" s="4">
        <v>6</v>
      </c>
      <c r="R106" s="4">
        <v>13704</v>
      </c>
      <c r="S106" s="5">
        <v>15</v>
      </c>
      <c r="T106" s="6">
        <f t="shared" si="3"/>
        <v>69890.399999999994</v>
      </c>
      <c r="U106" s="4">
        <v>5566.02</v>
      </c>
      <c r="V106" t="str">
        <f t="shared" si="4"/>
        <v>Mar</v>
      </c>
      <c r="W106">
        <f t="shared" si="5"/>
        <v>7.9639263761546661E-2</v>
      </c>
    </row>
    <row r="107" spans="1:23" x14ac:dyDescent="0.4">
      <c r="A107" s="4" t="s">
        <v>519</v>
      </c>
      <c r="B107" s="4" t="s">
        <v>520</v>
      </c>
      <c r="C107" s="11">
        <v>45215</v>
      </c>
      <c r="D107" s="4" t="s">
        <v>98</v>
      </c>
      <c r="E107" s="4" t="s">
        <v>24</v>
      </c>
      <c r="F107" s="4" t="s">
        <v>58</v>
      </c>
      <c r="G107" s="4" t="s">
        <v>59</v>
      </c>
      <c r="H107" s="4" t="s">
        <v>521</v>
      </c>
      <c r="I107" s="4" t="s">
        <v>28</v>
      </c>
      <c r="J107" s="4" t="s">
        <v>79</v>
      </c>
      <c r="K107" s="4" t="s">
        <v>153</v>
      </c>
      <c r="L107" s="4" t="s">
        <v>441</v>
      </c>
      <c r="M107" s="4" t="s">
        <v>32</v>
      </c>
      <c r="N107" s="4" t="s">
        <v>33</v>
      </c>
      <c r="O107" s="4" t="s">
        <v>34</v>
      </c>
      <c r="P107" s="4" t="s">
        <v>74</v>
      </c>
      <c r="Q107" s="4">
        <v>8</v>
      </c>
      <c r="R107" s="4">
        <v>25509</v>
      </c>
      <c r="S107" s="5">
        <v>10</v>
      </c>
      <c r="T107" s="6">
        <f t="shared" si="3"/>
        <v>183664.8</v>
      </c>
      <c r="U107" s="4">
        <v>-3295.76</v>
      </c>
      <c r="V107" t="str">
        <f t="shared" si="4"/>
        <v>Oct</v>
      </c>
      <c r="W107">
        <f t="shared" si="5"/>
        <v>-1.794442919928043E-2</v>
      </c>
    </row>
    <row r="108" spans="1:23" x14ac:dyDescent="0.4">
      <c r="A108" s="4" t="s">
        <v>522</v>
      </c>
      <c r="B108" s="4" t="s">
        <v>523</v>
      </c>
      <c r="C108" s="11">
        <v>45069</v>
      </c>
      <c r="D108" s="4" t="s">
        <v>39</v>
      </c>
      <c r="E108" s="4" t="s">
        <v>24</v>
      </c>
      <c r="F108" s="4" t="s">
        <v>40</v>
      </c>
      <c r="G108" s="4" t="s">
        <v>99</v>
      </c>
      <c r="H108" s="4" t="s">
        <v>525</v>
      </c>
      <c r="I108" s="4" t="s">
        <v>28</v>
      </c>
      <c r="J108" s="4" t="s">
        <v>62</v>
      </c>
      <c r="K108" s="4" t="s">
        <v>63</v>
      </c>
      <c r="L108" s="4" t="s">
        <v>287</v>
      </c>
      <c r="M108" s="4" t="s">
        <v>53</v>
      </c>
      <c r="N108" s="4" t="s">
        <v>33</v>
      </c>
      <c r="O108" s="4" t="s">
        <v>120</v>
      </c>
      <c r="P108" s="4" t="s">
        <v>47</v>
      </c>
      <c r="Q108" s="4">
        <v>10</v>
      </c>
      <c r="R108" s="4">
        <v>13028</v>
      </c>
      <c r="S108" s="5">
        <v>10</v>
      </c>
      <c r="T108" s="6">
        <f t="shared" si="3"/>
        <v>117252</v>
      </c>
      <c r="U108" s="4">
        <v>2243.0300000000002</v>
      </c>
      <c r="V108" t="str">
        <f t="shared" si="4"/>
        <v>May</v>
      </c>
      <c r="W108">
        <f t="shared" si="5"/>
        <v>1.9129993518234231E-2</v>
      </c>
    </row>
    <row r="109" spans="1:23" x14ac:dyDescent="0.4">
      <c r="A109" s="4" t="s">
        <v>526</v>
      </c>
      <c r="B109" s="4" t="s">
        <v>527</v>
      </c>
      <c r="C109" s="11">
        <v>45175</v>
      </c>
      <c r="D109" s="4" t="s">
        <v>39</v>
      </c>
      <c r="E109" s="4" t="s">
        <v>24</v>
      </c>
      <c r="F109" s="4" t="s">
        <v>26</v>
      </c>
      <c r="G109" s="4" t="s">
        <v>92</v>
      </c>
      <c r="H109" s="4" t="s">
        <v>529</v>
      </c>
      <c r="I109" s="4" t="s">
        <v>28</v>
      </c>
      <c r="J109" s="4" t="s">
        <v>62</v>
      </c>
      <c r="K109" s="4" t="s">
        <v>86</v>
      </c>
      <c r="L109" s="4" t="s">
        <v>530</v>
      </c>
      <c r="M109" s="4" t="s">
        <v>53</v>
      </c>
      <c r="N109" s="4" t="s">
        <v>33</v>
      </c>
      <c r="O109" s="4" t="s">
        <v>34</v>
      </c>
      <c r="P109" s="4" t="s">
        <v>35</v>
      </c>
      <c r="Q109" s="4">
        <v>4</v>
      </c>
      <c r="R109" s="4">
        <v>2153</v>
      </c>
      <c r="S109" s="5">
        <v>15</v>
      </c>
      <c r="T109" s="6">
        <f t="shared" si="3"/>
        <v>7320.2</v>
      </c>
      <c r="U109" s="4">
        <v>-435.9</v>
      </c>
      <c r="V109" t="str">
        <f t="shared" si="4"/>
        <v>Sep</v>
      </c>
      <c r="W109">
        <f t="shared" si="5"/>
        <v>-5.9547553345537005E-2</v>
      </c>
    </row>
    <row r="110" spans="1:23" x14ac:dyDescent="0.4">
      <c r="A110" s="4" t="s">
        <v>531</v>
      </c>
      <c r="B110" s="4" t="s">
        <v>532</v>
      </c>
      <c r="C110" s="11">
        <v>45429</v>
      </c>
      <c r="D110" s="4" t="s">
        <v>124</v>
      </c>
      <c r="E110" s="4" t="s">
        <v>24</v>
      </c>
      <c r="F110" s="4" t="s">
        <v>26</v>
      </c>
      <c r="G110" s="4" t="s">
        <v>99</v>
      </c>
      <c r="H110" s="4" t="s">
        <v>534</v>
      </c>
      <c r="I110" s="4" t="s">
        <v>43</v>
      </c>
      <c r="J110" s="4" t="s">
        <v>62</v>
      </c>
      <c r="K110" s="4" t="s">
        <v>153</v>
      </c>
      <c r="L110" s="4" t="s">
        <v>535</v>
      </c>
      <c r="M110" s="4" t="s">
        <v>32</v>
      </c>
      <c r="N110" s="4" t="s">
        <v>54</v>
      </c>
      <c r="O110" s="4" t="s">
        <v>34</v>
      </c>
      <c r="P110" s="4" t="s">
        <v>74</v>
      </c>
      <c r="Q110" s="4">
        <v>2</v>
      </c>
      <c r="R110" s="4">
        <v>49340</v>
      </c>
      <c r="S110" s="5">
        <v>20</v>
      </c>
      <c r="T110" s="6">
        <f t="shared" si="3"/>
        <v>78944</v>
      </c>
      <c r="U110" s="4">
        <v>-3671.92</v>
      </c>
      <c r="V110" t="str">
        <f t="shared" si="4"/>
        <v>May</v>
      </c>
      <c r="W110">
        <f t="shared" si="5"/>
        <v>-4.6512971220105392E-2</v>
      </c>
    </row>
    <row r="111" spans="1:23" x14ac:dyDescent="0.4">
      <c r="A111" s="4" t="s">
        <v>536</v>
      </c>
      <c r="B111" s="4" t="s">
        <v>537</v>
      </c>
      <c r="C111" s="11">
        <v>45093</v>
      </c>
      <c r="D111" s="4" t="s">
        <v>39</v>
      </c>
      <c r="E111" s="4" t="s">
        <v>24</v>
      </c>
      <c r="F111" s="4" t="s">
        <v>25</v>
      </c>
      <c r="G111" s="4" t="s">
        <v>99</v>
      </c>
      <c r="H111" s="4" t="s">
        <v>539</v>
      </c>
      <c r="I111" s="4" t="s">
        <v>61</v>
      </c>
      <c r="J111" s="4" t="s">
        <v>29</v>
      </c>
      <c r="K111" s="4" t="s">
        <v>86</v>
      </c>
      <c r="L111" s="4" t="s">
        <v>159</v>
      </c>
      <c r="M111" s="4" t="s">
        <v>32</v>
      </c>
      <c r="N111" s="4" t="s">
        <v>54</v>
      </c>
      <c r="O111" s="4" t="s">
        <v>120</v>
      </c>
      <c r="P111" s="4" t="s">
        <v>88</v>
      </c>
      <c r="Q111" s="4">
        <v>9</v>
      </c>
      <c r="R111" s="4">
        <v>21596</v>
      </c>
      <c r="S111" s="5">
        <v>10</v>
      </c>
      <c r="T111" s="6">
        <f t="shared" si="3"/>
        <v>174927.6</v>
      </c>
      <c r="U111" s="4">
        <v>16114.26</v>
      </c>
      <c r="V111" t="str">
        <f t="shared" si="4"/>
        <v>Jun</v>
      </c>
      <c r="W111">
        <f t="shared" si="5"/>
        <v>9.2119596907520598E-2</v>
      </c>
    </row>
    <row r="112" spans="1:23" x14ac:dyDescent="0.4">
      <c r="A112" s="4" t="s">
        <v>540</v>
      </c>
      <c r="B112" s="4" t="s">
        <v>541</v>
      </c>
      <c r="C112" s="11">
        <v>45199</v>
      </c>
      <c r="D112" s="4" t="s">
        <v>124</v>
      </c>
      <c r="E112" s="4" t="s">
        <v>24</v>
      </c>
      <c r="F112" s="4" t="s">
        <v>70</v>
      </c>
      <c r="G112" s="4" t="s">
        <v>26</v>
      </c>
      <c r="H112" s="4" t="s">
        <v>543</v>
      </c>
      <c r="I112" s="4" t="s">
        <v>43</v>
      </c>
      <c r="J112" s="4" t="s">
        <v>79</v>
      </c>
      <c r="K112" s="4" t="s">
        <v>30</v>
      </c>
      <c r="L112" s="4" t="s">
        <v>544</v>
      </c>
      <c r="M112" s="4" t="s">
        <v>53</v>
      </c>
      <c r="N112" s="4" t="s">
        <v>33</v>
      </c>
      <c r="O112" s="4" t="s">
        <v>82</v>
      </c>
      <c r="P112" s="4" t="s">
        <v>47</v>
      </c>
      <c r="Q112" s="4">
        <v>7</v>
      </c>
      <c r="R112" s="4">
        <v>12942</v>
      </c>
      <c r="S112" s="5">
        <v>15</v>
      </c>
      <c r="T112" s="6">
        <f t="shared" si="3"/>
        <v>77004.899999999994</v>
      </c>
      <c r="U112" s="4">
        <v>-6995.02</v>
      </c>
      <c r="V112" t="str">
        <f t="shared" si="4"/>
        <v>Sep</v>
      </c>
      <c r="W112">
        <f t="shared" si="5"/>
        <v>-9.0838634944010066E-2</v>
      </c>
    </row>
    <row r="113" spans="1:23" x14ac:dyDescent="0.4">
      <c r="A113" s="4" t="s">
        <v>545</v>
      </c>
      <c r="B113" s="4" t="s">
        <v>546</v>
      </c>
      <c r="C113" s="11">
        <v>45390</v>
      </c>
      <c r="D113" s="4" t="s">
        <v>23</v>
      </c>
      <c r="E113" s="4" t="s">
        <v>24</v>
      </c>
      <c r="F113" s="4" t="s">
        <v>26</v>
      </c>
      <c r="G113" s="4" t="s">
        <v>41</v>
      </c>
      <c r="H113" s="4" t="s">
        <v>548</v>
      </c>
      <c r="I113" s="4" t="s">
        <v>43</v>
      </c>
      <c r="J113" s="4" t="s">
        <v>29</v>
      </c>
      <c r="K113" s="4" t="s">
        <v>86</v>
      </c>
      <c r="L113" s="4" t="s">
        <v>530</v>
      </c>
      <c r="M113" s="4" t="s">
        <v>95</v>
      </c>
      <c r="N113" s="4" t="s">
        <v>33</v>
      </c>
      <c r="O113" s="4" t="s">
        <v>46</v>
      </c>
      <c r="P113" s="4" t="s">
        <v>47</v>
      </c>
      <c r="Q113" s="4">
        <v>5</v>
      </c>
      <c r="R113" s="4">
        <v>30062</v>
      </c>
      <c r="S113" s="5">
        <v>10</v>
      </c>
      <c r="T113" s="6">
        <f t="shared" si="3"/>
        <v>135279</v>
      </c>
      <c r="U113" s="4">
        <v>25378.04</v>
      </c>
      <c r="V113" t="str">
        <f t="shared" si="4"/>
        <v>Apr</v>
      </c>
      <c r="W113">
        <f t="shared" si="5"/>
        <v>0.18759777940404646</v>
      </c>
    </row>
    <row r="114" spans="1:23" x14ac:dyDescent="0.4">
      <c r="A114" s="4" t="s">
        <v>549</v>
      </c>
      <c r="B114" s="4" t="s">
        <v>550</v>
      </c>
      <c r="C114" s="11">
        <v>45443</v>
      </c>
      <c r="D114" s="4" t="s">
        <v>124</v>
      </c>
      <c r="E114" s="4" t="s">
        <v>24</v>
      </c>
      <c r="F114" s="4" t="s">
        <v>25</v>
      </c>
      <c r="G114" s="4" t="s">
        <v>26</v>
      </c>
      <c r="H114" s="4" t="s">
        <v>551</v>
      </c>
      <c r="I114" s="4" t="s">
        <v>61</v>
      </c>
      <c r="J114" s="4" t="s">
        <v>62</v>
      </c>
      <c r="K114" s="4" t="s">
        <v>101</v>
      </c>
      <c r="L114" s="4" t="s">
        <v>552</v>
      </c>
      <c r="M114" s="4" t="s">
        <v>53</v>
      </c>
      <c r="N114" s="4" t="s">
        <v>54</v>
      </c>
      <c r="O114" s="4" t="s">
        <v>46</v>
      </c>
      <c r="P114" s="4" t="s">
        <v>74</v>
      </c>
      <c r="Q114" s="4">
        <v>4</v>
      </c>
      <c r="R114" s="4">
        <v>2069</v>
      </c>
      <c r="S114" s="5">
        <v>20</v>
      </c>
      <c r="T114" s="6">
        <f t="shared" si="3"/>
        <v>6620.8</v>
      </c>
      <c r="U114" s="4">
        <v>87.42</v>
      </c>
      <c r="V114" t="str">
        <f t="shared" si="4"/>
        <v>May</v>
      </c>
      <c r="W114">
        <f t="shared" si="5"/>
        <v>1.3203842435959401E-2</v>
      </c>
    </row>
    <row r="115" spans="1:23" x14ac:dyDescent="0.4">
      <c r="A115" s="4" t="s">
        <v>553</v>
      </c>
      <c r="B115" s="4" t="s">
        <v>554</v>
      </c>
      <c r="C115" s="11">
        <v>45491</v>
      </c>
      <c r="D115" s="4" t="s">
        <v>23</v>
      </c>
      <c r="E115" s="4" t="s">
        <v>24</v>
      </c>
      <c r="F115" s="4" t="s">
        <v>70</v>
      </c>
      <c r="G115" s="4" t="s">
        <v>92</v>
      </c>
      <c r="H115" s="4" t="s">
        <v>555</v>
      </c>
      <c r="I115" s="4" t="s">
        <v>61</v>
      </c>
      <c r="J115" s="4" t="s">
        <v>29</v>
      </c>
      <c r="K115" s="4" t="s">
        <v>44</v>
      </c>
      <c r="L115" s="4" t="s">
        <v>500</v>
      </c>
      <c r="M115" s="4" t="s">
        <v>95</v>
      </c>
      <c r="N115" s="4" t="s">
        <v>33</v>
      </c>
      <c r="O115" s="4" t="s">
        <v>34</v>
      </c>
      <c r="P115" s="4" t="s">
        <v>74</v>
      </c>
      <c r="Q115" s="4">
        <v>1</v>
      </c>
      <c r="R115" s="4">
        <v>18308</v>
      </c>
      <c r="S115" s="5">
        <v>15</v>
      </c>
      <c r="T115" s="6">
        <f t="shared" si="3"/>
        <v>15561.8</v>
      </c>
      <c r="U115" s="4">
        <v>-366.5</v>
      </c>
      <c r="V115" t="str">
        <f t="shared" si="4"/>
        <v>Jul</v>
      </c>
      <c r="W115">
        <f t="shared" si="5"/>
        <v>-2.3551260137002147E-2</v>
      </c>
    </row>
    <row r="116" spans="1:23" x14ac:dyDescent="0.4">
      <c r="A116" s="4" t="s">
        <v>556</v>
      </c>
      <c r="B116" s="4" t="s">
        <v>557</v>
      </c>
      <c r="C116" s="11">
        <v>44582</v>
      </c>
      <c r="D116" s="4" t="s">
        <v>23</v>
      </c>
      <c r="E116" s="4" t="s">
        <v>24</v>
      </c>
      <c r="F116" s="4" t="s">
        <v>58</v>
      </c>
      <c r="G116" s="4" t="s">
        <v>92</v>
      </c>
      <c r="H116" s="4" t="s">
        <v>558</v>
      </c>
      <c r="I116" s="4" t="s">
        <v>43</v>
      </c>
      <c r="J116" s="4" t="s">
        <v>62</v>
      </c>
      <c r="K116" s="4" t="s">
        <v>63</v>
      </c>
      <c r="L116" s="4" t="s">
        <v>559</v>
      </c>
      <c r="M116" s="4" t="s">
        <v>65</v>
      </c>
      <c r="N116" s="4" t="s">
        <v>54</v>
      </c>
      <c r="O116" s="4" t="s">
        <v>120</v>
      </c>
      <c r="P116" s="4" t="s">
        <v>88</v>
      </c>
      <c r="Q116" s="4">
        <v>5</v>
      </c>
      <c r="R116" s="4">
        <v>39480</v>
      </c>
      <c r="S116" s="5">
        <v>15</v>
      </c>
      <c r="T116" s="6">
        <f t="shared" si="3"/>
        <v>167790</v>
      </c>
      <c r="U116" s="4">
        <v>-1671.9</v>
      </c>
      <c r="V116" t="str">
        <f t="shared" si="4"/>
        <v>Jan</v>
      </c>
      <c r="W116">
        <f t="shared" si="5"/>
        <v>-9.9642410155551583E-3</v>
      </c>
    </row>
    <row r="117" spans="1:23" x14ac:dyDescent="0.4">
      <c r="A117" s="4" t="s">
        <v>560</v>
      </c>
      <c r="B117" s="4" t="s">
        <v>561</v>
      </c>
      <c r="C117" s="11">
        <v>45428</v>
      </c>
      <c r="D117" s="4" t="s">
        <v>124</v>
      </c>
      <c r="E117" s="4" t="s">
        <v>24</v>
      </c>
      <c r="F117" s="4" t="s">
        <v>70</v>
      </c>
      <c r="G117" s="4" t="s">
        <v>26</v>
      </c>
      <c r="H117" s="4" t="s">
        <v>563</v>
      </c>
      <c r="I117" s="4" t="s">
        <v>61</v>
      </c>
      <c r="J117" s="4" t="s">
        <v>29</v>
      </c>
      <c r="K117" s="4" t="s">
        <v>30</v>
      </c>
      <c r="L117" s="4" t="s">
        <v>564</v>
      </c>
      <c r="M117" s="4" t="s">
        <v>53</v>
      </c>
      <c r="N117" s="4" t="s">
        <v>33</v>
      </c>
      <c r="O117" s="4" t="s">
        <v>34</v>
      </c>
      <c r="P117" s="4" t="s">
        <v>35</v>
      </c>
      <c r="Q117" s="4">
        <v>2</v>
      </c>
      <c r="R117" s="4">
        <v>24523</v>
      </c>
      <c r="S117" s="5">
        <v>20</v>
      </c>
      <c r="T117" s="6">
        <f t="shared" si="3"/>
        <v>39236.800000000003</v>
      </c>
      <c r="U117" s="4">
        <v>-3684.99</v>
      </c>
      <c r="V117" t="str">
        <f t="shared" si="4"/>
        <v>May</v>
      </c>
      <c r="W117">
        <f t="shared" si="5"/>
        <v>-9.3916680259348351E-2</v>
      </c>
    </row>
    <row r="118" spans="1:23" x14ac:dyDescent="0.4">
      <c r="A118" s="4" t="s">
        <v>565</v>
      </c>
      <c r="B118" s="4" t="s">
        <v>566</v>
      </c>
      <c r="C118" s="11">
        <v>45040</v>
      </c>
      <c r="D118" s="4" t="s">
        <v>39</v>
      </c>
      <c r="E118" s="4" t="s">
        <v>24</v>
      </c>
      <c r="F118" s="4" t="s">
        <v>58</v>
      </c>
      <c r="G118" s="4" t="s">
        <v>41</v>
      </c>
      <c r="H118" s="4" t="s">
        <v>568</v>
      </c>
      <c r="I118" s="4" t="s">
        <v>28</v>
      </c>
      <c r="J118" s="4" t="s">
        <v>62</v>
      </c>
      <c r="K118" s="4" t="s">
        <v>30</v>
      </c>
      <c r="L118" s="4" t="s">
        <v>569</v>
      </c>
      <c r="M118" s="4" t="s">
        <v>53</v>
      </c>
      <c r="N118" s="4" t="s">
        <v>54</v>
      </c>
      <c r="O118" s="4" t="s">
        <v>82</v>
      </c>
      <c r="P118" s="4" t="s">
        <v>47</v>
      </c>
      <c r="Q118" s="4">
        <v>1</v>
      </c>
      <c r="R118" s="4">
        <v>34628</v>
      </c>
      <c r="S118" s="5">
        <v>5</v>
      </c>
      <c r="T118" s="6">
        <f t="shared" si="3"/>
        <v>32896.6</v>
      </c>
      <c r="U118" s="4">
        <v>7296.36</v>
      </c>
      <c r="V118" t="str">
        <f t="shared" si="4"/>
        <v>Apr</v>
      </c>
      <c r="W118">
        <f t="shared" si="5"/>
        <v>0.22179678143029979</v>
      </c>
    </row>
    <row r="119" spans="1:23" x14ac:dyDescent="0.4">
      <c r="A119" s="4" t="s">
        <v>570</v>
      </c>
      <c r="B119" s="4" t="s">
        <v>571</v>
      </c>
      <c r="C119" s="11">
        <v>45340</v>
      </c>
      <c r="D119" s="4" t="s">
        <v>39</v>
      </c>
      <c r="E119" s="4" t="s">
        <v>24</v>
      </c>
      <c r="F119" s="4" t="s">
        <v>70</v>
      </c>
      <c r="G119" s="4" t="s">
        <v>41</v>
      </c>
      <c r="H119" s="4" t="s">
        <v>573</v>
      </c>
      <c r="I119" s="4" t="s">
        <v>61</v>
      </c>
      <c r="J119" s="4" t="s">
        <v>79</v>
      </c>
      <c r="K119" s="4" t="s">
        <v>30</v>
      </c>
      <c r="L119" s="4" t="s">
        <v>574</v>
      </c>
      <c r="M119" s="4" t="s">
        <v>73</v>
      </c>
      <c r="N119" s="4" t="s">
        <v>33</v>
      </c>
      <c r="O119" s="4" t="s">
        <v>82</v>
      </c>
      <c r="P119" s="4" t="s">
        <v>74</v>
      </c>
      <c r="Q119" s="4">
        <v>7</v>
      </c>
      <c r="R119" s="4">
        <v>4025</v>
      </c>
      <c r="S119" s="5">
        <v>10</v>
      </c>
      <c r="T119" s="6">
        <f t="shared" si="3"/>
        <v>25357.5</v>
      </c>
      <c r="U119" s="4">
        <v>-1354</v>
      </c>
      <c r="V119" t="str">
        <f t="shared" si="4"/>
        <v>Feb</v>
      </c>
      <c r="W119">
        <f t="shared" si="5"/>
        <v>-5.3396431036182586E-2</v>
      </c>
    </row>
    <row r="120" spans="1:23" x14ac:dyDescent="0.4">
      <c r="A120" s="4" t="s">
        <v>575</v>
      </c>
      <c r="B120" s="4" t="s">
        <v>261</v>
      </c>
      <c r="C120" s="11">
        <v>44796</v>
      </c>
      <c r="D120" s="4" t="s">
        <v>98</v>
      </c>
      <c r="E120" s="4" t="s">
        <v>24</v>
      </c>
      <c r="F120" s="4" t="s">
        <v>25</v>
      </c>
      <c r="G120" s="4" t="s">
        <v>59</v>
      </c>
      <c r="H120" s="4" t="s">
        <v>576</v>
      </c>
      <c r="I120" s="4" t="s">
        <v>43</v>
      </c>
      <c r="J120" s="4" t="s">
        <v>29</v>
      </c>
      <c r="K120" s="4" t="s">
        <v>30</v>
      </c>
      <c r="L120" s="4" t="s">
        <v>237</v>
      </c>
      <c r="M120" s="4" t="s">
        <v>32</v>
      </c>
      <c r="N120" s="4" t="s">
        <v>33</v>
      </c>
      <c r="O120" s="4" t="s">
        <v>82</v>
      </c>
      <c r="P120" s="4" t="s">
        <v>74</v>
      </c>
      <c r="Q120" s="4">
        <v>5</v>
      </c>
      <c r="R120" s="4">
        <v>6988</v>
      </c>
      <c r="S120" s="5">
        <v>20</v>
      </c>
      <c r="T120" s="6">
        <f t="shared" si="3"/>
        <v>27952</v>
      </c>
      <c r="U120" s="4">
        <v>70.22</v>
      </c>
      <c r="V120" t="str">
        <f t="shared" si="4"/>
        <v>Aug</v>
      </c>
      <c r="W120">
        <f t="shared" si="5"/>
        <v>2.5121637092157985E-3</v>
      </c>
    </row>
    <row r="121" spans="1:23" x14ac:dyDescent="0.4">
      <c r="A121" s="4" t="s">
        <v>577</v>
      </c>
      <c r="B121" s="4" t="s">
        <v>578</v>
      </c>
      <c r="C121" s="11">
        <v>44747</v>
      </c>
      <c r="D121" s="4" t="s">
        <v>23</v>
      </c>
      <c r="E121" s="4" t="s">
        <v>24</v>
      </c>
      <c r="F121" s="4" t="s">
        <v>70</v>
      </c>
      <c r="G121" s="4" t="s">
        <v>41</v>
      </c>
      <c r="H121" s="4" t="s">
        <v>580</v>
      </c>
      <c r="I121" s="4" t="s">
        <v>61</v>
      </c>
      <c r="J121" s="4" t="s">
        <v>29</v>
      </c>
      <c r="K121" s="4" t="s">
        <v>101</v>
      </c>
      <c r="L121" s="4" t="s">
        <v>52</v>
      </c>
      <c r="M121" s="4" t="s">
        <v>81</v>
      </c>
      <c r="N121" s="4" t="s">
        <v>54</v>
      </c>
      <c r="O121" s="4" t="s">
        <v>34</v>
      </c>
      <c r="P121" s="4" t="s">
        <v>88</v>
      </c>
      <c r="Q121" s="4">
        <v>9</v>
      </c>
      <c r="R121" s="4">
        <v>22228</v>
      </c>
      <c r="S121" s="5">
        <v>10</v>
      </c>
      <c r="T121" s="6">
        <f t="shared" si="3"/>
        <v>180046.8</v>
      </c>
      <c r="U121" s="4">
        <v>16543.689999999999</v>
      </c>
      <c r="V121" t="str">
        <f t="shared" si="4"/>
        <v>Jun</v>
      </c>
      <c r="W121">
        <f t="shared" si="5"/>
        <v>9.188549865923748E-2</v>
      </c>
    </row>
    <row r="122" spans="1:23" x14ac:dyDescent="0.4">
      <c r="A122" s="4" t="s">
        <v>581</v>
      </c>
      <c r="B122" s="4" t="s">
        <v>336</v>
      </c>
      <c r="C122" s="11">
        <v>45406</v>
      </c>
      <c r="D122" s="4" t="s">
        <v>23</v>
      </c>
      <c r="E122" s="4" t="s">
        <v>24</v>
      </c>
      <c r="F122" s="4" t="s">
        <v>40</v>
      </c>
      <c r="G122" s="4" t="s">
        <v>41</v>
      </c>
      <c r="H122" s="4" t="s">
        <v>582</v>
      </c>
      <c r="I122" s="4" t="s">
        <v>43</v>
      </c>
      <c r="J122" s="4" t="s">
        <v>62</v>
      </c>
      <c r="K122" s="4" t="s">
        <v>86</v>
      </c>
      <c r="L122" s="4" t="s">
        <v>583</v>
      </c>
      <c r="M122" s="4" t="s">
        <v>65</v>
      </c>
      <c r="N122" s="4" t="s">
        <v>33</v>
      </c>
      <c r="O122" s="4" t="s">
        <v>82</v>
      </c>
      <c r="P122" s="4" t="s">
        <v>74</v>
      </c>
      <c r="Q122" s="4">
        <v>10</v>
      </c>
      <c r="R122" s="4">
        <v>45174</v>
      </c>
      <c r="S122" s="5">
        <v>10</v>
      </c>
      <c r="T122" s="6">
        <f t="shared" si="3"/>
        <v>406566</v>
      </c>
      <c r="U122" s="4">
        <v>24674.84</v>
      </c>
      <c r="V122" t="str">
        <f t="shared" si="4"/>
        <v>Apr</v>
      </c>
      <c r="W122">
        <f t="shared" si="5"/>
        <v>6.0690859540640386E-2</v>
      </c>
    </row>
    <row r="123" spans="1:23" x14ac:dyDescent="0.4">
      <c r="A123" s="4" t="s">
        <v>584</v>
      </c>
      <c r="B123" s="4" t="s">
        <v>585</v>
      </c>
      <c r="C123" s="11">
        <v>45208</v>
      </c>
      <c r="D123" s="4" t="s">
        <v>98</v>
      </c>
      <c r="E123" s="4" t="s">
        <v>24</v>
      </c>
      <c r="F123" s="4" t="s">
        <v>26</v>
      </c>
      <c r="G123" s="4" t="s">
        <v>92</v>
      </c>
      <c r="H123" s="4" t="s">
        <v>587</v>
      </c>
      <c r="I123" s="4" t="s">
        <v>61</v>
      </c>
      <c r="J123" s="4" t="s">
        <v>62</v>
      </c>
      <c r="K123" s="4" t="s">
        <v>44</v>
      </c>
      <c r="L123" s="4" t="s">
        <v>588</v>
      </c>
      <c r="M123" s="4" t="s">
        <v>95</v>
      </c>
      <c r="N123" s="4" t="s">
        <v>54</v>
      </c>
      <c r="O123" s="4" t="s">
        <v>120</v>
      </c>
      <c r="P123" s="4" t="s">
        <v>35</v>
      </c>
      <c r="Q123" s="4">
        <v>4</v>
      </c>
      <c r="R123" s="4">
        <v>45801</v>
      </c>
      <c r="S123" s="5">
        <v>5</v>
      </c>
      <c r="T123" s="6">
        <f t="shared" si="3"/>
        <v>174043.8</v>
      </c>
      <c r="U123" s="4">
        <v>43967.13</v>
      </c>
      <c r="V123" t="str">
        <f t="shared" si="4"/>
        <v>Sep</v>
      </c>
      <c r="W123">
        <f t="shared" si="5"/>
        <v>0.25262106435276638</v>
      </c>
    </row>
    <row r="124" spans="1:23" x14ac:dyDescent="0.4">
      <c r="A124" s="4" t="s">
        <v>589</v>
      </c>
      <c r="B124" s="4" t="s">
        <v>161</v>
      </c>
      <c r="C124" s="11">
        <v>44656</v>
      </c>
      <c r="D124" s="4" t="s">
        <v>98</v>
      </c>
      <c r="E124" s="4" t="s">
        <v>24</v>
      </c>
      <c r="F124" s="4" t="s">
        <v>58</v>
      </c>
      <c r="G124" s="4" t="s">
        <v>41</v>
      </c>
      <c r="H124" s="4" t="s">
        <v>591</v>
      </c>
      <c r="I124" s="4" t="s">
        <v>28</v>
      </c>
      <c r="J124" s="4" t="s">
        <v>29</v>
      </c>
      <c r="K124" s="4" t="s">
        <v>153</v>
      </c>
      <c r="L124" s="4" t="s">
        <v>592</v>
      </c>
      <c r="M124" s="4" t="s">
        <v>32</v>
      </c>
      <c r="N124" s="4" t="s">
        <v>33</v>
      </c>
      <c r="O124" s="4" t="s">
        <v>82</v>
      </c>
      <c r="P124" s="4" t="s">
        <v>88</v>
      </c>
      <c r="Q124" s="4">
        <v>6</v>
      </c>
      <c r="R124" s="4">
        <v>27161</v>
      </c>
      <c r="S124" s="5">
        <v>15</v>
      </c>
      <c r="T124" s="6">
        <f t="shared" si="3"/>
        <v>138521.1</v>
      </c>
      <c r="U124" s="4">
        <v>12853.29</v>
      </c>
      <c r="V124" t="str">
        <f t="shared" si="4"/>
        <v>Apr</v>
      </c>
      <c r="W124">
        <f t="shared" si="5"/>
        <v>9.2789401759010001E-2</v>
      </c>
    </row>
    <row r="125" spans="1:23" x14ac:dyDescent="0.4">
      <c r="A125" s="4" t="s">
        <v>593</v>
      </c>
      <c r="B125" s="4" t="s">
        <v>594</v>
      </c>
      <c r="C125" s="11">
        <v>45290</v>
      </c>
      <c r="D125" s="4" t="s">
        <v>124</v>
      </c>
      <c r="E125" s="4" t="s">
        <v>24</v>
      </c>
      <c r="F125" s="4" t="s">
        <v>26</v>
      </c>
      <c r="G125" s="4" t="s">
        <v>99</v>
      </c>
      <c r="H125" s="4" t="s">
        <v>596</v>
      </c>
      <c r="I125" s="4" t="s">
        <v>61</v>
      </c>
      <c r="J125" s="4" t="s">
        <v>29</v>
      </c>
      <c r="K125" s="4" t="s">
        <v>44</v>
      </c>
      <c r="L125" s="4" t="s">
        <v>597</v>
      </c>
      <c r="M125" s="4" t="s">
        <v>53</v>
      </c>
      <c r="N125" s="4" t="s">
        <v>54</v>
      </c>
      <c r="O125" s="4" t="s">
        <v>34</v>
      </c>
      <c r="P125" s="4" t="s">
        <v>74</v>
      </c>
      <c r="Q125" s="4">
        <v>1</v>
      </c>
      <c r="R125" s="4">
        <v>29362</v>
      </c>
      <c r="S125" s="5">
        <v>10</v>
      </c>
      <c r="T125" s="6">
        <f t="shared" si="3"/>
        <v>26425.8</v>
      </c>
      <c r="U125" s="4">
        <v>2079.91</v>
      </c>
      <c r="V125" t="str">
        <f t="shared" si="4"/>
        <v>Dec</v>
      </c>
      <c r="W125">
        <f t="shared" si="5"/>
        <v>7.8707550953991928E-2</v>
      </c>
    </row>
    <row r="126" spans="1:23" x14ac:dyDescent="0.4">
      <c r="A126" s="4" t="s">
        <v>598</v>
      </c>
      <c r="B126" s="4" t="s">
        <v>599</v>
      </c>
      <c r="C126" s="11">
        <v>45041</v>
      </c>
      <c r="D126" s="4" t="s">
        <v>39</v>
      </c>
      <c r="E126" s="4" t="s">
        <v>24</v>
      </c>
      <c r="F126" s="4" t="s">
        <v>25</v>
      </c>
      <c r="G126" s="4" t="s">
        <v>92</v>
      </c>
      <c r="H126" s="4" t="s">
        <v>600</v>
      </c>
      <c r="I126" s="4" t="s">
        <v>43</v>
      </c>
      <c r="J126" s="4" t="s">
        <v>79</v>
      </c>
      <c r="K126" s="4" t="s">
        <v>86</v>
      </c>
      <c r="L126" s="4" t="s">
        <v>601</v>
      </c>
      <c r="M126" s="4" t="s">
        <v>53</v>
      </c>
      <c r="N126" s="4" t="s">
        <v>33</v>
      </c>
      <c r="O126" s="4" t="s">
        <v>46</v>
      </c>
      <c r="P126" s="4" t="s">
        <v>74</v>
      </c>
      <c r="Q126" s="4">
        <v>10</v>
      </c>
      <c r="R126" s="4">
        <v>24093</v>
      </c>
      <c r="S126" s="5">
        <v>0</v>
      </c>
      <c r="T126" s="6">
        <f t="shared" si="3"/>
        <v>240930</v>
      </c>
      <c r="U126" s="4">
        <v>61771.47</v>
      </c>
      <c r="V126" t="str">
        <f t="shared" si="4"/>
        <v>Apr</v>
      </c>
      <c r="W126">
        <f t="shared" si="5"/>
        <v>0.25638762296102602</v>
      </c>
    </row>
    <row r="127" spans="1:23" x14ac:dyDescent="0.4">
      <c r="A127" s="4" t="s">
        <v>602</v>
      </c>
      <c r="B127" s="4" t="s">
        <v>603</v>
      </c>
      <c r="C127" s="11">
        <v>44975</v>
      </c>
      <c r="D127" s="4" t="s">
        <v>124</v>
      </c>
      <c r="E127" s="4" t="s">
        <v>24</v>
      </c>
      <c r="F127" s="4" t="s">
        <v>25</v>
      </c>
      <c r="G127" s="4" t="s">
        <v>99</v>
      </c>
      <c r="H127" s="4" t="s">
        <v>604</v>
      </c>
      <c r="I127" s="4" t="s">
        <v>43</v>
      </c>
      <c r="J127" s="4" t="s">
        <v>29</v>
      </c>
      <c r="K127" s="4" t="s">
        <v>153</v>
      </c>
      <c r="L127" s="4" t="s">
        <v>605</v>
      </c>
      <c r="M127" s="4" t="s">
        <v>53</v>
      </c>
      <c r="N127" s="4" t="s">
        <v>54</v>
      </c>
      <c r="O127" s="4" t="s">
        <v>66</v>
      </c>
      <c r="P127" s="4" t="s">
        <v>74</v>
      </c>
      <c r="Q127" s="4">
        <v>4</v>
      </c>
      <c r="R127" s="4">
        <v>31203</v>
      </c>
      <c r="S127" s="5">
        <v>15</v>
      </c>
      <c r="T127" s="6">
        <f t="shared" si="3"/>
        <v>106090.2</v>
      </c>
      <c r="U127" s="4">
        <v>-2188.88</v>
      </c>
      <c r="V127" t="str">
        <f t="shared" si="4"/>
        <v>Feb</v>
      </c>
      <c r="W127">
        <f t="shared" si="5"/>
        <v>-2.0632254440089662E-2</v>
      </c>
    </row>
    <row r="128" spans="1:23" x14ac:dyDescent="0.4">
      <c r="A128" s="4" t="s">
        <v>606</v>
      </c>
      <c r="B128" s="4" t="s">
        <v>607</v>
      </c>
      <c r="C128" s="11">
        <v>45359</v>
      </c>
      <c r="D128" s="4" t="s">
        <v>124</v>
      </c>
      <c r="E128" s="4" t="s">
        <v>24</v>
      </c>
      <c r="F128" s="4" t="s">
        <v>58</v>
      </c>
      <c r="G128" s="4" t="s">
        <v>26</v>
      </c>
      <c r="H128" s="4" t="s">
        <v>609</v>
      </c>
      <c r="I128" s="4" t="s">
        <v>28</v>
      </c>
      <c r="J128" s="4" t="s">
        <v>62</v>
      </c>
      <c r="K128" s="4" t="s">
        <v>101</v>
      </c>
      <c r="L128" s="4" t="s">
        <v>610</v>
      </c>
      <c r="M128" s="4" t="s">
        <v>73</v>
      </c>
      <c r="N128" s="4" t="s">
        <v>54</v>
      </c>
      <c r="O128" s="4" t="s">
        <v>34</v>
      </c>
      <c r="P128" s="4" t="s">
        <v>35</v>
      </c>
      <c r="Q128" s="4">
        <v>3</v>
      </c>
      <c r="R128" s="4">
        <v>12673</v>
      </c>
      <c r="S128" s="5">
        <v>0</v>
      </c>
      <c r="T128" s="6">
        <f t="shared" si="3"/>
        <v>38019</v>
      </c>
      <c r="U128" s="4">
        <v>5444.54</v>
      </c>
      <c r="V128" t="str">
        <f t="shared" si="4"/>
        <v>Mar</v>
      </c>
      <c r="W128">
        <f t="shared" si="5"/>
        <v>0.14320576553828349</v>
      </c>
    </row>
    <row r="129" spans="1:23" x14ac:dyDescent="0.4">
      <c r="A129" s="4" t="s">
        <v>611</v>
      </c>
      <c r="B129" s="4" t="s">
        <v>612</v>
      </c>
      <c r="C129" s="11">
        <v>44669</v>
      </c>
      <c r="D129" s="4" t="s">
        <v>23</v>
      </c>
      <c r="E129" s="4" t="s">
        <v>24</v>
      </c>
      <c r="F129" s="4" t="s">
        <v>70</v>
      </c>
      <c r="G129" s="4" t="s">
        <v>41</v>
      </c>
      <c r="H129" s="4" t="s">
        <v>614</v>
      </c>
      <c r="I129" s="4" t="s">
        <v>61</v>
      </c>
      <c r="J129" s="4" t="s">
        <v>62</v>
      </c>
      <c r="K129" s="4" t="s">
        <v>30</v>
      </c>
      <c r="L129" s="4" t="s">
        <v>481</v>
      </c>
      <c r="M129" s="4" t="s">
        <v>65</v>
      </c>
      <c r="N129" s="4" t="s">
        <v>33</v>
      </c>
      <c r="O129" s="4" t="s">
        <v>34</v>
      </c>
      <c r="P129" s="4" t="s">
        <v>74</v>
      </c>
      <c r="Q129" s="4">
        <v>4</v>
      </c>
      <c r="R129" s="4">
        <v>27474</v>
      </c>
      <c r="S129" s="5">
        <v>5</v>
      </c>
      <c r="T129" s="6">
        <f t="shared" si="3"/>
        <v>104401.2</v>
      </c>
      <c r="U129" s="4">
        <v>11374.65</v>
      </c>
      <c r="V129" t="str">
        <f t="shared" si="4"/>
        <v>Apr</v>
      </c>
      <c r="W129">
        <f t="shared" si="5"/>
        <v>0.10895133389271387</v>
      </c>
    </row>
    <row r="130" spans="1:23" x14ac:dyDescent="0.4">
      <c r="A130" s="4" t="s">
        <v>615</v>
      </c>
      <c r="B130" s="4" t="s">
        <v>616</v>
      </c>
      <c r="C130" s="11">
        <v>45327</v>
      </c>
      <c r="D130" s="4" t="s">
        <v>23</v>
      </c>
      <c r="E130" s="4" t="s">
        <v>24</v>
      </c>
      <c r="F130" s="4" t="s">
        <v>40</v>
      </c>
      <c r="G130" s="4" t="s">
        <v>99</v>
      </c>
      <c r="H130" s="4" t="s">
        <v>617</v>
      </c>
      <c r="I130" s="4" t="s">
        <v>43</v>
      </c>
      <c r="J130" s="4" t="s">
        <v>79</v>
      </c>
      <c r="K130" s="4" t="s">
        <v>86</v>
      </c>
      <c r="L130" s="4" t="s">
        <v>618</v>
      </c>
      <c r="M130" s="4" t="s">
        <v>73</v>
      </c>
      <c r="N130" s="4" t="s">
        <v>33</v>
      </c>
      <c r="O130" s="4" t="s">
        <v>120</v>
      </c>
      <c r="P130" s="4" t="s">
        <v>47</v>
      </c>
      <c r="Q130" s="4">
        <v>10</v>
      </c>
      <c r="R130" s="4">
        <v>2990</v>
      </c>
      <c r="S130" s="5">
        <v>10</v>
      </c>
      <c r="T130" s="6">
        <f t="shared" si="3"/>
        <v>26910</v>
      </c>
      <c r="U130" s="4">
        <v>464.73</v>
      </c>
      <c r="V130" t="str">
        <f t="shared" si="4"/>
        <v>Feb</v>
      </c>
      <c r="W130">
        <f t="shared" si="5"/>
        <v>1.7269788182831661E-2</v>
      </c>
    </row>
    <row r="131" spans="1:23" x14ac:dyDescent="0.4">
      <c r="A131" s="4" t="s">
        <v>619</v>
      </c>
      <c r="B131" s="4" t="s">
        <v>620</v>
      </c>
      <c r="C131" s="11">
        <v>44720</v>
      </c>
      <c r="D131" s="4" t="s">
        <v>23</v>
      </c>
      <c r="E131" s="4" t="s">
        <v>24</v>
      </c>
      <c r="F131" s="4" t="s">
        <v>40</v>
      </c>
      <c r="G131" s="4" t="s">
        <v>59</v>
      </c>
      <c r="H131" s="4" t="s">
        <v>621</v>
      </c>
      <c r="I131" s="4" t="s">
        <v>61</v>
      </c>
      <c r="J131" s="4" t="s">
        <v>62</v>
      </c>
      <c r="K131" s="4" t="s">
        <v>101</v>
      </c>
      <c r="L131" s="4" t="s">
        <v>622</v>
      </c>
      <c r="M131" s="4" t="s">
        <v>81</v>
      </c>
      <c r="N131" s="4" t="s">
        <v>33</v>
      </c>
      <c r="O131" s="4" t="s">
        <v>34</v>
      </c>
      <c r="P131" s="4" t="s">
        <v>35</v>
      </c>
      <c r="Q131" s="4">
        <v>9</v>
      </c>
      <c r="R131" s="4">
        <v>40609</v>
      </c>
      <c r="S131" s="5">
        <v>20</v>
      </c>
      <c r="T131" s="6">
        <f t="shared" ref="T131:T194" si="6">Q131*R131*(100-S131)/100</f>
        <v>292384.8</v>
      </c>
      <c r="U131" s="4">
        <v>-53345.04</v>
      </c>
      <c r="V131" t="str">
        <f t="shared" ref="V131:V194" si="7">TEXT(B131,"MMM")</f>
        <v>May</v>
      </c>
      <c r="W131">
        <f t="shared" ref="W131:W194" si="8">U131/T131</f>
        <v>-0.18244806159554122</v>
      </c>
    </row>
    <row r="132" spans="1:23" x14ac:dyDescent="0.4">
      <c r="A132" s="4" t="s">
        <v>623</v>
      </c>
      <c r="B132" s="4" t="s">
        <v>624</v>
      </c>
      <c r="C132" s="11">
        <v>45171</v>
      </c>
      <c r="D132" s="4" t="s">
        <v>23</v>
      </c>
      <c r="E132" s="4" t="s">
        <v>24</v>
      </c>
      <c r="F132" s="4" t="s">
        <v>25</v>
      </c>
      <c r="G132" s="4" t="s">
        <v>41</v>
      </c>
      <c r="H132" s="4" t="s">
        <v>626</v>
      </c>
      <c r="I132" s="4" t="s">
        <v>28</v>
      </c>
      <c r="J132" s="4" t="s">
        <v>29</v>
      </c>
      <c r="K132" s="4" t="s">
        <v>101</v>
      </c>
      <c r="L132" s="4" t="s">
        <v>627</v>
      </c>
      <c r="M132" s="4" t="s">
        <v>53</v>
      </c>
      <c r="N132" s="4" t="s">
        <v>54</v>
      </c>
      <c r="O132" s="4" t="s">
        <v>66</v>
      </c>
      <c r="P132" s="4" t="s">
        <v>88</v>
      </c>
      <c r="Q132" s="4">
        <v>9</v>
      </c>
      <c r="R132" s="4">
        <v>27389</v>
      </c>
      <c r="S132" s="5">
        <v>0</v>
      </c>
      <c r="T132" s="6">
        <f t="shared" si="6"/>
        <v>246501</v>
      </c>
      <c r="U132" s="4">
        <v>20501.509999999998</v>
      </c>
      <c r="V132" t="str">
        <f t="shared" si="7"/>
        <v>Aug</v>
      </c>
      <c r="W132">
        <f t="shared" si="8"/>
        <v>8.3170088559478453E-2</v>
      </c>
    </row>
    <row r="133" spans="1:23" x14ac:dyDescent="0.4">
      <c r="A133" s="4" t="s">
        <v>628</v>
      </c>
      <c r="B133" s="4" t="s">
        <v>629</v>
      </c>
      <c r="C133" s="11">
        <v>45543</v>
      </c>
      <c r="D133" s="4" t="s">
        <v>39</v>
      </c>
      <c r="E133" s="4" t="s">
        <v>24</v>
      </c>
      <c r="F133" s="4" t="s">
        <v>40</v>
      </c>
      <c r="G133" s="4" t="s">
        <v>99</v>
      </c>
      <c r="H133" s="4" t="s">
        <v>630</v>
      </c>
      <c r="I133" s="4" t="s">
        <v>61</v>
      </c>
      <c r="J133" s="4" t="s">
        <v>79</v>
      </c>
      <c r="K133" s="4" t="s">
        <v>153</v>
      </c>
      <c r="L133" s="4" t="s">
        <v>631</v>
      </c>
      <c r="M133" s="4" t="s">
        <v>65</v>
      </c>
      <c r="N133" s="4" t="s">
        <v>54</v>
      </c>
      <c r="O133" s="4" t="s">
        <v>82</v>
      </c>
      <c r="P133" s="4" t="s">
        <v>74</v>
      </c>
      <c r="Q133" s="4">
        <v>1</v>
      </c>
      <c r="R133" s="4">
        <v>18115</v>
      </c>
      <c r="S133" s="5">
        <v>5</v>
      </c>
      <c r="T133" s="6">
        <f t="shared" si="6"/>
        <v>17209.25</v>
      </c>
      <c r="U133" s="4">
        <v>2292.79</v>
      </c>
      <c r="V133" t="str">
        <f t="shared" si="7"/>
        <v>Sep</v>
      </c>
      <c r="W133">
        <f t="shared" si="8"/>
        <v>0.13323009428069207</v>
      </c>
    </row>
    <row r="134" spans="1:23" x14ac:dyDescent="0.4">
      <c r="A134" s="4" t="s">
        <v>632</v>
      </c>
      <c r="B134" s="4" t="s">
        <v>633</v>
      </c>
      <c r="C134" s="11">
        <v>45088</v>
      </c>
      <c r="D134" s="4" t="s">
        <v>98</v>
      </c>
      <c r="E134" s="4" t="s">
        <v>24</v>
      </c>
      <c r="F134" s="4" t="s">
        <v>40</v>
      </c>
      <c r="G134" s="4" t="s">
        <v>41</v>
      </c>
      <c r="H134" s="4" t="s">
        <v>635</v>
      </c>
      <c r="I134" s="4" t="s">
        <v>61</v>
      </c>
      <c r="J134" s="4" t="s">
        <v>62</v>
      </c>
      <c r="K134" s="4" t="s">
        <v>30</v>
      </c>
      <c r="L134" s="4" t="s">
        <v>636</v>
      </c>
      <c r="M134" s="4" t="s">
        <v>65</v>
      </c>
      <c r="N134" s="4" t="s">
        <v>54</v>
      </c>
      <c r="O134" s="4" t="s">
        <v>34</v>
      </c>
      <c r="P134" s="4" t="s">
        <v>35</v>
      </c>
      <c r="Q134" s="4">
        <v>3</v>
      </c>
      <c r="R134" s="4">
        <v>825</v>
      </c>
      <c r="S134" s="5">
        <v>0</v>
      </c>
      <c r="T134" s="6">
        <f t="shared" si="6"/>
        <v>2475</v>
      </c>
      <c r="U134" s="4">
        <v>465.97</v>
      </c>
      <c r="V134" t="str">
        <f t="shared" si="7"/>
        <v>Jun</v>
      </c>
      <c r="W134">
        <f t="shared" si="8"/>
        <v>0.18827070707070709</v>
      </c>
    </row>
    <row r="135" spans="1:23" x14ac:dyDescent="0.4">
      <c r="A135" s="4" t="s">
        <v>637</v>
      </c>
      <c r="B135" s="4" t="s">
        <v>638</v>
      </c>
      <c r="C135" s="11">
        <v>45278</v>
      </c>
      <c r="D135" s="4" t="s">
        <v>39</v>
      </c>
      <c r="E135" s="4" t="s">
        <v>24</v>
      </c>
      <c r="F135" s="4" t="s">
        <v>70</v>
      </c>
      <c r="G135" s="4" t="s">
        <v>26</v>
      </c>
      <c r="H135" s="4" t="s">
        <v>640</v>
      </c>
      <c r="I135" s="4" t="s">
        <v>61</v>
      </c>
      <c r="J135" s="4" t="s">
        <v>62</v>
      </c>
      <c r="K135" s="4" t="s">
        <v>63</v>
      </c>
      <c r="L135" s="4" t="s">
        <v>641</v>
      </c>
      <c r="M135" s="4" t="s">
        <v>53</v>
      </c>
      <c r="N135" s="4" t="s">
        <v>33</v>
      </c>
      <c r="O135" s="4" t="s">
        <v>120</v>
      </c>
      <c r="P135" s="4" t="s">
        <v>47</v>
      </c>
      <c r="Q135" s="4">
        <v>9</v>
      </c>
      <c r="R135" s="4">
        <v>42635</v>
      </c>
      <c r="S135" s="5">
        <v>20</v>
      </c>
      <c r="T135" s="6">
        <f t="shared" si="6"/>
        <v>306972</v>
      </c>
      <c r="U135" s="4">
        <v>-54348.98</v>
      </c>
      <c r="V135" t="str">
        <f t="shared" si="7"/>
        <v>Dec</v>
      </c>
      <c r="W135">
        <f t="shared" si="8"/>
        <v>-0.17704865590347002</v>
      </c>
    </row>
    <row r="136" spans="1:23" x14ac:dyDescent="0.4">
      <c r="A136" s="4" t="s">
        <v>642</v>
      </c>
      <c r="B136" s="4" t="s">
        <v>643</v>
      </c>
      <c r="C136" s="11">
        <v>44996</v>
      </c>
      <c r="D136" s="4" t="s">
        <v>39</v>
      </c>
      <c r="E136" s="4" t="s">
        <v>24</v>
      </c>
      <c r="F136" s="4" t="s">
        <v>25</v>
      </c>
      <c r="G136" s="4" t="s">
        <v>41</v>
      </c>
      <c r="H136" s="4" t="s">
        <v>645</v>
      </c>
      <c r="I136" s="4" t="s">
        <v>28</v>
      </c>
      <c r="J136" s="4" t="s">
        <v>79</v>
      </c>
      <c r="K136" s="4" t="s">
        <v>153</v>
      </c>
      <c r="L136" s="4" t="s">
        <v>481</v>
      </c>
      <c r="M136" s="4" t="s">
        <v>53</v>
      </c>
      <c r="N136" s="4" t="s">
        <v>33</v>
      </c>
      <c r="O136" s="4" t="s">
        <v>34</v>
      </c>
      <c r="P136" s="4" t="s">
        <v>47</v>
      </c>
      <c r="Q136" s="4">
        <v>9</v>
      </c>
      <c r="R136" s="4">
        <v>38832</v>
      </c>
      <c r="S136" s="5">
        <v>5</v>
      </c>
      <c r="T136" s="6">
        <f t="shared" si="6"/>
        <v>332013.59999999998</v>
      </c>
      <c r="U136" s="4">
        <v>24393.31</v>
      </c>
      <c r="V136" t="str">
        <f t="shared" si="7"/>
        <v>Mar</v>
      </c>
      <c r="W136">
        <f t="shared" si="8"/>
        <v>7.3470815653334687E-2</v>
      </c>
    </row>
    <row r="137" spans="1:23" x14ac:dyDescent="0.4">
      <c r="A137" s="4" t="s">
        <v>646</v>
      </c>
      <c r="B137" s="4" t="s">
        <v>647</v>
      </c>
      <c r="C137" s="11">
        <v>44740</v>
      </c>
      <c r="D137" s="4" t="s">
        <v>23</v>
      </c>
      <c r="E137" s="4" t="s">
        <v>24</v>
      </c>
      <c r="F137" s="4" t="s">
        <v>70</v>
      </c>
      <c r="G137" s="4" t="s">
        <v>59</v>
      </c>
      <c r="H137" s="4" t="s">
        <v>648</v>
      </c>
      <c r="I137" s="4" t="s">
        <v>43</v>
      </c>
      <c r="J137" s="4" t="s">
        <v>62</v>
      </c>
      <c r="K137" s="4" t="s">
        <v>30</v>
      </c>
      <c r="L137" s="4" t="s">
        <v>569</v>
      </c>
      <c r="M137" s="4" t="s">
        <v>53</v>
      </c>
      <c r="N137" s="4" t="s">
        <v>33</v>
      </c>
      <c r="O137" s="4" t="s">
        <v>34</v>
      </c>
      <c r="P137" s="4" t="s">
        <v>74</v>
      </c>
      <c r="Q137" s="4">
        <v>10</v>
      </c>
      <c r="R137" s="4">
        <v>49565</v>
      </c>
      <c r="S137" s="5">
        <v>10</v>
      </c>
      <c r="T137" s="6">
        <f t="shared" si="6"/>
        <v>446085</v>
      </c>
      <c r="U137" s="4">
        <v>-23868.67</v>
      </c>
      <c r="V137" t="str">
        <f t="shared" si="7"/>
        <v>Jun</v>
      </c>
      <c r="W137">
        <f t="shared" si="8"/>
        <v>-5.3506999787036102E-2</v>
      </c>
    </row>
    <row r="138" spans="1:23" x14ac:dyDescent="0.4">
      <c r="A138" s="4" t="s">
        <v>649</v>
      </c>
      <c r="B138" s="4" t="s">
        <v>650</v>
      </c>
      <c r="C138" s="11">
        <v>45053</v>
      </c>
      <c r="D138" s="4" t="s">
        <v>98</v>
      </c>
      <c r="E138" s="4" t="s">
        <v>24</v>
      </c>
      <c r="F138" s="4" t="s">
        <v>25</v>
      </c>
      <c r="G138" s="4" t="s">
        <v>41</v>
      </c>
      <c r="H138" s="4" t="s">
        <v>652</v>
      </c>
      <c r="I138" s="4" t="s">
        <v>61</v>
      </c>
      <c r="J138" s="4" t="s">
        <v>62</v>
      </c>
      <c r="K138" s="4" t="s">
        <v>86</v>
      </c>
      <c r="L138" s="4" t="s">
        <v>601</v>
      </c>
      <c r="M138" s="4" t="s">
        <v>95</v>
      </c>
      <c r="N138" s="4" t="s">
        <v>54</v>
      </c>
      <c r="O138" s="4" t="s">
        <v>46</v>
      </c>
      <c r="P138" s="4" t="s">
        <v>74</v>
      </c>
      <c r="Q138" s="4">
        <v>5</v>
      </c>
      <c r="R138" s="4">
        <v>10892</v>
      </c>
      <c r="S138" s="5">
        <v>0</v>
      </c>
      <c r="T138" s="6">
        <f t="shared" si="6"/>
        <v>54460</v>
      </c>
      <c r="U138" s="4">
        <v>8454.7999999999993</v>
      </c>
      <c r="V138" t="str">
        <f t="shared" si="7"/>
        <v>Apr</v>
      </c>
      <c r="W138">
        <f t="shared" si="8"/>
        <v>0.1552478883584282</v>
      </c>
    </row>
    <row r="139" spans="1:23" x14ac:dyDescent="0.4">
      <c r="A139" s="4" t="s">
        <v>653</v>
      </c>
      <c r="B139" s="4" t="s">
        <v>654</v>
      </c>
      <c r="C139" s="11">
        <v>45022</v>
      </c>
      <c r="D139" s="4" t="s">
        <v>39</v>
      </c>
      <c r="E139" s="4" t="s">
        <v>24</v>
      </c>
      <c r="F139" s="4" t="s">
        <v>70</v>
      </c>
      <c r="G139" s="4" t="s">
        <v>99</v>
      </c>
      <c r="H139" s="4" t="s">
        <v>655</v>
      </c>
      <c r="I139" s="4" t="s">
        <v>61</v>
      </c>
      <c r="J139" s="4" t="s">
        <v>62</v>
      </c>
      <c r="K139" s="4" t="s">
        <v>101</v>
      </c>
      <c r="L139" s="4" t="s">
        <v>301</v>
      </c>
      <c r="M139" s="4" t="s">
        <v>73</v>
      </c>
      <c r="N139" s="4" t="s">
        <v>54</v>
      </c>
      <c r="O139" s="4" t="s">
        <v>120</v>
      </c>
      <c r="P139" s="4" t="s">
        <v>88</v>
      </c>
      <c r="Q139" s="4">
        <v>3</v>
      </c>
      <c r="R139" s="4">
        <v>48025</v>
      </c>
      <c r="S139" s="5">
        <v>15</v>
      </c>
      <c r="T139" s="6">
        <f t="shared" si="6"/>
        <v>122463.75</v>
      </c>
      <c r="U139" s="4">
        <v>18840.650000000001</v>
      </c>
      <c r="V139" t="str">
        <f t="shared" si="7"/>
        <v>Mar</v>
      </c>
      <c r="W139">
        <f t="shared" si="8"/>
        <v>0.15384675056904595</v>
      </c>
    </row>
    <row r="140" spans="1:23" x14ac:dyDescent="0.4">
      <c r="A140" s="4" t="s">
        <v>656</v>
      </c>
      <c r="B140" s="4" t="s">
        <v>571</v>
      </c>
      <c r="C140" s="11">
        <v>45333</v>
      </c>
      <c r="D140" s="4" t="s">
        <v>23</v>
      </c>
      <c r="E140" s="4" t="s">
        <v>24</v>
      </c>
      <c r="F140" s="4" t="s">
        <v>25</v>
      </c>
      <c r="G140" s="4" t="s">
        <v>41</v>
      </c>
      <c r="H140" s="4" t="s">
        <v>657</v>
      </c>
      <c r="I140" s="4" t="s">
        <v>43</v>
      </c>
      <c r="J140" s="4" t="s">
        <v>62</v>
      </c>
      <c r="K140" s="4" t="s">
        <v>63</v>
      </c>
      <c r="L140" s="4" t="s">
        <v>198</v>
      </c>
      <c r="M140" s="4" t="s">
        <v>32</v>
      </c>
      <c r="N140" s="4" t="s">
        <v>54</v>
      </c>
      <c r="O140" s="4" t="s">
        <v>34</v>
      </c>
      <c r="P140" s="4" t="s">
        <v>74</v>
      </c>
      <c r="Q140" s="4">
        <v>1</v>
      </c>
      <c r="R140" s="4">
        <v>42848</v>
      </c>
      <c r="S140" s="5">
        <v>20</v>
      </c>
      <c r="T140" s="6">
        <f t="shared" si="6"/>
        <v>34278.400000000001</v>
      </c>
      <c r="U140" s="4">
        <v>-2280.83</v>
      </c>
      <c r="V140" t="str">
        <f t="shared" si="7"/>
        <v>Feb</v>
      </c>
      <c r="W140">
        <f t="shared" si="8"/>
        <v>-6.6538403192681103E-2</v>
      </c>
    </row>
    <row r="141" spans="1:23" x14ac:dyDescent="0.4">
      <c r="A141" s="4" t="s">
        <v>658</v>
      </c>
      <c r="B141" s="4" t="s">
        <v>659</v>
      </c>
      <c r="C141" s="11">
        <v>44733</v>
      </c>
      <c r="D141" s="4" t="s">
        <v>124</v>
      </c>
      <c r="E141" s="4" t="s">
        <v>24</v>
      </c>
      <c r="F141" s="4" t="s">
        <v>26</v>
      </c>
      <c r="G141" s="4" t="s">
        <v>99</v>
      </c>
      <c r="H141" s="4" t="s">
        <v>660</v>
      </c>
      <c r="I141" s="4" t="s">
        <v>61</v>
      </c>
      <c r="J141" s="4" t="s">
        <v>79</v>
      </c>
      <c r="K141" s="4" t="s">
        <v>86</v>
      </c>
      <c r="L141" s="4" t="s">
        <v>661</v>
      </c>
      <c r="M141" s="4" t="s">
        <v>73</v>
      </c>
      <c r="N141" s="4" t="s">
        <v>54</v>
      </c>
      <c r="O141" s="4" t="s">
        <v>66</v>
      </c>
      <c r="P141" s="4" t="s">
        <v>88</v>
      </c>
      <c r="Q141" s="4">
        <v>6</v>
      </c>
      <c r="R141" s="4">
        <v>43458</v>
      </c>
      <c r="S141" s="5">
        <v>0</v>
      </c>
      <c r="T141" s="6">
        <f t="shared" si="6"/>
        <v>260748</v>
      </c>
      <c r="U141" s="4">
        <v>33804.050000000003</v>
      </c>
      <c r="V141" t="str">
        <f t="shared" si="7"/>
        <v>Jun</v>
      </c>
      <c r="W141">
        <f t="shared" si="8"/>
        <v>0.1296426051206529</v>
      </c>
    </row>
    <row r="142" spans="1:23" x14ac:dyDescent="0.4">
      <c r="A142" s="4" t="s">
        <v>662</v>
      </c>
      <c r="B142" s="4" t="s">
        <v>663</v>
      </c>
      <c r="C142" s="11">
        <v>45202</v>
      </c>
      <c r="D142" s="4" t="s">
        <v>98</v>
      </c>
      <c r="E142" s="4" t="s">
        <v>24</v>
      </c>
      <c r="F142" s="4" t="s">
        <v>70</v>
      </c>
      <c r="G142" s="4" t="s">
        <v>59</v>
      </c>
      <c r="H142" s="4" t="s">
        <v>665</v>
      </c>
      <c r="I142" s="4" t="s">
        <v>28</v>
      </c>
      <c r="J142" s="4" t="s">
        <v>29</v>
      </c>
      <c r="K142" s="4" t="s">
        <v>30</v>
      </c>
      <c r="L142" s="4" t="s">
        <v>666</v>
      </c>
      <c r="M142" s="4" t="s">
        <v>81</v>
      </c>
      <c r="N142" s="4" t="s">
        <v>54</v>
      </c>
      <c r="O142" s="4" t="s">
        <v>66</v>
      </c>
      <c r="P142" s="4" t="s">
        <v>47</v>
      </c>
      <c r="Q142" s="4">
        <v>1</v>
      </c>
      <c r="R142" s="4">
        <v>623</v>
      </c>
      <c r="S142" s="5">
        <v>5</v>
      </c>
      <c r="T142" s="6">
        <f t="shared" si="6"/>
        <v>591.85</v>
      </c>
      <c r="U142" s="4">
        <v>42.54</v>
      </c>
      <c r="V142" t="str">
        <f t="shared" si="7"/>
        <v>Sep</v>
      </c>
      <c r="W142">
        <f t="shared" si="8"/>
        <v>7.1876320013516931E-2</v>
      </c>
    </row>
    <row r="143" spans="1:23" x14ac:dyDescent="0.4">
      <c r="A143" s="4" t="s">
        <v>667</v>
      </c>
      <c r="B143" s="4" t="s">
        <v>668</v>
      </c>
      <c r="C143" s="11">
        <v>44643</v>
      </c>
      <c r="D143" s="4" t="s">
        <v>39</v>
      </c>
      <c r="E143" s="4" t="s">
        <v>24</v>
      </c>
      <c r="F143" s="4" t="s">
        <v>58</v>
      </c>
      <c r="G143" s="4" t="s">
        <v>92</v>
      </c>
      <c r="H143" s="4" t="s">
        <v>670</v>
      </c>
      <c r="I143" s="4" t="s">
        <v>43</v>
      </c>
      <c r="J143" s="4" t="s">
        <v>79</v>
      </c>
      <c r="K143" s="4" t="s">
        <v>153</v>
      </c>
      <c r="L143" s="4" t="s">
        <v>671</v>
      </c>
      <c r="M143" s="4" t="s">
        <v>95</v>
      </c>
      <c r="N143" s="4" t="s">
        <v>54</v>
      </c>
      <c r="O143" s="4" t="s">
        <v>34</v>
      </c>
      <c r="P143" s="4" t="s">
        <v>88</v>
      </c>
      <c r="Q143" s="4">
        <v>9</v>
      </c>
      <c r="R143" s="4">
        <v>21663</v>
      </c>
      <c r="S143" s="5">
        <v>10</v>
      </c>
      <c r="T143" s="6">
        <f t="shared" si="6"/>
        <v>175470.3</v>
      </c>
      <c r="U143" s="4">
        <v>34498.36</v>
      </c>
      <c r="V143" t="str">
        <f t="shared" si="7"/>
        <v>Mar</v>
      </c>
      <c r="W143">
        <f t="shared" si="8"/>
        <v>0.19660512348813447</v>
      </c>
    </row>
    <row r="144" spans="1:23" x14ac:dyDescent="0.4">
      <c r="A144" s="4" t="s">
        <v>672</v>
      </c>
      <c r="B144" s="4" t="s">
        <v>341</v>
      </c>
      <c r="C144" s="11">
        <v>45519</v>
      </c>
      <c r="D144" s="4" t="s">
        <v>39</v>
      </c>
      <c r="E144" s="4" t="s">
        <v>24</v>
      </c>
      <c r="F144" s="4" t="s">
        <v>25</v>
      </c>
      <c r="G144" s="4" t="s">
        <v>99</v>
      </c>
      <c r="H144" s="4" t="s">
        <v>674</v>
      </c>
      <c r="I144" s="4" t="s">
        <v>43</v>
      </c>
      <c r="J144" s="4" t="s">
        <v>79</v>
      </c>
      <c r="K144" s="4" t="s">
        <v>63</v>
      </c>
      <c r="L144" s="4" t="s">
        <v>675</v>
      </c>
      <c r="M144" s="4" t="s">
        <v>53</v>
      </c>
      <c r="N144" s="4" t="s">
        <v>33</v>
      </c>
      <c r="O144" s="4" t="s">
        <v>46</v>
      </c>
      <c r="P144" s="4" t="s">
        <v>47</v>
      </c>
      <c r="Q144" s="4">
        <v>1</v>
      </c>
      <c r="R144" s="4">
        <v>20973</v>
      </c>
      <c r="S144" s="5">
        <v>10</v>
      </c>
      <c r="T144" s="6">
        <f t="shared" si="6"/>
        <v>18875.7</v>
      </c>
      <c r="U144" s="4">
        <v>1098.19</v>
      </c>
      <c r="V144" t="str">
        <f t="shared" si="7"/>
        <v>Aug</v>
      </c>
      <c r="W144">
        <f t="shared" si="8"/>
        <v>5.8180093983269496E-2</v>
      </c>
    </row>
    <row r="145" spans="1:23" x14ac:dyDescent="0.4">
      <c r="A145" s="4" t="s">
        <v>676</v>
      </c>
      <c r="B145" s="4" t="s">
        <v>677</v>
      </c>
      <c r="C145" s="11">
        <v>45470</v>
      </c>
      <c r="D145" s="4" t="s">
        <v>124</v>
      </c>
      <c r="E145" s="4" t="s">
        <v>24</v>
      </c>
      <c r="F145" s="4" t="s">
        <v>70</v>
      </c>
      <c r="G145" s="4" t="s">
        <v>26</v>
      </c>
      <c r="H145" s="4" t="s">
        <v>678</v>
      </c>
      <c r="I145" s="4" t="s">
        <v>61</v>
      </c>
      <c r="J145" s="4" t="s">
        <v>62</v>
      </c>
      <c r="K145" s="4" t="s">
        <v>153</v>
      </c>
      <c r="L145" s="4" t="s">
        <v>414</v>
      </c>
      <c r="M145" s="4" t="s">
        <v>65</v>
      </c>
      <c r="N145" s="4" t="s">
        <v>33</v>
      </c>
      <c r="O145" s="4" t="s">
        <v>46</v>
      </c>
      <c r="P145" s="4" t="s">
        <v>35</v>
      </c>
      <c r="Q145" s="4">
        <v>1</v>
      </c>
      <c r="R145" s="4">
        <v>40265</v>
      </c>
      <c r="S145" s="5">
        <v>0</v>
      </c>
      <c r="T145" s="6">
        <f t="shared" si="6"/>
        <v>40265</v>
      </c>
      <c r="U145" s="4">
        <v>9305.2999999999993</v>
      </c>
      <c r="V145" t="str">
        <f t="shared" si="7"/>
        <v>Jun</v>
      </c>
      <c r="W145">
        <f t="shared" si="8"/>
        <v>0.23110145287470507</v>
      </c>
    </row>
    <row r="146" spans="1:23" x14ac:dyDescent="0.4">
      <c r="A146" s="4" t="s">
        <v>679</v>
      </c>
      <c r="B146" s="4" t="s">
        <v>680</v>
      </c>
      <c r="C146" s="11">
        <v>45408</v>
      </c>
      <c r="D146" s="4" t="s">
        <v>124</v>
      </c>
      <c r="E146" s="4" t="s">
        <v>24</v>
      </c>
      <c r="F146" s="4" t="s">
        <v>40</v>
      </c>
      <c r="G146" s="4" t="s">
        <v>99</v>
      </c>
      <c r="H146" s="4" t="s">
        <v>682</v>
      </c>
      <c r="I146" s="4" t="s">
        <v>28</v>
      </c>
      <c r="J146" s="4" t="s">
        <v>29</v>
      </c>
      <c r="K146" s="4" t="s">
        <v>30</v>
      </c>
      <c r="L146" s="4" t="s">
        <v>232</v>
      </c>
      <c r="M146" s="4" t="s">
        <v>32</v>
      </c>
      <c r="N146" s="4" t="s">
        <v>33</v>
      </c>
      <c r="O146" s="4" t="s">
        <v>120</v>
      </c>
      <c r="P146" s="4" t="s">
        <v>74</v>
      </c>
      <c r="Q146" s="4">
        <v>6</v>
      </c>
      <c r="R146" s="4">
        <v>39040</v>
      </c>
      <c r="S146" s="5">
        <v>5</v>
      </c>
      <c r="T146" s="6">
        <f t="shared" si="6"/>
        <v>222528</v>
      </c>
      <c r="U146" s="4">
        <v>12524.99</v>
      </c>
      <c r="V146" t="str">
        <f t="shared" si="7"/>
        <v>Apr</v>
      </c>
      <c r="W146">
        <f t="shared" si="8"/>
        <v>5.6285006830601093E-2</v>
      </c>
    </row>
    <row r="147" spans="1:23" x14ac:dyDescent="0.4">
      <c r="A147" s="4" t="s">
        <v>683</v>
      </c>
      <c r="B147" s="4" t="s">
        <v>684</v>
      </c>
      <c r="C147" s="11">
        <v>45153</v>
      </c>
      <c r="D147" s="4" t="s">
        <v>124</v>
      </c>
      <c r="E147" s="4" t="s">
        <v>24</v>
      </c>
      <c r="F147" s="4" t="s">
        <v>58</v>
      </c>
      <c r="G147" s="4" t="s">
        <v>26</v>
      </c>
      <c r="H147" s="4" t="s">
        <v>686</v>
      </c>
      <c r="I147" s="4" t="s">
        <v>28</v>
      </c>
      <c r="J147" s="4" t="s">
        <v>79</v>
      </c>
      <c r="K147" s="4" t="s">
        <v>63</v>
      </c>
      <c r="L147" s="4" t="s">
        <v>687</v>
      </c>
      <c r="M147" s="4" t="s">
        <v>53</v>
      </c>
      <c r="N147" s="4" t="s">
        <v>54</v>
      </c>
      <c r="O147" s="4" t="s">
        <v>46</v>
      </c>
      <c r="P147" s="4" t="s">
        <v>35</v>
      </c>
      <c r="Q147" s="4">
        <v>7</v>
      </c>
      <c r="R147" s="4">
        <v>23221</v>
      </c>
      <c r="S147" s="5">
        <v>0</v>
      </c>
      <c r="T147" s="6">
        <f t="shared" si="6"/>
        <v>162547</v>
      </c>
      <c r="U147" s="4">
        <v>17518.46</v>
      </c>
      <c r="V147" t="str">
        <f t="shared" si="7"/>
        <v>Aug</v>
      </c>
      <c r="W147">
        <f t="shared" si="8"/>
        <v>0.10777473592253317</v>
      </c>
    </row>
    <row r="148" spans="1:23" x14ac:dyDescent="0.4">
      <c r="A148" s="4" t="s">
        <v>688</v>
      </c>
      <c r="B148" s="4" t="s">
        <v>689</v>
      </c>
      <c r="C148" s="11">
        <v>45220</v>
      </c>
      <c r="D148" s="4" t="s">
        <v>23</v>
      </c>
      <c r="E148" s="4" t="s">
        <v>24</v>
      </c>
      <c r="F148" s="4" t="s">
        <v>26</v>
      </c>
      <c r="G148" s="4" t="s">
        <v>99</v>
      </c>
      <c r="H148" s="4" t="s">
        <v>691</v>
      </c>
      <c r="I148" s="4" t="s">
        <v>43</v>
      </c>
      <c r="J148" s="4" t="s">
        <v>62</v>
      </c>
      <c r="K148" s="4" t="s">
        <v>63</v>
      </c>
      <c r="L148" s="4" t="s">
        <v>154</v>
      </c>
      <c r="M148" s="4" t="s">
        <v>53</v>
      </c>
      <c r="N148" s="4" t="s">
        <v>33</v>
      </c>
      <c r="O148" s="4" t="s">
        <v>120</v>
      </c>
      <c r="P148" s="4" t="s">
        <v>47</v>
      </c>
      <c r="Q148" s="4">
        <v>7</v>
      </c>
      <c r="R148" s="4">
        <v>23380</v>
      </c>
      <c r="S148" s="5">
        <v>15</v>
      </c>
      <c r="T148" s="6">
        <f t="shared" si="6"/>
        <v>139111</v>
      </c>
      <c r="U148" s="4">
        <v>-13632.15</v>
      </c>
      <c r="V148" t="str">
        <f t="shared" si="7"/>
        <v>Oct</v>
      </c>
      <c r="W148">
        <f t="shared" si="8"/>
        <v>-9.7994766768983041E-2</v>
      </c>
    </row>
    <row r="149" spans="1:23" x14ac:dyDescent="0.4">
      <c r="A149" s="4" t="s">
        <v>692</v>
      </c>
      <c r="B149" s="4" t="s">
        <v>467</v>
      </c>
      <c r="C149" s="11">
        <v>44852</v>
      </c>
      <c r="D149" s="4" t="s">
        <v>39</v>
      </c>
      <c r="E149" s="4" t="s">
        <v>24</v>
      </c>
      <c r="F149" s="4" t="s">
        <v>26</v>
      </c>
      <c r="G149" s="4" t="s">
        <v>59</v>
      </c>
      <c r="H149" s="4" t="s">
        <v>694</v>
      </c>
      <c r="I149" s="4" t="s">
        <v>43</v>
      </c>
      <c r="J149" s="4" t="s">
        <v>79</v>
      </c>
      <c r="K149" s="4" t="s">
        <v>153</v>
      </c>
      <c r="L149" s="4" t="s">
        <v>695</v>
      </c>
      <c r="M149" s="4" t="s">
        <v>53</v>
      </c>
      <c r="N149" s="4" t="s">
        <v>54</v>
      </c>
      <c r="O149" s="4" t="s">
        <v>46</v>
      </c>
      <c r="P149" s="4" t="s">
        <v>74</v>
      </c>
      <c r="Q149" s="4">
        <v>6</v>
      </c>
      <c r="R149" s="4">
        <v>25035</v>
      </c>
      <c r="S149" s="5">
        <v>20</v>
      </c>
      <c r="T149" s="6">
        <f t="shared" si="6"/>
        <v>120168</v>
      </c>
      <c r="U149" s="4">
        <v>9269.2999999999993</v>
      </c>
      <c r="V149" t="str">
        <f t="shared" si="7"/>
        <v>Oct</v>
      </c>
      <c r="W149">
        <f t="shared" si="8"/>
        <v>7.7136176020238326E-2</v>
      </c>
    </row>
    <row r="150" spans="1:23" x14ac:dyDescent="0.4">
      <c r="A150" s="4" t="s">
        <v>696</v>
      </c>
      <c r="B150" s="4" t="s">
        <v>697</v>
      </c>
      <c r="C150" s="11">
        <v>45378</v>
      </c>
      <c r="D150" s="4" t="s">
        <v>98</v>
      </c>
      <c r="E150" s="4" t="s">
        <v>24</v>
      </c>
      <c r="F150" s="4" t="s">
        <v>70</v>
      </c>
      <c r="G150" s="4" t="s">
        <v>26</v>
      </c>
      <c r="H150" s="4" t="s">
        <v>698</v>
      </c>
      <c r="I150" s="4" t="s">
        <v>43</v>
      </c>
      <c r="J150" s="4" t="s">
        <v>79</v>
      </c>
      <c r="K150" s="4" t="s">
        <v>86</v>
      </c>
      <c r="L150" s="4" t="s">
        <v>699</v>
      </c>
      <c r="M150" s="4" t="s">
        <v>81</v>
      </c>
      <c r="N150" s="4" t="s">
        <v>54</v>
      </c>
      <c r="O150" s="4" t="s">
        <v>46</v>
      </c>
      <c r="P150" s="4" t="s">
        <v>74</v>
      </c>
      <c r="Q150" s="4">
        <v>2</v>
      </c>
      <c r="R150" s="4">
        <v>22573</v>
      </c>
      <c r="S150" s="5">
        <v>10</v>
      </c>
      <c r="T150" s="6">
        <f t="shared" si="6"/>
        <v>40631.4</v>
      </c>
      <c r="U150" s="4">
        <v>-1837.32</v>
      </c>
      <c r="V150" t="str">
        <f t="shared" si="7"/>
        <v>Mar</v>
      </c>
      <c r="W150">
        <f t="shared" si="8"/>
        <v>-4.5219214696023267E-2</v>
      </c>
    </row>
    <row r="151" spans="1:23" x14ac:dyDescent="0.4">
      <c r="A151" s="4" t="s">
        <v>700</v>
      </c>
      <c r="B151" s="4" t="s">
        <v>701</v>
      </c>
      <c r="C151" s="11">
        <v>45391</v>
      </c>
      <c r="D151" s="4" t="s">
        <v>124</v>
      </c>
      <c r="E151" s="4" t="s">
        <v>24</v>
      </c>
      <c r="F151" s="4" t="s">
        <v>25</v>
      </c>
      <c r="G151" s="4" t="s">
        <v>99</v>
      </c>
      <c r="H151" s="4" t="s">
        <v>703</v>
      </c>
      <c r="I151" s="4" t="s">
        <v>28</v>
      </c>
      <c r="J151" s="4" t="s">
        <v>62</v>
      </c>
      <c r="K151" s="4" t="s">
        <v>86</v>
      </c>
      <c r="L151" s="4" t="s">
        <v>704</v>
      </c>
      <c r="M151" s="4" t="s">
        <v>73</v>
      </c>
      <c r="N151" s="4" t="s">
        <v>33</v>
      </c>
      <c r="O151" s="4" t="s">
        <v>120</v>
      </c>
      <c r="P151" s="4" t="s">
        <v>88</v>
      </c>
      <c r="Q151" s="4">
        <v>8</v>
      </c>
      <c r="R151" s="4">
        <v>32941</v>
      </c>
      <c r="S151" s="5">
        <v>10</v>
      </c>
      <c r="T151" s="6">
        <f t="shared" si="6"/>
        <v>237175.2</v>
      </c>
      <c r="U151" s="4">
        <v>45140.13</v>
      </c>
      <c r="V151" t="str">
        <f t="shared" si="7"/>
        <v>Apr</v>
      </c>
      <c r="W151">
        <f t="shared" si="8"/>
        <v>0.19032398834279468</v>
      </c>
    </row>
    <row r="152" spans="1:23" x14ac:dyDescent="0.4">
      <c r="A152" s="4" t="s">
        <v>705</v>
      </c>
      <c r="B152" s="4" t="s">
        <v>706</v>
      </c>
      <c r="C152" s="11">
        <v>45010</v>
      </c>
      <c r="D152" s="4" t="s">
        <v>23</v>
      </c>
      <c r="E152" s="4" t="s">
        <v>24</v>
      </c>
      <c r="F152" s="4" t="s">
        <v>40</v>
      </c>
      <c r="G152" s="4" t="s">
        <v>59</v>
      </c>
      <c r="H152" s="4" t="s">
        <v>707</v>
      </c>
      <c r="I152" s="4" t="s">
        <v>61</v>
      </c>
      <c r="J152" s="4" t="s">
        <v>29</v>
      </c>
      <c r="K152" s="4" t="s">
        <v>63</v>
      </c>
      <c r="L152" s="4" t="s">
        <v>708</v>
      </c>
      <c r="M152" s="4" t="s">
        <v>65</v>
      </c>
      <c r="N152" s="4" t="s">
        <v>54</v>
      </c>
      <c r="O152" s="4" t="s">
        <v>120</v>
      </c>
      <c r="P152" s="4" t="s">
        <v>74</v>
      </c>
      <c r="Q152" s="4">
        <v>3</v>
      </c>
      <c r="R152" s="4">
        <v>41349</v>
      </c>
      <c r="S152" s="5">
        <v>15</v>
      </c>
      <c r="T152" s="6">
        <f t="shared" si="6"/>
        <v>105439.95</v>
      </c>
      <c r="U152" s="4">
        <v>-2783.98</v>
      </c>
      <c r="V152" t="str">
        <f t="shared" si="7"/>
        <v>Mar</v>
      </c>
      <c r="W152">
        <f t="shared" si="8"/>
        <v>-2.6403464720914607E-2</v>
      </c>
    </row>
    <row r="153" spans="1:23" x14ac:dyDescent="0.4">
      <c r="A153" s="4" t="s">
        <v>709</v>
      </c>
      <c r="B153" s="4" t="s">
        <v>358</v>
      </c>
      <c r="C153" s="11">
        <v>44689</v>
      </c>
      <c r="D153" s="4" t="s">
        <v>23</v>
      </c>
      <c r="E153" s="4" t="s">
        <v>24</v>
      </c>
      <c r="F153" s="4" t="s">
        <v>26</v>
      </c>
      <c r="G153" s="4" t="s">
        <v>92</v>
      </c>
      <c r="H153" s="4" t="s">
        <v>711</v>
      </c>
      <c r="I153" s="4" t="s">
        <v>43</v>
      </c>
      <c r="J153" s="4" t="s">
        <v>62</v>
      </c>
      <c r="K153" s="4" t="s">
        <v>63</v>
      </c>
      <c r="L153" s="4" t="s">
        <v>198</v>
      </c>
      <c r="M153" s="4" t="s">
        <v>95</v>
      </c>
      <c r="N153" s="4" t="s">
        <v>54</v>
      </c>
      <c r="O153" s="4" t="s">
        <v>82</v>
      </c>
      <c r="P153" s="4" t="s">
        <v>88</v>
      </c>
      <c r="Q153" s="4">
        <v>9</v>
      </c>
      <c r="R153" s="4">
        <v>17641</v>
      </c>
      <c r="S153" s="5">
        <v>10</v>
      </c>
      <c r="T153" s="6">
        <f t="shared" si="6"/>
        <v>142892.1</v>
      </c>
      <c r="U153" s="4">
        <v>6782.92</v>
      </c>
      <c r="V153" t="str">
        <f t="shared" si="7"/>
        <v>Apr</v>
      </c>
      <c r="W153">
        <f t="shared" si="8"/>
        <v>4.7468824378674536E-2</v>
      </c>
    </row>
    <row r="154" spans="1:23" x14ac:dyDescent="0.4">
      <c r="A154" s="4" t="s">
        <v>712</v>
      </c>
      <c r="B154" s="4" t="s">
        <v>713</v>
      </c>
      <c r="C154" s="11">
        <v>45137</v>
      </c>
      <c r="D154" s="4" t="s">
        <v>124</v>
      </c>
      <c r="E154" s="4" t="s">
        <v>24</v>
      </c>
      <c r="F154" s="4" t="s">
        <v>26</v>
      </c>
      <c r="G154" s="4" t="s">
        <v>26</v>
      </c>
      <c r="H154" s="4" t="s">
        <v>714</v>
      </c>
      <c r="I154" s="4" t="s">
        <v>28</v>
      </c>
      <c r="J154" s="4" t="s">
        <v>79</v>
      </c>
      <c r="K154" s="4" t="s">
        <v>86</v>
      </c>
      <c r="L154" s="4" t="s">
        <v>343</v>
      </c>
      <c r="M154" s="4" t="s">
        <v>73</v>
      </c>
      <c r="N154" s="4" t="s">
        <v>33</v>
      </c>
      <c r="O154" s="4" t="s">
        <v>34</v>
      </c>
      <c r="P154" s="4" t="s">
        <v>88</v>
      </c>
      <c r="Q154" s="4">
        <v>9</v>
      </c>
      <c r="R154" s="4">
        <v>24882</v>
      </c>
      <c r="S154" s="5">
        <v>15</v>
      </c>
      <c r="T154" s="6">
        <f t="shared" si="6"/>
        <v>190347.3</v>
      </c>
      <c r="U154" s="4">
        <v>-18209.009999999998</v>
      </c>
      <c r="V154" t="str">
        <f t="shared" si="7"/>
        <v>Jul</v>
      </c>
      <c r="W154">
        <f t="shared" si="8"/>
        <v>-9.5662034607267868E-2</v>
      </c>
    </row>
    <row r="155" spans="1:23" x14ac:dyDescent="0.4">
      <c r="A155" s="4" t="s">
        <v>715</v>
      </c>
      <c r="B155" s="4" t="s">
        <v>716</v>
      </c>
      <c r="C155" s="11">
        <v>45048</v>
      </c>
      <c r="D155" s="4" t="s">
        <v>124</v>
      </c>
      <c r="E155" s="4" t="s">
        <v>24</v>
      </c>
      <c r="F155" s="4" t="s">
        <v>58</v>
      </c>
      <c r="G155" s="4" t="s">
        <v>59</v>
      </c>
      <c r="H155" s="4" t="s">
        <v>717</v>
      </c>
      <c r="I155" s="4" t="s">
        <v>61</v>
      </c>
      <c r="J155" s="4" t="s">
        <v>79</v>
      </c>
      <c r="K155" s="4" t="s">
        <v>101</v>
      </c>
      <c r="L155" s="4" t="s">
        <v>718</v>
      </c>
      <c r="M155" s="4" t="s">
        <v>81</v>
      </c>
      <c r="N155" s="4" t="s">
        <v>54</v>
      </c>
      <c r="O155" s="4" t="s">
        <v>46</v>
      </c>
      <c r="P155" s="4" t="s">
        <v>35</v>
      </c>
      <c r="Q155" s="4">
        <v>3</v>
      </c>
      <c r="R155" s="4">
        <v>5687</v>
      </c>
      <c r="S155" s="5">
        <v>15</v>
      </c>
      <c r="T155" s="6">
        <f t="shared" si="6"/>
        <v>14501.85</v>
      </c>
      <c r="U155" s="4">
        <v>1676.48</v>
      </c>
      <c r="V155" t="str">
        <f t="shared" si="7"/>
        <v>Apr</v>
      </c>
      <c r="W155">
        <f t="shared" si="8"/>
        <v>0.1156045607974155</v>
      </c>
    </row>
    <row r="156" spans="1:23" x14ac:dyDescent="0.4">
      <c r="A156" s="4" t="s">
        <v>719</v>
      </c>
      <c r="B156" s="4" t="s">
        <v>720</v>
      </c>
      <c r="C156" s="11">
        <v>44788</v>
      </c>
      <c r="D156" s="4" t="s">
        <v>124</v>
      </c>
      <c r="E156" s="4" t="s">
        <v>24</v>
      </c>
      <c r="F156" s="4" t="s">
        <v>58</v>
      </c>
      <c r="G156" s="4" t="s">
        <v>99</v>
      </c>
      <c r="H156" s="4" t="s">
        <v>722</v>
      </c>
      <c r="I156" s="4" t="s">
        <v>61</v>
      </c>
      <c r="J156" s="4" t="s">
        <v>79</v>
      </c>
      <c r="K156" s="4" t="s">
        <v>101</v>
      </c>
      <c r="L156" s="4" t="s">
        <v>723</v>
      </c>
      <c r="M156" s="4" t="s">
        <v>81</v>
      </c>
      <c r="N156" s="4" t="s">
        <v>54</v>
      </c>
      <c r="O156" s="4" t="s">
        <v>34</v>
      </c>
      <c r="P156" s="4" t="s">
        <v>47</v>
      </c>
      <c r="Q156" s="4">
        <v>8</v>
      </c>
      <c r="R156" s="4">
        <v>23350</v>
      </c>
      <c r="S156" s="5">
        <v>5</v>
      </c>
      <c r="T156" s="6">
        <f t="shared" si="6"/>
        <v>177460</v>
      </c>
      <c r="U156" s="4">
        <v>25368.52</v>
      </c>
      <c r="V156" t="str">
        <f t="shared" si="7"/>
        <v>Aug</v>
      </c>
      <c r="W156">
        <f t="shared" si="8"/>
        <v>0.14295345429956047</v>
      </c>
    </row>
    <row r="157" spans="1:23" x14ac:dyDescent="0.4">
      <c r="A157" s="4" t="s">
        <v>724</v>
      </c>
      <c r="B157" s="4" t="s">
        <v>284</v>
      </c>
      <c r="C157" s="11">
        <v>45041</v>
      </c>
      <c r="D157" s="4" t="s">
        <v>98</v>
      </c>
      <c r="E157" s="4" t="s">
        <v>24</v>
      </c>
      <c r="F157" s="4" t="s">
        <v>58</v>
      </c>
      <c r="G157" s="4" t="s">
        <v>59</v>
      </c>
      <c r="H157" s="4" t="s">
        <v>725</v>
      </c>
      <c r="I157" s="4" t="s">
        <v>43</v>
      </c>
      <c r="J157" s="4" t="s">
        <v>62</v>
      </c>
      <c r="K157" s="4" t="s">
        <v>86</v>
      </c>
      <c r="L157" s="4" t="s">
        <v>500</v>
      </c>
      <c r="M157" s="4" t="s">
        <v>81</v>
      </c>
      <c r="N157" s="4" t="s">
        <v>54</v>
      </c>
      <c r="O157" s="4" t="s">
        <v>46</v>
      </c>
      <c r="P157" s="4" t="s">
        <v>74</v>
      </c>
      <c r="Q157" s="4">
        <v>10</v>
      </c>
      <c r="R157" s="4">
        <v>45045</v>
      </c>
      <c r="S157" s="5">
        <v>15</v>
      </c>
      <c r="T157" s="6">
        <f t="shared" si="6"/>
        <v>382882.5</v>
      </c>
      <c r="U157" s="4">
        <v>37538.870000000003</v>
      </c>
      <c r="V157" t="str">
        <f t="shared" si="7"/>
        <v>Apr</v>
      </c>
      <c r="W157">
        <f t="shared" si="8"/>
        <v>9.8042793807499695E-2</v>
      </c>
    </row>
    <row r="158" spans="1:23" x14ac:dyDescent="0.4">
      <c r="A158" s="4" t="s">
        <v>726</v>
      </c>
      <c r="B158" s="4" t="s">
        <v>727</v>
      </c>
      <c r="C158" s="11">
        <v>44744</v>
      </c>
      <c r="D158" s="4" t="s">
        <v>124</v>
      </c>
      <c r="E158" s="4" t="s">
        <v>24</v>
      </c>
      <c r="F158" s="4" t="s">
        <v>40</v>
      </c>
      <c r="G158" s="4" t="s">
        <v>99</v>
      </c>
      <c r="H158" s="4" t="s">
        <v>728</v>
      </c>
      <c r="I158" s="4" t="s">
        <v>61</v>
      </c>
      <c r="J158" s="4" t="s">
        <v>79</v>
      </c>
      <c r="K158" s="4" t="s">
        <v>101</v>
      </c>
      <c r="L158" s="4" t="s">
        <v>729</v>
      </c>
      <c r="M158" s="4" t="s">
        <v>65</v>
      </c>
      <c r="N158" s="4" t="s">
        <v>54</v>
      </c>
      <c r="O158" s="4" t="s">
        <v>120</v>
      </c>
      <c r="P158" s="4" t="s">
        <v>88</v>
      </c>
      <c r="Q158" s="4">
        <v>8</v>
      </c>
      <c r="R158" s="4">
        <v>32898</v>
      </c>
      <c r="S158" s="5">
        <v>0</v>
      </c>
      <c r="T158" s="6">
        <f t="shared" si="6"/>
        <v>263184</v>
      </c>
      <c r="U158" s="4">
        <v>36282.699999999997</v>
      </c>
      <c r="V158" t="str">
        <f t="shared" si="7"/>
        <v>Jun</v>
      </c>
      <c r="W158">
        <f t="shared" si="8"/>
        <v>0.13786058423004438</v>
      </c>
    </row>
    <row r="159" spans="1:23" x14ac:dyDescent="0.4">
      <c r="A159" s="4" t="s">
        <v>730</v>
      </c>
      <c r="B159" s="4" t="s">
        <v>731</v>
      </c>
      <c r="C159" s="11">
        <v>44916</v>
      </c>
      <c r="D159" s="4" t="s">
        <v>23</v>
      </c>
      <c r="E159" s="4" t="s">
        <v>24</v>
      </c>
      <c r="F159" s="4" t="s">
        <v>40</v>
      </c>
      <c r="G159" s="4" t="s">
        <v>99</v>
      </c>
      <c r="H159" s="4" t="s">
        <v>733</v>
      </c>
      <c r="I159" s="4" t="s">
        <v>61</v>
      </c>
      <c r="J159" s="4" t="s">
        <v>62</v>
      </c>
      <c r="K159" s="4" t="s">
        <v>44</v>
      </c>
      <c r="L159" s="4" t="s">
        <v>457</v>
      </c>
      <c r="M159" s="4" t="s">
        <v>32</v>
      </c>
      <c r="N159" s="4" t="s">
        <v>54</v>
      </c>
      <c r="O159" s="4" t="s">
        <v>34</v>
      </c>
      <c r="P159" s="4" t="s">
        <v>74</v>
      </c>
      <c r="Q159" s="4">
        <v>10</v>
      </c>
      <c r="R159" s="4">
        <v>21142</v>
      </c>
      <c r="S159" s="5">
        <v>10</v>
      </c>
      <c r="T159" s="6">
        <f t="shared" si="6"/>
        <v>190278</v>
      </c>
      <c r="U159" s="4">
        <v>4928.51</v>
      </c>
      <c r="V159" t="str">
        <f t="shared" si="7"/>
        <v>Dec</v>
      </c>
      <c r="W159">
        <f t="shared" si="8"/>
        <v>2.5901628144083921E-2</v>
      </c>
    </row>
    <row r="160" spans="1:23" x14ac:dyDescent="0.4">
      <c r="A160" s="4" t="s">
        <v>734</v>
      </c>
      <c r="B160" s="4" t="s">
        <v>735</v>
      </c>
      <c r="C160" s="11">
        <v>45209</v>
      </c>
      <c r="D160" s="4" t="s">
        <v>39</v>
      </c>
      <c r="E160" s="4" t="s">
        <v>24</v>
      </c>
      <c r="F160" s="4" t="s">
        <v>26</v>
      </c>
      <c r="G160" s="4" t="s">
        <v>92</v>
      </c>
      <c r="H160" s="4" t="s">
        <v>736</v>
      </c>
      <c r="I160" s="4" t="s">
        <v>61</v>
      </c>
      <c r="J160" s="4" t="s">
        <v>29</v>
      </c>
      <c r="K160" s="4" t="s">
        <v>153</v>
      </c>
      <c r="L160" s="4" t="s">
        <v>149</v>
      </c>
      <c r="M160" s="4" t="s">
        <v>65</v>
      </c>
      <c r="N160" s="4" t="s">
        <v>33</v>
      </c>
      <c r="O160" s="4" t="s">
        <v>46</v>
      </c>
      <c r="P160" s="4" t="s">
        <v>35</v>
      </c>
      <c r="Q160" s="4">
        <v>6</v>
      </c>
      <c r="R160" s="4">
        <v>10190</v>
      </c>
      <c r="S160" s="5">
        <v>20</v>
      </c>
      <c r="T160" s="6">
        <f t="shared" si="6"/>
        <v>48912</v>
      </c>
      <c r="U160" s="4">
        <v>2528.27</v>
      </c>
      <c r="V160" t="str">
        <f t="shared" si="7"/>
        <v>Oct</v>
      </c>
      <c r="W160">
        <f t="shared" si="8"/>
        <v>5.1690178279358845E-2</v>
      </c>
    </row>
    <row r="161" spans="1:23" x14ac:dyDescent="0.4">
      <c r="A161" s="4" t="s">
        <v>737</v>
      </c>
      <c r="B161" s="4" t="s">
        <v>738</v>
      </c>
      <c r="C161" s="11">
        <v>44598</v>
      </c>
      <c r="D161" s="4" t="s">
        <v>23</v>
      </c>
      <c r="E161" s="4" t="s">
        <v>24</v>
      </c>
      <c r="F161" s="4" t="s">
        <v>40</v>
      </c>
      <c r="G161" s="4" t="s">
        <v>26</v>
      </c>
      <c r="H161" s="4" t="s">
        <v>739</v>
      </c>
      <c r="I161" s="4" t="s">
        <v>61</v>
      </c>
      <c r="J161" s="4" t="s">
        <v>29</v>
      </c>
      <c r="K161" s="4" t="s">
        <v>44</v>
      </c>
      <c r="L161" s="4" t="s">
        <v>740</v>
      </c>
      <c r="M161" s="4" t="s">
        <v>81</v>
      </c>
      <c r="N161" s="4" t="s">
        <v>33</v>
      </c>
      <c r="O161" s="4" t="s">
        <v>82</v>
      </c>
      <c r="P161" s="4" t="s">
        <v>47</v>
      </c>
      <c r="Q161" s="4">
        <v>2</v>
      </c>
      <c r="R161" s="4">
        <v>35924</v>
      </c>
      <c r="S161" s="5">
        <v>10</v>
      </c>
      <c r="T161" s="6">
        <f t="shared" si="6"/>
        <v>64663.199999999997</v>
      </c>
      <c r="U161" s="4">
        <v>11881.29</v>
      </c>
      <c r="V161" t="str">
        <f t="shared" si="7"/>
        <v>Jan</v>
      </c>
      <c r="W161">
        <f t="shared" si="8"/>
        <v>0.18374113870021899</v>
      </c>
    </row>
    <row r="162" spans="1:23" x14ac:dyDescent="0.4">
      <c r="A162" s="4" t="s">
        <v>741</v>
      </c>
      <c r="B162" s="4" t="s">
        <v>742</v>
      </c>
      <c r="C162" s="11">
        <v>45296</v>
      </c>
      <c r="D162" s="4" t="s">
        <v>124</v>
      </c>
      <c r="E162" s="4" t="s">
        <v>24</v>
      </c>
      <c r="F162" s="4" t="s">
        <v>26</v>
      </c>
      <c r="G162" s="4" t="s">
        <v>92</v>
      </c>
      <c r="H162" s="4" t="s">
        <v>743</v>
      </c>
      <c r="I162" s="4" t="s">
        <v>43</v>
      </c>
      <c r="J162" s="4" t="s">
        <v>62</v>
      </c>
      <c r="K162" s="4" t="s">
        <v>63</v>
      </c>
      <c r="L162" s="4" t="s">
        <v>139</v>
      </c>
      <c r="M162" s="4" t="s">
        <v>73</v>
      </c>
      <c r="N162" s="4" t="s">
        <v>33</v>
      </c>
      <c r="O162" s="4" t="s">
        <v>46</v>
      </c>
      <c r="P162" s="4" t="s">
        <v>47</v>
      </c>
      <c r="Q162" s="4">
        <v>1</v>
      </c>
      <c r="R162" s="4">
        <v>47013</v>
      </c>
      <c r="S162" s="5">
        <v>20</v>
      </c>
      <c r="T162" s="6">
        <f t="shared" si="6"/>
        <v>37610.400000000001</v>
      </c>
      <c r="U162" s="4">
        <v>-3887.47</v>
      </c>
      <c r="V162" t="str">
        <f t="shared" si="7"/>
        <v>Dec</v>
      </c>
      <c r="W162">
        <f t="shared" si="8"/>
        <v>-0.10336157020398612</v>
      </c>
    </row>
    <row r="163" spans="1:23" x14ac:dyDescent="0.4">
      <c r="A163" s="4" t="s">
        <v>744</v>
      </c>
      <c r="B163" s="4" t="s">
        <v>274</v>
      </c>
      <c r="C163" s="11">
        <v>44715</v>
      </c>
      <c r="D163" s="4" t="s">
        <v>124</v>
      </c>
      <c r="E163" s="4" t="s">
        <v>24</v>
      </c>
      <c r="F163" s="4" t="s">
        <v>40</v>
      </c>
      <c r="G163" s="4" t="s">
        <v>92</v>
      </c>
      <c r="H163" s="4" t="s">
        <v>746</v>
      </c>
      <c r="I163" s="4" t="s">
        <v>61</v>
      </c>
      <c r="J163" s="4" t="s">
        <v>62</v>
      </c>
      <c r="K163" s="4" t="s">
        <v>101</v>
      </c>
      <c r="L163" s="4" t="s">
        <v>319</v>
      </c>
      <c r="M163" s="4" t="s">
        <v>81</v>
      </c>
      <c r="N163" s="4" t="s">
        <v>33</v>
      </c>
      <c r="O163" s="4" t="s">
        <v>34</v>
      </c>
      <c r="P163" s="4" t="s">
        <v>88</v>
      </c>
      <c r="Q163" s="4">
        <v>8</v>
      </c>
      <c r="R163" s="4">
        <v>31431</v>
      </c>
      <c r="S163" s="5">
        <v>10</v>
      </c>
      <c r="T163" s="6">
        <f t="shared" si="6"/>
        <v>226303.2</v>
      </c>
      <c r="U163" s="4">
        <v>22957.21</v>
      </c>
      <c r="V163" t="str">
        <f t="shared" si="7"/>
        <v>May</v>
      </c>
      <c r="W163">
        <f t="shared" si="8"/>
        <v>0.10144447802770795</v>
      </c>
    </row>
    <row r="164" spans="1:23" x14ac:dyDescent="0.4">
      <c r="A164" s="4" t="s">
        <v>747</v>
      </c>
      <c r="B164" s="4" t="s">
        <v>748</v>
      </c>
      <c r="C164" s="11">
        <v>45263</v>
      </c>
      <c r="D164" s="4" t="s">
        <v>124</v>
      </c>
      <c r="E164" s="4" t="s">
        <v>24</v>
      </c>
      <c r="F164" s="4" t="s">
        <v>70</v>
      </c>
      <c r="G164" s="4" t="s">
        <v>92</v>
      </c>
      <c r="H164" s="4" t="s">
        <v>749</v>
      </c>
      <c r="I164" s="4" t="s">
        <v>28</v>
      </c>
      <c r="J164" s="4" t="s">
        <v>79</v>
      </c>
      <c r="K164" s="4" t="s">
        <v>30</v>
      </c>
      <c r="L164" s="4" t="s">
        <v>277</v>
      </c>
      <c r="M164" s="4" t="s">
        <v>32</v>
      </c>
      <c r="N164" s="4" t="s">
        <v>33</v>
      </c>
      <c r="O164" s="4" t="s">
        <v>46</v>
      </c>
      <c r="P164" s="4" t="s">
        <v>47</v>
      </c>
      <c r="Q164" s="4">
        <v>4</v>
      </c>
      <c r="R164" s="4">
        <v>2024</v>
      </c>
      <c r="S164" s="5">
        <v>5</v>
      </c>
      <c r="T164" s="6">
        <f t="shared" si="6"/>
        <v>7691.2</v>
      </c>
      <c r="U164" s="4">
        <v>800.69</v>
      </c>
      <c r="V164" t="str">
        <f t="shared" si="7"/>
        <v>Nov</v>
      </c>
      <c r="W164">
        <f t="shared" si="8"/>
        <v>0.10410469107551489</v>
      </c>
    </row>
    <row r="165" spans="1:23" x14ac:dyDescent="0.4">
      <c r="A165" s="4" t="s">
        <v>750</v>
      </c>
      <c r="B165" s="4" t="s">
        <v>751</v>
      </c>
      <c r="C165" s="11">
        <v>45023</v>
      </c>
      <c r="D165" s="4" t="s">
        <v>39</v>
      </c>
      <c r="E165" s="4" t="s">
        <v>24</v>
      </c>
      <c r="F165" s="4" t="s">
        <v>26</v>
      </c>
      <c r="G165" s="4" t="s">
        <v>99</v>
      </c>
      <c r="H165" s="4" t="s">
        <v>752</v>
      </c>
      <c r="I165" s="4" t="s">
        <v>61</v>
      </c>
      <c r="J165" s="4" t="s">
        <v>29</v>
      </c>
      <c r="K165" s="4" t="s">
        <v>63</v>
      </c>
      <c r="L165" s="4" t="s">
        <v>753</v>
      </c>
      <c r="M165" s="4" t="s">
        <v>95</v>
      </c>
      <c r="N165" s="4" t="s">
        <v>33</v>
      </c>
      <c r="O165" s="4" t="s">
        <v>46</v>
      </c>
      <c r="P165" s="4" t="s">
        <v>74</v>
      </c>
      <c r="Q165" s="4">
        <v>7</v>
      </c>
      <c r="R165" s="4">
        <v>36714</v>
      </c>
      <c r="S165" s="5">
        <v>0</v>
      </c>
      <c r="T165" s="6">
        <f t="shared" si="6"/>
        <v>256998</v>
      </c>
      <c r="U165" s="4">
        <v>66176.72</v>
      </c>
      <c r="V165" t="str">
        <f t="shared" si="7"/>
        <v>Apr</v>
      </c>
      <c r="W165">
        <f t="shared" si="8"/>
        <v>0.25749896886357093</v>
      </c>
    </row>
    <row r="166" spans="1:23" x14ac:dyDescent="0.4">
      <c r="A166" s="4" t="s">
        <v>754</v>
      </c>
      <c r="B166" s="4" t="s">
        <v>755</v>
      </c>
      <c r="C166" s="11">
        <v>44703</v>
      </c>
      <c r="D166" s="4" t="s">
        <v>23</v>
      </c>
      <c r="E166" s="4" t="s">
        <v>24</v>
      </c>
      <c r="F166" s="4" t="s">
        <v>58</v>
      </c>
      <c r="G166" s="4" t="s">
        <v>59</v>
      </c>
      <c r="H166" s="4" t="s">
        <v>756</v>
      </c>
      <c r="I166" s="4" t="s">
        <v>61</v>
      </c>
      <c r="J166" s="4" t="s">
        <v>29</v>
      </c>
      <c r="K166" s="4" t="s">
        <v>86</v>
      </c>
      <c r="L166" s="4" t="s">
        <v>757</v>
      </c>
      <c r="M166" s="4" t="s">
        <v>81</v>
      </c>
      <c r="N166" s="4" t="s">
        <v>54</v>
      </c>
      <c r="O166" s="4" t="s">
        <v>46</v>
      </c>
      <c r="P166" s="4" t="s">
        <v>35</v>
      </c>
      <c r="Q166" s="4">
        <v>1</v>
      </c>
      <c r="R166" s="4">
        <v>42682</v>
      </c>
      <c r="S166" s="5">
        <v>10</v>
      </c>
      <c r="T166" s="6">
        <f t="shared" si="6"/>
        <v>38413.800000000003</v>
      </c>
      <c r="U166" s="4">
        <v>-1671.04</v>
      </c>
      <c r="V166" t="str">
        <f t="shared" si="7"/>
        <v>May</v>
      </c>
      <c r="W166">
        <f t="shared" si="8"/>
        <v>-4.3501033482758793E-2</v>
      </c>
    </row>
    <row r="167" spans="1:23" x14ac:dyDescent="0.4">
      <c r="A167" s="4" t="s">
        <v>758</v>
      </c>
      <c r="B167" s="4" t="s">
        <v>173</v>
      </c>
      <c r="C167" s="11">
        <v>44815</v>
      </c>
      <c r="D167" s="4" t="s">
        <v>39</v>
      </c>
      <c r="E167" s="4" t="s">
        <v>24</v>
      </c>
      <c r="F167" s="4" t="s">
        <v>40</v>
      </c>
      <c r="G167" s="4" t="s">
        <v>26</v>
      </c>
      <c r="H167" s="4" t="s">
        <v>760</v>
      </c>
      <c r="I167" s="4" t="s">
        <v>28</v>
      </c>
      <c r="J167" s="4" t="s">
        <v>79</v>
      </c>
      <c r="K167" s="4" t="s">
        <v>101</v>
      </c>
      <c r="L167" s="4" t="s">
        <v>704</v>
      </c>
      <c r="M167" s="4" t="s">
        <v>95</v>
      </c>
      <c r="N167" s="4" t="s">
        <v>54</v>
      </c>
      <c r="O167" s="4" t="s">
        <v>120</v>
      </c>
      <c r="P167" s="4" t="s">
        <v>35</v>
      </c>
      <c r="Q167" s="4">
        <v>5</v>
      </c>
      <c r="R167" s="4">
        <v>34489</v>
      </c>
      <c r="S167" s="5">
        <v>0</v>
      </c>
      <c r="T167" s="6">
        <f t="shared" si="6"/>
        <v>172445</v>
      </c>
      <c r="U167" s="4">
        <v>23245.17</v>
      </c>
      <c r="V167" t="str">
        <f t="shared" si="7"/>
        <v>Sep</v>
      </c>
      <c r="W167">
        <f t="shared" si="8"/>
        <v>0.13479758763663777</v>
      </c>
    </row>
    <row r="168" spans="1:23" x14ac:dyDescent="0.4">
      <c r="A168" s="4" t="s">
        <v>761</v>
      </c>
      <c r="B168" s="4" t="s">
        <v>762</v>
      </c>
      <c r="C168" s="11">
        <v>45196</v>
      </c>
      <c r="D168" s="4" t="s">
        <v>98</v>
      </c>
      <c r="E168" s="4" t="s">
        <v>24</v>
      </c>
      <c r="F168" s="4" t="s">
        <v>70</v>
      </c>
      <c r="G168" s="4" t="s">
        <v>26</v>
      </c>
      <c r="H168" s="4" t="s">
        <v>763</v>
      </c>
      <c r="I168" s="4" t="s">
        <v>28</v>
      </c>
      <c r="J168" s="4" t="s">
        <v>62</v>
      </c>
      <c r="K168" s="4" t="s">
        <v>63</v>
      </c>
      <c r="L168" s="4" t="s">
        <v>764</v>
      </c>
      <c r="M168" s="4" t="s">
        <v>32</v>
      </c>
      <c r="N168" s="4" t="s">
        <v>33</v>
      </c>
      <c r="O168" s="4" t="s">
        <v>120</v>
      </c>
      <c r="P168" s="4" t="s">
        <v>74</v>
      </c>
      <c r="Q168" s="4">
        <v>4</v>
      </c>
      <c r="R168" s="4">
        <v>32817</v>
      </c>
      <c r="S168" s="5">
        <v>15</v>
      </c>
      <c r="T168" s="6">
        <f t="shared" si="6"/>
        <v>111577.8</v>
      </c>
      <c r="U168" s="4">
        <v>-11064.66</v>
      </c>
      <c r="V168" t="str">
        <f t="shared" si="7"/>
        <v>Sep</v>
      </c>
      <c r="W168">
        <f t="shared" si="8"/>
        <v>-9.9165425380317584E-2</v>
      </c>
    </row>
    <row r="169" spans="1:23" x14ac:dyDescent="0.4">
      <c r="A169" s="4" t="s">
        <v>765</v>
      </c>
      <c r="B169" s="4" t="s">
        <v>766</v>
      </c>
      <c r="C169" s="11">
        <v>45094</v>
      </c>
      <c r="D169" s="4" t="s">
        <v>124</v>
      </c>
      <c r="E169" s="4" t="s">
        <v>24</v>
      </c>
      <c r="F169" s="4" t="s">
        <v>26</v>
      </c>
      <c r="G169" s="4" t="s">
        <v>41</v>
      </c>
      <c r="H169" s="4" t="s">
        <v>767</v>
      </c>
      <c r="I169" s="4" t="s">
        <v>28</v>
      </c>
      <c r="J169" s="4" t="s">
        <v>79</v>
      </c>
      <c r="K169" s="4" t="s">
        <v>101</v>
      </c>
      <c r="L169" s="4" t="s">
        <v>218</v>
      </c>
      <c r="M169" s="4" t="s">
        <v>53</v>
      </c>
      <c r="N169" s="4" t="s">
        <v>33</v>
      </c>
      <c r="O169" s="4" t="s">
        <v>66</v>
      </c>
      <c r="P169" s="4" t="s">
        <v>74</v>
      </c>
      <c r="Q169" s="4">
        <v>1</v>
      </c>
      <c r="R169" s="4">
        <v>17690</v>
      </c>
      <c r="S169" s="5">
        <v>10</v>
      </c>
      <c r="T169" s="6">
        <f t="shared" si="6"/>
        <v>15921</v>
      </c>
      <c r="U169" s="4">
        <v>1869.6</v>
      </c>
      <c r="V169" t="str">
        <f t="shared" si="7"/>
        <v>Jun</v>
      </c>
      <c r="W169">
        <f t="shared" si="8"/>
        <v>0.11742980968532127</v>
      </c>
    </row>
    <row r="170" spans="1:23" x14ac:dyDescent="0.4">
      <c r="A170" s="4" t="s">
        <v>768</v>
      </c>
      <c r="B170" s="4" t="s">
        <v>541</v>
      </c>
      <c r="C170" s="11">
        <v>45205</v>
      </c>
      <c r="D170" s="4" t="s">
        <v>23</v>
      </c>
      <c r="E170" s="4" t="s">
        <v>24</v>
      </c>
      <c r="F170" s="4" t="s">
        <v>58</v>
      </c>
      <c r="G170" s="4" t="s">
        <v>59</v>
      </c>
      <c r="H170" s="4" t="s">
        <v>769</v>
      </c>
      <c r="I170" s="4" t="s">
        <v>28</v>
      </c>
      <c r="J170" s="4" t="s">
        <v>29</v>
      </c>
      <c r="K170" s="4" t="s">
        <v>101</v>
      </c>
      <c r="L170" s="4" t="s">
        <v>770</v>
      </c>
      <c r="M170" s="4" t="s">
        <v>65</v>
      </c>
      <c r="N170" s="4" t="s">
        <v>54</v>
      </c>
      <c r="O170" s="4" t="s">
        <v>34</v>
      </c>
      <c r="P170" s="4" t="s">
        <v>88</v>
      </c>
      <c r="Q170" s="4">
        <v>10</v>
      </c>
      <c r="R170" s="4">
        <v>1975</v>
      </c>
      <c r="S170" s="5">
        <v>5</v>
      </c>
      <c r="T170" s="6">
        <f t="shared" si="6"/>
        <v>18762.5</v>
      </c>
      <c r="U170" s="4">
        <v>1610.89</v>
      </c>
      <c r="V170" t="str">
        <f t="shared" si="7"/>
        <v>Sep</v>
      </c>
      <c r="W170">
        <f t="shared" si="8"/>
        <v>8.5856895403064626E-2</v>
      </c>
    </row>
    <row r="171" spans="1:23" x14ac:dyDescent="0.4">
      <c r="A171" s="4" t="s">
        <v>771</v>
      </c>
      <c r="B171" s="4" t="s">
        <v>689</v>
      </c>
      <c r="C171" s="11">
        <v>45220</v>
      </c>
      <c r="D171" s="4" t="s">
        <v>23</v>
      </c>
      <c r="E171" s="4" t="s">
        <v>24</v>
      </c>
      <c r="F171" s="4" t="s">
        <v>25</v>
      </c>
      <c r="G171" s="4" t="s">
        <v>41</v>
      </c>
      <c r="H171" s="4" t="s">
        <v>772</v>
      </c>
      <c r="I171" s="4" t="s">
        <v>43</v>
      </c>
      <c r="J171" s="4" t="s">
        <v>29</v>
      </c>
      <c r="K171" s="4" t="s">
        <v>30</v>
      </c>
      <c r="L171" s="4" t="s">
        <v>315</v>
      </c>
      <c r="M171" s="4" t="s">
        <v>95</v>
      </c>
      <c r="N171" s="4" t="s">
        <v>33</v>
      </c>
      <c r="O171" s="4" t="s">
        <v>120</v>
      </c>
      <c r="P171" s="4" t="s">
        <v>74</v>
      </c>
      <c r="Q171" s="4">
        <v>4</v>
      </c>
      <c r="R171" s="4">
        <v>11211</v>
      </c>
      <c r="S171" s="5">
        <v>5</v>
      </c>
      <c r="T171" s="6">
        <f t="shared" si="6"/>
        <v>42601.8</v>
      </c>
      <c r="U171" s="4">
        <v>6092.62</v>
      </c>
      <c r="V171" t="str">
        <f t="shared" si="7"/>
        <v>Oct</v>
      </c>
      <c r="W171">
        <f t="shared" si="8"/>
        <v>0.14301320601476933</v>
      </c>
    </row>
    <row r="172" spans="1:23" x14ac:dyDescent="0.4">
      <c r="A172" s="4" t="s">
        <v>773</v>
      </c>
      <c r="B172" s="4" t="s">
        <v>435</v>
      </c>
      <c r="C172" s="11">
        <v>45525</v>
      </c>
      <c r="D172" s="4" t="s">
        <v>39</v>
      </c>
      <c r="E172" s="4" t="s">
        <v>24</v>
      </c>
      <c r="F172" s="4" t="s">
        <v>26</v>
      </c>
      <c r="G172" s="4" t="s">
        <v>92</v>
      </c>
      <c r="H172" s="4" t="s">
        <v>774</v>
      </c>
      <c r="I172" s="4" t="s">
        <v>28</v>
      </c>
      <c r="J172" s="4" t="s">
        <v>29</v>
      </c>
      <c r="K172" s="4" t="s">
        <v>153</v>
      </c>
      <c r="L172" s="4" t="s">
        <v>775</v>
      </c>
      <c r="M172" s="4" t="s">
        <v>53</v>
      </c>
      <c r="N172" s="4" t="s">
        <v>33</v>
      </c>
      <c r="O172" s="4" t="s">
        <v>120</v>
      </c>
      <c r="P172" s="4" t="s">
        <v>88</v>
      </c>
      <c r="Q172" s="4">
        <v>9</v>
      </c>
      <c r="R172" s="4">
        <v>37631</v>
      </c>
      <c r="S172" s="5">
        <v>0</v>
      </c>
      <c r="T172" s="6">
        <f t="shared" si="6"/>
        <v>338679</v>
      </c>
      <c r="U172" s="4">
        <v>88302.25</v>
      </c>
      <c r="V172" t="str">
        <f t="shared" si="7"/>
        <v>Aug</v>
      </c>
      <c r="W172">
        <f t="shared" si="8"/>
        <v>0.26072549523294919</v>
      </c>
    </row>
    <row r="173" spans="1:23" x14ac:dyDescent="0.4">
      <c r="A173" s="4" t="s">
        <v>776</v>
      </c>
      <c r="B173" s="4" t="s">
        <v>777</v>
      </c>
      <c r="C173" s="11">
        <v>44701</v>
      </c>
      <c r="D173" s="4" t="s">
        <v>98</v>
      </c>
      <c r="E173" s="4" t="s">
        <v>24</v>
      </c>
      <c r="F173" s="4" t="s">
        <v>70</v>
      </c>
      <c r="G173" s="4" t="s">
        <v>26</v>
      </c>
      <c r="H173" s="4" t="s">
        <v>778</v>
      </c>
      <c r="I173" s="4" t="s">
        <v>43</v>
      </c>
      <c r="J173" s="4" t="s">
        <v>79</v>
      </c>
      <c r="K173" s="4" t="s">
        <v>86</v>
      </c>
      <c r="L173" s="4" t="s">
        <v>472</v>
      </c>
      <c r="M173" s="4" t="s">
        <v>53</v>
      </c>
      <c r="N173" s="4" t="s">
        <v>54</v>
      </c>
      <c r="O173" s="4" t="s">
        <v>82</v>
      </c>
      <c r="P173" s="4" t="s">
        <v>88</v>
      </c>
      <c r="Q173" s="4">
        <v>1</v>
      </c>
      <c r="R173" s="4">
        <v>13444</v>
      </c>
      <c r="S173" s="5">
        <v>10</v>
      </c>
      <c r="T173" s="6">
        <f t="shared" si="6"/>
        <v>12099.6</v>
      </c>
      <c r="U173" s="4">
        <v>1227.96</v>
      </c>
      <c r="V173" t="str">
        <f t="shared" si="7"/>
        <v>May</v>
      </c>
      <c r="W173">
        <f t="shared" si="8"/>
        <v>0.10148765248437965</v>
      </c>
    </row>
    <row r="174" spans="1:23" x14ac:dyDescent="0.4">
      <c r="A174" s="4" t="s">
        <v>779</v>
      </c>
      <c r="B174" s="4" t="s">
        <v>780</v>
      </c>
      <c r="C174" s="11">
        <v>45105</v>
      </c>
      <c r="D174" s="4" t="s">
        <v>23</v>
      </c>
      <c r="E174" s="4" t="s">
        <v>24</v>
      </c>
      <c r="F174" s="4" t="s">
        <v>70</v>
      </c>
      <c r="G174" s="4" t="s">
        <v>59</v>
      </c>
      <c r="H174" s="4" t="s">
        <v>782</v>
      </c>
      <c r="I174" s="4" t="s">
        <v>43</v>
      </c>
      <c r="J174" s="4" t="s">
        <v>29</v>
      </c>
      <c r="K174" s="4" t="s">
        <v>101</v>
      </c>
      <c r="L174" s="4" t="s">
        <v>218</v>
      </c>
      <c r="M174" s="4" t="s">
        <v>95</v>
      </c>
      <c r="N174" s="4" t="s">
        <v>33</v>
      </c>
      <c r="O174" s="4" t="s">
        <v>66</v>
      </c>
      <c r="P174" s="4" t="s">
        <v>74</v>
      </c>
      <c r="Q174" s="4">
        <v>1</v>
      </c>
      <c r="R174" s="4">
        <v>47482</v>
      </c>
      <c r="S174" s="5">
        <v>20</v>
      </c>
      <c r="T174" s="6">
        <f t="shared" si="6"/>
        <v>37985.599999999999</v>
      </c>
      <c r="U174" s="4">
        <v>389.27</v>
      </c>
      <c r="V174" t="str">
        <f t="shared" si="7"/>
        <v>Jun</v>
      </c>
      <c r="W174">
        <f t="shared" si="8"/>
        <v>1.0247830756918411E-2</v>
      </c>
    </row>
    <row r="175" spans="1:23" x14ac:dyDescent="0.4">
      <c r="A175" s="4" t="s">
        <v>783</v>
      </c>
      <c r="B175" s="4" t="s">
        <v>784</v>
      </c>
      <c r="C175" s="11">
        <v>45443</v>
      </c>
      <c r="D175" s="4" t="s">
        <v>124</v>
      </c>
      <c r="E175" s="4" t="s">
        <v>24</v>
      </c>
      <c r="F175" s="4" t="s">
        <v>40</v>
      </c>
      <c r="G175" s="4" t="s">
        <v>92</v>
      </c>
      <c r="H175" s="4" t="s">
        <v>785</v>
      </c>
      <c r="I175" s="4" t="s">
        <v>28</v>
      </c>
      <c r="J175" s="4" t="s">
        <v>29</v>
      </c>
      <c r="K175" s="4" t="s">
        <v>153</v>
      </c>
      <c r="L175" s="4" t="s">
        <v>494</v>
      </c>
      <c r="M175" s="4" t="s">
        <v>73</v>
      </c>
      <c r="N175" s="4" t="s">
        <v>33</v>
      </c>
      <c r="O175" s="4" t="s">
        <v>46</v>
      </c>
      <c r="P175" s="4" t="s">
        <v>35</v>
      </c>
      <c r="Q175" s="4">
        <v>4</v>
      </c>
      <c r="R175" s="4">
        <v>42146</v>
      </c>
      <c r="S175" s="5">
        <v>20</v>
      </c>
      <c r="T175" s="6">
        <f t="shared" si="6"/>
        <v>134867.20000000001</v>
      </c>
      <c r="U175" s="4">
        <v>14623.41</v>
      </c>
      <c r="V175" t="str">
        <f t="shared" si="7"/>
        <v>May</v>
      </c>
      <c r="W175">
        <f t="shared" si="8"/>
        <v>0.10842821679400179</v>
      </c>
    </row>
    <row r="176" spans="1:23" x14ac:dyDescent="0.4">
      <c r="A176" s="4" t="s">
        <v>786</v>
      </c>
      <c r="B176" s="4" t="s">
        <v>787</v>
      </c>
      <c r="C176" s="11">
        <v>44934</v>
      </c>
      <c r="D176" s="4" t="s">
        <v>124</v>
      </c>
      <c r="E176" s="4" t="s">
        <v>24</v>
      </c>
      <c r="F176" s="4" t="s">
        <v>40</v>
      </c>
      <c r="G176" s="4" t="s">
        <v>41</v>
      </c>
      <c r="H176" s="4" t="s">
        <v>788</v>
      </c>
      <c r="I176" s="4" t="s">
        <v>28</v>
      </c>
      <c r="J176" s="4" t="s">
        <v>79</v>
      </c>
      <c r="K176" s="4" t="s">
        <v>101</v>
      </c>
      <c r="L176" s="4" t="s">
        <v>171</v>
      </c>
      <c r="M176" s="4" t="s">
        <v>65</v>
      </c>
      <c r="N176" s="4" t="s">
        <v>33</v>
      </c>
      <c r="O176" s="4" t="s">
        <v>46</v>
      </c>
      <c r="P176" s="4" t="s">
        <v>88</v>
      </c>
      <c r="Q176" s="4">
        <v>10</v>
      </c>
      <c r="R176" s="4">
        <v>48186</v>
      </c>
      <c r="S176" s="5">
        <v>5</v>
      </c>
      <c r="T176" s="6">
        <f t="shared" si="6"/>
        <v>457767</v>
      </c>
      <c r="U176" s="4">
        <v>30083.48</v>
      </c>
      <c r="V176" t="str">
        <f t="shared" si="7"/>
        <v>Dec</v>
      </c>
      <c r="W176">
        <f t="shared" si="8"/>
        <v>6.5717887047340676E-2</v>
      </c>
    </row>
    <row r="177" spans="1:23" x14ac:dyDescent="0.4">
      <c r="A177" s="4" t="s">
        <v>789</v>
      </c>
      <c r="B177" s="4" t="s">
        <v>790</v>
      </c>
      <c r="C177" s="11">
        <v>45194</v>
      </c>
      <c r="D177" s="4" t="s">
        <v>98</v>
      </c>
      <c r="E177" s="4" t="s">
        <v>24</v>
      </c>
      <c r="F177" s="4" t="s">
        <v>25</v>
      </c>
      <c r="G177" s="4" t="s">
        <v>59</v>
      </c>
      <c r="H177" s="4" t="s">
        <v>791</v>
      </c>
      <c r="I177" s="4" t="s">
        <v>43</v>
      </c>
      <c r="J177" s="4" t="s">
        <v>29</v>
      </c>
      <c r="K177" s="4" t="s">
        <v>63</v>
      </c>
      <c r="L177" s="4" t="s">
        <v>792</v>
      </c>
      <c r="M177" s="4" t="s">
        <v>95</v>
      </c>
      <c r="N177" s="4" t="s">
        <v>33</v>
      </c>
      <c r="O177" s="4" t="s">
        <v>120</v>
      </c>
      <c r="P177" s="4" t="s">
        <v>74</v>
      </c>
      <c r="Q177" s="4">
        <v>2</v>
      </c>
      <c r="R177" s="4">
        <v>29157</v>
      </c>
      <c r="S177" s="5">
        <v>20</v>
      </c>
      <c r="T177" s="6">
        <f t="shared" si="6"/>
        <v>46651.199999999997</v>
      </c>
      <c r="U177" s="4">
        <v>-4229.54</v>
      </c>
      <c r="V177" t="str">
        <f t="shared" si="7"/>
        <v>Sep</v>
      </c>
      <c r="W177">
        <f t="shared" si="8"/>
        <v>-9.0663048324587589E-2</v>
      </c>
    </row>
    <row r="178" spans="1:23" x14ac:dyDescent="0.4">
      <c r="A178" s="4" t="s">
        <v>793</v>
      </c>
      <c r="B178" s="4" t="s">
        <v>794</v>
      </c>
      <c r="C178" s="11">
        <v>45450</v>
      </c>
      <c r="D178" s="4" t="s">
        <v>39</v>
      </c>
      <c r="E178" s="4" t="s">
        <v>24</v>
      </c>
      <c r="F178" s="4" t="s">
        <v>70</v>
      </c>
      <c r="G178" s="4" t="s">
        <v>92</v>
      </c>
      <c r="H178" s="4" t="s">
        <v>796</v>
      </c>
      <c r="I178" s="4" t="s">
        <v>43</v>
      </c>
      <c r="J178" s="4" t="s">
        <v>62</v>
      </c>
      <c r="K178" s="4" t="s">
        <v>86</v>
      </c>
      <c r="L178" s="4" t="s">
        <v>135</v>
      </c>
      <c r="M178" s="4" t="s">
        <v>53</v>
      </c>
      <c r="N178" s="4" t="s">
        <v>33</v>
      </c>
      <c r="O178" s="4" t="s">
        <v>82</v>
      </c>
      <c r="P178" s="4" t="s">
        <v>35</v>
      </c>
      <c r="Q178" s="4">
        <v>9</v>
      </c>
      <c r="R178" s="4">
        <v>15882</v>
      </c>
      <c r="S178" s="5">
        <v>10</v>
      </c>
      <c r="T178" s="6">
        <f t="shared" si="6"/>
        <v>128644.2</v>
      </c>
      <c r="U178" s="4">
        <v>2927.87</v>
      </c>
      <c r="V178" t="str">
        <f t="shared" si="7"/>
        <v>Jun</v>
      </c>
      <c r="W178">
        <f t="shared" si="8"/>
        <v>2.2759440378967728E-2</v>
      </c>
    </row>
    <row r="179" spans="1:23" x14ac:dyDescent="0.4">
      <c r="A179" s="4" t="s">
        <v>797</v>
      </c>
      <c r="B179" s="4" t="s">
        <v>398</v>
      </c>
      <c r="C179" s="11">
        <v>44742</v>
      </c>
      <c r="D179" s="4" t="s">
        <v>124</v>
      </c>
      <c r="E179" s="4" t="s">
        <v>24</v>
      </c>
      <c r="F179" s="4" t="s">
        <v>26</v>
      </c>
      <c r="G179" s="4" t="s">
        <v>59</v>
      </c>
      <c r="H179" s="4" t="s">
        <v>798</v>
      </c>
      <c r="I179" s="4" t="s">
        <v>43</v>
      </c>
      <c r="J179" s="4" t="s">
        <v>62</v>
      </c>
      <c r="K179" s="4" t="s">
        <v>101</v>
      </c>
      <c r="L179" s="4" t="s">
        <v>31</v>
      </c>
      <c r="M179" s="4" t="s">
        <v>53</v>
      </c>
      <c r="N179" s="4" t="s">
        <v>54</v>
      </c>
      <c r="O179" s="4" t="s">
        <v>34</v>
      </c>
      <c r="P179" s="4" t="s">
        <v>35</v>
      </c>
      <c r="Q179" s="4">
        <v>4</v>
      </c>
      <c r="R179" s="4">
        <v>42607</v>
      </c>
      <c r="S179" s="5">
        <v>10</v>
      </c>
      <c r="T179" s="6">
        <f t="shared" si="6"/>
        <v>153385.20000000001</v>
      </c>
      <c r="U179" s="4">
        <v>9626.74</v>
      </c>
      <c r="V179" t="str">
        <f t="shared" si="7"/>
        <v>Jun</v>
      </c>
      <c r="W179">
        <f t="shared" si="8"/>
        <v>6.2761857076171615E-2</v>
      </c>
    </row>
    <row r="180" spans="1:23" x14ac:dyDescent="0.4">
      <c r="A180" s="4" t="s">
        <v>799</v>
      </c>
      <c r="B180" s="4" t="s">
        <v>800</v>
      </c>
      <c r="C180" s="11">
        <v>44677</v>
      </c>
      <c r="D180" s="4" t="s">
        <v>98</v>
      </c>
      <c r="E180" s="4" t="s">
        <v>24</v>
      </c>
      <c r="F180" s="4" t="s">
        <v>25</v>
      </c>
      <c r="G180" s="4" t="s">
        <v>41</v>
      </c>
      <c r="H180" s="4" t="s">
        <v>801</v>
      </c>
      <c r="I180" s="4" t="s">
        <v>61</v>
      </c>
      <c r="J180" s="4" t="s">
        <v>79</v>
      </c>
      <c r="K180" s="4" t="s">
        <v>153</v>
      </c>
      <c r="L180" s="4" t="s">
        <v>559</v>
      </c>
      <c r="M180" s="4" t="s">
        <v>73</v>
      </c>
      <c r="N180" s="4" t="s">
        <v>54</v>
      </c>
      <c r="O180" s="4" t="s">
        <v>82</v>
      </c>
      <c r="P180" s="4" t="s">
        <v>47</v>
      </c>
      <c r="Q180" s="4">
        <v>6</v>
      </c>
      <c r="R180" s="4">
        <v>44727</v>
      </c>
      <c r="S180" s="5">
        <v>15</v>
      </c>
      <c r="T180" s="6">
        <f t="shared" si="6"/>
        <v>228107.7</v>
      </c>
      <c r="U180" s="4">
        <v>-21694.01</v>
      </c>
      <c r="V180" t="str">
        <f t="shared" si="7"/>
        <v>Apr</v>
      </c>
      <c r="W180">
        <f t="shared" si="8"/>
        <v>-9.5104242425836552E-2</v>
      </c>
    </row>
    <row r="181" spans="1:23" x14ac:dyDescent="0.4">
      <c r="A181" s="4" t="s">
        <v>802</v>
      </c>
      <c r="B181" s="4" t="s">
        <v>803</v>
      </c>
      <c r="C181" s="11">
        <v>45224</v>
      </c>
      <c r="D181" s="4" t="s">
        <v>39</v>
      </c>
      <c r="E181" s="4" t="s">
        <v>24</v>
      </c>
      <c r="F181" s="4" t="s">
        <v>25</v>
      </c>
      <c r="G181" s="4" t="s">
        <v>99</v>
      </c>
      <c r="H181" s="4" t="s">
        <v>804</v>
      </c>
      <c r="I181" s="4" t="s">
        <v>43</v>
      </c>
      <c r="J181" s="4" t="s">
        <v>79</v>
      </c>
      <c r="K181" s="4" t="s">
        <v>86</v>
      </c>
      <c r="L181" s="4" t="s">
        <v>805</v>
      </c>
      <c r="M181" s="4" t="s">
        <v>53</v>
      </c>
      <c r="N181" s="4" t="s">
        <v>33</v>
      </c>
      <c r="O181" s="4" t="s">
        <v>82</v>
      </c>
      <c r="P181" s="4" t="s">
        <v>47</v>
      </c>
      <c r="Q181" s="4">
        <v>5</v>
      </c>
      <c r="R181" s="4">
        <v>27654</v>
      </c>
      <c r="S181" s="5">
        <v>10</v>
      </c>
      <c r="T181" s="6">
        <f t="shared" si="6"/>
        <v>124443</v>
      </c>
      <c r="U181" s="4">
        <v>-2654.71</v>
      </c>
      <c r="V181" t="str">
        <f t="shared" si="7"/>
        <v>Oct</v>
      </c>
      <c r="W181">
        <f t="shared" si="8"/>
        <v>-2.1332738683574007E-2</v>
      </c>
    </row>
    <row r="182" spans="1:23" x14ac:dyDescent="0.4">
      <c r="A182" s="4" t="s">
        <v>806</v>
      </c>
      <c r="B182" s="4" t="s">
        <v>697</v>
      </c>
      <c r="C182" s="11">
        <v>45383</v>
      </c>
      <c r="D182" s="4" t="s">
        <v>23</v>
      </c>
      <c r="E182" s="4" t="s">
        <v>24</v>
      </c>
      <c r="F182" s="4" t="s">
        <v>40</v>
      </c>
      <c r="G182" s="4" t="s">
        <v>92</v>
      </c>
      <c r="H182" s="4" t="s">
        <v>807</v>
      </c>
      <c r="I182" s="4" t="s">
        <v>43</v>
      </c>
      <c r="J182" s="4" t="s">
        <v>62</v>
      </c>
      <c r="K182" s="4" t="s">
        <v>101</v>
      </c>
      <c r="L182" s="4" t="s">
        <v>808</v>
      </c>
      <c r="M182" s="4" t="s">
        <v>32</v>
      </c>
      <c r="N182" s="4" t="s">
        <v>54</v>
      </c>
      <c r="O182" s="4" t="s">
        <v>82</v>
      </c>
      <c r="P182" s="4" t="s">
        <v>88</v>
      </c>
      <c r="Q182" s="4">
        <v>7</v>
      </c>
      <c r="R182" s="4">
        <v>15287</v>
      </c>
      <c r="S182" s="5">
        <v>15</v>
      </c>
      <c r="T182" s="6">
        <f t="shared" si="6"/>
        <v>90957.65</v>
      </c>
      <c r="U182" s="4">
        <v>-1583.66</v>
      </c>
      <c r="V182" t="str">
        <f t="shared" si="7"/>
        <v>Mar</v>
      </c>
      <c r="W182">
        <f t="shared" si="8"/>
        <v>-1.7410959935750321E-2</v>
      </c>
    </row>
    <row r="183" spans="1:23" x14ac:dyDescent="0.4">
      <c r="A183" s="4" t="s">
        <v>809</v>
      </c>
      <c r="B183" s="4" t="s">
        <v>810</v>
      </c>
      <c r="C183" s="11">
        <v>45425</v>
      </c>
      <c r="D183" s="4" t="s">
        <v>23</v>
      </c>
      <c r="E183" s="4" t="s">
        <v>24</v>
      </c>
      <c r="F183" s="4" t="s">
        <v>40</v>
      </c>
      <c r="G183" s="4" t="s">
        <v>41</v>
      </c>
      <c r="H183" s="4" t="s">
        <v>811</v>
      </c>
      <c r="I183" s="4" t="s">
        <v>43</v>
      </c>
      <c r="J183" s="4" t="s">
        <v>79</v>
      </c>
      <c r="K183" s="4" t="s">
        <v>153</v>
      </c>
      <c r="L183" s="4" t="s">
        <v>812</v>
      </c>
      <c r="M183" s="4" t="s">
        <v>81</v>
      </c>
      <c r="N183" s="4" t="s">
        <v>33</v>
      </c>
      <c r="O183" s="4" t="s">
        <v>120</v>
      </c>
      <c r="P183" s="4" t="s">
        <v>74</v>
      </c>
      <c r="Q183" s="4">
        <v>5</v>
      </c>
      <c r="R183" s="4">
        <v>34923</v>
      </c>
      <c r="S183" s="5">
        <v>10</v>
      </c>
      <c r="T183" s="6">
        <f t="shared" si="6"/>
        <v>157153.5</v>
      </c>
      <c r="U183" s="4">
        <v>26007.11</v>
      </c>
      <c r="V183" t="str">
        <f t="shared" si="7"/>
        <v>May</v>
      </c>
      <c r="W183">
        <f t="shared" si="8"/>
        <v>0.1654885828187091</v>
      </c>
    </row>
    <row r="184" spans="1:23" x14ac:dyDescent="0.4">
      <c r="A184" s="4" t="s">
        <v>813</v>
      </c>
      <c r="B184" s="4" t="s">
        <v>814</v>
      </c>
      <c r="C184" s="11">
        <v>45547</v>
      </c>
      <c r="D184" s="4" t="s">
        <v>23</v>
      </c>
      <c r="E184" s="4" t="s">
        <v>24</v>
      </c>
      <c r="F184" s="4" t="s">
        <v>40</v>
      </c>
      <c r="G184" s="4" t="s">
        <v>59</v>
      </c>
      <c r="H184" s="4" t="s">
        <v>815</v>
      </c>
      <c r="I184" s="4" t="s">
        <v>28</v>
      </c>
      <c r="J184" s="4" t="s">
        <v>79</v>
      </c>
      <c r="K184" s="4" t="s">
        <v>44</v>
      </c>
      <c r="L184" s="4" t="s">
        <v>181</v>
      </c>
      <c r="M184" s="4" t="s">
        <v>81</v>
      </c>
      <c r="N184" s="4" t="s">
        <v>54</v>
      </c>
      <c r="O184" s="4" t="s">
        <v>82</v>
      </c>
      <c r="P184" s="4" t="s">
        <v>47</v>
      </c>
      <c r="Q184" s="4">
        <v>10</v>
      </c>
      <c r="R184" s="4">
        <v>2961</v>
      </c>
      <c r="S184" s="5">
        <v>10</v>
      </c>
      <c r="T184" s="6">
        <f t="shared" si="6"/>
        <v>26649</v>
      </c>
      <c r="U184" s="4">
        <v>1417.88</v>
      </c>
      <c r="V184" t="str">
        <f t="shared" si="7"/>
        <v>Sep</v>
      </c>
      <c r="W184">
        <f t="shared" si="8"/>
        <v>5.3205748808585696E-2</v>
      </c>
    </row>
    <row r="185" spans="1:23" x14ac:dyDescent="0.4">
      <c r="A185" s="4" t="s">
        <v>816</v>
      </c>
      <c r="B185" s="4" t="s">
        <v>322</v>
      </c>
      <c r="C185" s="11">
        <v>45428</v>
      </c>
      <c r="D185" s="4" t="s">
        <v>23</v>
      </c>
      <c r="E185" s="4" t="s">
        <v>24</v>
      </c>
      <c r="F185" s="4" t="s">
        <v>26</v>
      </c>
      <c r="G185" s="4" t="s">
        <v>41</v>
      </c>
      <c r="H185" s="4" t="s">
        <v>817</v>
      </c>
      <c r="I185" s="4" t="s">
        <v>61</v>
      </c>
      <c r="J185" s="4" t="s">
        <v>29</v>
      </c>
      <c r="K185" s="4" t="s">
        <v>86</v>
      </c>
      <c r="L185" s="4" t="s">
        <v>583</v>
      </c>
      <c r="M185" s="4" t="s">
        <v>73</v>
      </c>
      <c r="N185" s="4" t="s">
        <v>54</v>
      </c>
      <c r="O185" s="4" t="s">
        <v>120</v>
      </c>
      <c r="P185" s="4" t="s">
        <v>74</v>
      </c>
      <c r="Q185" s="4">
        <v>8</v>
      </c>
      <c r="R185" s="4">
        <v>45439</v>
      </c>
      <c r="S185" s="5">
        <v>10</v>
      </c>
      <c r="T185" s="6">
        <f t="shared" si="6"/>
        <v>327160.8</v>
      </c>
      <c r="U185" s="4">
        <v>34324.92</v>
      </c>
      <c r="V185" t="str">
        <f t="shared" si="7"/>
        <v>May</v>
      </c>
      <c r="W185">
        <f t="shared" si="8"/>
        <v>0.10491758181298004</v>
      </c>
    </row>
    <row r="186" spans="1:23" x14ac:dyDescent="0.4">
      <c r="A186" s="4" t="s">
        <v>818</v>
      </c>
      <c r="B186" s="4" t="s">
        <v>819</v>
      </c>
      <c r="C186" s="11">
        <v>44764</v>
      </c>
      <c r="D186" s="4" t="s">
        <v>124</v>
      </c>
      <c r="E186" s="4" t="s">
        <v>24</v>
      </c>
      <c r="F186" s="4" t="s">
        <v>70</v>
      </c>
      <c r="G186" s="4" t="s">
        <v>59</v>
      </c>
      <c r="H186" s="4" t="s">
        <v>821</v>
      </c>
      <c r="I186" s="4" t="s">
        <v>43</v>
      </c>
      <c r="J186" s="4" t="s">
        <v>79</v>
      </c>
      <c r="K186" s="4" t="s">
        <v>63</v>
      </c>
      <c r="L186" s="4" t="s">
        <v>822</v>
      </c>
      <c r="M186" s="4" t="s">
        <v>73</v>
      </c>
      <c r="N186" s="4" t="s">
        <v>33</v>
      </c>
      <c r="O186" s="4" t="s">
        <v>34</v>
      </c>
      <c r="P186" s="4" t="s">
        <v>88</v>
      </c>
      <c r="Q186" s="4">
        <v>2</v>
      </c>
      <c r="R186" s="4">
        <v>43985</v>
      </c>
      <c r="S186" s="5">
        <v>15</v>
      </c>
      <c r="T186" s="6">
        <f t="shared" si="6"/>
        <v>74774.5</v>
      </c>
      <c r="U186" s="4">
        <v>-6122.81</v>
      </c>
      <c r="V186" t="str">
        <f t="shared" si="7"/>
        <v>Jul</v>
      </c>
      <c r="W186">
        <f t="shared" si="8"/>
        <v>-8.1883663548402208E-2</v>
      </c>
    </row>
    <row r="187" spans="1:23" x14ac:dyDescent="0.4">
      <c r="A187" s="4" t="s">
        <v>823</v>
      </c>
      <c r="B187" s="4" t="s">
        <v>68</v>
      </c>
      <c r="C187" s="11">
        <v>44650</v>
      </c>
      <c r="D187" s="4" t="s">
        <v>124</v>
      </c>
      <c r="E187" s="4" t="s">
        <v>24</v>
      </c>
      <c r="F187" s="4" t="s">
        <v>25</v>
      </c>
      <c r="G187" s="4" t="s">
        <v>99</v>
      </c>
      <c r="H187" s="4" t="s">
        <v>825</v>
      </c>
      <c r="I187" s="4" t="s">
        <v>43</v>
      </c>
      <c r="J187" s="4" t="s">
        <v>62</v>
      </c>
      <c r="K187" s="4" t="s">
        <v>86</v>
      </c>
      <c r="L187" s="4" t="s">
        <v>826</v>
      </c>
      <c r="M187" s="4" t="s">
        <v>32</v>
      </c>
      <c r="N187" s="4" t="s">
        <v>33</v>
      </c>
      <c r="O187" s="4" t="s">
        <v>34</v>
      </c>
      <c r="P187" s="4" t="s">
        <v>47</v>
      </c>
      <c r="Q187" s="4">
        <v>10</v>
      </c>
      <c r="R187" s="4">
        <v>30708</v>
      </c>
      <c r="S187" s="5">
        <v>0</v>
      </c>
      <c r="T187" s="6">
        <f t="shared" si="6"/>
        <v>307080</v>
      </c>
      <c r="U187" s="4">
        <v>58716.49</v>
      </c>
      <c r="V187" t="str">
        <f t="shared" si="7"/>
        <v>Mar</v>
      </c>
      <c r="W187">
        <f t="shared" si="8"/>
        <v>0.1912090986062264</v>
      </c>
    </row>
    <row r="188" spans="1:23" x14ac:dyDescent="0.4">
      <c r="A188" s="4" t="s">
        <v>827</v>
      </c>
      <c r="B188" s="4" t="s">
        <v>394</v>
      </c>
      <c r="C188" s="11">
        <v>45002</v>
      </c>
      <c r="D188" s="4" t="s">
        <v>39</v>
      </c>
      <c r="E188" s="4" t="s">
        <v>24</v>
      </c>
      <c r="F188" s="4" t="s">
        <v>40</v>
      </c>
      <c r="G188" s="4" t="s">
        <v>92</v>
      </c>
      <c r="H188" s="4" t="s">
        <v>828</v>
      </c>
      <c r="I188" s="4" t="s">
        <v>28</v>
      </c>
      <c r="J188" s="4" t="s">
        <v>62</v>
      </c>
      <c r="K188" s="4" t="s">
        <v>63</v>
      </c>
      <c r="L188" s="4" t="s">
        <v>423</v>
      </c>
      <c r="M188" s="4" t="s">
        <v>65</v>
      </c>
      <c r="N188" s="4" t="s">
        <v>33</v>
      </c>
      <c r="O188" s="4" t="s">
        <v>82</v>
      </c>
      <c r="P188" s="4" t="s">
        <v>35</v>
      </c>
      <c r="Q188" s="4">
        <v>6</v>
      </c>
      <c r="R188" s="4">
        <v>2168</v>
      </c>
      <c r="S188" s="5">
        <v>15</v>
      </c>
      <c r="T188" s="6">
        <f t="shared" si="6"/>
        <v>11056.8</v>
      </c>
      <c r="U188" s="4">
        <v>240.31</v>
      </c>
      <c r="V188" t="str">
        <f t="shared" si="7"/>
        <v>Mar</v>
      </c>
      <c r="W188">
        <f t="shared" si="8"/>
        <v>2.1734136459011649E-2</v>
      </c>
    </row>
    <row r="189" spans="1:23" x14ac:dyDescent="0.4">
      <c r="A189" s="4" t="s">
        <v>829</v>
      </c>
      <c r="B189" s="4" t="s">
        <v>830</v>
      </c>
      <c r="C189" s="11">
        <v>44703</v>
      </c>
      <c r="D189" s="4" t="s">
        <v>98</v>
      </c>
      <c r="E189" s="4" t="s">
        <v>24</v>
      </c>
      <c r="F189" s="4" t="s">
        <v>25</v>
      </c>
      <c r="G189" s="4" t="s">
        <v>59</v>
      </c>
      <c r="H189" s="4" t="s">
        <v>831</v>
      </c>
      <c r="I189" s="4" t="s">
        <v>61</v>
      </c>
      <c r="J189" s="4" t="s">
        <v>62</v>
      </c>
      <c r="K189" s="4" t="s">
        <v>44</v>
      </c>
      <c r="L189" s="4" t="s">
        <v>64</v>
      </c>
      <c r="M189" s="4" t="s">
        <v>95</v>
      </c>
      <c r="N189" s="4" t="s">
        <v>33</v>
      </c>
      <c r="O189" s="4" t="s">
        <v>66</v>
      </c>
      <c r="P189" s="4" t="s">
        <v>88</v>
      </c>
      <c r="Q189" s="4">
        <v>3</v>
      </c>
      <c r="R189" s="4">
        <v>16459</v>
      </c>
      <c r="S189" s="5">
        <v>15</v>
      </c>
      <c r="T189" s="6">
        <f t="shared" si="6"/>
        <v>41970.45</v>
      </c>
      <c r="U189" s="4">
        <v>4881.57</v>
      </c>
      <c r="V189" t="str">
        <f t="shared" si="7"/>
        <v>May</v>
      </c>
      <c r="W189">
        <f t="shared" si="8"/>
        <v>0.11630968931712669</v>
      </c>
    </row>
    <row r="190" spans="1:23" x14ac:dyDescent="0.4">
      <c r="A190" s="4" t="s">
        <v>832</v>
      </c>
      <c r="B190" s="4" t="s">
        <v>833</v>
      </c>
      <c r="C190" s="11">
        <v>45314</v>
      </c>
      <c r="D190" s="4" t="s">
        <v>98</v>
      </c>
      <c r="E190" s="4" t="s">
        <v>24</v>
      </c>
      <c r="F190" s="4" t="s">
        <v>70</v>
      </c>
      <c r="G190" s="4" t="s">
        <v>92</v>
      </c>
      <c r="H190" s="4" t="s">
        <v>835</v>
      </c>
      <c r="I190" s="4" t="s">
        <v>61</v>
      </c>
      <c r="J190" s="4" t="s">
        <v>29</v>
      </c>
      <c r="K190" s="4" t="s">
        <v>44</v>
      </c>
      <c r="L190" s="4" t="s">
        <v>163</v>
      </c>
      <c r="M190" s="4" t="s">
        <v>53</v>
      </c>
      <c r="N190" s="4" t="s">
        <v>33</v>
      </c>
      <c r="O190" s="4" t="s">
        <v>82</v>
      </c>
      <c r="P190" s="4" t="s">
        <v>88</v>
      </c>
      <c r="Q190" s="4">
        <v>9</v>
      </c>
      <c r="R190" s="4">
        <v>27586</v>
      </c>
      <c r="S190" s="5">
        <v>0</v>
      </c>
      <c r="T190" s="6">
        <f t="shared" si="6"/>
        <v>248274</v>
      </c>
      <c r="U190" s="4">
        <v>71414.63</v>
      </c>
      <c r="V190" t="str">
        <f t="shared" si="7"/>
        <v>Jan</v>
      </c>
      <c r="W190">
        <f t="shared" si="8"/>
        <v>0.28764441705535015</v>
      </c>
    </row>
    <row r="191" spans="1:23" x14ac:dyDescent="0.4">
      <c r="A191" s="4" t="s">
        <v>836</v>
      </c>
      <c r="B191" s="4" t="s">
        <v>837</v>
      </c>
      <c r="C191" s="11">
        <v>45402</v>
      </c>
      <c r="D191" s="4" t="s">
        <v>39</v>
      </c>
      <c r="E191" s="4" t="s">
        <v>24</v>
      </c>
      <c r="F191" s="4" t="s">
        <v>26</v>
      </c>
      <c r="G191" s="4" t="s">
        <v>92</v>
      </c>
      <c r="H191" s="4" t="s">
        <v>838</v>
      </c>
      <c r="I191" s="4" t="s">
        <v>28</v>
      </c>
      <c r="J191" s="4" t="s">
        <v>29</v>
      </c>
      <c r="K191" s="4" t="s">
        <v>153</v>
      </c>
      <c r="L191" s="4" t="s">
        <v>839</v>
      </c>
      <c r="M191" s="4" t="s">
        <v>32</v>
      </c>
      <c r="N191" s="4" t="s">
        <v>33</v>
      </c>
      <c r="O191" s="4" t="s">
        <v>82</v>
      </c>
      <c r="P191" s="4" t="s">
        <v>74</v>
      </c>
      <c r="Q191" s="4">
        <v>9</v>
      </c>
      <c r="R191" s="4">
        <v>15801</v>
      </c>
      <c r="S191" s="5">
        <v>20</v>
      </c>
      <c r="T191" s="6">
        <f t="shared" si="6"/>
        <v>113767.2</v>
      </c>
      <c r="U191" s="4">
        <v>13119.23</v>
      </c>
      <c r="V191" t="str">
        <f t="shared" si="7"/>
        <v>Apr</v>
      </c>
      <c r="W191">
        <f t="shared" si="8"/>
        <v>0.11531645324838793</v>
      </c>
    </row>
    <row r="192" spans="1:23" x14ac:dyDescent="0.4">
      <c r="A192" s="4" t="s">
        <v>840</v>
      </c>
      <c r="B192" s="4" t="s">
        <v>841</v>
      </c>
      <c r="C192" s="11">
        <v>44909</v>
      </c>
      <c r="D192" s="4" t="s">
        <v>124</v>
      </c>
      <c r="E192" s="4" t="s">
        <v>24</v>
      </c>
      <c r="F192" s="4" t="s">
        <v>70</v>
      </c>
      <c r="G192" s="4" t="s">
        <v>92</v>
      </c>
      <c r="H192" s="4" t="s">
        <v>842</v>
      </c>
      <c r="I192" s="4" t="s">
        <v>43</v>
      </c>
      <c r="J192" s="4" t="s">
        <v>29</v>
      </c>
      <c r="K192" s="4" t="s">
        <v>44</v>
      </c>
      <c r="L192" s="4" t="s">
        <v>843</v>
      </c>
      <c r="M192" s="4" t="s">
        <v>32</v>
      </c>
      <c r="N192" s="4" t="s">
        <v>54</v>
      </c>
      <c r="O192" s="4" t="s">
        <v>34</v>
      </c>
      <c r="P192" s="4" t="s">
        <v>47</v>
      </c>
      <c r="Q192" s="4">
        <v>10</v>
      </c>
      <c r="R192" s="4">
        <v>47805</v>
      </c>
      <c r="S192" s="5">
        <v>0</v>
      </c>
      <c r="T192" s="6">
        <f t="shared" si="6"/>
        <v>478050</v>
      </c>
      <c r="U192" s="4">
        <v>44622.99</v>
      </c>
      <c r="V192" t="str">
        <f t="shared" si="7"/>
        <v>Dec</v>
      </c>
      <c r="W192">
        <f t="shared" si="8"/>
        <v>9.3343771572011291E-2</v>
      </c>
    </row>
    <row r="193" spans="1:23" x14ac:dyDescent="0.4">
      <c r="A193" s="4" t="s">
        <v>844</v>
      </c>
      <c r="B193" s="4" t="s">
        <v>845</v>
      </c>
      <c r="C193" s="11">
        <v>45297</v>
      </c>
      <c r="D193" s="4" t="s">
        <v>39</v>
      </c>
      <c r="E193" s="4" t="s">
        <v>24</v>
      </c>
      <c r="F193" s="4" t="s">
        <v>26</v>
      </c>
      <c r="G193" s="4" t="s">
        <v>59</v>
      </c>
      <c r="H193" s="4" t="s">
        <v>846</v>
      </c>
      <c r="I193" s="4" t="s">
        <v>61</v>
      </c>
      <c r="J193" s="4" t="s">
        <v>79</v>
      </c>
      <c r="K193" s="4" t="s">
        <v>44</v>
      </c>
      <c r="L193" s="4" t="s">
        <v>190</v>
      </c>
      <c r="M193" s="4" t="s">
        <v>53</v>
      </c>
      <c r="N193" s="4" t="s">
        <v>54</v>
      </c>
      <c r="O193" s="4" t="s">
        <v>46</v>
      </c>
      <c r="P193" s="4" t="s">
        <v>47</v>
      </c>
      <c r="Q193" s="4">
        <v>6</v>
      </c>
      <c r="R193" s="4">
        <v>40809</v>
      </c>
      <c r="S193" s="5">
        <v>0</v>
      </c>
      <c r="T193" s="6">
        <f t="shared" si="6"/>
        <v>244854</v>
      </c>
      <c r="U193" s="4">
        <v>28353.71</v>
      </c>
      <c r="V193" t="str">
        <f t="shared" si="7"/>
        <v>Jan</v>
      </c>
      <c r="W193">
        <f t="shared" si="8"/>
        <v>0.1157984349857466</v>
      </c>
    </row>
    <row r="194" spans="1:23" x14ac:dyDescent="0.4">
      <c r="A194" s="4" t="s">
        <v>847</v>
      </c>
      <c r="B194" s="4" t="s">
        <v>848</v>
      </c>
      <c r="C194" s="11">
        <v>45023</v>
      </c>
      <c r="D194" s="4" t="s">
        <v>23</v>
      </c>
      <c r="E194" s="4" t="s">
        <v>24</v>
      </c>
      <c r="F194" s="4" t="s">
        <v>58</v>
      </c>
      <c r="G194" s="4" t="s">
        <v>26</v>
      </c>
      <c r="H194" s="4" t="s">
        <v>849</v>
      </c>
      <c r="I194" s="4" t="s">
        <v>28</v>
      </c>
      <c r="J194" s="4" t="s">
        <v>62</v>
      </c>
      <c r="K194" s="4" t="s">
        <v>153</v>
      </c>
      <c r="L194" s="4" t="s">
        <v>850</v>
      </c>
      <c r="M194" s="4" t="s">
        <v>65</v>
      </c>
      <c r="N194" s="4" t="s">
        <v>54</v>
      </c>
      <c r="O194" s="4" t="s">
        <v>66</v>
      </c>
      <c r="P194" s="4" t="s">
        <v>35</v>
      </c>
      <c r="Q194" s="4">
        <v>8</v>
      </c>
      <c r="R194" s="4">
        <v>25803</v>
      </c>
      <c r="S194" s="5">
        <v>20</v>
      </c>
      <c r="T194" s="6">
        <f t="shared" si="6"/>
        <v>165139.20000000001</v>
      </c>
      <c r="U194" s="4">
        <v>6891.93</v>
      </c>
      <c r="V194" t="str">
        <f t="shared" si="7"/>
        <v>Apr</v>
      </c>
      <c r="W194">
        <f t="shared" si="8"/>
        <v>4.1734064352982207E-2</v>
      </c>
    </row>
    <row r="195" spans="1:23" x14ac:dyDescent="0.4">
      <c r="A195" s="4" t="s">
        <v>851</v>
      </c>
      <c r="B195" s="4" t="s">
        <v>372</v>
      </c>
      <c r="C195" s="11">
        <v>45313</v>
      </c>
      <c r="D195" s="4" t="s">
        <v>23</v>
      </c>
      <c r="E195" s="4" t="s">
        <v>24</v>
      </c>
      <c r="F195" s="4" t="s">
        <v>26</v>
      </c>
      <c r="G195" s="4" t="s">
        <v>26</v>
      </c>
      <c r="H195" s="4" t="s">
        <v>852</v>
      </c>
      <c r="I195" s="4" t="s">
        <v>43</v>
      </c>
      <c r="J195" s="4" t="s">
        <v>79</v>
      </c>
      <c r="K195" s="4" t="s">
        <v>44</v>
      </c>
      <c r="L195" s="4" t="s">
        <v>666</v>
      </c>
      <c r="M195" s="4" t="s">
        <v>81</v>
      </c>
      <c r="N195" s="4" t="s">
        <v>33</v>
      </c>
      <c r="O195" s="4" t="s">
        <v>46</v>
      </c>
      <c r="P195" s="4" t="s">
        <v>74</v>
      </c>
      <c r="Q195" s="4">
        <v>7</v>
      </c>
      <c r="R195" s="4">
        <v>32297</v>
      </c>
      <c r="S195" s="5">
        <v>5</v>
      </c>
      <c r="T195" s="6">
        <f t="shared" ref="T195:T258" si="9">Q195*R195*(100-S195)/100</f>
        <v>214775.05</v>
      </c>
      <c r="U195" s="4">
        <v>34886.99</v>
      </c>
      <c r="V195" t="str">
        <f t="shared" ref="V195:V258" si="10">TEXT(B195,"MMM")</f>
        <v>Jan</v>
      </c>
      <c r="W195">
        <f t="shared" ref="W195:W258" si="11">U195/T195</f>
        <v>0.16243502213129504</v>
      </c>
    </row>
    <row r="196" spans="1:23" x14ac:dyDescent="0.4">
      <c r="A196" s="4" t="s">
        <v>853</v>
      </c>
      <c r="B196" s="4" t="s">
        <v>854</v>
      </c>
      <c r="C196" s="11">
        <v>44570</v>
      </c>
      <c r="D196" s="4" t="s">
        <v>23</v>
      </c>
      <c r="E196" s="4" t="s">
        <v>24</v>
      </c>
      <c r="F196" s="4" t="s">
        <v>26</v>
      </c>
      <c r="G196" s="4" t="s">
        <v>59</v>
      </c>
      <c r="H196" s="4" t="s">
        <v>856</v>
      </c>
      <c r="I196" s="4" t="s">
        <v>28</v>
      </c>
      <c r="J196" s="4" t="s">
        <v>62</v>
      </c>
      <c r="K196" s="4" t="s">
        <v>44</v>
      </c>
      <c r="L196" s="4" t="s">
        <v>770</v>
      </c>
      <c r="M196" s="4" t="s">
        <v>65</v>
      </c>
      <c r="N196" s="4" t="s">
        <v>33</v>
      </c>
      <c r="O196" s="4" t="s">
        <v>120</v>
      </c>
      <c r="P196" s="4" t="s">
        <v>47</v>
      </c>
      <c r="Q196" s="4">
        <v>8</v>
      </c>
      <c r="R196" s="4">
        <v>49319</v>
      </c>
      <c r="S196" s="5">
        <v>5</v>
      </c>
      <c r="T196" s="6">
        <f t="shared" si="9"/>
        <v>374824.4</v>
      </c>
      <c r="U196" s="4">
        <v>19894.41</v>
      </c>
      <c r="V196" t="str">
        <f t="shared" si="10"/>
        <v>Jan</v>
      </c>
      <c r="W196">
        <f t="shared" si="11"/>
        <v>5.3076614009119998E-2</v>
      </c>
    </row>
    <row r="197" spans="1:23" x14ac:dyDescent="0.4">
      <c r="A197" s="4" t="s">
        <v>857</v>
      </c>
      <c r="B197" s="4" t="s">
        <v>354</v>
      </c>
      <c r="C197" s="11">
        <v>44873</v>
      </c>
      <c r="D197" s="4" t="s">
        <v>124</v>
      </c>
      <c r="E197" s="4" t="s">
        <v>24</v>
      </c>
      <c r="F197" s="4" t="s">
        <v>70</v>
      </c>
      <c r="G197" s="4" t="s">
        <v>99</v>
      </c>
      <c r="H197" s="4" t="s">
        <v>858</v>
      </c>
      <c r="I197" s="4" t="s">
        <v>61</v>
      </c>
      <c r="J197" s="4" t="s">
        <v>79</v>
      </c>
      <c r="K197" s="4" t="s">
        <v>44</v>
      </c>
      <c r="L197" s="4" t="s">
        <v>822</v>
      </c>
      <c r="M197" s="4" t="s">
        <v>81</v>
      </c>
      <c r="N197" s="4" t="s">
        <v>54</v>
      </c>
      <c r="O197" s="4" t="s">
        <v>34</v>
      </c>
      <c r="P197" s="4" t="s">
        <v>74</v>
      </c>
      <c r="Q197" s="4">
        <v>10</v>
      </c>
      <c r="R197" s="4">
        <v>32830</v>
      </c>
      <c r="S197" s="5">
        <v>15</v>
      </c>
      <c r="T197" s="6">
        <f t="shared" si="9"/>
        <v>279055</v>
      </c>
      <c r="U197" s="4">
        <v>45742.8</v>
      </c>
      <c r="V197" t="str">
        <f t="shared" si="10"/>
        <v>Nov</v>
      </c>
      <c r="W197">
        <f t="shared" si="11"/>
        <v>0.16392037411979718</v>
      </c>
    </row>
    <row r="198" spans="1:23" x14ac:dyDescent="0.4">
      <c r="A198" s="4" t="s">
        <v>859</v>
      </c>
      <c r="B198" s="4" t="s">
        <v>860</v>
      </c>
      <c r="C198" s="11">
        <v>45305</v>
      </c>
      <c r="D198" s="4" t="s">
        <v>98</v>
      </c>
      <c r="E198" s="4" t="s">
        <v>24</v>
      </c>
      <c r="F198" s="4" t="s">
        <v>58</v>
      </c>
      <c r="G198" s="4" t="s">
        <v>41</v>
      </c>
      <c r="H198" s="4" t="s">
        <v>861</v>
      </c>
      <c r="I198" s="4" t="s">
        <v>28</v>
      </c>
      <c r="J198" s="4" t="s">
        <v>79</v>
      </c>
      <c r="K198" s="4" t="s">
        <v>63</v>
      </c>
      <c r="L198" s="4" t="s">
        <v>862</v>
      </c>
      <c r="M198" s="4" t="s">
        <v>53</v>
      </c>
      <c r="N198" s="4" t="s">
        <v>33</v>
      </c>
      <c r="O198" s="4" t="s">
        <v>66</v>
      </c>
      <c r="P198" s="4" t="s">
        <v>35</v>
      </c>
      <c r="Q198" s="4">
        <v>8</v>
      </c>
      <c r="R198" s="4">
        <v>44573</v>
      </c>
      <c r="S198" s="5">
        <v>15</v>
      </c>
      <c r="T198" s="6">
        <f t="shared" si="9"/>
        <v>303096.40000000002</v>
      </c>
      <c r="U198" s="4">
        <v>569.28</v>
      </c>
      <c r="V198" t="str">
        <f t="shared" si="10"/>
        <v>Jan</v>
      </c>
      <c r="W198">
        <f t="shared" si="11"/>
        <v>1.8782143238916726E-3</v>
      </c>
    </row>
    <row r="199" spans="1:23" x14ac:dyDescent="0.4">
      <c r="A199" s="4" t="s">
        <v>863</v>
      </c>
      <c r="B199" s="4" t="s">
        <v>864</v>
      </c>
      <c r="C199" s="11">
        <v>45026</v>
      </c>
      <c r="D199" s="4" t="s">
        <v>23</v>
      </c>
      <c r="E199" s="4" t="s">
        <v>24</v>
      </c>
      <c r="F199" s="4" t="s">
        <v>70</v>
      </c>
      <c r="G199" s="4" t="s">
        <v>26</v>
      </c>
      <c r="H199" s="4" t="s">
        <v>866</v>
      </c>
      <c r="I199" s="4" t="s">
        <v>61</v>
      </c>
      <c r="J199" s="4" t="s">
        <v>79</v>
      </c>
      <c r="K199" s="4" t="s">
        <v>101</v>
      </c>
      <c r="L199" s="4" t="s">
        <v>867</v>
      </c>
      <c r="M199" s="4" t="s">
        <v>73</v>
      </c>
      <c r="N199" s="4" t="s">
        <v>33</v>
      </c>
      <c r="O199" s="4" t="s">
        <v>82</v>
      </c>
      <c r="P199" s="4" t="s">
        <v>47</v>
      </c>
      <c r="Q199" s="4">
        <v>1</v>
      </c>
      <c r="R199" s="4">
        <v>1898</v>
      </c>
      <c r="S199" s="5">
        <v>5</v>
      </c>
      <c r="T199" s="6">
        <f t="shared" si="9"/>
        <v>1803.1</v>
      </c>
      <c r="U199" s="4">
        <v>63.11</v>
      </c>
      <c r="V199" t="str">
        <f t="shared" si="10"/>
        <v>Apr</v>
      </c>
      <c r="W199">
        <f t="shared" si="11"/>
        <v>3.5000831900615606E-2</v>
      </c>
    </row>
    <row r="200" spans="1:23" x14ac:dyDescent="0.4">
      <c r="A200" s="4" t="s">
        <v>868</v>
      </c>
      <c r="B200" s="4" t="s">
        <v>37</v>
      </c>
      <c r="C200" s="11">
        <v>45358</v>
      </c>
      <c r="D200" s="4" t="s">
        <v>39</v>
      </c>
      <c r="E200" s="4" t="s">
        <v>24</v>
      </c>
      <c r="F200" s="4" t="s">
        <v>58</v>
      </c>
      <c r="G200" s="4" t="s">
        <v>41</v>
      </c>
      <c r="H200" s="4" t="s">
        <v>870</v>
      </c>
      <c r="I200" s="4" t="s">
        <v>43</v>
      </c>
      <c r="J200" s="4" t="s">
        <v>62</v>
      </c>
      <c r="K200" s="4" t="s">
        <v>63</v>
      </c>
      <c r="L200" s="4" t="s">
        <v>871</v>
      </c>
      <c r="M200" s="4" t="s">
        <v>53</v>
      </c>
      <c r="N200" s="4" t="s">
        <v>54</v>
      </c>
      <c r="O200" s="4" t="s">
        <v>120</v>
      </c>
      <c r="P200" s="4" t="s">
        <v>88</v>
      </c>
      <c r="Q200" s="4">
        <v>7</v>
      </c>
      <c r="R200" s="4">
        <v>28469</v>
      </c>
      <c r="S200" s="5">
        <v>5</v>
      </c>
      <c r="T200" s="6">
        <f t="shared" si="9"/>
        <v>189318.85</v>
      </c>
      <c r="U200" s="4">
        <v>20895.830000000002</v>
      </c>
      <c r="V200" t="str">
        <f t="shared" si="10"/>
        <v>Mar</v>
      </c>
      <c r="W200">
        <f t="shared" si="11"/>
        <v>0.11037374249843585</v>
      </c>
    </row>
    <row r="201" spans="1:23" x14ac:dyDescent="0.4">
      <c r="A201" s="4" t="s">
        <v>872</v>
      </c>
      <c r="B201" s="4" t="s">
        <v>873</v>
      </c>
      <c r="C201" s="11">
        <v>44927</v>
      </c>
      <c r="D201" s="4" t="s">
        <v>39</v>
      </c>
      <c r="E201" s="4" t="s">
        <v>24</v>
      </c>
      <c r="F201" s="4" t="s">
        <v>70</v>
      </c>
      <c r="G201" s="4" t="s">
        <v>92</v>
      </c>
      <c r="H201" s="4" t="s">
        <v>875</v>
      </c>
      <c r="I201" s="4" t="s">
        <v>43</v>
      </c>
      <c r="J201" s="4" t="s">
        <v>79</v>
      </c>
      <c r="K201" s="4" t="s">
        <v>153</v>
      </c>
      <c r="L201" s="4" t="s">
        <v>334</v>
      </c>
      <c r="M201" s="4" t="s">
        <v>53</v>
      </c>
      <c r="N201" s="4" t="s">
        <v>54</v>
      </c>
      <c r="O201" s="4" t="s">
        <v>82</v>
      </c>
      <c r="P201" s="4" t="s">
        <v>74</v>
      </c>
      <c r="Q201" s="4">
        <v>1</v>
      </c>
      <c r="R201" s="4">
        <v>33273</v>
      </c>
      <c r="S201" s="5">
        <v>10</v>
      </c>
      <c r="T201" s="6">
        <f t="shared" si="9"/>
        <v>29945.7</v>
      </c>
      <c r="U201" s="4">
        <v>1501.99</v>
      </c>
      <c r="V201" t="str">
        <f t="shared" si="10"/>
        <v>Dec</v>
      </c>
      <c r="W201">
        <f t="shared" si="11"/>
        <v>5.0157117716400017E-2</v>
      </c>
    </row>
    <row r="202" spans="1:23" x14ac:dyDescent="0.4">
      <c r="A202" s="4" t="s">
        <v>876</v>
      </c>
      <c r="B202" s="4" t="s">
        <v>877</v>
      </c>
      <c r="C202" s="11">
        <v>45297</v>
      </c>
      <c r="D202" s="4" t="s">
        <v>98</v>
      </c>
      <c r="E202" s="4" t="s">
        <v>24</v>
      </c>
      <c r="F202" s="4" t="s">
        <v>25</v>
      </c>
      <c r="G202" s="4" t="s">
        <v>26</v>
      </c>
      <c r="H202" s="4" t="s">
        <v>878</v>
      </c>
      <c r="I202" s="4" t="s">
        <v>61</v>
      </c>
      <c r="J202" s="4" t="s">
        <v>62</v>
      </c>
      <c r="K202" s="4" t="s">
        <v>63</v>
      </c>
      <c r="L202" s="4" t="s">
        <v>339</v>
      </c>
      <c r="M202" s="4" t="s">
        <v>65</v>
      </c>
      <c r="N202" s="4" t="s">
        <v>33</v>
      </c>
      <c r="O202" s="4" t="s">
        <v>46</v>
      </c>
      <c r="P202" s="4" t="s">
        <v>35</v>
      </c>
      <c r="Q202" s="4">
        <v>4</v>
      </c>
      <c r="R202" s="4">
        <v>48403</v>
      </c>
      <c r="S202" s="5">
        <v>20</v>
      </c>
      <c r="T202" s="6">
        <f t="shared" si="9"/>
        <v>154889.60000000001</v>
      </c>
      <c r="U202" s="4">
        <v>10721.22</v>
      </c>
      <c r="V202" t="str">
        <f t="shared" si="10"/>
        <v>Jan</v>
      </c>
      <c r="W202">
        <f t="shared" si="11"/>
        <v>6.9218462698593053E-2</v>
      </c>
    </row>
    <row r="203" spans="1:23" x14ac:dyDescent="0.4">
      <c r="A203" s="4" t="s">
        <v>879</v>
      </c>
      <c r="B203" s="4" t="s">
        <v>21</v>
      </c>
      <c r="C203" s="11">
        <v>45003</v>
      </c>
      <c r="D203" s="4" t="s">
        <v>23</v>
      </c>
      <c r="E203" s="4" t="s">
        <v>24</v>
      </c>
      <c r="F203" s="4" t="s">
        <v>40</v>
      </c>
      <c r="G203" s="4" t="s">
        <v>92</v>
      </c>
      <c r="H203" s="4" t="s">
        <v>880</v>
      </c>
      <c r="I203" s="4" t="s">
        <v>43</v>
      </c>
      <c r="J203" s="4" t="s">
        <v>62</v>
      </c>
      <c r="K203" s="4" t="s">
        <v>44</v>
      </c>
      <c r="L203" s="4" t="s">
        <v>881</v>
      </c>
      <c r="M203" s="4" t="s">
        <v>95</v>
      </c>
      <c r="N203" s="4" t="s">
        <v>54</v>
      </c>
      <c r="O203" s="4" t="s">
        <v>46</v>
      </c>
      <c r="P203" s="4" t="s">
        <v>47</v>
      </c>
      <c r="Q203" s="4">
        <v>3</v>
      </c>
      <c r="R203" s="4">
        <v>1720</v>
      </c>
      <c r="S203" s="5">
        <v>20</v>
      </c>
      <c r="T203" s="6">
        <f t="shared" si="9"/>
        <v>4128</v>
      </c>
      <c r="U203" s="4">
        <v>-503.55</v>
      </c>
      <c r="V203" t="str">
        <f t="shared" si="10"/>
        <v>Mar</v>
      </c>
      <c r="W203">
        <f t="shared" si="11"/>
        <v>-0.12198401162790698</v>
      </c>
    </row>
    <row r="204" spans="1:23" x14ac:dyDescent="0.4">
      <c r="A204" s="4" t="s">
        <v>882</v>
      </c>
      <c r="B204" s="4" t="s">
        <v>151</v>
      </c>
      <c r="C204" s="11">
        <v>45189</v>
      </c>
      <c r="D204" s="4" t="s">
        <v>39</v>
      </c>
      <c r="E204" s="4" t="s">
        <v>24</v>
      </c>
      <c r="F204" s="4" t="s">
        <v>70</v>
      </c>
      <c r="G204" s="4" t="s">
        <v>92</v>
      </c>
      <c r="H204" s="4" t="s">
        <v>884</v>
      </c>
      <c r="I204" s="4" t="s">
        <v>43</v>
      </c>
      <c r="J204" s="4" t="s">
        <v>79</v>
      </c>
      <c r="K204" s="4" t="s">
        <v>153</v>
      </c>
      <c r="L204" s="4" t="s">
        <v>885</v>
      </c>
      <c r="M204" s="4" t="s">
        <v>81</v>
      </c>
      <c r="N204" s="4" t="s">
        <v>54</v>
      </c>
      <c r="O204" s="4" t="s">
        <v>34</v>
      </c>
      <c r="P204" s="4" t="s">
        <v>35</v>
      </c>
      <c r="Q204" s="4">
        <v>6</v>
      </c>
      <c r="R204" s="4">
        <v>31064</v>
      </c>
      <c r="S204" s="5">
        <v>20</v>
      </c>
      <c r="T204" s="6">
        <f t="shared" si="9"/>
        <v>149107.20000000001</v>
      </c>
      <c r="U204" s="4">
        <v>-7381.27</v>
      </c>
      <c r="V204" t="str">
        <f t="shared" si="10"/>
        <v>Sep</v>
      </c>
      <c r="W204">
        <f t="shared" si="11"/>
        <v>-4.9503109172461153E-2</v>
      </c>
    </row>
    <row r="205" spans="1:23" x14ac:dyDescent="0.4">
      <c r="A205" s="4" t="s">
        <v>886</v>
      </c>
      <c r="B205" s="4" t="s">
        <v>887</v>
      </c>
      <c r="C205" s="11">
        <v>44659</v>
      </c>
      <c r="D205" s="4" t="s">
        <v>98</v>
      </c>
      <c r="E205" s="4" t="s">
        <v>24</v>
      </c>
      <c r="F205" s="4" t="s">
        <v>26</v>
      </c>
      <c r="G205" s="4" t="s">
        <v>26</v>
      </c>
      <c r="H205" s="4" t="s">
        <v>888</v>
      </c>
      <c r="I205" s="4" t="s">
        <v>43</v>
      </c>
      <c r="J205" s="4" t="s">
        <v>62</v>
      </c>
      <c r="K205" s="4" t="s">
        <v>63</v>
      </c>
      <c r="L205" s="4" t="s">
        <v>889</v>
      </c>
      <c r="M205" s="4" t="s">
        <v>81</v>
      </c>
      <c r="N205" s="4" t="s">
        <v>33</v>
      </c>
      <c r="O205" s="4" t="s">
        <v>46</v>
      </c>
      <c r="P205" s="4" t="s">
        <v>35</v>
      </c>
      <c r="Q205" s="4">
        <v>1</v>
      </c>
      <c r="R205" s="4">
        <v>49166</v>
      </c>
      <c r="S205" s="5">
        <v>5</v>
      </c>
      <c r="T205" s="6">
        <f t="shared" si="9"/>
        <v>46707.7</v>
      </c>
      <c r="U205" s="4">
        <v>9717.99</v>
      </c>
      <c r="V205" t="str">
        <f t="shared" si="10"/>
        <v>Apr</v>
      </c>
      <c r="W205">
        <f t="shared" si="11"/>
        <v>0.20805969893614973</v>
      </c>
    </row>
    <row r="206" spans="1:23" x14ac:dyDescent="0.4">
      <c r="A206" s="4" t="s">
        <v>890</v>
      </c>
      <c r="B206" s="4" t="s">
        <v>891</v>
      </c>
      <c r="C206" s="11">
        <v>44819</v>
      </c>
      <c r="D206" s="4" t="s">
        <v>39</v>
      </c>
      <c r="E206" s="4" t="s">
        <v>24</v>
      </c>
      <c r="F206" s="4" t="s">
        <v>26</v>
      </c>
      <c r="G206" s="4" t="s">
        <v>92</v>
      </c>
      <c r="H206" s="4" t="s">
        <v>892</v>
      </c>
      <c r="I206" s="4" t="s">
        <v>28</v>
      </c>
      <c r="J206" s="4" t="s">
        <v>29</v>
      </c>
      <c r="K206" s="4" t="s">
        <v>63</v>
      </c>
      <c r="L206" s="4" t="s">
        <v>588</v>
      </c>
      <c r="M206" s="4" t="s">
        <v>65</v>
      </c>
      <c r="N206" s="4" t="s">
        <v>33</v>
      </c>
      <c r="O206" s="4" t="s">
        <v>34</v>
      </c>
      <c r="P206" s="4" t="s">
        <v>47</v>
      </c>
      <c r="Q206" s="4">
        <v>4</v>
      </c>
      <c r="R206" s="4">
        <v>41075</v>
      </c>
      <c r="S206" s="5">
        <v>10</v>
      </c>
      <c r="T206" s="6">
        <f t="shared" si="9"/>
        <v>147870</v>
      </c>
      <c r="U206" s="4">
        <v>533.54999999999995</v>
      </c>
      <c r="V206" t="str">
        <f t="shared" si="10"/>
        <v>Sep</v>
      </c>
      <c r="W206">
        <f t="shared" si="11"/>
        <v>3.6082369649016025E-3</v>
      </c>
    </row>
    <row r="207" spans="1:23" x14ac:dyDescent="0.4">
      <c r="A207" s="4" t="s">
        <v>893</v>
      </c>
      <c r="B207" s="4" t="s">
        <v>894</v>
      </c>
      <c r="C207" s="11">
        <v>44708</v>
      </c>
      <c r="D207" s="4" t="s">
        <v>98</v>
      </c>
      <c r="E207" s="4" t="s">
        <v>24</v>
      </c>
      <c r="F207" s="4" t="s">
        <v>40</v>
      </c>
      <c r="G207" s="4" t="s">
        <v>92</v>
      </c>
      <c r="H207" s="4" t="s">
        <v>896</v>
      </c>
      <c r="I207" s="4" t="s">
        <v>61</v>
      </c>
      <c r="J207" s="4" t="s">
        <v>62</v>
      </c>
      <c r="K207" s="4" t="s">
        <v>30</v>
      </c>
      <c r="L207" s="4" t="s">
        <v>764</v>
      </c>
      <c r="M207" s="4" t="s">
        <v>73</v>
      </c>
      <c r="N207" s="4" t="s">
        <v>33</v>
      </c>
      <c r="O207" s="4" t="s">
        <v>34</v>
      </c>
      <c r="P207" s="4" t="s">
        <v>35</v>
      </c>
      <c r="Q207" s="4">
        <v>10</v>
      </c>
      <c r="R207" s="4">
        <v>32299</v>
      </c>
      <c r="S207" s="5">
        <v>10</v>
      </c>
      <c r="T207" s="6">
        <f t="shared" si="9"/>
        <v>290691</v>
      </c>
      <c r="U207" s="4">
        <v>47862.46</v>
      </c>
      <c r="V207" t="str">
        <f t="shared" si="10"/>
        <v>May</v>
      </c>
      <c r="W207">
        <f t="shared" si="11"/>
        <v>0.16465064277875821</v>
      </c>
    </row>
    <row r="208" spans="1:23" x14ac:dyDescent="0.4">
      <c r="A208" s="4" t="s">
        <v>897</v>
      </c>
      <c r="B208" s="4" t="s">
        <v>898</v>
      </c>
      <c r="C208" s="11">
        <v>44811</v>
      </c>
      <c r="D208" s="4" t="s">
        <v>98</v>
      </c>
      <c r="E208" s="4" t="s">
        <v>24</v>
      </c>
      <c r="F208" s="4" t="s">
        <v>40</v>
      </c>
      <c r="G208" s="4" t="s">
        <v>26</v>
      </c>
      <c r="H208" s="4" t="s">
        <v>899</v>
      </c>
      <c r="I208" s="4" t="s">
        <v>61</v>
      </c>
      <c r="J208" s="4" t="s">
        <v>62</v>
      </c>
      <c r="K208" s="4" t="s">
        <v>44</v>
      </c>
      <c r="L208" s="4" t="s">
        <v>900</v>
      </c>
      <c r="M208" s="4" t="s">
        <v>53</v>
      </c>
      <c r="N208" s="4" t="s">
        <v>33</v>
      </c>
      <c r="O208" s="4" t="s">
        <v>66</v>
      </c>
      <c r="P208" s="4" t="s">
        <v>74</v>
      </c>
      <c r="Q208" s="4">
        <v>1</v>
      </c>
      <c r="R208" s="4">
        <v>39755</v>
      </c>
      <c r="S208" s="5">
        <v>0</v>
      </c>
      <c r="T208" s="6">
        <f t="shared" si="9"/>
        <v>39755</v>
      </c>
      <c r="U208" s="4">
        <v>4374.43</v>
      </c>
      <c r="V208" t="str">
        <f t="shared" si="10"/>
        <v>Sep</v>
      </c>
      <c r="W208">
        <f t="shared" si="11"/>
        <v>0.11003471261476544</v>
      </c>
    </row>
    <row r="209" spans="1:23" x14ac:dyDescent="0.4">
      <c r="A209" s="4" t="s">
        <v>901</v>
      </c>
      <c r="B209" s="4" t="s">
        <v>855</v>
      </c>
      <c r="C209" s="11">
        <v>44579</v>
      </c>
      <c r="D209" s="4" t="s">
        <v>98</v>
      </c>
      <c r="E209" s="4" t="s">
        <v>24</v>
      </c>
      <c r="F209" s="4" t="s">
        <v>70</v>
      </c>
      <c r="G209" s="4" t="s">
        <v>26</v>
      </c>
      <c r="H209" s="4" t="s">
        <v>902</v>
      </c>
      <c r="I209" s="4" t="s">
        <v>28</v>
      </c>
      <c r="J209" s="4" t="s">
        <v>62</v>
      </c>
      <c r="K209" s="4" t="s">
        <v>30</v>
      </c>
      <c r="L209" s="4" t="s">
        <v>251</v>
      </c>
      <c r="M209" s="4" t="s">
        <v>53</v>
      </c>
      <c r="N209" s="4" t="s">
        <v>33</v>
      </c>
      <c r="O209" s="4" t="s">
        <v>82</v>
      </c>
      <c r="P209" s="4" t="s">
        <v>35</v>
      </c>
      <c r="Q209" s="4">
        <v>7</v>
      </c>
      <c r="R209" s="4">
        <v>33581</v>
      </c>
      <c r="S209" s="5">
        <v>0</v>
      </c>
      <c r="T209" s="6">
        <f t="shared" si="9"/>
        <v>235067</v>
      </c>
      <c r="U209" s="4">
        <v>22227.18</v>
      </c>
      <c r="V209" t="str">
        <f t="shared" si="10"/>
        <v>Jan</v>
      </c>
      <c r="W209">
        <f t="shared" si="11"/>
        <v>9.45567859376263E-2</v>
      </c>
    </row>
    <row r="210" spans="1:23" x14ac:dyDescent="0.4">
      <c r="A210" s="4" t="s">
        <v>903</v>
      </c>
      <c r="B210" s="4" t="s">
        <v>904</v>
      </c>
      <c r="C210" s="11">
        <v>45551</v>
      </c>
      <c r="D210" s="4" t="s">
        <v>124</v>
      </c>
      <c r="E210" s="4" t="s">
        <v>24</v>
      </c>
      <c r="F210" s="4" t="s">
        <v>70</v>
      </c>
      <c r="G210" s="4" t="s">
        <v>92</v>
      </c>
      <c r="H210" s="4" t="s">
        <v>905</v>
      </c>
      <c r="I210" s="4" t="s">
        <v>28</v>
      </c>
      <c r="J210" s="4" t="s">
        <v>29</v>
      </c>
      <c r="K210" s="4" t="s">
        <v>101</v>
      </c>
      <c r="L210" s="4" t="s">
        <v>906</v>
      </c>
      <c r="M210" s="4" t="s">
        <v>95</v>
      </c>
      <c r="N210" s="4" t="s">
        <v>54</v>
      </c>
      <c r="O210" s="4" t="s">
        <v>66</v>
      </c>
      <c r="P210" s="4" t="s">
        <v>47</v>
      </c>
      <c r="Q210" s="4">
        <v>10</v>
      </c>
      <c r="R210" s="4">
        <v>32001</v>
      </c>
      <c r="S210" s="5">
        <v>0</v>
      </c>
      <c r="T210" s="6">
        <f t="shared" si="9"/>
        <v>320010</v>
      </c>
      <c r="U210" s="4">
        <v>70989.36</v>
      </c>
      <c r="V210" t="str">
        <f t="shared" si="10"/>
        <v>Sep</v>
      </c>
      <c r="W210">
        <f t="shared" si="11"/>
        <v>0.22183481766194807</v>
      </c>
    </row>
    <row r="211" spans="1:23" x14ac:dyDescent="0.4">
      <c r="A211" s="4" t="s">
        <v>907</v>
      </c>
      <c r="B211" s="4" t="s">
        <v>908</v>
      </c>
      <c r="C211" s="11">
        <v>44938</v>
      </c>
      <c r="D211" s="4" t="s">
        <v>98</v>
      </c>
      <c r="E211" s="4" t="s">
        <v>24</v>
      </c>
      <c r="F211" s="4" t="s">
        <v>70</v>
      </c>
      <c r="G211" s="4" t="s">
        <v>41</v>
      </c>
      <c r="H211" s="4" t="s">
        <v>910</v>
      </c>
      <c r="I211" s="4" t="s">
        <v>28</v>
      </c>
      <c r="J211" s="4" t="s">
        <v>62</v>
      </c>
      <c r="K211" s="4" t="s">
        <v>153</v>
      </c>
      <c r="L211" s="4" t="s">
        <v>843</v>
      </c>
      <c r="M211" s="4" t="s">
        <v>53</v>
      </c>
      <c r="N211" s="4" t="s">
        <v>54</v>
      </c>
      <c r="O211" s="4" t="s">
        <v>120</v>
      </c>
      <c r="P211" s="4" t="s">
        <v>88</v>
      </c>
      <c r="Q211" s="4">
        <v>2</v>
      </c>
      <c r="R211" s="4">
        <v>47013</v>
      </c>
      <c r="S211" s="5">
        <v>15</v>
      </c>
      <c r="T211" s="6">
        <f t="shared" si="9"/>
        <v>79922.100000000006</v>
      </c>
      <c r="U211" s="4">
        <v>-637.99</v>
      </c>
      <c r="V211" t="str">
        <f t="shared" si="10"/>
        <v>Jan</v>
      </c>
      <c r="W211">
        <f t="shared" si="11"/>
        <v>-7.9826481035908704E-3</v>
      </c>
    </row>
    <row r="212" spans="1:23" x14ac:dyDescent="0.4">
      <c r="A212" s="4" t="s">
        <v>911</v>
      </c>
      <c r="B212" s="4" t="s">
        <v>912</v>
      </c>
      <c r="C212" s="11">
        <v>45378</v>
      </c>
      <c r="D212" s="4" t="s">
        <v>124</v>
      </c>
      <c r="E212" s="4" t="s">
        <v>24</v>
      </c>
      <c r="F212" s="4" t="s">
        <v>58</v>
      </c>
      <c r="G212" s="4" t="s">
        <v>26</v>
      </c>
      <c r="H212" s="4" t="s">
        <v>913</v>
      </c>
      <c r="I212" s="4" t="s">
        <v>43</v>
      </c>
      <c r="J212" s="4" t="s">
        <v>29</v>
      </c>
      <c r="K212" s="4" t="s">
        <v>63</v>
      </c>
      <c r="L212" s="4" t="s">
        <v>457</v>
      </c>
      <c r="M212" s="4" t="s">
        <v>32</v>
      </c>
      <c r="N212" s="4" t="s">
        <v>54</v>
      </c>
      <c r="O212" s="4" t="s">
        <v>34</v>
      </c>
      <c r="P212" s="4" t="s">
        <v>74</v>
      </c>
      <c r="Q212" s="4">
        <v>9</v>
      </c>
      <c r="R212" s="4">
        <v>34481</v>
      </c>
      <c r="S212" s="5">
        <v>5</v>
      </c>
      <c r="T212" s="6">
        <f t="shared" si="9"/>
        <v>294812.55</v>
      </c>
      <c r="U212" s="4">
        <v>74784.289999999994</v>
      </c>
      <c r="V212" t="str">
        <f t="shared" si="10"/>
        <v>Mar</v>
      </c>
      <c r="W212">
        <f t="shared" si="11"/>
        <v>0.25366725398901774</v>
      </c>
    </row>
    <row r="213" spans="1:23" x14ac:dyDescent="0.4">
      <c r="A213" s="4" t="s">
        <v>914</v>
      </c>
      <c r="B213" s="4" t="s">
        <v>915</v>
      </c>
      <c r="C213" s="11">
        <v>45403</v>
      </c>
      <c r="D213" s="4" t="s">
        <v>98</v>
      </c>
      <c r="E213" s="4" t="s">
        <v>24</v>
      </c>
      <c r="F213" s="4" t="s">
        <v>58</v>
      </c>
      <c r="G213" s="4" t="s">
        <v>59</v>
      </c>
      <c r="H213" s="4" t="s">
        <v>916</v>
      </c>
      <c r="I213" s="4" t="s">
        <v>61</v>
      </c>
      <c r="J213" s="4" t="s">
        <v>29</v>
      </c>
      <c r="K213" s="4" t="s">
        <v>44</v>
      </c>
      <c r="L213" s="4" t="s">
        <v>917</v>
      </c>
      <c r="M213" s="4" t="s">
        <v>32</v>
      </c>
      <c r="N213" s="4" t="s">
        <v>33</v>
      </c>
      <c r="O213" s="4" t="s">
        <v>46</v>
      </c>
      <c r="P213" s="4" t="s">
        <v>47</v>
      </c>
      <c r="Q213" s="4">
        <v>6</v>
      </c>
      <c r="R213" s="4">
        <v>15940</v>
      </c>
      <c r="S213" s="5">
        <v>0</v>
      </c>
      <c r="T213" s="6">
        <f t="shared" si="9"/>
        <v>95640</v>
      </c>
      <c r="U213" s="4">
        <v>25291.74</v>
      </c>
      <c r="V213" t="str">
        <f t="shared" si="10"/>
        <v>Apr</v>
      </c>
      <c r="W213">
        <f t="shared" si="11"/>
        <v>0.26444730238393976</v>
      </c>
    </row>
    <row r="214" spans="1:23" x14ac:dyDescent="0.4">
      <c r="A214" s="4" t="s">
        <v>918</v>
      </c>
      <c r="B214" s="4" t="s">
        <v>270</v>
      </c>
      <c r="C214" s="11">
        <v>44792</v>
      </c>
      <c r="D214" s="4" t="s">
        <v>124</v>
      </c>
      <c r="E214" s="4" t="s">
        <v>24</v>
      </c>
      <c r="F214" s="4" t="s">
        <v>70</v>
      </c>
      <c r="G214" s="4" t="s">
        <v>99</v>
      </c>
      <c r="H214" s="4" t="s">
        <v>920</v>
      </c>
      <c r="I214" s="4" t="s">
        <v>28</v>
      </c>
      <c r="J214" s="4" t="s">
        <v>29</v>
      </c>
      <c r="K214" s="4" t="s">
        <v>101</v>
      </c>
      <c r="L214" s="4" t="s">
        <v>476</v>
      </c>
      <c r="M214" s="4" t="s">
        <v>32</v>
      </c>
      <c r="N214" s="4" t="s">
        <v>54</v>
      </c>
      <c r="O214" s="4" t="s">
        <v>82</v>
      </c>
      <c r="P214" s="4" t="s">
        <v>35</v>
      </c>
      <c r="Q214" s="4">
        <v>5</v>
      </c>
      <c r="R214" s="4">
        <v>19246</v>
      </c>
      <c r="S214" s="5">
        <v>20</v>
      </c>
      <c r="T214" s="6">
        <f t="shared" si="9"/>
        <v>76984</v>
      </c>
      <c r="U214" s="4">
        <v>-12493.06</v>
      </c>
      <c r="V214" t="str">
        <f t="shared" si="10"/>
        <v>Aug</v>
      </c>
      <c r="W214">
        <f t="shared" si="11"/>
        <v>-0.16228125324742804</v>
      </c>
    </row>
    <row r="215" spans="1:23" x14ac:dyDescent="0.4">
      <c r="A215" s="4" t="s">
        <v>921</v>
      </c>
      <c r="B215" s="4" t="s">
        <v>922</v>
      </c>
      <c r="C215" s="11">
        <v>44924</v>
      </c>
      <c r="D215" s="4" t="s">
        <v>23</v>
      </c>
      <c r="E215" s="4" t="s">
        <v>24</v>
      </c>
      <c r="F215" s="4" t="s">
        <v>70</v>
      </c>
      <c r="G215" s="4" t="s">
        <v>92</v>
      </c>
      <c r="H215" s="4" t="s">
        <v>923</v>
      </c>
      <c r="I215" s="4" t="s">
        <v>43</v>
      </c>
      <c r="J215" s="4" t="s">
        <v>29</v>
      </c>
      <c r="K215" s="4" t="s">
        <v>101</v>
      </c>
      <c r="L215" s="4" t="s">
        <v>627</v>
      </c>
      <c r="M215" s="4" t="s">
        <v>95</v>
      </c>
      <c r="N215" s="4" t="s">
        <v>33</v>
      </c>
      <c r="O215" s="4" t="s">
        <v>66</v>
      </c>
      <c r="P215" s="4" t="s">
        <v>47</v>
      </c>
      <c r="Q215" s="4">
        <v>7</v>
      </c>
      <c r="R215" s="4">
        <v>8217</v>
      </c>
      <c r="S215" s="5">
        <v>20</v>
      </c>
      <c r="T215" s="6">
        <f t="shared" si="9"/>
        <v>46015.199999999997</v>
      </c>
      <c r="U215" s="4">
        <v>5191.6499999999996</v>
      </c>
      <c r="V215" t="str">
        <f t="shared" si="10"/>
        <v>Dec</v>
      </c>
      <c r="W215">
        <f t="shared" si="11"/>
        <v>0.11282467532467533</v>
      </c>
    </row>
    <row r="216" spans="1:23" x14ac:dyDescent="0.4">
      <c r="A216" s="4" t="s">
        <v>924</v>
      </c>
      <c r="B216" s="4" t="s">
        <v>925</v>
      </c>
      <c r="C216" s="11">
        <v>44693</v>
      </c>
      <c r="D216" s="4" t="s">
        <v>124</v>
      </c>
      <c r="E216" s="4" t="s">
        <v>24</v>
      </c>
      <c r="F216" s="4" t="s">
        <v>26</v>
      </c>
      <c r="G216" s="4" t="s">
        <v>92</v>
      </c>
      <c r="H216" s="4" t="s">
        <v>926</v>
      </c>
      <c r="I216" s="4" t="s">
        <v>28</v>
      </c>
      <c r="J216" s="4" t="s">
        <v>79</v>
      </c>
      <c r="K216" s="4" t="s">
        <v>153</v>
      </c>
      <c r="L216" s="4" t="s">
        <v>237</v>
      </c>
      <c r="M216" s="4" t="s">
        <v>73</v>
      </c>
      <c r="N216" s="4" t="s">
        <v>54</v>
      </c>
      <c r="O216" s="4" t="s">
        <v>46</v>
      </c>
      <c r="P216" s="4" t="s">
        <v>47</v>
      </c>
      <c r="Q216" s="4">
        <v>6</v>
      </c>
      <c r="R216" s="4">
        <v>22924</v>
      </c>
      <c r="S216" s="5">
        <v>5</v>
      </c>
      <c r="T216" s="6">
        <f t="shared" si="9"/>
        <v>130666.8</v>
      </c>
      <c r="U216" s="4">
        <v>14266.24</v>
      </c>
      <c r="V216" t="str">
        <f t="shared" si="10"/>
        <v>May</v>
      </c>
      <c r="W216">
        <f t="shared" si="11"/>
        <v>0.10918029675479922</v>
      </c>
    </row>
    <row r="217" spans="1:23" x14ac:dyDescent="0.4">
      <c r="A217" s="4" t="s">
        <v>927</v>
      </c>
      <c r="B217" s="4" t="s">
        <v>928</v>
      </c>
      <c r="C217" s="11">
        <v>44968</v>
      </c>
      <c r="D217" s="4" t="s">
        <v>98</v>
      </c>
      <c r="E217" s="4" t="s">
        <v>24</v>
      </c>
      <c r="F217" s="4" t="s">
        <v>58</v>
      </c>
      <c r="G217" s="4" t="s">
        <v>41</v>
      </c>
      <c r="H217" s="4" t="s">
        <v>930</v>
      </c>
      <c r="I217" s="4" t="s">
        <v>61</v>
      </c>
      <c r="J217" s="4" t="s">
        <v>62</v>
      </c>
      <c r="K217" s="4" t="s">
        <v>44</v>
      </c>
      <c r="L217" s="4" t="s">
        <v>80</v>
      </c>
      <c r="M217" s="4" t="s">
        <v>95</v>
      </c>
      <c r="N217" s="4" t="s">
        <v>33</v>
      </c>
      <c r="O217" s="4" t="s">
        <v>82</v>
      </c>
      <c r="P217" s="4" t="s">
        <v>88</v>
      </c>
      <c r="Q217" s="4">
        <v>1</v>
      </c>
      <c r="R217" s="4">
        <v>17387</v>
      </c>
      <c r="S217" s="5">
        <v>15</v>
      </c>
      <c r="T217" s="6">
        <f t="shared" si="9"/>
        <v>14778.95</v>
      </c>
      <c r="U217" s="4">
        <v>658.19</v>
      </c>
      <c r="V217" t="str">
        <f t="shared" si="10"/>
        <v>Feb</v>
      </c>
      <c r="W217">
        <f t="shared" si="11"/>
        <v>4.4535640218012783E-2</v>
      </c>
    </row>
    <row r="218" spans="1:23" x14ac:dyDescent="0.4">
      <c r="A218" s="4" t="s">
        <v>931</v>
      </c>
      <c r="B218" s="4" t="s">
        <v>932</v>
      </c>
      <c r="C218" s="11">
        <v>44782</v>
      </c>
      <c r="D218" s="4" t="s">
        <v>39</v>
      </c>
      <c r="E218" s="4" t="s">
        <v>24</v>
      </c>
      <c r="F218" s="4" t="s">
        <v>25</v>
      </c>
      <c r="G218" s="4" t="s">
        <v>26</v>
      </c>
      <c r="H218" s="4" t="s">
        <v>934</v>
      </c>
      <c r="I218" s="4" t="s">
        <v>61</v>
      </c>
      <c r="J218" s="4" t="s">
        <v>79</v>
      </c>
      <c r="K218" s="4" t="s">
        <v>30</v>
      </c>
      <c r="L218" s="4" t="s">
        <v>306</v>
      </c>
      <c r="M218" s="4" t="s">
        <v>81</v>
      </c>
      <c r="N218" s="4" t="s">
        <v>54</v>
      </c>
      <c r="O218" s="4" t="s">
        <v>82</v>
      </c>
      <c r="P218" s="4" t="s">
        <v>74</v>
      </c>
      <c r="Q218" s="4">
        <v>10</v>
      </c>
      <c r="R218" s="4">
        <v>32337</v>
      </c>
      <c r="S218" s="5">
        <v>5</v>
      </c>
      <c r="T218" s="6">
        <f t="shared" si="9"/>
        <v>307201.5</v>
      </c>
      <c r="U218" s="4">
        <v>35627.15</v>
      </c>
      <c r="V218" t="str">
        <f t="shared" si="10"/>
        <v>Aug</v>
      </c>
      <c r="W218">
        <f t="shared" si="11"/>
        <v>0.11597322929738299</v>
      </c>
    </row>
    <row r="219" spans="1:23" x14ac:dyDescent="0.4">
      <c r="A219" s="4" t="s">
        <v>935</v>
      </c>
      <c r="B219" s="4" t="s">
        <v>936</v>
      </c>
      <c r="C219" s="11">
        <v>45076</v>
      </c>
      <c r="D219" s="4" t="s">
        <v>23</v>
      </c>
      <c r="E219" s="4" t="s">
        <v>24</v>
      </c>
      <c r="F219" s="4" t="s">
        <v>58</v>
      </c>
      <c r="G219" s="4" t="s">
        <v>99</v>
      </c>
      <c r="H219" s="4" t="s">
        <v>938</v>
      </c>
      <c r="I219" s="4" t="s">
        <v>28</v>
      </c>
      <c r="J219" s="4" t="s">
        <v>62</v>
      </c>
      <c r="K219" s="4" t="s">
        <v>153</v>
      </c>
      <c r="L219" s="4" t="s">
        <v>939</v>
      </c>
      <c r="M219" s="4" t="s">
        <v>73</v>
      </c>
      <c r="N219" s="4" t="s">
        <v>33</v>
      </c>
      <c r="O219" s="4" t="s">
        <v>46</v>
      </c>
      <c r="P219" s="4" t="s">
        <v>74</v>
      </c>
      <c r="Q219" s="4">
        <v>10</v>
      </c>
      <c r="R219" s="4">
        <v>14071</v>
      </c>
      <c r="S219" s="5">
        <v>0</v>
      </c>
      <c r="T219" s="6">
        <f t="shared" si="9"/>
        <v>140710</v>
      </c>
      <c r="U219" s="4">
        <v>16649.8</v>
      </c>
      <c r="V219" t="str">
        <f t="shared" si="10"/>
        <v>May</v>
      </c>
      <c r="W219">
        <f t="shared" si="11"/>
        <v>0.11832705564636486</v>
      </c>
    </row>
    <row r="220" spans="1:23" x14ac:dyDescent="0.4">
      <c r="A220" s="4" t="s">
        <v>940</v>
      </c>
      <c r="B220" s="4" t="s">
        <v>279</v>
      </c>
      <c r="C220" s="11">
        <v>45501</v>
      </c>
      <c r="D220" s="4" t="s">
        <v>23</v>
      </c>
      <c r="E220" s="4" t="s">
        <v>24</v>
      </c>
      <c r="F220" s="4" t="s">
        <v>40</v>
      </c>
      <c r="G220" s="4" t="s">
        <v>41</v>
      </c>
      <c r="H220" s="4" t="s">
        <v>942</v>
      </c>
      <c r="I220" s="4" t="s">
        <v>61</v>
      </c>
      <c r="J220" s="4" t="s">
        <v>29</v>
      </c>
      <c r="K220" s="4" t="s">
        <v>86</v>
      </c>
      <c r="L220" s="4" t="s">
        <v>171</v>
      </c>
      <c r="M220" s="4" t="s">
        <v>73</v>
      </c>
      <c r="N220" s="4" t="s">
        <v>33</v>
      </c>
      <c r="O220" s="4" t="s">
        <v>46</v>
      </c>
      <c r="P220" s="4" t="s">
        <v>47</v>
      </c>
      <c r="Q220" s="4">
        <v>8</v>
      </c>
      <c r="R220" s="4">
        <v>24418</v>
      </c>
      <c r="S220" s="5">
        <v>5</v>
      </c>
      <c r="T220" s="6">
        <f t="shared" si="9"/>
        <v>185576.8</v>
      </c>
      <c r="U220" s="4">
        <v>2199.8200000000002</v>
      </c>
      <c r="V220" t="str">
        <f t="shared" si="10"/>
        <v>Jul</v>
      </c>
      <c r="W220">
        <f t="shared" si="11"/>
        <v>1.1853960193300025E-2</v>
      </c>
    </row>
    <row r="221" spans="1:23" x14ac:dyDescent="0.4">
      <c r="A221" s="4" t="s">
        <v>943</v>
      </c>
      <c r="B221" s="4" t="s">
        <v>944</v>
      </c>
      <c r="C221" s="11">
        <v>45073</v>
      </c>
      <c r="D221" s="4" t="s">
        <v>98</v>
      </c>
      <c r="E221" s="4" t="s">
        <v>24</v>
      </c>
      <c r="F221" s="4" t="s">
        <v>70</v>
      </c>
      <c r="G221" s="4" t="s">
        <v>59</v>
      </c>
      <c r="H221" s="4" t="s">
        <v>945</v>
      </c>
      <c r="I221" s="4" t="s">
        <v>28</v>
      </c>
      <c r="J221" s="4" t="s">
        <v>29</v>
      </c>
      <c r="K221" s="4" t="s">
        <v>86</v>
      </c>
      <c r="L221" s="4" t="s">
        <v>52</v>
      </c>
      <c r="M221" s="4" t="s">
        <v>95</v>
      </c>
      <c r="N221" s="4" t="s">
        <v>54</v>
      </c>
      <c r="O221" s="4" t="s">
        <v>34</v>
      </c>
      <c r="P221" s="4" t="s">
        <v>47</v>
      </c>
      <c r="Q221" s="4">
        <v>7</v>
      </c>
      <c r="R221" s="4">
        <v>28918</v>
      </c>
      <c r="S221" s="5">
        <v>0</v>
      </c>
      <c r="T221" s="6">
        <f t="shared" si="9"/>
        <v>202426</v>
      </c>
      <c r="U221" s="4">
        <v>47506.27</v>
      </c>
      <c r="V221" t="str">
        <f t="shared" si="10"/>
        <v>May</v>
      </c>
      <c r="W221">
        <f t="shared" si="11"/>
        <v>0.23468462549277266</v>
      </c>
    </row>
    <row r="222" spans="1:23" x14ac:dyDescent="0.4">
      <c r="A222" s="4" t="s">
        <v>946</v>
      </c>
      <c r="B222" s="4" t="s">
        <v>947</v>
      </c>
      <c r="C222" s="11">
        <v>44982</v>
      </c>
      <c r="D222" s="4" t="s">
        <v>39</v>
      </c>
      <c r="E222" s="4" t="s">
        <v>24</v>
      </c>
      <c r="F222" s="4" t="s">
        <v>70</v>
      </c>
      <c r="G222" s="4" t="s">
        <v>26</v>
      </c>
      <c r="H222" s="4" t="s">
        <v>948</v>
      </c>
      <c r="I222" s="4" t="s">
        <v>28</v>
      </c>
      <c r="J222" s="4" t="s">
        <v>79</v>
      </c>
      <c r="K222" s="4" t="s">
        <v>30</v>
      </c>
      <c r="L222" s="4" t="s">
        <v>949</v>
      </c>
      <c r="M222" s="4" t="s">
        <v>95</v>
      </c>
      <c r="N222" s="4" t="s">
        <v>33</v>
      </c>
      <c r="O222" s="4" t="s">
        <v>66</v>
      </c>
      <c r="P222" s="4" t="s">
        <v>35</v>
      </c>
      <c r="Q222" s="4">
        <v>2</v>
      </c>
      <c r="R222" s="4">
        <v>28238</v>
      </c>
      <c r="S222" s="5">
        <v>5</v>
      </c>
      <c r="T222" s="6">
        <f t="shared" si="9"/>
        <v>53652.2</v>
      </c>
      <c r="U222" s="4">
        <v>8096.91</v>
      </c>
      <c r="V222" t="str">
        <f t="shared" si="10"/>
        <v>Feb</v>
      </c>
      <c r="W222">
        <f t="shared" si="11"/>
        <v>0.15091478075456366</v>
      </c>
    </row>
    <row r="223" spans="1:23" x14ac:dyDescent="0.4">
      <c r="A223" s="4" t="s">
        <v>950</v>
      </c>
      <c r="B223" s="4" t="s">
        <v>951</v>
      </c>
      <c r="C223" s="11">
        <v>44844</v>
      </c>
      <c r="D223" s="4" t="s">
        <v>124</v>
      </c>
      <c r="E223" s="4" t="s">
        <v>24</v>
      </c>
      <c r="F223" s="4" t="s">
        <v>58</v>
      </c>
      <c r="G223" s="4" t="s">
        <v>92</v>
      </c>
      <c r="H223" s="4" t="s">
        <v>952</v>
      </c>
      <c r="I223" s="4" t="s">
        <v>43</v>
      </c>
      <c r="J223" s="4" t="s">
        <v>62</v>
      </c>
      <c r="K223" s="4" t="s">
        <v>30</v>
      </c>
      <c r="L223" s="4" t="s">
        <v>301</v>
      </c>
      <c r="M223" s="4" t="s">
        <v>53</v>
      </c>
      <c r="N223" s="4" t="s">
        <v>54</v>
      </c>
      <c r="O223" s="4" t="s">
        <v>120</v>
      </c>
      <c r="P223" s="4" t="s">
        <v>47</v>
      </c>
      <c r="Q223" s="4">
        <v>7</v>
      </c>
      <c r="R223" s="4">
        <v>29617</v>
      </c>
      <c r="S223" s="5">
        <v>20</v>
      </c>
      <c r="T223" s="6">
        <f t="shared" si="9"/>
        <v>165855.20000000001</v>
      </c>
      <c r="U223" s="4">
        <v>-5261.29</v>
      </c>
      <c r="V223" t="str">
        <f t="shared" si="10"/>
        <v>Oct</v>
      </c>
      <c r="W223">
        <f t="shared" si="11"/>
        <v>-3.1722188993772882E-2</v>
      </c>
    </row>
    <row r="224" spans="1:23" x14ac:dyDescent="0.4">
      <c r="A224" s="4" t="s">
        <v>953</v>
      </c>
      <c r="B224" s="4" t="s">
        <v>954</v>
      </c>
      <c r="C224" s="11">
        <v>45338</v>
      </c>
      <c r="D224" s="4" t="s">
        <v>124</v>
      </c>
      <c r="E224" s="4" t="s">
        <v>24</v>
      </c>
      <c r="F224" s="4" t="s">
        <v>40</v>
      </c>
      <c r="G224" s="4" t="s">
        <v>59</v>
      </c>
      <c r="H224" s="4" t="s">
        <v>955</v>
      </c>
      <c r="I224" s="4" t="s">
        <v>43</v>
      </c>
      <c r="J224" s="4" t="s">
        <v>62</v>
      </c>
      <c r="K224" s="4" t="s">
        <v>44</v>
      </c>
      <c r="L224" s="4" t="s">
        <v>956</v>
      </c>
      <c r="M224" s="4" t="s">
        <v>53</v>
      </c>
      <c r="N224" s="4" t="s">
        <v>54</v>
      </c>
      <c r="O224" s="4" t="s">
        <v>66</v>
      </c>
      <c r="P224" s="4" t="s">
        <v>35</v>
      </c>
      <c r="Q224" s="4">
        <v>3</v>
      </c>
      <c r="R224" s="4">
        <v>21458</v>
      </c>
      <c r="S224" s="5">
        <v>20</v>
      </c>
      <c r="T224" s="6">
        <f t="shared" si="9"/>
        <v>51499.199999999997</v>
      </c>
      <c r="U224" s="4">
        <v>-5388.01</v>
      </c>
      <c r="V224" t="str">
        <f t="shared" si="10"/>
        <v>Feb</v>
      </c>
      <c r="W224">
        <f t="shared" si="11"/>
        <v>-0.10462317861248331</v>
      </c>
    </row>
    <row r="225" spans="1:23" x14ac:dyDescent="0.4">
      <c r="A225" s="4" t="s">
        <v>957</v>
      </c>
      <c r="B225" s="4" t="s">
        <v>958</v>
      </c>
      <c r="C225" s="11">
        <v>44809</v>
      </c>
      <c r="D225" s="4" t="s">
        <v>39</v>
      </c>
      <c r="E225" s="4" t="s">
        <v>24</v>
      </c>
      <c r="F225" s="4" t="s">
        <v>25</v>
      </c>
      <c r="G225" s="4" t="s">
        <v>99</v>
      </c>
      <c r="H225" s="4" t="s">
        <v>959</v>
      </c>
      <c r="I225" s="4" t="s">
        <v>61</v>
      </c>
      <c r="J225" s="4" t="s">
        <v>29</v>
      </c>
      <c r="K225" s="4" t="s">
        <v>44</v>
      </c>
      <c r="L225" s="4" t="s">
        <v>960</v>
      </c>
      <c r="M225" s="4" t="s">
        <v>73</v>
      </c>
      <c r="N225" s="4" t="s">
        <v>33</v>
      </c>
      <c r="O225" s="4" t="s">
        <v>46</v>
      </c>
      <c r="P225" s="4" t="s">
        <v>47</v>
      </c>
      <c r="Q225" s="4">
        <v>7</v>
      </c>
      <c r="R225" s="4">
        <v>6371</v>
      </c>
      <c r="S225" s="5">
        <v>10</v>
      </c>
      <c r="T225" s="6">
        <f t="shared" si="9"/>
        <v>40137.300000000003</v>
      </c>
      <c r="U225" s="4">
        <v>-303.3</v>
      </c>
      <c r="V225" t="str">
        <f t="shared" si="10"/>
        <v>Aug</v>
      </c>
      <c r="W225">
        <f t="shared" si="11"/>
        <v>-7.5565621005897251E-3</v>
      </c>
    </row>
    <row r="226" spans="1:23" x14ac:dyDescent="0.4">
      <c r="A226" s="4" t="s">
        <v>961</v>
      </c>
      <c r="B226" s="4" t="s">
        <v>962</v>
      </c>
      <c r="C226" s="11">
        <v>45061</v>
      </c>
      <c r="D226" s="4" t="s">
        <v>124</v>
      </c>
      <c r="E226" s="4" t="s">
        <v>24</v>
      </c>
      <c r="F226" s="4" t="s">
        <v>70</v>
      </c>
      <c r="G226" s="4" t="s">
        <v>99</v>
      </c>
      <c r="H226" s="4" t="s">
        <v>964</v>
      </c>
      <c r="I226" s="4" t="s">
        <v>28</v>
      </c>
      <c r="J226" s="4" t="s">
        <v>29</v>
      </c>
      <c r="K226" s="4" t="s">
        <v>63</v>
      </c>
      <c r="L226" s="4" t="s">
        <v>850</v>
      </c>
      <c r="M226" s="4" t="s">
        <v>32</v>
      </c>
      <c r="N226" s="4" t="s">
        <v>54</v>
      </c>
      <c r="O226" s="4" t="s">
        <v>46</v>
      </c>
      <c r="P226" s="4" t="s">
        <v>47</v>
      </c>
      <c r="Q226" s="4">
        <v>5</v>
      </c>
      <c r="R226" s="4">
        <v>28783</v>
      </c>
      <c r="S226" s="5">
        <v>5</v>
      </c>
      <c r="T226" s="6">
        <f t="shared" si="9"/>
        <v>136719.25</v>
      </c>
      <c r="U226" s="4">
        <v>12796.07</v>
      </c>
      <c r="V226" t="str">
        <f t="shared" si="10"/>
        <v>May</v>
      </c>
      <c r="W226">
        <f t="shared" si="11"/>
        <v>9.3593769714213612E-2</v>
      </c>
    </row>
    <row r="227" spans="1:23" x14ac:dyDescent="0.4">
      <c r="A227" s="4" t="s">
        <v>965</v>
      </c>
      <c r="B227" s="4" t="s">
        <v>639</v>
      </c>
      <c r="C227" s="11">
        <v>45280</v>
      </c>
      <c r="D227" s="4" t="s">
        <v>98</v>
      </c>
      <c r="E227" s="4" t="s">
        <v>24</v>
      </c>
      <c r="F227" s="4" t="s">
        <v>25</v>
      </c>
      <c r="G227" s="4" t="s">
        <v>99</v>
      </c>
      <c r="H227" s="4" t="s">
        <v>967</v>
      </c>
      <c r="I227" s="4" t="s">
        <v>61</v>
      </c>
      <c r="J227" s="4" t="s">
        <v>79</v>
      </c>
      <c r="K227" s="4" t="s">
        <v>63</v>
      </c>
      <c r="L227" s="4" t="s">
        <v>939</v>
      </c>
      <c r="M227" s="4" t="s">
        <v>53</v>
      </c>
      <c r="N227" s="4" t="s">
        <v>54</v>
      </c>
      <c r="O227" s="4" t="s">
        <v>66</v>
      </c>
      <c r="P227" s="4" t="s">
        <v>35</v>
      </c>
      <c r="Q227" s="4">
        <v>7</v>
      </c>
      <c r="R227" s="4">
        <v>7997</v>
      </c>
      <c r="S227" s="5">
        <v>20</v>
      </c>
      <c r="T227" s="6">
        <f t="shared" si="9"/>
        <v>44783.199999999997</v>
      </c>
      <c r="U227" s="4">
        <v>4441.22</v>
      </c>
      <c r="V227" t="str">
        <f t="shared" si="10"/>
        <v>Dec</v>
      </c>
      <c r="W227">
        <f t="shared" si="11"/>
        <v>9.9171564336626244E-2</v>
      </c>
    </row>
    <row r="228" spans="1:23" x14ac:dyDescent="0.4">
      <c r="A228" s="4" t="s">
        <v>968</v>
      </c>
      <c r="B228" s="4" t="s">
        <v>944</v>
      </c>
      <c r="C228" s="11">
        <v>45068</v>
      </c>
      <c r="D228" s="4" t="s">
        <v>124</v>
      </c>
      <c r="E228" s="4" t="s">
        <v>24</v>
      </c>
      <c r="F228" s="4" t="s">
        <v>25</v>
      </c>
      <c r="G228" s="4" t="s">
        <v>59</v>
      </c>
      <c r="H228" s="4" t="s">
        <v>970</v>
      </c>
      <c r="I228" s="4" t="s">
        <v>61</v>
      </c>
      <c r="J228" s="4" t="s">
        <v>62</v>
      </c>
      <c r="K228" s="4" t="s">
        <v>30</v>
      </c>
      <c r="L228" s="4" t="s">
        <v>675</v>
      </c>
      <c r="M228" s="4" t="s">
        <v>95</v>
      </c>
      <c r="N228" s="4" t="s">
        <v>54</v>
      </c>
      <c r="O228" s="4" t="s">
        <v>34</v>
      </c>
      <c r="P228" s="4" t="s">
        <v>47</v>
      </c>
      <c r="Q228" s="4">
        <v>9</v>
      </c>
      <c r="R228" s="4">
        <v>37052</v>
      </c>
      <c r="S228" s="5">
        <v>20</v>
      </c>
      <c r="T228" s="6">
        <f t="shared" si="9"/>
        <v>266774.40000000002</v>
      </c>
      <c r="U228" s="4">
        <v>-28101.26</v>
      </c>
      <c r="V228" t="str">
        <f t="shared" si="10"/>
        <v>May</v>
      </c>
      <c r="W228">
        <f t="shared" si="11"/>
        <v>-0.10533716878381133</v>
      </c>
    </row>
    <row r="229" spans="1:23" x14ac:dyDescent="0.4">
      <c r="A229" s="4" t="s">
        <v>971</v>
      </c>
      <c r="B229" s="4" t="s">
        <v>972</v>
      </c>
      <c r="C229" s="11">
        <v>45474</v>
      </c>
      <c r="D229" s="4" t="s">
        <v>98</v>
      </c>
      <c r="E229" s="4" t="s">
        <v>24</v>
      </c>
      <c r="F229" s="4" t="s">
        <v>26</v>
      </c>
      <c r="G229" s="4" t="s">
        <v>92</v>
      </c>
      <c r="H229" s="4" t="s">
        <v>973</v>
      </c>
      <c r="I229" s="4" t="s">
        <v>28</v>
      </c>
      <c r="J229" s="4" t="s">
        <v>79</v>
      </c>
      <c r="K229" s="4" t="s">
        <v>86</v>
      </c>
      <c r="L229" s="4" t="s">
        <v>45</v>
      </c>
      <c r="M229" s="4" t="s">
        <v>95</v>
      </c>
      <c r="N229" s="4" t="s">
        <v>54</v>
      </c>
      <c r="O229" s="4" t="s">
        <v>46</v>
      </c>
      <c r="P229" s="4" t="s">
        <v>47</v>
      </c>
      <c r="Q229" s="4">
        <v>1</v>
      </c>
      <c r="R229" s="4">
        <v>33087</v>
      </c>
      <c r="S229" s="5">
        <v>10</v>
      </c>
      <c r="T229" s="6">
        <f t="shared" si="9"/>
        <v>29778.3</v>
      </c>
      <c r="U229" s="4">
        <v>2881.36</v>
      </c>
      <c r="V229" t="str">
        <f t="shared" si="10"/>
        <v>Jun</v>
      </c>
      <c r="W229">
        <f t="shared" si="11"/>
        <v>9.6760392634905296E-2</v>
      </c>
    </row>
    <row r="230" spans="1:23" x14ac:dyDescent="0.4">
      <c r="A230" s="4" t="s">
        <v>974</v>
      </c>
      <c r="B230" s="4" t="s">
        <v>211</v>
      </c>
      <c r="C230" s="11">
        <v>45448</v>
      </c>
      <c r="D230" s="4" t="s">
        <v>39</v>
      </c>
      <c r="E230" s="4" t="s">
        <v>24</v>
      </c>
      <c r="F230" s="4" t="s">
        <v>25</v>
      </c>
      <c r="G230" s="4" t="s">
        <v>92</v>
      </c>
      <c r="H230" s="4" t="s">
        <v>975</v>
      </c>
      <c r="I230" s="4" t="s">
        <v>61</v>
      </c>
      <c r="J230" s="4" t="s">
        <v>62</v>
      </c>
      <c r="K230" s="4" t="s">
        <v>101</v>
      </c>
      <c r="L230" s="4" t="s">
        <v>976</v>
      </c>
      <c r="M230" s="4" t="s">
        <v>81</v>
      </c>
      <c r="N230" s="4" t="s">
        <v>33</v>
      </c>
      <c r="O230" s="4" t="s">
        <v>46</v>
      </c>
      <c r="P230" s="4" t="s">
        <v>74</v>
      </c>
      <c r="Q230" s="4">
        <v>9</v>
      </c>
      <c r="R230" s="4">
        <v>23916</v>
      </c>
      <c r="S230" s="5">
        <v>0</v>
      </c>
      <c r="T230" s="6">
        <f t="shared" si="9"/>
        <v>215244</v>
      </c>
      <c r="U230" s="4">
        <v>64399.15</v>
      </c>
      <c r="V230" t="str">
        <f t="shared" si="10"/>
        <v>Jun</v>
      </c>
      <c r="W230">
        <f t="shared" si="11"/>
        <v>0.29919138280277269</v>
      </c>
    </row>
    <row r="231" spans="1:23" x14ac:dyDescent="0.4">
      <c r="A231" s="4" t="s">
        <v>977</v>
      </c>
      <c r="B231" s="4" t="s">
        <v>978</v>
      </c>
      <c r="C231" s="11">
        <v>45278</v>
      </c>
      <c r="D231" s="4" t="s">
        <v>124</v>
      </c>
      <c r="E231" s="4" t="s">
        <v>24</v>
      </c>
      <c r="F231" s="4" t="s">
        <v>26</v>
      </c>
      <c r="G231" s="4" t="s">
        <v>99</v>
      </c>
      <c r="H231" s="4" t="s">
        <v>979</v>
      </c>
      <c r="I231" s="4" t="s">
        <v>28</v>
      </c>
      <c r="J231" s="4" t="s">
        <v>62</v>
      </c>
      <c r="K231" s="4" t="s">
        <v>101</v>
      </c>
      <c r="L231" s="4" t="s">
        <v>980</v>
      </c>
      <c r="M231" s="4" t="s">
        <v>81</v>
      </c>
      <c r="N231" s="4" t="s">
        <v>33</v>
      </c>
      <c r="O231" s="4" t="s">
        <v>120</v>
      </c>
      <c r="P231" s="4" t="s">
        <v>88</v>
      </c>
      <c r="Q231" s="4">
        <v>9</v>
      </c>
      <c r="R231" s="4">
        <v>48246</v>
      </c>
      <c r="S231" s="5">
        <v>15</v>
      </c>
      <c r="T231" s="6">
        <f t="shared" si="9"/>
        <v>369081.9</v>
      </c>
      <c r="U231" s="4">
        <v>-42955.519999999997</v>
      </c>
      <c r="V231" t="str">
        <f t="shared" si="10"/>
        <v>Dec</v>
      </c>
      <c r="W231">
        <f t="shared" si="11"/>
        <v>-0.11638479155981367</v>
      </c>
    </row>
    <row r="232" spans="1:23" x14ac:dyDescent="0.4">
      <c r="A232" s="4" t="s">
        <v>981</v>
      </c>
      <c r="B232" s="4" t="s">
        <v>962</v>
      </c>
      <c r="C232" s="11">
        <v>45068</v>
      </c>
      <c r="D232" s="4" t="s">
        <v>23</v>
      </c>
      <c r="E232" s="4" t="s">
        <v>24</v>
      </c>
      <c r="F232" s="4" t="s">
        <v>26</v>
      </c>
      <c r="G232" s="4" t="s">
        <v>26</v>
      </c>
      <c r="H232" s="4" t="s">
        <v>982</v>
      </c>
      <c r="I232" s="4" t="s">
        <v>43</v>
      </c>
      <c r="J232" s="4" t="s">
        <v>79</v>
      </c>
      <c r="K232" s="4" t="s">
        <v>63</v>
      </c>
      <c r="L232" s="4" t="s">
        <v>770</v>
      </c>
      <c r="M232" s="4" t="s">
        <v>65</v>
      </c>
      <c r="N232" s="4" t="s">
        <v>54</v>
      </c>
      <c r="O232" s="4" t="s">
        <v>34</v>
      </c>
      <c r="P232" s="4" t="s">
        <v>47</v>
      </c>
      <c r="Q232" s="4">
        <v>9</v>
      </c>
      <c r="R232" s="4">
        <v>31572</v>
      </c>
      <c r="S232" s="5">
        <v>0</v>
      </c>
      <c r="T232" s="6">
        <f t="shared" si="9"/>
        <v>284148</v>
      </c>
      <c r="U232" s="4">
        <v>45424.7</v>
      </c>
      <c r="V232" t="str">
        <f t="shared" si="10"/>
        <v>May</v>
      </c>
      <c r="W232">
        <f t="shared" si="11"/>
        <v>0.15986281796810112</v>
      </c>
    </row>
    <row r="233" spans="1:23" x14ac:dyDescent="0.4">
      <c r="A233" s="4" t="s">
        <v>983</v>
      </c>
      <c r="B233" s="4" t="s">
        <v>68</v>
      </c>
      <c r="C233" s="11">
        <v>44648</v>
      </c>
      <c r="D233" s="4" t="s">
        <v>23</v>
      </c>
      <c r="E233" s="4" t="s">
        <v>24</v>
      </c>
      <c r="F233" s="4" t="s">
        <v>70</v>
      </c>
      <c r="G233" s="4" t="s">
        <v>92</v>
      </c>
      <c r="H233" s="4" t="s">
        <v>984</v>
      </c>
      <c r="I233" s="4" t="s">
        <v>61</v>
      </c>
      <c r="J233" s="4" t="s">
        <v>29</v>
      </c>
      <c r="K233" s="4" t="s">
        <v>101</v>
      </c>
      <c r="L233" s="4" t="s">
        <v>194</v>
      </c>
      <c r="M233" s="4" t="s">
        <v>95</v>
      </c>
      <c r="N233" s="4" t="s">
        <v>33</v>
      </c>
      <c r="O233" s="4" t="s">
        <v>34</v>
      </c>
      <c r="P233" s="4" t="s">
        <v>35</v>
      </c>
      <c r="Q233" s="4">
        <v>1</v>
      </c>
      <c r="R233" s="4">
        <v>30365</v>
      </c>
      <c r="S233" s="5">
        <v>15</v>
      </c>
      <c r="T233" s="6">
        <f t="shared" si="9"/>
        <v>25810.25</v>
      </c>
      <c r="U233" s="4">
        <v>-1278.67</v>
      </c>
      <c r="V233" t="str">
        <f t="shared" si="10"/>
        <v>Mar</v>
      </c>
      <c r="W233">
        <f t="shared" si="11"/>
        <v>-4.9541170658943638E-2</v>
      </c>
    </row>
    <row r="234" spans="1:23" x14ac:dyDescent="0.4">
      <c r="A234" s="4" t="s">
        <v>985</v>
      </c>
      <c r="B234" s="4" t="s">
        <v>986</v>
      </c>
      <c r="C234" s="11">
        <v>45530</v>
      </c>
      <c r="D234" s="4" t="s">
        <v>124</v>
      </c>
      <c r="E234" s="4" t="s">
        <v>24</v>
      </c>
      <c r="F234" s="4" t="s">
        <v>25</v>
      </c>
      <c r="G234" s="4" t="s">
        <v>59</v>
      </c>
      <c r="H234" s="4" t="s">
        <v>987</v>
      </c>
      <c r="I234" s="4" t="s">
        <v>28</v>
      </c>
      <c r="J234" s="4" t="s">
        <v>79</v>
      </c>
      <c r="K234" s="4" t="s">
        <v>101</v>
      </c>
      <c r="L234" s="4" t="s">
        <v>52</v>
      </c>
      <c r="M234" s="4" t="s">
        <v>81</v>
      </c>
      <c r="N234" s="4" t="s">
        <v>54</v>
      </c>
      <c r="O234" s="4" t="s">
        <v>120</v>
      </c>
      <c r="P234" s="4" t="s">
        <v>35</v>
      </c>
      <c r="Q234" s="4">
        <v>3</v>
      </c>
      <c r="R234" s="4">
        <v>2400</v>
      </c>
      <c r="S234" s="5">
        <v>15</v>
      </c>
      <c r="T234" s="6">
        <f t="shared" si="9"/>
        <v>6120</v>
      </c>
      <c r="U234" s="4">
        <v>427.69</v>
      </c>
      <c r="V234" t="str">
        <f t="shared" si="10"/>
        <v>Aug</v>
      </c>
      <c r="W234">
        <f t="shared" si="11"/>
        <v>6.9883986928104574E-2</v>
      </c>
    </row>
    <row r="235" spans="1:23" x14ac:dyDescent="0.4">
      <c r="A235" s="4" t="s">
        <v>988</v>
      </c>
      <c r="B235" s="4" t="s">
        <v>989</v>
      </c>
      <c r="C235" s="11">
        <v>45339</v>
      </c>
      <c r="D235" s="4" t="s">
        <v>23</v>
      </c>
      <c r="E235" s="4" t="s">
        <v>24</v>
      </c>
      <c r="F235" s="4" t="s">
        <v>26</v>
      </c>
      <c r="G235" s="4" t="s">
        <v>59</v>
      </c>
      <c r="H235" s="4" t="s">
        <v>990</v>
      </c>
      <c r="I235" s="4" t="s">
        <v>43</v>
      </c>
      <c r="J235" s="4" t="s">
        <v>62</v>
      </c>
      <c r="K235" s="4" t="s">
        <v>101</v>
      </c>
      <c r="L235" s="4" t="s">
        <v>481</v>
      </c>
      <c r="M235" s="4" t="s">
        <v>95</v>
      </c>
      <c r="N235" s="4" t="s">
        <v>33</v>
      </c>
      <c r="O235" s="4" t="s">
        <v>66</v>
      </c>
      <c r="P235" s="4" t="s">
        <v>74</v>
      </c>
      <c r="Q235" s="4">
        <v>1</v>
      </c>
      <c r="R235" s="4">
        <v>45578</v>
      </c>
      <c r="S235" s="5">
        <v>5</v>
      </c>
      <c r="T235" s="6">
        <f t="shared" si="9"/>
        <v>43299.1</v>
      </c>
      <c r="U235" s="4">
        <v>2564.0700000000002</v>
      </c>
      <c r="V235" t="str">
        <f t="shared" si="10"/>
        <v>Feb</v>
      </c>
      <c r="W235">
        <f t="shared" si="11"/>
        <v>5.921762808002938E-2</v>
      </c>
    </row>
    <row r="236" spans="1:23" x14ac:dyDescent="0.4">
      <c r="A236" s="4" t="s">
        <v>991</v>
      </c>
      <c r="B236" s="4" t="s">
        <v>710</v>
      </c>
      <c r="C236" s="11">
        <v>44696</v>
      </c>
      <c r="D236" s="4" t="s">
        <v>124</v>
      </c>
      <c r="E236" s="4" t="s">
        <v>24</v>
      </c>
      <c r="F236" s="4" t="s">
        <v>25</v>
      </c>
      <c r="G236" s="4" t="s">
        <v>59</v>
      </c>
      <c r="H236" s="4" t="s">
        <v>992</v>
      </c>
      <c r="I236" s="4" t="s">
        <v>43</v>
      </c>
      <c r="J236" s="4" t="s">
        <v>29</v>
      </c>
      <c r="K236" s="4" t="s">
        <v>153</v>
      </c>
      <c r="L236" s="4" t="s">
        <v>993</v>
      </c>
      <c r="M236" s="4" t="s">
        <v>81</v>
      </c>
      <c r="N236" s="4" t="s">
        <v>54</v>
      </c>
      <c r="O236" s="4" t="s">
        <v>82</v>
      </c>
      <c r="P236" s="4" t="s">
        <v>88</v>
      </c>
      <c r="Q236" s="4">
        <v>1</v>
      </c>
      <c r="R236" s="4">
        <v>47078</v>
      </c>
      <c r="S236" s="5">
        <v>15</v>
      </c>
      <c r="T236" s="6">
        <f t="shared" si="9"/>
        <v>40016.300000000003</v>
      </c>
      <c r="U236" s="4">
        <v>-512.47</v>
      </c>
      <c r="V236" t="str">
        <f t="shared" si="10"/>
        <v>May</v>
      </c>
      <c r="W236">
        <f t="shared" si="11"/>
        <v>-1.2806531338479568E-2</v>
      </c>
    </row>
    <row r="237" spans="1:23" x14ac:dyDescent="0.4">
      <c r="A237" s="4" t="s">
        <v>994</v>
      </c>
      <c r="B237" s="4" t="s">
        <v>995</v>
      </c>
      <c r="C237" s="11">
        <v>44625</v>
      </c>
      <c r="D237" s="4" t="s">
        <v>98</v>
      </c>
      <c r="E237" s="4" t="s">
        <v>24</v>
      </c>
      <c r="F237" s="4" t="s">
        <v>40</v>
      </c>
      <c r="G237" s="4" t="s">
        <v>99</v>
      </c>
      <c r="H237" s="4" t="s">
        <v>996</v>
      </c>
      <c r="I237" s="4" t="s">
        <v>28</v>
      </c>
      <c r="J237" s="4" t="s">
        <v>29</v>
      </c>
      <c r="K237" s="4" t="s">
        <v>30</v>
      </c>
      <c r="L237" s="4" t="s">
        <v>102</v>
      </c>
      <c r="M237" s="4" t="s">
        <v>32</v>
      </c>
      <c r="N237" s="4" t="s">
        <v>54</v>
      </c>
      <c r="O237" s="4" t="s">
        <v>120</v>
      </c>
      <c r="P237" s="4" t="s">
        <v>35</v>
      </c>
      <c r="Q237" s="4">
        <v>7</v>
      </c>
      <c r="R237" s="4">
        <v>3799</v>
      </c>
      <c r="S237" s="5">
        <v>20</v>
      </c>
      <c r="T237" s="6">
        <f t="shared" si="9"/>
        <v>21274.400000000001</v>
      </c>
      <c r="U237" s="4">
        <v>-2214.75</v>
      </c>
      <c r="V237" t="str">
        <f t="shared" si="10"/>
        <v>Feb</v>
      </c>
      <c r="W237">
        <f t="shared" si="11"/>
        <v>-0.10410399353213251</v>
      </c>
    </row>
    <row r="238" spans="1:23" x14ac:dyDescent="0.4">
      <c r="A238" s="4" t="s">
        <v>997</v>
      </c>
      <c r="B238" s="4" t="s">
        <v>998</v>
      </c>
      <c r="C238" s="11">
        <v>44875</v>
      </c>
      <c r="D238" s="4" t="s">
        <v>39</v>
      </c>
      <c r="E238" s="4" t="s">
        <v>24</v>
      </c>
      <c r="F238" s="4" t="s">
        <v>26</v>
      </c>
      <c r="G238" s="4" t="s">
        <v>26</v>
      </c>
      <c r="H238" s="4" t="s">
        <v>1000</v>
      </c>
      <c r="I238" s="4" t="s">
        <v>28</v>
      </c>
      <c r="J238" s="4" t="s">
        <v>62</v>
      </c>
      <c r="K238" s="4" t="s">
        <v>86</v>
      </c>
      <c r="L238" s="4" t="s">
        <v>1001</v>
      </c>
      <c r="M238" s="4" t="s">
        <v>32</v>
      </c>
      <c r="N238" s="4" t="s">
        <v>54</v>
      </c>
      <c r="O238" s="4" t="s">
        <v>82</v>
      </c>
      <c r="P238" s="4" t="s">
        <v>35</v>
      </c>
      <c r="Q238" s="4">
        <v>1</v>
      </c>
      <c r="R238" s="4">
        <v>13367</v>
      </c>
      <c r="S238" s="5">
        <v>15</v>
      </c>
      <c r="T238" s="6">
        <f t="shared" si="9"/>
        <v>11361.95</v>
      </c>
      <c r="U238" s="4">
        <v>-154.09</v>
      </c>
      <c r="V238" t="str">
        <f t="shared" si="10"/>
        <v>Nov</v>
      </c>
      <c r="W238">
        <f t="shared" si="11"/>
        <v>-1.3561932590796473E-2</v>
      </c>
    </row>
    <row r="239" spans="1:23" x14ac:dyDescent="0.4">
      <c r="A239" s="4" t="s">
        <v>1002</v>
      </c>
      <c r="B239" s="4" t="s">
        <v>1003</v>
      </c>
      <c r="C239" s="11">
        <v>45459</v>
      </c>
      <c r="D239" s="4" t="s">
        <v>124</v>
      </c>
      <c r="E239" s="4" t="s">
        <v>24</v>
      </c>
      <c r="F239" s="4" t="s">
        <v>40</v>
      </c>
      <c r="G239" s="4" t="s">
        <v>26</v>
      </c>
      <c r="H239" s="4" t="s">
        <v>1004</v>
      </c>
      <c r="I239" s="4" t="s">
        <v>28</v>
      </c>
      <c r="J239" s="4" t="s">
        <v>62</v>
      </c>
      <c r="K239" s="4" t="s">
        <v>30</v>
      </c>
      <c r="L239" s="4" t="s">
        <v>1005</v>
      </c>
      <c r="M239" s="4" t="s">
        <v>73</v>
      </c>
      <c r="N239" s="4" t="s">
        <v>54</v>
      </c>
      <c r="O239" s="4" t="s">
        <v>46</v>
      </c>
      <c r="P239" s="4" t="s">
        <v>74</v>
      </c>
      <c r="Q239" s="4">
        <v>7</v>
      </c>
      <c r="R239" s="4">
        <v>3197</v>
      </c>
      <c r="S239" s="5">
        <v>5</v>
      </c>
      <c r="T239" s="6">
        <f t="shared" si="9"/>
        <v>21260.05</v>
      </c>
      <c r="U239" s="4">
        <v>2359.87</v>
      </c>
      <c r="V239" t="str">
        <f t="shared" si="10"/>
        <v>Jun</v>
      </c>
      <c r="W239">
        <f t="shared" si="11"/>
        <v>0.11100020931277207</v>
      </c>
    </row>
    <row r="240" spans="1:23" x14ac:dyDescent="0.4">
      <c r="A240" s="4" t="s">
        <v>1006</v>
      </c>
      <c r="B240" s="4" t="s">
        <v>1007</v>
      </c>
      <c r="C240" s="11">
        <v>44781</v>
      </c>
      <c r="D240" s="4" t="s">
        <v>98</v>
      </c>
      <c r="E240" s="4" t="s">
        <v>24</v>
      </c>
      <c r="F240" s="4" t="s">
        <v>40</v>
      </c>
      <c r="G240" s="4" t="s">
        <v>26</v>
      </c>
      <c r="H240" s="4" t="s">
        <v>1008</v>
      </c>
      <c r="I240" s="4" t="s">
        <v>28</v>
      </c>
      <c r="J240" s="4" t="s">
        <v>79</v>
      </c>
      <c r="K240" s="4" t="s">
        <v>101</v>
      </c>
      <c r="L240" s="4" t="s">
        <v>1009</v>
      </c>
      <c r="M240" s="4" t="s">
        <v>32</v>
      </c>
      <c r="N240" s="4" t="s">
        <v>33</v>
      </c>
      <c r="O240" s="4" t="s">
        <v>66</v>
      </c>
      <c r="P240" s="4" t="s">
        <v>74</v>
      </c>
      <c r="Q240" s="4">
        <v>10</v>
      </c>
      <c r="R240" s="4">
        <v>45679</v>
      </c>
      <c r="S240" s="5">
        <v>15</v>
      </c>
      <c r="T240" s="6">
        <f t="shared" si="9"/>
        <v>388271.5</v>
      </c>
      <c r="U240" s="4">
        <v>28274.880000000001</v>
      </c>
      <c r="V240" t="str">
        <f t="shared" si="10"/>
        <v>Aug</v>
      </c>
      <c r="W240">
        <f t="shared" si="11"/>
        <v>7.282244511894384E-2</v>
      </c>
    </row>
    <row r="241" spans="1:23" x14ac:dyDescent="0.4">
      <c r="A241" s="4" t="s">
        <v>1010</v>
      </c>
      <c r="B241" s="4" t="s">
        <v>689</v>
      </c>
      <c r="C241" s="11">
        <v>45224</v>
      </c>
      <c r="D241" s="4" t="s">
        <v>23</v>
      </c>
      <c r="E241" s="4" t="s">
        <v>24</v>
      </c>
      <c r="F241" s="4" t="s">
        <v>70</v>
      </c>
      <c r="G241" s="4" t="s">
        <v>26</v>
      </c>
      <c r="H241" s="4" t="s">
        <v>1011</v>
      </c>
      <c r="I241" s="4" t="s">
        <v>43</v>
      </c>
      <c r="J241" s="4" t="s">
        <v>29</v>
      </c>
      <c r="K241" s="4" t="s">
        <v>44</v>
      </c>
      <c r="L241" s="4" t="s">
        <v>569</v>
      </c>
      <c r="M241" s="4" t="s">
        <v>95</v>
      </c>
      <c r="N241" s="4" t="s">
        <v>33</v>
      </c>
      <c r="O241" s="4" t="s">
        <v>120</v>
      </c>
      <c r="P241" s="4" t="s">
        <v>47</v>
      </c>
      <c r="Q241" s="4">
        <v>5</v>
      </c>
      <c r="R241" s="4">
        <v>4812</v>
      </c>
      <c r="S241" s="5">
        <v>5</v>
      </c>
      <c r="T241" s="6">
        <f t="shared" si="9"/>
        <v>22857</v>
      </c>
      <c r="U241" s="4">
        <v>3986.1</v>
      </c>
      <c r="V241" t="str">
        <f t="shared" si="10"/>
        <v>Oct</v>
      </c>
      <c r="W241">
        <f t="shared" si="11"/>
        <v>0.17439296495603096</v>
      </c>
    </row>
    <row r="242" spans="1:23" x14ac:dyDescent="0.4">
      <c r="A242" s="4" t="s">
        <v>1012</v>
      </c>
      <c r="B242" s="4" t="s">
        <v>1013</v>
      </c>
      <c r="C242" s="11">
        <v>45563</v>
      </c>
      <c r="D242" s="4" t="s">
        <v>124</v>
      </c>
      <c r="E242" s="4" t="s">
        <v>24</v>
      </c>
      <c r="F242" s="4" t="s">
        <v>58</v>
      </c>
      <c r="G242" s="4" t="s">
        <v>59</v>
      </c>
      <c r="H242" s="4" t="s">
        <v>217</v>
      </c>
      <c r="I242" s="4" t="s">
        <v>28</v>
      </c>
      <c r="J242" s="4" t="s">
        <v>62</v>
      </c>
      <c r="K242" s="4" t="s">
        <v>101</v>
      </c>
      <c r="L242" s="4" t="s">
        <v>423</v>
      </c>
      <c r="M242" s="4" t="s">
        <v>95</v>
      </c>
      <c r="N242" s="4" t="s">
        <v>33</v>
      </c>
      <c r="O242" s="4" t="s">
        <v>46</v>
      </c>
      <c r="P242" s="4" t="s">
        <v>47</v>
      </c>
      <c r="Q242" s="4">
        <v>8</v>
      </c>
      <c r="R242" s="4">
        <v>12716</v>
      </c>
      <c r="S242" s="5">
        <v>5</v>
      </c>
      <c r="T242" s="6">
        <f t="shared" si="9"/>
        <v>96641.600000000006</v>
      </c>
      <c r="U242" s="4">
        <v>14227.23</v>
      </c>
      <c r="V242" t="str">
        <f t="shared" si="10"/>
        <v>Sep</v>
      </c>
      <c r="W242">
        <f t="shared" si="11"/>
        <v>0.1472164161189384</v>
      </c>
    </row>
    <row r="243" spans="1:23" x14ac:dyDescent="0.4">
      <c r="A243" s="4" t="s">
        <v>1014</v>
      </c>
      <c r="B243" s="4" t="s">
        <v>1015</v>
      </c>
      <c r="C243" s="11">
        <v>45005</v>
      </c>
      <c r="D243" s="4" t="s">
        <v>39</v>
      </c>
      <c r="E243" s="4" t="s">
        <v>24</v>
      </c>
      <c r="F243" s="4" t="s">
        <v>25</v>
      </c>
      <c r="G243" s="4" t="s">
        <v>99</v>
      </c>
      <c r="H243" s="4" t="s">
        <v>1016</v>
      </c>
      <c r="I243" s="4" t="s">
        <v>43</v>
      </c>
      <c r="J243" s="4" t="s">
        <v>29</v>
      </c>
      <c r="K243" s="4" t="s">
        <v>63</v>
      </c>
      <c r="L243" s="4" t="s">
        <v>319</v>
      </c>
      <c r="M243" s="4" t="s">
        <v>81</v>
      </c>
      <c r="N243" s="4" t="s">
        <v>33</v>
      </c>
      <c r="O243" s="4" t="s">
        <v>46</v>
      </c>
      <c r="P243" s="4" t="s">
        <v>47</v>
      </c>
      <c r="Q243" s="4">
        <v>5</v>
      </c>
      <c r="R243" s="4">
        <v>36658</v>
      </c>
      <c r="S243" s="5">
        <v>5</v>
      </c>
      <c r="T243" s="6">
        <f t="shared" si="9"/>
        <v>174125.5</v>
      </c>
      <c r="U243" s="4">
        <v>36611.18</v>
      </c>
      <c r="V243" t="str">
        <f t="shared" si="10"/>
        <v>Mar</v>
      </c>
      <c r="W243">
        <f t="shared" si="11"/>
        <v>0.21025742926797053</v>
      </c>
    </row>
    <row r="244" spans="1:23" x14ac:dyDescent="0.4">
      <c r="A244" s="4" t="s">
        <v>1017</v>
      </c>
      <c r="B244" s="4" t="s">
        <v>721</v>
      </c>
      <c r="C244" s="11">
        <v>44797</v>
      </c>
      <c r="D244" s="4" t="s">
        <v>124</v>
      </c>
      <c r="E244" s="4" t="s">
        <v>24</v>
      </c>
      <c r="F244" s="4" t="s">
        <v>70</v>
      </c>
      <c r="G244" s="4" t="s">
        <v>92</v>
      </c>
      <c r="H244" s="4" t="s">
        <v>1018</v>
      </c>
      <c r="I244" s="4" t="s">
        <v>28</v>
      </c>
      <c r="J244" s="4" t="s">
        <v>29</v>
      </c>
      <c r="K244" s="4" t="s">
        <v>44</v>
      </c>
      <c r="L244" s="4" t="s">
        <v>311</v>
      </c>
      <c r="M244" s="4" t="s">
        <v>65</v>
      </c>
      <c r="N244" s="4" t="s">
        <v>54</v>
      </c>
      <c r="O244" s="4" t="s">
        <v>82</v>
      </c>
      <c r="P244" s="4" t="s">
        <v>88</v>
      </c>
      <c r="Q244" s="4">
        <v>8</v>
      </c>
      <c r="R244" s="4">
        <v>24638</v>
      </c>
      <c r="S244" s="5">
        <v>10</v>
      </c>
      <c r="T244" s="6">
        <f t="shared" si="9"/>
        <v>177393.6</v>
      </c>
      <c r="U244" s="4">
        <v>-463.86</v>
      </c>
      <c r="V244" t="str">
        <f t="shared" si="10"/>
        <v>Aug</v>
      </c>
      <c r="W244">
        <f t="shared" si="11"/>
        <v>-2.6148632194171605E-3</v>
      </c>
    </row>
    <row r="245" spans="1:23" x14ac:dyDescent="0.4">
      <c r="A245" s="4" t="s">
        <v>1019</v>
      </c>
      <c r="B245" s="4" t="s">
        <v>579</v>
      </c>
      <c r="C245" s="11">
        <v>44749</v>
      </c>
      <c r="D245" s="4" t="s">
        <v>39</v>
      </c>
      <c r="E245" s="4" t="s">
        <v>24</v>
      </c>
      <c r="F245" s="4" t="s">
        <v>26</v>
      </c>
      <c r="G245" s="4" t="s">
        <v>41</v>
      </c>
      <c r="H245" s="4" t="s">
        <v>1020</v>
      </c>
      <c r="I245" s="4" t="s">
        <v>43</v>
      </c>
      <c r="J245" s="4" t="s">
        <v>79</v>
      </c>
      <c r="K245" s="4" t="s">
        <v>153</v>
      </c>
      <c r="L245" s="4" t="s">
        <v>491</v>
      </c>
      <c r="M245" s="4" t="s">
        <v>53</v>
      </c>
      <c r="N245" s="4" t="s">
        <v>54</v>
      </c>
      <c r="O245" s="4" t="s">
        <v>120</v>
      </c>
      <c r="P245" s="4" t="s">
        <v>47</v>
      </c>
      <c r="Q245" s="4">
        <v>5</v>
      </c>
      <c r="R245" s="4">
        <v>28145</v>
      </c>
      <c r="S245" s="5">
        <v>0</v>
      </c>
      <c r="T245" s="6">
        <f t="shared" si="9"/>
        <v>140725</v>
      </c>
      <c r="U245" s="4">
        <v>10691.24</v>
      </c>
      <c r="V245" t="str">
        <f t="shared" si="10"/>
        <v>Jul</v>
      </c>
      <c r="W245">
        <f t="shared" si="11"/>
        <v>7.5972570616450519E-2</v>
      </c>
    </row>
    <row r="246" spans="1:23" x14ac:dyDescent="0.4">
      <c r="A246" s="4" t="s">
        <v>1021</v>
      </c>
      <c r="B246" s="4" t="s">
        <v>1022</v>
      </c>
      <c r="C246" s="11">
        <v>44799</v>
      </c>
      <c r="D246" s="4" t="s">
        <v>124</v>
      </c>
      <c r="E246" s="4" t="s">
        <v>24</v>
      </c>
      <c r="F246" s="4" t="s">
        <v>40</v>
      </c>
      <c r="G246" s="4" t="s">
        <v>92</v>
      </c>
      <c r="H246" s="4" t="s">
        <v>1023</v>
      </c>
      <c r="I246" s="4" t="s">
        <v>43</v>
      </c>
      <c r="J246" s="4" t="s">
        <v>29</v>
      </c>
      <c r="K246" s="4" t="s">
        <v>86</v>
      </c>
      <c r="L246" s="4" t="s">
        <v>740</v>
      </c>
      <c r="M246" s="4" t="s">
        <v>53</v>
      </c>
      <c r="N246" s="4" t="s">
        <v>33</v>
      </c>
      <c r="O246" s="4" t="s">
        <v>120</v>
      </c>
      <c r="P246" s="4" t="s">
        <v>74</v>
      </c>
      <c r="Q246" s="4">
        <v>2</v>
      </c>
      <c r="R246" s="4">
        <v>38280</v>
      </c>
      <c r="S246" s="5">
        <v>15</v>
      </c>
      <c r="T246" s="6">
        <f t="shared" si="9"/>
        <v>65076</v>
      </c>
      <c r="U246" s="4">
        <v>-6551.27</v>
      </c>
      <c r="V246" t="str">
        <f t="shared" si="10"/>
        <v>Aug</v>
      </c>
      <c r="W246">
        <f t="shared" si="11"/>
        <v>-0.10067106152805951</v>
      </c>
    </row>
    <row r="247" spans="1:23" x14ac:dyDescent="0.4">
      <c r="A247" s="4" t="s">
        <v>1024</v>
      </c>
      <c r="B247" s="4" t="s">
        <v>629</v>
      </c>
      <c r="C247" s="11">
        <v>45547</v>
      </c>
      <c r="D247" s="4" t="s">
        <v>39</v>
      </c>
      <c r="E247" s="4" t="s">
        <v>24</v>
      </c>
      <c r="F247" s="4" t="s">
        <v>40</v>
      </c>
      <c r="G247" s="4" t="s">
        <v>59</v>
      </c>
      <c r="H247" s="4" t="s">
        <v>1025</v>
      </c>
      <c r="I247" s="4" t="s">
        <v>61</v>
      </c>
      <c r="J247" s="4" t="s">
        <v>79</v>
      </c>
      <c r="K247" s="4" t="s">
        <v>30</v>
      </c>
      <c r="L247" s="4" t="s">
        <v>1026</v>
      </c>
      <c r="M247" s="4" t="s">
        <v>53</v>
      </c>
      <c r="N247" s="4" t="s">
        <v>54</v>
      </c>
      <c r="O247" s="4" t="s">
        <v>120</v>
      </c>
      <c r="P247" s="4" t="s">
        <v>74</v>
      </c>
      <c r="Q247" s="4">
        <v>3</v>
      </c>
      <c r="R247" s="4">
        <v>7084</v>
      </c>
      <c r="S247" s="5">
        <v>10</v>
      </c>
      <c r="T247" s="6">
        <f t="shared" si="9"/>
        <v>19126.8</v>
      </c>
      <c r="U247" s="4">
        <v>1231.3599999999999</v>
      </c>
      <c r="V247" t="str">
        <f t="shared" si="10"/>
        <v>Sep</v>
      </c>
      <c r="W247">
        <f t="shared" si="11"/>
        <v>6.4378777422255687E-2</v>
      </c>
    </row>
    <row r="248" spans="1:23" x14ac:dyDescent="0.4">
      <c r="A248" s="4" t="s">
        <v>1027</v>
      </c>
      <c r="B248" s="4" t="s">
        <v>1028</v>
      </c>
      <c r="C248" s="11">
        <v>45452</v>
      </c>
      <c r="D248" s="4" t="s">
        <v>98</v>
      </c>
      <c r="E248" s="4" t="s">
        <v>24</v>
      </c>
      <c r="F248" s="4" t="s">
        <v>26</v>
      </c>
      <c r="G248" s="4" t="s">
        <v>99</v>
      </c>
      <c r="H248" s="4" t="s">
        <v>1030</v>
      </c>
      <c r="I248" s="4" t="s">
        <v>61</v>
      </c>
      <c r="J248" s="4" t="s">
        <v>29</v>
      </c>
      <c r="K248" s="4" t="s">
        <v>44</v>
      </c>
      <c r="L248" s="4" t="s">
        <v>1031</v>
      </c>
      <c r="M248" s="4" t="s">
        <v>32</v>
      </c>
      <c r="N248" s="4" t="s">
        <v>54</v>
      </c>
      <c r="O248" s="4" t="s">
        <v>82</v>
      </c>
      <c r="P248" s="4" t="s">
        <v>88</v>
      </c>
      <c r="Q248" s="4">
        <v>7</v>
      </c>
      <c r="R248" s="4">
        <v>48499</v>
      </c>
      <c r="S248" s="5">
        <v>0</v>
      </c>
      <c r="T248" s="6">
        <f t="shared" si="9"/>
        <v>339493</v>
      </c>
      <c r="U248" s="4">
        <v>50145.17</v>
      </c>
      <c r="V248" t="str">
        <f t="shared" si="10"/>
        <v>Jun</v>
      </c>
      <c r="W248">
        <f t="shared" si="11"/>
        <v>0.14770604990382719</v>
      </c>
    </row>
    <row r="249" spans="1:23" x14ac:dyDescent="0.4">
      <c r="A249" s="4" t="s">
        <v>1032</v>
      </c>
      <c r="B249" s="4" t="s">
        <v>174</v>
      </c>
      <c r="C249" s="11">
        <v>44819</v>
      </c>
      <c r="D249" s="4" t="s">
        <v>98</v>
      </c>
      <c r="E249" s="4" t="s">
        <v>24</v>
      </c>
      <c r="F249" s="4" t="s">
        <v>70</v>
      </c>
      <c r="G249" s="4" t="s">
        <v>41</v>
      </c>
      <c r="H249" s="4" t="s">
        <v>1033</v>
      </c>
      <c r="I249" s="4" t="s">
        <v>43</v>
      </c>
      <c r="J249" s="4" t="s">
        <v>79</v>
      </c>
      <c r="K249" s="4" t="s">
        <v>153</v>
      </c>
      <c r="L249" s="4" t="s">
        <v>382</v>
      </c>
      <c r="M249" s="4" t="s">
        <v>53</v>
      </c>
      <c r="N249" s="4" t="s">
        <v>33</v>
      </c>
      <c r="O249" s="4" t="s">
        <v>46</v>
      </c>
      <c r="P249" s="4" t="s">
        <v>74</v>
      </c>
      <c r="Q249" s="4">
        <v>7</v>
      </c>
      <c r="R249" s="4">
        <v>7445</v>
      </c>
      <c r="S249" s="5">
        <v>15</v>
      </c>
      <c r="T249" s="6">
        <f t="shared" si="9"/>
        <v>44297.75</v>
      </c>
      <c r="U249" s="4">
        <v>-4499.9399999999996</v>
      </c>
      <c r="V249" t="str">
        <f t="shared" si="10"/>
        <v>Sep</v>
      </c>
      <c r="W249">
        <f t="shared" si="11"/>
        <v>-0.10158394049359165</v>
      </c>
    </row>
    <row r="250" spans="1:23" x14ac:dyDescent="0.4">
      <c r="A250" s="4" t="s">
        <v>1034</v>
      </c>
      <c r="B250" s="4" t="s">
        <v>706</v>
      </c>
      <c r="C250" s="11">
        <v>45010</v>
      </c>
      <c r="D250" s="4" t="s">
        <v>23</v>
      </c>
      <c r="E250" s="4" t="s">
        <v>24</v>
      </c>
      <c r="F250" s="4" t="s">
        <v>26</v>
      </c>
      <c r="G250" s="4" t="s">
        <v>99</v>
      </c>
      <c r="H250" s="4" t="s">
        <v>1035</v>
      </c>
      <c r="I250" s="4" t="s">
        <v>28</v>
      </c>
      <c r="J250" s="4" t="s">
        <v>62</v>
      </c>
      <c r="K250" s="4" t="s">
        <v>153</v>
      </c>
      <c r="L250" s="4" t="s">
        <v>636</v>
      </c>
      <c r="M250" s="4" t="s">
        <v>73</v>
      </c>
      <c r="N250" s="4" t="s">
        <v>33</v>
      </c>
      <c r="O250" s="4" t="s">
        <v>46</v>
      </c>
      <c r="P250" s="4" t="s">
        <v>74</v>
      </c>
      <c r="Q250" s="4">
        <v>4</v>
      </c>
      <c r="R250" s="4">
        <v>23590</v>
      </c>
      <c r="S250" s="5">
        <v>5</v>
      </c>
      <c r="T250" s="6">
        <f t="shared" si="9"/>
        <v>89642</v>
      </c>
      <c r="U250" s="4">
        <v>10772.17</v>
      </c>
      <c r="V250" t="str">
        <f t="shared" si="10"/>
        <v>Mar</v>
      </c>
      <c r="W250">
        <f t="shared" si="11"/>
        <v>0.12016878249035051</v>
      </c>
    </row>
    <row r="251" spans="1:23" x14ac:dyDescent="0.4">
      <c r="A251" s="4" t="s">
        <v>1036</v>
      </c>
      <c r="B251" s="4" t="s">
        <v>1037</v>
      </c>
      <c r="C251" s="11">
        <v>44774</v>
      </c>
      <c r="D251" s="4" t="s">
        <v>23</v>
      </c>
      <c r="E251" s="4" t="s">
        <v>24</v>
      </c>
      <c r="F251" s="4" t="s">
        <v>25</v>
      </c>
      <c r="G251" s="4" t="s">
        <v>99</v>
      </c>
      <c r="H251" s="4" t="s">
        <v>1039</v>
      </c>
      <c r="I251" s="4" t="s">
        <v>61</v>
      </c>
      <c r="J251" s="4" t="s">
        <v>79</v>
      </c>
      <c r="K251" s="4" t="s">
        <v>30</v>
      </c>
      <c r="L251" s="4" t="s">
        <v>1040</v>
      </c>
      <c r="M251" s="4" t="s">
        <v>73</v>
      </c>
      <c r="N251" s="4" t="s">
        <v>33</v>
      </c>
      <c r="O251" s="4" t="s">
        <v>66</v>
      </c>
      <c r="P251" s="4" t="s">
        <v>74</v>
      </c>
      <c r="Q251" s="4">
        <v>5</v>
      </c>
      <c r="R251" s="4">
        <v>27352</v>
      </c>
      <c r="S251" s="5">
        <v>15</v>
      </c>
      <c r="T251" s="6">
        <f t="shared" si="9"/>
        <v>116246</v>
      </c>
      <c r="U251" s="4">
        <v>16058.3</v>
      </c>
      <c r="V251" t="str">
        <f t="shared" si="10"/>
        <v>Jul</v>
      </c>
      <c r="W251">
        <f t="shared" si="11"/>
        <v>0.1381406672057533</v>
      </c>
    </row>
    <row r="252" spans="1:23" x14ac:dyDescent="0.4">
      <c r="A252" s="4" t="s">
        <v>1041</v>
      </c>
      <c r="B252" s="4" t="s">
        <v>1042</v>
      </c>
      <c r="C252" s="11">
        <v>45487</v>
      </c>
      <c r="D252" s="4" t="s">
        <v>39</v>
      </c>
      <c r="E252" s="4" t="s">
        <v>24</v>
      </c>
      <c r="F252" s="4" t="s">
        <v>25</v>
      </c>
      <c r="G252" s="4" t="s">
        <v>41</v>
      </c>
      <c r="H252" s="4" t="s">
        <v>1043</v>
      </c>
      <c r="I252" s="4" t="s">
        <v>28</v>
      </c>
      <c r="J252" s="4" t="s">
        <v>29</v>
      </c>
      <c r="K252" s="4" t="s">
        <v>153</v>
      </c>
      <c r="L252" s="4" t="s">
        <v>675</v>
      </c>
      <c r="M252" s="4" t="s">
        <v>53</v>
      </c>
      <c r="N252" s="4" t="s">
        <v>54</v>
      </c>
      <c r="O252" s="4" t="s">
        <v>66</v>
      </c>
      <c r="P252" s="4" t="s">
        <v>35</v>
      </c>
      <c r="Q252" s="4">
        <v>1</v>
      </c>
      <c r="R252" s="4">
        <v>14495</v>
      </c>
      <c r="S252" s="5">
        <v>15</v>
      </c>
      <c r="T252" s="6">
        <f t="shared" si="9"/>
        <v>12320.75</v>
      </c>
      <c r="U252" s="4">
        <v>130.08000000000001</v>
      </c>
      <c r="V252" t="str">
        <f t="shared" si="10"/>
        <v>Jul</v>
      </c>
      <c r="W252">
        <f t="shared" si="11"/>
        <v>1.0557798835298176E-2</v>
      </c>
    </row>
    <row r="253" spans="1:23" x14ac:dyDescent="0.4">
      <c r="A253" s="4" t="s">
        <v>1044</v>
      </c>
      <c r="B253" s="4" t="s">
        <v>1045</v>
      </c>
      <c r="C253" s="11">
        <v>45168</v>
      </c>
      <c r="D253" s="4" t="s">
        <v>98</v>
      </c>
      <c r="E253" s="4" t="s">
        <v>24</v>
      </c>
      <c r="F253" s="4" t="s">
        <v>26</v>
      </c>
      <c r="G253" s="4" t="s">
        <v>92</v>
      </c>
      <c r="H253" s="4" t="s">
        <v>1047</v>
      </c>
      <c r="I253" s="4" t="s">
        <v>43</v>
      </c>
      <c r="J253" s="4" t="s">
        <v>79</v>
      </c>
      <c r="K253" s="4" t="s">
        <v>153</v>
      </c>
      <c r="L253" s="4" t="s">
        <v>511</v>
      </c>
      <c r="M253" s="4" t="s">
        <v>81</v>
      </c>
      <c r="N253" s="4" t="s">
        <v>33</v>
      </c>
      <c r="O253" s="4" t="s">
        <v>120</v>
      </c>
      <c r="P253" s="4" t="s">
        <v>88</v>
      </c>
      <c r="Q253" s="4">
        <v>3</v>
      </c>
      <c r="R253" s="4">
        <v>45095</v>
      </c>
      <c r="S253" s="5">
        <v>20</v>
      </c>
      <c r="T253" s="6">
        <f t="shared" si="9"/>
        <v>108228</v>
      </c>
      <c r="U253" s="4">
        <v>11277.41</v>
      </c>
      <c r="V253" t="str">
        <f t="shared" si="10"/>
        <v>Aug</v>
      </c>
      <c r="W253">
        <f t="shared" si="11"/>
        <v>0.10420048416306316</v>
      </c>
    </row>
    <row r="254" spans="1:23" x14ac:dyDescent="0.4">
      <c r="A254" s="4" t="s">
        <v>1048</v>
      </c>
      <c r="B254" s="4" t="s">
        <v>1049</v>
      </c>
      <c r="C254" s="11">
        <v>45409</v>
      </c>
      <c r="D254" s="4" t="s">
        <v>23</v>
      </c>
      <c r="E254" s="4" t="s">
        <v>24</v>
      </c>
      <c r="F254" s="4" t="s">
        <v>58</v>
      </c>
      <c r="G254" s="4" t="s">
        <v>59</v>
      </c>
      <c r="H254" s="4" t="s">
        <v>1051</v>
      </c>
      <c r="I254" s="4" t="s">
        <v>43</v>
      </c>
      <c r="J254" s="4" t="s">
        <v>62</v>
      </c>
      <c r="K254" s="4" t="s">
        <v>30</v>
      </c>
      <c r="L254" s="4" t="s">
        <v>144</v>
      </c>
      <c r="M254" s="4" t="s">
        <v>95</v>
      </c>
      <c r="N254" s="4" t="s">
        <v>54</v>
      </c>
      <c r="O254" s="4" t="s">
        <v>66</v>
      </c>
      <c r="P254" s="4" t="s">
        <v>35</v>
      </c>
      <c r="Q254" s="4">
        <v>9</v>
      </c>
      <c r="R254" s="4">
        <v>35531</v>
      </c>
      <c r="S254" s="5">
        <v>0</v>
      </c>
      <c r="T254" s="6">
        <f t="shared" si="9"/>
        <v>319779</v>
      </c>
      <c r="U254" s="4">
        <v>70546.990000000005</v>
      </c>
      <c r="V254" t="str">
        <f t="shared" si="10"/>
        <v>Apr</v>
      </c>
      <c r="W254">
        <f t="shared" si="11"/>
        <v>0.22061170370787328</v>
      </c>
    </row>
    <row r="255" spans="1:23" x14ac:dyDescent="0.4">
      <c r="A255" s="4" t="s">
        <v>1052</v>
      </c>
      <c r="B255" s="4" t="s">
        <v>1053</v>
      </c>
      <c r="C255" s="11">
        <v>45083</v>
      </c>
      <c r="D255" s="4" t="s">
        <v>124</v>
      </c>
      <c r="E255" s="4" t="s">
        <v>24</v>
      </c>
      <c r="F255" s="4" t="s">
        <v>40</v>
      </c>
      <c r="G255" s="4" t="s">
        <v>26</v>
      </c>
      <c r="H255" s="4" t="s">
        <v>1054</v>
      </c>
      <c r="I255" s="4" t="s">
        <v>28</v>
      </c>
      <c r="J255" s="4" t="s">
        <v>29</v>
      </c>
      <c r="K255" s="4" t="s">
        <v>30</v>
      </c>
      <c r="L255" s="4" t="s">
        <v>900</v>
      </c>
      <c r="M255" s="4" t="s">
        <v>53</v>
      </c>
      <c r="N255" s="4" t="s">
        <v>33</v>
      </c>
      <c r="O255" s="4" t="s">
        <v>82</v>
      </c>
      <c r="P255" s="4" t="s">
        <v>74</v>
      </c>
      <c r="Q255" s="4">
        <v>3</v>
      </c>
      <c r="R255" s="4">
        <v>33677</v>
      </c>
      <c r="S255" s="5">
        <v>20</v>
      </c>
      <c r="T255" s="6">
        <f t="shared" si="9"/>
        <v>80824.800000000003</v>
      </c>
      <c r="U255" s="4">
        <v>-1249.81</v>
      </c>
      <c r="V255" t="str">
        <f t="shared" si="10"/>
        <v>May</v>
      </c>
      <c r="W255">
        <f t="shared" si="11"/>
        <v>-1.5463199414041234E-2</v>
      </c>
    </row>
    <row r="256" spans="1:23" x14ac:dyDescent="0.4">
      <c r="A256" s="4" t="s">
        <v>1055</v>
      </c>
      <c r="B256" s="4" t="s">
        <v>1056</v>
      </c>
      <c r="C256" s="11">
        <v>45187</v>
      </c>
      <c r="D256" s="4" t="s">
        <v>98</v>
      </c>
      <c r="E256" s="4" t="s">
        <v>24</v>
      </c>
      <c r="F256" s="4" t="s">
        <v>58</v>
      </c>
      <c r="G256" s="4" t="s">
        <v>59</v>
      </c>
      <c r="H256" s="4" t="s">
        <v>1057</v>
      </c>
      <c r="I256" s="4" t="s">
        <v>43</v>
      </c>
      <c r="J256" s="4" t="s">
        <v>79</v>
      </c>
      <c r="K256" s="4" t="s">
        <v>153</v>
      </c>
      <c r="L256" s="4" t="s">
        <v>369</v>
      </c>
      <c r="M256" s="4" t="s">
        <v>32</v>
      </c>
      <c r="N256" s="4" t="s">
        <v>33</v>
      </c>
      <c r="O256" s="4" t="s">
        <v>120</v>
      </c>
      <c r="P256" s="4" t="s">
        <v>74</v>
      </c>
      <c r="Q256" s="4">
        <v>10</v>
      </c>
      <c r="R256" s="4">
        <v>29244</v>
      </c>
      <c r="S256" s="5">
        <v>0</v>
      </c>
      <c r="T256" s="6">
        <f t="shared" si="9"/>
        <v>292440</v>
      </c>
      <c r="U256" s="4">
        <v>19766.419999999998</v>
      </c>
      <c r="V256" t="str">
        <f t="shared" si="10"/>
        <v>Sep</v>
      </c>
      <c r="W256">
        <f t="shared" si="11"/>
        <v>6.7591369169744217E-2</v>
      </c>
    </row>
    <row r="257" spans="1:23" x14ac:dyDescent="0.4">
      <c r="A257" s="4" t="s">
        <v>1058</v>
      </c>
      <c r="B257" s="4" t="s">
        <v>322</v>
      </c>
      <c r="C257" s="11">
        <v>45426</v>
      </c>
      <c r="D257" s="4" t="s">
        <v>23</v>
      </c>
      <c r="E257" s="4" t="s">
        <v>24</v>
      </c>
      <c r="F257" s="4" t="s">
        <v>40</v>
      </c>
      <c r="G257" s="4" t="s">
        <v>41</v>
      </c>
      <c r="H257" s="4" t="s">
        <v>1059</v>
      </c>
      <c r="I257" s="4" t="s">
        <v>43</v>
      </c>
      <c r="J257" s="4" t="s">
        <v>79</v>
      </c>
      <c r="K257" s="4" t="s">
        <v>153</v>
      </c>
      <c r="L257" s="4" t="s">
        <v>641</v>
      </c>
      <c r="M257" s="4" t="s">
        <v>73</v>
      </c>
      <c r="N257" s="4" t="s">
        <v>33</v>
      </c>
      <c r="O257" s="4" t="s">
        <v>82</v>
      </c>
      <c r="P257" s="4" t="s">
        <v>88</v>
      </c>
      <c r="Q257" s="4">
        <v>6</v>
      </c>
      <c r="R257" s="4">
        <v>1701</v>
      </c>
      <c r="S257" s="5">
        <v>15</v>
      </c>
      <c r="T257" s="6">
        <f t="shared" si="9"/>
        <v>8675.1</v>
      </c>
      <c r="U257" s="4">
        <v>-314.39999999999998</v>
      </c>
      <c r="V257" t="str">
        <f t="shared" si="10"/>
        <v>May</v>
      </c>
      <c r="W257">
        <f t="shared" si="11"/>
        <v>-3.6241657156689831E-2</v>
      </c>
    </row>
    <row r="258" spans="1:23" x14ac:dyDescent="0.4">
      <c r="A258" s="4" t="s">
        <v>1060</v>
      </c>
      <c r="B258" s="4" t="s">
        <v>192</v>
      </c>
      <c r="C258" s="11">
        <v>44962</v>
      </c>
      <c r="D258" s="4" t="s">
        <v>98</v>
      </c>
      <c r="E258" s="4" t="s">
        <v>24</v>
      </c>
      <c r="F258" s="4" t="s">
        <v>70</v>
      </c>
      <c r="G258" s="4" t="s">
        <v>26</v>
      </c>
      <c r="H258" s="4" t="s">
        <v>1061</v>
      </c>
      <c r="I258" s="4" t="s">
        <v>61</v>
      </c>
      <c r="J258" s="4" t="s">
        <v>79</v>
      </c>
      <c r="K258" s="4" t="s">
        <v>44</v>
      </c>
      <c r="L258" s="4" t="s">
        <v>352</v>
      </c>
      <c r="M258" s="4" t="s">
        <v>95</v>
      </c>
      <c r="N258" s="4" t="s">
        <v>33</v>
      </c>
      <c r="O258" s="4" t="s">
        <v>66</v>
      </c>
      <c r="P258" s="4" t="s">
        <v>88</v>
      </c>
      <c r="Q258" s="4">
        <v>4</v>
      </c>
      <c r="R258" s="4">
        <v>27537</v>
      </c>
      <c r="S258" s="5">
        <v>5</v>
      </c>
      <c r="T258" s="6">
        <f t="shared" si="9"/>
        <v>104640.6</v>
      </c>
      <c r="U258" s="4">
        <v>18765.09</v>
      </c>
      <c r="V258" t="str">
        <f t="shared" si="10"/>
        <v>Jan</v>
      </c>
      <c r="W258">
        <f t="shared" si="11"/>
        <v>0.17932896026972323</v>
      </c>
    </row>
    <row r="259" spans="1:23" x14ac:dyDescent="0.4">
      <c r="A259" s="4" t="s">
        <v>1062</v>
      </c>
      <c r="B259" s="4" t="s">
        <v>527</v>
      </c>
      <c r="C259" s="11">
        <v>45182</v>
      </c>
      <c r="D259" s="4" t="s">
        <v>39</v>
      </c>
      <c r="E259" s="4" t="s">
        <v>24</v>
      </c>
      <c r="F259" s="4" t="s">
        <v>25</v>
      </c>
      <c r="G259" s="4" t="s">
        <v>99</v>
      </c>
      <c r="H259" s="4" t="s">
        <v>1064</v>
      </c>
      <c r="I259" s="4" t="s">
        <v>61</v>
      </c>
      <c r="J259" s="4" t="s">
        <v>62</v>
      </c>
      <c r="K259" s="4" t="s">
        <v>44</v>
      </c>
      <c r="L259" s="4" t="s">
        <v>1065</v>
      </c>
      <c r="M259" s="4" t="s">
        <v>95</v>
      </c>
      <c r="N259" s="4" t="s">
        <v>33</v>
      </c>
      <c r="O259" s="4" t="s">
        <v>82</v>
      </c>
      <c r="P259" s="4" t="s">
        <v>35</v>
      </c>
      <c r="Q259" s="4">
        <v>5</v>
      </c>
      <c r="R259" s="4">
        <v>7125</v>
      </c>
      <c r="S259" s="5">
        <v>10</v>
      </c>
      <c r="T259" s="6">
        <f t="shared" ref="T259:T322" si="12">Q259*R259*(100-S259)/100</f>
        <v>32062.5</v>
      </c>
      <c r="U259" s="4">
        <v>-973.67</v>
      </c>
      <c r="V259" t="str">
        <f t="shared" ref="V259:V322" si="13">TEXT(B259,"MMM")</f>
        <v>Sep</v>
      </c>
      <c r="W259">
        <f t="shared" ref="W259:W322" si="14">U259/T259</f>
        <v>-3.0367875243664716E-2</v>
      </c>
    </row>
    <row r="260" spans="1:23" x14ac:dyDescent="0.4">
      <c r="A260" s="4" t="s">
        <v>1066</v>
      </c>
      <c r="B260" s="4" t="s">
        <v>1067</v>
      </c>
      <c r="C260" s="11">
        <v>45453</v>
      </c>
      <c r="D260" s="4" t="s">
        <v>23</v>
      </c>
      <c r="E260" s="4" t="s">
        <v>24</v>
      </c>
      <c r="F260" s="4" t="s">
        <v>70</v>
      </c>
      <c r="G260" s="4" t="s">
        <v>99</v>
      </c>
      <c r="H260" s="4" t="s">
        <v>1068</v>
      </c>
      <c r="I260" s="4" t="s">
        <v>43</v>
      </c>
      <c r="J260" s="4" t="s">
        <v>29</v>
      </c>
      <c r="K260" s="4" t="s">
        <v>63</v>
      </c>
      <c r="L260" s="4" t="s">
        <v>135</v>
      </c>
      <c r="M260" s="4" t="s">
        <v>53</v>
      </c>
      <c r="N260" s="4" t="s">
        <v>33</v>
      </c>
      <c r="O260" s="4" t="s">
        <v>82</v>
      </c>
      <c r="P260" s="4" t="s">
        <v>88</v>
      </c>
      <c r="Q260" s="4">
        <v>6</v>
      </c>
      <c r="R260" s="4">
        <v>10636</v>
      </c>
      <c r="S260" s="5">
        <v>20</v>
      </c>
      <c r="T260" s="6">
        <f t="shared" si="12"/>
        <v>51052.800000000003</v>
      </c>
      <c r="U260" s="4">
        <v>-5115.3500000000004</v>
      </c>
      <c r="V260" t="str">
        <f t="shared" si="13"/>
        <v>Jun</v>
      </c>
      <c r="W260">
        <f t="shared" si="14"/>
        <v>-0.10019724677196941</v>
      </c>
    </row>
    <row r="261" spans="1:23" x14ac:dyDescent="0.4">
      <c r="A261" s="4" t="s">
        <v>1069</v>
      </c>
      <c r="B261" s="4" t="s">
        <v>514</v>
      </c>
      <c r="C261" s="11">
        <v>44817</v>
      </c>
      <c r="D261" s="4" t="s">
        <v>124</v>
      </c>
      <c r="E261" s="4" t="s">
        <v>24</v>
      </c>
      <c r="F261" s="4" t="s">
        <v>40</v>
      </c>
      <c r="G261" s="4" t="s">
        <v>92</v>
      </c>
      <c r="H261" s="4" t="s">
        <v>1070</v>
      </c>
      <c r="I261" s="4" t="s">
        <v>28</v>
      </c>
      <c r="J261" s="4" t="s">
        <v>62</v>
      </c>
      <c r="K261" s="4" t="s">
        <v>153</v>
      </c>
      <c r="L261" s="4" t="s">
        <v>1031</v>
      </c>
      <c r="M261" s="4" t="s">
        <v>95</v>
      </c>
      <c r="N261" s="4" t="s">
        <v>33</v>
      </c>
      <c r="O261" s="4" t="s">
        <v>46</v>
      </c>
      <c r="P261" s="4" t="s">
        <v>47</v>
      </c>
      <c r="Q261" s="4">
        <v>7</v>
      </c>
      <c r="R261" s="4">
        <v>28200</v>
      </c>
      <c r="S261" s="5">
        <v>20</v>
      </c>
      <c r="T261" s="6">
        <f t="shared" si="12"/>
        <v>157920</v>
      </c>
      <c r="U261" s="4">
        <v>-1013.54</v>
      </c>
      <c r="V261" t="str">
        <f t="shared" si="13"/>
        <v>Sep</v>
      </c>
      <c r="W261">
        <f t="shared" si="14"/>
        <v>-6.4180597771023298E-3</v>
      </c>
    </row>
    <row r="262" spans="1:23" x14ac:dyDescent="0.4">
      <c r="A262" s="4" t="s">
        <v>1071</v>
      </c>
      <c r="B262" s="4" t="s">
        <v>607</v>
      </c>
      <c r="C262" s="11">
        <v>45361</v>
      </c>
      <c r="D262" s="4" t="s">
        <v>98</v>
      </c>
      <c r="E262" s="4" t="s">
        <v>24</v>
      </c>
      <c r="F262" s="4" t="s">
        <v>70</v>
      </c>
      <c r="G262" s="4" t="s">
        <v>26</v>
      </c>
      <c r="H262" s="4" t="s">
        <v>1073</v>
      </c>
      <c r="I262" s="4" t="s">
        <v>43</v>
      </c>
      <c r="J262" s="4" t="s">
        <v>79</v>
      </c>
      <c r="K262" s="4" t="s">
        <v>30</v>
      </c>
      <c r="L262" s="4" t="s">
        <v>627</v>
      </c>
      <c r="M262" s="4" t="s">
        <v>95</v>
      </c>
      <c r="N262" s="4" t="s">
        <v>54</v>
      </c>
      <c r="O262" s="4" t="s">
        <v>34</v>
      </c>
      <c r="P262" s="4" t="s">
        <v>88</v>
      </c>
      <c r="Q262" s="4">
        <v>4</v>
      </c>
      <c r="R262" s="4">
        <v>39633</v>
      </c>
      <c r="S262" s="5">
        <v>20</v>
      </c>
      <c r="T262" s="6">
        <f t="shared" si="12"/>
        <v>126825.60000000001</v>
      </c>
      <c r="U262" s="4">
        <v>12927.64</v>
      </c>
      <c r="V262" t="str">
        <f t="shared" si="13"/>
        <v>Mar</v>
      </c>
      <c r="W262">
        <f t="shared" si="14"/>
        <v>0.1019324174299195</v>
      </c>
    </row>
    <row r="263" spans="1:23" x14ac:dyDescent="0.4">
      <c r="A263" s="4" t="s">
        <v>1074</v>
      </c>
      <c r="B263" s="4" t="s">
        <v>1075</v>
      </c>
      <c r="C263" s="11">
        <v>44711</v>
      </c>
      <c r="D263" s="4" t="s">
        <v>39</v>
      </c>
      <c r="E263" s="4" t="s">
        <v>24</v>
      </c>
      <c r="F263" s="4" t="s">
        <v>26</v>
      </c>
      <c r="G263" s="4" t="s">
        <v>41</v>
      </c>
      <c r="H263" s="4" t="s">
        <v>1077</v>
      </c>
      <c r="I263" s="4" t="s">
        <v>28</v>
      </c>
      <c r="J263" s="4" t="s">
        <v>79</v>
      </c>
      <c r="K263" s="4" t="s">
        <v>30</v>
      </c>
      <c r="L263" s="4" t="s">
        <v>535</v>
      </c>
      <c r="M263" s="4" t="s">
        <v>32</v>
      </c>
      <c r="N263" s="4" t="s">
        <v>33</v>
      </c>
      <c r="O263" s="4" t="s">
        <v>82</v>
      </c>
      <c r="P263" s="4" t="s">
        <v>35</v>
      </c>
      <c r="Q263" s="4">
        <v>1</v>
      </c>
      <c r="R263" s="4">
        <v>1051</v>
      </c>
      <c r="S263" s="5">
        <v>0</v>
      </c>
      <c r="T263" s="6">
        <f t="shared" si="12"/>
        <v>1051</v>
      </c>
      <c r="U263" s="4">
        <v>135.01</v>
      </c>
      <c r="V263" t="str">
        <f t="shared" si="13"/>
        <v>May</v>
      </c>
      <c r="W263">
        <f t="shared" si="14"/>
        <v>0.12845861084681254</v>
      </c>
    </row>
    <row r="264" spans="1:23" x14ac:dyDescent="0.4">
      <c r="A264" s="4" t="s">
        <v>1078</v>
      </c>
      <c r="B264" s="4" t="s">
        <v>1079</v>
      </c>
      <c r="C264" s="11">
        <v>44704</v>
      </c>
      <c r="D264" s="4" t="s">
        <v>39</v>
      </c>
      <c r="E264" s="4" t="s">
        <v>24</v>
      </c>
      <c r="F264" s="4" t="s">
        <v>70</v>
      </c>
      <c r="G264" s="4" t="s">
        <v>92</v>
      </c>
      <c r="H264" s="4" t="s">
        <v>1080</v>
      </c>
      <c r="I264" s="4" t="s">
        <v>43</v>
      </c>
      <c r="J264" s="4" t="s">
        <v>29</v>
      </c>
      <c r="K264" s="4" t="s">
        <v>44</v>
      </c>
      <c r="L264" s="4" t="s">
        <v>792</v>
      </c>
      <c r="M264" s="4" t="s">
        <v>81</v>
      </c>
      <c r="N264" s="4" t="s">
        <v>33</v>
      </c>
      <c r="O264" s="4" t="s">
        <v>82</v>
      </c>
      <c r="P264" s="4" t="s">
        <v>74</v>
      </c>
      <c r="Q264" s="4">
        <v>1</v>
      </c>
      <c r="R264" s="4">
        <v>13564</v>
      </c>
      <c r="S264" s="5">
        <v>0</v>
      </c>
      <c r="T264" s="6">
        <f t="shared" si="12"/>
        <v>13564</v>
      </c>
      <c r="U264" s="4">
        <v>2488.59</v>
      </c>
      <c r="V264" t="str">
        <f t="shared" si="13"/>
        <v>May</v>
      </c>
      <c r="W264">
        <f t="shared" si="14"/>
        <v>0.18347021527572988</v>
      </c>
    </row>
    <row r="265" spans="1:23" x14ac:dyDescent="0.4">
      <c r="A265" s="4" t="s">
        <v>1081</v>
      </c>
      <c r="B265" s="4" t="s">
        <v>133</v>
      </c>
      <c r="C265" s="11">
        <v>44571</v>
      </c>
      <c r="D265" s="4" t="s">
        <v>98</v>
      </c>
      <c r="E265" s="4" t="s">
        <v>24</v>
      </c>
      <c r="F265" s="4" t="s">
        <v>70</v>
      </c>
      <c r="G265" s="4" t="s">
        <v>59</v>
      </c>
      <c r="H265" s="4" t="s">
        <v>1082</v>
      </c>
      <c r="I265" s="4" t="s">
        <v>28</v>
      </c>
      <c r="J265" s="4" t="s">
        <v>79</v>
      </c>
      <c r="K265" s="4" t="s">
        <v>86</v>
      </c>
      <c r="L265" s="4" t="s">
        <v>154</v>
      </c>
      <c r="M265" s="4" t="s">
        <v>81</v>
      </c>
      <c r="N265" s="4" t="s">
        <v>33</v>
      </c>
      <c r="O265" s="4" t="s">
        <v>46</v>
      </c>
      <c r="P265" s="4" t="s">
        <v>47</v>
      </c>
      <c r="Q265" s="4">
        <v>2</v>
      </c>
      <c r="R265" s="4">
        <v>45190</v>
      </c>
      <c r="S265" s="5">
        <v>0</v>
      </c>
      <c r="T265" s="6">
        <f t="shared" si="12"/>
        <v>90380</v>
      </c>
      <c r="U265" s="4">
        <v>12213.64</v>
      </c>
      <c r="V265" t="str">
        <f t="shared" si="13"/>
        <v>Jan</v>
      </c>
      <c r="W265">
        <f t="shared" si="14"/>
        <v>0.13513653463155564</v>
      </c>
    </row>
    <row r="266" spans="1:23" x14ac:dyDescent="0.4">
      <c r="A266" s="4" t="s">
        <v>1083</v>
      </c>
      <c r="B266" s="4" t="s">
        <v>894</v>
      </c>
      <c r="C266" s="11">
        <v>44714</v>
      </c>
      <c r="D266" s="4" t="s">
        <v>124</v>
      </c>
      <c r="E266" s="4" t="s">
        <v>24</v>
      </c>
      <c r="F266" s="4" t="s">
        <v>70</v>
      </c>
      <c r="G266" s="4" t="s">
        <v>26</v>
      </c>
      <c r="H266" s="4" t="s">
        <v>1085</v>
      </c>
      <c r="I266" s="4" t="s">
        <v>28</v>
      </c>
      <c r="J266" s="4" t="s">
        <v>62</v>
      </c>
      <c r="K266" s="4" t="s">
        <v>63</v>
      </c>
      <c r="L266" s="4" t="s">
        <v>666</v>
      </c>
      <c r="M266" s="4" t="s">
        <v>81</v>
      </c>
      <c r="N266" s="4" t="s">
        <v>33</v>
      </c>
      <c r="O266" s="4" t="s">
        <v>66</v>
      </c>
      <c r="P266" s="4" t="s">
        <v>88</v>
      </c>
      <c r="Q266" s="4">
        <v>3</v>
      </c>
      <c r="R266" s="4">
        <v>36219</v>
      </c>
      <c r="S266" s="5">
        <v>15</v>
      </c>
      <c r="T266" s="6">
        <f t="shared" si="12"/>
        <v>92358.45</v>
      </c>
      <c r="U266" s="4">
        <v>-7752.88</v>
      </c>
      <c r="V266" t="str">
        <f t="shared" si="13"/>
        <v>May</v>
      </c>
      <c r="W266">
        <f t="shared" si="14"/>
        <v>-8.3943374970021703E-2</v>
      </c>
    </row>
    <row r="267" spans="1:23" x14ac:dyDescent="0.4">
      <c r="A267" s="4" t="s">
        <v>1086</v>
      </c>
      <c r="B267" s="4" t="s">
        <v>346</v>
      </c>
      <c r="C267" s="11">
        <v>44981</v>
      </c>
      <c r="D267" s="4" t="s">
        <v>98</v>
      </c>
      <c r="E267" s="4" t="s">
        <v>24</v>
      </c>
      <c r="F267" s="4" t="s">
        <v>25</v>
      </c>
      <c r="G267" s="4" t="s">
        <v>92</v>
      </c>
      <c r="H267" s="4" t="s">
        <v>1088</v>
      </c>
      <c r="I267" s="4" t="s">
        <v>28</v>
      </c>
      <c r="J267" s="4" t="s">
        <v>79</v>
      </c>
      <c r="K267" s="4" t="s">
        <v>153</v>
      </c>
      <c r="L267" s="4" t="s">
        <v>1089</v>
      </c>
      <c r="M267" s="4" t="s">
        <v>73</v>
      </c>
      <c r="N267" s="4" t="s">
        <v>54</v>
      </c>
      <c r="O267" s="4" t="s">
        <v>34</v>
      </c>
      <c r="P267" s="4" t="s">
        <v>88</v>
      </c>
      <c r="Q267" s="4">
        <v>6</v>
      </c>
      <c r="R267" s="4">
        <v>5517</v>
      </c>
      <c r="S267" s="5">
        <v>0</v>
      </c>
      <c r="T267" s="6">
        <f t="shared" si="12"/>
        <v>33102</v>
      </c>
      <c r="U267" s="4">
        <v>3114.67</v>
      </c>
      <c r="V267" t="str">
        <f t="shared" si="13"/>
        <v>Feb</v>
      </c>
      <c r="W267">
        <f t="shared" si="14"/>
        <v>9.4093106156727696E-2</v>
      </c>
    </row>
    <row r="268" spans="1:23" x14ac:dyDescent="0.4">
      <c r="A268" s="4" t="s">
        <v>1090</v>
      </c>
      <c r="B268" s="4" t="s">
        <v>1091</v>
      </c>
      <c r="C268" s="11">
        <v>45523</v>
      </c>
      <c r="D268" s="4" t="s">
        <v>98</v>
      </c>
      <c r="E268" s="4" t="s">
        <v>24</v>
      </c>
      <c r="F268" s="4" t="s">
        <v>70</v>
      </c>
      <c r="G268" s="4" t="s">
        <v>99</v>
      </c>
      <c r="H268" s="4" t="s">
        <v>1093</v>
      </c>
      <c r="I268" s="4" t="s">
        <v>43</v>
      </c>
      <c r="J268" s="4" t="s">
        <v>29</v>
      </c>
      <c r="K268" s="4" t="s">
        <v>86</v>
      </c>
      <c r="L268" s="4" t="s">
        <v>181</v>
      </c>
      <c r="M268" s="4" t="s">
        <v>95</v>
      </c>
      <c r="N268" s="4" t="s">
        <v>54</v>
      </c>
      <c r="O268" s="4" t="s">
        <v>120</v>
      </c>
      <c r="P268" s="4" t="s">
        <v>35</v>
      </c>
      <c r="Q268" s="4">
        <v>10</v>
      </c>
      <c r="R268" s="4">
        <v>17368</v>
      </c>
      <c r="S268" s="5">
        <v>15</v>
      </c>
      <c r="T268" s="6">
        <f t="shared" si="12"/>
        <v>147628</v>
      </c>
      <c r="U268" s="4">
        <v>-2510.0100000000002</v>
      </c>
      <c r="V268" t="str">
        <f t="shared" si="13"/>
        <v>Aug</v>
      </c>
      <c r="W268">
        <f t="shared" si="14"/>
        <v>-1.7002262443438915E-2</v>
      </c>
    </row>
    <row r="269" spans="1:23" x14ac:dyDescent="0.4">
      <c r="A269" s="4" t="s">
        <v>1094</v>
      </c>
      <c r="B269" s="4" t="s">
        <v>1095</v>
      </c>
      <c r="C269" s="11">
        <v>45119</v>
      </c>
      <c r="D269" s="4" t="s">
        <v>23</v>
      </c>
      <c r="E269" s="4" t="s">
        <v>24</v>
      </c>
      <c r="F269" s="4" t="s">
        <v>58</v>
      </c>
      <c r="G269" s="4" t="s">
        <v>99</v>
      </c>
      <c r="H269" s="4" t="s">
        <v>1097</v>
      </c>
      <c r="I269" s="4" t="s">
        <v>43</v>
      </c>
      <c r="J269" s="4" t="s">
        <v>79</v>
      </c>
      <c r="K269" s="4" t="s">
        <v>63</v>
      </c>
      <c r="L269" s="4" t="s">
        <v>190</v>
      </c>
      <c r="M269" s="4" t="s">
        <v>95</v>
      </c>
      <c r="N269" s="4" t="s">
        <v>54</v>
      </c>
      <c r="O269" s="4" t="s">
        <v>66</v>
      </c>
      <c r="P269" s="4" t="s">
        <v>74</v>
      </c>
      <c r="Q269" s="4">
        <v>1</v>
      </c>
      <c r="R269" s="4">
        <v>10711</v>
      </c>
      <c r="S269" s="5">
        <v>10</v>
      </c>
      <c r="T269" s="6">
        <f t="shared" si="12"/>
        <v>9639.9</v>
      </c>
      <c r="U269" s="4">
        <v>-222.88</v>
      </c>
      <c r="V269" t="str">
        <f t="shared" si="13"/>
        <v>Jul</v>
      </c>
      <c r="W269">
        <f t="shared" si="14"/>
        <v>-2.3120571790163798E-2</v>
      </c>
    </row>
    <row r="270" spans="1:23" x14ac:dyDescent="0.4">
      <c r="A270" s="4" t="s">
        <v>1098</v>
      </c>
      <c r="B270" s="4" t="s">
        <v>1099</v>
      </c>
      <c r="C270" s="11">
        <v>45190</v>
      </c>
      <c r="D270" s="4" t="s">
        <v>124</v>
      </c>
      <c r="E270" s="4" t="s">
        <v>24</v>
      </c>
      <c r="F270" s="4" t="s">
        <v>26</v>
      </c>
      <c r="G270" s="4" t="s">
        <v>99</v>
      </c>
      <c r="H270" s="4" t="s">
        <v>1101</v>
      </c>
      <c r="I270" s="4" t="s">
        <v>28</v>
      </c>
      <c r="J270" s="4" t="s">
        <v>29</v>
      </c>
      <c r="K270" s="4" t="s">
        <v>153</v>
      </c>
      <c r="L270" s="4" t="s">
        <v>287</v>
      </c>
      <c r="M270" s="4" t="s">
        <v>81</v>
      </c>
      <c r="N270" s="4" t="s">
        <v>33</v>
      </c>
      <c r="O270" s="4" t="s">
        <v>46</v>
      </c>
      <c r="P270" s="4" t="s">
        <v>35</v>
      </c>
      <c r="Q270" s="4">
        <v>5</v>
      </c>
      <c r="R270" s="4">
        <v>33817</v>
      </c>
      <c r="S270" s="5">
        <v>0</v>
      </c>
      <c r="T270" s="6">
        <f t="shared" si="12"/>
        <v>169085</v>
      </c>
      <c r="U270" s="4">
        <v>35116.81</v>
      </c>
      <c r="V270" t="str">
        <f t="shared" si="13"/>
        <v>Sep</v>
      </c>
      <c r="W270">
        <f t="shared" si="14"/>
        <v>0.20768731702989618</v>
      </c>
    </row>
    <row r="271" spans="1:23" x14ac:dyDescent="0.4">
      <c r="A271" s="4" t="s">
        <v>1102</v>
      </c>
      <c r="B271" s="4" t="s">
        <v>1103</v>
      </c>
      <c r="C271" s="11">
        <v>44810</v>
      </c>
      <c r="D271" s="4" t="s">
        <v>124</v>
      </c>
      <c r="E271" s="4" t="s">
        <v>24</v>
      </c>
      <c r="F271" s="4" t="s">
        <v>58</v>
      </c>
      <c r="G271" s="4" t="s">
        <v>59</v>
      </c>
      <c r="H271" s="4" t="s">
        <v>1105</v>
      </c>
      <c r="I271" s="4" t="s">
        <v>61</v>
      </c>
      <c r="J271" s="4" t="s">
        <v>62</v>
      </c>
      <c r="K271" s="4" t="s">
        <v>86</v>
      </c>
      <c r="L271" s="4" t="s">
        <v>452</v>
      </c>
      <c r="M271" s="4" t="s">
        <v>95</v>
      </c>
      <c r="N271" s="4" t="s">
        <v>33</v>
      </c>
      <c r="O271" s="4" t="s">
        <v>34</v>
      </c>
      <c r="P271" s="4" t="s">
        <v>47</v>
      </c>
      <c r="Q271" s="4">
        <v>3</v>
      </c>
      <c r="R271" s="4">
        <v>15058</v>
      </c>
      <c r="S271" s="5">
        <v>5</v>
      </c>
      <c r="T271" s="6">
        <f t="shared" si="12"/>
        <v>42915.3</v>
      </c>
      <c r="U271" s="4">
        <v>9643.9500000000007</v>
      </c>
      <c r="V271" t="str">
        <f t="shared" si="13"/>
        <v>Aug</v>
      </c>
      <c r="W271">
        <f t="shared" si="14"/>
        <v>0.22472055420793982</v>
      </c>
    </row>
    <row r="272" spans="1:23" x14ac:dyDescent="0.4">
      <c r="A272" s="4" t="s">
        <v>1106</v>
      </c>
      <c r="B272" s="4" t="s">
        <v>1107</v>
      </c>
      <c r="C272" s="11">
        <v>44576</v>
      </c>
      <c r="D272" s="4" t="s">
        <v>39</v>
      </c>
      <c r="E272" s="4" t="s">
        <v>24</v>
      </c>
      <c r="F272" s="4" t="s">
        <v>58</v>
      </c>
      <c r="G272" s="4" t="s">
        <v>26</v>
      </c>
      <c r="H272" s="4" t="s">
        <v>1109</v>
      </c>
      <c r="I272" s="4" t="s">
        <v>61</v>
      </c>
      <c r="J272" s="4" t="s">
        <v>29</v>
      </c>
      <c r="K272" s="4" t="s">
        <v>101</v>
      </c>
      <c r="L272" s="4" t="s">
        <v>476</v>
      </c>
      <c r="M272" s="4" t="s">
        <v>81</v>
      </c>
      <c r="N272" s="4" t="s">
        <v>54</v>
      </c>
      <c r="O272" s="4" t="s">
        <v>82</v>
      </c>
      <c r="P272" s="4" t="s">
        <v>47</v>
      </c>
      <c r="Q272" s="4">
        <v>5</v>
      </c>
      <c r="R272" s="4">
        <v>11361</v>
      </c>
      <c r="S272" s="5">
        <v>5</v>
      </c>
      <c r="T272" s="6">
        <f t="shared" si="12"/>
        <v>53964.75</v>
      </c>
      <c r="U272" s="4">
        <v>4633.83</v>
      </c>
      <c r="V272" t="str">
        <f t="shared" si="13"/>
        <v>Jan</v>
      </c>
      <c r="W272">
        <f t="shared" si="14"/>
        <v>8.5867719205592538E-2</v>
      </c>
    </row>
    <row r="273" spans="1:23" x14ac:dyDescent="0.4">
      <c r="A273" s="4" t="s">
        <v>1110</v>
      </c>
      <c r="B273" s="4" t="s">
        <v>1104</v>
      </c>
      <c r="C273" s="11">
        <v>44816</v>
      </c>
      <c r="D273" s="4" t="s">
        <v>39</v>
      </c>
      <c r="E273" s="4" t="s">
        <v>24</v>
      </c>
      <c r="F273" s="4" t="s">
        <v>25</v>
      </c>
      <c r="G273" s="4" t="s">
        <v>41</v>
      </c>
      <c r="H273" s="4" t="s">
        <v>1112</v>
      </c>
      <c r="I273" s="4" t="s">
        <v>28</v>
      </c>
      <c r="J273" s="4" t="s">
        <v>29</v>
      </c>
      <c r="K273" s="4" t="s">
        <v>101</v>
      </c>
      <c r="L273" s="4" t="s">
        <v>114</v>
      </c>
      <c r="M273" s="4" t="s">
        <v>53</v>
      </c>
      <c r="N273" s="4" t="s">
        <v>33</v>
      </c>
      <c r="O273" s="4" t="s">
        <v>46</v>
      </c>
      <c r="P273" s="4" t="s">
        <v>74</v>
      </c>
      <c r="Q273" s="4">
        <v>9</v>
      </c>
      <c r="R273" s="4">
        <v>35687</v>
      </c>
      <c r="S273" s="5">
        <v>0</v>
      </c>
      <c r="T273" s="6">
        <f t="shared" si="12"/>
        <v>321183</v>
      </c>
      <c r="U273" s="4">
        <v>91177.91</v>
      </c>
      <c r="V273" t="str">
        <f t="shared" si="13"/>
        <v>Sep</v>
      </c>
      <c r="W273">
        <f t="shared" si="14"/>
        <v>0.28388149435057275</v>
      </c>
    </row>
    <row r="274" spans="1:23" x14ac:dyDescent="0.4">
      <c r="A274" s="4" t="s">
        <v>1113</v>
      </c>
      <c r="B274" s="4" t="s">
        <v>860</v>
      </c>
      <c r="C274" s="11">
        <v>45306</v>
      </c>
      <c r="D274" s="4" t="s">
        <v>23</v>
      </c>
      <c r="E274" s="4" t="s">
        <v>24</v>
      </c>
      <c r="F274" s="4" t="s">
        <v>26</v>
      </c>
      <c r="G274" s="4" t="s">
        <v>99</v>
      </c>
      <c r="H274" s="4" t="s">
        <v>1114</v>
      </c>
      <c r="I274" s="4" t="s">
        <v>61</v>
      </c>
      <c r="J274" s="4" t="s">
        <v>29</v>
      </c>
      <c r="K274" s="4" t="s">
        <v>30</v>
      </c>
      <c r="L274" s="4" t="s">
        <v>507</v>
      </c>
      <c r="M274" s="4" t="s">
        <v>32</v>
      </c>
      <c r="N274" s="4" t="s">
        <v>33</v>
      </c>
      <c r="O274" s="4" t="s">
        <v>46</v>
      </c>
      <c r="P274" s="4" t="s">
        <v>35</v>
      </c>
      <c r="Q274" s="4">
        <v>9</v>
      </c>
      <c r="R274" s="4">
        <v>21849</v>
      </c>
      <c r="S274" s="5">
        <v>20</v>
      </c>
      <c r="T274" s="6">
        <f t="shared" si="12"/>
        <v>157312.79999999999</v>
      </c>
      <c r="U274" s="4">
        <v>4664.3999999999996</v>
      </c>
      <c r="V274" t="str">
        <f t="shared" si="13"/>
        <v>Jan</v>
      </c>
      <c r="W274">
        <f t="shared" si="14"/>
        <v>2.9650479808381772E-2</v>
      </c>
    </row>
    <row r="275" spans="1:23" x14ac:dyDescent="0.4">
      <c r="A275" s="4" t="s">
        <v>1115</v>
      </c>
      <c r="B275" s="4" t="s">
        <v>1116</v>
      </c>
      <c r="C275" s="11">
        <v>45000</v>
      </c>
      <c r="D275" s="4" t="s">
        <v>23</v>
      </c>
      <c r="E275" s="4" t="s">
        <v>24</v>
      </c>
      <c r="F275" s="4" t="s">
        <v>40</v>
      </c>
      <c r="G275" s="4" t="s">
        <v>41</v>
      </c>
      <c r="H275" s="4" t="s">
        <v>1117</v>
      </c>
      <c r="I275" s="4" t="s">
        <v>61</v>
      </c>
      <c r="J275" s="4" t="s">
        <v>62</v>
      </c>
      <c r="K275" s="4" t="s">
        <v>30</v>
      </c>
      <c r="L275" s="4" t="s">
        <v>228</v>
      </c>
      <c r="M275" s="4" t="s">
        <v>81</v>
      </c>
      <c r="N275" s="4" t="s">
        <v>54</v>
      </c>
      <c r="O275" s="4" t="s">
        <v>46</v>
      </c>
      <c r="P275" s="4" t="s">
        <v>74</v>
      </c>
      <c r="Q275" s="4">
        <v>9</v>
      </c>
      <c r="R275" s="4">
        <v>8371</v>
      </c>
      <c r="S275" s="5">
        <v>5</v>
      </c>
      <c r="T275" s="6">
        <f t="shared" si="12"/>
        <v>71572.05</v>
      </c>
      <c r="U275" s="4">
        <v>9909.5</v>
      </c>
      <c r="V275" t="str">
        <f t="shared" si="13"/>
        <v>Mar</v>
      </c>
      <c r="W275">
        <f t="shared" si="14"/>
        <v>0.13845488567115236</v>
      </c>
    </row>
    <row r="276" spans="1:23" x14ac:dyDescent="0.4">
      <c r="A276" s="4" t="s">
        <v>1118</v>
      </c>
      <c r="B276" s="4" t="s">
        <v>1119</v>
      </c>
      <c r="C276" s="11">
        <v>45289</v>
      </c>
      <c r="D276" s="4" t="s">
        <v>39</v>
      </c>
      <c r="E276" s="4" t="s">
        <v>24</v>
      </c>
      <c r="F276" s="4" t="s">
        <v>40</v>
      </c>
      <c r="G276" s="4" t="s">
        <v>41</v>
      </c>
      <c r="H276" s="4" t="s">
        <v>1121</v>
      </c>
      <c r="I276" s="4" t="s">
        <v>28</v>
      </c>
      <c r="J276" s="4" t="s">
        <v>29</v>
      </c>
      <c r="K276" s="4" t="s">
        <v>153</v>
      </c>
      <c r="L276" s="4" t="s">
        <v>1122</v>
      </c>
      <c r="M276" s="4" t="s">
        <v>65</v>
      </c>
      <c r="N276" s="4" t="s">
        <v>33</v>
      </c>
      <c r="O276" s="4" t="s">
        <v>34</v>
      </c>
      <c r="P276" s="4" t="s">
        <v>74</v>
      </c>
      <c r="Q276" s="4">
        <v>9</v>
      </c>
      <c r="R276" s="4">
        <v>21972</v>
      </c>
      <c r="S276" s="5">
        <v>15</v>
      </c>
      <c r="T276" s="6">
        <f t="shared" si="12"/>
        <v>168085.8</v>
      </c>
      <c r="U276" s="4">
        <v>24221.78</v>
      </c>
      <c r="V276" t="str">
        <f t="shared" si="13"/>
        <v>Dec</v>
      </c>
      <c r="W276">
        <f t="shared" si="14"/>
        <v>0.14410366610385886</v>
      </c>
    </row>
    <row r="277" spans="1:23" x14ac:dyDescent="0.4">
      <c r="A277" s="4" t="s">
        <v>1123</v>
      </c>
      <c r="B277" s="4" t="s">
        <v>188</v>
      </c>
      <c r="C277" s="11">
        <v>45376</v>
      </c>
      <c r="D277" s="4" t="s">
        <v>98</v>
      </c>
      <c r="E277" s="4" t="s">
        <v>24</v>
      </c>
      <c r="F277" s="4" t="s">
        <v>58</v>
      </c>
      <c r="G277" s="4" t="s">
        <v>99</v>
      </c>
      <c r="H277" s="4" t="s">
        <v>1124</v>
      </c>
      <c r="I277" s="4" t="s">
        <v>43</v>
      </c>
      <c r="J277" s="4" t="s">
        <v>79</v>
      </c>
      <c r="K277" s="4" t="s">
        <v>30</v>
      </c>
      <c r="L277" s="4" t="s">
        <v>792</v>
      </c>
      <c r="M277" s="4" t="s">
        <v>65</v>
      </c>
      <c r="N277" s="4" t="s">
        <v>33</v>
      </c>
      <c r="O277" s="4" t="s">
        <v>82</v>
      </c>
      <c r="P277" s="4" t="s">
        <v>35</v>
      </c>
      <c r="Q277" s="4">
        <v>8</v>
      </c>
      <c r="R277" s="4">
        <v>24456</v>
      </c>
      <c r="S277" s="5">
        <v>0</v>
      </c>
      <c r="T277" s="6">
        <f t="shared" si="12"/>
        <v>195648</v>
      </c>
      <c r="U277" s="4">
        <v>37498.75</v>
      </c>
      <c r="V277" t="str">
        <f t="shared" si="13"/>
        <v>Mar</v>
      </c>
      <c r="W277">
        <f t="shared" si="14"/>
        <v>0.19166436661759895</v>
      </c>
    </row>
    <row r="278" spans="1:23" x14ac:dyDescent="0.4">
      <c r="A278" s="4" t="s">
        <v>1125</v>
      </c>
      <c r="B278" s="4" t="s">
        <v>90</v>
      </c>
      <c r="C278" s="11">
        <v>44956</v>
      </c>
      <c r="D278" s="4" t="s">
        <v>23</v>
      </c>
      <c r="E278" s="4" t="s">
        <v>24</v>
      </c>
      <c r="F278" s="4" t="s">
        <v>25</v>
      </c>
      <c r="G278" s="4" t="s">
        <v>92</v>
      </c>
      <c r="H278" s="4" t="s">
        <v>1127</v>
      </c>
      <c r="I278" s="4" t="s">
        <v>43</v>
      </c>
      <c r="J278" s="4" t="s">
        <v>29</v>
      </c>
      <c r="K278" s="4" t="s">
        <v>44</v>
      </c>
      <c r="L278" s="4" t="s">
        <v>507</v>
      </c>
      <c r="M278" s="4" t="s">
        <v>53</v>
      </c>
      <c r="N278" s="4" t="s">
        <v>54</v>
      </c>
      <c r="O278" s="4" t="s">
        <v>82</v>
      </c>
      <c r="P278" s="4" t="s">
        <v>74</v>
      </c>
      <c r="Q278" s="4">
        <v>1</v>
      </c>
      <c r="R278" s="4">
        <v>22985</v>
      </c>
      <c r="S278" s="5">
        <v>20</v>
      </c>
      <c r="T278" s="6">
        <f t="shared" si="12"/>
        <v>18388</v>
      </c>
      <c r="U278" s="4">
        <v>-2208.59</v>
      </c>
      <c r="V278" t="str">
        <f t="shared" si="13"/>
        <v>Jan</v>
      </c>
      <c r="W278">
        <f t="shared" si="14"/>
        <v>-0.12011039808570807</v>
      </c>
    </row>
    <row r="279" spans="1:23" x14ac:dyDescent="0.4">
      <c r="A279" s="4" t="s">
        <v>1128</v>
      </c>
      <c r="B279" s="4" t="s">
        <v>1129</v>
      </c>
      <c r="C279" s="11">
        <v>44837</v>
      </c>
      <c r="D279" s="4" t="s">
        <v>98</v>
      </c>
      <c r="E279" s="4" t="s">
        <v>24</v>
      </c>
      <c r="F279" s="4" t="s">
        <v>26</v>
      </c>
      <c r="G279" s="4" t="s">
        <v>26</v>
      </c>
      <c r="H279" s="4" t="s">
        <v>1131</v>
      </c>
      <c r="I279" s="4" t="s">
        <v>43</v>
      </c>
      <c r="J279" s="4" t="s">
        <v>79</v>
      </c>
      <c r="K279" s="4" t="s">
        <v>44</v>
      </c>
      <c r="L279" s="4" t="s">
        <v>72</v>
      </c>
      <c r="M279" s="4" t="s">
        <v>65</v>
      </c>
      <c r="N279" s="4" t="s">
        <v>54</v>
      </c>
      <c r="O279" s="4" t="s">
        <v>46</v>
      </c>
      <c r="P279" s="4" t="s">
        <v>47</v>
      </c>
      <c r="Q279" s="4">
        <v>7</v>
      </c>
      <c r="R279" s="4">
        <v>21531</v>
      </c>
      <c r="S279" s="5">
        <v>20</v>
      </c>
      <c r="T279" s="6">
        <f t="shared" si="12"/>
        <v>120573.6</v>
      </c>
      <c r="U279" s="4">
        <v>-13696.29</v>
      </c>
      <c r="V279" t="str">
        <f t="shared" si="13"/>
        <v>Sep</v>
      </c>
      <c r="W279">
        <f t="shared" si="14"/>
        <v>-0.11359277652819523</v>
      </c>
    </row>
    <row r="280" spans="1:23" x14ac:dyDescent="0.4">
      <c r="A280" s="4" t="s">
        <v>1132</v>
      </c>
      <c r="B280" s="4" t="s">
        <v>1133</v>
      </c>
      <c r="C280" s="11">
        <v>44771</v>
      </c>
      <c r="D280" s="4" t="s">
        <v>98</v>
      </c>
      <c r="E280" s="4" t="s">
        <v>24</v>
      </c>
      <c r="F280" s="4" t="s">
        <v>26</v>
      </c>
      <c r="G280" s="4" t="s">
        <v>99</v>
      </c>
      <c r="H280" s="4" t="s">
        <v>1135</v>
      </c>
      <c r="I280" s="4" t="s">
        <v>61</v>
      </c>
      <c r="J280" s="4" t="s">
        <v>62</v>
      </c>
      <c r="K280" s="4" t="s">
        <v>153</v>
      </c>
      <c r="L280" s="4" t="s">
        <v>171</v>
      </c>
      <c r="M280" s="4" t="s">
        <v>81</v>
      </c>
      <c r="N280" s="4" t="s">
        <v>54</v>
      </c>
      <c r="O280" s="4" t="s">
        <v>66</v>
      </c>
      <c r="P280" s="4" t="s">
        <v>88</v>
      </c>
      <c r="Q280" s="4">
        <v>8</v>
      </c>
      <c r="R280" s="4">
        <v>46960</v>
      </c>
      <c r="S280" s="5">
        <v>10</v>
      </c>
      <c r="T280" s="6">
        <f t="shared" si="12"/>
        <v>338112</v>
      </c>
      <c r="U280" s="4">
        <v>27759.23</v>
      </c>
      <c r="V280" t="str">
        <f t="shared" si="13"/>
        <v>Jul</v>
      </c>
      <c r="W280">
        <f t="shared" si="14"/>
        <v>8.2100694444444441E-2</v>
      </c>
    </row>
    <row r="281" spans="1:23" x14ac:dyDescent="0.4">
      <c r="A281" s="4" t="s">
        <v>1136</v>
      </c>
      <c r="B281" s="4" t="s">
        <v>860</v>
      </c>
      <c r="C281" s="11">
        <v>45309</v>
      </c>
      <c r="D281" s="4" t="s">
        <v>23</v>
      </c>
      <c r="E281" s="4" t="s">
        <v>24</v>
      </c>
      <c r="F281" s="4" t="s">
        <v>58</v>
      </c>
      <c r="G281" s="4" t="s">
        <v>59</v>
      </c>
      <c r="H281" s="4" t="s">
        <v>1137</v>
      </c>
      <c r="I281" s="4" t="s">
        <v>43</v>
      </c>
      <c r="J281" s="4" t="s">
        <v>29</v>
      </c>
      <c r="K281" s="4" t="s">
        <v>30</v>
      </c>
      <c r="L281" s="4" t="s">
        <v>396</v>
      </c>
      <c r="M281" s="4" t="s">
        <v>95</v>
      </c>
      <c r="N281" s="4" t="s">
        <v>33</v>
      </c>
      <c r="O281" s="4" t="s">
        <v>120</v>
      </c>
      <c r="P281" s="4" t="s">
        <v>88</v>
      </c>
      <c r="Q281" s="4">
        <v>2</v>
      </c>
      <c r="R281" s="4">
        <v>45215</v>
      </c>
      <c r="S281" s="5">
        <v>20</v>
      </c>
      <c r="T281" s="6">
        <f t="shared" si="12"/>
        <v>72344</v>
      </c>
      <c r="U281" s="4">
        <v>8636.2800000000007</v>
      </c>
      <c r="V281" t="str">
        <f t="shared" si="13"/>
        <v>Jan</v>
      </c>
      <c r="W281">
        <f t="shared" si="14"/>
        <v>0.11937797191197612</v>
      </c>
    </row>
    <row r="282" spans="1:23" x14ac:dyDescent="0.4">
      <c r="A282" s="4" t="s">
        <v>1138</v>
      </c>
      <c r="B282" s="4" t="s">
        <v>1139</v>
      </c>
      <c r="C282" s="11">
        <v>44916</v>
      </c>
      <c r="D282" s="4" t="s">
        <v>98</v>
      </c>
      <c r="E282" s="4" t="s">
        <v>24</v>
      </c>
      <c r="F282" s="4" t="s">
        <v>26</v>
      </c>
      <c r="G282" s="4" t="s">
        <v>41</v>
      </c>
      <c r="H282" s="4" t="s">
        <v>1140</v>
      </c>
      <c r="I282" s="4" t="s">
        <v>43</v>
      </c>
      <c r="J282" s="4" t="s">
        <v>79</v>
      </c>
      <c r="K282" s="4" t="s">
        <v>44</v>
      </c>
      <c r="L282" s="4" t="s">
        <v>1141</v>
      </c>
      <c r="M282" s="4" t="s">
        <v>73</v>
      </c>
      <c r="N282" s="4" t="s">
        <v>54</v>
      </c>
      <c r="O282" s="4" t="s">
        <v>120</v>
      </c>
      <c r="P282" s="4" t="s">
        <v>47</v>
      </c>
      <c r="Q282" s="4">
        <v>1</v>
      </c>
      <c r="R282" s="4">
        <v>18480</v>
      </c>
      <c r="S282" s="5">
        <v>0</v>
      </c>
      <c r="T282" s="6">
        <f t="shared" si="12"/>
        <v>18480</v>
      </c>
      <c r="U282" s="4">
        <v>4225.3100000000004</v>
      </c>
      <c r="V282" t="str">
        <f t="shared" si="13"/>
        <v>Dec</v>
      </c>
      <c r="W282">
        <f t="shared" si="14"/>
        <v>0.22864231601731605</v>
      </c>
    </row>
    <row r="283" spans="1:23" x14ac:dyDescent="0.4">
      <c r="A283" s="4" t="s">
        <v>1142</v>
      </c>
      <c r="B283" s="4" t="s">
        <v>412</v>
      </c>
      <c r="C283" s="11">
        <v>45038</v>
      </c>
      <c r="D283" s="4" t="s">
        <v>98</v>
      </c>
      <c r="E283" s="4" t="s">
        <v>24</v>
      </c>
      <c r="F283" s="4" t="s">
        <v>40</v>
      </c>
      <c r="G283" s="4" t="s">
        <v>59</v>
      </c>
      <c r="H283" s="4" t="s">
        <v>1143</v>
      </c>
      <c r="I283" s="4" t="s">
        <v>61</v>
      </c>
      <c r="J283" s="4" t="s">
        <v>29</v>
      </c>
      <c r="K283" s="4" t="s">
        <v>101</v>
      </c>
      <c r="L283" s="4" t="s">
        <v>264</v>
      </c>
      <c r="M283" s="4" t="s">
        <v>95</v>
      </c>
      <c r="N283" s="4" t="s">
        <v>33</v>
      </c>
      <c r="O283" s="4" t="s">
        <v>82</v>
      </c>
      <c r="P283" s="4" t="s">
        <v>35</v>
      </c>
      <c r="Q283" s="4">
        <v>10</v>
      </c>
      <c r="R283" s="4">
        <v>10045</v>
      </c>
      <c r="S283" s="5">
        <v>20</v>
      </c>
      <c r="T283" s="6">
        <f t="shared" si="12"/>
        <v>80360</v>
      </c>
      <c r="U283" s="4">
        <v>-3667.8</v>
      </c>
      <c r="V283" t="str">
        <f t="shared" si="13"/>
        <v>Apr</v>
      </c>
      <c r="W283">
        <f t="shared" si="14"/>
        <v>-4.5642110502737684E-2</v>
      </c>
    </row>
    <row r="284" spans="1:23" x14ac:dyDescent="0.4">
      <c r="A284" s="4" t="s">
        <v>1144</v>
      </c>
      <c r="B284" s="4" t="s">
        <v>1087</v>
      </c>
      <c r="C284" s="11">
        <v>44991</v>
      </c>
      <c r="D284" s="4" t="s">
        <v>39</v>
      </c>
      <c r="E284" s="4" t="s">
        <v>24</v>
      </c>
      <c r="F284" s="4" t="s">
        <v>25</v>
      </c>
      <c r="G284" s="4" t="s">
        <v>99</v>
      </c>
      <c r="H284" s="4" t="s">
        <v>1145</v>
      </c>
      <c r="I284" s="4" t="s">
        <v>43</v>
      </c>
      <c r="J284" s="4" t="s">
        <v>29</v>
      </c>
      <c r="K284" s="4" t="s">
        <v>86</v>
      </c>
      <c r="L284" s="4" t="s">
        <v>348</v>
      </c>
      <c r="M284" s="4" t="s">
        <v>81</v>
      </c>
      <c r="N284" s="4" t="s">
        <v>33</v>
      </c>
      <c r="O284" s="4" t="s">
        <v>66</v>
      </c>
      <c r="P284" s="4" t="s">
        <v>88</v>
      </c>
      <c r="Q284" s="4">
        <v>1</v>
      </c>
      <c r="R284" s="4">
        <v>10766</v>
      </c>
      <c r="S284" s="5">
        <v>20</v>
      </c>
      <c r="T284" s="6">
        <f t="shared" si="12"/>
        <v>8612.7999999999993</v>
      </c>
      <c r="U284" s="4">
        <v>995.7</v>
      </c>
      <c r="V284" t="str">
        <f t="shared" si="13"/>
        <v>Feb</v>
      </c>
      <c r="W284">
        <f t="shared" si="14"/>
        <v>0.11560700352963034</v>
      </c>
    </row>
    <row r="285" spans="1:23" x14ac:dyDescent="0.4">
      <c r="A285" s="4" t="s">
        <v>1146</v>
      </c>
      <c r="B285" s="4" t="s">
        <v>274</v>
      </c>
      <c r="C285" s="11">
        <v>44713</v>
      </c>
      <c r="D285" s="4" t="s">
        <v>39</v>
      </c>
      <c r="E285" s="4" t="s">
        <v>24</v>
      </c>
      <c r="F285" s="4" t="s">
        <v>70</v>
      </c>
      <c r="G285" s="4" t="s">
        <v>41</v>
      </c>
      <c r="H285" s="4" t="s">
        <v>1147</v>
      </c>
      <c r="I285" s="4" t="s">
        <v>61</v>
      </c>
      <c r="J285" s="4" t="s">
        <v>62</v>
      </c>
      <c r="K285" s="4" t="s">
        <v>101</v>
      </c>
      <c r="L285" s="4" t="s">
        <v>1148</v>
      </c>
      <c r="M285" s="4" t="s">
        <v>53</v>
      </c>
      <c r="N285" s="4" t="s">
        <v>33</v>
      </c>
      <c r="O285" s="4" t="s">
        <v>34</v>
      </c>
      <c r="P285" s="4" t="s">
        <v>74</v>
      </c>
      <c r="Q285" s="4">
        <v>9</v>
      </c>
      <c r="R285" s="4">
        <v>32058</v>
      </c>
      <c r="S285" s="5">
        <v>5</v>
      </c>
      <c r="T285" s="6">
        <f t="shared" si="12"/>
        <v>274095.90000000002</v>
      </c>
      <c r="U285" s="4">
        <v>20550.7</v>
      </c>
      <c r="V285" t="str">
        <f t="shared" si="13"/>
        <v>May</v>
      </c>
      <c r="W285">
        <f t="shared" si="14"/>
        <v>7.4976313034963313E-2</v>
      </c>
    </row>
    <row r="286" spans="1:23" x14ac:dyDescent="0.4">
      <c r="A286" s="4" t="s">
        <v>1149</v>
      </c>
      <c r="B286" s="4" t="s">
        <v>677</v>
      </c>
      <c r="C286" s="11">
        <v>45466</v>
      </c>
      <c r="D286" s="4" t="s">
        <v>98</v>
      </c>
      <c r="E286" s="4" t="s">
        <v>24</v>
      </c>
      <c r="F286" s="4" t="s">
        <v>40</v>
      </c>
      <c r="G286" s="4" t="s">
        <v>59</v>
      </c>
      <c r="H286" s="4" t="s">
        <v>1151</v>
      </c>
      <c r="I286" s="4" t="s">
        <v>61</v>
      </c>
      <c r="J286" s="4" t="s">
        <v>29</v>
      </c>
      <c r="K286" s="4" t="s">
        <v>30</v>
      </c>
      <c r="L286" s="4" t="s">
        <v>432</v>
      </c>
      <c r="M286" s="4" t="s">
        <v>81</v>
      </c>
      <c r="N286" s="4" t="s">
        <v>33</v>
      </c>
      <c r="O286" s="4" t="s">
        <v>66</v>
      </c>
      <c r="P286" s="4" t="s">
        <v>35</v>
      </c>
      <c r="Q286" s="4">
        <v>6</v>
      </c>
      <c r="R286" s="4">
        <v>20287</v>
      </c>
      <c r="S286" s="5">
        <v>0</v>
      </c>
      <c r="T286" s="6">
        <f t="shared" si="12"/>
        <v>121722</v>
      </c>
      <c r="U286" s="4">
        <v>20298.099999999999</v>
      </c>
      <c r="V286" t="str">
        <f t="shared" si="13"/>
        <v>Jun</v>
      </c>
      <c r="W286">
        <f t="shared" si="14"/>
        <v>0.16675785807002841</v>
      </c>
    </row>
    <row r="287" spans="1:23" x14ac:dyDescent="0.4">
      <c r="A287" s="4" t="s">
        <v>1152</v>
      </c>
      <c r="B287" s="4" t="s">
        <v>958</v>
      </c>
      <c r="C287" s="11">
        <v>44802</v>
      </c>
      <c r="D287" s="4" t="s">
        <v>23</v>
      </c>
      <c r="E287" s="4" t="s">
        <v>24</v>
      </c>
      <c r="F287" s="4" t="s">
        <v>70</v>
      </c>
      <c r="G287" s="4" t="s">
        <v>26</v>
      </c>
      <c r="H287" s="4" t="s">
        <v>1154</v>
      </c>
      <c r="I287" s="4" t="s">
        <v>28</v>
      </c>
      <c r="J287" s="4" t="s">
        <v>29</v>
      </c>
      <c r="K287" s="4" t="s">
        <v>101</v>
      </c>
      <c r="L287" s="4" t="s">
        <v>618</v>
      </c>
      <c r="M287" s="4" t="s">
        <v>65</v>
      </c>
      <c r="N287" s="4" t="s">
        <v>33</v>
      </c>
      <c r="O287" s="4" t="s">
        <v>46</v>
      </c>
      <c r="P287" s="4" t="s">
        <v>74</v>
      </c>
      <c r="Q287" s="4">
        <v>7</v>
      </c>
      <c r="R287" s="4">
        <v>38594</v>
      </c>
      <c r="S287" s="5">
        <v>20</v>
      </c>
      <c r="T287" s="6">
        <f t="shared" si="12"/>
        <v>216126.4</v>
      </c>
      <c r="U287" s="4">
        <v>10114.48</v>
      </c>
      <c r="V287" t="str">
        <f t="shared" si="13"/>
        <v>Aug</v>
      </c>
      <c r="W287">
        <f t="shared" si="14"/>
        <v>4.6798910267325043E-2</v>
      </c>
    </row>
    <row r="288" spans="1:23" x14ac:dyDescent="0.4">
      <c r="A288" s="4" t="s">
        <v>1155</v>
      </c>
      <c r="B288" s="4" t="s">
        <v>1156</v>
      </c>
      <c r="C288" s="11">
        <v>44906</v>
      </c>
      <c r="D288" s="4" t="s">
        <v>124</v>
      </c>
      <c r="E288" s="4" t="s">
        <v>24</v>
      </c>
      <c r="F288" s="4" t="s">
        <v>70</v>
      </c>
      <c r="G288" s="4" t="s">
        <v>41</v>
      </c>
      <c r="H288" s="4" t="s">
        <v>1158</v>
      </c>
      <c r="I288" s="4" t="s">
        <v>61</v>
      </c>
      <c r="J288" s="4" t="s">
        <v>79</v>
      </c>
      <c r="K288" s="4" t="s">
        <v>101</v>
      </c>
      <c r="L288" s="4" t="s">
        <v>272</v>
      </c>
      <c r="M288" s="4" t="s">
        <v>65</v>
      </c>
      <c r="N288" s="4" t="s">
        <v>54</v>
      </c>
      <c r="O288" s="4" t="s">
        <v>66</v>
      </c>
      <c r="P288" s="4" t="s">
        <v>74</v>
      </c>
      <c r="Q288" s="4">
        <v>10</v>
      </c>
      <c r="R288" s="4">
        <v>34366</v>
      </c>
      <c r="S288" s="5">
        <v>15</v>
      </c>
      <c r="T288" s="6">
        <f t="shared" si="12"/>
        <v>292111</v>
      </c>
      <c r="U288" s="4">
        <v>-22225.47</v>
      </c>
      <c r="V288" t="str">
        <f t="shared" si="13"/>
        <v>Dec</v>
      </c>
      <c r="W288">
        <f t="shared" si="14"/>
        <v>-7.6085700298858999E-2</v>
      </c>
    </row>
    <row r="289" spans="1:23" x14ac:dyDescent="0.4">
      <c r="A289" s="4" t="s">
        <v>1159</v>
      </c>
      <c r="B289" s="4" t="s">
        <v>1160</v>
      </c>
      <c r="C289" s="11">
        <v>44625</v>
      </c>
      <c r="D289" s="4" t="s">
        <v>39</v>
      </c>
      <c r="E289" s="4" t="s">
        <v>24</v>
      </c>
      <c r="F289" s="4" t="s">
        <v>25</v>
      </c>
      <c r="G289" s="4" t="s">
        <v>59</v>
      </c>
      <c r="H289" s="4" t="s">
        <v>1161</v>
      </c>
      <c r="I289" s="4" t="s">
        <v>61</v>
      </c>
      <c r="J289" s="4" t="s">
        <v>29</v>
      </c>
      <c r="K289" s="4" t="s">
        <v>30</v>
      </c>
      <c r="L289" s="4" t="s">
        <v>176</v>
      </c>
      <c r="M289" s="4" t="s">
        <v>32</v>
      </c>
      <c r="N289" s="4" t="s">
        <v>33</v>
      </c>
      <c r="O289" s="4" t="s">
        <v>66</v>
      </c>
      <c r="P289" s="4" t="s">
        <v>35</v>
      </c>
      <c r="Q289" s="4">
        <v>10</v>
      </c>
      <c r="R289" s="4">
        <v>44447</v>
      </c>
      <c r="S289" s="5">
        <v>10</v>
      </c>
      <c r="T289" s="6">
        <f t="shared" si="12"/>
        <v>400023</v>
      </c>
      <c r="U289" s="4">
        <v>23211.64</v>
      </c>
      <c r="V289" t="str">
        <f t="shared" si="13"/>
        <v>Feb</v>
      </c>
      <c r="W289">
        <f t="shared" si="14"/>
        <v>5.802576351859768E-2</v>
      </c>
    </row>
    <row r="290" spans="1:23" x14ac:dyDescent="0.4">
      <c r="A290" s="4" t="s">
        <v>1162</v>
      </c>
      <c r="B290" s="4" t="s">
        <v>1163</v>
      </c>
      <c r="C290" s="11">
        <v>45440</v>
      </c>
      <c r="D290" s="4" t="s">
        <v>124</v>
      </c>
      <c r="E290" s="4" t="s">
        <v>24</v>
      </c>
      <c r="F290" s="4" t="s">
        <v>70</v>
      </c>
      <c r="G290" s="4" t="s">
        <v>92</v>
      </c>
      <c r="H290" s="4" t="s">
        <v>1165</v>
      </c>
      <c r="I290" s="4" t="s">
        <v>43</v>
      </c>
      <c r="J290" s="4" t="s">
        <v>29</v>
      </c>
      <c r="K290" s="4" t="s">
        <v>44</v>
      </c>
      <c r="L290" s="4" t="s">
        <v>476</v>
      </c>
      <c r="M290" s="4" t="s">
        <v>81</v>
      </c>
      <c r="N290" s="4" t="s">
        <v>33</v>
      </c>
      <c r="O290" s="4" t="s">
        <v>46</v>
      </c>
      <c r="P290" s="4" t="s">
        <v>74</v>
      </c>
      <c r="Q290" s="4">
        <v>1</v>
      </c>
      <c r="R290" s="4">
        <v>17868</v>
      </c>
      <c r="S290" s="5">
        <v>10</v>
      </c>
      <c r="T290" s="6">
        <f t="shared" si="12"/>
        <v>16081.2</v>
      </c>
      <c r="U290" s="4">
        <v>1862.65</v>
      </c>
      <c r="V290" t="str">
        <f t="shared" si="13"/>
        <v>May</v>
      </c>
      <c r="W290">
        <f t="shared" si="14"/>
        <v>0.11582779892047858</v>
      </c>
    </row>
    <row r="291" spans="1:23" x14ac:dyDescent="0.4">
      <c r="A291" s="4" t="s">
        <v>1166</v>
      </c>
      <c r="B291" s="4" t="s">
        <v>732</v>
      </c>
      <c r="C291" s="11">
        <v>44919</v>
      </c>
      <c r="D291" s="4" t="s">
        <v>23</v>
      </c>
      <c r="E291" s="4" t="s">
        <v>24</v>
      </c>
      <c r="F291" s="4" t="s">
        <v>25</v>
      </c>
      <c r="G291" s="4" t="s">
        <v>59</v>
      </c>
      <c r="H291" s="4" t="s">
        <v>1168</v>
      </c>
      <c r="I291" s="4" t="s">
        <v>43</v>
      </c>
      <c r="J291" s="4" t="s">
        <v>29</v>
      </c>
      <c r="K291" s="4" t="s">
        <v>44</v>
      </c>
      <c r="L291" s="4" t="s">
        <v>329</v>
      </c>
      <c r="M291" s="4" t="s">
        <v>81</v>
      </c>
      <c r="N291" s="4" t="s">
        <v>54</v>
      </c>
      <c r="O291" s="4" t="s">
        <v>46</v>
      </c>
      <c r="P291" s="4" t="s">
        <v>74</v>
      </c>
      <c r="Q291" s="4">
        <v>8</v>
      </c>
      <c r="R291" s="4">
        <v>33667</v>
      </c>
      <c r="S291" s="5">
        <v>5</v>
      </c>
      <c r="T291" s="6">
        <f t="shared" si="12"/>
        <v>255869.2</v>
      </c>
      <c r="U291" s="4">
        <v>62745.79</v>
      </c>
      <c r="V291" t="str">
        <f t="shared" si="13"/>
        <v>Dec</v>
      </c>
      <c r="W291">
        <f t="shared" si="14"/>
        <v>0.24522603736596665</v>
      </c>
    </row>
    <row r="292" spans="1:23" x14ac:dyDescent="0.4">
      <c r="A292" s="4" t="s">
        <v>1169</v>
      </c>
      <c r="B292" s="4" t="s">
        <v>1170</v>
      </c>
      <c r="C292" s="11">
        <v>45009</v>
      </c>
      <c r="D292" s="4" t="s">
        <v>23</v>
      </c>
      <c r="E292" s="4" t="s">
        <v>24</v>
      </c>
      <c r="F292" s="4" t="s">
        <v>58</v>
      </c>
      <c r="G292" s="4" t="s">
        <v>41</v>
      </c>
      <c r="H292" s="4" t="s">
        <v>1172</v>
      </c>
      <c r="I292" s="4" t="s">
        <v>61</v>
      </c>
      <c r="J292" s="4" t="s">
        <v>29</v>
      </c>
      <c r="K292" s="4" t="s">
        <v>44</v>
      </c>
      <c r="L292" s="4" t="s">
        <v>661</v>
      </c>
      <c r="M292" s="4" t="s">
        <v>73</v>
      </c>
      <c r="N292" s="4" t="s">
        <v>54</v>
      </c>
      <c r="O292" s="4" t="s">
        <v>82</v>
      </c>
      <c r="P292" s="4" t="s">
        <v>47</v>
      </c>
      <c r="Q292" s="4">
        <v>9</v>
      </c>
      <c r="R292" s="4">
        <v>22806</v>
      </c>
      <c r="S292" s="5">
        <v>0</v>
      </c>
      <c r="T292" s="6">
        <f t="shared" si="12"/>
        <v>205254</v>
      </c>
      <c r="U292" s="4">
        <v>37675.01</v>
      </c>
      <c r="V292" t="str">
        <f t="shared" si="13"/>
        <v>Mar</v>
      </c>
      <c r="W292">
        <f t="shared" si="14"/>
        <v>0.18355310980541184</v>
      </c>
    </row>
    <row r="293" spans="1:23" x14ac:dyDescent="0.4">
      <c r="A293" s="4" t="s">
        <v>1173</v>
      </c>
      <c r="B293" s="4" t="s">
        <v>1174</v>
      </c>
      <c r="C293" s="11">
        <v>45400</v>
      </c>
      <c r="D293" s="4" t="s">
        <v>98</v>
      </c>
      <c r="E293" s="4" t="s">
        <v>24</v>
      </c>
      <c r="F293" s="4" t="s">
        <v>58</v>
      </c>
      <c r="G293" s="4" t="s">
        <v>26</v>
      </c>
      <c r="H293" s="4" t="s">
        <v>657</v>
      </c>
      <c r="I293" s="4" t="s">
        <v>61</v>
      </c>
      <c r="J293" s="4" t="s">
        <v>62</v>
      </c>
      <c r="K293" s="4" t="s">
        <v>153</v>
      </c>
      <c r="L293" s="4" t="s">
        <v>382</v>
      </c>
      <c r="M293" s="4" t="s">
        <v>95</v>
      </c>
      <c r="N293" s="4" t="s">
        <v>54</v>
      </c>
      <c r="O293" s="4" t="s">
        <v>120</v>
      </c>
      <c r="P293" s="4" t="s">
        <v>35</v>
      </c>
      <c r="Q293" s="4">
        <v>10</v>
      </c>
      <c r="R293" s="4">
        <v>10825</v>
      </c>
      <c r="S293" s="5">
        <v>15</v>
      </c>
      <c r="T293" s="6">
        <f t="shared" si="12"/>
        <v>92012.5</v>
      </c>
      <c r="U293" s="4">
        <v>10002.049999999999</v>
      </c>
      <c r="V293" t="str">
        <f t="shared" si="13"/>
        <v>Apr</v>
      </c>
      <c r="W293">
        <f t="shared" si="14"/>
        <v>0.10870316533079744</v>
      </c>
    </row>
    <row r="294" spans="1:23" x14ac:dyDescent="0.4">
      <c r="A294" s="4" t="s">
        <v>1175</v>
      </c>
      <c r="B294" s="4" t="s">
        <v>304</v>
      </c>
      <c r="C294" s="11">
        <v>45277</v>
      </c>
      <c r="D294" s="4" t="s">
        <v>124</v>
      </c>
      <c r="E294" s="4" t="s">
        <v>24</v>
      </c>
      <c r="F294" s="4" t="s">
        <v>58</v>
      </c>
      <c r="G294" s="4" t="s">
        <v>26</v>
      </c>
      <c r="H294" s="4" t="s">
        <v>1176</v>
      </c>
      <c r="I294" s="4" t="s">
        <v>28</v>
      </c>
      <c r="J294" s="4" t="s">
        <v>62</v>
      </c>
      <c r="K294" s="4" t="s">
        <v>30</v>
      </c>
      <c r="L294" s="4" t="s">
        <v>348</v>
      </c>
      <c r="M294" s="4" t="s">
        <v>53</v>
      </c>
      <c r="N294" s="4" t="s">
        <v>33</v>
      </c>
      <c r="O294" s="4" t="s">
        <v>120</v>
      </c>
      <c r="P294" s="4" t="s">
        <v>88</v>
      </c>
      <c r="Q294" s="4">
        <v>3</v>
      </c>
      <c r="R294" s="4">
        <v>5782</v>
      </c>
      <c r="S294" s="5">
        <v>15</v>
      </c>
      <c r="T294" s="6">
        <f t="shared" si="12"/>
        <v>14744.1</v>
      </c>
      <c r="U294" s="4">
        <v>2217.5100000000002</v>
      </c>
      <c r="V294" t="str">
        <f t="shared" si="13"/>
        <v>Dec</v>
      </c>
      <c r="W294">
        <f t="shared" si="14"/>
        <v>0.15039982094532731</v>
      </c>
    </row>
    <row r="295" spans="1:23" x14ac:dyDescent="0.4">
      <c r="A295" s="4" t="s">
        <v>1177</v>
      </c>
      <c r="B295" s="4" t="s">
        <v>1178</v>
      </c>
      <c r="C295" s="11">
        <v>45084</v>
      </c>
      <c r="D295" s="4" t="s">
        <v>23</v>
      </c>
      <c r="E295" s="4" t="s">
        <v>24</v>
      </c>
      <c r="F295" s="4" t="s">
        <v>25</v>
      </c>
      <c r="G295" s="4" t="s">
        <v>92</v>
      </c>
      <c r="H295" s="4" t="s">
        <v>1179</v>
      </c>
      <c r="I295" s="4" t="s">
        <v>61</v>
      </c>
      <c r="J295" s="4" t="s">
        <v>79</v>
      </c>
      <c r="K295" s="4" t="s">
        <v>153</v>
      </c>
      <c r="L295" s="4" t="s">
        <v>176</v>
      </c>
      <c r="M295" s="4" t="s">
        <v>81</v>
      </c>
      <c r="N295" s="4" t="s">
        <v>33</v>
      </c>
      <c r="O295" s="4" t="s">
        <v>34</v>
      </c>
      <c r="P295" s="4" t="s">
        <v>88</v>
      </c>
      <c r="Q295" s="4">
        <v>10</v>
      </c>
      <c r="R295" s="4">
        <v>19240</v>
      </c>
      <c r="S295" s="5">
        <v>5</v>
      </c>
      <c r="T295" s="6">
        <f t="shared" si="12"/>
        <v>182780</v>
      </c>
      <c r="U295" s="4">
        <v>34979.26</v>
      </c>
      <c r="V295" t="str">
        <f t="shared" si="13"/>
        <v>Jun</v>
      </c>
      <c r="W295">
        <f t="shared" si="14"/>
        <v>0.19137356384724807</v>
      </c>
    </row>
    <row r="296" spans="1:23" x14ac:dyDescent="0.4">
      <c r="A296" s="4" t="s">
        <v>1180</v>
      </c>
      <c r="B296" s="4" t="s">
        <v>1181</v>
      </c>
      <c r="C296" s="11">
        <v>44920</v>
      </c>
      <c r="D296" s="4" t="s">
        <v>124</v>
      </c>
      <c r="E296" s="4" t="s">
        <v>24</v>
      </c>
      <c r="F296" s="4" t="s">
        <v>25</v>
      </c>
      <c r="G296" s="4" t="s">
        <v>41</v>
      </c>
      <c r="H296" s="4" t="s">
        <v>1183</v>
      </c>
      <c r="I296" s="4" t="s">
        <v>43</v>
      </c>
      <c r="J296" s="4" t="s">
        <v>79</v>
      </c>
      <c r="K296" s="4" t="s">
        <v>86</v>
      </c>
      <c r="L296" s="4" t="s">
        <v>1184</v>
      </c>
      <c r="M296" s="4" t="s">
        <v>65</v>
      </c>
      <c r="N296" s="4" t="s">
        <v>54</v>
      </c>
      <c r="O296" s="4" t="s">
        <v>82</v>
      </c>
      <c r="P296" s="4" t="s">
        <v>88</v>
      </c>
      <c r="Q296" s="4">
        <v>7</v>
      </c>
      <c r="R296" s="4">
        <v>14627</v>
      </c>
      <c r="S296" s="5">
        <v>5</v>
      </c>
      <c r="T296" s="6">
        <f t="shared" si="12"/>
        <v>97269.55</v>
      </c>
      <c r="U296" s="4">
        <v>15492.36</v>
      </c>
      <c r="V296" t="str">
        <f t="shared" si="13"/>
        <v>Dec</v>
      </c>
      <c r="W296">
        <f t="shared" si="14"/>
        <v>0.15927245474046092</v>
      </c>
    </row>
    <row r="297" spans="1:23" x14ac:dyDescent="0.4">
      <c r="A297" s="4" t="s">
        <v>1185</v>
      </c>
      <c r="B297" s="4" t="s">
        <v>1186</v>
      </c>
      <c r="C297" s="11">
        <v>44951</v>
      </c>
      <c r="D297" s="4" t="s">
        <v>98</v>
      </c>
      <c r="E297" s="4" t="s">
        <v>24</v>
      </c>
      <c r="F297" s="4" t="s">
        <v>26</v>
      </c>
      <c r="G297" s="4" t="s">
        <v>99</v>
      </c>
      <c r="H297" s="4" t="s">
        <v>1188</v>
      </c>
      <c r="I297" s="4" t="s">
        <v>43</v>
      </c>
      <c r="J297" s="4" t="s">
        <v>62</v>
      </c>
      <c r="K297" s="4" t="s">
        <v>153</v>
      </c>
      <c r="L297" s="4" t="s">
        <v>126</v>
      </c>
      <c r="M297" s="4" t="s">
        <v>73</v>
      </c>
      <c r="N297" s="4" t="s">
        <v>54</v>
      </c>
      <c r="O297" s="4" t="s">
        <v>120</v>
      </c>
      <c r="P297" s="4" t="s">
        <v>47</v>
      </c>
      <c r="Q297" s="4">
        <v>3</v>
      </c>
      <c r="R297" s="4">
        <v>44497</v>
      </c>
      <c r="S297" s="5">
        <v>10</v>
      </c>
      <c r="T297" s="6">
        <f t="shared" si="12"/>
        <v>120141.9</v>
      </c>
      <c r="U297" s="4">
        <v>9184.01</v>
      </c>
      <c r="V297" t="str">
        <f t="shared" si="13"/>
        <v>Jan</v>
      </c>
      <c r="W297">
        <f t="shared" si="14"/>
        <v>7.6443022792214876E-2</v>
      </c>
    </row>
    <row r="298" spans="1:23" x14ac:dyDescent="0.4">
      <c r="A298" s="4" t="s">
        <v>1189</v>
      </c>
      <c r="B298" s="4" t="s">
        <v>1190</v>
      </c>
      <c r="C298" s="11">
        <v>45333</v>
      </c>
      <c r="D298" s="4" t="s">
        <v>98</v>
      </c>
      <c r="E298" s="4" t="s">
        <v>24</v>
      </c>
      <c r="F298" s="4" t="s">
        <v>40</v>
      </c>
      <c r="G298" s="4" t="s">
        <v>92</v>
      </c>
      <c r="H298" s="4" t="s">
        <v>1191</v>
      </c>
      <c r="I298" s="4" t="s">
        <v>43</v>
      </c>
      <c r="J298" s="4" t="s">
        <v>79</v>
      </c>
      <c r="K298" s="4" t="s">
        <v>63</v>
      </c>
      <c r="L298" s="4" t="s">
        <v>494</v>
      </c>
      <c r="M298" s="4" t="s">
        <v>32</v>
      </c>
      <c r="N298" s="4" t="s">
        <v>33</v>
      </c>
      <c r="O298" s="4" t="s">
        <v>120</v>
      </c>
      <c r="P298" s="4" t="s">
        <v>47</v>
      </c>
      <c r="Q298" s="4">
        <v>7</v>
      </c>
      <c r="R298" s="4">
        <v>47092</v>
      </c>
      <c r="S298" s="5">
        <v>0</v>
      </c>
      <c r="T298" s="6">
        <f t="shared" si="12"/>
        <v>329644</v>
      </c>
      <c r="U298" s="4">
        <v>59748.33</v>
      </c>
      <c r="V298" t="str">
        <f t="shared" si="13"/>
        <v>Feb</v>
      </c>
      <c r="W298">
        <f t="shared" si="14"/>
        <v>0.18125107691934331</v>
      </c>
    </row>
    <row r="299" spans="1:23" x14ac:dyDescent="0.4">
      <c r="A299" s="4" t="s">
        <v>1192</v>
      </c>
      <c r="B299" s="4" t="s">
        <v>1193</v>
      </c>
      <c r="C299" s="11">
        <v>44629</v>
      </c>
      <c r="D299" s="4" t="s">
        <v>98</v>
      </c>
      <c r="E299" s="4" t="s">
        <v>24</v>
      </c>
      <c r="F299" s="4" t="s">
        <v>40</v>
      </c>
      <c r="G299" s="4" t="s">
        <v>92</v>
      </c>
      <c r="H299" s="4" t="s">
        <v>1195</v>
      </c>
      <c r="I299" s="4" t="s">
        <v>28</v>
      </c>
      <c r="J299" s="4" t="s">
        <v>62</v>
      </c>
      <c r="K299" s="4" t="s">
        <v>63</v>
      </c>
      <c r="L299" s="4" t="s">
        <v>486</v>
      </c>
      <c r="M299" s="4" t="s">
        <v>81</v>
      </c>
      <c r="N299" s="4" t="s">
        <v>54</v>
      </c>
      <c r="O299" s="4" t="s">
        <v>66</v>
      </c>
      <c r="P299" s="4" t="s">
        <v>74</v>
      </c>
      <c r="Q299" s="4">
        <v>2</v>
      </c>
      <c r="R299" s="4">
        <v>21314</v>
      </c>
      <c r="S299" s="5">
        <v>15</v>
      </c>
      <c r="T299" s="6">
        <f t="shared" si="12"/>
        <v>36233.800000000003</v>
      </c>
      <c r="U299" s="4">
        <v>3849.43</v>
      </c>
      <c r="V299" t="str">
        <f t="shared" si="13"/>
        <v>Feb</v>
      </c>
      <c r="W299">
        <f t="shared" si="14"/>
        <v>0.10623865010018269</v>
      </c>
    </row>
    <row r="300" spans="1:23" x14ac:dyDescent="0.4">
      <c r="A300" s="4" t="s">
        <v>1196</v>
      </c>
      <c r="B300" s="4" t="s">
        <v>1197</v>
      </c>
      <c r="C300" s="11">
        <v>45561</v>
      </c>
      <c r="D300" s="4" t="s">
        <v>23</v>
      </c>
      <c r="E300" s="4" t="s">
        <v>24</v>
      </c>
      <c r="F300" s="4" t="s">
        <v>70</v>
      </c>
      <c r="G300" s="4" t="s">
        <v>26</v>
      </c>
      <c r="H300" s="4" t="s">
        <v>1199</v>
      </c>
      <c r="I300" s="4" t="s">
        <v>28</v>
      </c>
      <c r="J300" s="4" t="s">
        <v>79</v>
      </c>
      <c r="K300" s="4" t="s">
        <v>86</v>
      </c>
      <c r="L300" s="4" t="s">
        <v>369</v>
      </c>
      <c r="M300" s="4" t="s">
        <v>65</v>
      </c>
      <c r="N300" s="4" t="s">
        <v>33</v>
      </c>
      <c r="O300" s="4" t="s">
        <v>120</v>
      </c>
      <c r="P300" s="4" t="s">
        <v>47</v>
      </c>
      <c r="Q300" s="4">
        <v>7</v>
      </c>
      <c r="R300" s="4">
        <v>8443</v>
      </c>
      <c r="S300" s="5">
        <v>20</v>
      </c>
      <c r="T300" s="6">
        <f t="shared" si="12"/>
        <v>47280.800000000003</v>
      </c>
      <c r="U300" s="4">
        <v>4499.91</v>
      </c>
      <c r="V300" t="str">
        <f t="shared" si="13"/>
        <v>Sep</v>
      </c>
      <c r="W300">
        <f t="shared" si="14"/>
        <v>9.5174151029593396E-2</v>
      </c>
    </row>
    <row r="301" spans="1:23" x14ac:dyDescent="0.4">
      <c r="A301" s="4" t="s">
        <v>1200</v>
      </c>
      <c r="B301" s="4" t="s">
        <v>1201</v>
      </c>
      <c r="C301" s="11">
        <v>45091</v>
      </c>
      <c r="D301" s="4" t="s">
        <v>39</v>
      </c>
      <c r="E301" s="4" t="s">
        <v>24</v>
      </c>
      <c r="F301" s="4" t="s">
        <v>25</v>
      </c>
      <c r="G301" s="4" t="s">
        <v>26</v>
      </c>
      <c r="H301" s="4" t="s">
        <v>1202</v>
      </c>
      <c r="I301" s="4" t="s">
        <v>43</v>
      </c>
      <c r="J301" s="4" t="s">
        <v>79</v>
      </c>
      <c r="K301" s="4" t="s">
        <v>101</v>
      </c>
      <c r="L301" s="4" t="s">
        <v>1141</v>
      </c>
      <c r="M301" s="4" t="s">
        <v>73</v>
      </c>
      <c r="N301" s="4" t="s">
        <v>54</v>
      </c>
      <c r="O301" s="4" t="s">
        <v>120</v>
      </c>
      <c r="P301" s="4" t="s">
        <v>74</v>
      </c>
      <c r="Q301" s="4">
        <v>5</v>
      </c>
      <c r="R301" s="4">
        <v>38786</v>
      </c>
      <c r="S301" s="5">
        <v>15</v>
      </c>
      <c r="T301" s="6">
        <f t="shared" si="12"/>
        <v>164840.5</v>
      </c>
      <c r="U301" s="4">
        <v>25398.95</v>
      </c>
      <c r="V301" t="str">
        <f t="shared" si="13"/>
        <v>Jun</v>
      </c>
      <c r="W301">
        <f t="shared" si="14"/>
        <v>0.15408197621336989</v>
      </c>
    </row>
    <row r="302" spans="1:23" x14ac:dyDescent="0.4">
      <c r="A302" s="4" t="s">
        <v>1203</v>
      </c>
      <c r="B302" s="4" t="s">
        <v>571</v>
      </c>
      <c r="C302" s="11">
        <v>45336</v>
      </c>
      <c r="D302" s="4" t="s">
        <v>23</v>
      </c>
      <c r="E302" s="4" t="s">
        <v>24</v>
      </c>
      <c r="F302" s="4" t="s">
        <v>25</v>
      </c>
      <c r="G302" s="4" t="s">
        <v>92</v>
      </c>
      <c r="H302" s="4" t="s">
        <v>1204</v>
      </c>
      <c r="I302" s="4" t="s">
        <v>28</v>
      </c>
      <c r="J302" s="4" t="s">
        <v>29</v>
      </c>
      <c r="K302" s="4" t="s">
        <v>30</v>
      </c>
      <c r="L302" s="4" t="s">
        <v>839</v>
      </c>
      <c r="M302" s="4" t="s">
        <v>53</v>
      </c>
      <c r="N302" s="4" t="s">
        <v>54</v>
      </c>
      <c r="O302" s="4" t="s">
        <v>82</v>
      </c>
      <c r="P302" s="4" t="s">
        <v>35</v>
      </c>
      <c r="Q302" s="4">
        <v>8</v>
      </c>
      <c r="R302" s="4">
        <v>13304</v>
      </c>
      <c r="S302" s="5">
        <v>5</v>
      </c>
      <c r="T302" s="6">
        <f t="shared" si="12"/>
        <v>101110.39999999999</v>
      </c>
      <c r="U302" s="4">
        <v>12879.21</v>
      </c>
      <c r="V302" t="str">
        <f t="shared" si="13"/>
        <v>Feb</v>
      </c>
      <c r="W302">
        <f t="shared" si="14"/>
        <v>0.12737769804095325</v>
      </c>
    </row>
    <row r="303" spans="1:23" x14ac:dyDescent="0.4">
      <c r="A303" s="4" t="s">
        <v>1205</v>
      </c>
      <c r="B303" s="4" t="s">
        <v>1206</v>
      </c>
      <c r="C303" s="11">
        <v>45254</v>
      </c>
      <c r="D303" s="4" t="s">
        <v>39</v>
      </c>
      <c r="E303" s="4" t="s">
        <v>24</v>
      </c>
      <c r="F303" s="4" t="s">
        <v>40</v>
      </c>
      <c r="G303" s="4" t="s">
        <v>99</v>
      </c>
      <c r="H303" s="4" t="s">
        <v>1208</v>
      </c>
      <c r="I303" s="4" t="s">
        <v>61</v>
      </c>
      <c r="J303" s="4" t="s">
        <v>62</v>
      </c>
      <c r="K303" s="4" t="s">
        <v>86</v>
      </c>
      <c r="L303" s="4" t="s">
        <v>559</v>
      </c>
      <c r="M303" s="4" t="s">
        <v>32</v>
      </c>
      <c r="N303" s="4" t="s">
        <v>33</v>
      </c>
      <c r="O303" s="4" t="s">
        <v>46</v>
      </c>
      <c r="P303" s="4" t="s">
        <v>35</v>
      </c>
      <c r="Q303" s="4">
        <v>9</v>
      </c>
      <c r="R303" s="4">
        <v>11095</v>
      </c>
      <c r="S303" s="5">
        <v>20</v>
      </c>
      <c r="T303" s="6">
        <f t="shared" si="12"/>
        <v>79884</v>
      </c>
      <c r="U303" s="4">
        <v>-10372.69</v>
      </c>
      <c r="V303" t="str">
        <f t="shared" si="13"/>
        <v>Nov</v>
      </c>
      <c r="W303">
        <f t="shared" si="14"/>
        <v>-0.12984690300936358</v>
      </c>
    </row>
    <row r="304" spans="1:23" x14ac:dyDescent="0.4">
      <c r="A304" s="4" t="s">
        <v>1209</v>
      </c>
      <c r="B304" s="4" t="s">
        <v>1171</v>
      </c>
      <c r="C304" s="11">
        <v>45014</v>
      </c>
      <c r="D304" s="4" t="s">
        <v>23</v>
      </c>
      <c r="E304" s="4" t="s">
        <v>24</v>
      </c>
      <c r="F304" s="4" t="s">
        <v>26</v>
      </c>
      <c r="G304" s="4" t="s">
        <v>59</v>
      </c>
      <c r="H304" s="4" t="s">
        <v>1210</v>
      </c>
      <c r="I304" s="4" t="s">
        <v>43</v>
      </c>
      <c r="J304" s="4" t="s">
        <v>62</v>
      </c>
      <c r="K304" s="4" t="s">
        <v>86</v>
      </c>
      <c r="L304" s="4" t="s">
        <v>213</v>
      </c>
      <c r="M304" s="4" t="s">
        <v>32</v>
      </c>
      <c r="N304" s="4" t="s">
        <v>54</v>
      </c>
      <c r="O304" s="4" t="s">
        <v>34</v>
      </c>
      <c r="P304" s="4" t="s">
        <v>47</v>
      </c>
      <c r="Q304" s="4">
        <v>9</v>
      </c>
      <c r="R304" s="4">
        <v>23435</v>
      </c>
      <c r="S304" s="5">
        <v>20</v>
      </c>
      <c r="T304" s="6">
        <f t="shared" si="12"/>
        <v>168732</v>
      </c>
      <c r="U304" s="4">
        <v>-1030.6199999999999</v>
      </c>
      <c r="V304" t="str">
        <f t="shared" si="13"/>
        <v>Mar</v>
      </c>
      <c r="W304">
        <f t="shared" si="14"/>
        <v>-6.1080293009032069E-3</v>
      </c>
    </row>
    <row r="305" spans="1:23" x14ac:dyDescent="0.4">
      <c r="A305" s="4" t="s">
        <v>1211</v>
      </c>
      <c r="B305" s="4" t="s">
        <v>1212</v>
      </c>
      <c r="C305" s="11">
        <v>45019</v>
      </c>
      <c r="D305" s="4" t="s">
        <v>124</v>
      </c>
      <c r="E305" s="4" t="s">
        <v>24</v>
      </c>
      <c r="F305" s="4" t="s">
        <v>25</v>
      </c>
      <c r="G305" s="4" t="s">
        <v>59</v>
      </c>
      <c r="H305" s="4" t="s">
        <v>1213</v>
      </c>
      <c r="I305" s="4" t="s">
        <v>28</v>
      </c>
      <c r="J305" s="4" t="s">
        <v>29</v>
      </c>
      <c r="K305" s="4" t="s">
        <v>153</v>
      </c>
      <c r="L305" s="4" t="s">
        <v>1214</v>
      </c>
      <c r="M305" s="4" t="s">
        <v>32</v>
      </c>
      <c r="N305" s="4" t="s">
        <v>54</v>
      </c>
      <c r="O305" s="4" t="s">
        <v>82</v>
      </c>
      <c r="P305" s="4" t="s">
        <v>74</v>
      </c>
      <c r="Q305" s="4">
        <v>6</v>
      </c>
      <c r="R305" s="4">
        <v>5106</v>
      </c>
      <c r="S305" s="5">
        <v>0</v>
      </c>
      <c r="T305" s="6">
        <f t="shared" si="12"/>
        <v>30636</v>
      </c>
      <c r="U305" s="4">
        <v>1828.99</v>
      </c>
      <c r="V305" t="str">
        <f t="shared" si="13"/>
        <v>Apr</v>
      </c>
      <c r="W305">
        <f t="shared" si="14"/>
        <v>5.9700678939809376E-2</v>
      </c>
    </row>
    <row r="306" spans="1:23" x14ac:dyDescent="0.4">
      <c r="A306" s="4" t="s">
        <v>1215</v>
      </c>
      <c r="B306" s="4" t="s">
        <v>285</v>
      </c>
      <c r="C306" s="11">
        <v>45052</v>
      </c>
      <c r="D306" s="4" t="s">
        <v>124</v>
      </c>
      <c r="E306" s="4" t="s">
        <v>24</v>
      </c>
      <c r="F306" s="4" t="s">
        <v>70</v>
      </c>
      <c r="G306" s="4" t="s">
        <v>41</v>
      </c>
      <c r="H306" s="4" t="s">
        <v>1217</v>
      </c>
      <c r="I306" s="4" t="s">
        <v>61</v>
      </c>
      <c r="J306" s="4" t="s">
        <v>79</v>
      </c>
      <c r="K306" s="4" t="s">
        <v>63</v>
      </c>
      <c r="L306" s="4" t="s">
        <v>618</v>
      </c>
      <c r="M306" s="4" t="s">
        <v>95</v>
      </c>
      <c r="N306" s="4" t="s">
        <v>54</v>
      </c>
      <c r="O306" s="4" t="s">
        <v>34</v>
      </c>
      <c r="P306" s="4" t="s">
        <v>74</v>
      </c>
      <c r="Q306" s="4">
        <v>4</v>
      </c>
      <c r="R306" s="4">
        <v>34926</v>
      </c>
      <c r="S306" s="5">
        <v>10</v>
      </c>
      <c r="T306" s="6">
        <f t="shared" si="12"/>
        <v>125733.6</v>
      </c>
      <c r="U306" s="4">
        <v>24493.08</v>
      </c>
      <c r="V306" t="str">
        <f t="shared" si="13"/>
        <v>May</v>
      </c>
      <c r="W306">
        <f t="shared" si="14"/>
        <v>0.19480138960468801</v>
      </c>
    </row>
    <row r="307" spans="1:23" x14ac:dyDescent="0.4">
      <c r="A307" s="4" t="s">
        <v>1218</v>
      </c>
      <c r="B307" s="4" t="s">
        <v>684</v>
      </c>
      <c r="C307" s="11">
        <v>45146</v>
      </c>
      <c r="D307" s="4" t="s">
        <v>124</v>
      </c>
      <c r="E307" s="4" t="s">
        <v>24</v>
      </c>
      <c r="F307" s="4" t="s">
        <v>70</v>
      </c>
      <c r="G307" s="4" t="s">
        <v>41</v>
      </c>
      <c r="H307" s="4" t="s">
        <v>1220</v>
      </c>
      <c r="I307" s="4" t="s">
        <v>43</v>
      </c>
      <c r="J307" s="4" t="s">
        <v>29</v>
      </c>
      <c r="K307" s="4" t="s">
        <v>153</v>
      </c>
      <c r="L307" s="4" t="s">
        <v>457</v>
      </c>
      <c r="M307" s="4" t="s">
        <v>95</v>
      </c>
      <c r="N307" s="4" t="s">
        <v>54</v>
      </c>
      <c r="O307" s="4" t="s">
        <v>82</v>
      </c>
      <c r="P307" s="4" t="s">
        <v>47</v>
      </c>
      <c r="Q307" s="4">
        <v>2</v>
      </c>
      <c r="R307" s="4">
        <v>42750</v>
      </c>
      <c r="S307" s="5">
        <v>0</v>
      </c>
      <c r="T307" s="6">
        <f t="shared" si="12"/>
        <v>85500</v>
      </c>
      <c r="U307" s="4">
        <v>24502.75</v>
      </c>
      <c r="V307" t="str">
        <f t="shared" si="13"/>
        <v>Aug</v>
      </c>
      <c r="W307">
        <f t="shared" si="14"/>
        <v>0.28658187134502922</v>
      </c>
    </row>
    <row r="308" spans="1:23" x14ac:dyDescent="0.4">
      <c r="A308" s="4" t="s">
        <v>1221</v>
      </c>
      <c r="B308" s="4" t="s">
        <v>1222</v>
      </c>
      <c r="C308" s="11">
        <v>45126</v>
      </c>
      <c r="D308" s="4" t="s">
        <v>98</v>
      </c>
      <c r="E308" s="4" t="s">
        <v>24</v>
      </c>
      <c r="F308" s="4" t="s">
        <v>58</v>
      </c>
      <c r="G308" s="4" t="s">
        <v>26</v>
      </c>
      <c r="H308" s="4" t="s">
        <v>1223</v>
      </c>
      <c r="I308" s="4" t="s">
        <v>43</v>
      </c>
      <c r="J308" s="4" t="s">
        <v>79</v>
      </c>
      <c r="K308" s="4" t="s">
        <v>86</v>
      </c>
      <c r="L308" s="4" t="s">
        <v>627</v>
      </c>
      <c r="M308" s="4" t="s">
        <v>65</v>
      </c>
      <c r="N308" s="4" t="s">
        <v>54</v>
      </c>
      <c r="O308" s="4" t="s">
        <v>82</v>
      </c>
      <c r="P308" s="4" t="s">
        <v>35</v>
      </c>
      <c r="Q308" s="4">
        <v>1</v>
      </c>
      <c r="R308" s="4">
        <v>47604</v>
      </c>
      <c r="S308" s="5">
        <v>10</v>
      </c>
      <c r="T308" s="6">
        <f t="shared" si="12"/>
        <v>42843.6</v>
      </c>
      <c r="U308" s="4">
        <v>-1515.53</v>
      </c>
      <c r="V308" t="str">
        <f t="shared" si="13"/>
        <v>Jul</v>
      </c>
      <c r="W308">
        <f t="shared" si="14"/>
        <v>-3.5373544706794012E-2</v>
      </c>
    </row>
    <row r="309" spans="1:23" x14ac:dyDescent="0.4">
      <c r="A309" s="4" t="s">
        <v>1224</v>
      </c>
      <c r="B309" s="4" t="s">
        <v>586</v>
      </c>
      <c r="C309" s="11">
        <v>45215</v>
      </c>
      <c r="D309" s="4" t="s">
        <v>124</v>
      </c>
      <c r="E309" s="4" t="s">
        <v>24</v>
      </c>
      <c r="F309" s="4" t="s">
        <v>25</v>
      </c>
      <c r="G309" s="4" t="s">
        <v>99</v>
      </c>
      <c r="H309" s="4" t="s">
        <v>1225</v>
      </c>
      <c r="I309" s="4" t="s">
        <v>43</v>
      </c>
      <c r="J309" s="4" t="s">
        <v>62</v>
      </c>
      <c r="K309" s="4" t="s">
        <v>63</v>
      </c>
      <c r="L309" s="4" t="s">
        <v>1226</v>
      </c>
      <c r="M309" s="4" t="s">
        <v>32</v>
      </c>
      <c r="N309" s="4" t="s">
        <v>33</v>
      </c>
      <c r="O309" s="4" t="s">
        <v>46</v>
      </c>
      <c r="P309" s="4" t="s">
        <v>35</v>
      </c>
      <c r="Q309" s="4">
        <v>1</v>
      </c>
      <c r="R309" s="4">
        <v>23598</v>
      </c>
      <c r="S309" s="5">
        <v>0</v>
      </c>
      <c r="T309" s="6">
        <f t="shared" si="12"/>
        <v>23598</v>
      </c>
      <c r="U309" s="4">
        <v>3107.88</v>
      </c>
      <c r="V309" t="str">
        <f t="shared" si="13"/>
        <v>Oct</v>
      </c>
      <c r="W309">
        <f t="shared" si="14"/>
        <v>0.13170099160945845</v>
      </c>
    </row>
    <row r="310" spans="1:23" x14ac:dyDescent="0.4">
      <c r="A310" s="4" t="s">
        <v>1227</v>
      </c>
      <c r="B310" s="4" t="s">
        <v>1228</v>
      </c>
      <c r="C310" s="11">
        <v>44847</v>
      </c>
      <c r="D310" s="4" t="s">
        <v>23</v>
      </c>
      <c r="E310" s="4" t="s">
        <v>24</v>
      </c>
      <c r="F310" s="4" t="s">
        <v>26</v>
      </c>
      <c r="G310" s="4" t="s">
        <v>92</v>
      </c>
      <c r="H310" s="4" t="s">
        <v>1229</v>
      </c>
      <c r="I310" s="4" t="s">
        <v>43</v>
      </c>
      <c r="J310" s="4" t="s">
        <v>29</v>
      </c>
      <c r="K310" s="4" t="s">
        <v>44</v>
      </c>
      <c r="L310" s="4" t="s">
        <v>976</v>
      </c>
      <c r="M310" s="4" t="s">
        <v>81</v>
      </c>
      <c r="N310" s="4" t="s">
        <v>33</v>
      </c>
      <c r="O310" s="4" t="s">
        <v>82</v>
      </c>
      <c r="P310" s="4" t="s">
        <v>35</v>
      </c>
      <c r="Q310" s="4">
        <v>4</v>
      </c>
      <c r="R310" s="4">
        <v>45437</v>
      </c>
      <c r="S310" s="5">
        <v>10</v>
      </c>
      <c r="T310" s="6">
        <f t="shared" si="12"/>
        <v>163573.20000000001</v>
      </c>
      <c r="U310" s="4">
        <v>35769.85</v>
      </c>
      <c r="V310" t="str">
        <f t="shared" si="13"/>
        <v>Oct</v>
      </c>
      <c r="W310">
        <f t="shared" si="14"/>
        <v>0.21867793746163794</v>
      </c>
    </row>
    <row r="311" spans="1:23" x14ac:dyDescent="0.4">
      <c r="A311" s="4" t="s">
        <v>1230</v>
      </c>
      <c r="B311" s="4" t="s">
        <v>21</v>
      </c>
      <c r="C311" s="11">
        <v>44997</v>
      </c>
      <c r="D311" s="4" t="s">
        <v>23</v>
      </c>
      <c r="E311" s="4" t="s">
        <v>24</v>
      </c>
      <c r="F311" s="4" t="s">
        <v>58</v>
      </c>
      <c r="G311" s="4" t="s">
        <v>99</v>
      </c>
      <c r="H311" s="4" t="s">
        <v>1232</v>
      </c>
      <c r="I311" s="4" t="s">
        <v>28</v>
      </c>
      <c r="J311" s="4" t="s">
        <v>79</v>
      </c>
      <c r="K311" s="4" t="s">
        <v>86</v>
      </c>
      <c r="L311" s="4" t="s">
        <v>441</v>
      </c>
      <c r="M311" s="4" t="s">
        <v>81</v>
      </c>
      <c r="N311" s="4" t="s">
        <v>33</v>
      </c>
      <c r="O311" s="4" t="s">
        <v>82</v>
      </c>
      <c r="P311" s="4" t="s">
        <v>88</v>
      </c>
      <c r="Q311" s="4">
        <v>2</v>
      </c>
      <c r="R311" s="4">
        <v>34467</v>
      </c>
      <c r="S311" s="5">
        <v>10</v>
      </c>
      <c r="T311" s="6">
        <f t="shared" si="12"/>
        <v>62040.6</v>
      </c>
      <c r="U311" s="4">
        <v>268.06</v>
      </c>
      <c r="V311" t="str">
        <f t="shared" si="13"/>
        <v>Mar</v>
      </c>
      <c r="W311">
        <f t="shared" si="14"/>
        <v>4.3207190130334005E-3</v>
      </c>
    </row>
    <row r="312" spans="1:23" x14ac:dyDescent="0.4">
      <c r="A312" s="4" t="s">
        <v>1233</v>
      </c>
      <c r="B312" s="4" t="s">
        <v>933</v>
      </c>
      <c r="C312" s="11">
        <v>44792</v>
      </c>
      <c r="D312" s="4" t="s">
        <v>124</v>
      </c>
      <c r="E312" s="4" t="s">
        <v>24</v>
      </c>
      <c r="F312" s="4" t="s">
        <v>26</v>
      </c>
      <c r="G312" s="4" t="s">
        <v>99</v>
      </c>
      <c r="H312" s="4" t="s">
        <v>1234</v>
      </c>
      <c r="I312" s="4" t="s">
        <v>43</v>
      </c>
      <c r="J312" s="4" t="s">
        <v>62</v>
      </c>
      <c r="K312" s="4" t="s">
        <v>86</v>
      </c>
      <c r="L312" s="4" t="s">
        <v>867</v>
      </c>
      <c r="M312" s="4" t="s">
        <v>53</v>
      </c>
      <c r="N312" s="4" t="s">
        <v>33</v>
      </c>
      <c r="O312" s="4" t="s">
        <v>82</v>
      </c>
      <c r="P312" s="4" t="s">
        <v>35</v>
      </c>
      <c r="Q312" s="4">
        <v>5</v>
      </c>
      <c r="R312" s="4">
        <v>23079</v>
      </c>
      <c r="S312" s="5">
        <v>5</v>
      </c>
      <c r="T312" s="6">
        <f t="shared" si="12"/>
        <v>109625.25</v>
      </c>
      <c r="U312" s="4">
        <v>28013.51</v>
      </c>
      <c r="V312" t="str">
        <f t="shared" si="13"/>
        <v>Aug</v>
      </c>
      <c r="W312">
        <f t="shared" si="14"/>
        <v>0.25553884711779445</v>
      </c>
    </row>
    <row r="313" spans="1:23" x14ac:dyDescent="0.4">
      <c r="A313" s="4" t="s">
        <v>1235</v>
      </c>
      <c r="B313" s="4" t="s">
        <v>1236</v>
      </c>
      <c r="C313" s="11">
        <v>44739</v>
      </c>
      <c r="D313" s="4" t="s">
        <v>23</v>
      </c>
      <c r="E313" s="4" t="s">
        <v>24</v>
      </c>
      <c r="F313" s="4" t="s">
        <v>26</v>
      </c>
      <c r="G313" s="4" t="s">
        <v>59</v>
      </c>
      <c r="H313" s="4" t="s">
        <v>1238</v>
      </c>
      <c r="I313" s="4" t="s">
        <v>43</v>
      </c>
      <c r="J313" s="4" t="s">
        <v>79</v>
      </c>
      <c r="K313" s="4" t="s">
        <v>101</v>
      </c>
      <c r="L313" s="4" t="s">
        <v>792</v>
      </c>
      <c r="M313" s="4" t="s">
        <v>32</v>
      </c>
      <c r="N313" s="4" t="s">
        <v>54</v>
      </c>
      <c r="O313" s="4" t="s">
        <v>120</v>
      </c>
      <c r="P313" s="4" t="s">
        <v>74</v>
      </c>
      <c r="Q313" s="4">
        <v>1</v>
      </c>
      <c r="R313" s="4">
        <v>25487</v>
      </c>
      <c r="S313" s="5">
        <v>0</v>
      </c>
      <c r="T313" s="6">
        <f t="shared" si="12"/>
        <v>25487</v>
      </c>
      <c r="U313" s="4">
        <v>3363.05</v>
      </c>
      <c r="V313" t="str">
        <f t="shared" si="13"/>
        <v>Jun</v>
      </c>
      <c r="W313">
        <f t="shared" si="14"/>
        <v>0.13195158316004238</v>
      </c>
    </row>
    <row r="314" spans="1:23" x14ac:dyDescent="0.4">
      <c r="A314" s="4" t="s">
        <v>1239</v>
      </c>
      <c r="B314" s="4" t="s">
        <v>332</v>
      </c>
      <c r="C314" s="11">
        <v>45531</v>
      </c>
      <c r="D314" s="4" t="s">
        <v>39</v>
      </c>
      <c r="E314" s="4" t="s">
        <v>24</v>
      </c>
      <c r="F314" s="4" t="s">
        <v>25</v>
      </c>
      <c r="G314" s="4" t="s">
        <v>41</v>
      </c>
      <c r="H314" s="4" t="s">
        <v>1240</v>
      </c>
      <c r="I314" s="4" t="s">
        <v>61</v>
      </c>
      <c r="J314" s="4" t="s">
        <v>79</v>
      </c>
      <c r="K314" s="4" t="s">
        <v>30</v>
      </c>
      <c r="L314" s="4" t="s">
        <v>605</v>
      </c>
      <c r="M314" s="4" t="s">
        <v>53</v>
      </c>
      <c r="N314" s="4" t="s">
        <v>54</v>
      </c>
      <c r="O314" s="4" t="s">
        <v>66</v>
      </c>
      <c r="P314" s="4" t="s">
        <v>35</v>
      </c>
      <c r="Q314" s="4">
        <v>10</v>
      </c>
      <c r="R314" s="4">
        <v>42250</v>
      </c>
      <c r="S314" s="5">
        <v>20</v>
      </c>
      <c r="T314" s="6">
        <f t="shared" si="12"/>
        <v>338000</v>
      </c>
      <c r="U314" s="4">
        <v>-27475.5</v>
      </c>
      <c r="V314" t="str">
        <f t="shared" si="13"/>
        <v>Aug</v>
      </c>
      <c r="W314">
        <f t="shared" si="14"/>
        <v>-8.1288461538461532E-2</v>
      </c>
    </row>
    <row r="315" spans="1:23" x14ac:dyDescent="0.4">
      <c r="A315" s="4" t="s">
        <v>1241</v>
      </c>
      <c r="B315" s="4" t="s">
        <v>1242</v>
      </c>
      <c r="C315" s="11">
        <v>44754</v>
      </c>
      <c r="D315" s="4" t="s">
        <v>39</v>
      </c>
      <c r="E315" s="4" t="s">
        <v>24</v>
      </c>
      <c r="F315" s="4" t="s">
        <v>25</v>
      </c>
      <c r="G315" s="4" t="s">
        <v>59</v>
      </c>
      <c r="H315" s="4" t="s">
        <v>1244</v>
      </c>
      <c r="I315" s="4" t="s">
        <v>61</v>
      </c>
      <c r="J315" s="4" t="s">
        <v>29</v>
      </c>
      <c r="K315" s="4" t="s">
        <v>44</v>
      </c>
      <c r="L315" s="4" t="s">
        <v>723</v>
      </c>
      <c r="M315" s="4" t="s">
        <v>95</v>
      </c>
      <c r="N315" s="4" t="s">
        <v>54</v>
      </c>
      <c r="O315" s="4" t="s">
        <v>46</v>
      </c>
      <c r="P315" s="4" t="s">
        <v>74</v>
      </c>
      <c r="Q315" s="4">
        <v>4</v>
      </c>
      <c r="R315" s="4">
        <v>6510</v>
      </c>
      <c r="S315" s="5">
        <v>20</v>
      </c>
      <c r="T315" s="6">
        <f t="shared" si="12"/>
        <v>20832</v>
      </c>
      <c r="U315" s="4">
        <v>1051.8</v>
      </c>
      <c r="V315" t="str">
        <f t="shared" si="13"/>
        <v>Jul</v>
      </c>
      <c r="W315">
        <f t="shared" si="14"/>
        <v>5.0489631336405529E-2</v>
      </c>
    </row>
    <row r="316" spans="1:23" x14ac:dyDescent="0.4">
      <c r="A316" s="4" t="s">
        <v>1245</v>
      </c>
      <c r="B316" s="4" t="s">
        <v>716</v>
      </c>
      <c r="C316" s="11">
        <v>45049</v>
      </c>
      <c r="D316" s="4" t="s">
        <v>39</v>
      </c>
      <c r="E316" s="4" t="s">
        <v>24</v>
      </c>
      <c r="F316" s="4" t="s">
        <v>70</v>
      </c>
      <c r="G316" s="4" t="s">
        <v>41</v>
      </c>
      <c r="H316" s="4" t="s">
        <v>1246</v>
      </c>
      <c r="I316" s="4" t="s">
        <v>43</v>
      </c>
      <c r="J316" s="4" t="s">
        <v>62</v>
      </c>
      <c r="K316" s="4" t="s">
        <v>63</v>
      </c>
      <c r="L316" s="4" t="s">
        <v>583</v>
      </c>
      <c r="M316" s="4" t="s">
        <v>95</v>
      </c>
      <c r="N316" s="4" t="s">
        <v>54</v>
      </c>
      <c r="O316" s="4" t="s">
        <v>46</v>
      </c>
      <c r="P316" s="4" t="s">
        <v>35</v>
      </c>
      <c r="Q316" s="4">
        <v>1</v>
      </c>
      <c r="R316" s="4">
        <v>11864</v>
      </c>
      <c r="S316" s="5">
        <v>15</v>
      </c>
      <c r="T316" s="6">
        <f t="shared" si="12"/>
        <v>10084.4</v>
      </c>
      <c r="U316" s="4">
        <v>650.36</v>
      </c>
      <c r="V316" t="str">
        <f t="shared" si="13"/>
        <v>Apr</v>
      </c>
      <c r="W316">
        <f t="shared" si="14"/>
        <v>6.449169013525842E-2</v>
      </c>
    </row>
    <row r="317" spans="1:23" x14ac:dyDescent="0.4">
      <c r="A317" s="4" t="s">
        <v>1247</v>
      </c>
      <c r="B317" s="4" t="s">
        <v>908</v>
      </c>
      <c r="C317" s="11">
        <v>44941</v>
      </c>
      <c r="D317" s="4" t="s">
        <v>39</v>
      </c>
      <c r="E317" s="4" t="s">
        <v>24</v>
      </c>
      <c r="F317" s="4" t="s">
        <v>70</v>
      </c>
      <c r="G317" s="4" t="s">
        <v>92</v>
      </c>
      <c r="H317" s="4" t="s">
        <v>1249</v>
      </c>
      <c r="I317" s="4" t="s">
        <v>28</v>
      </c>
      <c r="J317" s="4" t="s">
        <v>79</v>
      </c>
      <c r="K317" s="4" t="s">
        <v>101</v>
      </c>
      <c r="L317" s="4" t="s">
        <v>149</v>
      </c>
      <c r="M317" s="4" t="s">
        <v>81</v>
      </c>
      <c r="N317" s="4" t="s">
        <v>54</v>
      </c>
      <c r="O317" s="4" t="s">
        <v>46</v>
      </c>
      <c r="P317" s="4" t="s">
        <v>47</v>
      </c>
      <c r="Q317" s="4">
        <v>10</v>
      </c>
      <c r="R317" s="4">
        <v>33838</v>
      </c>
      <c r="S317" s="5">
        <v>10</v>
      </c>
      <c r="T317" s="6">
        <f t="shared" si="12"/>
        <v>304542</v>
      </c>
      <c r="U317" s="4">
        <v>15644.29</v>
      </c>
      <c r="V317" t="str">
        <f t="shared" si="13"/>
        <v>Jan</v>
      </c>
      <c r="W317">
        <f t="shared" si="14"/>
        <v>5.1369893151026788E-2</v>
      </c>
    </row>
    <row r="318" spans="1:23" x14ac:dyDescent="0.4">
      <c r="A318" s="4" t="s">
        <v>1250</v>
      </c>
      <c r="B318" s="4" t="s">
        <v>1251</v>
      </c>
      <c r="C318" s="11">
        <v>44885</v>
      </c>
      <c r="D318" s="4" t="s">
        <v>124</v>
      </c>
      <c r="E318" s="4" t="s">
        <v>24</v>
      </c>
      <c r="F318" s="4" t="s">
        <v>40</v>
      </c>
      <c r="G318" s="4" t="s">
        <v>26</v>
      </c>
      <c r="H318" s="4" t="s">
        <v>1253</v>
      </c>
      <c r="I318" s="4" t="s">
        <v>43</v>
      </c>
      <c r="J318" s="4" t="s">
        <v>79</v>
      </c>
      <c r="K318" s="4" t="s">
        <v>153</v>
      </c>
      <c r="L318" s="4" t="s">
        <v>1254</v>
      </c>
      <c r="M318" s="4" t="s">
        <v>53</v>
      </c>
      <c r="N318" s="4" t="s">
        <v>54</v>
      </c>
      <c r="O318" s="4" t="s">
        <v>120</v>
      </c>
      <c r="P318" s="4" t="s">
        <v>74</v>
      </c>
      <c r="Q318" s="4">
        <v>4</v>
      </c>
      <c r="R318" s="4">
        <v>49141</v>
      </c>
      <c r="S318" s="5">
        <v>20</v>
      </c>
      <c r="T318" s="6">
        <f t="shared" si="12"/>
        <v>157251.20000000001</v>
      </c>
      <c r="U318" s="4">
        <v>-2616.23</v>
      </c>
      <c r="V318" t="str">
        <f t="shared" si="13"/>
        <v>Nov</v>
      </c>
      <c r="W318">
        <f t="shared" si="14"/>
        <v>-1.6637265725158217E-2</v>
      </c>
    </row>
    <row r="319" spans="1:23" x14ac:dyDescent="0.4">
      <c r="A319" s="4" t="s">
        <v>1255</v>
      </c>
      <c r="B319" s="4" t="s">
        <v>1256</v>
      </c>
      <c r="C319" s="11">
        <v>44584</v>
      </c>
      <c r="D319" s="4" t="s">
        <v>23</v>
      </c>
      <c r="E319" s="4" t="s">
        <v>24</v>
      </c>
      <c r="F319" s="4" t="s">
        <v>58</v>
      </c>
      <c r="G319" s="4" t="s">
        <v>59</v>
      </c>
      <c r="H319" s="4" t="s">
        <v>1258</v>
      </c>
      <c r="I319" s="4" t="s">
        <v>43</v>
      </c>
      <c r="J319" s="4" t="s">
        <v>29</v>
      </c>
      <c r="K319" s="4" t="s">
        <v>86</v>
      </c>
      <c r="L319" s="4" t="s">
        <v>324</v>
      </c>
      <c r="M319" s="4" t="s">
        <v>32</v>
      </c>
      <c r="N319" s="4" t="s">
        <v>54</v>
      </c>
      <c r="O319" s="4" t="s">
        <v>46</v>
      </c>
      <c r="P319" s="4" t="s">
        <v>74</v>
      </c>
      <c r="Q319" s="4">
        <v>3</v>
      </c>
      <c r="R319" s="4">
        <v>18556</v>
      </c>
      <c r="S319" s="5">
        <v>15</v>
      </c>
      <c r="T319" s="6">
        <f t="shared" si="12"/>
        <v>47317.8</v>
      </c>
      <c r="U319" s="4">
        <v>-4095.91</v>
      </c>
      <c r="V319" t="str">
        <f t="shared" si="13"/>
        <v>Jan</v>
      </c>
      <c r="W319">
        <f t="shared" si="14"/>
        <v>-8.6561716732392449E-2</v>
      </c>
    </row>
    <row r="320" spans="1:23" x14ac:dyDescent="0.4">
      <c r="A320" s="4" t="s">
        <v>1259</v>
      </c>
      <c r="B320" s="4" t="s">
        <v>1260</v>
      </c>
      <c r="C320" s="11">
        <v>44837</v>
      </c>
      <c r="D320" s="4" t="s">
        <v>124</v>
      </c>
      <c r="E320" s="4" t="s">
        <v>24</v>
      </c>
      <c r="F320" s="4" t="s">
        <v>58</v>
      </c>
      <c r="G320" s="4" t="s">
        <v>99</v>
      </c>
      <c r="H320" s="4" t="s">
        <v>1261</v>
      </c>
      <c r="I320" s="4" t="s">
        <v>28</v>
      </c>
      <c r="J320" s="4" t="s">
        <v>79</v>
      </c>
      <c r="K320" s="4" t="s">
        <v>30</v>
      </c>
      <c r="L320" s="4" t="s">
        <v>343</v>
      </c>
      <c r="M320" s="4" t="s">
        <v>53</v>
      </c>
      <c r="N320" s="4" t="s">
        <v>54</v>
      </c>
      <c r="O320" s="4" t="s">
        <v>120</v>
      </c>
      <c r="P320" s="4" t="s">
        <v>47</v>
      </c>
      <c r="Q320" s="4">
        <v>4</v>
      </c>
      <c r="R320" s="4">
        <v>14592</v>
      </c>
      <c r="S320" s="5">
        <v>0</v>
      </c>
      <c r="T320" s="6">
        <f t="shared" si="12"/>
        <v>58368</v>
      </c>
      <c r="U320" s="4">
        <v>16677.34</v>
      </c>
      <c r="V320" t="str">
        <f t="shared" si="13"/>
        <v>Sep</v>
      </c>
      <c r="W320">
        <f t="shared" si="14"/>
        <v>0.28572745339912281</v>
      </c>
    </row>
    <row r="321" spans="1:23" x14ac:dyDescent="0.4">
      <c r="A321" s="4" t="s">
        <v>1262</v>
      </c>
      <c r="B321" s="4" t="s">
        <v>1206</v>
      </c>
      <c r="C321" s="11">
        <v>45247</v>
      </c>
      <c r="D321" s="4" t="s">
        <v>23</v>
      </c>
      <c r="E321" s="4" t="s">
        <v>24</v>
      </c>
      <c r="F321" s="4" t="s">
        <v>26</v>
      </c>
      <c r="G321" s="4" t="s">
        <v>59</v>
      </c>
      <c r="H321" s="4" t="s">
        <v>1263</v>
      </c>
      <c r="I321" s="4" t="s">
        <v>61</v>
      </c>
      <c r="J321" s="4" t="s">
        <v>79</v>
      </c>
      <c r="K321" s="4" t="s">
        <v>63</v>
      </c>
      <c r="L321" s="4" t="s">
        <v>1065</v>
      </c>
      <c r="M321" s="4" t="s">
        <v>65</v>
      </c>
      <c r="N321" s="4" t="s">
        <v>33</v>
      </c>
      <c r="O321" s="4" t="s">
        <v>66</v>
      </c>
      <c r="P321" s="4" t="s">
        <v>74</v>
      </c>
      <c r="Q321" s="4">
        <v>8</v>
      </c>
      <c r="R321" s="4">
        <v>39185</v>
      </c>
      <c r="S321" s="5">
        <v>20</v>
      </c>
      <c r="T321" s="6">
        <f t="shared" si="12"/>
        <v>250784</v>
      </c>
      <c r="U321" s="4">
        <v>26344.7</v>
      </c>
      <c r="V321" t="str">
        <f t="shared" si="13"/>
        <v>Nov</v>
      </c>
      <c r="W321">
        <f t="shared" si="14"/>
        <v>0.10504936519076177</v>
      </c>
    </row>
    <row r="322" spans="1:23" x14ac:dyDescent="0.4">
      <c r="A322" s="4" t="s">
        <v>1264</v>
      </c>
      <c r="B322" s="4" t="s">
        <v>1164</v>
      </c>
      <c r="C322" s="11">
        <v>45446</v>
      </c>
      <c r="D322" s="4" t="s">
        <v>39</v>
      </c>
      <c r="E322" s="4" t="s">
        <v>24</v>
      </c>
      <c r="F322" s="4" t="s">
        <v>70</v>
      </c>
      <c r="G322" s="4" t="s">
        <v>99</v>
      </c>
      <c r="H322" s="4" t="s">
        <v>1265</v>
      </c>
      <c r="I322" s="4" t="s">
        <v>43</v>
      </c>
      <c r="J322" s="4" t="s">
        <v>62</v>
      </c>
      <c r="K322" s="4" t="s">
        <v>44</v>
      </c>
      <c r="L322" s="4" t="s">
        <v>862</v>
      </c>
      <c r="M322" s="4" t="s">
        <v>73</v>
      </c>
      <c r="N322" s="4" t="s">
        <v>33</v>
      </c>
      <c r="O322" s="4" t="s">
        <v>34</v>
      </c>
      <c r="P322" s="4" t="s">
        <v>35</v>
      </c>
      <c r="Q322" s="4">
        <v>2</v>
      </c>
      <c r="R322" s="4">
        <v>20162</v>
      </c>
      <c r="S322" s="5">
        <v>15</v>
      </c>
      <c r="T322" s="6">
        <f t="shared" si="12"/>
        <v>34275.4</v>
      </c>
      <c r="U322" s="4">
        <v>-114.65</v>
      </c>
      <c r="V322" t="str">
        <f t="shared" si="13"/>
        <v>May</v>
      </c>
      <c r="W322">
        <f t="shared" si="14"/>
        <v>-3.3449646101868977E-3</v>
      </c>
    </row>
    <row r="323" spans="1:23" x14ac:dyDescent="0.4">
      <c r="A323" s="4" t="s">
        <v>1266</v>
      </c>
      <c r="B323" s="4" t="s">
        <v>1267</v>
      </c>
      <c r="C323" s="11">
        <v>44676</v>
      </c>
      <c r="D323" s="4" t="s">
        <v>23</v>
      </c>
      <c r="E323" s="4" t="s">
        <v>24</v>
      </c>
      <c r="F323" s="4" t="s">
        <v>40</v>
      </c>
      <c r="G323" s="4" t="s">
        <v>59</v>
      </c>
      <c r="H323" s="4" t="s">
        <v>1269</v>
      </c>
      <c r="I323" s="4" t="s">
        <v>61</v>
      </c>
      <c r="J323" s="4" t="s">
        <v>29</v>
      </c>
      <c r="K323" s="4" t="s">
        <v>101</v>
      </c>
      <c r="L323" s="4" t="s">
        <v>1270</v>
      </c>
      <c r="M323" s="4" t="s">
        <v>95</v>
      </c>
      <c r="N323" s="4" t="s">
        <v>54</v>
      </c>
      <c r="O323" s="4" t="s">
        <v>82</v>
      </c>
      <c r="P323" s="4" t="s">
        <v>35</v>
      </c>
      <c r="Q323" s="4">
        <v>3</v>
      </c>
      <c r="R323" s="4">
        <v>24302</v>
      </c>
      <c r="S323" s="5">
        <v>20</v>
      </c>
      <c r="T323" s="6">
        <f t="shared" ref="T323:T386" si="15">Q323*R323*(100-S323)/100</f>
        <v>58324.800000000003</v>
      </c>
      <c r="U323" s="4">
        <v>-10762.13</v>
      </c>
      <c r="V323" t="str">
        <f t="shared" ref="V323:V386" si="16">TEXT(B323,"MMM")</f>
        <v>Apr</v>
      </c>
      <c r="W323">
        <f t="shared" ref="W323:W386" si="17">U323/T323</f>
        <v>-0.18452064987792496</v>
      </c>
    </row>
    <row r="324" spans="1:23" x14ac:dyDescent="0.4">
      <c r="A324" s="4" t="s">
        <v>1271</v>
      </c>
      <c r="B324" s="4" t="s">
        <v>1272</v>
      </c>
      <c r="C324" s="11">
        <v>44968</v>
      </c>
      <c r="D324" s="4" t="s">
        <v>39</v>
      </c>
      <c r="E324" s="4" t="s">
        <v>24</v>
      </c>
      <c r="F324" s="4" t="s">
        <v>26</v>
      </c>
      <c r="G324" s="4" t="s">
        <v>41</v>
      </c>
      <c r="H324" s="4" t="s">
        <v>1273</v>
      </c>
      <c r="I324" s="4" t="s">
        <v>28</v>
      </c>
      <c r="J324" s="4" t="s">
        <v>79</v>
      </c>
      <c r="K324" s="4" t="s">
        <v>63</v>
      </c>
      <c r="L324" s="4" t="s">
        <v>414</v>
      </c>
      <c r="M324" s="4" t="s">
        <v>65</v>
      </c>
      <c r="N324" s="4" t="s">
        <v>33</v>
      </c>
      <c r="O324" s="4" t="s">
        <v>66</v>
      </c>
      <c r="P324" s="4" t="s">
        <v>88</v>
      </c>
      <c r="Q324" s="4">
        <v>7</v>
      </c>
      <c r="R324" s="4">
        <v>44288</v>
      </c>
      <c r="S324" s="5">
        <v>10</v>
      </c>
      <c r="T324" s="6">
        <f t="shared" si="15"/>
        <v>279014.40000000002</v>
      </c>
      <c r="U324" s="4">
        <v>-8770.33</v>
      </c>
      <c r="V324" t="str">
        <f t="shared" si="16"/>
        <v>Feb</v>
      </c>
      <c r="W324">
        <f t="shared" si="17"/>
        <v>-3.1433252190567938E-2</v>
      </c>
    </row>
    <row r="325" spans="1:23" x14ac:dyDescent="0.4">
      <c r="A325" s="4" t="s">
        <v>1274</v>
      </c>
      <c r="B325" s="4" t="s">
        <v>1275</v>
      </c>
      <c r="C325" s="11">
        <v>44827</v>
      </c>
      <c r="D325" s="4" t="s">
        <v>98</v>
      </c>
      <c r="E325" s="4" t="s">
        <v>24</v>
      </c>
      <c r="F325" s="4" t="s">
        <v>25</v>
      </c>
      <c r="G325" s="4" t="s">
        <v>41</v>
      </c>
      <c r="H325" s="4" t="s">
        <v>1277</v>
      </c>
      <c r="I325" s="4" t="s">
        <v>28</v>
      </c>
      <c r="J325" s="4" t="s">
        <v>79</v>
      </c>
      <c r="K325" s="4" t="s">
        <v>30</v>
      </c>
      <c r="L325" s="4" t="s">
        <v>1278</v>
      </c>
      <c r="M325" s="4" t="s">
        <v>65</v>
      </c>
      <c r="N325" s="4" t="s">
        <v>54</v>
      </c>
      <c r="O325" s="4" t="s">
        <v>66</v>
      </c>
      <c r="P325" s="4" t="s">
        <v>88</v>
      </c>
      <c r="Q325" s="4">
        <v>3</v>
      </c>
      <c r="R325" s="4">
        <v>14161</v>
      </c>
      <c r="S325" s="5">
        <v>20</v>
      </c>
      <c r="T325" s="6">
        <f t="shared" si="15"/>
        <v>33986.400000000001</v>
      </c>
      <c r="U325" s="4">
        <v>-4788.0600000000004</v>
      </c>
      <c r="V325" t="str">
        <f t="shared" si="16"/>
        <v>Sep</v>
      </c>
      <c r="W325">
        <f t="shared" si="17"/>
        <v>-0.14088164677635762</v>
      </c>
    </row>
    <row r="326" spans="1:23" x14ac:dyDescent="0.4">
      <c r="A326" s="4" t="s">
        <v>1279</v>
      </c>
      <c r="B326" s="4" t="s">
        <v>289</v>
      </c>
      <c r="C326" s="11">
        <v>45126</v>
      </c>
      <c r="D326" s="4" t="s">
        <v>124</v>
      </c>
      <c r="E326" s="4" t="s">
        <v>24</v>
      </c>
      <c r="F326" s="4" t="s">
        <v>40</v>
      </c>
      <c r="G326" s="4" t="s">
        <v>99</v>
      </c>
      <c r="H326" s="4" t="s">
        <v>1280</v>
      </c>
      <c r="I326" s="4" t="s">
        <v>28</v>
      </c>
      <c r="J326" s="4" t="s">
        <v>79</v>
      </c>
      <c r="K326" s="4" t="s">
        <v>101</v>
      </c>
      <c r="L326" s="4" t="s">
        <v>588</v>
      </c>
      <c r="M326" s="4" t="s">
        <v>65</v>
      </c>
      <c r="N326" s="4" t="s">
        <v>54</v>
      </c>
      <c r="O326" s="4" t="s">
        <v>46</v>
      </c>
      <c r="P326" s="4" t="s">
        <v>47</v>
      </c>
      <c r="Q326" s="4">
        <v>9</v>
      </c>
      <c r="R326" s="4">
        <v>25683</v>
      </c>
      <c r="S326" s="5">
        <v>5</v>
      </c>
      <c r="T326" s="6">
        <f t="shared" si="15"/>
        <v>219589.65</v>
      </c>
      <c r="U326" s="4">
        <v>25973.439999999999</v>
      </c>
      <c r="V326" t="str">
        <f t="shared" si="16"/>
        <v>Jul</v>
      </c>
      <c r="W326">
        <f t="shared" si="17"/>
        <v>0.11828171318639107</v>
      </c>
    </row>
    <row r="327" spans="1:23" x14ac:dyDescent="0.4">
      <c r="A327" s="4" t="s">
        <v>1281</v>
      </c>
      <c r="B327" s="4" t="s">
        <v>966</v>
      </c>
      <c r="C327" s="11">
        <v>45281</v>
      </c>
      <c r="D327" s="4" t="s">
        <v>23</v>
      </c>
      <c r="E327" s="4" t="s">
        <v>24</v>
      </c>
      <c r="F327" s="4" t="s">
        <v>40</v>
      </c>
      <c r="G327" s="4" t="s">
        <v>59</v>
      </c>
      <c r="H327" s="4" t="s">
        <v>1283</v>
      </c>
      <c r="I327" s="4" t="s">
        <v>28</v>
      </c>
      <c r="J327" s="4" t="s">
        <v>79</v>
      </c>
      <c r="K327" s="4" t="s">
        <v>63</v>
      </c>
      <c r="L327" s="4" t="s">
        <v>296</v>
      </c>
      <c r="M327" s="4" t="s">
        <v>95</v>
      </c>
      <c r="N327" s="4" t="s">
        <v>33</v>
      </c>
      <c r="O327" s="4" t="s">
        <v>82</v>
      </c>
      <c r="P327" s="4" t="s">
        <v>35</v>
      </c>
      <c r="Q327" s="4">
        <v>7</v>
      </c>
      <c r="R327" s="4">
        <v>39181</v>
      </c>
      <c r="S327" s="5">
        <v>0</v>
      </c>
      <c r="T327" s="6">
        <f t="shared" si="15"/>
        <v>274267</v>
      </c>
      <c r="U327" s="4">
        <v>75894.710000000006</v>
      </c>
      <c r="V327" t="str">
        <f t="shared" si="16"/>
        <v>Dec</v>
      </c>
      <c r="W327">
        <f t="shared" si="17"/>
        <v>0.27671834380366578</v>
      </c>
    </row>
    <row r="328" spans="1:23" x14ac:dyDescent="0.4">
      <c r="A328" s="4" t="s">
        <v>1284</v>
      </c>
      <c r="B328" s="4" t="s">
        <v>1285</v>
      </c>
      <c r="C328" s="11">
        <v>45325</v>
      </c>
      <c r="D328" s="4" t="s">
        <v>23</v>
      </c>
      <c r="E328" s="4" t="s">
        <v>24</v>
      </c>
      <c r="F328" s="4" t="s">
        <v>40</v>
      </c>
      <c r="G328" s="4" t="s">
        <v>41</v>
      </c>
      <c r="H328" s="4" t="s">
        <v>1287</v>
      </c>
      <c r="I328" s="4" t="s">
        <v>43</v>
      </c>
      <c r="J328" s="4" t="s">
        <v>29</v>
      </c>
      <c r="K328" s="4" t="s">
        <v>63</v>
      </c>
      <c r="L328" s="4" t="s">
        <v>757</v>
      </c>
      <c r="M328" s="4" t="s">
        <v>53</v>
      </c>
      <c r="N328" s="4" t="s">
        <v>33</v>
      </c>
      <c r="O328" s="4" t="s">
        <v>82</v>
      </c>
      <c r="P328" s="4" t="s">
        <v>74</v>
      </c>
      <c r="Q328" s="4">
        <v>3</v>
      </c>
      <c r="R328" s="4">
        <v>47397</v>
      </c>
      <c r="S328" s="5">
        <v>5</v>
      </c>
      <c r="T328" s="6">
        <f t="shared" si="15"/>
        <v>135081.45000000001</v>
      </c>
      <c r="U328" s="4">
        <v>34363.949999999997</v>
      </c>
      <c r="V328" t="str">
        <f t="shared" si="16"/>
        <v>Jan</v>
      </c>
      <c r="W328">
        <f t="shared" si="17"/>
        <v>0.25439429322086782</v>
      </c>
    </row>
    <row r="329" spans="1:23" x14ac:dyDescent="0.4">
      <c r="A329" s="4" t="s">
        <v>1288</v>
      </c>
      <c r="B329" s="4" t="s">
        <v>1289</v>
      </c>
      <c r="C329" s="11">
        <v>45421</v>
      </c>
      <c r="D329" s="4" t="s">
        <v>39</v>
      </c>
      <c r="E329" s="4" t="s">
        <v>24</v>
      </c>
      <c r="F329" s="4" t="s">
        <v>58</v>
      </c>
      <c r="G329" s="4" t="s">
        <v>99</v>
      </c>
      <c r="H329" s="4" t="s">
        <v>1290</v>
      </c>
      <c r="I329" s="4" t="s">
        <v>61</v>
      </c>
      <c r="J329" s="4" t="s">
        <v>29</v>
      </c>
      <c r="K329" s="4" t="s">
        <v>30</v>
      </c>
      <c r="L329" s="4" t="s">
        <v>960</v>
      </c>
      <c r="M329" s="4" t="s">
        <v>32</v>
      </c>
      <c r="N329" s="4" t="s">
        <v>33</v>
      </c>
      <c r="O329" s="4" t="s">
        <v>120</v>
      </c>
      <c r="P329" s="4" t="s">
        <v>74</v>
      </c>
      <c r="Q329" s="4">
        <v>6</v>
      </c>
      <c r="R329" s="4">
        <v>7014</v>
      </c>
      <c r="S329" s="5">
        <v>20</v>
      </c>
      <c r="T329" s="6">
        <f t="shared" si="15"/>
        <v>33667.199999999997</v>
      </c>
      <c r="U329" s="4">
        <v>3366.47</v>
      </c>
      <c r="V329" t="str">
        <f t="shared" si="16"/>
        <v>May</v>
      </c>
      <c r="W329">
        <f t="shared" si="17"/>
        <v>9.9992574375059401E-2</v>
      </c>
    </row>
    <row r="330" spans="1:23" x14ac:dyDescent="0.4">
      <c r="A330" s="4" t="s">
        <v>1291</v>
      </c>
      <c r="B330" s="4" t="s">
        <v>1292</v>
      </c>
      <c r="C330" s="11">
        <v>45548</v>
      </c>
      <c r="D330" s="4" t="s">
        <v>39</v>
      </c>
      <c r="E330" s="4" t="s">
        <v>24</v>
      </c>
      <c r="F330" s="4" t="s">
        <v>26</v>
      </c>
      <c r="G330" s="4" t="s">
        <v>26</v>
      </c>
      <c r="H330" s="4" t="s">
        <v>1294</v>
      </c>
      <c r="I330" s="4" t="s">
        <v>28</v>
      </c>
      <c r="J330" s="4" t="s">
        <v>29</v>
      </c>
      <c r="K330" s="4" t="s">
        <v>153</v>
      </c>
      <c r="L330" s="4" t="s">
        <v>396</v>
      </c>
      <c r="M330" s="4" t="s">
        <v>81</v>
      </c>
      <c r="N330" s="4" t="s">
        <v>54</v>
      </c>
      <c r="O330" s="4" t="s">
        <v>34</v>
      </c>
      <c r="P330" s="4" t="s">
        <v>88</v>
      </c>
      <c r="Q330" s="4">
        <v>9</v>
      </c>
      <c r="R330" s="4">
        <v>33503</v>
      </c>
      <c r="S330" s="5">
        <v>0</v>
      </c>
      <c r="T330" s="6">
        <f t="shared" si="15"/>
        <v>301527</v>
      </c>
      <c r="U330" s="4">
        <v>31062.13</v>
      </c>
      <c r="V330" t="str">
        <f t="shared" si="16"/>
        <v>Sep</v>
      </c>
      <c r="W330">
        <f t="shared" si="17"/>
        <v>0.10301608147860723</v>
      </c>
    </row>
    <row r="331" spans="1:23" x14ac:dyDescent="0.4">
      <c r="A331" s="4" t="s">
        <v>1295</v>
      </c>
      <c r="B331" s="4" t="s">
        <v>612</v>
      </c>
      <c r="C331" s="11">
        <v>44673</v>
      </c>
      <c r="D331" s="4" t="s">
        <v>23</v>
      </c>
      <c r="E331" s="4" t="s">
        <v>24</v>
      </c>
      <c r="F331" s="4" t="s">
        <v>40</v>
      </c>
      <c r="G331" s="4" t="s">
        <v>99</v>
      </c>
      <c r="H331" s="4" t="s">
        <v>1297</v>
      </c>
      <c r="I331" s="4" t="s">
        <v>61</v>
      </c>
      <c r="J331" s="4" t="s">
        <v>29</v>
      </c>
      <c r="K331" s="4" t="s">
        <v>86</v>
      </c>
      <c r="L331" s="4" t="s">
        <v>208</v>
      </c>
      <c r="M331" s="4" t="s">
        <v>32</v>
      </c>
      <c r="N331" s="4" t="s">
        <v>54</v>
      </c>
      <c r="O331" s="4" t="s">
        <v>46</v>
      </c>
      <c r="P331" s="4" t="s">
        <v>35</v>
      </c>
      <c r="Q331" s="4">
        <v>10</v>
      </c>
      <c r="R331" s="4">
        <v>12429</v>
      </c>
      <c r="S331" s="5">
        <v>10</v>
      </c>
      <c r="T331" s="6">
        <f t="shared" si="15"/>
        <v>111861</v>
      </c>
      <c r="U331" s="4">
        <v>1087.92</v>
      </c>
      <c r="V331" t="str">
        <f t="shared" si="16"/>
        <v>Apr</v>
      </c>
      <c r="W331">
        <f t="shared" si="17"/>
        <v>9.7256416445409936E-3</v>
      </c>
    </row>
    <row r="332" spans="1:23" x14ac:dyDescent="0.4">
      <c r="A332" s="4" t="s">
        <v>1298</v>
      </c>
      <c r="B332" s="4" t="s">
        <v>1299</v>
      </c>
      <c r="C332" s="11">
        <v>45355</v>
      </c>
      <c r="D332" s="4" t="s">
        <v>39</v>
      </c>
      <c r="E332" s="4" t="s">
        <v>24</v>
      </c>
      <c r="F332" s="4" t="s">
        <v>58</v>
      </c>
      <c r="G332" s="4" t="s">
        <v>41</v>
      </c>
      <c r="H332" s="4" t="s">
        <v>1300</v>
      </c>
      <c r="I332" s="4" t="s">
        <v>61</v>
      </c>
      <c r="J332" s="4" t="s">
        <v>29</v>
      </c>
      <c r="K332" s="4" t="s">
        <v>63</v>
      </c>
      <c r="L332" s="4" t="s">
        <v>980</v>
      </c>
      <c r="M332" s="4" t="s">
        <v>81</v>
      </c>
      <c r="N332" s="4" t="s">
        <v>33</v>
      </c>
      <c r="O332" s="4" t="s">
        <v>66</v>
      </c>
      <c r="P332" s="4" t="s">
        <v>88</v>
      </c>
      <c r="Q332" s="4">
        <v>6</v>
      </c>
      <c r="R332" s="4">
        <v>13149</v>
      </c>
      <c r="S332" s="5">
        <v>15</v>
      </c>
      <c r="T332" s="6">
        <f t="shared" si="15"/>
        <v>67059.899999999994</v>
      </c>
      <c r="U332" s="4">
        <v>1789.69</v>
      </c>
      <c r="V332" t="str">
        <f t="shared" si="16"/>
        <v>Feb</v>
      </c>
      <c r="W332">
        <f t="shared" si="17"/>
        <v>2.6687931237595049E-2</v>
      </c>
    </row>
    <row r="333" spans="1:23" x14ac:dyDescent="0.4">
      <c r="A333" s="4" t="s">
        <v>1301</v>
      </c>
      <c r="B333" s="4" t="s">
        <v>1243</v>
      </c>
      <c r="C333" s="11">
        <v>44758</v>
      </c>
      <c r="D333" s="4" t="s">
        <v>98</v>
      </c>
      <c r="E333" s="4" t="s">
        <v>24</v>
      </c>
      <c r="F333" s="4" t="s">
        <v>70</v>
      </c>
      <c r="G333" s="4" t="s">
        <v>26</v>
      </c>
      <c r="H333" s="4" t="s">
        <v>1302</v>
      </c>
      <c r="I333" s="4" t="s">
        <v>61</v>
      </c>
      <c r="J333" s="4" t="s">
        <v>62</v>
      </c>
      <c r="K333" s="4" t="s">
        <v>30</v>
      </c>
      <c r="L333" s="4" t="s">
        <v>167</v>
      </c>
      <c r="M333" s="4" t="s">
        <v>95</v>
      </c>
      <c r="N333" s="4" t="s">
        <v>33</v>
      </c>
      <c r="O333" s="4" t="s">
        <v>82</v>
      </c>
      <c r="P333" s="4" t="s">
        <v>35</v>
      </c>
      <c r="Q333" s="4">
        <v>6</v>
      </c>
      <c r="R333" s="4">
        <v>36332</v>
      </c>
      <c r="S333" s="5">
        <v>15</v>
      </c>
      <c r="T333" s="6">
        <f t="shared" si="15"/>
        <v>185293.2</v>
      </c>
      <c r="U333" s="4">
        <v>-5447.2</v>
      </c>
      <c r="V333" t="str">
        <f t="shared" si="16"/>
        <v>Jul</v>
      </c>
      <c r="W333">
        <f t="shared" si="17"/>
        <v>-2.9397732890359709E-2</v>
      </c>
    </row>
    <row r="334" spans="1:23" x14ac:dyDescent="0.4">
      <c r="A334" s="4" t="s">
        <v>1303</v>
      </c>
      <c r="B334" s="4" t="s">
        <v>833</v>
      </c>
      <c r="C334" s="11">
        <v>45315</v>
      </c>
      <c r="D334" s="4" t="s">
        <v>98</v>
      </c>
      <c r="E334" s="4" t="s">
        <v>24</v>
      </c>
      <c r="F334" s="4" t="s">
        <v>26</v>
      </c>
      <c r="G334" s="4" t="s">
        <v>41</v>
      </c>
      <c r="H334" s="4" t="s">
        <v>1304</v>
      </c>
      <c r="I334" s="4" t="s">
        <v>43</v>
      </c>
      <c r="J334" s="4" t="s">
        <v>62</v>
      </c>
      <c r="K334" s="4" t="s">
        <v>101</v>
      </c>
      <c r="L334" s="4" t="s">
        <v>423</v>
      </c>
      <c r="M334" s="4" t="s">
        <v>65</v>
      </c>
      <c r="N334" s="4" t="s">
        <v>33</v>
      </c>
      <c r="O334" s="4" t="s">
        <v>34</v>
      </c>
      <c r="P334" s="4" t="s">
        <v>74</v>
      </c>
      <c r="Q334" s="4">
        <v>2</v>
      </c>
      <c r="R334" s="4">
        <v>2567</v>
      </c>
      <c r="S334" s="5">
        <v>5</v>
      </c>
      <c r="T334" s="6">
        <f t="shared" si="15"/>
        <v>4877.3</v>
      </c>
      <c r="U334" s="4">
        <v>1003.54</v>
      </c>
      <c r="V334" t="str">
        <f t="shared" si="16"/>
        <v>Jan</v>
      </c>
      <c r="W334">
        <f t="shared" si="17"/>
        <v>0.20575728374305455</v>
      </c>
    </row>
    <row r="335" spans="1:23" x14ac:dyDescent="0.4">
      <c r="A335" s="4" t="s">
        <v>1305</v>
      </c>
      <c r="B335" s="4" t="s">
        <v>1119</v>
      </c>
      <c r="C335" s="11">
        <v>45295</v>
      </c>
      <c r="D335" s="4" t="s">
        <v>98</v>
      </c>
      <c r="E335" s="4" t="s">
        <v>24</v>
      </c>
      <c r="F335" s="4" t="s">
        <v>58</v>
      </c>
      <c r="G335" s="4" t="s">
        <v>26</v>
      </c>
      <c r="H335" s="4" t="s">
        <v>1306</v>
      </c>
      <c r="I335" s="4" t="s">
        <v>28</v>
      </c>
      <c r="J335" s="4" t="s">
        <v>79</v>
      </c>
      <c r="K335" s="4" t="s">
        <v>153</v>
      </c>
      <c r="L335" s="4" t="s">
        <v>194</v>
      </c>
      <c r="M335" s="4" t="s">
        <v>81</v>
      </c>
      <c r="N335" s="4" t="s">
        <v>33</v>
      </c>
      <c r="O335" s="4" t="s">
        <v>66</v>
      </c>
      <c r="P335" s="4" t="s">
        <v>88</v>
      </c>
      <c r="Q335" s="4">
        <v>4</v>
      </c>
      <c r="R335" s="4">
        <v>23157</v>
      </c>
      <c r="S335" s="5">
        <v>20</v>
      </c>
      <c r="T335" s="6">
        <f t="shared" si="15"/>
        <v>74102.399999999994</v>
      </c>
      <c r="U335" s="4">
        <v>-2662.68</v>
      </c>
      <c r="V335" t="str">
        <f t="shared" si="16"/>
        <v>Dec</v>
      </c>
      <c r="W335">
        <f t="shared" si="17"/>
        <v>-3.5932439435159995E-2</v>
      </c>
    </row>
    <row r="336" spans="1:23" x14ac:dyDescent="0.4">
      <c r="A336" s="4" t="s">
        <v>1307</v>
      </c>
      <c r="B336" s="4" t="s">
        <v>1308</v>
      </c>
      <c r="C336" s="11">
        <v>45118</v>
      </c>
      <c r="D336" s="4" t="s">
        <v>98</v>
      </c>
      <c r="E336" s="4" t="s">
        <v>24</v>
      </c>
      <c r="F336" s="4" t="s">
        <v>70</v>
      </c>
      <c r="G336" s="4" t="s">
        <v>59</v>
      </c>
      <c r="H336" s="4" t="s">
        <v>1310</v>
      </c>
      <c r="I336" s="4" t="s">
        <v>43</v>
      </c>
      <c r="J336" s="4" t="s">
        <v>29</v>
      </c>
      <c r="K336" s="4" t="s">
        <v>101</v>
      </c>
      <c r="L336" s="4" t="s">
        <v>1311</v>
      </c>
      <c r="M336" s="4" t="s">
        <v>32</v>
      </c>
      <c r="N336" s="4" t="s">
        <v>33</v>
      </c>
      <c r="O336" s="4" t="s">
        <v>82</v>
      </c>
      <c r="P336" s="4" t="s">
        <v>35</v>
      </c>
      <c r="Q336" s="4">
        <v>1</v>
      </c>
      <c r="R336" s="4">
        <v>882</v>
      </c>
      <c r="S336" s="5">
        <v>15</v>
      </c>
      <c r="T336" s="6">
        <f t="shared" si="15"/>
        <v>749.7</v>
      </c>
      <c r="U336" s="4">
        <v>48.53</v>
      </c>
      <c r="V336" t="str">
        <f t="shared" si="16"/>
        <v>Jul</v>
      </c>
      <c r="W336">
        <f t="shared" si="17"/>
        <v>6.4732559690542882E-2</v>
      </c>
    </row>
    <row r="337" spans="1:23" x14ac:dyDescent="0.4">
      <c r="A337" s="4" t="s">
        <v>1312</v>
      </c>
      <c r="B337" s="4" t="s">
        <v>784</v>
      </c>
      <c r="C337" s="11">
        <v>45446</v>
      </c>
      <c r="D337" s="4" t="s">
        <v>23</v>
      </c>
      <c r="E337" s="4" t="s">
        <v>24</v>
      </c>
      <c r="F337" s="4" t="s">
        <v>25</v>
      </c>
      <c r="G337" s="4" t="s">
        <v>59</v>
      </c>
      <c r="H337" s="4" t="s">
        <v>1313</v>
      </c>
      <c r="I337" s="4" t="s">
        <v>43</v>
      </c>
      <c r="J337" s="4" t="s">
        <v>79</v>
      </c>
      <c r="K337" s="4" t="s">
        <v>101</v>
      </c>
      <c r="L337" s="4" t="s">
        <v>574</v>
      </c>
      <c r="M337" s="4" t="s">
        <v>73</v>
      </c>
      <c r="N337" s="4" t="s">
        <v>54</v>
      </c>
      <c r="O337" s="4" t="s">
        <v>46</v>
      </c>
      <c r="P337" s="4" t="s">
        <v>74</v>
      </c>
      <c r="Q337" s="4">
        <v>6</v>
      </c>
      <c r="R337" s="4">
        <v>26178</v>
      </c>
      <c r="S337" s="5">
        <v>20</v>
      </c>
      <c r="T337" s="6">
        <f t="shared" si="15"/>
        <v>125654.39999999999</v>
      </c>
      <c r="U337" s="4">
        <v>15303.58</v>
      </c>
      <c r="V337" t="str">
        <f t="shared" si="16"/>
        <v>May</v>
      </c>
      <c r="W337">
        <f t="shared" si="17"/>
        <v>0.12179103954974915</v>
      </c>
    </row>
    <row r="338" spans="1:23" x14ac:dyDescent="0.4">
      <c r="A338" s="4" t="s">
        <v>1314</v>
      </c>
      <c r="B338" s="4" t="s">
        <v>1315</v>
      </c>
      <c r="C338" s="11">
        <v>45210</v>
      </c>
      <c r="D338" s="4" t="s">
        <v>39</v>
      </c>
      <c r="E338" s="4" t="s">
        <v>24</v>
      </c>
      <c r="F338" s="4" t="s">
        <v>26</v>
      </c>
      <c r="G338" s="4" t="s">
        <v>41</v>
      </c>
      <c r="H338" s="4" t="s">
        <v>1317</v>
      </c>
      <c r="I338" s="4" t="s">
        <v>43</v>
      </c>
      <c r="J338" s="4" t="s">
        <v>62</v>
      </c>
      <c r="K338" s="4" t="s">
        <v>30</v>
      </c>
      <c r="L338" s="4" t="s">
        <v>900</v>
      </c>
      <c r="M338" s="4" t="s">
        <v>32</v>
      </c>
      <c r="N338" s="4" t="s">
        <v>33</v>
      </c>
      <c r="O338" s="4" t="s">
        <v>120</v>
      </c>
      <c r="P338" s="4" t="s">
        <v>47</v>
      </c>
      <c r="Q338" s="4">
        <v>6</v>
      </c>
      <c r="R338" s="4">
        <v>22346</v>
      </c>
      <c r="S338" s="5">
        <v>5</v>
      </c>
      <c r="T338" s="6">
        <f t="shared" si="15"/>
        <v>127372.2</v>
      </c>
      <c r="U338" s="4">
        <v>6565.53</v>
      </c>
      <c r="V338" t="str">
        <f t="shared" si="16"/>
        <v>Oct</v>
      </c>
      <c r="W338">
        <f t="shared" si="17"/>
        <v>5.1546020246176168E-2</v>
      </c>
    </row>
    <row r="339" spans="1:23" x14ac:dyDescent="0.4">
      <c r="A339" s="4" t="s">
        <v>1318</v>
      </c>
      <c r="B339" s="4" t="s">
        <v>1319</v>
      </c>
      <c r="C339" s="11">
        <v>45473</v>
      </c>
      <c r="D339" s="4" t="s">
        <v>23</v>
      </c>
      <c r="E339" s="4" t="s">
        <v>24</v>
      </c>
      <c r="F339" s="4" t="s">
        <v>40</v>
      </c>
      <c r="G339" s="4" t="s">
        <v>26</v>
      </c>
      <c r="H339" s="4" t="s">
        <v>1321</v>
      </c>
      <c r="I339" s="4" t="s">
        <v>61</v>
      </c>
      <c r="J339" s="4" t="s">
        <v>62</v>
      </c>
      <c r="K339" s="4" t="s">
        <v>30</v>
      </c>
      <c r="L339" s="4" t="s">
        <v>1322</v>
      </c>
      <c r="M339" s="4" t="s">
        <v>95</v>
      </c>
      <c r="N339" s="4" t="s">
        <v>33</v>
      </c>
      <c r="O339" s="4" t="s">
        <v>34</v>
      </c>
      <c r="P339" s="4" t="s">
        <v>74</v>
      </c>
      <c r="Q339" s="4">
        <v>2</v>
      </c>
      <c r="R339" s="4">
        <v>10434</v>
      </c>
      <c r="S339" s="5">
        <v>15</v>
      </c>
      <c r="T339" s="6">
        <f t="shared" si="15"/>
        <v>17737.8</v>
      </c>
      <c r="U339" s="4">
        <v>934.95</v>
      </c>
      <c r="V339" t="str">
        <f t="shared" si="16"/>
        <v>Jun</v>
      </c>
      <c r="W339">
        <f t="shared" si="17"/>
        <v>5.2709467915976055E-2</v>
      </c>
    </row>
    <row r="340" spans="1:23" x14ac:dyDescent="0.4">
      <c r="A340" s="4" t="s">
        <v>1323</v>
      </c>
      <c r="B340" s="4" t="s">
        <v>834</v>
      </c>
      <c r="C340" s="11">
        <v>45316</v>
      </c>
      <c r="D340" s="4" t="s">
        <v>124</v>
      </c>
      <c r="E340" s="4" t="s">
        <v>24</v>
      </c>
      <c r="F340" s="4" t="s">
        <v>70</v>
      </c>
      <c r="G340" s="4" t="s">
        <v>26</v>
      </c>
      <c r="H340" s="4" t="s">
        <v>1325</v>
      </c>
      <c r="I340" s="4" t="s">
        <v>43</v>
      </c>
      <c r="J340" s="4" t="s">
        <v>29</v>
      </c>
      <c r="K340" s="4" t="s">
        <v>153</v>
      </c>
      <c r="L340" s="4" t="s">
        <v>956</v>
      </c>
      <c r="M340" s="4" t="s">
        <v>53</v>
      </c>
      <c r="N340" s="4" t="s">
        <v>54</v>
      </c>
      <c r="O340" s="4" t="s">
        <v>82</v>
      </c>
      <c r="P340" s="4" t="s">
        <v>74</v>
      </c>
      <c r="Q340" s="4">
        <v>6</v>
      </c>
      <c r="R340" s="4">
        <v>1386</v>
      </c>
      <c r="S340" s="5">
        <v>0</v>
      </c>
      <c r="T340" s="6">
        <f t="shared" si="15"/>
        <v>8316</v>
      </c>
      <c r="U340" s="4">
        <v>547.41</v>
      </c>
      <c r="V340" t="str">
        <f t="shared" si="16"/>
        <v>Jan</v>
      </c>
      <c r="W340">
        <f t="shared" si="17"/>
        <v>6.5826118326118316E-2</v>
      </c>
    </row>
    <row r="341" spans="1:23" x14ac:dyDescent="0.4">
      <c r="A341" s="4" t="s">
        <v>1326</v>
      </c>
      <c r="B341" s="4" t="s">
        <v>594</v>
      </c>
      <c r="C341" s="11">
        <v>45284</v>
      </c>
      <c r="D341" s="4" t="s">
        <v>98</v>
      </c>
      <c r="E341" s="4" t="s">
        <v>24</v>
      </c>
      <c r="F341" s="4" t="s">
        <v>70</v>
      </c>
      <c r="G341" s="4" t="s">
        <v>26</v>
      </c>
      <c r="H341" s="4" t="s">
        <v>1327</v>
      </c>
      <c r="I341" s="4" t="s">
        <v>28</v>
      </c>
      <c r="J341" s="4" t="s">
        <v>79</v>
      </c>
      <c r="K341" s="4" t="s">
        <v>30</v>
      </c>
      <c r="L341" s="4" t="s">
        <v>826</v>
      </c>
      <c r="M341" s="4" t="s">
        <v>81</v>
      </c>
      <c r="N341" s="4" t="s">
        <v>33</v>
      </c>
      <c r="O341" s="4" t="s">
        <v>82</v>
      </c>
      <c r="P341" s="4" t="s">
        <v>74</v>
      </c>
      <c r="Q341" s="4">
        <v>3</v>
      </c>
      <c r="R341" s="4">
        <v>1194</v>
      </c>
      <c r="S341" s="5">
        <v>10</v>
      </c>
      <c r="T341" s="6">
        <f t="shared" si="15"/>
        <v>3223.8</v>
      </c>
      <c r="U341" s="4">
        <v>138.87</v>
      </c>
      <c r="V341" t="str">
        <f t="shared" si="16"/>
        <v>Dec</v>
      </c>
      <c r="W341">
        <f t="shared" si="17"/>
        <v>4.3076493579006142E-2</v>
      </c>
    </row>
    <row r="342" spans="1:23" x14ac:dyDescent="0.4">
      <c r="A342" s="4" t="s">
        <v>1328</v>
      </c>
      <c r="B342" s="4" t="s">
        <v>1329</v>
      </c>
      <c r="C342" s="11">
        <v>45191</v>
      </c>
      <c r="D342" s="4" t="s">
        <v>23</v>
      </c>
      <c r="E342" s="4" t="s">
        <v>24</v>
      </c>
      <c r="F342" s="4" t="s">
        <v>26</v>
      </c>
      <c r="G342" s="4" t="s">
        <v>41</v>
      </c>
      <c r="H342" s="4" t="s">
        <v>1331</v>
      </c>
      <c r="I342" s="4" t="s">
        <v>43</v>
      </c>
      <c r="J342" s="4" t="s">
        <v>29</v>
      </c>
      <c r="K342" s="4" t="s">
        <v>86</v>
      </c>
      <c r="L342" s="4" t="s">
        <v>491</v>
      </c>
      <c r="M342" s="4" t="s">
        <v>73</v>
      </c>
      <c r="N342" s="4" t="s">
        <v>54</v>
      </c>
      <c r="O342" s="4" t="s">
        <v>120</v>
      </c>
      <c r="P342" s="4" t="s">
        <v>88</v>
      </c>
      <c r="Q342" s="4">
        <v>10</v>
      </c>
      <c r="R342" s="4">
        <v>43409</v>
      </c>
      <c r="S342" s="5">
        <v>5</v>
      </c>
      <c r="T342" s="6">
        <f t="shared" si="15"/>
        <v>412385.5</v>
      </c>
      <c r="U342" s="4">
        <v>17474.97</v>
      </c>
      <c r="V342" t="str">
        <f t="shared" si="16"/>
        <v>Sep</v>
      </c>
      <c r="W342">
        <f t="shared" si="17"/>
        <v>4.2375325999580493E-2</v>
      </c>
    </row>
    <row r="343" spans="1:23" x14ac:dyDescent="0.4">
      <c r="A343" s="4" t="s">
        <v>1332</v>
      </c>
      <c r="B343" s="4" t="s">
        <v>331</v>
      </c>
      <c r="C343" s="11">
        <v>45523</v>
      </c>
      <c r="D343" s="4" t="s">
        <v>98</v>
      </c>
      <c r="E343" s="4" t="s">
        <v>24</v>
      </c>
      <c r="F343" s="4" t="s">
        <v>58</v>
      </c>
      <c r="G343" s="4" t="s">
        <v>41</v>
      </c>
      <c r="H343" s="4" t="s">
        <v>1333</v>
      </c>
      <c r="I343" s="4" t="s">
        <v>43</v>
      </c>
      <c r="J343" s="4" t="s">
        <v>62</v>
      </c>
      <c r="K343" s="4" t="s">
        <v>101</v>
      </c>
      <c r="L343" s="4" t="s">
        <v>315</v>
      </c>
      <c r="M343" s="4" t="s">
        <v>65</v>
      </c>
      <c r="N343" s="4" t="s">
        <v>54</v>
      </c>
      <c r="O343" s="4" t="s">
        <v>46</v>
      </c>
      <c r="P343" s="4" t="s">
        <v>47</v>
      </c>
      <c r="Q343" s="4">
        <v>7</v>
      </c>
      <c r="R343" s="4">
        <v>28167</v>
      </c>
      <c r="S343" s="5">
        <v>20</v>
      </c>
      <c r="T343" s="6">
        <f t="shared" si="15"/>
        <v>157735.20000000001</v>
      </c>
      <c r="U343" s="4">
        <v>6316.82</v>
      </c>
      <c r="V343" t="str">
        <f t="shared" si="16"/>
        <v>Aug</v>
      </c>
      <c r="W343">
        <f t="shared" si="17"/>
        <v>4.0046990145509685E-2</v>
      </c>
    </row>
    <row r="344" spans="1:23" x14ac:dyDescent="0.4">
      <c r="A344" s="4" t="s">
        <v>1334</v>
      </c>
      <c r="B344" s="4" t="s">
        <v>1335</v>
      </c>
      <c r="C344" s="11">
        <v>44890</v>
      </c>
      <c r="D344" s="4" t="s">
        <v>124</v>
      </c>
      <c r="E344" s="4" t="s">
        <v>24</v>
      </c>
      <c r="F344" s="4" t="s">
        <v>70</v>
      </c>
      <c r="G344" s="4" t="s">
        <v>26</v>
      </c>
      <c r="H344" s="4" t="s">
        <v>1337</v>
      </c>
      <c r="I344" s="4" t="s">
        <v>43</v>
      </c>
      <c r="J344" s="4" t="s">
        <v>29</v>
      </c>
      <c r="K344" s="4" t="s">
        <v>101</v>
      </c>
      <c r="L344" s="4" t="s">
        <v>301</v>
      </c>
      <c r="M344" s="4" t="s">
        <v>53</v>
      </c>
      <c r="N344" s="4" t="s">
        <v>54</v>
      </c>
      <c r="O344" s="4" t="s">
        <v>34</v>
      </c>
      <c r="P344" s="4" t="s">
        <v>47</v>
      </c>
      <c r="Q344" s="4">
        <v>5</v>
      </c>
      <c r="R344" s="4">
        <v>16893</v>
      </c>
      <c r="S344" s="5">
        <v>10</v>
      </c>
      <c r="T344" s="6">
        <f t="shared" si="15"/>
        <v>76018.5</v>
      </c>
      <c r="U344" s="4">
        <v>1328.17</v>
      </c>
      <c r="V344" t="str">
        <f t="shared" si="16"/>
        <v>Nov</v>
      </c>
      <c r="W344">
        <f t="shared" si="17"/>
        <v>1.7471668080796122E-2</v>
      </c>
    </row>
    <row r="345" spans="1:23" x14ac:dyDescent="0.4">
      <c r="A345" s="4" t="s">
        <v>1338</v>
      </c>
      <c r="B345" s="4" t="s">
        <v>1339</v>
      </c>
      <c r="C345" s="11">
        <v>45481</v>
      </c>
      <c r="D345" s="4" t="s">
        <v>23</v>
      </c>
      <c r="E345" s="4" t="s">
        <v>24</v>
      </c>
      <c r="F345" s="4" t="s">
        <v>25</v>
      </c>
      <c r="G345" s="4" t="s">
        <v>59</v>
      </c>
      <c r="H345" s="4" t="s">
        <v>1340</v>
      </c>
      <c r="I345" s="4" t="s">
        <v>61</v>
      </c>
      <c r="J345" s="4" t="s">
        <v>79</v>
      </c>
      <c r="K345" s="4" t="s">
        <v>30</v>
      </c>
      <c r="L345" s="4" t="s">
        <v>194</v>
      </c>
      <c r="M345" s="4" t="s">
        <v>73</v>
      </c>
      <c r="N345" s="4" t="s">
        <v>33</v>
      </c>
      <c r="O345" s="4" t="s">
        <v>66</v>
      </c>
      <c r="P345" s="4" t="s">
        <v>35</v>
      </c>
      <c r="Q345" s="4">
        <v>6</v>
      </c>
      <c r="R345" s="4">
        <v>1968</v>
      </c>
      <c r="S345" s="5">
        <v>0</v>
      </c>
      <c r="T345" s="6">
        <f t="shared" si="15"/>
        <v>11808</v>
      </c>
      <c r="U345" s="4">
        <v>3284.76</v>
      </c>
      <c r="V345" t="str">
        <f t="shared" si="16"/>
        <v>Jul</v>
      </c>
      <c r="W345">
        <f t="shared" si="17"/>
        <v>0.27818089430894311</v>
      </c>
    </row>
    <row r="346" spans="1:23" x14ac:dyDescent="0.4">
      <c r="A346" s="4" t="s">
        <v>1341</v>
      </c>
      <c r="B346" s="4" t="s">
        <v>937</v>
      </c>
      <c r="C346" s="11">
        <v>45080</v>
      </c>
      <c r="D346" s="4" t="s">
        <v>124</v>
      </c>
      <c r="E346" s="4" t="s">
        <v>24</v>
      </c>
      <c r="F346" s="4" t="s">
        <v>70</v>
      </c>
      <c r="G346" s="4" t="s">
        <v>92</v>
      </c>
      <c r="H346" s="4" t="s">
        <v>1343</v>
      </c>
      <c r="I346" s="4" t="s">
        <v>61</v>
      </c>
      <c r="J346" s="4" t="s">
        <v>79</v>
      </c>
      <c r="K346" s="4" t="s">
        <v>86</v>
      </c>
      <c r="L346" s="4" t="s">
        <v>80</v>
      </c>
      <c r="M346" s="4" t="s">
        <v>32</v>
      </c>
      <c r="N346" s="4" t="s">
        <v>54</v>
      </c>
      <c r="O346" s="4" t="s">
        <v>82</v>
      </c>
      <c r="P346" s="4" t="s">
        <v>47</v>
      </c>
      <c r="Q346" s="4">
        <v>1</v>
      </c>
      <c r="R346" s="4">
        <v>26228</v>
      </c>
      <c r="S346" s="5">
        <v>0</v>
      </c>
      <c r="T346" s="6">
        <f t="shared" si="15"/>
        <v>26228</v>
      </c>
      <c r="U346" s="4">
        <v>4585.29</v>
      </c>
      <c r="V346" t="str">
        <f t="shared" si="16"/>
        <v>May</v>
      </c>
      <c r="W346">
        <f t="shared" si="17"/>
        <v>0.1748242336434345</v>
      </c>
    </row>
    <row r="347" spans="1:23" x14ac:dyDescent="0.4">
      <c r="A347" s="4" t="s">
        <v>1344</v>
      </c>
      <c r="B347" s="4" t="s">
        <v>1222</v>
      </c>
      <c r="C347" s="11">
        <v>45125</v>
      </c>
      <c r="D347" s="4" t="s">
        <v>23</v>
      </c>
      <c r="E347" s="4" t="s">
        <v>24</v>
      </c>
      <c r="F347" s="4" t="s">
        <v>40</v>
      </c>
      <c r="G347" s="4" t="s">
        <v>59</v>
      </c>
      <c r="H347" s="4" t="s">
        <v>1346</v>
      </c>
      <c r="I347" s="4" t="s">
        <v>28</v>
      </c>
      <c r="J347" s="4" t="s">
        <v>79</v>
      </c>
      <c r="K347" s="4" t="s">
        <v>30</v>
      </c>
      <c r="L347" s="4" t="s">
        <v>296</v>
      </c>
      <c r="M347" s="4" t="s">
        <v>32</v>
      </c>
      <c r="N347" s="4" t="s">
        <v>54</v>
      </c>
      <c r="O347" s="4" t="s">
        <v>82</v>
      </c>
      <c r="P347" s="4" t="s">
        <v>74</v>
      </c>
      <c r="Q347" s="4">
        <v>2</v>
      </c>
      <c r="R347" s="4">
        <v>31632</v>
      </c>
      <c r="S347" s="5">
        <v>20</v>
      </c>
      <c r="T347" s="6">
        <f t="shared" si="15"/>
        <v>50611.199999999997</v>
      </c>
      <c r="U347" s="4">
        <v>-8074.1</v>
      </c>
      <c r="V347" t="str">
        <f t="shared" si="16"/>
        <v>Jul</v>
      </c>
      <c r="W347">
        <f t="shared" si="17"/>
        <v>-0.15953188227111786</v>
      </c>
    </row>
    <row r="348" spans="1:23" x14ac:dyDescent="0.4">
      <c r="A348" s="4" t="s">
        <v>1347</v>
      </c>
      <c r="B348" s="4" t="s">
        <v>1095</v>
      </c>
      <c r="C348" s="11">
        <v>45112</v>
      </c>
      <c r="D348" s="4" t="s">
        <v>124</v>
      </c>
      <c r="E348" s="4" t="s">
        <v>24</v>
      </c>
      <c r="F348" s="4" t="s">
        <v>25</v>
      </c>
      <c r="G348" s="4" t="s">
        <v>41</v>
      </c>
      <c r="H348" s="4" t="s">
        <v>1349</v>
      </c>
      <c r="I348" s="4" t="s">
        <v>43</v>
      </c>
      <c r="J348" s="4" t="s">
        <v>79</v>
      </c>
      <c r="K348" s="4" t="s">
        <v>101</v>
      </c>
      <c r="L348" s="4" t="s">
        <v>1350</v>
      </c>
      <c r="M348" s="4" t="s">
        <v>32</v>
      </c>
      <c r="N348" s="4" t="s">
        <v>54</v>
      </c>
      <c r="O348" s="4" t="s">
        <v>46</v>
      </c>
      <c r="P348" s="4" t="s">
        <v>35</v>
      </c>
      <c r="Q348" s="4">
        <v>2</v>
      </c>
      <c r="R348" s="4">
        <v>32873</v>
      </c>
      <c r="S348" s="5">
        <v>0</v>
      </c>
      <c r="T348" s="6">
        <f t="shared" si="15"/>
        <v>65746</v>
      </c>
      <c r="U348" s="4">
        <v>12924.14</v>
      </c>
      <c r="V348" t="str">
        <f t="shared" si="16"/>
        <v>Jul</v>
      </c>
      <c r="W348">
        <f t="shared" si="17"/>
        <v>0.19657682596659873</v>
      </c>
    </row>
    <row r="349" spans="1:23" x14ac:dyDescent="0.4">
      <c r="A349" s="4" t="s">
        <v>1351</v>
      </c>
      <c r="B349" s="4" t="s">
        <v>944</v>
      </c>
      <c r="C349" s="11">
        <v>45073</v>
      </c>
      <c r="D349" s="4" t="s">
        <v>23</v>
      </c>
      <c r="E349" s="4" t="s">
        <v>24</v>
      </c>
      <c r="F349" s="4" t="s">
        <v>58</v>
      </c>
      <c r="G349" s="4" t="s">
        <v>41</v>
      </c>
      <c r="H349" s="4" t="s">
        <v>1352</v>
      </c>
      <c r="I349" s="4" t="s">
        <v>43</v>
      </c>
      <c r="J349" s="4" t="s">
        <v>29</v>
      </c>
      <c r="K349" s="4" t="s">
        <v>86</v>
      </c>
      <c r="L349" s="4" t="s">
        <v>1353</v>
      </c>
      <c r="M349" s="4" t="s">
        <v>81</v>
      </c>
      <c r="N349" s="4" t="s">
        <v>33</v>
      </c>
      <c r="O349" s="4" t="s">
        <v>46</v>
      </c>
      <c r="P349" s="4" t="s">
        <v>47</v>
      </c>
      <c r="Q349" s="4">
        <v>10</v>
      </c>
      <c r="R349" s="4">
        <v>17395</v>
      </c>
      <c r="S349" s="5">
        <v>20</v>
      </c>
      <c r="T349" s="6">
        <f t="shared" si="15"/>
        <v>139160</v>
      </c>
      <c r="U349" s="4">
        <v>16624.45</v>
      </c>
      <c r="V349" t="str">
        <f t="shared" si="16"/>
        <v>May</v>
      </c>
      <c r="W349">
        <f t="shared" si="17"/>
        <v>0.11946284851968957</v>
      </c>
    </row>
    <row r="350" spans="1:23" x14ac:dyDescent="0.4">
      <c r="A350" s="4" t="s">
        <v>1354</v>
      </c>
      <c r="B350" s="4" t="s">
        <v>169</v>
      </c>
      <c r="C350" s="11">
        <v>44800</v>
      </c>
      <c r="D350" s="4" t="s">
        <v>39</v>
      </c>
      <c r="E350" s="4" t="s">
        <v>24</v>
      </c>
      <c r="F350" s="4" t="s">
        <v>70</v>
      </c>
      <c r="G350" s="4" t="s">
        <v>99</v>
      </c>
      <c r="H350" s="4" t="s">
        <v>1355</v>
      </c>
      <c r="I350" s="4" t="s">
        <v>43</v>
      </c>
      <c r="J350" s="4" t="s">
        <v>29</v>
      </c>
      <c r="K350" s="4" t="s">
        <v>86</v>
      </c>
      <c r="L350" s="4" t="s">
        <v>980</v>
      </c>
      <c r="M350" s="4" t="s">
        <v>32</v>
      </c>
      <c r="N350" s="4" t="s">
        <v>33</v>
      </c>
      <c r="O350" s="4" t="s">
        <v>46</v>
      </c>
      <c r="P350" s="4" t="s">
        <v>88</v>
      </c>
      <c r="Q350" s="4">
        <v>2</v>
      </c>
      <c r="R350" s="4">
        <v>8234</v>
      </c>
      <c r="S350" s="5">
        <v>0</v>
      </c>
      <c r="T350" s="6">
        <f t="shared" si="15"/>
        <v>16468</v>
      </c>
      <c r="U350" s="4">
        <v>1503.95</v>
      </c>
      <c r="V350" t="str">
        <f t="shared" si="16"/>
        <v>Aug</v>
      </c>
      <c r="W350">
        <f t="shared" si="17"/>
        <v>9.1325601165897496E-2</v>
      </c>
    </row>
    <row r="351" spans="1:23" x14ac:dyDescent="0.4">
      <c r="A351" s="4" t="s">
        <v>1356</v>
      </c>
      <c r="B351" s="4" t="s">
        <v>205</v>
      </c>
      <c r="C351" s="11">
        <v>44938</v>
      </c>
      <c r="D351" s="4" t="s">
        <v>23</v>
      </c>
      <c r="E351" s="4" t="s">
        <v>24</v>
      </c>
      <c r="F351" s="4" t="s">
        <v>40</v>
      </c>
      <c r="G351" s="4" t="s">
        <v>99</v>
      </c>
      <c r="H351" s="4" t="s">
        <v>1357</v>
      </c>
      <c r="I351" s="4" t="s">
        <v>43</v>
      </c>
      <c r="J351" s="4" t="s">
        <v>62</v>
      </c>
      <c r="K351" s="4" t="s">
        <v>63</v>
      </c>
      <c r="L351" s="4" t="s">
        <v>753</v>
      </c>
      <c r="M351" s="4" t="s">
        <v>73</v>
      </c>
      <c r="N351" s="4" t="s">
        <v>54</v>
      </c>
      <c r="O351" s="4" t="s">
        <v>34</v>
      </c>
      <c r="P351" s="4" t="s">
        <v>88</v>
      </c>
      <c r="Q351" s="4">
        <v>9</v>
      </c>
      <c r="R351" s="4">
        <v>39469</v>
      </c>
      <c r="S351" s="5">
        <v>0</v>
      </c>
      <c r="T351" s="6">
        <f t="shared" si="15"/>
        <v>355221</v>
      </c>
      <c r="U351" s="4">
        <v>85845.17</v>
      </c>
      <c r="V351" t="str">
        <f t="shared" si="16"/>
        <v>Jan</v>
      </c>
      <c r="W351">
        <f t="shared" si="17"/>
        <v>0.24166693410581019</v>
      </c>
    </row>
    <row r="352" spans="1:23" x14ac:dyDescent="0.4">
      <c r="A352" s="4" t="s">
        <v>1358</v>
      </c>
      <c r="B352" s="4" t="s">
        <v>146</v>
      </c>
      <c r="C352" s="11">
        <v>44692</v>
      </c>
      <c r="D352" s="4" t="s">
        <v>39</v>
      </c>
      <c r="E352" s="4" t="s">
        <v>24</v>
      </c>
      <c r="F352" s="4" t="s">
        <v>58</v>
      </c>
      <c r="G352" s="4" t="s">
        <v>41</v>
      </c>
      <c r="H352" s="4" t="s">
        <v>1360</v>
      </c>
      <c r="I352" s="4" t="s">
        <v>28</v>
      </c>
      <c r="J352" s="4" t="s">
        <v>79</v>
      </c>
      <c r="K352" s="4" t="s">
        <v>30</v>
      </c>
      <c r="L352" s="4" t="s">
        <v>396</v>
      </c>
      <c r="M352" s="4" t="s">
        <v>53</v>
      </c>
      <c r="N352" s="4" t="s">
        <v>33</v>
      </c>
      <c r="O352" s="4" t="s">
        <v>82</v>
      </c>
      <c r="P352" s="4" t="s">
        <v>74</v>
      </c>
      <c r="Q352" s="4">
        <v>8</v>
      </c>
      <c r="R352" s="4">
        <v>14654</v>
      </c>
      <c r="S352" s="5">
        <v>5</v>
      </c>
      <c r="T352" s="6">
        <f t="shared" si="15"/>
        <v>111370.4</v>
      </c>
      <c r="U352" s="4">
        <v>18303.189999999999</v>
      </c>
      <c r="V352" t="str">
        <f t="shared" si="16"/>
        <v>May</v>
      </c>
      <c r="W352">
        <f t="shared" si="17"/>
        <v>0.16434519405515288</v>
      </c>
    </row>
    <row r="353" spans="1:23" x14ac:dyDescent="0.4">
      <c r="A353" s="4" t="s">
        <v>1361</v>
      </c>
      <c r="B353" s="4" t="s">
        <v>1330</v>
      </c>
      <c r="C353" s="11">
        <v>45192</v>
      </c>
      <c r="D353" s="4" t="s">
        <v>39</v>
      </c>
      <c r="E353" s="4" t="s">
        <v>24</v>
      </c>
      <c r="F353" s="4" t="s">
        <v>25</v>
      </c>
      <c r="G353" s="4" t="s">
        <v>99</v>
      </c>
      <c r="H353" s="4" t="s">
        <v>1362</v>
      </c>
      <c r="I353" s="4" t="s">
        <v>28</v>
      </c>
      <c r="J353" s="4" t="s">
        <v>29</v>
      </c>
      <c r="K353" s="4" t="s">
        <v>30</v>
      </c>
      <c r="L353" s="4" t="s">
        <v>889</v>
      </c>
      <c r="M353" s="4" t="s">
        <v>81</v>
      </c>
      <c r="N353" s="4" t="s">
        <v>33</v>
      </c>
      <c r="O353" s="4" t="s">
        <v>34</v>
      </c>
      <c r="P353" s="4" t="s">
        <v>35</v>
      </c>
      <c r="Q353" s="4">
        <v>8</v>
      </c>
      <c r="R353" s="4">
        <v>24235</v>
      </c>
      <c r="S353" s="5">
        <v>10</v>
      </c>
      <c r="T353" s="6">
        <f t="shared" si="15"/>
        <v>174492</v>
      </c>
      <c r="U353" s="4">
        <v>18484.89</v>
      </c>
      <c r="V353" t="str">
        <f t="shared" si="16"/>
        <v>Sep</v>
      </c>
      <c r="W353">
        <f t="shared" si="17"/>
        <v>0.10593545835912248</v>
      </c>
    </row>
    <row r="354" spans="1:23" x14ac:dyDescent="0.4">
      <c r="A354" s="4" t="s">
        <v>1363</v>
      </c>
      <c r="B354" s="4" t="s">
        <v>625</v>
      </c>
      <c r="C354" s="11">
        <v>45179</v>
      </c>
      <c r="D354" s="4" t="s">
        <v>124</v>
      </c>
      <c r="E354" s="4" t="s">
        <v>24</v>
      </c>
      <c r="F354" s="4" t="s">
        <v>26</v>
      </c>
      <c r="G354" s="4" t="s">
        <v>59</v>
      </c>
      <c r="H354" s="4" t="s">
        <v>1365</v>
      </c>
      <c r="I354" s="4" t="s">
        <v>61</v>
      </c>
      <c r="J354" s="4" t="s">
        <v>79</v>
      </c>
      <c r="K354" s="4" t="s">
        <v>30</v>
      </c>
      <c r="L354" s="4" t="s">
        <v>822</v>
      </c>
      <c r="M354" s="4" t="s">
        <v>81</v>
      </c>
      <c r="N354" s="4" t="s">
        <v>33</v>
      </c>
      <c r="O354" s="4" t="s">
        <v>46</v>
      </c>
      <c r="P354" s="4" t="s">
        <v>88</v>
      </c>
      <c r="Q354" s="4">
        <v>3</v>
      </c>
      <c r="R354" s="4">
        <v>29633</v>
      </c>
      <c r="S354" s="5">
        <v>5</v>
      </c>
      <c r="T354" s="6">
        <f t="shared" si="15"/>
        <v>84454.05</v>
      </c>
      <c r="U354" s="4">
        <v>16667.29</v>
      </c>
      <c r="V354" t="str">
        <f t="shared" si="16"/>
        <v>Sep</v>
      </c>
      <c r="W354">
        <f t="shared" si="17"/>
        <v>0.19735335368759699</v>
      </c>
    </row>
    <row r="355" spans="1:23" x14ac:dyDescent="0.4">
      <c r="A355" s="4" t="s">
        <v>1366</v>
      </c>
      <c r="B355" s="4" t="s">
        <v>713</v>
      </c>
      <c r="C355" s="11">
        <v>45138</v>
      </c>
      <c r="D355" s="4" t="s">
        <v>39</v>
      </c>
      <c r="E355" s="4" t="s">
        <v>24</v>
      </c>
      <c r="F355" s="4" t="s">
        <v>25</v>
      </c>
      <c r="G355" s="4" t="s">
        <v>99</v>
      </c>
      <c r="H355" s="4" t="s">
        <v>1367</v>
      </c>
      <c r="I355" s="4" t="s">
        <v>43</v>
      </c>
      <c r="J355" s="4" t="s">
        <v>62</v>
      </c>
      <c r="K355" s="4" t="s">
        <v>30</v>
      </c>
      <c r="L355" s="4" t="s">
        <v>1368</v>
      </c>
      <c r="M355" s="4" t="s">
        <v>95</v>
      </c>
      <c r="N355" s="4" t="s">
        <v>33</v>
      </c>
      <c r="O355" s="4" t="s">
        <v>120</v>
      </c>
      <c r="P355" s="4" t="s">
        <v>88</v>
      </c>
      <c r="Q355" s="4">
        <v>8</v>
      </c>
      <c r="R355" s="4">
        <v>7875</v>
      </c>
      <c r="S355" s="5">
        <v>0</v>
      </c>
      <c r="T355" s="6">
        <f t="shared" si="15"/>
        <v>63000</v>
      </c>
      <c r="U355" s="4">
        <v>14690.86</v>
      </c>
      <c r="V355" t="str">
        <f t="shared" si="16"/>
        <v>Jul</v>
      </c>
      <c r="W355">
        <f t="shared" si="17"/>
        <v>0.23318825396825399</v>
      </c>
    </row>
    <row r="356" spans="1:23" x14ac:dyDescent="0.4">
      <c r="A356" s="4" t="s">
        <v>1369</v>
      </c>
      <c r="B356" s="4" t="s">
        <v>450</v>
      </c>
      <c r="C356" s="11">
        <v>45012</v>
      </c>
      <c r="D356" s="4" t="s">
        <v>124</v>
      </c>
      <c r="E356" s="4" t="s">
        <v>24</v>
      </c>
      <c r="F356" s="4" t="s">
        <v>58</v>
      </c>
      <c r="G356" s="4" t="s">
        <v>41</v>
      </c>
      <c r="H356" s="4" t="s">
        <v>1371</v>
      </c>
      <c r="I356" s="4" t="s">
        <v>43</v>
      </c>
      <c r="J356" s="4" t="s">
        <v>79</v>
      </c>
      <c r="K356" s="4" t="s">
        <v>63</v>
      </c>
      <c r="L356" s="4" t="s">
        <v>194</v>
      </c>
      <c r="M356" s="4" t="s">
        <v>81</v>
      </c>
      <c r="N356" s="4" t="s">
        <v>33</v>
      </c>
      <c r="O356" s="4" t="s">
        <v>46</v>
      </c>
      <c r="P356" s="4" t="s">
        <v>47</v>
      </c>
      <c r="Q356" s="4">
        <v>9</v>
      </c>
      <c r="R356" s="4">
        <v>49336</v>
      </c>
      <c r="S356" s="5">
        <v>5</v>
      </c>
      <c r="T356" s="6">
        <f t="shared" si="15"/>
        <v>421822.8</v>
      </c>
      <c r="U356" s="4">
        <v>68119.06</v>
      </c>
      <c r="V356" t="str">
        <f t="shared" si="16"/>
        <v>Mar</v>
      </c>
      <c r="W356">
        <f t="shared" si="17"/>
        <v>0.16148738285365324</v>
      </c>
    </row>
    <row r="357" spans="1:23" x14ac:dyDescent="0.4">
      <c r="A357" s="4" t="s">
        <v>1372</v>
      </c>
      <c r="B357" s="4" t="s">
        <v>235</v>
      </c>
      <c r="C357" s="11">
        <v>45060</v>
      </c>
      <c r="D357" s="4" t="s">
        <v>39</v>
      </c>
      <c r="E357" s="4" t="s">
        <v>24</v>
      </c>
      <c r="F357" s="4" t="s">
        <v>40</v>
      </c>
      <c r="G357" s="4" t="s">
        <v>41</v>
      </c>
      <c r="H357" s="4" t="s">
        <v>1374</v>
      </c>
      <c r="I357" s="4" t="s">
        <v>28</v>
      </c>
      <c r="J357" s="4" t="s">
        <v>79</v>
      </c>
      <c r="K357" s="4" t="s">
        <v>44</v>
      </c>
      <c r="L357" s="4" t="s">
        <v>812</v>
      </c>
      <c r="M357" s="4" t="s">
        <v>81</v>
      </c>
      <c r="N357" s="4" t="s">
        <v>54</v>
      </c>
      <c r="O357" s="4" t="s">
        <v>46</v>
      </c>
      <c r="P357" s="4" t="s">
        <v>35</v>
      </c>
      <c r="Q357" s="4">
        <v>10</v>
      </c>
      <c r="R357" s="4">
        <v>19395</v>
      </c>
      <c r="S357" s="5">
        <v>5</v>
      </c>
      <c r="T357" s="6">
        <f t="shared" si="15"/>
        <v>184252.5</v>
      </c>
      <c r="U357" s="4">
        <v>1149.51</v>
      </c>
      <c r="V357" t="str">
        <f t="shared" si="16"/>
        <v>May</v>
      </c>
      <c r="W357">
        <f t="shared" si="17"/>
        <v>6.2387755932755322E-3</v>
      </c>
    </row>
    <row r="358" spans="1:23" x14ac:dyDescent="0.4">
      <c r="A358" s="4" t="s">
        <v>1375</v>
      </c>
      <c r="B358" s="4" t="s">
        <v>1376</v>
      </c>
      <c r="C358" s="11">
        <v>45508</v>
      </c>
      <c r="D358" s="4" t="s">
        <v>124</v>
      </c>
      <c r="E358" s="4" t="s">
        <v>24</v>
      </c>
      <c r="F358" s="4" t="s">
        <v>40</v>
      </c>
      <c r="G358" s="4" t="s">
        <v>59</v>
      </c>
      <c r="H358" s="4" t="s">
        <v>1378</v>
      </c>
      <c r="I358" s="4" t="s">
        <v>61</v>
      </c>
      <c r="J358" s="4" t="s">
        <v>62</v>
      </c>
      <c r="K358" s="4" t="s">
        <v>86</v>
      </c>
      <c r="L358" s="4" t="s">
        <v>1065</v>
      </c>
      <c r="M358" s="4" t="s">
        <v>53</v>
      </c>
      <c r="N358" s="4" t="s">
        <v>54</v>
      </c>
      <c r="O358" s="4" t="s">
        <v>82</v>
      </c>
      <c r="P358" s="4" t="s">
        <v>35</v>
      </c>
      <c r="Q358" s="4">
        <v>5</v>
      </c>
      <c r="R358" s="4">
        <v>25687</v>
      </c>
      <c r="S358" s="5">
        <v>5</v>
      </c>
      <c r="T358" s="6">
        <f t="shared" si="15"/>
        <v>122013.25</v>
      </c>
      <c r="U358" s="4">
        <v>11128.51</v>
      </c>
      <c r="V358" t="str">
        <f t="shared" si="16"/>
        <v>Jul</v>
      </c>
      <c r="W358">
        <f t="shared" si="17"/>
        <v>9.1207389361401325E-2</v>
      </c>
    </row>
    <row r="359" spans="1:23" x14ac:dyDescent="0.4">
      <c r="A359" s="4" t="s">
        <v>1379</v>
      </c>
      <c r="B359" s="4" t="s">
        <v>210</v>
      </c>
      <c r="C359" s="11">
        <v>45446</v>
      </c>
      <c r="D359" s="4" t="s">
        <v>124</v>
      </c>
      <c r="E359" s="4" t="s">
        <v>24</v>
      </c>
      <c r="F359" s="4" t="s">
        <v>58</v>
      </c>
      <c r="G359" s="4" t="s">
        <v>41</v>
      </c>
      <c r="H359" s="4" t="s">
        <v>1380</v>
      </c>
      <c r="I359" s="4" t="s">
        <v>28</v>
      </c>
      <c r="J359" s="4" t="s">
        <v>62</v>
      </c>
      <c r="K359" s="4" t="s">
        <v>44</v>
      </c>
      <c r="L359" s="4" t="s">
        <v>315</v>
      </c>
      <c r="M359" s="4" t="s">
        <v>95</v>
      </c>
      <c r="N359" s="4" t="s">
        <v>33</v>
      </c>
      <c r="O359" s="4" t="s">
        <v>120</v>
      </c>
      <c r="P359" s="4" t="s">
        <v>47</v>
      </c>
      <c r="Q359" s="4">
        <v>3</v>
      </c>
      <c r="R359" s="4">
        <v>48914</v>
      </c>
      <c r="S359" s="5">
        <v>0</v>
      </c>
      <c r="T359" s="6">
        <f t="shared" si="15"/>
        <v>146742</v>
      </c>
      <c r="U359" s="4">
        <v>27143.51</v>
      </c>
      <c r="V359" t="str">
        <f t="shared" si="16"/>
        <v>May</v>
      </c>
      <c r="W359">
        <f t="shared" si="17"/>
        <v>0.18497437679737225</v>
      </c>
    </row>
    <row r="360" spans="1:23" x14ac:dyDescent="0.4">
      <c r="A360" s="4" t="s">
        <v>1381</v>
      </c>
      <c r="B360" s="4" t="s">
        <v>1382</v>
      </c>
      <c r="C360" s="11">
        <v>44881</v>
      </c>
      <c r="D360" s="4" t="s">
        <v>39</v>
      </c>
      <c r="E360" s="4" t="s">
        <v>24</v>
      </c>
      <c r="F360" s="4" t="s">
        <v>25</v>
      </c>
      <c r="G360" s="4" t="s">
        <v>41</v>
      </c>
      <c r="H360" s="4" t="s">
        <v>1383</v>
      </c>
      <c r="I360" s="4" t="s">
        <v>61</v>
      </c>
      <c r="J360" s="4" t="s">
        <v>62</v>
      </c>
      <c r="K360" s="4" t="s">
        <v>153</v>
      </c>
      <c r="L360" s="4" t="s">
        <v>889</v>
      </c>
      <c r="M360" s="4" t="s">
        <v>32</v>
      </c>
      <c r="N360" s="4" t="s">
        <v>54</v>
      </c>
      <c r="O360" s="4" t="s">
        <v>34</v>
      </c>
      <c r="P360" s="4" t="s">
        <v>47</v>
      </c>
      <c r="Q360" s="4">
        <v>7</v>
      </c>
      <c r="R360" s="4">
        <v>17114</v>
      </c>
      <c r="S360" s="5">
        <v>20</v>
      </c>
      <c r="T360" s="6">
        <f t="shared" si="15"/>
        <v>95838.399999999994</v>
      </c>
      <c r="U360" s="4">
        <v>5663.36</v>
      </c>
      <c r="V360" t="str">
        <f t="shared" si="16"/>
        <v>Nov</v>
      </c>
      <c r="W360">
        <f t="shared" si="17"/>
        <v>5.9092806223810079E-2</v>
      </c>
    </row>
    <row r="361" spans="1:23" x14ac:dyDescent="0.4">
      <c r="A361" s="4" t="s">
        <v>1384</v>
      </c>
      <c r="B361" s="4" t="s">
        <v>1272</v>
      </c>
      <c r="C361" s="11">
        <v>44965</v>
      </c>
      <c r="D361" s="4" t="s">
        <v>23</v>
      </c>
      <c r="E361" s="4" t="s">
        <v>24</v>
      </c>
      <c r="F361" s="4" t="s">
        <v>58</v>
      </c>
      <c r="G361" s="4" t="s">
        <v>92</v>
      </c>
      <c r="H361" s="4" t="s">
        <v>521</v>
      </c>
      <c r="I361" s="4" t="s">
        <v>61</v>
      </c>
      <c r="J361" s="4" t="s">
        <v>62</v>
      </c>
      <c r="K361" s="4" t="s">
        <v>44</v>
      </c>
      <c r="L361" s="4" t="s">
        <v>171</v>
      </c>
      <c r="M361" s="4" t="s">
        <v>81</v>
      </c>
      <c r="N361" s="4" t="s">
        <v>33</v>
      </c>
      <c r="O361" s="4" t="s">
        <v>34</v>
      </c>
      <c r="P361" s="4" t="s">
        <v>88</v>
      </c>
      <c r="Q361" s="4">
        <v>3</v>
      </c>
      <c r="R361" s="4">
        <v>4329</v>
      </c>
      <c r="S361" s="5">
        <v>10</v>
      </c>
      <c r="T361" s="6">
        <f t="shared" si="15"/>
        <v>11688.3</v>
      </c>
      <c r="U361" s="4">
        <v>2056.15</v>
      </c>
      <c r="V361" t="str">
        <f t="shared" si="16"/>
        <v>Feb</v>
      </c>
      <c r="W361">
        <f t="shared" si="17"/>
        <v>0.17591523147078705</v>
      </c>
    </row>
    <row r="362" spans="1:23" x14ac:dyDescent="0.4">
      <c r="A362" s="4" t="s">
        <v>1386</v>
      </c>
      <c r="B362" s="4" t="s">
        <v>1387</v>
      </c>
      <c r="C362" s="11">
        <v>44997</v>
      </c>
      <c r="D362" s="4" t="s">
        <v>124</v>
      </c>
      <c r="E362" s="4" t="s">
        <v>24</v>
      </c>
      <c r="F362" s="4" t="s">
        <v>25</v>
      </c>
      <c r="G362" s="4" t="s">
        <v>26</v>
      </c>
      <c r="H362" s="4" t="s">
        <v>1388</v>
      </c>
      <c r="I362" s="4" t="s">
        <v>61</v>
      </c>
      <c r="J362" s="4" t="s">
        <v>79</v>
      </c>
      <c r="K362" s="4" t="s">
        <v>101</v>
      </c>
      <c r="L362" s="4" t="s">
        <v>319</v>
      </c>
      <c r="M362" s="4" t="s">
        <v>95</v>
      </c>
      <c r="N362" s="4" t="s">
        <v>54</v>
      </c>
      <c r="O362" s="4" t="s">
        <v>82</v>
      </c>
      <c r="P362" s="4" t="s">
        <v>88</v>
      </c>
      <c r="Q362" s="4">
        <v>10</v>
      </c>
      <c r="R362" s="4">
        <v>1340</v>
      </c>
      <c r="S362" s="5">
        <v>10</v>
      </c>
      <c r="T362" s="6">
        <f t="shared" si="15"/>
        <v>12060</v>
      </c>
      <c r="U362" s="4">
        <v>871.1</v>
      </c>
      <c r="V362" t="str">
        <f t="shared" si="16"/>
        <v>Mar</v>
      </c>
      <c r="W362">
        <f t="shared" si="17"/>
        <v>7.2230514096185736E-2</v>
      </c>
    </row>
    <row r="363" spans="1:23" x14ac:dyDescent="0.4">
      <c r="A363" s="4" t="s">
        <v>1389</v>
      </c>
      <c r="B363" s="4" t="s">
        <v>759</v>
      </c>
      <c r="C363" s="11">
        <v>44816</v>
      </c>
      <c r="D363" s="4" t="s">
        <v>39</v>
      </c>
      <c r="E363" s="4" t="s">
        <v>24</v>
      </c>
      <c r="F363" s="4" t="s">
        <v>70</v>
      </c>
      <c r="G363" s="4" t="s">
        <v>26</v>
      </c>
      <c r="H363" s="4" t="s">
        <v>1390</v>
      </c>
      <c r="I363" s="4" t="s">
        <v>28</v>
      </c>
      <c r="J363" s="4" t="s">
        <v>79</v>
      </c>
      <c r="K363" s="4" t="s">
        <v>153</v>
      </c>
      <c r="L363" s="4" t="s">
        <v>610</v>
      </c>
      <c r="M363" s="4" t="s">
        <v>65</v>
      </c>
      <c r="N363" s="4" t="s">
        <v>33</v>
      </c>
      <c r="O363" s="4" t="s">
        <v>120</v>
      </c>
      <c r="P363" s="4" t="s">
        <v>74</v>
      </c>
      <c r="Q363" s="4">
        <v>4</v>
      </c>
      <c r="R363" s="4">
        <v>21606</v>
      </c>
      <c r="S363" s="5">
        <v>5</v>
      </c>
      <c r="T363" s="6">
        <f t="shared" si="15"/>
        <v>82102.8</v>
      </c>
      <c r="U363" s="4">
        <v>13389.45</v>
      </c>
      <c r="V363" t="str">
        <f t="shared" si="16"/>
        <v>Sep</v>
      </c>
      <c r="W363">
        <f t="shared" si="17"/>
        <v>0.16308152706119644</v>
      </c>
    </row>
    <row r="364" spans="1:23" x14ac:dyDescent="0.4">
      <c r="A364" s="4" t="s">
        <v>1391</v>
      </c>
      <c r="B364" s="4" t="s">
        <v>1373</v>
      </c>
      <c r="C364" s="11">
        <v>45061</v>
      </c>
      <c r="D364" s="4" t="s">
        <v>98</v>
      </c>
      <c r="E364" s="4" t="s">
        <v>24</v>
      </c>
      <c r="F364" s="4" t="s">
        <v>26</v>
      </c>
      <c r="G364" s="4" t="s">
        <v>99</v>
      </c>
      <c r="H364" s="4" t="s">
        <v>1392</v>
      </c>
      <c r="I364" s="4" t="s">
        <v>28</v>
      </c>
      <c r="J364" s="4" t="s">
        <v>29</v>
      </c>
      <c r="K364" s="4" t="s">
        <v>30</v>
      </c>
      <c r="L364" s="4" t="s">
        <v>432</v>
      </c>
      <c r="M364" s="4" t="s">
        <v>32</v>
      </c>
      <c r="N364" s="4" t="s">
        <v>33</v>
      </c>
      <c r="O364" s="4" t="s">
        <v>66</v>
      </c>
      <c r="P364" s="4" t="s">
        <v>47</v>
      </c>
      <c r="Q364" s="4">
        <v>9</v>
      </c>
      <c r="R364" s="4">
        <v>24852</v>
      </c>
      <c r="S364" s="5">
        <v>5</v>
      </c>
      <c r="T364" s="6">
        <f t="shared" si="15"/>
        <v>212484.6</v>
      </c>
      <c r="U364" s="4">
        <v>17289.79</v>
      </c>
      <c r="V364" t="str">
        <f t="shared" si="16"/>
        <v>May</v>
      </c>
      <c r="W364">
        <f t="shared" si="17"/>
        <v>8.1369614550889813E-2</v>
      </c>
    </row>
    <row r="365" spans="1:23" x14ac:dyDescent="0.4">
      <c r="A365" s="4" t="s">
        <v>1393</v>
      </c>
      <c r="B365" s="4" t="s">
        <v>1201</v>
      </c>
      <c r="C365" s="11">
        <v>45086</v>
      </c>
      <c r="D365" s="4" t="s">
        <v>23</v>
      </c>
      <c r="E365" s="4" t="s">
        <v>24</v>
      </c>
      <c r="F365" s="4" t="s">
        <v>26</v>
      </c>
      <c r="G365" s="4" t="s">
        <v>99</v>
      </c>
      <c r="H365" s="4" t="s">
        <v>1394</v>
      </c>
      <c r="I365" s="4" t="s">
        <v>28</v>
      </c>
      <c r="J365" s="4" t="s">
        <v>29</v>
      </c>
      <c r="K365" s="4" t="s">
        <v>63</v>
      </c>
      <c r="L365" s="4" t="s">
        <v>530</v>
      </c>
      <c r="M365" s="4" t="s">
        <v>32</v>
      </c>
      <c r="N365" s="4" t="s">
        <v>33</v>
      </c>
      <c r="O365" s="4" t="s">
        <v>66</v>
      </c>
      <c r="P365" s="4" t="s">
        <v>74</v>
      </c>
      <c r="Q365" s="4">
        <v>2</v>
      </c>
      <c r="R365" s="4">
        <v>1001</v>
      </c>
      <c r="S365" s="5">
        <v>10</v>
      </c>
      <c r="T365" s="6">
        <f t="shared" si="15"/>
        <v>1801.8</v>
      </c>
      <c r="U365" s="4">
        <v>239.66</v>
      </c>
      <c r="V365" t="str">
        <f t="shared" si="16"/>
        <v>Jun</v>
      </c>
      <c r="W365">
        <f t="shared" si="17"/>
        <v>0.13301143301143301</v>
      </c>
    </row>
    <row r="366" spans="1:23" x14ac:dyDescent="0.4">
      <c r="A366" s="4" t="s">
        <v>1395</v>
      </c>
      <c r="B366" s="4" t="s">
        <v>1396</v>
      </c>
      <c r="C366" s="11">
        <v>45234</v>
      </c>
      <c r="D366" s="4" t="s">
        <v>98</v>
      </c>
      <c r="E366" s="4" t="s">
        <v>24</v>
      </c>
      <c r="F366" s="4" t="s">
        <v>70</v>
      </c>
      <c r="G366" s="4" t="s">
        <v>99</v>
      </c>
      <c r="H366" s="4" t="s">
        <v>1397</v>
      </c>
      <c r="I366" s="4" t="s">
        <v>28</v>
      </c>
      <c r="J366" s="4" t="s">
        <v>62</v>
      </c>
      <c r="K366" s="4" t="s">
        <v>30</v>
      </c>
      <c r="L366" s="4" t="s">
        <v>163</v>
      </c>
      <c r="M366" s="4" t="s">
        <v>32</v>
      </c>
      <c r="N366" s="4" t="s">
        <v>54</v>
      </c>
      <c r="O366" s="4" t="s">
        <v>46</v>
      </c>
      <c r="P366" s="4" t="s">
        <v>88</v>
      </c>
      <c r="Q366" s="4">
        <v>1</v>
      </c>
      <c r="R366" s="4">
        <v>36768</v>
      </c>
      <c r="S366" s="5">
        <v>15</v>
      </c>
      <c r="T366" s="6">
        <f t="shared" si="15"/>
        <v>31252.799999999999</v>
      </c>
      <c r="U366" s="4">
        <v>-321.75</v>
      </c>
      <c r="V366" t="str">
        <f t="shared" si="16"/>
        <v>Nov</v>
      </c>
      <c r="W366">
        <f t="shared" si="17"/>
        <v>-1.029507756105053E-2</v>
      </c>
    </row>
    <row r="367" spans="1:23" x14ac:dyDescent="0.4">
      <c r="A367" s="4" t="s">
        <v>1398</v>
      </c>
      <c r="B367" s="4" t="s">
        <v>317</v>
      </c>
      <c r="C367" s="11">
        <v>44941</v>
      </c>
      <c r="D367" s="4" t="s">
        <v>23</v>
      </c>
      <c r="E367" s="4" t="s">
        <v>24</v>
      </c>
      <c r="F367" s="4" t="s">
        <v>25</v>
      </c>
      <c r="G367" s="4" t="s">
        <v>59</v>
      </c>
      <c r="H367" s="4" t="s">
        <v>1399</v>
      </c>
      <c r="I367" s="4" t="s">
        <v>61</v>
      </c>
      <c r="J367" s="4" t="s">
        <v>62</v>
      </c>
      <c r="K367" s="4" t="s">
        <v>101</v>
      </c>
      <c r="L367" s="4" t="s">
        <v>237</v>
      </c>
      <c r="M367" s="4" t="s">
        <v>73</v>
      </c>
      <c r="N367" s="4" t="s">
        <v>54</v>
      </c>
      <c r="O367" s="4" t="s">
        <v>82</v>
      </c>
      <c r="P367" s="4" t="s">
        <v>35</v>
      </c>
      <c r="Q367" s="4">
        <v>10</v>
      </c>
      <c r="R367" s="4">
        <v>25786</v>
      </c>
      <c r="S367" s="5">
        <v>10</v>
      </c>
      <c r="T367" s="6">
        <f t="shared" si="15"/>
        <v>232074</v>
      </c>
      <c r="U367" s="4">
        <v>14613.04</v>
      </c>
      <c r="V367" t="str">
        <f t="shared" si="16"/>
        <v>Jan</v>
      </c>
      <c r="W367">
        <f t="shared" si="17"/>
        <v>6.2967157027499859E-2</v>
      </c>
    </row>
    <row r="368" spans="1:23" x14ac:dyDescent="0.4">
      <c r="A368" s="4" t="s">
        <v>1400</v>
      </c>
      <c r="B368" s="4" t="s">
        <v>1401</v>
      </c>
      <c r="C368" s="11">
        <v>44975</v>
      </c>
      <c r="D368" s="4" t="s">
        <v>98</v>
      </c>
      <c r="E368" s="4" t="s">
        <v>24</v>
      </c>
      <c r="F368" s="4" t="s">
        <v>70</v>
      </c>
      <c r="G368" s="4" t="s">
        <v>99</v>
      </c>
      <c r="H368" s="4" t="s">
        <v>1402</v>
      </c>
      <c r="I368" s="4" t="s">
        <v>43</v>
      </c>
      <c r="J368" s="4" t="s">
        <v>29</v>
      </c>
      <c r="K368" s="4" t="s">
        <v>86</v>
      </c>
      <c r="L368" s="4" t="s">
        <v>343</v>
      </c>
      <c r="M368" s="4" t="s">
        <v>32</v>
      </c>
      <c r="N368" s="4" t="s">
        <v>33</v>
      </c>
      <c r="O368" s="4" t="s">
        <v>66</v>
      </c>
      <c r="P368" s="4" t="s">
        <v>47</v>
      </c>
      <c r="Q368" s="4">
        <v>8</v>
      </c>
      <c r="R368" s="4">
        <v>39182</v>
      </c>
      <c r="S368" s="5">
        <v>10</v>
      </c>
      <c r="T368" s="6">
        <f t="shared" si="15"/>
        <v>282110.40000000002</v>
      </c>
      <c r="U368" s="4">
        <v>39042.519999999997</v>
      </c>
      <c r="V368" t="str">
        <f t="shared" si="16"/>
        <v>Feb</v>
      </c>
      <c r="W368">
        <f t="shared" si="17"/>
        <v>0.13839447251856007</v>
      </c>
    </row>
    <row r="369" spans="1:23" x14ac:dyDescent="0.4">
      <c r="A369" s="4" t="s">
        <v>1403</v>
      </c>
      <c r="B369" s="4" t="s">
        <v>1404</v>
      </c>
      <c r="C369" s="11">
        <v>45133</v>
      </c>
      <c r="D369" s="4" t="s">
        <v>98</v>
      </c>
      <c r="E369" s="4" t="s">
        <v>24</v>
      </c>
      <c r="F369" s="4" t="s">
        <v>40</v>
      </c>
      <c r="G369" s="4" t="s">
        <v>41</v>
      </c>
      <c r="H369" s="4" t="s">
        <v>1405</v>
      </c>
      <c r="I369" s="4" t="s">
        <v>61</v>
      </c>
      <c r="J369" s="4" t="s">
        <v>79</v>
      </c>
      <c r="K369" s="4" t="s">
        <v>86</v>
      </c>
      <c r="L369" s="4" t="s">
        <v>605</v>
      </c>
      <c r="M369" s="4" t="s">
        <v>95</v>
      </c>
      <c r="N369" s="4" t="s">
        <v>33</v>
      </c>
      <c r="O369" s="4" t="s">
        <v>82</v>
      </c>
      <c r="P369" s="4" t="s">
        <v>35</v>
      </c>
      <c r="Q369" s="4">
        <v>6</v>
      </c>
      <c r="R369" s="4">
        <v>17611</v>
      </c>
      <c r="S369" s="5">
        <v>15</v>
      </c>
      <c r="T369" s="6">
        <f t="shared" si="15"/>
        <v>89816.1</v>
      </c>
      <c r="U369" s="4">
        <v>14228.15</v>
      </c>
      <c r="V369" t="str">
        <f t="shared" si="16"/>
        <v>Jul</v>
      </c>
      <c r="W369">
        <f t="shared" si="17"/>
        <v>0.1584142486703386</v>
      </c>
    </row>
    <row r="370" spans="1:23" x14ac:dyDescent="0.4">
      <c r="A370" s="4" t="s">
        <v>1406</v>
      </c>
      <c r="B370" s="4" t="s">
        <v>1407</v>
      </c>
      <c r="C370" s="11">
        <v>44830</v>
      </c>
      <c r="D370" s="4" t="s">
        <v>23</v>
      </c>
      <c r="E370" s="4" t="s">
        <v>24</v>
      </c>
      <c r="F370" s="4" t="s">
        <v>70</v>
      </c>
      <c r="G370" s="4" t="s">
        <v>26</v>
      </c>
      <c r="H370" s="4" t="s">
        <v>1408</v>
      </c>
      <c r="I370" s="4" t="s">
        <v>61</v>
      </c>
      <c r="J370" s="4" t="s">
        <v>79</v>
      </c>
      <c r="K370" s="4" t="s">
        <v>44</v>
      </c>
      <c r="L370" s="4" t="s">
        <v>675</v>
      </c>
      <c r="M370" s="4" t="s">
        <v>95</v>
      </c>
      <c r="N370" s="4" t="s">
        <v>33</v>
      </c>
      <c r="O370" s="4" t="s">
        <v>66</v>
      </c>
      <c r="P370" s="4" t="s">
        <v>35</v>
      </c>
      <c r="Q370" s="4">
        <v>1</v>
      </c>
      <c r="R370" s="4">
        <v>21836</v>
      </c>
      <c r="S370" s="5">
        <v>5</v>
      </c>
      <c r="T370" s="6">
        <f t="shared" si="15"/>
        <v>20744.2</v>
      </c>
      <c r="U370" s="4">
        <v>4322.5</v>
      </c>
      <c r="V370" t="str">
        <f t="shared" si="16"/>
        <v>Sep</v>
      </c>
      <c r="W370">
        <f t="shared" si="17"/>
        <v>0.20837149661110094</v>
      </c>
    </row>
    <row r="371" spans="1:23" x14ac:dyDescent="0.4">
      <c r="A371" s="4" t="s">
        <v>1409</v>
      </c>
      <c r="B371" s="4" t="s">
        <v>759</v>
      </c>
      <c r="C371" s="11">
        <v>44823</v>
      </c>
      <c r="D371" s="4" t="s">
        <v>124</v>
      </c>
      <c r="E371" s="4" t="s">
        <v>24</v>
      </c>
      <c r="F371" s="4" t="s">
        <v>58</v>
      </c>
      <c r="G371" s="4" t="s">
        <v>92</v>
      </c>
      <c r="H371" s="4" t="s">
        <v>1411</v>
      </c>
      <c r="I371" s="4" t="s">
        <v>43</v>
      </c>
      <c r="J371" s="4" t="s">
        <v>29</v>
      </c>
      <c r="K371" s="4" t="s">
        <v>44</v>
      </c>
      <c r="L371" s="4" t="s">
        <v>812</v>
      </c>
      <c r="M371" s="4" t="s">
        <v>95</v>
      </c>
      <c r="N371" s="4" t="s">
        <v>33</v>
      </c>
      <c r="O371" s="4" t="s">
        <v>66</v>
      </c>
      <c r="P371" s="4" t="s">
        <v>74</v>
      </c>
      <c r="Q371" s="4">
        <v>4</v>
      </c>
      <c r="R371" s="4">
        <v>31987</v>
      </c>
      <c r="S371" s="5">
        <v>20</v>
      </c>
      <c r="T371" s="6">
        <f t="shared" si="15"/>
        <v>102358.39999999999</v>
      </c>
      <c r="U371" s="4">
        <v>-15367</v>
      </c>
      <c r="V371" t="str">
        <f t="shared" si="16"/>
        <v>Sep</v>
      </c>
      <c r="W371">
        <f t="shared" si="17"/>
        <v>-0.15012934942320319</v>
      </c>
    </row>
    <row r="372" spans="1:23" x14ac:dyDescent="0.4">
      <c r="A372" s="4" t="s">
        <v>1412</v>
      </c>
      <c r="B372" s="4" t="s">
        <v>430</v>
      </c>
      <c r="C372" s="11">
        <v>44947</v>
      </c>
      <c r="D372" s="4" t="s">
        <v>23</v>
      </c>
      <c r="E372" s="4" t="s">
        <v>24</v>
      </c>
      <c r="F372" s="4" t="s">
        <v>25</v>
      </c>
      <c r="G372" s="4" t="s">
        <v>26</v>
      </c>
      <c r="H372" s="4" t="s">
        <v>1414</v>
      </c>
      <c r="I372" s="4" t="s">
        <v>28</v>
      </c>
      <c r="J372" s="4" t="s">
        <v>29</v>
      </c>
      <c r="K372" s="4" t="s">
        <v>153</v>
      </c>
      <c r="L372" s="4" t="s">
        <v>1415</v>
      </c>
      <c r="M372" s="4" t="s">
        <v>73</v>
      </c>
      <c r="N372" s="4" t="s">
        <v>54</v>
      </c>
      <c r="O372" s="4" t="s">
        <v>120</v>
      </c>
      <c r="P372" s="4" t="s">
        <v>88</v>
      </c>
      <c r="Q372" s="4">
        <v>6</v>
      </c>
      <c r="R372" s="4">
        <v>13449</v>
      </c>
      <c r="S372" s="5">
        <v>5</v>
      </c>
      <c r="T372" s="6">
        <f t="shared" si="15"/>
        <v>76659.3</v>
      </c>
      <c r="U372" s="4">
        <v>13967.29</v>
      </c>
      <c r="V372" t="str">
        <f t="shared" si="16"/>
        <v>Jan</v>
      </c>
      <c r="W372">
        <f t="shared" si="17"/>
        <v>0.182199550478546</v>
      </c>
    </row>
    <row r="373" spans="1:23" x14ac:dyDescent="0.4">
      <c r="A373" s="4" t="s">
        <v>1416</v>
      </c>
      <c r="B373" s="4" t="s">
        <v>1417</v>
      </c>
      <c r="C373" s="11">
        <v>44606</v>
      </c>
      <c r="D373" s="4" t="s">
        <v>23</v>
      </c>
      <c r="E373" s="4" t="s">
        <v>24</v>
      </c>
      <c r="F373" s="4" t="s">
        <v>70</v>
      </c>
      <c r="G373" s="4" t="s">
        <v>41</v>
      </c>
      <c r="H373" s="4" t="s">
        <v>1418</v>
      </c>
      <c r="I373" s="4" t="s">
        <v>28</v>
      </c>
      <c r="J373" s="4" t="s">
        <v>79</v>
      </c>
      <c r="K373" s="4" t="s">
        <v>101</v>
      </c>
      <c r="L373" s="4" t="s">
        <v>631</v>
      </c>
      <c r="M373" s="4" t="s">
        <v>73</v>
      </c>
      <c r="N373" s="4" t="s">
        <v>33</v>
      </c>
      <c r="O373" s="4" t="s">
        <v>66</v>
      </c>
      <c r="P373" s="4" t="s">
        <v>74</v>
      </c>
      <c r="Q373" s="4">
        <v>10</v>
      </c>
      <c r="R373" s="4">
        <v>23095</v>
      </c>
      <c r="S373" s="5">
        <v>5</v>
      </c>
      <c r="T373" s="6">
        <f t="shared" si="15"/>
        <v>219402.5</v>
      </c>
      <c r="U373" s="4">
        <v>55000.639999999999</v>
      </c>
      <c r="V373" t="str">
        <f t="shared" si="16"/>
        <v>Feb</v>
      </c>
      <c r="W373">
        <f t="shared" si="17"/>
        <v>0.25068374334841215</v>
      </c>
    </row>
    <row r="374" spans="1:23" x14ac:dyDescent="0.4">
      <c r="A374" s="4" t="s">
        <v>1419</v>
      </c>
      <c r="B374" s="4" t="s">
        <v>1072</v>
      </c>
      <c r="C374" s="11">
        <v>45370</v>
      </c>
      <c r="D374" s="4" t="s">
        <v>39</v>
      </c>
      <c r="E374" s="4" t="s">
        <v>24</v>
      </c>
      <c r="F374" s="4" t="s">
        <v>70</v>
      </c>
      <c r="G374" s="4" t="s">
        <v>92</v>
      </c>
      <c r="H374" s="4" t="s">
        <v>1420</v>
      </c>
      <c r="I374" s="4" t="s">
        <v>61</v>
      </c>
      <c r="J374" s="4" t="s">
        <v>62</v>
      </c>
      <c r="K374" s="4" t="s">
        <v>30</v>
      </c>
      <c r="L374" s="4" t="s">
        <v>597</v>
      </c>
      <c r="M374" s="4" t="s">
        <v>95</v>
      </c>
      <c r="N374" s="4" t="s">
        <v>54</v>
      </c>
      <c r="O374" s="4" t="s">
        <v>120</v>
      </c>
      <c r="P374" s="4" t="s">
        <v>88</v>
      </c>
      <c r="Q374" s="4">
        <v>7</v>
      </c>
      <c r="R374" s="4">
        <v>14688</v>
      </c>
      <c r="S374" s="5">
        <v>15</v>
      </c>
      <c r="T374" s="6">
        <f t="shared" si="15"/>
        <v>87393.600000000006</v>
      </c>
      <c r="U374" s="4">
        <v>3533.46</v>
      </c>
      <c r="V374" t="str">
        <f t="shared" si="16"/>
        <v>Mar</v>
      </c>
      <c r="W374">
        <f t="shared" si="17"/>
        <v>4.0431564782775854E-2</v>
      </c>
    </row>
    <row r="375" spans="1:23" x14ac:dyDescent="0.4">
      <c r="A375" s="4" t="s">
        <v>1421</v>
      </c>
      <c r="B375" s="4" t="s">
        <v>435</v>
      </c>
      <c r="C375" s="11">
        <v>45526</v>
      </c>
      <c r="D375" s="4" t="s">
        <v>124</v>
      </c>
      <c r="E375" s="4" t="s">
        <v>24</v>
      </c>
      <c r="F375" s="4" t="s">
        <v>58</v>
      </c>
      <c r="G375" s="4" t="s">
        <v>92</v>
      </c>
      <c r="H375" s="4" t="s">
        <v>1423</v>
      </c>
      <c r="I375" s="4" t="s">
        <v>28</v>
      </c>
      <c r="J375" s="4" t="s">
        <v>79</v>
      </c>
      <c r="K375" s="4" t="s">
        <v>63</v>
      </c>
      <c r="L375" s="4" t="s">
        <v>181</v>
      </c>
      <c r="M375" s="4" t="s">
        <v>65</v>
      </c>
      <c r="N375" s="4" t="s">
        <v>54</v>
      </c>
      <c r="O375" s="4" t="s">
        <v>120</v>
      </c>
      <c r="P375" s="4" t="s">
        <v>35</v>
      </c>
      <c r="Q375" s="4">
        <v>3</v>
      </c>
      <c r="R375" s="4">
        <v>26008</v>
      </c>
      <c r="S375" s="5">
        <v>20</v>
      </c>
      <c r="T375" s="6">
        <f t="shared" si="15"/>
        <v>62419.199999999997</v>
      </c>
      <c r="U375" s="4">
        <v>-279.92</v>
      </c>
      <c r="V375" t="str">
        <f t="shared" si="16"/>
        <v>Aug</v>
      </c>
      <c r="W375">
        <f t="shared" si="17"/>
        <v>-4.4845175843330259E-3</v>
      </c>
    </row>
    <row r="376" spans="1:23" x14ac:dyDescent="0.4">
      <c r="A376" s="4" t="s">
        <v>1424</v>
      </c>
      <c r="B376" s="4" t="s">
        <v>1193</v>
      </c>
      <c r="C376" s="11">
        <v>44623</v>
      </c>
      <c r="D376" s="4" t="s">
        <v>39</v>
      </c>
      <c r="E376" s="4" t="s">
        <v>24</v>
      </c>
      <c r="F376" s="4" t="s">
        <v>25</v>
      </c>
      <c r="G376" s="4" t="s">
        <v>99</v>
      </c>
      <c r="H376" s="4" t="s">
        <v>1425</v>
      </c>
      <c r="I376" s="4" t="s">
        <v>28</v>
      </c>
      <c r="J376" s="4" t="s">
        <v>79</v>
      </c>
      <c r="K376" s="4" t="s">
        <v>44</v>
      </c>
      <c r="L376" s="4" t="s">
        <v>159</v>
      </c>
      <c r="M376" s="4" t="s">
        <v>32</v>
      </c>
      <c r="N376" s="4" t="s">
        <v>54</v>
      </c>
      <c r="O376" s="4" t="s">
        <v>34</v>
      </c>
      <c r="P376" s="4" t="s">
        <v>74</v>
      </c>
      <c r="Q376" s="4">
        <v>2</v>
      </c>
      <c r="R376" s="4">
        <v>26784</v>
      </c>
      <c r="S376" s="5">
        <v>5</v>
      </c>
      <c r="T376" s="6">
        <f t="shared" si="15"/>
        <v>50889.599999999999</v>
      </c>
      <c r="U376" s="4">
        <v>9845.6200000000008</v>
      </c>
      <c r="V376" t="str">
        <f t="shared" si="16"/>
        <v>Feb</v>
      </c>
      <c r="W376">
        <f t="shared" si="17"/>
        <v>0.19347017858265739</v>
      </c>
    </row>
    <row r="377" spans="1:23" x14ac:dyDescent="0.4">
      <c r="A377" s="4" t="s">
        <v>1426</v>
      </c>
      <c r="B377" s="4" t="s">
        <v>1216</v>
      </c>
      <c r="C377" s="11">
        <v>45057</v>
      </c>
      <c r="D377" s="4" t="s">
        <v>98</v>
      </c>
      <c r="E377" s="4" t="s">
        <v>24</v>
      </c>
      <c r="F377" s="4" t="s">
        <v>70</v>
      </c>
      <c r="G377" s="4" t="s">
        <v>26</v>
      </c>
      <c r="H377" s="4" t="s">
        <v>1428</v>
      </c>
      <c r="I377" s="4" t="s">
        <v>43</v>
      </c>
      <c r="J377" s="4" t="s">
        <v>79</v>
      </c>
      <c r="K377" s="4" t="s">
        <v>30</v>
      </c>
      <c r="L377" s="4" t="s">
        <v>976</v>
      </c>
      <c r="M377" s="4" t="s">
        <v>81</v>
      </c>
      <c r="N377" s="4" t="s">
        <v>33</v>
      </c>
      <c r="O377" s="4" t="s">
        <v>46</v>
      </c>
      <c r="P377" s="4" t="s">
        <v>35</v>
      </c>
      <c r="Q377" s="4">
        <v>6</v>
      </c>
      <c r="R377" s="4">
        <v>46325</v>
      </c>
      <c r="S377" s="5">
        <v>15</v>
      </c>
      <c r="T377" s="6">
        <f t="shared" si="15"/>
        <v>236257.5</v>
      </c>
      <c r="U377" s="4">
        <v>-9844.24</v>
      </c>
      <c r="V377" t="str">
        <f t="shared" si="16"/>
        <v>May</v>
      </c>
      <c r="W377">
        <f t="shared" si="17"/>
        <v>-4.1667417965567229E-2</v>
      </c>
    </row>
    <row r="378" spans="1:23" x14ac:dyDescent="0.4">
      <c r="A378" s="4" t="s">
        <v>1429</v>
      </c>
      <c r="B378" s="4" t="s">
        <v>1430</v>
      </c>
      <c r="C378" s="11">
        <v>45550</v>
      </c>
      <c r="D378" s="4" t="s">
        <v>124</v>
      </c>
      <c r="E378" s="4" t="s">
        <v>24</v>
      </c>
      <c r="F378" s="4" t="s">
        <v>70</v>
      </c>
      <c r="G378" s="4" t="s">
        <v>92</v>
      </c>
      <c r="H378" s="4" t="s">
        <v>1432</v>
      </c>
      <c r="I378" s="4" t="s">
        <v>28</v>
      </c>
      <c r="J378" s="4" t="s">
        <v>29</v>
      </c>
      <c r="K378" s="4" t="s">
        <v>153</v>
      </c>
      <c r="L378" s="4" t="s">
        <v>1415</v>
      </c>
      <c r="M378" s="4" t="s">
        <v>53</v>
      </c>
      <c r="N378" s="4" t="s">
        <v>33</v>
      </c>
      <c r="O378" s="4" t="s">
        <v>46</v>
      </c>
      <c r="P378" s="4" t="s">
        <v>47</v>
      </c>
      <c r="Q378" s="4">
        <v>5</v>
      </c>
      <c r="R378" s="4">
        <v>34684</v>
      </c>
      <c r="S378" s="5">
        <v>20</v>
      </c>
      <c r="T378" s="6">
        <f t="shared" si="15"/>
        <v>138736</v>
      </c>
      <c r="U378" s="4">
        <v>14180.66</v>
      </c>
      <c r="V378" t="str">
        <f t="shared" si="16"/>
        <v>Sep</v>
      </c>
      <c r="W378">
        <f t="shared" si="17"/>
        <v>0.10221326836581709</v>
      </c>
    </row>
    <row r="379" spans="1:23" x14ac:dyDescent="0.4">
      <c r="A379" s="4" t="s">
        <v>1433</v>
      </c>
      <c r="B379" s="4" t="s">
        <v>1434</v>
      </c>
      <c r="C379" s="11">
        <v>45483</v>
      </c>
      <c r="D379" s="4" t="s">
        <v>23</v>
      </c>
      <c r="E379" s="4" t="s">
        <v>24</v>
      </c>
      <c r="F379" s="4" t="s">
        <v>40</v>
      </c>
      <c r="G379" s="4" t="s">
        <v>26</v>
      </c>
      <c r="H379" s="4" t="s">
        <v>1436</v>
      </c>
      <c r="I379" s="4" t="s">
        <v>61</v>
      </c>
      <c r="J379" s="4" t="s">
        <v>62</v>
      </c>
      <c r="K379" s="4" t="s">
        <v>63</v>
      </c>
      <c r="L379" s="4" t="s">
        <v>808</v>
      </c>
      <c r="M379" s="4" t="s">
        <v>53</v>
      </c>
      <c r="N379" s="4" t="s">
        <v>33</v>
      </c>
      <c r="O379" s="4" t="s">
        <v>66</v>
      </c>
      <c r="P379" s="4" t="s">
        <v>35</v>
      </c>
      <c r="Q379" s="4">
        <v>9</v>
      </c>
      <c r="R379" s="4">
        <v>25332</v>
      </c>
      <c r="S379" s="5">
        <v>10</v>
      </c>
      <c r="T379" s="6">
        <f t="shared" si="15"/>
        <v>205189.2</v>
      </c>
      <c r="U379" s="4">
        <v>30255.71</v>
      </c>
      <c r="V379" t="str">
        <f t="shared" si="16"/>
        <v>Jul</v>
      </c>
      <c r="W379">
        <f t="shared" si="17"/>
        <v>0.14745274117741089</v>
      </c>
    </row>
    <row r="380" spans="1:23" x14ac:dyDescent="0.4">
      <c r="A380" s="4" t="s">
        <v>1437</v>
      </c>
      <c r="B380" s="4" t="s">
        <v>1438</v>
      </c>
      <c r="C380" s="11">
        <v>45550</v>
      </c>
      <c r="D380" s="4" t="s">
        <v>39</v>
      </c>
      <c r="E380" s="4" t="s">
        <v>24</v>
      </c>
      <c r="F380" s="4" t="s">
        <v>40</v>
      </c>
      <c r="G380" s="4" t="s">
        <v>59</v>
      </c>
      <c r="H380" s="4" t="s">
        <v>1439</v>
      </c>
      <c r="I380" s="4" t="s">
        <v>28</v>
      </c>
      <c r="J380" s="4" t="s">
        <v>79</v>
      </c>
      <c r="K380" s="4" t="s">
        <v>44</v>
      </c>
      <c r="L380" s="4" t="s">
        <v>605</v>
      </c>
      <c r="M380" s="4" t="s">
        <v>65</v>
      </c>
      <c r="N380" s="4" t="s">
        <v>54</v>
      </c>
      <c r="O380" s="4" t="s">
        <v>120</v>
      </c>
      <c r="P380" s="4" t="s">
        <v>35</v>
      </c>
      <c r="Q380" s="4">
        <v>1</v>
      </c>
      <c r="R380" s="4">
        <v>11902</v>
      </c>
      <c r="S380" s="5">
        <v>15</v>
      </c>
      <c r="T380" s="6">
        <f t="shared" si="15"/>
        <v>10116.700000000001</v>
      </c>
      <c r="U380" s="4">
        <v>1542.62</v>
      </c>
      <c r="V380" t="str">
        <f t="shared" si="16"/>
        <v>Sep</v>
      </c>
      <c r="W380">
        <f t="shared" si="17"/>
        <v>0.15248252888787844</v>
      </c>
    </row>
    <row r="381" spans="1:23" x14ac:dyDescent="0.4">
      <c r="A381" s="4" t="s">
        <v>1440</v>
      </c>
      <c r="B381" s="4" t="s">
        <v>1441</v>
      </c>
      <c r="C381" s="11">
        <v>45101</v>
      </c>
      <c r="D381" s="4" t="s">
        <v>23</v>
      </c>
      <c r="E381" s="4" t="s">
        <v>24</v>
      </c>
      <c r="F381" s="4" t="s">
        <v>26</v>
      </c>
      <c r="G381" s="4" t="s">
        <v>59</v>
      </c>
      <c r="H381" s="4" t="s">
        <v>926</v>
      </c>
      <c r="I381" s="4" t="s">
        <v>43</v>
      </c>
      <c r="J381" s="4" t="s">
        <v>62</v>
      </c>
      <c r="K381" s="4" t="s">
        <v>86</v>
      </c>
      <c r="L381" s="4" t="s">
        <v>218</v>
      </c>
      <c r="M381" s="4" t="s">
        <v>73</v>
      </c>
      <c r="N381" s="4" t="s">
        <v>54</v>
      </c>
      <c r="O381" s="4" t="s">
        <v>34</v>
      </c>
      <c r="P381" s="4" t="s">
        <v>88</v>
      </c>
      <c r="Q381" s="4">
        <v>6</v>
      </c>
      <c r="R381" s="4">
        <v>3406</v>
      </c>
      <c r="S381" s="5">
        <v>20</v>
      </c>
      <c r="T381" s="6">
        <f t="shared" si="15"/>
        <v>16348.8</v>
      </c>
      <c r="U381" s="4">
        <v>-625.97</v>
      </c>
      <c r="V381" t="str">
        <f t="shared" si="16"/>
        <v>Jun</v>
      </c>
      <c r="W381">
        <f t="shared" si="17"/>
        <v>-3.8288437071834019E-2</v>
      </c>
    </row>
    <row r="382" spans="1:23" x14ac:dyDescent="0.4">
      <c r="A382" s="4" t="s">
        <v>1443</v>
      </c>
      <c r="B382" s="4" t="s">
        <v>439</v>
      </c>
      <c r="C382" s="11">
        <v>44752</v>
      </c>
      <c r="D382" s="4" t="s">
        <v>98</v>
      </c>
      <c r="E382" s="4" t="s">
        <v>24</v>
      </c>
      <c r="F382" s="4" t="s">
        <v>26</v>
      </c>
      <c r="G382" s="4" t="s">
        <v>59</v>
      </c>
      <c r="H382" s="4" t="s">
        <v>1444</v>
      </c>
      <c r="I382" s="4" t="s">
        <v>43</v>
      </c>
      <c r="J382" s="4" t="s">
        <v>29</v>
      </c>
      <c r="K382" s="4" t="s">
        <v>86</v>
      </c>
      <c r="L382" s="4" t="s">
        <v>251</v>
      </c>
      <c r="M382" s="4" t="s">
        <v>73</v>
      </c>
      <c r="N382" s="4" t="s">
        <v>33</v>
      </c>
      <c r="O382" s="4" t="s">
        <v>66</v>
      </c>
      <c r="P382" s="4" t="s">
        <v>35</v>
      </c>
      <c r="Q382" s="4">
        <v>10</v>
      </c>
      <c r="R382" s="4">
        <v>3334</v>
      </c>
      <c r="S382" s="5">
        <v>15</v>
      </c>
      <c r="T382" s="6">
        <f t="shared" si="15"/>
        <v>28339</v>
      </c>
      <c r="U382" s="4">
        <v>1613.15</v>
      </c>
      <c r="V382" t="str">
        <f t="shared" si="16"/>
        <v>Jul</v>
      </c>
      <c r="W382">
        <f t="shared" si="17"/>
        <v>5.6923321218109321E-2</v>
      </c>
    </row>
    <row r="383" spans="1:23" x14ac:dyDescent="0.4">
      <c r="A383" s="4" t="s">
        <v>1445</v>
      </c>
      <c r="B383" s="4" t="s">
        <v>693</v>
      </c>
      <c r="C383" s="11">
        <v>44855</v>
      </c>
      <c r="D383" s="4" t="s">
        <v>39</v>
      </c>
      <c r="E383" s="4" t="s">
        <v>24</v>
      </c>
      <c r="F383" s="4" t="s">
        <v>25</v>
      </c>
      <c r="G383" s="4" t="s">
        <v>99</v>
      </c>
      <c r="H383" s="4" t="s">
        <v>1447</v>
      </c>
      <c r="I383" s="4" t="s">
        <v>61</v>
      </c>
      <c r="J383" s="4" t="s">
        <v>29</v>
      </c>
      <c r="K383" s="4" t="s">
        <v>153</v>
      </c>
      <c r="L383" s="4" t="s">
        <v>597</v>
      </c>
      <c r="M383" s="4" t="s">
        <v>65</v>
      </c>
      <c r="N383" s="4" t="s">
        <v>54</v>
      </c>
      <c r="O383" s="4" t="s">
        <v>66</v>
      </c>
      <c r="P383" s="4" t="s">
        <v>47</v>
      </c>
      <c r="Q383" s="4">
        <v>5</v>
      </c>
      <c r="R383" s="4">
        <v>18123</v>
      </c>
      <c r="S383" s="5">
        <v>20</v>
      </c>
      <c r="T383" s="6">
        <f t="shared" si="15"/>
        <v>72492</v>
      </c>
      <c r="U383" s="4">
        <v>-7767.17</v>
      </c>
      <c r="V383" t="str">
        <f t="shared" si="16"/>
        <v>Oct</v>
      </c>
      <c r="W383">
        <f t="shared" si="17"/>
        <v>-0.10714520222921151</v>
      </c>
    </row>
    <row r="384" spans="1:23" x14ac:dyDescent="0.4">
      <c r="A384" s="4" t="s">
        <v>1448</v>
      </c>
      <c r="B384" s="4" t="s">
        <v>1449</v>
      </c>
      <c r="C384" s="11">
        <v>45511</v>
      </c>
      <c r="D384" s="4" t="s">
        <v>39</v>
      </c>
      <c r="E384" s="4" t="s">
        <v>24</v>
      </c>
      <c r="F384" s="4" t="s">
        <v>40</v>
      </c>
      <c r="G384" s="4" t="s">
        <v>59</v>
      </c>
      <c r="H384" s="4" t="s">
        <v>1450</v>
      </c>
      <c r="I384" s="4" t="s">
        <v>43</v>
      </c>
      <c r="J384" s="4" t="s">
        <v>29</v>
      </c>
      <c r="K384" s="4" t="s">
        <v>86</v>
      </c>
      <c r="L384" s="4" t="s">
        <v>671</v>
      </c>
      <c r="M384" s="4" t="s">
        <v>73</v>
      </c>
      <c r="N384" s="4" t="s">
        <v>33</v>
      </c>
      <c r="O384" s="4" t="s">
        <v>34</v>
      </c>
      <c r="P384" s="4" t="s">
        <v>35</v>
      </c>
      <c r="Q384" s="4">
        <v>7</v>
      </c>
      <c r="R384" s="4">
        <v>3020</v>
      </c>
      <c r="S384" s="5">
        <v>10</v>
      </c>
      <c r="T384" s="6">
        <f t="shared" si="15"/>
        <v>19026</v>
      </c>
      <c r="U384" s="4">
        <v>-985.59</v>
      </c>
      <c r="V384" t="str">
        <f t="shared" si="16"/>
        <v>Jul</v>
      </c>
      <c r="W384">
        <f t="shared" si="17"/>
        <v>-5.1802270577105014E-2</v>
      </c>
    </row>
    <row r="385" spans="1:23" x14ac:dyDescent="0.4">
      <c r="A385" s="4" t="s">
        <v>1451</v>
      </c>
      <c r="B385" s="4" t="s">
        <v>898</v>
      </c>
      <c r="C385" s="11">
        <v>44816</v>
      </c>
      <c r="D385" s="4" t="s">
        <v>124</v>
      </c>
      <c r="E385" s="4" t="s">
        <v>24</v>
      </c>
      <c r="F385" s="4" t="s">
        <v>26</v>
      </c>
      <c r="G385" s="4" t="s">
        <v>41</v>
      </c>
      <c r="H385" s="4" t="s">
        <v>1452</v>
      </c>
      <c r="I385" s="4" t="s">
        <v>61</v>
      </c>
      <c r="J385" s="4" t="s">
        <v>62</v>
      </c>
      <c r="K385" s="4" t="s">
        <v>86</v>
      </c>
      <c r="L385" s="4" t="s">
        <v>1453</v>
      </c>
      <c r="M385" s="4" t="s">
        <v>95</v>
      </c>
      <c r="N385" s="4" t="s">
        <v>33</v>
      </c>
      <c r="O385" s="4" t="s">
        <v>120</v>
      </c>
      <c r="P385" s="4" t="s">
        <v>74</v>
      </c>
      <c r="Q385" s="4">
        <v>4</v>
      </c>
      <c r="R385" s="4">
        <v>16536</v>
      </c>
      <c r="S385" s="5">
        <v>5</v>
      </c>
      <c r="T385" s="6">
        <f t="shared" si="15"/>
        <v>62836.800000000003</v>
      </c>
      <c r="U385" s="4">
        <v>9998.98</v>
      </c>
      <c r="V385" t="str">
        <f t="shared" si="16"/>
        <v>Sep</v>
      </c>
      <c r="W385">
        <f t="shared" si="17"/>
        <v>0.15912618083670713</v>
      </c>
    </row>
    <row r="386" spans="1:23" x14ac:dyDescent="0.4">
      <c r="A386" s="4" t="s">
        <v>1454</v>
      </c>
      <c r="B386" s="4" t="s">
        <v>1455</v>
      </c>
      <c r="C386" s="11">
        <v>45263</v>
      </c>
      <c r="D386" s="4" t="s">
        <v>39</v>
      </c>
      <c r="E386" s="4" t="s">
        <v>24</v>
      </c>
      <c r="F386" s="4" t="s">
        <v>58</v>
      </c>
      <c r="G386" s="4" t="s">
        <v>99</v>
      </c>
      <c r="H386" s="4" t="s">
        <v>1456</v>
      </c>
      <c r="I386" s="4" t="s">
        <v>43</v>
      </c>
      <c r="J386" s="4" t="s">
        <v>79</v>
      </c>
      <c r="K386" s="4" t="s">
        <v>153</v>
      </c>
      <c r="L386" s="4" t="s">
        <v>1457</v>
      </c>
      <c r="M386" s="4" t="s">
        <v>81</v>
      </c>
      <c r="N386" s="4" t="s">
        <v>33</v>
      </c>
      <c r="O386" s="4" t="s">
        <v>46</v>
      </c>
      <c r="P386" s="4" t="s">
        <v>35</v>
      </c>
      <c r="Q386" s="4">
        <v>7</v>
      </c>
      <c r="R386" s="4">
        <v>1210</v>
      </c>
      <c r="S386" s="5">
        <v>15</v>
      </c>
      <c r="T386" s="6">
        <f t="shared" si="15"/>
        <v>7199.5</v>
      </c>
      <c r="U386" s="4">
        <v>-205.58</v>
      </c>
      <c r="V386" t="str">
        <f t="shared" si="16"/>
        <v>Nov</v>
      </c>
      <c r="W386">
        <f t="shared" si="17"/>
        <v>-2.855476074727412E-2</v>
      </c>
    </row>
    <row r="387" spans="1:23" x14ac:dyDescent="0.4">
      <c r="A387" s="4" t="s">
        <v>1458</v>
      </c>
      <c r="B387" s="4" t="s">
        <v>1459</v>
      </c>
      <c r="C387" s="11">
        <v>45108</v>
      </c>
      <c r="D387" s="4" t="s">
        <v>39</v>
      </c>
      <c r="E387" s="4" t="s">
        <v>24</v>
      </c>
      <c r="F387" s="4" t="s">
        <v>26</v>
      </c>
      <c r="G387" s="4" t="s">
        <v>59</v>
      </c>
      <c r="H387" s="4" t="s">
        <v>1460</v>
      </c>
      <c r="I387" s="4" t="s">
        <v>61</v>
      </c>
      <c r="J387" s="4" t="s">
        <v>29</v>
      </c>
      <c r="K387" s="4" t="s">
        <v>44</v>
      </c>
      <c r="L387" s="4" t="s">
        <v>627</v>
      </c>
      <c r="M387" s="4" t="s">
        <v>81</v>
      </c>
      <c r="N387" s="4" t="s">
        <v>33</v>
      </c>
      <c r="O387" s="4" t="s">
        <v>120</v>
      </c>
      <c r="P387" s="4" t="s">
        <v>35</v>
      </c>
      <c r="Q387" s="4">
        <v>8</v>
      </c>
      <c r="R387" s="4">
        <v>34958</v>
      </c>
      <c r="S387" s="5">
        <v>5</v>
      </c>
      <c r="T387" s="6">
        <f t="shared" ref="T387:T450" si="18">Q387*R387*(100-S387)/100</f>
        <v>265680.8</v>
      </c>
      <c r="U387" s="4">
        <v>46970.25</v>
      </c>
      <c r="V387" t="str">
        <f t="shared" ref="V387:V450" si="19">TEXT(B387,"MMM")</f>
        <v>Jun</v>
      </c>
      <c r="W387">
        <f t="shared" ref="W387:W450" si="20">U387/T387</f>
        <v>0.176792037663241</v>
      </c>
    </row>
    <row r="388" spans="1:23" x14ac:dyDescent="0.4">
      <c r="A388" s="4" t="s">
        <v>1461</v>
      </c>
      <c r="B388" s="4" t="s">
        <v>1108</v>
      </c>
      <c r="C388" s="11">
        <v>44582</v>
      </c>
      <c r="D388" s="4" t="s">
        <v>39</v>
      </c>
      <c r="E388" s="4" t="s">
        <v>24</v>
      </c>
      <c r="F388" s="4" t="s">
        <v>70</v>
      </c>
      <c r="G388" s="4" t="s">
        <v>59</v>
      </c>
      <c r="H388" s="4" t="s">
        <v>1462</v>
      </c>
      <c r="I388" s="4" t="s">
        <v>61</v>
      </c>
      <c r="J388" s="4" t="s">
        <v>29</v>
      </c>
      <c r="K388" s="4" t="s">
        <v>86</v>
      </c>
      <c r="L388" s="4" t="s">
        <v>636</v>
      </c>
      <c r="M388" s="4" t="s">
        <v>53</v>
      </c>
      <c r="N388" s="4" t="s">
        <v>33</v>
      </c>
      <c r="O388" s="4" t="s">
        <v>82</v>
      </c>
      <c r="P388" s="4" t="s">
        <v>74</v>
      </c>
      <c r="Q388" s="4">
        <v>3</v>
      </c>
      <c r="R388" s="4">
        <v>32855</v>
      </c>
      <c r="S388" s="5">
        <v>20</v>
      </c>
      <c r="T388" s="6">
        <f t="shared" si="18"/>
        <v>78852</v>
      </c>
      <c r="U388" s="4">
        <v>-5424.75</v>
      </c>
      <c r="V388" t="str">
        <f t="shared" si="19"/>
        <v>Jan</v>
      </c>
      <c r="W388">
        <f t="shared" si="20"/>
        <v>-6.8796606300410901E-2</v>
      </c>
    </row>
    <row r="389" spans="1:23" x14ac:dyDescent="0.4">
      <c r="A389" s="4" t="s">
        <v>1463</v>
      </c>
      <c r="B389" s="4" t="s">
        <v>1464</v>
      </c>
      <c r="C389" s="11">
        <v>45198</v>
      </c>
      <c r="D389" s="4" t="s">
        <v>39</v>
      </c>
      <c r="E389" s="4" t="s">
        <v>24</v>
      </c>
      <c r="F389" s="4" t="s">
        <v>40</v>
      </c>
      <c r="G389" s="4" t="s">
        <v>41</v>
      </c>
      <c r="H389" s="4" t="s">
        <v>1465</v>
      </c>
      <c r="I389" s="4" t="s">
        <v>61</v>
      </c>
      <c r="J389" s="4" t="s">
        <v>29</v>
      </c>
      <c r="K389" s="4" t="s">
        <v>44</v>
      </c>
      <c r="L389" s="4" t="s">
        <v>1141</v>
      </c>
      <c r="M389" s="4" t="s">
        <v>81</v>
      </c>
      <c r="N389" s="4" t="s">
        <v>33</v>
      </c>
      <c r="O389" s="4" t="s">
        <v>82</v>
      </c>
      <c r="P389" s="4" t="s">
        <v>88</v>
      </c>
      <c r="Q389" s="4">
        <v>7</v>
      </c>
      <c r="R389" s="4">
        <v>38505</v>
      </c>
      <c r="S389" s="5">
        <v>20</v>
      </c>
      <c r="T389" s="6">
        <f t="shared" si="18"/>
        <v>215628</v>
      </c>
      <c r="U389" s="4">
        <v>-29139.05</v>
      </c>
      <c r="V389" t="str">
        <f t="shared" si="19"/>
        <v>Sep</v>
      </c>
      <c r="W389">
        <f t="shared" si="20"/>
        <v>-0.13513574303893744</v>
      </c>
    </row>
    <row r="390" spans="1:23" x14ac:dyDescent="0.4">
      <c r="A390" s="4" t="s">
        <v>1466</v>
      </c>
      <c r="B390" s="4" t="s">
        <v>1193</v>
      </c>
      <c r="C390" s="11">
        <v>44620</v>
      </c>
      <c r="D390" s="4" t="s">
        <v>124</v>
      </c>
      <c r="E390" s="4" t="s">
        <v>24</v>
      </c>
      <c r="F390" s="4" t="s">
        <v>26</v>
      </c>
      <c r="G390" s="4" t="s">
        <v>92</v>
      </c>
      <c r="H390" s="4" t="s">
        <v>1468</v>
      </c>
      <c r="I390" s="4" t="s">
        <v>28</v>
      </c>
      <c r="J390" s="4" t="s">
        <v>79</v>
      </c>
      <c r="K390" s="4" t="s">
        <v>86</v>
      </c>
      <c r="L390" s="4" t="s">
        <v>329</v>
      </c>
      <c r="M390" s="4" t="s">
        <v>73</v>
      </c>
      <c r="N390" s="4" t="s">
        <v>54</v>
      </c>
      <c r="O390" s="4" t="s">
        <v>46</v>
      </c>
      <c r="P390" s="4" t="s">
        <v>88</v>
      </c>
      <c r="Q390" s="4">
        <v>7</v>
      </c>
      <c r="R390" s="4">
        <v>48188</v>
      </c>
      <c r="S390" s="5">
        <v>20</v>
      </c>
      <c r="T390" s="6">
        <f t="shared" si="18"/>
        <v>269852.79999999999</v>
      </c>
      <c r="U390" s="4">
        <v>995.06</v>
      </c>
      <c r="V390" t="str">
        <f t="shared" si="19"/>
        <v>Feb</v>
      </c>
      <c r="W390">
        <f t="shared" si="20"/>
        <v>3.6874177329269883E-3</v>
      </c>
    </row>
    <row r="391" spans="1:23" x14ac:dyDescent="0.4">
      <c r="A391" s="4" t="s">
        <v>1469</v>
      </c>
      <c r="B391" s="4" t="s">
        <v>566</v>
      </c>
      <c r="C391" s="11">
        <v>45036</v>
      </c>
      <c r="D391" s="4" t="s">
        <v>23</v>
      </c>
      <c r="E391" s="4" t="s">
        <v>24</v>
      </c>
      <c r="F391" s="4" t="s">
        <v>70</v>
      </c>
      <c r="G391" s="4" t="s">
        <v>59</v>
      </c>
      <c r="H391" s="4" t="s">
        <v>1470</v>
      </c>
      <c r="I391" s="4" t="s">
        <v>28</v>
      </c>
      <c r="J391" s="4" t="s">
        <v>79</v>
      </c>
      <c r="K391" s="4" t="s">
        <v>30</v>
      </c>
      <c r="L391" s="4" t="s">
        <v>956</v>
      </c>
      <c r="M391" s="4" t="s">
        <v>53</v>
      </c>
      <c r="N391" s="4" t="s">
        <v>33</v>
      </c>
      <c r="O391" s="4" t="s">
        <v>120</v>
      </c>
      <c r="P391" s="4" t="s">
        <v>47</v>
      </c>
      <c r="Q391" s="4">
        <v>1</v>
      </c>
      <c r="R391" s="4">
        <v>45800</v>
      </c>
      <c r="S391" s="5">
        <v>0</v>
      </c>
      <c r="T391" s="6">
        <f t="shared" si="18"/>
        <v>45800</v>
      </c>
      <c r="U391" s="4">
        <v>9670.18</v>
      </c>
      <c r="V391" t="str">
        <f t="shared" si="19"/>
        <v>Apr</v>
      </c>
      <c r="W391">
        <f t="shared" si="20"/>
        <v>0.21113930131004369</v>
      </c>
    </row>
    <row r="392" spans="1:23" x14ac:dyDescent="0.4">
      <c r="A392" s="4" t="s">
        <v>1471</v>
      </c>
      <c r="B392" s="4" t="s">
        <v>1472</v>
      </c>
      <c r="C392" s="11">
        <v>45249</v>
      </c>
      <c r="D392" s="4" t="s">
        <v>98</v>
      </c>
      <c r="E392" s="4" t="s">
        <v>24</v>
      </c>
      <c r="F392" s="4" t="s">
        <v>70</v>
      </c>
      <c r="G392" s="4" t="s">
        <v>26</v>
      </c>
      <c r="H392" s="4" t="s">
        <v>1474</v>
      </c>
      <c r="I392" s="4" t="s">
        <v>43</v>
      </c>
      <c r="J392" s="4" t="s">
        <v>79</v>
      </c>
      <c r="K392" s="4" t="s">
        <v>153</v>
      </c>
      <c r="L392" s="4" t="s">
        <v>223</v>
      </c>
      <c r="M392" s="4" t="s">
        <v>95</v>
      </c>
      <c r="N392" s="4" t="s">
        <v>33</v>
      </c>
      <c r="O392" s="4" t="s">
        <v>82</v>
      </c>
      <c r="P392" s="4" t="s">
        <v>47</v>
      </c>
      <c r="Q392" s="4">
        <v>4</v>
      </c>
      <c r="R392" s="4">
        <v>8692</v>
      </c>
      <c r="S392" s="5">
        <v>0</v>
      </c>
      <c r="T392" s="6">
        <f t="shared" si="18"/>
        <v>34768</v>
      </c>
      <c r="U392" s="4">
        <v>6970.71</v>
      </c>
      <c r="V392" t="str">
        <f t="shared" si="19"/>
        <v>Nov</v>
      </c>
      <c r="W392">
        <f t="shared" si="20"/>
        <v>0.20049211919005983</v>
      </c>
    </row>
    <row r="393" spans="1:23" x14ac:dyDescent="0.4">
      <c r="A393" s="4" t="s">
        <v>1475</v>
      </c>
      <c r="B393" s="4" t="s">
        <v>1476</v>
      </c>
      <c r="C393" s="11">
        <v>45226</v>
      </c>
      <c r="D393" s="4" t="s">
        <v>39</v>
      </c>
      <c r="E393" s="4" t="s">
        <v>24</v>
      </c>
      <c r="F393" s="4" t="s">
        <v>25</v>
      </c>
      <c r="G393" s="4" t="s">
        <v>26</v>
      </c>
      <c r="H393" s="4" t="s">
        <v>1477</v>
      </c>
      <c r="I393" s="4" t="s">
        <v>43</v>
      </c>
      <c r="J393" s="4" t="s">
        <v>79</v>
      </c>
      <c r="K393" s="4" t="s">
        <v>101</v>
      </c>
      <c r="L393" s="4" t="s">
        <v>339</v>
      </c>
      <c r="M393" s="4" t="s">
        <v>81</v>
      </c>
      <c r="N393" s="4" t="s">
        <v>33</v>
      </c>
      <c r="O393" s="4" t="s">
        <v>120</v>
      </c>
      <c r="P393" s="4" t="s">
        <v>74</v>
      </c>
      <c r="Q393" s="4">
        <v>10</v>
      </c>
      <c r="R393" s="4">
        <v>35801</v>
      </c>
      <c r="S393" s="5">
        <v>10</v>
      </c>
      <c r="T393" s="6">
        <f t="shared" si="18"/>
        <v>322209</v>
      </c>
      <c r="U393" s="4">
        <v>-4477.54</v>
      </c>
      <c r="V393" t="str">
        <f t="shared" si="19"/>
        <v>Oct</v>
      </c>
      <c r="W393">
        <f t="shared" si="20"/>
        <v>-1.389638402403409E-2</v>
      </c>
    </row>
    <row r="394" spans="1:23" x14ac:dyDescent="0.4">
      <c r="A394" s="4" t="s">
        <v>1478</v>
      </c>
      <c r="B394" s="4" t="s">
        <v>303</v>
      </c>
      <c r="C394" s="11">
        <v>45275</v>
      </c>
      <c r="D394" s="4" t="s">
        <v>98</v>
      </c>
      <c r="E394" s="4" t="s">
        <v>24</v>
      </c>
      <c r="F394" s="4" t="s">
        <v>70</v>
      </c>
      <c r="G394" s="4" t="s">
        <v>41</v>
      </c>
      <c r="H394" s="4" t="s">
        <v>1479</v>
      </c>
      <c r="I394" s="4" t="s">
        <v>43</v>
      </c>
      <c r="J394" s="4" t="s">
        <v>79</v>
      </c>
      <c r="K394" s="4" t="s">
        <v>63</v>
      </c>
      <c r="L394" s="4" t="s">
        <v>1226</v>
      </c>
      <c r="M394" s="4" t="s">
        <v>65</v>
      </c>
      <c r="N394" s="4" t="s">
        <v>54</v>
      </c>
      <c r="O394" s="4" t="s">
        <v>82</v>
      </c>
      <c r="P394" s="4" t="s">
        <v>74</v>
      </c>
      <c r="Q394" s="4">
        <v>3</v>
      </c>
      <c r="R394" s="4">
        <v>3974</v>
      </c>
      <c r="S394" s="5">
        <v>0</v>
      </c>
      <c r="T394" s="6">
        <f t="shared" si="18"/>
        <v>11922</v>
      </c>
      <c r="U394" s="4">
        <v>3498.04</v>
      </c>
      <c r="V394" t="str">
        <f t="shared" si="19"/>
        <v>Dec</v>
      </c>
      <c r="W394">
        <f t="shared" si="20"/>
        <v>0.29341050159369231</v>
      </c>
    </row>
    <row r="395" spans="1:23" x14ac:dyDescent="0.4">
      <c r="A395" s="4" t="s">
        <v>1480</v>
      </c>
      <c r="B395" s="4" t="s">
        <v>848</v>
      </c>
      <c r="C395" s="11">
        <v>45024</v>
      </c>
      <c r="D395" s="4" t="s">
        <v>39</v>
      </c>
      <c r="E395" s="4" t="s">
        <v>24</v>
      </c>
      <c r="F395" s="4" t="s">
        <v>25</v>
      </c>
      <c r="G395" s="4" t="s">
        <v>99</v>
      </c>
      <c r="H395" s="4" t="s">
        <v>1481</v>
      </c>
      <c r="I395" s="4" t="s">
        <v>43</v>
      </c>
      <c r="J395" s="4" t="s">
        <v>79</v>
      </c>
      <c r="K395" s="4" t="s">
        <v>101</v>
      </c>
      <c r="L395" s="4" t="s">
        <v>1482</v>
      </c>
      <c r="M395" s="4" t="s">
        <v>65</v>
      </c>
      <c r="N395" s="4" t="s">
        <v>33</v>
      </c>
      <c r="O395" s="4" t="s">
        <v>82</v>
      </c>
      <c r="P395" s="4" t="s">
        <v>74</v>
      </c>
      <c r="Q395" s="4">
        <v>9</v>
      </c>
      <c r="R395" s="4">
        <v>27287</v>
      </c>
      <c r="S395" s="5">
        <v>10</v>
      </c>
      <c r="T395" s="6">
        <f t="shared" si="18"/>
        <v>221024.7</v>
      </c>
      <c r="U395" s="4">
        <v>27018.3</v>
      </c>
      <c r="V395" t="str">
        <f t="shared" si="19"/>
        <v>Apr</v>
      </c>
      <c r="W395">
        <f t="shared" si="20"/>
        <v>0.12224108889187497</v>
      </c>
    </row>
    <row r="396" spans="1:23" x14ac:dyDescent="0.4">
      <c r="A396" s="4" t="s">
        <v>1483</v>
      </c>
      <c r="B396" s="4" t="s">
        <v>1484</v>
      </c>
      <c r="C396" s="11">
        <v>45137</v>
      </c>
      <c r="D396" s="4" t="s">
        <v>23</v>
      </c>
      <c r="E396" s="4" t="s">
        <v>24</v>
      </c>
      <c r="F396" s="4" t="s">
        <v>58</v>
      </c>
      <c r="G396" s="4" t="s">
        <v>59</v>
      </c>
      <c r="H396" s="4" t="s">
        <v>1485</v>
      </c>
      <c r="I396" s="4" t="s">
        <v>61</v>
      </c>
      <c r="J396" s="4" t="s">
        <v>29</v>
      </c>
      <c r="K396" s="4" t="s">
        <v>153</v>
      </c>
      <c r="L396" s="4" t="s">
        <v>1486</v>
      </c>
      <c r="M396" s="4" t="s">
        <v>73</v>
      </c>
      <c r="N396" s="4" t="s">
        <v>54</v>
      </c>
      <c r="O396" s="4" t="s">
        <v>120</v>
      </c>
      <c r="P396" s="4" t="s">
        <v>47</v>
      </c>
      <c r="Q396" s="4">
        <v>5</v>
      </c>
      <c r="R396" s="4">
        <v>744</v>
      </c>
      <c r="S396" s="5">
        <v>15</v>
      </c>
      <c r="T396" s="6">
        <f t="shared" si="18"/>
        <v>3162</v>
      </c>
      <c r="U396" s="4">
        <v>-176.44</v>
      </c>
      <c r="V396" t="str">
        <f t="shared" si="19"/>
        <v>Jul</v>
      </c>
      <c r="W396">
        <f t="shared" si="20"/>
        <v>-5.580012650221379E-2</v>
      </c>
    </row>
    <row r="397" spans="1:23" x14ac:dyDescent="0.4">
      <c r="A397" s="4" t="s">
        <v>1487</v>
      </c>
      <c r="B397" s="4" t="s">
        <v>644</v>
      </c>
      <c r="C397" s="11">
        <v>44999</v>
      </c>
      <c r="D397" s="4" t="s">
        <v>124</v>
      </c>
      <c r="E397" s="4" t="s">
        <v>24</v>
      </c>
      <c r="F397" s="4" t="s">
        <v>40</v>
      </c>
      <c r="G397" s="4" t="s">
        <v>59</v>
      </c>
      <c r="H397" s="4" t="s">
        <v>1488</v>
      </c>
      <c r="I397" s="4" t="s">
        <v>43</v>
      </c>
      <c r="J397" s="4" t="s">
        <v>79</v>
      </c>
      <c r="K397" s="4" t="s">
        <v>86</v>
      </c>
      <c r="L397" s="4" t="s">
        <v>1148</v>
      </c>
      <c r="M397" s="4" t="s">
        <v>95</v>
      </c>
      <c r="N397" s="4" t="s">
        <v>54</v>
      </c>
      <c r="O397" s="4" t="s">
        <v>34</v>
      </c>
      <c r="P397" s="4" t="s">
        <v>47</v>
      </c>
      <c r="Q397" s="4">
        <v>4</v>
      </c>
      <c r="R397" s="4">
        <v>30338</v>
      </c>
      <c r="S397" s="5">
        <v>20</v>
      </c>
      <c r="T397" s="6">
        <f t="shared" si="18"/>
        <v>97081.600000000006</v>
      </c>
      <c r="U397" s="4">
        <v>2313.63</v>
      </c>
      <c r="V397" t="str">
        <f t="shared" si="19"/>
        <v>Mar</v>
      </c>
      <c r="W397">
        <f t="shared" si="20"/>
        <v>2.3831807469180566E-2</v>
      </c>
    </row>
    <row r="398" spans="1:23" x14ac:dyDescent="0.4">
      <c r="A398" s="4" t="s">
        <v>1489</v>
      </c>
      <c r="B398" s="4" t="s">
        <v>1490</v>
      </c>
      <c r="C398" s="11">
        <v>44979</v>
      </c>
      <c r="D398" s="4" t="s">
        <v>23</v>
      </c>
      <c r="E398" s="4" t="s">
        <v>24</v>
      </c>
      <c r="F398" s="4" t="s">
        <v>25</v>
      </c>
      <c r="G398" s="4" t="s">
        <v>99</v>
      </c>
      <c r="H398" s="4" t="s">
        <v>1492</v>
      </c>
      <c r="I398" s="4" t="s">
        <v>43</v>
      </c>
      <c r="J398" s="4" t="s">
        <v>29</v>
      </c>
      <c r="K398" s="4" t="s">
        <v>30</v>
      </c>
      <c r="L398" s="4" t="s">
        <v>237</v>
      </c>
      <c r="M398" s="4" t="s">
        <v>73</v>
      </c>
      <c r="N398" s="4" t="s">
        <v>54</v>
      </c>
      <c r="O398" s="4" t="s">
        <v>82</v>
      </c>
      <c r="P398" s="4" t="s">
        <v>47</v>
      </c>
      <c r="Q398" s="4">
        <v>9</v>
      </c>
      <c r="R398" s="4">
        <v>23200</v>
      </c>
      <c r="S398" s="5">
        <v>20</v>
      </c>
      <c r="T398" s="6">
        <f t="shared" si="18"/>
        <v>167040</v>
      </c>
      <c r="U398" s="4">
        <v>3872.7</v>
      </c>
      <c r="V398" t="str">
        <f t="shared" si="19"/>
        <v>Feb</v>
      </c>
      <c r="W398">
        <f t="shared" si="20"/>
        <v>2.318426724137931E-2</v>
      </c>
    </row>
    <row r="399" spans="1:23" x14ac:dyDescent="0.4">
      <c r="A399" s="4" t="s">
        <v>1493</v>
      </c>
      <c r="B399" s="4" t="s">
        <v>855</v>
      </c>
      <c r="C399" s="11">
        <v>44580</v>
      </c>
      <c r="D399" s="4" t="s">
        <v>124</v>
      </c>
      <c r="E399" s="4" t="s">
        <v>24</v>
      </c>
      <c r="F399" s="4" t="s">
        <v>58</v>
      </c>
      <c r="G399" s="4" t="s">
        <v>92</v>
      </c>
      <c r="H399" s="4" t="s">
        <v>1494</v>
      </c>
      <c r="I399" s="4" t="s">
        <v>43</v>
      </c>
      <c r="J399" s="4" t="s">
        <v>29</v>
      </c>
      <c r="K399" s="4" t="s">
        <v>44</v>
      </c>
      <c r="L399" s="4" t="s">
        <v>574</v>
      </c>
      <c r="M399" s="4" t="s">
        <v>73</v>
      </c>
      <c r="N399" s="4" t="s">
        <v>33</v>
      </c>
      <c r="O399" s="4" t="s">
        <v>82</v>
      </c>
      <c r="P399" s="4" t="s">
        <v>35</v>
      </c>
      <c r="Q399" s="4">
        <v>10</v>
      </c>
      <c r="R399" s="4">
        <v>17220</v>
      </c>
      <c r="S399" s="5">
        <v>10</v>
      </c>
      <c r="T399" s="6">
        <f t="shared" si="18"/>
        <v>154980</v>
      </c>
      <c r="U399" s="4">
        <v>3905.79</v>
      </c>
      <c r="V399" t="str">
        <f t="shared" si="19"/>
        <v>Jan</v>
      </c>
      <c r="W399">
        <f t="shared" si="20"/>
        <v>2.5201897018970191E-2</v>
      </c>
    </row>
    <row r="400" spans="1:23" x14ac:dyDescent="0.4">
      <c r="A400" s="4" t="s">
        <v>1495</v>
      </c>
      <c r="B400" s="4" t="s">
        <v>151</v>
      </c>
      <c r="C400" s="11">
        <v>45193</v>
      </c>
      <c r="D400" s="4" t="s">
        <v>98</v>
      </c>
      <c r="E400" s="4" t="s">
        <v>24</v>
      </c>
      <c r="F400" s="4" t="s">
        <v>26</v>
      </c>
      <c r="G400" s="4" t="s">
        <v>26</v>
      </c>
      <c r="H400" s="4" t="s">
        <v>1496</v>
      </c>
      <c r="I400" s="4" t="s">
        <v>43</v>
      </c>
      <c r="J400" s="4" t="s">
        <v>62</v>
      </c>
      <c r="K400" s="4" t="s">
        <v>153</v>
      </c>
      <c r="L400" s="4" t="s">
        <v>704</v>
      </c>
      <c r="M400" s="4" t="s">
        <v>81</v>
      </c>
      <c r="N400" s="4" t="s">
        <v>54</v>
      </c>
      <c r="O400" s="4" t="s">
        <v>82</v>
      </c>
      <c r="P400" s="4" t="s">
        <v>88</v>
      </c>
      <c r="Q400" s="4">
        <v>5</v>
      </c>
      <c r="R400" s="4">
        <v>7131</v>
      </c>
      <c r="S400" s="5">
        <v>10</v>
      </c>
      <c r="T400" s="6">
        <f t="shared" si="18"/>
        <v>32089.5</v>
      </c>
      <c r="U400" s="4">
        <v>177.6</v>
      </c>
      <c r="V400" t="str">
        <f t="shared" si="19"/>
        <v>Sep</v>
      </c>
      <c r="W400">
        <f t="shared" si="20"/>
        <v>5.5345206375917357E-3</v>
      </c>
    </row>
    <row r="401" spans="1:23" x14ac:dyDescent="0.4">
      <c r="A401" s="4" t="s">
        <v>1497</v>
      </c>
      <c r="B401" s="4" t="s">
        <v>375</v>
      </c>
      <c r="C401" s="11">
        <v>44858</v>
      </c>
      <c r="D401" s="4" t="s">
        <v>98</v>
      </c>
      <c r="E401" s="4" t="s">
        <v>24</v>
      </c>
      <c r="F401" s="4" t="s">
        <v>70</v>
      </c>
      <c r="G401" s="4" t="s">
        <v>99</v>
      </c>
      <c r="H401" s="4" t="s">
        <v>1498</v>
      </c>
      <c r="I401" s="4" t="s">
        <v>43</v>
      </c>
      <c r="J401" s="4" t="s">
        <v>29</v>
      </c>
      <c r="K401" s="4" t="s">
        <v>101</v>
      </c>
      <c r="L401" s="4" t="s">
        <v>311</v>
      </c>
      <c r="M401" s="4" t="s">
        <v>95</v>
      </c>
      <c r="N401" s="4" t="s">
        <v>33</v>
      </c>
      <c r="O401" s="4" t="s">
        <v>82</v>
      </c>
      <c r="P401" s="4" t="s">
        <v>35</v>
      </c>
      <c r="Q401" s="4">
        <v>1</v>
      </c>
      <c r="R401" s="4">
        <v>1212</v>
      </c>
      <c r="S401" s="5">
        <v>15</v>
      </c>
      <c r="T401" s="6">
        <f t="shared" si="18"/>
        <v>1030.2</v>
      </c>
      <c r="U401" s="4">
        <v>152.72999999999999</v>
      </c>
      <c r="V401" t="str">
        <f t="shared" si="19"/>
        <v>Oct</v>
      </c>
      <c r="W401">
        <f t="shared" si="20"/>
        <v>0.14825276645311589</v>
      </c>
    </row>
    <row r="402" spans="1:23" x14ac:dyDescent="0.4">
      <c r="A402" s="4" t="s">
        <v>1499</v>
      </c>
      <c r="B402" s="4" t="s">
        <v>542</v>
      </c>
      <c r="C402" s="11">
        <v>45201</v>
      </c>
      <c r="D402" s="4" t="s">
        <v>98</v>
      </c>
      <c r="E402" s="4" t="s">
        <v>24</v>
      </c>
      <c r="F402" s="4" t="s">
        <v>26</v>
      </c>
      <c r="G402" s="4" t="s">
        <v>99</v>
      </c>
      <c r="H402" s="4" t="s">
        <v>1500</v>
      </c>
      <c r="I402" s="4" t="s">
        <v>43</v>
      </c>
      <c r="J402" s="4" t="s">
        <v>79</v>
      </c>
      <c r="K402" s="4" t="s">
        <v>63</v>
      </c>
      <c r="L402" s="4" t="s">
        <v>1457</v>
      </c>
      <c r="M402" s="4" t="s">
        <v>95</v>
      </c>
      <c r="N402" s="4" t="s">
        <v>33</v>
      </c>
      <c r="O402" s="4" t="s">
        <v>34</v>
      </c>
      <c r="P402" s="4" t="s">
        <v>47</v>
      </c>
      <c r="Q402" s="4">
        <v>10</v>
      </c>
      <c r="R402" s="4">
        <v>26555</v>
      </c>
      <c r="S402" s="5">
        <v>15</v>
      </c>
      <c r="T402" s="6">
        <f t="shared" si="18"/>
        <v>225717.5</v>
      </c>
      <c r="U402" s="4">
        <v>10196.459999999999</v>
      </c>
      <c r="V402" t="str">
        <f t="shared" si="19"/>
        <v>Sep</v>
      </c>
      <c r="W402">
        <f t="shared" si="20"/>
        <v>4.5173546579241747E-2</v>
      </c>
    </row>
    <row r="403" spans="1:23" x14ac:dyDescent="0.4">
      <c r="A403" s="4" t="s">
        <v>1501</v>
      </c>
      <c r="B403" s="4" t="s">
        <v>1285</v>
      </c>
      <c r="C403" s="11">
        <v>45325</v>
      </c>
      <c r="D403" s="4" t="s">
        <v>23</v>
      </c>
      <c r="E403" s="4" t="s">
        <v>24</v>
      </c>
      <c r="F403" s="4" t="s">
        <v>26</v>
      </c>
      <c r="G403" s="4" t="s">
        <v>99</v>
      </c>
      <c r="H403" s="4" t="s">
        <v>1502</v>
      </c>
      <c r="I403" s="4" t="s">
        <v>43</v>
      </c>
      <c r="J403" s="4" t="s">
        <v>29</v>
      </c>
      <c r="K403" s="4" t="s">
        <v>86</v>
      </c>
      <c r="L403" s="4" t="s">
        <v>94</v>
      </c>
      <c r="M403" s="4" t="s">
        <v>73</v>
      </c>
      <c r="N403" s="4" t="s">
        <v>54</v>
      </c>
      <c r="O403" s="4" t="s">
        <v>120</v>
      </c>
      <c r="P403" s="4" t="s">
        <v>88</v>
      </c>
      <c r="Q403" s="4">
        <v>8</v>
      </c>
      <c r="R403" s="4">
        <v>41393</v>
      </c>
      <c r="S403" s="5">
        <v>20</v>
      </c>
      <c r="T403" s="6">
        <f t="shared" si="18"/>
        <v>264915.20000000001</v>
      </c>
      <c r="U403" s="4">
        <v>-31916.6</v>
      </c>
      <c r="V403" t="str">
        <f t="shared" si="19"/>
        <v>Jan</v>
      </c>
      <c r="W403">
        <f t="shared" si="20"/>
        <v>-0.12047855313700383</v>
      </c>
    </row>
    <row r="404" spans="1:23" x14ac:dyDescent="0.4">
      <c r="A404" s="4" t="s">
        <v>1503</v>
      </c>
      <c r="B404" s="4" t="s">
        <v>174</v>
      </c>
      <c r="C404" s="11">
        <v>44827</v>
      </c>
      <c r="D404" s="4" t="s">
        <v>124</v>
      </c>
      <c r="E404" s="4" t="s">
        <v>24</v>
      </c>
      <c r="F404" s="4" t="s">
        <v>70</v>
      </c>
      <c r="G404" s="4" t="s">
        <v>26</v>
      </c>
      <c r="H404" s="4" t="s">
        <v>1504</v>
      </c>
      <c r="I404" s="4" t="s">
        <v>61</v>
      </c>
      <c r="J404" s="4" t="s">
        <v>29</v>
      </c>
      <c r="K404" s="4" t="s">
        <v>30</v>
      </c>
      <c r="L404" s="4" t="s">
        <v>232</v>
      </c>
      <c r="M404" s="4" t="s">
        <v>32</v>
      </c>
      <c r="N404" s="4" t="s">
        <v>54</v>
      </c>
      <c r="O404" s="4" t="s">
        <v>46</v>
      </c>
      <c r="P404" s="4" t="s">
        <v>88</v>
      </c>
      <c r="Q404" s="4">
        <v>4</v>
      </c>
      <c r="R404" s="4">
        <v>31385</v>
      </c>
      <c r="S404" s="5">
        <v>10</v>
      </c>
      <c r="T404" s="6">
        <f t="shared" si="18"/>
        <v>112986</v>
      </c>
      <c r="U404" s="4">
        <v>3173.18</v>
      </c>
      <c r="V404" t="str">
        <f t="shared" si="19"/>
        <v>Sep</v>
      </c>
      <c r="W404">
        <f t="shared" si="20"/>
        <v>2.8084718460694245E-2</v>
      </c>
    </row>
    <row r="405" spans="1:23" x14ac:dyDescent="0.4">
      <c r="A405" s="4" t="s">
        <v>1505</v>
      </c>
      <c r="B405" s="4" t="s">
        <v>1506</v>
      </c>
      <c r="C405" s="11">
        <v>45229</v>
      </c>
      <c r="D405" s="4" t="s">
        <v>39</v>
      </c>
      <c r="E405" s="4" t="s">
        <v>24</v>
      </c>
      <c r="F405" s="4" t="s">
        <v>25</v>
      </c>
      <c r="G405" s="4" t="s">
        <v>26</v>
      </c>
      <c r="H405" s="4" t="s">
        <v>1508</v>
      </c>
      <c r="I405" s="4" t="s">
        <v>43</v>
      </c>
      <c r="J405" s="4" t="s">
        <v>79</v>
      </c>
      <c r="K405" s="4" t="s">
        <v>101</v>
      </c>
      <c r="L405" s="4" t="s">
        <v>1509</v>
      </c>
      <c r="M405" s="4" t="s">
        <v>95</v>
      </c>
      <c r="N405" s="4" t="s">
        <v>33</v>
      </c>
      <c r="O405" s="4" t="s">
        <v>46</v>
      </c>
      <c r="P405" s="4" t="s">
        <v>47</v>
      </c>
      <c r="Q405" s="4">
        <v>9</v>
      </c>
      <c r="R405" s="4">
        <v>41757</v>
      </c>
      <c r="S405" s="5">
        <v>5</v>
      </c>
      <c r="T405" s="6">
        <f t="shared" si="18"/>
        <v>357022.35</v>
      </c>
      <c r="U405" s="4">
        <v>13218.62</v>
      </c>
      <c r="V405" t="str">
        <f t="shared" si="19"/>
        <v>Oct</v>
      </c>
      <c r="W405">
        <f t="shared" si="20"/>
        <v>3.702462885026666E-2</v>
      </c>
    </row>
    <row r="406" spans="1:23" x14ac:dyDescent="0.4">
      <c r="A406" s="4" t="s">
        <v>1510</v>
      </c>
      <c r="B406" s="4" t="s">
        <v>1413</v>
      </c>
      <c r="C406" s="11">
        <v>44955</v>
      </c>
      <c r="D406" s="4" t="s">
        <v>39</v>
      </c>
      <c r="E406" s="4" t="s">
        <v>24</v>
      </c>
      <c r="F406" s="4" t="s">
        <v>26</v>
      </c>
      <c r="G406" s="4" t="s">
        <v>41</v>
      </c>
      <c r="H406" s="4" t="s">
        <v>1511</v>
      </c>
      <c r="I406" s="4" t="s">
        <v>43</v>
      </c>
      <c r="J406" s="4" t="s">
        <v>29</v>
      </c>
      <c r="K406" s="4" t="s">
        <v>63</v>
      </c>
      <c r="L406" s="4" t="s">
        <v>131</v>
      </c>
      <c r="M406" s="4" t="s">
        <v>65</v>
      </c>
      <c r="N406" s="4" t="s">
        <v>54</v>
      </c>
      <c r="O406" s="4" t="s">
        <v>120</v>
      </c>
      <c r="P406" s="4" t="s">
        <v>47</v>
      </c>
      <c r="Q406" s="4">
        <v>8</v>
      </c>
      <c r="R406" s="4">
        <v>42306</v>
      </c>
      <c r="S406" s="5">
        <v>15</v>
      </c>
      <c r="T406" s="6">
        <f t="shared" si="18"/>
        <v>287680.8</v>
      </c>
      <c r="U406" s="4">
        <v>13968.97</v>
      </c>
      <c r="V406" t="str">
        <f t="shared" si="19"/>
        <v>Jan</v>
      </c>
      <c r="W406">
        <f t="shared" si="20"/>
        <v>4.8557185602932137E-2</v>
      </c>
    </row>
    <row r="407" spans="1:23" x14ac:dyDescent="0.4">
      <c r="A407" s="4" t="s">
        <v>1512</v>
      </c>
      <c r="B407" s="4" t="s">
        <v>1513</v>
      </c>
      <c r="C407" s="11">
        <v>44906</v>
      </c>
      <c r="D407" s="4" t="s">
        <v>23</v>
      </c>
      <c r="E407" s="4" t="s">
        <v>24</v>
      </c>
      <c r="F407" s="4" t="s">
        <v>26</v>
      </c>
      <c r="G407" s="4" t="s">
        <v>99</v>
      </c>
      <c r="H407" s="4" t="s">
        <v>1514</v>
      </c>
      <c r="I407" s="4" t="s">
        <v>61</v>
      </c>
      <c r="J407" s="4" t="s">
        <v>62</v>
      </c>
      <c r="K407" s="4" t="s">
        <v>86</v>
      </c>
      <c r="L407" s="4" t="s">
        <v>391</v>
      </c>
      <c r="M407" s="4" t="s">
        <v>73</v>
      </c>
      <c r="N407" s="4" t="s">
        <v>33</v>
      </c>
      <c r="O407" s="4" t="s">
        <v>66</v>
      </c>
      <c r="P407" s="4" t="s">
        <v>74</v>
      </c>
      <c r="Q407" s="4">
        <v>5</v>
      </c>
      <c r="R407" s="4">
        <v>41478</v>
      </c>
      <c r="S407" s="5">
        <v>0</v>
      </c>
      <c r="T407" s="6">
        <f t="shared" si="18"/>
        <v>207390</v>
      </c>
      <c r="U407" s="4">
        <v>16784.060000000001</v>
      </c>
      <c r="V407" t="str">
        <f t="shared" si="19"/>
        <v>Dec</v>
      </c>
      <c r="W407">
        <f t="shared" si="20"/>
        <v>8.092993876271759E-2</v>
      </c>
    </row>
    <row r="408" spans="1:23" x14ac:dyDescent="0.4">
      <c r="A408" s="4" t="s">
        <v>1515</v>
      </c>
      <c r="B408" s="4" t="s">
        <v>1139</v>
      </c>
      <c r="C408" s="11">
        <v>44921</v>
      </c>
      <c r="D408" s="4" t="s">
        <v>39</v>
      </c>
      <c r="E408" s="4" t="s">
        <v>24</v>
      </c>
      <c r="F408" s="4" t="s">
        <v>25</v>
      </c>
      <c r="G408" s="4" t="s">
        <v>26</v>
      </c>
      <c r="H408" s="4" t="s">
        <v>1517</v>
      </c>
      <c r="I408" s="4" t="s">
        <v>43</v>
      </c>
      <c r="J408" s="4" t="s">
        <v>79</v>
      </c>
      <c r="K408" s="4" t="s">
        <v>44</v>
      </c>
      <c r="L408" s="4" t="s">
        <v>1089</v>
      </c>
      <c r="M408" s="4" t="s">
        <v>81</v>
      </c>
      <c r="N408" s="4" t="s">
        <v>33</v>
      </c>
      <c r="O408" s="4" t="s">
        <v>46</v>
      </c>
      <c r="P408" s="4" t="s">
        <v>88</v>
      </c>
      <c r="Q408" s="4">
        <v>6</v>
      </c>
      <c r="R408" s="4">
        <v>19620</v>
      </c>
      <c r="S408" s="5">
        <v>20</v>
      </c>
      <c r="T408" s="6">
        <f t="shared" si="18"/>
        <v>94176</v>
      </c>
      <c r="U408" s="4">
        <v>818.64</v>
      </c>
      <c r="V408" t="str">
        <f t="shared" si="19"/>
        <v>Dec</v>
      </c>
      <c r="W408">
        <f t="shared" si="20"/>
        <v>8.6926605504587147E-3</v>
      </c>
    </row>
    <row r="409" spans="1:23" x14ac:dyDescent="0.4">
      <c r="A409" s="4" t="s">
        <v>1518</v>
      </c>
      <c r="B409" s="4" t="s">
        <v>1519</v>
      </c>
      <c r="C409" s="11">
        <v>45517</v>
      </c>
      <c r="D409" s="4" t="s">
        <v>98</v>
      </c>
      <c r="E409" s="4" t="s">
        <v>24</v>
      </c>
      <c r="F409" s="4" t="s">
        <v>26</v>
      </c>
      <c r="G409" s="4" t="s">
        <v>99</v>
      </c>
      <c r="H409" s="4" t="s">
        <v>1521</v>
      </c>
      <c r="I409" s="4" t="s">
        <v>28</v>
      </c>
      <c r="J409" s="4" t="s">
        <v>62</v>
      </c>
      <c r="K409" s="4" t="s">
        <v>63</v>
      </c>
      <c r="L409" s="4" t="s">
        <v>1009</v>
      </c>
      <c r="M409" s="4" t="s">
        <v>65</v>
      </c>
      <c r="N409" s="4" t="s">
        <v>33</v>
      </c>
      <c r="O409" s="4" t="s">
        <v>66</v>
      </c>
      <c r="P409" s="4" t="s">
        <v>74</v>
      </c>
      <c r="Q409" s="4">
        <v>4</v>
      </c>
      <c r="R409" s="4">
        <v>34764</v>
      </c>
      <c r="S409" s="5">
        <v>10</v>
      </c>
      <c r="T409" s="6">
        <f t="shared" si="18"/>
        <v>125150.39999999999</v>
      </c>
      <c r="U409" s="4">
        <v>7704.73</v>
      </c>
      <c r="V409" t="str">
        <f t="shared" si="19"/>
        <v>Aug</v>
      </c>
      <c r="W409">
        <f t="shared" si="20"/>
        <v>6.1563766476175862E-2</v>
      </c>
    </row>
    <row r="410" spans="1:23" x14ac:dyDescent="0.4">
      <c r="A410" s="4" t="s">
        <v>1522</v>
      </c>
      <c r="B410" s="4" t="s">
        <v>1523</v>
      </c>
      <c r="C410" s="11">
        <v>45442</v>
      </c>
      <c r="D410" s="4" t="s">
        <v>23</v>
      </c>
      <c r="E410" s="4" t="s">
        <v>24</v>
      </c>
      <c r="F410" s="4" t="s">
        <v>58</v>
      </c>
      <c r="G410" s="4" t="s">
        <v>26</v>
      </c>
      <c r="H410" s="4" t="s">
        <v>1525</v>
      </c>
      <c r="I410" s="4" t="s">
        <v>28</v>
      </c>
      <c r="J410" s="4" t="s">
        <v>29</v>
      </c>
      <c r="K410" s="4" t="s">
        <v>44</v>
      </c>
      <c r="L410" s="4" t="s">
        <v>723</v>
      </c>
      <c r="M410" s="4" t="s">
        <v>65</v>
      </c>
      <c r="N410" s="4" t="s">
        <v>54</v>
      </c>
      <c r="O410" s="4" t="s">
        <v>46</v>
      </c>
      <c r="P410" s="4" t="s">
        <v>35</v>
      </c>
      <c r="Q410" s="4">
        <v>8</v>
      </c>
      <c r="R410" s="4">
        <v>43685</v>
      </c>
      <c r="S410" s="5">
        <v>15</v>
      </c>
      <c r="T410" s="6">
        <f t="shared" si="18"/>
        <v>297058</v>
      </c>
      <c r="U410" s="4">
        <v>30804.799999999999</v>
      </c>
      <c r="V410" t="str">
        <f t="shared" si="19"/>
        <v>May</v>
      </c>
      <c r="W410">
        <f t="shared" si="20"/>
        <v>0.10369961421675228</v>
      </c>
    </row>
    <row r="411" spans="1:23" x14ac:dyDescent="0.4">
      <c r="A411" s="4" t="s">
        <v>1526</v>
      </c>
      <c r="B411" s="4" t="s">
        <v>999</v>
      </c>
      <c r="C411" s="11">
        <v>44879</v>
      </c>
      <c r="D411" s="4" t="s">
        <v>23</v>
      </c>
      <c r="E411" s="4" t="s">
        <v>24</v>
      </c>
      <c r="F411" s="4" t="s">
        <v>26</v>
      </c>
      <c r="G411" s="4" t="s">
        <v>99</v>
      </c>
      <c r="H411" s="4" t="s">
        <v>1528</v>
      </c>
      <c r="I411" s="4" t="s">
        <v>28</v>
      </c>
      <c r="J411" s="4" t="s">
        <v>29</v>
      </c>
      <c r="K411" s="4" t="s">
        <v>101</v>
      </c>
      <c r="L411" s="4" t="s">
        <v>1005</v>
      </c>
      <c r="M411" s="4" t="s">
        <v>53</v>
      </c>
      <c r="N411" s="4" t="s">
        <v>33</v>
      </c>
      <c r="O411" s="4" t="s">
        <v>120</v>
      </c>
      <c r="P411" s="4" t="s">
        <v>47</v>
      </c>
      <c r="Q411" s="4">
        <v>10</v>
      </c>
      <c r="R411" s="4">
        <v>5881</v>
      </c>
      <c r="S411" s="5">
        <v>20</v>
      </c>
      <c r="T411" s="6">
        <f t="shared" si="18"/>
        <v>47048</v>
      </c>
      <c r="U411" s="4">
        <v>1138.97</v>
      </c>
      <c r="V411" t="str">
        <f t="shared" si="19"/>
        <v>Nov</v>
      </c>
      <c r="W411">
        <f t="shared" si="20"/>
        <v>2.4208680496514198E-2</v>
      </c>
    </row>
    <row r="412" spans="1:23" x14ac:dyDescent="0.4">
      <c r="A412" s="4" t="s">
        <v>1529</v>
      </c>
      <c r="B412" s="4" t="s">
        <v>1530</v>
      </c>
      <c r="C412" s="11">
        <v>44719</v>
      </c>
      <c r="D412" s="4" t="s">
        <v>39</v>
      </c>
      <c r="E412" s="4" t="s">
        <v>24</v>
      </c>
      <c r="F412" s="4" t="s">
        <v>25</v>
      </c>
      <c r="G412" s="4" t="s">
        <v>59</v>
      </c>
      <c r="H412" s="4" t="s">
        <v>1531</v>
      </c>
      <c r="I412" s="4" t="s">
        <v>43</v>
      </c>
      <c r="J412" s="4" t="s">
        <v>79</v>
      </c>
      <c r="K412" s="4" t="s">
        <v>44</v>
      </c>
      <c r="L412" s="4" t="s">
        <v>805</v>
      </c>
      <c r="M412" s="4" t="s">
        <v>65</v>
      </c>
      <c r="N412" s="4" t="s">
        <v>54</v>
      </c>
      <c r="O412" s="4" t="s">
        <v>82</v>
      </c>
      <c r="P412" s="4" t="s">
        <v>88</v>
      </c>
      <c r="Q412" s="4">
        <v>9</v>
      </c>
      <c r="R412" s="4">
        <v>18053</v>
      </c>
      <c r="S412" s="5">
        <v>0</v>
      </c>
      <c r="T412" s="6">
        <f t="shared" si="18"/>
        <v>162477</v>
      </c>
      <c r="U412" s="4">
        <v>9170.6200000000008</v>
      </c>
      <c r="V412" t="str">
        <f t="shared" si="19"/>
        <v>Jun</v>
      </c>
      <c r="W412">
        <f t="shared" si="20"/>
        <v>5.6442573410390398E-2</v>
      </c>
    </row>
    <row r="413" spans="1:23" x14ac:dyDescent="0.4">
      <c r="A413" s="4" t="s">
        <v>1532</v>
      </c>
      <c r="B413" s="4" t="s">
        <v>932</v>
      </c>
      <c r="C413" s="11">
        <v>44782</v>
      </c>
      <c r="D413" s="4" t="s">
        <v>98</v>
      </c>
      <c r="E413" s="4" t="s">
        <v>24</v>
      </c>
      <c r="F413" s="4" t="s">
        <v>25</v>
      </c>
      <c r="G413" s="4" t="s">
        <v>41</v>
      </c>
      <c r="H413" s="4" t="s">
        <v>1533</v>
      </c>
      <c r="I413" s="4" t="s">
        <v>61</v>
      </c>
      <c r="J413" s="4" t="s">
        <v>62</v>
      </c>
      <c r="K413" s="4" t="s">
        <v>153</v>
      </c>
      <c r="L413" s="4" t="s">
        <v>627</v>
      </c>
      <c r="M413" s="4" t="s">
        <v>95</v>
      </c>
      <c r="N413" s="4" t="s">
        <v>33</v>
      </c>
      <c r="O413" s="4" t="s">
        <v>82</v>
      </c>
      <c r="P413" s="4" t="s">
        <v>47</v>
      </c>
      <c r="Q413" s="4">
        <v>4</v>
      </c>
      <c r="R413" s="4">
        <v>43407</v>
      </c>
      <c r="S413" s="5">
        <v>20</v>
      </c>
      <c r="T413" s="6">
        <f t="shared" si="18"/>
        <v>138902.39999999999</v>
      </c>
      <c r="U413" s="4">
        <v>9793.7999999999993</v>
      </c>
      <c r="V413" t="str">
        <f t="shared" si="19"/>
        <v>Aug</v>
      </c>
      <c r="W413">
        <f t="shared" si="20"/>
        <v>7.0508500933029239E-2</v>
      </c>
    </row>
    <row r="414" spans="1:23" x14ac:dyDescent="0.4">
      <c r="A414" s="4" t="s">
        <v>1534</v>
      </c>
      <c r="B414" s="4" t="s">
        <v>1535</v>
      </c>
      <c r="C414" s="11">
        <v>45277</v>
      </c>
      <c r="D414" s="4" t="s">
        <v>98</v>
      </c>
      <c r="E414" s="4" t="s">
        <v>24</v>
      </c>
      <c r="F414" s="4" t="s">
        <v>25</v>
      </c>
      <c r="G414" s="4" t="s">
        <v>59</v>
      </c>
      <c r="H414" s="4" t="s">
        <v>1536</v>
      </c>
      <c r="I414" s="4" t="s">
        <v>28</v>
      </c>
      <c r="J414" s="4" t="s">
        <v>79</v>
      </c>
      <c r="K414" s="4" t="s">
        <v>30</v>
      </c>
      <c r="L414" s="4" t="s">
        <v>535</v>
      </c>
      <c r="M414" s="4" t="s">
        <v>95</v>
      </c>
      <c r="N414" s="4" t="s">
        <v>54</v>
      </c>
      <c r="O414" s="4" t="s">
        <v>120</v>
      </c>
      <c r="P414" s="4" t="s">
        <v>35</v>
      </c>
      <c r="Q414" s="4">
        <v>5</v>
      </c>
      <c r="R414" s="4">
        <v>45720</v>
      </c>
      <c r="S414" s="5">
        <v>5</v>
      </c>
      <c r="T414" s="6">
        <f t="shared" si="18"/>
        <v>217170</v>
      </c>
      <c r="U414" s="4">
        <v>11272.93</v>
      </c>
      <c r="V414" t="str">
        <f t="shared" si="19"/>
        <v>Dec</v>
      </c>
      <c r="W414">
        <f t="shared" si="20"/>
        <v>5.1908320670442515E-2</v>
      </c>
    </row>
    <row r="415" spans="1:23" x14ac:dyDescent="0.4">
      <c r="A415" s="4" t="s">
        <v>1537</v>
      </c>
      <c r="B415" s="4" t="s">
        <v>1538</v>
      </c>
      <c r="C415" s="11">
        <v>45105</v>
      </c>
      <c r="D415" s="4" t="s">
        <v>23</v>
      </c>
      <c r="E415" s="4" t="s">
        <v>24</v>
      </c>
      <c r="F415" s="4" t="s">
        <v>58</v>
      </c>
      <c r="G415" s="4" t="s">
        <v>99</v>
      </c>
      <c r="H415" s="4" t="s">
        <v>1539</v>
      </c>
      <c r="I415" s="4" t="s">
        <v>61</v>
      </c>
      <c r="J415" s="4" t="s">
        <v>62</v>
      </c>
      <c r="K415" s="4" t="s">
        <v>63</v>
      </c>
      <c r="L415" s="4" t="s">
        <v>1350</v>
      </c>
      <c r="M415" s="4" t="s">
        <v>81</v>
      </c>
      <c r="N415" s="4" t="s">
        <v>54</v>
      </c>
      <c r="O415" s="4" t="s">
        <v>120</v>
      </c>
      <c r="P415" s="4" t="s">
        <v>47</v>
      </c>
      <c r="Q415" s="4">
        <v>1</v>
      </c>
      <c r="R415" s="4">
        <v>8311</v>
      </c>
      <c r="S415" s="5">
        <v>0</v>
      </c>
      <c r="T415" s="6">
        <f t="shared" si="18"/>
        <v>8311</v>
      </c>
      <c r="U415" s="4">
        <v>661.48</v>
      </c>
      <c r="V415" t="str">
        <f t="shared" si="19"/>
        <v>Jun</v>
      </c>
      <c r="W415">
        <f t="shared" si="20"/>
        <v>7.9590903621706177E-2</v>
      </c>
    </row>
    <row r="416" spans="1:23" x14ac:dyDescent="0.4">
      <c r="A416" s="4" t="s">
        <v>1540</v>
      </c>
      <c r="B416" s="4" t="s">
        <v>1282</v>
      </c>
      <c r="C416" s="11">
        <v>45289</v>
      </c>
      <c r="D416" s="4" t="s">
        <v>124</v>
      </c>
      <c r="E416" s="4" t="s">
        <v>24</v>
      </c>
      <c r="F416" s="4" t="s">
        <v>58</v>
      </c>
      <c r="G416" s="4" t="s">
        <v>59</v>
      </c>
      <c r="H416" s="4" t="s">
        <v>1541</v>
      </c>
      <c r="I416" s="4" t="s">
        <v>28</v>
      </c>
      <c r="J416" s="4" t="s">
        <v>29</v>
      </c>
      <c r="K416" s="4" t="s">
        <v>86</v>
      </c>
      <c r="L416" s="4" t="s">
        <v>1482</v>
      </c>
      <c r="M416" s="4" t="s">
        <v>81</v>
      </c>
      <c r="N416" s="4" t="s">
        <v>33</v>
      </c>
      <c r="O416" s="4" t="s">
        <v>120</v>
      </c>
      <c r="P416" s="4" t="s">
        <v>74</v>
      </c>
      <c r="Q416" s="4">
        <v>7</v>
      </c>
      <c r="R416" s="4">
        <v>19423</v>
      </c>
      <c r="S416" s="5">
        <v>10</v>
      </c>
      <c r="T416" s="6">
        <f t="shared" si="18"/>
        <v>122364.9</v>
      </c>
      <c r="U416" s="4">
        <v>26218.6</v>
      </c>
      <c r="V416" t="str">
        <f t="shared" si="19"/>
        <v>Dec</v>
      </c>
      <c r="W416">
        <f t="shared" si="20"/>
        <v>0.21426569220421871</v>
      </c>
    </row>
    <row r="417" spans="1:23" x14ac:dyDescent="0.4">
      <c r="A417" s="4" t="s">
        <v>1542</v>
      </c>
      <c r="B417" s="4" t="s">
        <v>1049</v>
      </c>
      <c r="C417" s="11">
        <v>45404</v>
      </c>
      <c r="D417" s="4" t="s">
        <v>23</v>
      </c>
      <c r="E417" s="4" t="s">
        <v>24</v>
      </c>
      <c r="F417" s="4" t="s">
        <v>25</v>
      </c>
      <c r="G417" s="4" t="s">
        <v>41</v>
      </c>
      <c r="H417" s="4" t="s">
        <v>1543</v>
      </c>
      <c r="I417" s="4" t="s">
        <v>61</v>
      </c>
      <c r="J417" s="4" t="s">
        <v>29</v>
      </c>
      <c r="K417" s="4" t="s">
        <v>30</v>
      </c>
      <c r="L417" s="4" t="s">
        <v>889</v>
      </c>
      <c r="M417" s="4" t="s">
        <v>95</v>
      </c>
      <c r="N417" s="4" t="s">
        <v>54</v>
      </c>
      <c r="O417" s="4" t="s">
        <v>46</v>
      </c>
      <c r="P417" s="4" t="s">
        <v>47</v>
      </c>
      <c r="Q417" s="4">
        <v>8</v>
      </c>
      <c r="R417" s="4">
        <v>37470</v>
      </c>
      <c r="S417" s="5">
        <v>0</v>
      </c>
      <c r="T417" s="6">
        <f t="shared" si="18"/>
        <v>299760</v>
      </c>
      <c r="U417" s="4">
        <v>69250.149999999994</v>
      </c>
      <c r="V417" t="str">
        <f t="shared" si="19"/>
        <v>Apr</v>
      </c>
      <c r="W417">
        <f t="shared" si="20"/>
        <v>0.23101864825193485</v>
      </c>
    </row>
    <row r="418" spans="1:23" x14ac:dyDescent="0.4">
      <c r="A418" s="4" t="s">
        <v>1544</v>
      </c>
      <c r="B418" s="4" t="s">
        <v>1545</v>
      </c>
      <c r="C418" s="11">
        <v>45104</v>
      </c>
      <c r="D418" s="4" t="s">
        <v>124</v>
      </c>
      <c r="E418" s="4" t="s">
        <v>24</v>
      </c>
      <c r="F418" s="4" t="s">
        <v>70</v>
      </c>
      <c r="G418" s="4" t="s">
        <v>99</v>
      </c>
      <c r="H418" s="4" t="s">
        <v>657</v>
      </c>
      <c r="I418" s="4" t="s">
        <v>28</v>
      </c>
      <c r="J418" s="4" t="s">
        <v>79</v>
      </c>
      <c r="K418" s="4" t="s">
        <v>44</v>
      </c>
      <c r="L418" s="4" t="s">
        <v>94</v>
      </c>
      <c r="M418" s="4" t="s">
        <v>65</v>
      </c>
      <c r="N418" s="4" t="s">
        <v>33</v>
      </c>
      <c r="O418" s="4" t="s">
        <v>46</v>
      </c>
      <c r="P418" s="4" t="s">
        <v>35</v>
      </c>
      <c r="Q418" s="4">
        <v>1</v>
      </c>
      <c r="R418" s="4">
        <v>32871</v>
      </c>
      <c r="S418" s="5">
        <v>20</v>
      </c>
      <c r="T418" s="6">
        <f t="shared" si="18"/>
        <v>26296.799999999999</v>
      </c>
      <c r="U418" s="4">
        <v>-4881.95</v>
      </c>
      <c r="V418" t="str">
        <f t="shared" si="19"/>
        <v>Jun</v>
      </c>
      <c r="W418">
        <f t="shared" si="20"/>
        <v>-0.1856480636427246</v>
      </c>
    </row>
    <row r="419" spans="1:23" x14ac:dyDescent="0.4">
      <c r="A419" s="4" t="s">
        <v>1546</v>
      </c>
      <c r="B419" s="4" t="s">
        <v>1547</v>
      </c>
      <c r="C419" s="11">
        <v>44645</v>
      </c>
      <c r="D419" s="4" t="s">
        <v>39</v>
      </c>
      <c r="E419" s="4" t="s">
        <v>24</v>
      </c>
      <c r="F419" s="4" t="s">
        <v>25</v>
      </c>
      <c r="G419" s="4" t="s">
        <v>26</v>
      </c>
      <c r="H419" s="4" t="s">
        <v>1549</v>
      </c>
      <c r="I419" s="4" t="s">
        <v>43</v>
      </c>
      <c r="J419" s="4" t="s">
        <v>79</v>
      </c>
      <c r="K419" s="4" t="s">
        <v>153</v>
      </c>
      <c r="L419" s="4" t="s">
        <v>52</v>
      </c>
      <c r="M419" s="4" t="s">
        <v>81</v>
      </c>
      <c r="N419" s="4" t="s">
        <v>54</v>
      </c>
      <c r="O419" s="4" t="s">
        <v>34</v>
      </c>
      <c r="P419" s="4" t="s">
        <v>47</v>
      </c>
      <c r="Q419" s="4">
        <v>2</v>
      </c>
      <c r="R419" s="4">
        <v>20407</v>
      </c>
      <c r="S419" s="5">
        <v>5</v>
      </c>
      <c r="T419" s="6">
        <f t="shared" si="18"/>
        <v>38773.300000000003</v>
      </c>
      <c r="U419" s="4">
        <v>5009.47</v>
      </c>
      <c r="V419" t="str">
        <f t="shared" si="19"/>
        <v>Mar</v>
      </c>
      <c r="W419">
        <f t="shared" si="20"/>
        <v>0.12919895907750953</v>
      </c>
    </row>
    <row r="420" spans="1:23" x14ac:dyDescent="0.4">
      <c r="A420" s="4" t="s">
        <v>1550</v>
      </c>
      <c r="B420" s="4" t="s">
        <v>1551</v>
      </c>
      <c r="C420" s="11">
        <v>44775</v>
      </c>
      <c r="D420" s="4" t="s">
        <v>124</v>
      </c>
      <c r="E420" s="4" t="s">
        <v>24</v>
      </c>
      <c r="F420" s="4" t="s">
        <v>40</v>
      </c>
      <c r="G420" s="4" t="s">
        <v>26</v>
      </c>
      <c r="H420" s="4" t="s">
        <v>1553</v>
      </c>
      <c r="I420" s="4" t="s">
        <v>61</v>
      </c>
      <c r="J420" s="4" t="s">
        <v>62</v>
      </c>
      <c r="K420" s="4" t="s">
        <v>101</v>
      </c>
      <c r="L420" s="4" t="s">
        <v>1122</v>
      </c>
      <c r="M420" s="4" t="s">
        <v>32</v>
      </c>
      <c r="N420" s="4" t="s">
        <v>33</v>
      </c>
      <c r="O420" s="4" t="s">
        <v>46</v>
      </c>
      <c r="P420" s="4" t="s">
        <v>74</v>
      </c>
      <c r="Q420" s="4">
        <v>6</v>
      </c>
      <c r="R420" s="4">
        <v>19414</v>
      </c>
      <c r="S420" s="5">
        <v>15</v>
      </c>
      <c r="T420" s="6">
        <f t="shared" si="18"/>
        <v>99011.4</v>
      </c>
      <c r="U420" s="4">
        <v>-1083.06</v>
      </c>
      <c r="V420" t="str">
        <f t="shared" si="19"/>
        <v>Jul</v>
      </c>
      <c r="W420">
        <f t="shared" si="20"/>
        <v>-1.0938740387470534E-2</v>
      </c>
    </row>
    <row r="421" spans="1:23" x14ac:dyDescent="0.4">
      <c r="A421" s="4" t="s">
        <v>1554</v>
      </c>
      <c r="B421" s="4" t="s">
        <v>371</v>
      </c>
      <c r="C421" s="11">
        <v>45310</v>
      </c>
      <c r="D421" s="4" t="s">
        <v>23</v>
      </c>
      <c r="E421" s="4" t="s">
        <v>24</v>
      </c>
      <c r="F421" s="4" t="s">
        <v>26</v>
      </c>
      <c r="G421" s="4" t="s">
        <v>26</v>
      </c>
      <c r="H421" s="4" t="s">
        <v>1556</v>
      </c>
      <c r="I421" s="4" t="s">
        <v>28</v>
      </c>
      <c r="J421" s="4" t="s">
        <v>62</v>
      </c>
      <c r="K421" s="4" t="s">
        <v>153</v>
      </c>
      <c r="L421" s="4" t="s">
        <v>500</v>
      </c>
      <c r="M421" s="4" t="s">
        <v>81</v>
      </c>
      <c r="N421" s="4" t="s">
        <v>33</v>
      </c>
      <c r="O421" s="4" t="s">
        <v>46</v>
      </c>
      <c r="P421" s="4" t="s">
        <v>74</v>
      </c>
      <c r="Q421" s="4">
        <v>3</v>
      </c>
      <c r="R421" s="4">
        <v>20378</v>
      </c>
      <c r="S421" s="5">
        <v>0</v>
      </c>
      <c r="T421" s="6">
        <f t="shared" si="18"/>
        <v>61134</v>
      </c>
      <c r="U421" s="4">
        <v>12962.17</v>
      </c>
      <c r="V421" t="str">
        <f t="shared" si="19"/>
        <v>Jan</v>
      </c>
      <c r="W421">
        <f t="shared" si="20"/>
        <v>0.21202882193214906</v>
      </c>
    </row>
    <row r="422" spans="1:23" x14ac:dyDescent="0.4">
      <c r="A422" s="4" t="s">
        <v>1557</v>
      </c>
      <c r="B422" s="4" t="s">
        <v>1558</v>
      </c>
      <c r="C422" s="11">
        <v>45376</v>
      </c>
      <c r="D422" s="4" t="s">
        <v>98</v>
      </c>
      <c r="E422" s="4" t="s">
        <v>24</v>
      </c>
      <c r="F422" s="4" t="s">
        <v>40</v>
      </c>
      <c r="G422" s="4" t="s">
        <v>26</v>
      </c>
      <c r="H422" s="4" t="s">
        <v>1559</v>
      </c>
      <c r="I422" s="4" t="s">
        <v>28</v>
      </c>
      <c r="J422" s="4" t="s">
        <v>29</v>
      </c>
      <c r="K422" s="4" t="s">
        <v>101</v>
      </c>
      <c r="L422" s="4" t="s">
        <v>396</v>
      </c>
      <c r="M422" s="4" t="s">
        <v>65</v>
      </c>
      <c r="N422" s="4" t="s">
        <v>33</v>
      </c>
      <c r="O422" s="4" t="s">
        <v>46</v>
      </c>
      <c r="P422" s="4" t="s">
        <v>35</v>
      </c>
      <c r="Q422" s="4">
        <v>10</v>
      </c>
      <c r="R422" s="4">
        <v>48923</v>
      </c>
      <c r="S422" s="5">
        <v>10</v>
      </c>
      <c r="T422" s="6">
        <f t="shared" si="18"/>
        <v>440307</v>
      </c>
      <c r="U422" s="4">
        <v>60472.24</v>
      </c>
      <c r="V422" t="str">
        <f t="shared" si="19"/>
        <v>Mar</v>
      </c>
      <c r="W422">
        <f t="shared" si="20"/>
        <v>0.1373410824720025</v>
      </c>
    </row>
    <row r="423" spans="1:23" x14ac:dyDescent="0.4">
      <c r="A423" s="4" t="s">
        <v>1560</v>
      </c>
      <c r="B423" s="4" t="s">
        <v>205</v>
      </c>
      <c r="C423" s="11">
        <v>44946</v>
      </c>
      <c r="D423" s="4" t="s">
        <v>98</v>
      </c>
      <c r="E423" s="4" t="s">
        <v>24</v>
      </c>
      <c r="F423" s="4" t="s">
        <v>26</v>
      </c>
      <c r="G423" s="4" t="s">
        <v>26</v>
      </c>
      <c r="H423" s="4" t="s">
        <v>1562</v>
      </c>
      <c r="I423" s="4" t="s">
        <v>43</v>
      </c>
      <c r="J423" s="4" t="s">
        <v>62</v>
      </c>
      <c r="K423" s="4" t="s">
        <v>153</v>
      </c>
      <c r="L423" s="4" t="s">
        <v>1563</v>
      </c>
      <c r="M423" s="4" t="s">
        <v>53</v>
      </c>
      <c r="N423" s="4" t="s">
        <v>54</v>
      </c>
      <c r="O423" s="4" t="s">
        <v>120</v>
      </c>
      <c r="P423" s="4" t="s">
        <v>35</v>
      </c>
      <c r="Q423" s="4">
        <v>6</v>
      </c>
      <c r="R423" s="4">
        <v>41653</v>
      </c>
      <c r="S423" s="5">
        <v>20</v>
      </c>
      <c r="T423" s="6">
        <f t="shared" si="18"/>
        <v>199934.4</v>
      </c>
      <c r="U423" s="4">
        <v>-15916.08</v>
      </c>
      <c r="V423" t="str">
        <f t="shared" si="19"/>
        <v>Jan</v>
      </c>
      <c r="W423">
        <f t="shared" si="20"/>
        <v>-7.9606510935586877E-2</v>
      </c>
    </row>
    <row r="424" spans="1:23" x14ac:dyDescent="0.4">
      <c r="A424" s="4" t="s">
        <v>1564</v>
      </c>
      <c r="B424" s="4" t="s">
        <v>1434</v>
      </c>
      <c r="C424" s="11">
        <v>45485</v>
      </c>
      <c r="D424" s="4" t="s">
        <v>39</v>
      </c>
      <c r="E424" s="4" t="s">
        <v>24</v>
      </c>
      <c r="F424" s="4" t="s">
        <v>58</v>
      </c>
      <c r="G424" s="4" t="s">
        <v>41</v>
      </c>
      <c r="H424" s="4" t="s">
        <v>1566</v>
      </c>
      <c r="I424" s="4" t="s">
        <v>43</v>
      </c>
      <c r="J424" s="4" t="s">
        <v>62</v>
      </c>
      <c r="K424" s="4" t="s">
        <v>86</v>
      </c>
      <c r="L424" s="4" t="s">
        <v>1368</v>
      </c>
      <c r="M424" s="4" t="s">
        <v>53</v>
      </c>
      <c r="N424" s="4" t="s">
        <v>54</v>
      </c>
      <c r="O424" s="4" t="s">
        <v>46</v>
      </c>
      <c r="P424" s="4" t="s">
        <v>74</v>
      </c>
      <c r="Q424" s="4">
        <v>5</v>
      </c>
      <c r="R424" s="4">
        <v>7436</v>
      </c>
      <c r="S424" s="5">
        <v>10</v>
      </c>
      <c r="T424" s="6">
        <f t="shared" si="18"/>
        <v>33462</v>
      </c>
      <c r="U424" s="4">
        <v>1014.43</v>
      </c>
      <c r="V424" t="str">
        <f t="shared" si="19"/>
        <v>Jul</v>
      </c>
      <c r="W424">
        <f t="shared" si="20"/>
        <v>3.0315880700496085E-2</v>
      </c>
    </row>
    <row r="425" spans="1:23" x14ac:dyDescent="0.4">
      <c r="A425" s="4" t="s">
        <v>1567</v>
      </c>
      <c r="B425" s="4" t="s">
        <v>1568</v>
      </c>
      <c r="C425" s="11">
        <v>45317</v>
      </c>
      <c r="D425" s="4" t="s">
        <v>23</v>
      </c>
      <c r="E425" s="4" t="s">
        <v>24</v>
      </c>
      <c r="F425" s="4" t="s">
        <v>40</v>
      </c>
      <c r="G425" s="4" t="s">
        <v>41</v>
      </c>
      <c r="H425" s="4" t="s">
        <v>1570</v>
      </c>
      <c r="I425" s="4" t="s">
        <v>28</v>
      </c>
      <c r="J425" s="4" t="s">
        <v>79</v>
      </c>
      <c r="K425" s="4" t="s">
        <v>86</v>
      </c>
      <c r="L425" s="4" t="s">
        <v>552</v>
      </c>
      <c r="M425" s="4" t="s">
        <v>73</v>
      </c>
      <c r="N425" s="4" t="s">
        <v>54</v>
      </c>
      <c r="O425" s="4" t="s">
        <v>66</v>
      </c>
      <c r="P425" s="4" t="s">
        <v>88</v>
      </c>
      <c r="Q425" s="4">
        <v>7</v>
      </c>
      <c r="R425" s="4">
        <v>46419</v>
      </c>
      <c r="S425" s="5">
        <v>20</v>
      </c>
      <c r="T425" s="6">
        <f t="shared" si="18"/>
        <v>259946.4</v>
      </c>
      <c r="U425" s="4">
        <v>-36199.769999999997</v>
      </c>
      <c r="V425" t="str">
        <f t="shared" si="19"/>
        <v>Jan</v>
      </c>
      <c r="W425">
        <f t="shared" si="20"/>
        <v>-0.13925859331000545</v>
      </c>
    </row>
    <row r="426" spans="1:23" x14ac:dyDescent="0.4">
      <c r="A426" s="4" t="s">
        <v>1571</v>
      </c>
      <c r="B426" s="4" t="s">
        <v>1342</v>
      </c>
      <c r="C426" s="11">
        <v>45083</v>
      </c>
      <c r="D426" s="4" t="s">
        <v>124</v>
      </c>
      <c r="E426" s="4" t="s">
        <v>24</v>
      </c>
      <c r="F426" s="4" t="s">
        <v>58</v>
      </c>
      <c r="G426" s="4" t="s">
        <v>26</v>
      </c>
      <c r="H426" s="4" t="s">
        <v>1572</v>
      </c>
      <c r="I426" s="4" t="s">
        <v>43</v>
      </c>
      <c r="J426" s="4" t="s">
        <v>29</v>
      </c>
      <c r="K426" s="4" t="s">
        <v>44</v>
      </c>
      <c r="L426" s="4" t="s">
        <v>277</v>
      </c>
      <c r="M426" s="4" t="s">
        <v>73</v>
      </c>
      <c r="N426" s="4" t="s">
        <v>54</v>
      </c>
      <c r="O426" s="4" t="s">
        <v>120</v>
      </c>
      <c r="P426" s="4" t="s">
        <v>74</v>
      </c>
      <c r="Q426" s="4">
        <v>2</v>
      </c>
      <c r="R426" s="4">
        <v>29024</v>
      </c>
      <c r="S426" s="5">
        <v>15</v>
      </c>
      <c r="T426" s="6">
        <f t="shared" si="18"/>
        <v>49340.800000000003</v>
      </c>
      <c r="U426" s="4">
        <v>-3150.76</v>
      </c>
      <c r="V426" t="str">
        <f t="shared" si="19"/>
        <v>Jun</v>
      </c>
      <c r="W426">
        <f t="shared" si="20"/>
        <v>-6.3857091899604382E-2</v>
      </c>
    </row>
    <row r="427" spans="1:23" x14ac:dyDescent="0.4">
      <c r="A427" s="4" t="s">
        <v>1573</v>
      </c>
      <c r="B427" s="4" t="s">
        <v>1574</v>
      </c>
      <c r="C427" s="11">
        <v>45127</v>
      </c>
      <c r="D427" s="4" t="s">
        <v>23</v>
      </c>
      <c r="E427" s="4" t="s">
        <v>24</v>
      </c>
      <c r="F427" s="4" t="s">
        <v>58</v>
      </c>
      <c r="G427" s="4" t="s">
        <v>26</v>
      </c>
      <c r="H427" s="4" t="s">
        <v>1576</v>
      </c>
      <c r="I427" s="4" t="s">
        <v>43</v>
      </c>
      <c r="J427" s="4" t="s">
        <v>62</v>
      </c>
      <c r="K427" s="4" t="s">
        <v>86</v>
      </c>
      <c r="L427" s="4" t="s">
        <v>343</v>
      </c>
      <c r="M427" s="4" t="s">
        <v>73</v>
      </c>
      <c r="N427" s="4" t="s">
        <v>54</v>
      </c>
      <c r="O427" s="4" t="s">
        <v>34</v>
      </c>
      <c r="P427" s="4" t="s">
        <v>35</v>
      </c>
      <c r="Q427" s="4">
        <v>7</v>
      </c>
      <c r="R427" s="4">
        <v>23493</v>
      </c>
      <c r="S427" s="5">
        <v>10</v>
      </c>
      <c r="T427" s="6">
        <f t="shared" si="18"/>
        <v>148005.9</v>
      </c>
      <c r="U427" s="4">
        <v>25287.31</v>
      </c>
      <c r="V427" t="str">
        <f t="shared" si="19"/>
        <v>Jul</v>
      </c>
      <c r="W427">
        <f t="shared" si="20"/>
        <v>0.17085339165533267</v>
      </c>
    </row>
    <row r="428" spans="1:23" x14ac:dyDescent="0.4">
      <c r="A428" s="4" t="s">
        <v>1577</v>
      </c>
      <c r="B428" s="4" t="s">
        <v>1578</v>
      </c>
      <c r="C428" s="11">
        <v>44984</v>
      </c>
      <c r="D428" s="4" t="s">
        <v>39</v>
      </c>
      <c r="E428" s="4" t="s">
        <v>24</v>
      </c>
      <c r="F428" s="4" t="s">
        <v>26</v>
      </c>
      <c r="G428" s="4" t="s">
        <v>59</v>
      </c>
      <c r="H428" s="4" t="s">
        <v>1580</v>
      </c>
      <c r="I428" s="4" t="s">
        <v>61</v>
      </c>
      <c r="J428" s="4" t="s">
        <v>29</v>
      </c>
      <c r="K428" s="4" t="s">
        <v>86</v>
      </c>
      <c r="L428" s="4" t="s">
        <v>441</v>
      </c>
      <c r="M428" s="4" t="s">
        <v>32</v>
      </c>
      <c r="N428" s="4" t="s">
        <v>33</v>
      </c>
      <c r="O428" s="4" t="s">
        <v>46</v>
      </c>
      <c r="P428" s="4" t="s">
        <v>88</v>
      </c>
      <c r="Q428" s="4">
        <v>10</v>
      </c>
      <c r="R428" s="4">
        <v>25424</v>
      </c>
      <c r="S428" s="5">
        <v>15</v>
      </c>
      <c r="T428" s="6">
        <f t="shared" si="18"/>
        <v>216104</v>
      </c>
      <c r="U428" s="4">
        <v>37171.61</v>
      </c>
      <c r="V428" t="str">
        <f t="shared" si="19"/>
        <v>Feb</v>
      </c>
      <c r="W428">
        <f t="shared" si="20"/>
        <v>0.17200796838559212</v>
      </c>
    </row>
    <row r="429" spans="1:23" x14ac:dyDescent="0.4">
      <c r="A429" s="4" t="s">
        <v>1581</v>
      </c>
      <c r="B429" s="4" t="s">
        <v>594</v>
      </c>
      <c r="C429" s="11">
        <v>45291</v>
      </c>
      <c r="D429" s="4" t="s">
        <v>98</v>
      </c>
      <c r="E429" s="4" t="s">
        <v>24</v>
      </c>
      <c r="F429" s="4" t="s">
        <v>58</v>
      </c>
      <c r="G429" s="4" t="s">
        <v>41</v>
      </c>
      <c r="H429" s="4" t="s">
        <v>1582</v>
      </c>
      <c r="I429" s="4" t="s">
        <v>28</v>
      </c>
      <c r="J429" s="4" t="s">
        <v>29</v>
      </c>
      <c r="K429" s="4" t="s">
        <v>153</v>
      </c>
      <c r="L429" s="4" t="s">
        <v>119</v>
      </c>
      <c r="M429" s="4" t="s">
        <v>73</v>
      </c>
      <c r="N429" s="4" t="s">
        <v>54</v>
      </c>
      <c r="O429" s="4" t="s">
        <v>46</v>
      </c>
      <c r="P429" s="4" t="s">
        <v>35</v>
      </c>
      <c r="Q429" s="4">
        <v>9</v>
      </c>
      <c r="R429" s="4">
        <v>21839</v>
      </c>
      <c r="S429" s="5">
        <v>20</v>
      </c>
      <c r="T429" s="6">
        <f t="shared" si="18"/>
        <v>157240.79999999999</v>
      </c>
      <c r="U429" s="4">
        <v>14693.51</v>
      </c>
      <c r="V429" t="str">
        <f t="shared" si="19"/>
        <v>Dec</v>
      </c>
      <c r="W429">
        <f t="shared" si="20"/>
        <v>9.3445912256869726E-2</v>
      </c>
    </row>
    <row r="430" spans="1:23" x14ac:dyDescent="0.4">
      <c r="A430" s="4" t="s">
        <v>1583</v>
      </c>
      <c r="B430" s="4" t="s">
        <v>1584</v>
      </c>
      <c r="C430" s="11">
        <v>44623</v>
      </c>
      <c r="D430" s="4" t="s">
        <v>124</v>
      </c>
      <c r="E430" s="4" t="s">
        <v>24</v>
      </c>
      <c r="F430" s="4" t="s">
        <v>40</v>
      </c>
      <c r="G430" s="4" t="s">
        <v>99</v>
      </c>
      <c r="H430" s="4" t="s">
        <v>1585</v>
      </c>
      <c r="I430" s="4" t="s">
        <v>43</v>
      </c>
      <c r="J430" s="4" t="s">
        <v>29</v>
      </c>
      <c r="K430" s="4" t="s">
        <v>30</v>
      </c>
      <c r="L430" s="4" t="s">
        <v>564</v>
      </c>
      <c r="M430" s="4" t="s">
        <v>32</v>
      </c>
      <c r="N430" s="4" t="s">
        <v>54</v>
      </c>
      <c r="O430" s="4" t="s">
        <v>82</v>
      </c>
      <c r="P430" s="4" t="s">
        <v>47</v>
      </c>
      <c r="Q430" s="4">
        <v>7</v>
      </c>
      <c r="R430" s="4">
        <v>14106</v>
      </c>
      <c r="S430" s="5">
        <v>15</v>
      </c>
      <c r="T430" s="6">
        <f t="shared" si="18"/>
        <v>83930.7</v>
      </c>
      <c r="U430" s="4">
        <v>-700.05</v>
      </c>
      <c r="V430" t="str">
        <f t="shared" si="19"/>
        <v>Mar</v>
      </c>
      <c r="W430">
        <f t="shared" si="20"/>
        <v>-8.3408097394636286E-3</v>
      </c>
    </row>
    <row r="431" spans="1:23" x14ac:dyDescent="0.4">
      <c r="A431" s="4" t="s">
        <v>1586</v>
      </c>
      <c r="B431" s="4" t="s">
        <v>1171</v>
      </c>
      <c r="C431" s="11">
        <v>45019</v>
      </c>
      <c r="D431" s="4" t="s">
        <v>98</v>
      </c>
      <c r="E431" s="4" t="s">
        <v>24</v>
      </c>
      <c r="F431" s="4" t="s">
        <v>58</v>
      </c>
      <c r="G431" s="4" t="s">
        <v>26</v>
      </c>
      <c r="H431" s="4" t="s">
        <v>1587</v>
      </c>
      <c r="I431" s="4" t="s">
        <v>28</v>
      </c>
      <c r="J431" s="4" t="s">
        <v>29</v>
      </c>
      <c r="K431" s="4" t="s">
        <v>30</v>
      </c>
      <c r="L431" s="4" t="s">
        <v>1353</v>
      </c>
      <c r="M431" s="4" t="s">
        <v>95</v>
      </c>
      <c r="N431" s="4" t="s">
        <v>54</v>
      </c>
      <c r="O431" s="4" t="s">
        <v>66</v>
      </c>
      <c r="P431" s="4" t="s">
        <v>47</v>
      </c>
      <c r="Q431" s="4">
        <v>7</v>
      </c>
      <c r="R431" s="4">
        <v>24049</v>
      </c>
      <c r="S431" s="5">
        <v>15</v>
      </c>
      <c r="T431" s="6">
        <f t="shared" si="18"/>
        <v>143091.54999999999</v>
      </c>
      <c r="U431" s="4">
        <v>-10161.85</v>
      </c>
      <c r="V431" t="str">
        <f t="shared" si="19"/>
        <v>Mar</v>
      </c>
      <c r="W431">
        <f t="shared" si="20"/>
        <v>-7.1016422702808099E-2</v>
      </c>
    </row>
    <row r="432" spans="1:23" x14ac:dyDescent="0.4">
      <c r="A432" s="4" t="s">
        <v>1588</v>
      </c>
      <c r="B432" s="4" t="s">
        <v>128</v>
      </c>
      <c r="C432" s="11">
        <v>44634</v>
      </c>
      <c r="D432" s="4" t="s">
        <v>39</v>
      </c>
      <c r="E432" s="4" t="s">
        <v>24</v>
      </c>
      <c r="F432" s="4" t="s">
        <v>26</v>
      </c>
      <c r="G432" s="4" t="s">
        <v>59</v>
      </c>
      <c r="H432" s="4" t="s">
        <v>1589</v>
      </c>
      <c r="I432" s="4" t="s">
        <v>61</v>
      </c>
      <c r="J432" s="4" t="s">
        <v>62</v>
      </c>
      <c r="K432" s="4" t="s">
        <v>86</v>
      </c>
      <c r="L432" s="4" t="s">
        <v>1590</v>
      </c>
      <c r="M432" s="4" t="s">
        <v>73</v>
      </c>
      <c r="N432" s="4" t="s">
        <v>33</v>
      </c>
      <c r="O432" s="4" t="s">
        <v>82</v>
      </c>
      <c r="P432" s="4" t="s">
        <v>47</v>
      </c>
      <c r="Q432" s="4">
        <v>10</v>
      </c>
      <c r="R432" s="4">
        <v>6574</v>
      </c>
      <c r="S432" s="5">
        <v>0</v>
      </c>
      <c r="T432" s="6">
        <f t="shared" si="18"/>
        <v>65740</v>
      </c>
      <c r="U432" s="4">
        <v>6091.17</v>
      </c>
      <c r="V432" t="str">
        <f t="shared" si="19"/>
        <v>Mar</v>
      </c>
      <c r="W432">
        <f t="shared" si="20"/>
        <v>9.2655460906601761E-2</v>
      </c>
    </row>
    <row r="433" spans="1:23" x14ac:dyDescent="0.4">
      <c r="A433" s="4" t="s">
        <v>1591</v>
      </c>
      <c r="B433" s="4" t="s">
        <v>1156</v>
      </c>
      <c r="C433" s="11">
        <v>44906</v>
      </c>
      <c r="D433" s="4" t="s">
        <v>98</v>
      </c>
      <c r="E433" s="4" t="s">
        <v>24</v>
      </c>
      <c r="F433" s="4" t="s">
        <v>25</v>
      </c>
      <c r="G433" s="4" t="s">
        <v>59</v>
      </c>
      <c r="H433" s="4" t="s">
        <v>1592</v>
      </c>
      <c r="I433" s="4" t="s">
        <v>43</v>
      </c>
      <c r="J433" s="4" t="s">
        <v>62</v>
      </c>
      <c r="K433" s="4" t="s">
        <v>30</v>
      </c>
      <c r="L433" s="4" t="s">
        <v>627</v>
      </c>
      <c r="M433" s="4" t="s">
        <v>32</v>
      </c>
      <c r="N433" s="4" t="s">
        <v>33</v>
      </c>
      <c r="O433" s="4" t="s">
        <v>66</v>
      </c>
      <c r="P433" s="4" t="s">
        <v>74</v>
      </c>
      <c r="Q433" s="4">
        <v>8</v>
      </c>
      <c r="R433" s="4">
        <v>12083</v>
      </c>
      <c r="S433" s="5">
        <v>15</v>
      </c>
      <c r="T433" s="6">
        <f t="shared" si="18"/>
        <v>82164.399999999994</v>
      </c>
      <c r="U433" s="4">
        <v>8753.0499999999993</v>
      </c>
      <c r="V433" t="str">
        <f t="shared" si="19"/>
        <v>Dec</v>
      </c>
      <c r="W433">
        <f t="shared" si="20"/>
        <v>0.1065309306707041</v>
      </c>
    </row>
    <row r="434" spans="1:23" x14ac:dyDescent="0.4">
      <c r="A434" s="4" t="s">
        <v>1593</v>
      </c>
      <c r="B434" s="4" t="s">
        <v>1506</v>
      </c>
      <c r="C434" s="11">
        <v>45224</v>
      </c>
      <c r="D434" s="4" t="s">
        <v>23</v>
      </c>
      <c r="E434" s="4" t="s">
        <v>24</v>
      </c>
      <c r="F434" s="4" t="s">
        <v>58</v>
      </c>
      <c r="G434" s="4" t="s">
        <v>92</v>
      </c>
      <c r="H434" s="4" t="s">
        <v>1594</v>
      </c>
      <c r="I434" s="4" t="s">
        <v>28</v>
      </c>
      <c r="J434" s="4" t="s">
        <v>29</v>
      </c>
      <c r="K434" s="4" t="s">
        <v>86</v>
      </c>
      <c r="L434" s="4" t="s">
        <v>457</v>
      </c>
      <c r="M434" s="4" t="s">
        <v>81</v>
      </c>
      <c r="N434" s="4" t="s">
        <v>33</v>
      </c>
      <c r="O434" s="4" t="s">
        <v>66</v>
      </c>
      <c r="P434" s="4" t="s">
        <v>88</v>
      </c>
      <c r="Q434" s="4">
        <v>4</v>
      </c>
      <c r="R434" s="4">
        <v>34623</v>
      </c>
      <c r="S434" s="5">
        <v>15</v>
      </c>
      <c r="T434" s="6">
        <f t="shared" si="18"/>
        <v>117718.2</v>
      </c>
      <c r="U434" s="4">
        <v>-10072.969999999999</v>
      </c>
      <c r="V434" t="str">
        <f t="shared" si="19"/>
        <v>Oct</v>
      </c>
      <c r="W434">
        <f t="shared" si="20"/>
        <v>-8.5568501727005683E-2</v>
      </c>
    </row>
    <row r="435" spans="1:23" x14ac:dyDescent="0.4">
      <c r="A435" s="4" t="s">
        <v>1595</v>
      </c>
      <c r="B435" s="4" t="s">
        <v>1596</v>
      </c>
      <c r="C435" s="11">
        <v>45141</v>
      </c>
      <c r="D435" s="4" t="s">
        <v>39</v>
      </c>
      <c r="E435" s="4" t="s">
        <v>24</v>
      </c>
      <c r="F435" s="4" t="s">
        <v>70</v>
      </c>
      <c r="G435" s="4" t="s">
        <v>41</v>
      </c>
      <c r="H435" s="4" t="s">
        <v>1598</v>
      </c>
      <c r="I435" s="4" t="s">
        <v>61</v>
      </c>
      <c r="J435" s="4" t="s">
        <v>79</v>
      </c>
      <c r="K435" s="4" t="s">
        <v>30</v>
      </c>
      <c r="L435" s="4" t="s">
        <v>641</v>
      </c>
      <c r="M435" s="4" t="s">
        <v>73</v>
      </c>
      <c r="N435" s="4" t="s">
        <v>54</v>
      </c>
      <c r="O435" s="4" t="s">
        <v>82</v>
      </c>
      <c r="P435" s="4" t="s">
        <v>88</v>
      </c>
      <c r="Q435" s="4">
        <v>5</v>
      </c>
      <c r="R435" s="4">
        <v>44059</v>
      </c>
      <c r="S435" s="5">
        <v>0</v>
      </c>
      <c r="T435" s="6">
        <f t="shared" si="18"/>
        <v>220295</v>
      </c>
      <c r="U435" s="4">
        <v>63662.879999999997</v>
      </c>
      <c r="V435" t="str">
        <f t="shared" si="19"/>
        <v>Jul</v>
      </c>
      <c r="W435">
        <f t="shared" si="20"/>
        <v>0.28898921900179303</v>
      </c>
    </row>
    <row r="436" spans="1:23" x14ac:dyDescent="0.4">
      <c r="A436" s="4" t="s">
        <v>1599</v>
      </c>
      <c r="B436" s="4" t="s">
        <v>1600</v>
      </c>
      <c r="C436" s="11">
        <v>45261</v>
      </c>
      <c r="D436" s="4" t="s">
        <v>98</v>
      </c>
      <c r="E436" s="4" t="s">
        <v>24</v>
      </c>
      <c r="F436" s="4" t="s">
        <v>70</v>
      </c>
      <c r="G436" s="4" t="s">
        <v>26</v>
      </c>
      <c r="H436" s="4" t="s">
        <v>1601</v>
      </c>
      <c r="I436" s="4" t="s">
        <v>28</v>
      </c>
      <c r="J436" s="4" t="s">
        <v>79</v>
      </c>
      <c r="K436" s="4" t="s">
        <v>153</v>
      </c>
      <c r="L436" s="4" t="s">
        <v>1563</v>
      </c>
      <c r="M436" s="4" t="s">
        <v>73</v>
      </c>
      <c r="N436" s="4" t="s">
        <v>33</v>
      </c>
      <c r="O436" s="4" t="s">
        <v>66</v>
      </c>
      <c r="P436" s="4" t="s">
        <v>47</v>
      </c>
      <c r="Q436" s="4">
        <v>7</v>
      </c>
      <c r="R436" s="4">
        <v>46718</v>
      </c>
      <c r="S436" s="5">
        <v>5</v>
      </c>
      <c r="T436" s="6">
        <f t="shared" si="18"/>
        <v>310674.7</v>
      </c>
      <c r="U436" s="4">
        <v>8676.36</v>
      </c>
      <c r="V436" t="str">
        <f t="shared" si="19"/>
        <v>Nov</v>
      </c>
      <c r="W436">
        <f t="shared" si="20"/>
        <v>2.7927475265929282E-2</v>
      </c>
    </row>
    <row r="437" spans="1:23" x14ac:dyDescent="0.4">
      <c r="A437" s="4" t="s">
        <v>1602</v>
      </c>
      <c r="B437" s="4" t="s">
        <v>1603</v>
      </c>
      <c r="C437" s="11">
        <v>45538</v>
      </c>
      <c r="D437" s="4" t="s">
        <v>98</v>
      </c>
      <c r="E437" s="4" t="s">
        <v>24</v>
      </c>
      <c r="F437" s="4" t="s">
        <v>40</v>
      </c>
      <c r="G437" s="4" t="s">
        <v>92</v>
      </c>
      <c r="H437" s="4" t="s">
        <v>1604</v>
      </c>
      <c r="I437" s="4" t="s">
        <v>43</v>
      </c>
      <c r="J437" s="4" t="s">
        <v>79</v>
      </c>
      <c r="K437" s="4" t="s">
        <v>153</v>
      </c>
      <c r="L437" s="4" t="s">
        <v>1605</v>
      </c>
      <c r="M437" s="4" t="s">
        <v>73</v>
      </c>
      <c r="N437" s="4" t="s">
        <v>54</v>
      </c>
      <c r="O437" s="4" t="s">
        <v>66</v>
      </c>
      <c r="P437" s="4" t="s">
        <v>74</v>
      </c>
      <c r="Q437" s="4">
        <v>5</v>
      </c>
      <c r="R437" s="4">
        <v>17360</v>
      </c>
      <c r="S437" s="5">
        <v>15</v>
      </c>
      <c r="T437" s="6">
        <f t="shared" si="18"/>
        <v>73780</v>
      </c>
      <c r="U437" s="4">
        <v>11795.02</v>
      </c>
      <c r="V437" t="str">
        <f t="shared" si="19"/>
        <v>Aug</v>
      </c>
      <c r="W437">
        <f t="shared" si="20"/>
        <v>0.15986744375169423</v>
      </c>
    </row>
    <row r="438" spans="1:23" x14ac:dyDescent="0.4">
      <c r="A438" s="4" t="s">
        <v>1606</v>
      </c>
      <c r="B438" s="4" t="s">
        <v>1607</v>
      </c>
      <c r="C438" s="11">
        <v>45244</v>
      </c>
      <c r="D438" s="4" t="s">
        <v>98</v>
      </c>
      <c r="E438" s="4" t="s">
        <v>24</v>
      </c>
      <c r="F438" s="4" t="s">
        <v>70</v>
      </c>
      <c r="G438" s="4" t="s">
        <v>26</v>
      </c>
      <c r="H438" s="4" t="s">
        <v>1608</v>
      </c>
      <c r="I438" s="4" t="s">
        <v>28</v>
      </c>
      <c r="J438" s="4" t="s">
        <v>62</v>
      </c>
      <c r="K438" s="4" t="s">
        <v>101</v>
      </c>
      <c r="L438" s="4" t="s">
        <v>377</v>
      </c>
      <c r="M438" s="4" t="s">
        <v>32</v>
      </c>
      <c r="N438" s="4" t="s">
        <v>33</v>
      </c>
      <c r="O438" s="4" t="s">
        <v>82</v>
      </c>
      <c r="P438" s="4" t="s">
        <v>88</v>
      </c>
      <c r="Q438" s="4">
        <v>5</v>
      </c>
      <c r="R438" s="4">
        <v>13673</v>
      </c>
      <c r="S438" s="5">
        <v>15</v>
      </c>
      <c r="T438" s="6">
        <f t="shared" si="18"/>
        <v>58110.25</v>
      </c>
      <c r="U438" s="4">
        <v>3784.94</v>
      </c>
      <c r="V438" t="str">
        <f t="shared" si="19"/>
        <v>Nov</v>
      </c>
      <c r="W438">
        <f t="shared" si="20"/>
        <v>6.513377588291222E-2</v>
      </c>
    </row>
    <row r="439" spans="1:23" x14ac:dyDescent="0.4">
      <c r="A439" s="4" t="s">
        <v>1609</v>
      </c>
      <c r="B439" s="4" t="s">
        <v>638</v>
      </c>
      <c r="C439" s="11">
        <v>45286</v>
      </c>
      <c r="D439" s="4" t="s">
        <v>23</v>
      </c>
      <c r="E439" s="4" t="s">
        <v>24</v>
      </c>
      <c r="F439" s="4" t="s">
        <v>58</v>
      </c>
      <c r="G439" s="4" t="s">
        <v>99</v>
      </c>
      <c r="H439" s="4" t="s">
        <v>1611</v>
      </c>
      <c r="I439" s="4" t="s">
        <v>43</v>
      </c>
      <c r="J439" s="4" t="s">
        <v>29</v>
      </c>
      <c r="K439" s="4" t="s">
        <v>153</v>
      </c>
      <c r="L439" s="4" t="s">
        <v>564</v>
      </c>
      <c r="M439" s="4" t="s">
        <v>65</v>
      </c>
      <c r="N439" s="4" t="s">
        <v>33</v>
      </c>
      <c r="O439" s="4" t="s">
        <v>82</v>
      </c>
      <c r="P439" s="4" t="s">
        <v>47</v>
      </c>
      <c r="Q439" s="4">
        <v>1</v>
      </c>
      <c r="R439" s="4">
        <v>7768</v>
      </c>
      <c r="S439" s="5">
        <v>5</v>
      </c>
      <c r="T439" s="6">
        <f t="shared" si="18"/>
        <v>7379.6</v>
      </c>
      <c r="U439" s="4">
        <v>504.53</v>
      </c>
      <c r="V439" t="str">
        <f t="shared" si="19"/>
        <v>Dec</v>
      </c>
      <c r="W439">
        <f t="shared" si="20"/>
        <v>6.8368204238712121E-2</v>
      </c>
    </row>
    <row r="440" spans="1:23" x14ac:dyDescent="0.4">
      <c r="A440" s="4" t="s">
        <v>1612</v>
      </c>
      <c r="B440" s="4" t="s">
        <v>1613</v>
      </c>
      <c r="C440" s="11">
        <v>44723</v>
      </c>
      <c r="D440" s="4" t="s">
        <v>124</v>
      </c>
      <c r="E440" s="4" t="s">
        <v>24</v>
      </c>
      <c r="F440" s="4" t="s">
        <v>70</v>
      </c>
      <c r="G440" s="4" t="s">
        <v>26</v>
      </c>
      <c r="H440" s="4" t="s">
        <v>1615</v>
      </c>
      <c r="I440" s="4" t="s">
        <v>43</v>
      </c>
      <c r="J440" s="4" t="s">
        <v>79</v>
      </c>
      <c r="K440" s="4" t="s">
        <v>44</v>
      </c>
      <c r="L440" s="4" t="s">
        <v>661</v>
      </c>
      <c r="M440" s="4" t="s">
        <v>81</v>
      </c>
      <c r="N440" s="4" t="s">
        <v>33</v>
      </c>
      <c r="O440" s="4" t="s">
        <v>34</v>
      </c>
      <c r="P440" s="4" t="s">
        <v>47</v>
      </c>
      <c r="Q440" s="4">
        <v>1</v>
      </c>
      <c r="R440" s="4">
        <v>15147</v>
      </c>
      <c r="S440" s="5">
        <v>0</v>
      </c>
      <c r="T440" s="6">
        <f t="shared" si="18"/>
        <v>15147</v>
      </c>
      <c r="U440" s="4">
        <v>1058.8</v>
      </c>
      <c r="V440" t="str">
        <f t="shared" si="19"/>
        <v>Jun</v>
      </c>
      <c r="W440">
        <f t="shared" si="20"/>
        <v>6.9901630685944405E-2</v>
      </c>
    </row>
    <row r="441" spans="1:23" x14ac:dyDescent="0.4">
      <c r="A441" s="4" t="s">
        <v>1616</v>
      </c>
      <c r="B441" s="4" t="s">
        <v>1617</v>
      </c>
      <c r="C441" s="11">
        <v>45325</v>
      </c>
      <c r="D441" s="4" t="s">
        <v>23</v>
      </c>
      <c r="E441" s="4" t="s">
        <v>24</v>
      </c>
      <c r="F441" s="4" t="s">
        <v>26</v>
      </c>
      <c r="G441" s="4" t="s">
        <v>41</v>
      </c>
      <c r="H441" s="4" t="s">
        <v>1618</v>
      </c>
      <c r="I441" s="4" t="s">
        <v>61</v>
      </c>
      <c r="J441" s="4" t="s">
        <v>29</v>
      </c>
      <c r="K441" s="4" t="s">
        <v>153</v>
      </c>
      <c r="L441" s="4" t="s">
        <v>641</v>
      </c>
      <c r="M441" s="4" t="s">
        <v>65</v>
      </c>
      <c r="N441" s="4" t="s">
        <v>33</v>
      </c>
      <c r="O441" s="4" t="s">
        <v>120</v>
      </c>
      <c r="P441" s="4" t="s">
        <v>35</v>
      </c>
      <c r="Q441" s="4">
        <v>6</v>
      </c>
      <c r="R441" s="4">
        <v>2037</v>
      </c>
      <c r="S441" s="5">
        <v>15</v>
      </c>
      <c r="T441" s="6">
        <f t="shared" si="18"/>
        <v>10388.700000000001</v>
      </c>
      <c r="U441" s="4">
        <v>1449.86</v>
      </c>
      <c r="V441" t="str">
        <f t="shared" si="19"/>
        <v>Jan</v>
      </c>
      <c r="W441">
        <f t="shared" si="20"/>
        <v>0.13956125405488654</v>
      </c>
    </row>
    <row r="442" spans="1:23" x14ac:dyDescent="0.4">
      <c r="A442" s="4" t="s">
        <v>1619</v>
      </c>
      <c r="B442" s="4" t="s">
        <v>1620</v>
      </c>
      <c r="C442" s="11">
        <v>45157</v>
      </c>
      <c r="D442" s="4" t="s">
        <v>39</v>
      </c>
      <c r="E442" s="4" t="s">
        <v>24</v>
      </c>
      <c r="F442" s="4" t="s">
        <v>25</v>
      </c>
      <c r="G442" s="4" t="s">
        <v>41</v>
      </c>
      <c r="H442" s="4" t="s">
        <v>1621</v>
      </c>
      <c r="I442" s="4" t="s">
        <v>28</v>
      </c>
      <c r="J442" s="4" t="s">
        <v>29</v>
      </c>
      <c r="K442" s="4" t="s">
        <v>63</v>
      </c>
      <c r="L442" s="4" t="s">
        <v>472</v>
      </c>
      <c r="M442" s="4" t="s">
        <v>65</v>
      </c>
      <c r="N442" s="4" t="s">
        <v>33</v>
      </c>
      <c r="O442" s="4" t="s">
        <v>82</v>
      </c>
      <c r="P442" s="4" t="s">
        <v>74</v>
      </c>
      <c r="Q442" s="4">
        <v>9</v>
      </c>
      <c r="R442" s="4">
        <v>1451</v>
      </c>
      <c r="S442" s="5">
        <v>0</v>
      </c>
      <c r="T442" s="6">
        <f t="shared" si="18"/>
        <v>13059</v>
      </c>
      <c r="U442" s="4">
        <v>1825.11</v>
      </c>
      <c r="V442" t="str">
        <f t="shared" si="19"/>
        <v>Aug</v>
      </c>
      <c r="W442">
        <f t="shared" si="20"/>
        <v>0.13975878704341832</v>
      </c>
    </row>
    <row r="443" spans="1:23" x14ac:dyDescent="0.4">
      <c r="A443" s="4" t="s">
        <v>1622</v>
      </c>
      <c r="B443" s="4" t="s">
        <v>1530</v>
      </c>
      <c r="C443" s="11">
        <v>44719</v>
      </c>
      <c r="D443" s="4" t="s">
        <v>39</v>
      </c>
      <c r="E443" s="4" t="s">
        <v>24</v>
      </c>
      <c r="F443" s="4" t="s">
        <v>70</v>
      </c>
      <c r="G443" s="4" t="s">
        <v>59</v>
      </c>
      <c r="H443" s="4" t="s">
        <v>1623</v>
      </c>
      <c r="I443" s="4" t="s">
        <v>61</v>
      </c>
      <c r="J443" s="4" t="s">
        <v>62</v>
      </c>
      <c r="K443" s="4" t="s">
        <v>63</v>
      </c>
      <c r="L443" s="4" t="s">
        <v>1605</v>
      </c>
      <c r="M443" s="4" t="s">
        <v>65</v>
      </c>
      <c r="N443" s="4" t="s">
        <v>33</v>
      </c>
      <c r="O443" s="4" t="s">
        <v>66</v>
      </c>
      <c r="P443" s="4" t="s">
        <v>88</v>
      </c>
      <c r="Q443" s="4">
        <v>1</v>
      </c>
      <c r="R443" s="4">
        <v>25410</v>
      </c>
      <c r="S443" s="5">
        <v>5</v>
      </c>
      <c r="T443" s="6">
        <f t="shared" si="18"/>
        <v>24139.5</v>
      </c>
      <c r="U443" s="4">
        <v>1270.3</v>
      </c>
      <c r="V443" t="str">
        <f t="shared" si="19"/>
        <v>Jun</v>
      </c>
      <c r="W443">
        <f t="shared" si="20"/>
        <v>5.2623293771619131E-2</v>
      </c>
    </row>
    <row r="444" spans="1:23" x14ac:dyDescent="0.4">
      <c r="A444" s="4" t="s">
        <v>1624</v>
      </c>
      <c r="B444" s="4" t="s">
        <v>1625</v>
      </c>
      <c r="C444" s="11">
        <v>44588</v>
      </c>
      <c r="D444" s="4" t="s">
        <v>124</v>
      </c>
      <c r="E444" s="4" t="s">
        <v>24</v>
      </c>
      <c r="F444" s="4" t="s">
        <v>40</v>
      </c>
      <c r="G444" s="4" t="s">
        <v>59</v>
      </c>
      <c r="H444" s="4" t="s">
        <v>1627</v>
      </c>
      <c r="I444" s="4" t="s">
        <v>28</v>
      </c>
      <c r="J444" s="4" t="s">
        <v>62</v>
      </c>
      <c r="K444" s="4" t="s">
        <v>153</v>
      </c>
      <c r="L444" s="4" t="s">
        <v>530</v>
      </c>
      <c r="M444" s="4" t="s">
        <v>65</v>
      </c>
      <c r="N444" s="4" t="s">
        <v>54</v>
      </c>
      <c r="O444" s="4" t="s">
        <v>82</v>
      </c>
      <c r="P444" s="4" t="s">
        <v>88</v>
      </c>
      <c r="Q444" s="4">
        <v>3</v>
      </c>
      <c r="R444" s="4">
        <v>39750</v>
      </c>
      <c r="S444" s="5">
        <v>20</v>
      </c>
      <c r="T444" s="6">
        <f t="shared" si="18"/>
        <v>95400</v>
      </c>
      <c r="U444" s="4">
        <v>6741.01</v>
      </c>
      <c r="V444" t="str">
        <f t="shared" si="19"/>
        <v>Jan</v>
      </c>
      <c r="W444">
        <f t="shared" si="20"/>
        <v>7.0660482180293499E-2</v>
      </c>
    </row>
    <row r="445" spans="1:23" x14ac:dyDescent="0.4">
      <c r="A445" s="4" t="s">
        <v>1628</v>
      </c>
      <c r="B445" s="4" t="s">
        <v>1506</v>
      </c>
      <c r="C445" s="11">
        <v>45228</v>
      </c>
      <c r="D445" s="4" t="s">
        <v>98</v>
      </c>
      <c r="E445" s="4" t="s">
        <v>24</v>
      </c>
      <c r="F445" s="4" t="s">
        <v>25</v>
      </c>
      <c r="G445" s="4" t="s">
        <v>59</v>
      </c>
      <c r="H445" s="4" t="s">
        <v>1629</v>
      </c>
      <c r="I445" s="4" t="s">
        <v>28</v>
      </c>
      <c r="J445" s="4" t="s">
        <v>79</v>
      </c>
      <c r="K445" s="4" t="s">
        <v>101</v>
      </c>
      <c r="L445" s="4" t="s">
        <v>871</v>
      </c>
      <c r="M445" s="4" t="s">
        <v>95</v>
      </c>
      <c r="N445" s="4" t="s">
        <v>33</v>
      </c>
      <c r="O445" s="4" t="s">
        <v>82</v>
      </c>
      <c r="P445" s="4" t="s">
        <v>35</v>
      </c>
      <c r="Q445" s="4">
        <v>5</v>
      </c>
      <c r="R445" s="4">
        <v>14122</v>
      </c>
      <c r="S445" s="5">
        <v>5</v>
      </c>
      <c r="T445" s="6">
        <f t="shared" si="18"/>
        <v>67079.5</v>
      </c>
      <c r="U445" s="4">
        <v>10085.17</v>
      </c>
      <c r="V445" t="str">
        <f t="shared" si="19"/>
        <v>Oct</v>
      </c>
      <c r="W445">
        <f t="shared" si="20"/>
        <v>0.1503465291184341</v>
      </c>
    </row>
    <row r="446" spans="1:23" x14ac:dyDescent="0.4">
      <c r="A446" s="4" t="s">
        <v>1630</v>
      </c>
      <c r="B446" s="4" t="s">
        <v>1631</v>
      </c>
      <c r="C446" s="11">
        <v>45053</v>
      </c>
      <c r="D446" s="4" t="s">
        <v>23</v>
      </c>
      <c r="E446" s="4" t="s">
        <v>24</v>
      </c>
      <c r="F446" s="4" t="s">
        <v>26</v>
      </c>
      <c r="G446" s="4" t="s">
        <v>92</v>
      </c>
      <c r="H446" s="4" t="s">
        <v>1632</v>
      </c>
      <c r="I446" s="4" t="s">
        <v>43</v>
      </c>
      <c r="J446" s="4" t="s">
        <v>79</v>
      </c>
      <c r="K446" s="4" t="s">
        <v>153</v>
      </c>
      <c r="L446" s="4" t="s">
        <v>1633</v>
      </c>
      <c r="M446" s="4" t="s">
        <v>65</v>
      </c>
      <c r="N446" s="4" t="s">
        <v>54</v>
      </c>
      <c r="O446" s="4" t="s">
        <v>46</v>
      </c>
      <c r="P446" s="4" t="s">
        <v>74</v>
      </c>
      <c r="Q446" s="4">
        <v>10</v>
      </c>
      <c r="R446" s="4">
        <v>33890</v>
      </c>
      <c r="S446" s="5">
        <v>5</v>
      </c>
      <c r="T446" s="6">
        <f t="shared" si="18"/>
        <v>321955</v>
      </c>
      <c r="U446" s="4">
        <v>63068.54</v>
      </c>
      <c r="V446" t="str">
        <f t="shared" si="19"/>
        <v>May</v>
      </c>
      <c r="W446">
        <f t="shared" si="20"/>
        <v>0.1958924073240049</v>
      </c>
    </row>
    <row r="447" spans="1:23" x14ac:dyDescent="0.4">
      <c r="A447" s="4" t="s">
        <v>1634</v>
      </c>
      <c r="B447" s="4" t="s">
        <v>239</v>
      </c>
      <c r="C447" s="11">
        <v>45349</v>
      </c>
      <c r="D447" s="4" t="s">
        <v>98</v>
      </c>
      <c r="E447" s="4" t="s">
        <v>24</v>
      </c>
      <c r="F447" s="4" t="s">
        <v>58</v>
      </c>
      <c r="G447" s="4" t="s">
        <v>26</v>
      </c>
      <c r="H447" s="4" t="s">
        <v>1635</v>
      </c>
      <c r="I447" s="4" t="s">
        <v>43</v>
      </c>
      <c r="J447" s="4" t="s">
        <v>79</v>
      </c>
      <c r="K447" s="4" t="s">
        <v>86</v>
      </c>
      <c r="L447" s="4" t="s">
        <v>592</v>
      </c>
      <c r="M447" s="4" t="s">
        <v>73</v>
      </c>
      <c r="N447" s="4" t="s">
        <v>33</v>
      </c>
      <c r="O447" s="4" t="s">
        <v>82</v>
      </c>
      <c r="P447" s="4" t="s">
        <v>47</v>
      </c>
      <c r="Q447" s="4">
        <v>1</v>
      </c>
      <c r="R447" s="4">
        <v>39839</v>
      </c>
      <c r="S447" s="5">
        <v>15</v>
      </c>
      <c r="T447" s="6">
        <f t="shared" si="18"/>
        <v>33863.15</v>
      </c>
      <c r="U447" s="4">
        <v>531.88</v>
      </c>
      <c r="V447" t="str">
        <f t="shared" si="19"/>
        <v>Feb</v>
      </c>
      <c r="W447">
        <f t="shared" si="20"/>
        <v>1.570674907679882E-2</v>
      </c>
    </row>
    <row r="448" spans="1:23" x14ac:dyDescent="0.4">
      <c r="A448" s="4" t="s">
        <v>1636</v>
      </c>
      <c r="B448" s="4" t="s">
        <v>629</v>
      </c>
      <c r="C448" s="11">
        <v>45545</v>
      </c>
      <c r="D448" s="4" t="s">
        <v>98</v>
      </c>
      <c r="E448" s="4" t="s">
        <v>24</v>
      </c>
      <c r="F448" s="4" t="s">
        <v>25</v>
      </c>
      <c r="G448" s="4" t="s">
        <v>41</v>
      </c>
      <c r="H448" s="4" t="s">
        <v>1637</v>
      </c>
      <c r="I448" s="4" t="s">
        <v>28</v>
      </c>
      <c r="J448" s="4" t="s">
        <v>79</v>
      </c>
      <c r="K448" s="4" t="s">
        <v>44</v>
      </c>
      <c r="L448" s="4" t="s">
        <v>80</v>
      </c>
      <c r="M448" s="4" t="s">
        <v>73</v>
      </c>
      <c r="N448" s="4" t="s">
        <v>54</v>
      </c>
      <c r="O448" s="4" t="s">
        <v>66</v>
      </c>
      <c r="P448" s="4" t="s">
        <v>47</v>
      </c>
      <c r="Q448" s="4">
        <v>6</v>
      </c>
      <c r="R448" s="4">
        <v>21515</v>
      </c>
      <c r="S448" s="5">
        <v>0</v>
      </c>
      <c r="T448" s="6">
        <f t="shared" si="18"/>
        <v>129090</v>
      </c>
      <c r="U448" s="4">
        <v>27462.69</v>
      </c>
      <c r="V448" t="str">
        <f t="shared" si="19"/>
        <v>Sep</v>
      </c>
      <c r="W448">
        <f t="shared" si="20"/>
        <v>0.21274064606088774</v>
      </c>
    </row>
    <row r="449" spans="1:23" x14ac:dyDescent="0.4">
      <c r="A449" s="4" t="s">
        <v>1638</v>
      </c>
      <c r="B449" s="4" t="s">
        <v>1551</v>
      </c>
      <c r="C449" s="11">
        <v>44774</v>
      </c>
      <c r="D449" s="4" t="s">
        <v>98</v>
      </c>
      <c r="E449" s="4" t="s">
        <v>24</v>
      </c>
      <c r="F449" s="4" t="s">
        <v>70</v>
      </c>
      <c r="G449" s="4" t="s">
        <v>41</v>
      </c>
      <c r="H449" s="4" t="s">
        <v>1639</v>
      </c>
      <c r="I449" s="4" t="s">
        <v>28</v>
      </c>
      <c r="J449" s="4" t="s">
        <v>79</v>
      </c>
      <c r="K449" s="4" t="s">
        <v>63</v>
      </c>
      <c r="L449" s="4" t="s">
        <v>500</v>
      </c>
      <c r="M449" s="4" t="s">
        <v>32</v>
      </c>
      <c r="N449" s="4" t="s">
        <v>54</v>
      </c>
      <c r="O449" s="4" t="s">
        <v>34</v>
      </c>
      <c r="P449" s="4" t="s">
        <v>74</v>
      </c>
      <c r="Q449" s="4">
        <v>9</v>
      </c>
      <c r="R449" s="4">
        <v>36574</v>
      </c>
      <c r="S449" s="5">
        <v>0</v>
      </c>
      <c r="T449" s="6">
        <f t="shared" si="18"/>
        <v>329166</v>
      </c>
      <c r="U449" s="4">
        <v>83800.13</v>
      </c>
      <c r="V449" t="str">
        <f t="shared" si="19"/>
        <v>Jul</v>
      </c>
      <c r="W449">
        <f t="shared" si="20"/>
        <v>0.2545831890292436</v>
      </c>
    </row>
    <row r="450" spans="1:23" x14ac:dyDescent="0.4">
      <c r="A450" s="4" t="s">
        <v>1640</v>
      </c>
      <c r="B450" s="4" t="s">
        <v>1641</v>
      </c>
      <c r="C450" s="11">
        <v>44907</v>
      </c>
      <c r="D450" s="4" t="s">
        <v>39</v>
      </c>
      <c r="E450" s="4" t="s">
        <v>24</v>
      </c>
      <c r="F450" s="4" t="s">
        <v>58</v>
      </c>
      <c r="G450" s="4" t="s">
        <v>59</v>
      </c>
      <c r="H450" s="4" t="s">
        <v>1643</v>
      </c>
      <c r="I450" s="4" t="s">
        <v>43</v>
      </c>
      <c r="J450" s="4" t="s">
        <v>62</v>
      </c>
      <c r="K450" s="4" t="s">
        <v>30</v>
      </c>
      <c r="L450" s="4" t="s">
        <v>583</v>
      </c>
      <c r="M450" s="4" t="s">
        <v>65</v>
      </c>
      <c r="N450" s="4" t="s">
        <v>33</v>
      </c>
      <c r="O450" s="4" t="s">
        <v>120</v>
      </c>
      <c r="P450" s="4" t="s">
        <v>74</v>
      </c>
      <c r="Q450" s="4">
        <v>8</v>
      </c>
      <c r="R450" s="4">
        <v>23232</v>
      </c>
      <c r="S450" s="5">
        <v>10</v>
      </c>
      <c r="T450" s="6">
        <f t="shared" si="18"/>
        <v>167270.39999999999</v>
      </c>
      <c r="U450" s="4">
        <v>-626.05999999999995</v>
      </c>
      <c r="V450" t="str">
        <f t="shared" si="19"/>
        <v>Dec</v>
      </c>
      <c r="W450">
        <f t="shared" si="20"/>
        <v>-3.7428020737679825E-3</v>
      </c>
    </row>
    <row r="451" spans="1:23" x14ac:dyDescent="0.4">
      <c r="A451" s="4" t="s">
        <v>1644</v>
      </c>
      <c r="B451" s="4" t="s">
        <v>1645</v>
      </c>
      <c r="C451" s="11">
        <v>45414</v>
      </c>
      <c r="D451" s="4" t="s">
        <v>124</v>
      </c>
      <c r="E451" s="4" t="s">
        <v>24</v>
      </c>
      <c r="F451" s="4" t="s">
        <v>26</v>
      </c>
      <c r="G451" s="4" t="s">
        <v>59</v>
      </c>
      <c r="H451" s="4" t="s">
        <v>1646</v>
      </c>
      <c r="I451" s="4" t="s">
        <v>61</v>
      </c>
      <c r="J451" s="4" t="s">
        <v>29</v>
      </c>
      <c r="K451" s="4" t="s">
        <v>30</v>
      </c>
      <c r="L451" s="4" t="s">
        <v>1563</v>
      </c>
      <c r="M451" s="4" t="s">
        <v>65</v>
      </c>
      <c r="N451" s="4" t="s">
        <v>54</v>
      </c>
      <c r="O451" s="4" t="s">
        <v>34</v>
      </c>
      <c r="P451" s="4" t="s">
        <v>35</v>
      </c>
      <c r="Q451" s="4">
        <v>9</v>
      </c>
      <c r="R451" s="4">
        <v>29959</v>
      </c>
      <c r="S451" s="5">
        <v>10</v>
      </c>
      <c r="T451" s="6">
        <f t="shared" ref="T451:T514" si="21">Q451*R451*(100-S451)/100</f>
        <v>242667.9</v>
      </c>
      <c r="U451" s="4">
        <v>26426.15</v>
      </c>
      <c r="V451" t="str">
        <f t="shared" ref="V451:V514" si="22">TEXT(B451,"MMM")</f>
        <v>May</v>
      </c>
      <c r="W451">
        <f t="shared" ref="W451:W514" si="23">U451/T451</f>
        <v>0.10889841631299402</v>
      </c>
    </row>
    <row r="452" spans="1:23" x14ac:dyDescent="0.4">
      <c r="A452" s="4" t="s">
        <v>1647</v>
      </c>
      <c r="B452" s="4" t="s">
        <v>1648</v>
      </c>
      <c r="C452" s="11">
        <v>45344</v>
      </c>
      <c r="D452" s="4" t="s">
        <v>39</v>
      </c>
      <c r="E452" s="4" t="s">
        <v>24</v>
      </c>
      <c r="F452" s="4" t="s">
        <v>40</v>
      </c>
      <c r="G452" s="4" t="s">
        <v>92</v>
      </c>
      <c r="H452" s="4" t="s">
        <v>1649</v>
      </c>
      <c r="I452" s="4" t="s">
        <v>28</v>
      </c>
      <c r="J452" s="4" t="s">
        <v>29</v>
      </c>
      <c r="K452" s="4" t="s">
        <v>63</v>
      </c>
      <c r="L452" s="4" t="s">
        <v>114</v>
      </c>
      <c r="M452" s="4" t="s">
        <v>73</v>
      </c>
      <c r="N452" s="4" t="s">
        <v>54</v>
      </c>
      <c r="O452" s="4" t="s">
        <v>120</v>
      </c>
      <c r="P452" s="4" t="s">
        <v>74</v>
      </c>
      <c r="Q452" s="4">
        <v>7</v>
      </c>
      <c r="R452" s="4">
        <v>37700</v>
      </c>
      <c r="S452" s="5">
        <v>0</v>
      </c>
      <c r="T452" s="6">
        <f t="shared" si="21"/>
        <v>263900</v>
      </c>
      <c r="U452" s="4">
        <v>78778.61</v>
      </c>
      <c r="V452" t="str">
        <f t="shared" si="22"/>
        <v>Feb</v>
      </c>
      <c r="W452">
        <f t="shared" si="23"/>
        <v>0.29851690034103828</v>
      </c>
    </row>
    <row r="453" spans="1:23" x14ac:dyDescent="0.4">
      <c r="A453" s="4" t="s">
        <v>1650</v>
      </c>
      <c r="B453" s="4" t="s">
        <v>1651</v>
      </c>
      <c r="C453" s="11">
        <v>44627</v>
      </c>
      <c r="D453" s="4" t="s">
        <v>124</v>
      </c>
      <c r="E453" s="4" t="s">
        <v>24</v>
      </c>
      <c r="F453" s="4" t="s">
        <v>26</v>
      </c>
      <c r="G453" s="4" t="s">
        <v>41</v>
      </c>
      <c r="H453" s="4" t="s">
        <v>1653</v>
      </c>
      <c r="I453" s="4" t="s">
        <v>43</v>
      </c>
      <c r="J453" s="4" t="s">
        <v>29</v>
      </c>
      <c r="K453" s="4" t="s">
        <v>30</v>
      </c>
      <c r="L453" s="4" t="s">
        <v>176</v>
      </c>
      <c r="M453" s="4" t="s">
        <v>81</v>
      </c>
      <c r="N453" s="4" t="s">
        <v>33</v>
      </c>
      <c r="O453" s="4" t="s">
        <v>82</v>
      </c>
      <c r="P453" s="4" t="s">
        <v>88</v>
      </c>
      <c r="Q453" s="4">
        <v>8</v>
      </c>
      <c r="R453" s="4">
        <v>31636</v>
      </c>
      <c r="S453" s="5">
        <v>15</v>
      </c>
      <c r="T453" s="6">
        <f t="shared" si="21"/>
        <v>215124.8</v>
      </c>
      <c r="U453" s="4">
        <v>2236.39</v>
      </c>
      <c r="V453" t="str">
        <f t="shared" si="22"/>
        <v>Feb</v>
      </c>
      <c r="W453">
        <f t="shared" si="23"/>
        <v>1.0395779566093728E-2</v>
      </c>
    </row>
    <row r="454" spans="1:23" x14ac:dyDescent="0.4">
      <c r="A454" s="4" t="s">
        <v>1654</v>
      </c>
      <c r="B454" s="4" t="s">
        <v>1655</v>
      </c>
      <c r="C454" s="11">
        <v>44968</v>
      </c>
      <c r="D454" s="4" t="s">
        <v>39</v>
      </c>
      <c r="E454" s="4" t="s">
        <v>24</v>
      </c>
      <c r="F454" s="4" t="s">
        <v>70</v>
      </c>
      <c r="G454" s="4" t="s">
        <v>59</v>
      </c>
      <c r="H454" s="4" t="s">
        <v>1656</v>
      </c>
      <c r="I454" s="4" t="s">
        <v>61</v>
      </c>
      <c r="J454" s="4" t="s">
        <v>62</v>
      </c>
      <c r="K454" s="4" t="s">
        <v>101</v>
      </c>
      <c r="L454" s="4" t="s">
        <v>862</v>
      </c>
      <c r="M454" s="4" t="s">
        <v>95</v>
      </c>
      <c r="N454" s="4" t="s">
        <v>33</v>
      </c>
      <c r="O454" s="4" t="s">
        <v>46</v>
      </c>
      <c r="P454" s="4" t="s">
        <v>47</v>
      </c>
      <c r="Q454" s="4">
        <v>10</v>
      </c>
      <c r="R454" s="4">
        <v>27682</v>
      </c>
      <c r="S454" s="5">
        <v>5</v>
      </c>
      <c r="T454" s="6">
        <f t="shared" si="21"/>
        <v>262979</v>
      </c>
      <c r="U454" s="4">
        <v>8739.2999999999993</v>
      </c>
      <c r="V454" t="str">
        <f t="shared" si="22"/>
        <v>Feb</v>
      </c>
      <c r="W454">
        <f t="shared" si="23"/>
        <v>3.3231931066739169E-2</v>
      </c>
    </row>
    <row r="455" spans="1:23" x14ac:dyDescent="0.4">
      <c r="A455" s="4" t="s">
        <v>1657</v>
      </c>
      <c r="B455" s="4" t="s">
        <v>1658</v>
      </c>
      <c r="C455" s="11">
        <v>44668</v>
      </c>
      <c r="D455" s="4" t="s">
        <v>124</v>
      </c>
      <c r="E455" s="4" t="s">
        <v>24</v>
      </c>
      <c r="F455" s="4" t="s">
        <v>40</v>
      </c>
      <c r="G455" s="4" t="s">
        <v>41</v>
      </c>
      <c r="H455" s="4" t="s">
        <v>1659</v>
      </c>
      <c r="I455" s="4" t="s">
        <v>43</v>
      </c>
      <c r="J455" s="4" t="s">
        <v>29</v>
      </c>
      <c r="K455" s="4" t="s">
        <v>86</v>
      </c>
      <c r="L455" s="4" t="s">
        <v>622</v>
      </c>
      <c r="M455" s="4" t="s">
        <v>73</v>
      </c>
      <c r="N455" s="4" t="s">
        <v>54</v>
      </c>
      <c r="O455" s="4" t="s">
        <v>34</v>
      </c>
      <c r="P455" s="4" t="s">
        <v>88</v>
      </c>
      <c r="Q455" s="4">
        <v>1</v>
      </c>
      <c r="R455" s="4">
        <v>23102</v>
      </c>
      <c r="S455" s="5">
        <v>5</v>
      </c>
      <c r="T455" s="6">
        <f t="shared" si="21"/>
        <v>21946.9</v>
      </c>
      <c r="U455" s="4">
        <v>2592.36</v>
      </c>
      <c r="V455" t="str">
        <f t="shared" si="22"/>
        <v>Apr</v>
      </c>
      <c r="W455">
        <f t="shared" si="23"/>
        <v>0.11811964332092459</v>
      </c>
    </row>
    <row r="456" spans="1:23" x14ac:dyDescent="0.4">
      <c r="A456" s="4" t="s">
        <v>1660</v>
      </c>
      <c r="B456" s="4" t="s">
        <v>303</v>
      </c>
      <c r="C456" s="11">
        <v>45267</v>
      </c>
      <c r="D456" s="4" t="s">
        <v>23</v>
      </c>
      <c r="E456" s="4" t="s">
        <v>24</v>
      </c>
      <c r="F456" s="4" t="s">
        <v>25</v>
      </c>
      <c r="G456" s="4" t="s">
        <v>59</v>
      </c>
      <c r="H456" s="4" t="s">
        <v>878</v>
      </c>
      <c r="I456" s="4" t="s">
        <v>43</v>
      </c>
      <c r="J456" s="4" t="s">
        <v>79</v>
      </c>
      <c r="K456" s="4" t="s">
        <v>63</v>
      </c>
      <c r="L456" s="4" t="s">
        <v>597</v>
      </c>
      <c r="M456" s="4" t="s">
        <v>95</v>
      </c>
      <c r="N456" s="4" t="s">
        <v>33</v>
      </c>
      <c r="O456" s="4" t="s">
        <v>120</v>
      </c>
      <c r="P456" s="4" t="s">
        <v>88</v>
      </c>
      <c r="Q456" s="4">
        <v>9</v>
      </c>
      <c r="R456" s="4">
        <v>12616</v>
      </c>
      <c r="S456" s="5">
        <v>10</v>
      </c>
      <c r="T456" s="6">
        <f t="shared" si="21"/>
        <v>102189.6</v>
      </c>
      <c r="U456" s="4">
        <v>12142.21</v>
      </c>
      <c r="V456" t="str">
        <f t="shared" si="22"/>
        <v>Dec</v>
      </c>
      <c r="W456">
        <f t="shared" si="23"/>
        <v>0.11882040833900905</v>
      </c>
    </row>
    <row r="457" spans="1:23" x14ac:dyDescent="0.4">
      <c r="A457" s="4" t="s">
        <v>1661</v>
      </c>
      <c r="B457" s="4" t="s">
        <v>157</v>
      </c>
      <c r="C457" s="11">
        <v>45165</v>
      </c>
      <c r="D457" s="4" t="s">
        <v>98</v>
      </c>
      <c r="E457" s="4" t="s">
        <v>24</v>
      </c>
      <c r="F457" s="4" t="s">
        <v>26</v>
      </c>
      <c r="G457" s="4" t="s">
        <v>92</v>
      </c>
      <c r="H457" s="4" t="s">
        <v>1662</v>
      </c>
      <c r="I457" s="4" t="s">
        <v>28</v>
      </c>
      <c r="J457" s="4" t="s">
        <v>62</v>
      </c>
      <c r="K457" s="4" t="s">
        <v>63</v>
      </c>
      <c r="L457" s="4" t="s">
        <v>31</v>
      </c>
      <c r="M457" s="4" t="s">
        <v>53</v>
      </c>
      <c r="N457" s="4" t="s">
        <v>33</v>
      </c>
      <c r="O457" s="4" t="s">
        <v>82</v>
      </c>
      <c r="P457" s="4" t="s">
        <v>35</v>
      </c>
      <c r="Q457" s="4">
        <v>10</v>
      </c>
      <c r="R457" s="4">
        <v>7662</v>
      </c>
      <c r="S457" s="5">
        <v>20</v>
      </c>
      <c r="T457" s="6">
        <f t="shared" si="21"/>
        <v>61296</v>
      </c>
      <c r="U457" s="4">
        <v>-4343.13</v>
      </c>
      <c r="V457" t="str">
        <f t="shared" si="22"/>
        <v>Aug</v>
      </c>
      <c r="W457">
        <f t="shared" si="23"/>
        <v>-7.0855031323414253E-2</v>
      </c>
    </row>
    <row r="458" spans="1:23" x14ac:dyDescent="0.4">
      <c r="A458" s="4" t="s">
        <v>1663</v>
      </c>
      <c r="B458" s="4" t="s">
        <v>1664</v>
      </c>
      <c r="C458" s="11">
        <v>44956</v>
      </c>
      <c r="D458" s="4" t="s">
        <v>124</v>
      </c>
      <c r="E458" s="4" t="s">
        <v>24</v>
      </c>
      <c r="F458" s="4" t="s">
        <v>58</v>
      </c>
      <c r="G458" s="4" t="s">
        <v>41</v>
      </c>
      <c r="H458" s="4" t="s">
        <v>1290</v>
      </c>
      <c r="I458" s="4" t="s">
        <v>28</v>
      </c>
      <c r="J458" s="4" t="s">
        <v>79</v>
      </c>
      <c r="K458" s="4" t="s">
        <v>30</v>
      </c>
      <c r="L458" s="4" t="s">
        <v>1486</v>
      </c>
      <c r="M458" s="4" t="s">
        <v>53</v>
      </c>
      <c r="N458" s="4" t="s">
        <v>54</v>
      </c>
      <c r="O458" s="4" t="s">
        <v>120</v>
      </c>
      <c r="P458" s="4" t="s">
        <v>35</v>
      </c>
      <c r="Q458" s="4">
        <v>1</v>
      </c>
      <c r="R458" s="4">
        <v>9008</v>
      </c>
      <c r="S458" s="5">
        <v>0</v>
      </c>
      <c r="T458" s="6">
        <f t="shared" si="21"/>
        <v>9008</v>
      </c>
      <c r="U458" s="4">
        <v>1804.77</v>
      </c>
      <c r="V458" t="str">
        <f t="shared" si="22"/>
        <v>Jan</v>
      </c>
      <c r="W458">
        <f t="shared" si="23"/>
        <v>0.20035190941385436</v>
      </c>
    </row>
    <row r="459" spans="1:23" x14ac:dyDescent="0.4">
      <c r="A459" s="4" t="s">
        <v>1665</v>
      </c>
      <c r="B459" s="4" t="s">
        <v>165</v>
      </c>
      <c r="C459" s="11">
        <v>45393</v>
      </c>
      <c r="D459" s="4" t="s">
        <v>23</v>
      </c>
      <c r="E459" s="4" t="s">
        <v>24</v>
      </c>
      <c r="F459" s="4" t="s">
        <v>25</v>
      </c>
      <c r="G459" s="4" t="s">
        <v>92</v>
      </c>
      <c r="H459" s="4" t="s">
        <v>1666</v>
      </c>
      <c r="I459" s="4" t="s">
        <v>43</v>
      </c>
      <c r="J459" s="4" t="s">
        <v>79</v>
      </c>
      <c r="K459" s="4" t="s">
        <v>153</v>
      </c>
      <c r="L459" s="4" t="s">
        <v>1667</v>
      </c>
      <c r="M459" s="4" t="s">
        <v>73</v>
      </c>
      <c r="N459" s="4" t="s">
        <v>54</v>
      </c>
      <c r="O459" s="4" t="s">
        <v>34</v>
      </c>
      <c r="P459" s="4" t="s">
        <v>74</v>
      </c>
      <c r="Q459" s="4">
        <v>8</v>
      </c>
      <c r="R459" s="4">
        <v>16289</v>
      </c>
      <c r="S459" s="5">
        <v>0</v>
      </c>
      <c r="T459" s="6">
        <f t="shared" si="21"/>
        <v>130312</v>
      </c>
      <c r="U459" s="4">
        <v>25093.39</v>
      </c>
      <c r="V459" t="str">
        <f t="shared" si="22"/>
        <v>Apr</v>
      </c>
      <c r="W459">
        <f t="shared" si="23"/>
        <v>0.19256392350666093</v>
      </c>
    </row>
    <row r="460" spans="1:23" x14ac:dyDescent="0.4">
      <c r="A460" s="4" t="s">
        <v>1668</v>
      </c>
      <c r="B460" s="4" t="s">
        <v>1669</v>
      </c>
      <c r="C460" s="11">
        <v>45087</v>
      </c>
      <c r="D460" s="4" t="s">
        <v>23</v>
      </c>
      <c r="E460" s="4" t="s">
        <v>24</v>
      </c>
      <c r="F460" s="4" t="s">
        <v>26</v>
      </c>
      <c r="G460" s="4" t="s">
        <v>41</v>
      </c>
      <c r="H460" s="4" t="s">
        <v>1671</v>
      </c>
      <c r="I460" s="4" t="s">
        <v>43</v>
      </c>
      <c r="J460" s="4" t="s">
        <v>79</v>
      </c>
      <c r="K460" s="4" t="s">
        <v>153</v>
      </c>
      <c r="L460" s="4" t="s">
        <v>114</v>
      </c>
      <c r="M460" s="4" t="s">
        <v>53</v>
      </c>
      <c r="N460" s="4" t="s">
        <v>54</v>
      </c>
      <c r="O460" s="4" t="s">
        <v>46</v>
      </c>
      <c r="P460" s="4" t="s">
        <v>35</v>
      </c>
      <c r="Q460" s="4">
        <v>3</v>
      </c>
      <c r="R460" s="4">
        <v>7420</v>
      </c>
      <c r="S460" s="5">
        <v>15</v>
      </c>
      <c r="T460" s="6">
        <f t="shared" si="21"/>
        <v>18921</v>
      </c>
      <c r="U460" s="4">
        <v>1808.29</v>
      </c>
      <c r="V460" t="str">
        <f t="shared" si="22"/>
        <v>Jun</v>
      </c>
      <c r="W460">
        <f t="shared" si="23"/>
        <v>9.5570530098831985E-2</v>
      </c>
    </row>
    <row r="461" spans="1:23" x14ac:dyDescent="0.4">
      <c r="A461" s="4" t="s">
        <v>1672</v>
      </c>
      <c r="B461" s="4" t="s">
        <v>1673</v>
      </c>
      <c r="C461" s="11">
        <v>44788</v>
      </c>
      <c r="D461" s="4" t="s">
        <v>98</v>
      </c>
      <c r="E461" s="4" t="s">
        <v>24</v>
      </c>
      <c r="F461" s="4" t="s">
        <v>70</v>
      </c>
      <c r="G461" s="4" t="s">
        <v>41</v>
      </c>
      <c r="H461" s="4" t="s">
        <v>1674</v>
      </c>
      <c r="I461" s="4" t="s">
        <v>61</v>
      </c>
      <c r="J461" s="4" t="s">
        <v>29</v>
      </c>
      <c r="K461" s="4" t="s">
        <v>153</v>
      </c>
      <c r="L461" s="4" t="s">
        <v>1026</v>
      </c>
      <c r="M461" s="4" t="s">
        <v>65</v>
      </c>
      <c r="N461" s="4" t="s">
        <v>33</v>
      </c>
      <c r="O461" s="4" t="s">
        <v>120</v>
      </c>
      <c r="P461" s="4" t="s">
        <v>74</v>
      </c>
      <c r="Q461" s="4">
        <v>1</v>
      </c>
      <c r="R461" s="4">
        <v>36553</v>
      </c>
      <c r="S461" s="5">
        <v>10</v>
      </c>
      <c r="T461" s="6">
        <f t="shared" si="21"/>
        <v>32897.699999999997</v>
      </c>
      <c r="U461" s="4">
        <v>3924.32</v>
      </c>
      <c r="V461" t="str">
        <f t="shared" si="22"/>
        <v>Aug</v>
      </c>
      <c r="W461">
        <f t="shared" si="23"/>
        <v>0.11928858248448981</v>
      </c>
    </row>
    <row r="462" spans="1:23" x14ac:dyDescent="0.4">
      <c r="A462" s="4" t="s">
        <v>1675</v>
      </c>
      <c r="B462" s="4" t="s">
        <v>759</v>
      </c>
      <c r="C462" s="11">
        <v>44819</v>
      </c>
      <c r="D462" s="4" t="s">
        <v>124</v>
      </c>
      <c r="E462" s="4" t="s">
        <v>24</v>
      </c>
      <c r="F462" s="4" t="s">
        <v>70</v>
      </c>
      <c r="G462" s="4" t="s">
        <v>92</v>
      </c>
      <c r="H462" s="4" t="s">
        <v>1676</v>
      </c>
      <c r="I462" s="4" t="s">
        <v>61</v>
      </c>
      <c r="J462" s="4" t="s">
        <v>62</v>
      </c>
      <c r="K462" s="4" t="s">
        <v>153</v>
      </c>
      <c r="L462" s="4" t="s">
        <v>149</v>
      </c>
      <c r="M462" s="4" t="s">
        <v>73</v>
      </c>
      <c r="N462" s="4" t="s">
        <v>54</v>
      </c>
      <c r="O462" s="4" t="s">
        <v>120</v>
      </c>
      <c r="P462" s="4" t="s">
        <v>74</v>
      </c>
      <c r="Q462" s="4">
        <v>8</v>
      </c>
      <c r="R462" s="4">
        <v>9384</v>
      </c>
      <c r="S462" s="5">
        <v>20</v>
      </c>
      <c r="T462" s="6">
        <f t="shared" si="21"/>
        <v>60057.599999999999</v>
      </c>
      <c r="U462" s="4">
        <v>-2492.02</v>
      </c>
      <c r="V462" t="str">
        <f t="shared" si="22"/>
        <v>Sep</v>
      </c>
      <c r="W462">
        <f t="shared" si="23"/>
        <v>-4.1493832587382783E-2</v>
      </c>
    </row>
    <row r="463" spans="1:23" x14ac:dyDescent="0.4">
      <c r="A463" s="4" t="s">
        <v>1677</v>
      </c>
      <c r="B463" s="4" t="s">
        <v>1007</v>
      </c>
      <c r="C463" s="11">
        <v>44785</v>
      </c>
      <c r="D463" s="4" t="s">
        <v>39</v>
      </c>
      <c r="E463" s="4" t="s">
        <v>24</v>
      </c>
      <c r="F463" s="4" t="s">
        <v>40</v>
      </c>
      <c r="G463" s="4" t="s">
        <v>99</v>
      </c>
      <c r="H463" s="4" t="s">
        <v>1678</v>
      </c>
      <c r="I463" s="4" t="s">
        <v>61</v>
      </c>
      <c r="J463" s="4" t="s">
        <v>29</v>
      </c>
      <c r="K463" s="4" t="s">
        <v>101</v>
      </c>
      <c r="L463" s="4" t="s">
        <v>511</v>
      </c>
      <c r="M463" s="4" t="s">
        <v>65</v>
      </c>
      <c r="N463" s="4" t="s">
        <v>54</v>
      </c>
      <c r="O463" s="4" t="s">
        <v>34</v>
      </c>
      <c r="P463" s="4" t="s">
        <v>47</v>
      </c>
      <c r="Q463" s="4">
        <v>9</v>
      </c>
      <c r="R463" s="4">
        <v>18198</v>
      </c>
      <c r="S463" s="5">
        <v>10</v>
      </c>
      <c r="T463" s="6">
        <f t="shared" si="21"/>
        <v>147403.79999999999</v>
      </c>
      <c r="U463" s="4">
        <v>6419.06</v>
      </c>
      <c r="V463" t="str">
        <f t="shared" si="22"/>
        <v>Aug</v>
      </c>
      <c r="W463">
        <f t="shared" si="23"/>
        <v>4.3547452643690331E-2</v>
      </c>
    </row>
    <row r="464" spans="1:23" x14ac:dyDescent="0.4">
      <c r="A464" s="4" t="s">
        <v>1679</v>
      </c>
      <c r="B464" s="4" t="s">
        <v>1680</v>
      </c>
      <c r="C464" s="11">
        <v>45501</v>
      </c>
      <c r="D464" s="4" t="s">
        <v>39</v>
      </c>
      <c r="E464" s="4" t="s">
        <v>24</v>
      </c>
      <c r="F464" s="4" t="s">
        <v>70</v>
      </c>
      <c r="G464" s="4" t="s">
        <v>41</v>
      </c>
      <c r="H464" s="4" t="s">
        <v>1681</v>
      </c>
      <c r="I464" s="4" t="s">
        <v>28</v>
      </c>
      <c r="J464" s="4" t="s">
        <v>29</v>
      </c>
      <c r="K464" s="4" t="s">
        <v>101</v>
      </c>
      <c r="L464" s="4" t="s">
        <v>1563</v>
      </c>
      <c r="M464" s="4" t="s">
        <v>53</v>
      </c>
      <c r="N464" s="4" t="s">
        <v>33</v>
      </c>
      <c r="O464" s="4" t="s">
        <v>46</v>
      </c>
      <c r="P464" s="4" t="s">
        <v>47</v>
      </c>
      <c r="Q464" s="4">
        <v>9</v>
      </c>
      <c r="R464" s="4">
        <v>16867</v>
      </c>
      <c r="S464" s="5">
        <v>20</v>
      </c>
      <c r="T464" s="6">
        <f t="shared" si="21"/>
        <v>121442.4</v>
      </c>
      <c r="U464" s="4">
        <v>-4139.91</v>
      </c>
      <c r="V464" t="str">
        <f t="shared" si="22"/>
        <v>Jul</v>
      </c>
      <c r="W464">
        <f t="shared" si="23"/>
        <v>-3.4089494278769193E-2</v>
      </c>
    </row>
    <row r="465" spans="1:23" x14ac:dyDescent="0.4">
      <c r="A465" s="4" t="s">
        <v>1682</v>
      </c>
      <c r="B465" s="4" t="s">
        <v>1157</v>
      </c>
      <c r="C465" s="11">
        <v>44914</v>
      </c>
      <c r="D465" s="4" t="s">
        <v>98</v>
      </c>
      <c r="E465" s="4" t="s">
        <v>24</v>
      </c>
      <c r="F465" s="4" t="s">
        <v>58</v>
      </c>
      <c r="G465" s="4" t="s">
        <v>26</v>
      </c>
      <c r="H465" s="4" t="s">
        <v>1684</v>
      </c>
      <c r="I465" s="4" t="s">
        <v>28</v>
      </c>
      <c r="J465" s="4" t="s">
        <v>29</v>
      </c>
      <c r="K465" s="4" t="s">
        <v>153</v>
      </c>
      <c r="L465" s="4" t="s">
        <v>753</v>
      </c>
      <c r="M465" s="4" t="s">
        <v>81</v>
      </c>
      <c r="N465" s="4" t="s">
        <v>33</v>
      </c>
      <c r="O465" s="4" t="s">
        <v>46</v>
      </c>
      <c r="P465" s="4" t="s">
        <v>74</v>
      </c>
      <c r="Q465" s="4">
        <v>1</v>
      </c>
      <c r="R465" s="4">
        <v>1706</v>
      </c>
      <c r="S465" s="5">
        <v>0</v>
      </c>
      <c r="T465" s="6">
        <f t="shared" si="21"/>
        <v>1706</v>
      </c>
      <c r="U465" s="4">
        <v>489.86</v>
      </c>
      <c r="V465" t="str">
        <f t="shared" si="22"/>
        <v>Dec</v>
      </c>
      <c r="W465">
        <f t="shared" si="23"/>
        <v>0.28713950762016416</v>
      </c>
    </row>
    <row r="466" spans="1:23" x14ac:dyDescent="0.4">
      <c r="A466" s="4" t="s">
        <v>1685</v>
      </c>
      <c r="B466" s="4" t="s">
        <v>1686</v>
      </c>
      <c r="C466" s="11">
        <v>44894</v>
      </c>
      <c r="D466" s="4" t="s">
        <v>98</v>
      </c>
      <c r="E466" s="4" t="s">
        <v>24</v>
      </c>
      <c r="F466" s="4" t="s">
        <v>26</v>
      </c>
      <c r="G466" s="4" t="s">
        <v>59</v>
      </c>
      <c r="H466" s="4" t="s">
        <v>1687</v>
      </c>
      <c r="I466" s="4" t="s">
        <v>61</v>
      </c>
      <c r="J466" s="4" t="s">
        <v>29</v>
      </c>
      <c r="K466" s="4" t="s">
        <v>153</v>
      </c>
      <c r="L466" s="4" t="s">
        <v>176</v>
      </c>
      <c r="M466" s="4" t="s">
        <v>32</v>
      </c>
      <c r="N466" s="4" t="s">
        <v>54</v>
      </c>
      <c r="O466" s="4" t="s">
        <v>34</v>
      </c>
      <c r="P466" s="4" t="s">
        <v>35</v>
      </c>
      <c r="Q466" s="4">
        <v>8</v>
      </c>
      <c r="R466" s="4">
        <v>49040</v>
      </c>
      <c r="S466" s="5">
        <v>15</v>
      </c>
      <c r="T466" s="6">
        <f t="shared" si="21"/>
        <v>333472</v>
      </c>
      <c r="U466" s="4">
        <v>-35558.29</v>
      </c>
      <c r="V466" t="str">
        <f t="shared" si="22"/>
        <v>Nov</v>
      </c>
      <c r="W466">
        <f t="shared" si="23"/>
        <v>-0.10663051170712984</v>
      </c>
    </row>
    <row r="467" spans="1:23" x14ac:dyDescent="0.4">
      <c r="A467" s="4" t="s">
        <v>1688</v>
      </c>
      <c r="B467" s="4" t="s">
        <v>830</v>
      </c>
      <c r="C467" s="11">
        <v>44699</v>
      </c>
      <c r="D467" s="4" t="s">
        <v>39</v>
      </c>
      <c r="E467" s="4" t="s">
        <v>24</v>
      </c>
      <c r="F467" s="4" t="s">
        <v>40</v>
      </c>
      <c r="G467" s="4" t="s">
        <v>92</v>
      </c>
      <c r="H467" s="4" t="s">
        <v>1690</v>
      </c>
      <c r="I467" s="4" t="s">
        <v>28</v>
      </c>
      <c r="J467" s="4" t="s">
        <v>62</v>
      </c>
      <c r="K467" s="4" t="s">
        <v>153</v>
      </c>
      <c r="L467" s="4" t="s">
        <v>597</v>
      </c>
      <c r="M467" s="4" t="s">
        <v>32</v>
      </c>
      <c r="N467" s="4" t="s">
        <v>54</v>
      </c>
      <c r="O467" s="4" t="s">
        <v>66</v>
      </c>
      <c r="P467" s="4" t="s">
        <v>35</v>
      </c>
      <c r="Q467" s="4">
        <v>1</v>
      </c>
      <c r="R467" s="4">
        <v>34946</v>
      </c>
      <c r="S467" s="5">
        <v>5</v>
      </c>
      <c r="T467" s="6">
        <f t="shared" si="21"/>
        <v>33198.699999999997</v>
      </c>
      <c r="U467" s="4">
        <v>1560.08</v>
      </c>
      <c r="V467" t="str">
        <f t="shared" si="22"/>
        <v>May</v>
      </c>
      <c r="W467">
        <f t="shared" si="23"/>
        <v>4.6992201501866039E-2</v>
      </c>
    </row>
    <row r="468" spans="1:23" x14ac:dyDescent="0.4">
      <c r="A468" s="4" t="s">
        <v>1691</v>
      </c>
      <c r="B468" s="4" t="s">
        <v>1467</v>
      </c>
      <c r="C468" s="11">
        <v>44626</v>
      </c>
      <c r="D468" s="4" t="s">
        <v>39</v>
      </c>
      <c r="E468" s="4" t="s">
        <v>24</v>
      </c>
      <c r="F468" s="4" t="s">
        <v>26</v>
      </c>
      <c r="G468" s="4" t="s">
        <v>41</v>
      </c>
      <c r="H468" s="4" t="s">
        <v>1693</v>
      </c>
      <c r="I468" s="4" t="s">
        <v>43</v>
      </c>
      <c r="J468" s="4" t="s">
        <v>62</v>
      </c>
      <c r="K468" s="4" t="s">
        <v>44</v>
      </c>
      <c r="L468" s="4" t="s">
        <v>605</v>
      </c>
      <c r="M468" s="4" t="s">
        <v>95</v>
      </c>
      <c r="N468" s="4" t="s">
        <v>33</v>
      </c>
      <c r="O468" s="4" t="s">
        <v>34</v>
      </c>
      <c r="P468" s="4" t="s">
        <v>74</v>
      </c>
      <c r="Q468" s="4">
        <v>7</v>
      </c>
      <c r="R468" s="4">
        <v>1804</v>
      </c>
      <c r="S468" s="5">
        <v>10</v>
      </c>
      <c r="T468" s="6">
        <f t="shared" si="21"/>
        <v>11365.2</v>
      </c>
      <c r="U468" s="4">
        <v>1240.4000000000001</v>
      </c>
      <c r="V468" t="str">
        <f t="shared" si="22"/>
        <v>Feb</v>
      </c>
      <c r="W468">
        <f t="shared" si="23"/>
        <v>0.10914018231091402</v>
      </c>
    </row>
    <row r="469" spans="1:23" x14ac:dyDescent="0.4">
      <c r="A469" s="4" t="s">
        <v>1694</v>
      </c>
      <c r="B469" s="4" t="s">
        <v>1695</v>
      </c>
      <c r="C469" s="11">
        <v>44593</v>
      </c>
      <c r="D469" s="4" t="s">
        <v>98</v>
      </c>
      <c r="E469" s="4" t="s">
        <v>24</v>
      </c>
      <c r="F469" s="4" t="s">
        <v>58</v>
      </c>
      <c r="G469" s="4" t="s">
        <v>99</v>
      </c>
      <c r="H469" s="4" t="s">
        <v>1697</v>
      </c>
      <c r="I469" s="4" t="s">
        <v>61</v>
      </c>
      <c r="J469" s="4" t="s">
        <v>62</v>
      </c>
      <c r="K469" s="4" t="s">
        <v>30</v>
      </c>
      <c r="L469" s="4" t="s">
        <v>1040</v>
      </c>
      <c r="M469" s="4" t="s">
        <v>32</v>
      </c>
      <c r="N469" s="4" t="s">
        <v>54</v>
      </c>
      <c r="O469" s="4" t="s">
        <v>82</v>
      </c>
      <c r="P469" s="4" t="s">
        <v>35</v>
      </c>
      <c r="Q469" s="4">
        <v>8</v>
      </c>
      <c r="R469" s="4">
        <v>17327</v>
      </c>
      <c r="S469" s="5">
        <v>10</v>
      </c>
      <c r="T469" s="6">
        <f t="shared" si="21"/>
        <v>124754.4</v>
      </c>
      <c r="U469" s="4">
        <v>26941.89</v>
      </c>
      <c r="V469" t="str">
        <f t="shared" si="22"/>
        <v>Jan</v>
      </c>
      <c r="W469">
        <f t="shared" si="23"/>
        <v>0.21595943710201804</v>
      </c>
    </row>
    <row r="470" spans="1:23" x14ac:dyDescent="0.4">
      <c r="A470" s="4" t="s">
        <v>1698</v>
      </c>
      <c r="B470" s="4" t="s">
        <v>1699</v>
      </c>
      <c r="C470" s="11">
        <v>44609</v>
      </c>
      <c r="D470" s="4" t="s">
        <v>39</v>
      </c>
      <c r="E470" s="4" t="s">
        <v>24</v>
      </c>
      <c r="F470" s="4" t="s">
        <v>26</v>
      </c>
      <c r="G470" s="4" t="s">
        <v>92</v>
      </c>
      <c r="H470" s="4" t="s">
        <v>1700</v>
      </c>
      <c r="I470" s="4" t="s">
        <v>28</v>
      </c>
      <c r="J470" s="4" t="s">
        <v>62</v>
      </c>
      <c r="K470" s="4" t="s">
        <v>86</v>
      </c>
      <c r="L470" s="4" t="s">
        <v>1701</v>
      </c>
      <c r="M470" s="4" t="s">
        <v>65</v>
      </c>
      <c r="N470" s="4" t="s">
        <v>54</v>
      </c>
      <c r="O470" s="4" t="s">
        <v>120</v>
      </c>
      <c r="P470" s="4" t="s">
        <v>74</v>
      </c>
      <c r="Q470" s="4">
        <v>4</v>
      </c>
      <c r="R470" s="4">
        <v>31096</v>
      </c>
      <c r="S470" s="5">
        <v>20</v>
      </c>
      <c r="T470" s="6">
        <f t="shared" si="21"/>
        <v>99507.199999999997</v>
      </c>
      <c r="U470" s="4">
        <v>11285.73</v>
      </c>
      <c r="V470" t="str">
        <f t="shared" si="22"/>
        <v>Feb</v>
      </c>
      <c r="W470">
        <f t="shared" si="23"/>
        <v>0.11341621510805248</v>
      </c>
    </row>
    <row r="471" spans="1:23" x14ac:dyDescent="0.4">
      <c r="A471" s="4" t="s">
        <v>1702</v>
      </c>
      <c r="B471" s="4" t="s">
        <v>1703</v>
      </c>
      <c r="C471" s="11">
        <v>44831</v>
      </c>
      <c r="D471" s="4" t="s">
        <v>124</v>
      </c>
      <c r="E471" s="4" t="s">
        <v>24</v>
      </c>
      <c r="F471" s="4" t="s">
        <v>26</v>
      </c>
      <c r="G471" s="4" t="s">
        <v>41</v>
      </c>
      <c r="H471" s="4" t="s">
        <v>1705</v>
      </c>
      <c r="I471" s="4" t="s">
        <v>28</v>
      </c>
      <c r="J471" s="4" t="s">
        <v>79</v>
      </c>
      <c r="K471" s="4" t="s">
        <v>30</v>
      </c>
      <c r="L471" s="4" t="s">
        <v>159</v>
      </c>
      <c r="M471" s="4" t="s">
        <v>65</v>
      </c>
      <c r="N471" s="4" t="s">
        <v>33</v>
      </c>
      <c r="O471" s="4" t="s">
        <v>120</v>
      </c>
      <c r="P471" s="4" t="s">
        <v>35</v>
      </c>
      <c r="Q471" s="4">
        <v>1</v>
      </c>
      <c r="R471" s="4">
        <v>17712</v>
      </c>
      <c r="S471" s="5">
        <v>20</v>
      </c>
      <c r="T471" s="6">
        <f t="shared" si="21"/>
        <v>14169.6</v>
      </c>
      <c r="U471" s="4">
        <v>830.51</v>
      </c>
      <c r="V471" t="str">
        <f t="shared" si="22"/>
        <v>Sep</v>
      </c>
      <c r="W471">
        <f t="shared" si="23"/>
        <v>5.8612099141824747E-2</v>
      </c>
    </row>
    <row r="472" spans="1:23" x14ac:dyDescent="0.4">
      <c r="A472" s="4" t="s">
        <v>1706</v>
      </c>
      <c r="B472" s="4" t="s">
        <v>1707</v>
      </c>
      <c r="C472" s="11">
        <v>44816</v>
      </c>
      <c r="D472" s="4" t="s">
        <v>124</v>
      </c>
      <c r="E472" s="4" t="s">
        <v>24</v>
      </c>
      <c r="F472" s="4" t="s">
        <v>25</v>
      </c>
      <c r="G472" s="4" t="s">
        <v>41</v>
      </c>
      <c r="H472" s="4" t="s">
        <v>1708</v>
      </c>
      <c r="I472" s="4" t="s">
        <v>61</v>
      </c>
      <c r="J472" s="4" t="s">
        <v>79</v>
      </c>
      <c r="K472" s="4" t="s">
        <v>86</v>
      </c>
      <c r="L472" s="4" t="s">
        <v>1709</v>
      </c>
      <c r="M472" s="4" t="s">
        <v>95</v>
      </c>
      <c r="N472" s="4" t="s">
        <v>33</v>
      </c>
      <c r="O472" s="4" t="s">
        <v>46</v>
      </c>
      <c r="P472" s="4" t="s">
        <v>35</v>
      </c>
      <c r="Q472" s="4">
        <v>1</v>
      </c>
      <c r="R472" s="4">
        <v>7147</v>
      </c>
      <c r="S472" s="5">
        <v>20</v>
      </c>
      <c r="T472" s="6">
        <f t="shared" si="21"/>
        <v>5717.6</v>
      </c>
      <c r="U472" s="4">
        <v>-773.57</v>
      </c>
      <c r="V472" t="str">
        <f t="shared" si="22"/>
        <v>Sep</v>
      </c>
      <c r="W472">
        <f t="shared" si="23"/>
        <v>-0.13529627815866796</v>
      </c>
    </row>
    <row r="473" spans="1:23" x14ac:dyDescent="0.4">
      <c r="A473" s="4" t="s">
        <v>1710</v>
      </c>
      <c r="B473" s="4" t="s">
        <v>147</v>
      </c>
      <c r="C473" s="11">
        <v>44701</v>
      </c>
      <c r="D473" s="4" t="s">
        <v>39</v>
      </c>
      <c r="E473" s="4" t="s">
        <v>24</v>
      </c>
      <c r="F473" s="4" t="s">
        <v>25</v>
      </c>
      <c r="G473" s="4" t="s">
        <v>41</v>
      </c>
      <c r="H473" s="4" t="s">
        <v>1711</v>
      </c>
      <c r="I473" s="4" t="s">
        <v>28</v>
      </c>
      <c r="J473" s="4" t="s">
        <v>79</v>
      </c>
      <c r="K473" s="4" t="s">
        <v>101</v>
      </c>
      <c r="L473" s="4" t="s">
        <v>171</v>
      </c>
      <c r="M473" s="4" t="s">
        <v>65</v>
      </c>
      <c r="N473" s="4" t="s">
        <v>54</v>
      </c>
      <c r="O473" s="4" t="s">
        <v>34</v>
      </c>
      <c r="P473" s="4" t="s">
        <v>88</v>
      </c>
      <c r="Q473" s="4">
        <v>5</v>
      </c>
      <c r="R473" s="4">
        <v>22046</v>
      </c>
      <c r="S473" s="5">
        <v>15</v>
      </c>
      <c r="T473" s="6">
        <f t="shared" si="21"/>
        <v>93695.5</v>
      </c>
      <c r="U473" s="4">
        <v>5641.39</v>
      </c>
      <c r="V473" t="str">
        <f t="shared" si="22"/>
        <v>May</v>
      </c>
      <c r="W473">
        <f t="shared" si="23"/>
        <v>6.0209828647053487E-2</v>
      </c>
    </row>
    <row r="474" spans="1:23" x14ac:dyDescent="0.4">
      <c r="A474" s="4" t="s">
        <v>1712</v>
      </c>
      <c r="B474" s="4" t="s">
        <v>1713</v>
      </c>
      <c r="C474" s="11">
        <v>45497</v>
      </c>
      <c r="D474" s="4" t="s">
        <v>98</v>
      </c>
      <c r="E474" s="4" t="s">
        <v>24</v>
      </c>
      <c r="F474" s="4" t="s">
        <v>25</v>
      </c>
      <c r="G474" s="4" t="s">
        <v>41</v>
      </c>
      <c r="H474" s="4" t="s">
        <v>1714</v>
      </c>
      <c r="I474" s="4" t="s">
        <v>61</v>
      </c>
      <c r="J474" s="4" t="s">
        <v>29</v>
      </c>
      <c r="K474" s="4" t="s">
        <v>30</v>
      </c>
      <c r="L474" s="4" t="s">
        <v>770</v>
      </c>
      <c r="M474" s="4" t="s">
        <v>32</v>
      </c>
      <c r="N474" s="4" t="s">
        <v>33</v>
      </c>
      <c r="O474" s="4" t="s">
        <v>34</v>
      </c>
      <c r="P474" s="4" t="s">
        <v>88</v>
      </c>
      <c r="Q474" s="4">
        <v>3</v>
      </c>
      <c r="R474" s="4">
        <v>27514</v>
      </c>
      <c r="S474" s="5">
        <v>15</v>
      </c>
      <c r="T474" s="6">
        <f t="shared" si="21"/>
        <v>70160.7</v>
      </c>
      <c r="U474" s="4">
        <v>3346.57</v>
      </c>
      <c r="V474" t="str">
        <f t="shared" si="22"/>
        <v>Jul</v>
      </c>
      <c r="W474">
        <f t="shared" si="23"/>
        <v>4.7698640406951473E-2</v>
      </c>
    </row>
    <row r="475" spans="1:23" x14ac:dyDescent="0.4">
      <c r="A475" s="4" t="s">
        <v>1715</v>
      </c>
      <c r="B475" s="4" t="s">
        <v>1716</v>
      </c>
      <c r="C475" s="11">
        <v>45165</v>
      </c>
      <c r="D475" s="4" t="s">
        <v>124</v>
      </c>
      <c r="E475" s="4" t="s">
        <v>24</v>
      </c>
      <c r="F475" s="4" t="s">
        <v>25</v>
      </c>
      <c r="G475" s="4" t="s">
        <v>41</v>
      </c>
      <c r="H475" s="4" t="s">
        <v>1717</v>
      </c>
      <c r="I475" s="4" t="s">
        <v>43</v>
      </c>
      <c r="J475" s="4" t="s">
        <v>62</v>
      </c>
      <c r="K475" s="4" t="s">
        <v>153</v>
      </c>
      <c r="L475" s="4" t="s">
        <v>552</v>
      </c>
      <c r="M475" s="4" t="s">
        <v>65</v>
      </c>
      <c r="N475" s="4" t="s">
        <v>33</v>
      </c>
      <c r="O475" s="4" t="s">
        <v>120</v>
      </c>
      <c r="P475" s="4" t="s">
        <v>35</v>
      </c>
      <c r="Q475" s="4">
        <v>1</v>
      </c>
      <c r="R475" s="4">
        <v>2705</v>
      </c>
      <c r="S475" s="5">
        <v>5</v>
      </c>
      <c r="T475" s="6">
        <f t="shared" si="21"/>
        <v>2569.75</v>
      </c>
      <c r="U475" s="4">
        <v>59.11</v>
      </c>
      <c r="V475" t="str">
        <f t="shared" si="22"/>
        <v>Aug</v>
      </c>
      <c r="W475">
        <f t="shared" si="23"/>
        <v>2.3002237571748223E-2</v>
      </c>
    </row>
    <row r="476" spans="1:23" x14ac:dyDescent="0.4">
      <c r="A476" s="4" t="s">
        <v>1718</v>
      </c>
      <c r="B476" s="4" t="s">
        <v>1719</v>
      </c>
      <c r="C476" s="11">
        <v>45164</v>
      </c>
      <c r="D476" s="4" t="s">
        <v>98</v>
      </c>
      <c r="E476" s="4" t="s">
        <v>24</v>
      </c>
      <c r="F476" s="4" t="s">
        <v>25</v>
      </c>
      <c r="G476" s="4" t="s">
        <v>92</v>
      </c>
      <c r="H476" s="4" t="s">
        <v>1720</v>
      </c>
      <c r="I476" s="4" t="s">
        <v>61</v>
      </c>
      <c r="J476" s="4" t="s">
        <v>62</v>
      </c>
      <c r="K476" s="4" t="s">
        <v>153</v>
      </c>
      <c r="L476" s="4" t="s">
        <v>740</v>
      </c>
      <c r="M476" s="4" t="s">
        <v>73</v>
      </c>
      <c r="N476" s="4" t="s">
        <v>33</v>
      </c>
      <c r="O476" s="4" t="s">
        <v>66</v>
      </c>
      <c r="P476" s="4" t="s">
        <v>47</v>
      </c>
      <c r="Q476" s="4">
        <v>8</v>
      </c>
      <c r="R476" s="4">
        <v>8351</v>
      </c>
      <c r="S476" s="5">
        <v>20</v>
      </c>
      <c r="T476" s="6">
        <f t="shared" si="21"/>
        <v>53446.400000000001</v>
      </c>
      <c r="U476" s="4">
        <v>-5357.41</v>
      </c>
      <c r="V476" t="str">
        <f t="shared" si="22"/>
        <v>Aug</v>
      </c>
      <c r="W476">
        <f t="shared" si="23"/>
        <v>-0.10023893096635134</v>
      </c>
    </row>
    <row r="477" spans="1:23" x14ac:dyDescent="0.4">
      <c r="A477" s="4" t="s">
        <v>1721</v>
      </c>
      <c r="B477" s="4" t="s">
        <v>1597</v>
      </c>
      <c r="C477" s="11">
        <v>45145</v>
      </c>
      <c r="D477" s="4" t="s">
        <v>98</v>
      </c>
      <c r="E477" s="4" t="s">
        <v>24</v>
      </c>
      <c r="F477" s="4" t="s">
        <v>58</v>
      </c>
      <c r="G477" s="4" t="s">
        <v>41</v>
      </c>
      <c r="H477" s="4" t="s">
        <v>1722</v>
      </c>
      <c r="I477" s="4" t="s">
        <v>28</v>
      </c>
      <c r="J477" s="4" t="s">
        <v>79</v>
      </c>
      <c r="K477" s="4" t="s">
        <v>101</v>
      </c>
      <c r="L477" s="4" t="s">
        <v>232</v>
      </c>
      <c r="M477" s="4" t="s">
        <v>95</v>
      </c>
      <c r="N477" s="4" t="s">
        <v>54</v>
      </c>
      <c r="O477" s="4" t="s">
        <v>34</v>
      </c>
      <c r="P477" s="4" t="s">
        <v>47</v>
      </c>
      <c r="Q477" s="4">
        <v>5</v>
      </c>
      <c r="R477" s="4">
        <v>3157</v>
      </c>
      <c r="S477" s="5">
        <v>10</v>
      </c>
      <c r="T477" s="6">
        <f t="shared" si="21"/>
        <v>14206.5</v>
      </c>
      <c r="U477" s="4">
        <v>1155.99</v>
      </c>
      <c r="V477" t="str">
        <f t="shared" si="22"/>
        <v>Aug</v>
      </c>
      <c r="W477">
        <f t="shared" si="23"/>
        <v>8.1370499419279901E-2</v>
      </c>
    </row>
    <row r="478" spans="1:23" x14ac:dyDescent="0.4">
      <c r="A478" s="4" t="s">
        <v>1723</v>
      </c>
      <c r="B478" s="4" t="s">
        <v>566</v>
      </c>
      <c r="C478" s="11">
        <v>45038</v>
      </c>
      <c r="D478" s="4" t="s">
        <v>98</v>
      </c>
      <c r="E478" s="4" t="s">
        <v>24</v>
      </c>
      <c r="F478" s="4" t="s">
        <v>26</v>
      </c>
      <c r="G478" s="4" t="s">
        <v>59</v>
      </c>
      <c r="H478" s="4" t="s">
        <v>1724</v>
      </c>
      <c r="I478" s="4" t="s">
        <v>43</v>
      </c>
      <c r="J478" s="4" t="s">
        <v>62</v>
      </c>
      <c r="K478" s="4" t="s">
        <v>86</v>
      </c>
      <c r="L478" s="4" t="s">
        <v>1725</v>
      </c>
      <c r="M478" s="4" t="s">
        <v>95</v>
      </c>
      <c r="N478" s="4" t="s">
        <v>54</v>
      </c>
      <c r="O478" s="4" t="s">
        <v>120</v>
      </c>
      <c r="P478" s="4" t="s">
        <v>47</v>
      </c>
      <c r="Q478" s="4">
        <v>9</v>
      </c>
      <c r="R478" s="4">
        <v>41895</v>
      </c>
      <c r="S478" s="5">
        <v>0</v>
      </c>
      <c r="T478" s="6">
        <f t="shared" si="21"/>
        <v>377055</v>
      </c>
      <c r="U478" s="4">
        <v>23982.71</v>
      </c>
      <c r="V478" t="str">
        <f t="shared" si="22"/>
        <v>Apr</v>
      </c>
      <c r="W478">
        <f t="shared" si="23"/>
        <v>6.3605336091551626E-2</v>
      </c>
    </row>
    <row r="479" spans="1:23" x14ac:dyDescent="0.4">
      <c r="A479" s="4" t="s">
        <v>1726</v>
      </c>
      <c r="B479" s="4" t="s">
        <v>1438</v>
      </c>
      <c r="C479" s="11">
        <v>45549</v>
      </c>
      <c r="D479" s="4" t="s">
        <v>39</v>
      </c>
      <c r="E479" s="4" t="s">
        <v>24</v>
      </c>
      <c r="F479" s="4" t="s">
        <v>26</v>
      </c>
      <c r="G479" s="4" t="s">
        <v>92</v>
      </c>
      <c r="H479" s="4" t="s">
        <v>1727</v>
      </c>
      <c r="I479" s="4" t="s">
        <v>28</v>
      </c>
      <c r="J479" s="4" t="s">
        <v>29</v>
      </c>
      <c r="K479" s="4" t="s">
        <v>101</v>
      </c>
      <c r="L479" s="4" t="s">
        <v>491</v>
      </c>
      <c r="M479" s="4" t="s">
        <v>81</v>
      </c>
      <c r="N479" s="4" t="s">
        <v>54</v>
      </c>
      <c r="O479" s="4" t="s">
        <v>34</v>
      </c>
      <c r="P479" s="4" t="s">
        <v>47</v>
      </c>
      <c r="Q479" s="4">
        <v>6</v>
      </c>
      <c r="R479" s="4">
        <v>20327</v>
      </c>
      <c r="S479" s="5">
        <v>0</v>
      </c>
      <c r="T479" s="6">
        <f t="shared" si="21"/>
        <v>121962</v>
      </c>
      <c r="U479" s="4">
        <v>24160.31</v>
      </c>
      <c r="V479" t="str">
        <f t="shared" si="22"/>
        <v>Sep</v>
      </c>
      <c r="W479">
        <f t="shared" si="23"/>
        <v>0.19809703022252834</v>
      </c>
    </row>
    <row r="480" spans="1:23" x14ac:dyDescent="0.4">
      <c r="A480" s="4" t="s">
        <v>1728</v>
      </c>
      <c r="B480" s="4" t="s">
        <v>284</v>
      </c>
      <c r="C480" s="11">
        <v>45042</v>
      </c>
      <c r="D480" s="4" t="s">
        <v>23</v>
      </c>
      <c r="E480" s="4" t="s">
        <v>24</v>
      </c>
      <c r="F480" s="4" t="s">
        <v>70</v>
      </c>
      <c r="G480" s="4" t="s">
        <v>41</v>
      </c>
      <c r="H480" s="4" t="s">
        <v>1730</v>
      </c>
      <c r="I480" s="4" t="s">
        <v>61</v>
      </c>
      <c r="J480" s="4" t="s">
        <v>62</v>
      </c>
      <c r="K480" s="4" t="s">
        <v>101</v>
      </c>
      <c r="L480" s="4" t="s">
        <v>1254</v>
      </c>
      <c r="M480" s="4" t="s">
        <v>65</v>
      </c>
      <c r="N480" s="4" t="s">
        <v>54</v>
      </c>
      <c r="O480" s="4" t="s">
        <v>46</v>
      </c>
      <c r="P480" s="4" t="s">
        <v>74</v>
      </c>
      <c r="Q480" s="4">
        <v>5</v>
      </c>
      <c r="R480" s="4">
        <v>17504</v>
      </c>
      <c r="S480" s="5">
        <v>20</v>
      </c>
      <c r="T480" s="6">
        <f t="shared" si="21"/>
        <v>70016</v>
      </c>
      <c r="U480" s="4">
        <v>-524.41999999999996</v>
      </c>
      <c r="V480" t="str">
        <f t="shared" si="22"/>
        <v>Apr</v>
      </c>
      <c r="W480">
        <f t="shared" si="23"/>
        <v>-7.4900022851919559E-3</v>
      </c>
    </row>
    <row r="481" spans="1:23" x14ac:dyDescent="0.4">
      <c r="A481" s="4" t="s">
        <v>1731</v>
      </c>
      <c r="B481" s="4" t="s">
        <v>1732</v>
      </c>
      <c r="C481" s="11">
        <v>44683</v>
      </c>
      <c r="D481" s="4" t="s">
        <v>98</v>
      </c>
      <c r="E481" s="4" t="s">
        <v>24</v>
      </c>
      <c r="F481" s="4" t="s">
        <v>58</v>
      </c>
      <c r="G481" s="4" t="s">
        <v>26</v>
      </c>
      <c r="H481" s="4" t="s">
        <v>1733</v>
      </c>
      <c r="I481" s="4" t="s">
        <v>43</v>
      </c>
      <c r="J481" s="4" t="s">
        <v>29</v>
      </c>
      <c r="K481" s="4" t="s">
        <v>63</v>
      </c>
      <c r="L481" s="4" t="s">
        <v>343</v>
      </c>
      <c r="M481" s="4" t="s">
        <v>73</v>
      </c>
      <c r="N481" s="4" t="s">
        <v>33</v>
      </c>
      <c r="O481" s="4" t="s">
        <v>120</v>
      </c>
      <c r="P481" s="4" t="s">
        <v>88</v>
      </c>
      <c r="Q481" s="4">
        <v>7</v>
      </c>
      <c r="R481" s="4">
        <v>47748</v>
      </c>
      <c r="S481" s="5">
        <v>10</v>
      </c>
      <c r="T481" s="6">
        <f t="shared" si="21"/>
        <v>300812.40000000002</v>
      </c>
      <c r="U481" s="4">
        <v>51809.42</v>
      </c>
      <c r="V481" t="str">
        <f t="shared" si="22"/>
        <v>Apr</v>
      </c>
      <c r="W481">
        <f t="shared" si="23"/>
        <v>0.17223166332238962</v>
      </c>
    </row>
    <row r="482" spans="1:23" x14ac:dyDescent="0.4">
      <c r="A482" s="4" t="s">
        <v>1734</v>
      </c>
      <c r="B482" s="4" t="s">
        <v>1735</v>
      </c>
      <c r="C482" s="11">
        <v>45136</v>
      </c>
      <c r="D482" s="4" t="s">
        <v>39</v>
      </c>
      <c r="E482" s="4" t="s">
        <v>24</v>
      </c>
      <c r="F482" s="4" t="s">
        <v>25</v>
      </c>
      <c r="G482" s="4" t="s">
        <v>59</v>
      </c>
      <c r="H482" s="4" t="s">
        <v>1736</v>
      </c>
      <c r="I482" s="4" t="s">
        <v>28</v>
      </c>
      <c r="J482" s="4" t="s">
        <v>79</v>
      </c>
      <c r="K482" s="4" t="s">
        <v>101</v>
      </c>
      <c r="L482" s="4" t="s">
        <v>770</v>
      </c>
      <c r="M482" s="4" t="s">
        <v>32</v>
      </c>
      <c r="N482" s="4" t="s">
        <v>33</v>
      </c>
      <c r="O482" s="4" t="s">
        <v>120</v>
      </c>
      <c r="P482" s="4" t="s">
        <v>47</v>
      </c>
      <c r="Q482" s="4">
        <v>6</v>
      </c>
      <c r="R482" s="4">
        <v>16886</v>
      </c>
      <c r="S482" s="5">
        <v>20</v>
      </c>
      <c r="T482" s="6">
        <f t="shared" si="21"/>
        <v>81052.800000000003</v>
      </c>
      <c r="U482" s="4">
        <v>6792.07</v>
      </c>
      <c r="V482" t="str">
        <f t="shared" si="22"/>
        <v>Jul</v>
      </c>
      <c r="W482">
        <f t="shared" si="23"/>
        <v>8.3798092107860545E-2</v>
      </c>
    </row>
    <row r="483" spans="1:23" x14ac:dyDescent="0.4">
      <c r="A483" s="4" t="s">
        <v>1737</v>
      </c>
      <c r="B483" s="4" t="s">
        <v>1738</v>
      </c>
      <c r="C483" s="11">
        <v>44851</v>
      </c>
      <c r="D483" s="4" t="s">
        <v>124</v>
      </c>
      <c r="E483" s="4" t="s">
        <v>24</v>
      </c>
      <c r="F483" s="4" t="s">
        <v>70</v>
      </c>
      <c r="G483" s="4" t="s">
        <v>99</v>
      </c>
      <c r="H483" s="4" t="s">
        <v>1740</v>
      </c>
      <c r="I483" s="4" t="s">
        <v>61</v>
      </c>
      <c r="J483" s="4" t="s">
        <v>79</v>
      </c>
      <c r="K483" s="4" t="s">
        <v>86</v>
      </c>
      <c r="L483" s="4" t="s">
        <v>423</v>
      </c>
      <c r="M483" s="4" t="s">
        <v>32</v>
      </c>
      <c r="N483" s="4" t="s">
        <v>54</v>
      </c>
      <c r="O483" s="4" t="s">
        <v>66</v>
      </c>
      <c r="P483" s="4" t="s">
        <v>74</v>
      </c>
      <c r="Q483" s="4">
        <v>8</v>
      </c>
      <c r="R483" s="4">
        <v>29149</v>
      </c>
      <c r="S483" s="5">
        <v>20</v>
      </c>
      <c r="T483" s="6">
        <f t="shared" si="21"/>
        <v>186553.60000000001</v>
      </c>
      <c r="U483" s="4">
        <v>-13254.55</v>
      </c>
      <c r="V483" t="str">
        <f t="shared" si="22"/>
        <v>Oct</v>
      </c>
      <c r="W483">
        <f t="shared" si="23"/>
        <v>-7.104955358674396E-2</v>
      </c>
    </row>
    <row r="484" spans="1:23" x14ac:dyDescent="0.4">
      <c r="A484" s="4" t="s">
        <v>1741</v>
      </c>
      <c r="B484" s="4" t="s">
        <v>966</v>
      </c>
      <c r="C484" s="11">
        <v>45281</v>
      </c>
      <c r="D484" s="4" t="s">
        <v>39</v>
      </c>
      <c r="E484" s="4" t="s">
        <v>24</v>
      </c>
      <c r="F484" s="4" t="s">
        <v>70</v>
      </c>
      <c r="G484" s="4" t="s">
        <v>92</v>
      </c>
      <c r="H484" s="4" t="s">
        <v>1742</v>
      </c>
      <c r="I484" s="4" t="s">
        <v>28</v>
      </c>
      <c r="J484" s="4" t="s">
        <v>29</v>
      </c>
      <c r="K484" s="4" t="s">
        <v>101</v>
      </c>
      <c r="L484" s="4" t="s">
        <v>1009</v>
      </c>
      <c r="M484" s="4" t="s">
        <v>53</v>
      </c>
      <c r="N484" s="4" t="s">
        <v>54</v>
      </c>
      <c r="O484" s="4" t="s">
        <v>120</v>
      </c>
      <c r="P484" s="4" t="s">
        <v>47</v>
      </c>
      <c r="Q484" s="4">
        <v>7</v>
      </c>
      <c r="R484" s="4">
        <v>23991</v>
      </c>
      <c r="S484" s="5">
        <v>5</v>
      </c>
      <c r="T484" s="6">
        <f t="shared" si="21"/>
        <v>159540.15</v>
      </c>
      <c r="U484" s="4">
        <v>26798.42</v>
      </c>
      <c r="V484" t="str">
        <f t="shared" si="22"/>
        <v>Dec</v>
      </c>
      <c r="W484">
        <f t="shared" si="23"/>
        <v>0.16797288958296705</v>
      </c>
    </row>
    <row r="485" spans="1:23" x14ac:dyDescent="0.4">
      <c r="A485" s="4" t="s">
        <v>1743</v>
      </c>
      <c r="B485" s="4" t="s">
        <v>1704</v>
      </c>
      <c r="C485" s="11">
        <v>44835</v>
      </c>
      <c r="D485" s="4" t="s">
        <v>23</v>
      </c>
      <c r="E485" s="4" t="s">
        <v>24</v>
      </c>
      <c r="F485" s="4" t="s">
        <v>25</v>
      </c>
      <c r="G485" s="4" t="s">
        <v>99</v>
      </c>
      <c r="H485" s="4" t="s">
        <v>1745</v>
      </c>
      <c r="I485" s="4" t="s">
        <v>43</v>
      </c>
      <c r="J485" s="4" t="s">
        <v>79</v>
      </c>
      <c r="K485" s="4" t="s">
        <v>30</v>
      </c>
      <c r="L485" s="4" t="s">
        <v>1254</v>
      </c>
      <c r="M485" s="4" t="s">
        <v>73</v>
      </c>
      <c r="N485" s="4" t="s">
        <v>54</v>
      </c>
      <c r="O485" s="4" t="s">
        <v>120</v>
      </c>
      <c r="P485" s="4" t="s">
        <v>35</v>
      </c>
      <c r="Q485" s="4">
        <v>1</v>
      </c>
      <c r="R485" s="4">
        <v>36702</v>
      </c>
      <c r="S485" s="5">
        <v>20</v>
      </c>
      <c r="T485" s="6">
        <f t="shared" si="21"/>
        <v>29361.599999999999</v>
      </c>
      <c r="U485" s="4">
        <v>2160.0300000000002</v>
      </c>
      <c r="V485" t="str">
        <f t="shared" si="22"/>
        <v>Sep</v>
      </c>
      <c r="W485">
        <f t="shared" si="23"/>
        <v>7.3566495013895714E-2</v>
      </c>
    </row>
    <row r="486" spans="1:23" x14ac:dyDescent="0.4">
      <c r="A486" s="4" t="s">
        <v>1746</v>
      </c>
      <c r="B486" s="4" t="s">
        <v>517</v>
      </c>
      <c r="C486" s="11">
        <v>44995</v>
      </c>
      <c r="D486" s="4" t="s">
        <v>98</v>
      </c>
      <c r="E486" s="4" t="s">
        <v>24</v>
      </c>
      <c r="F486" s="4" t="s">
        <v>58</v>
      </c>
      <c r="G486" s="4" t="s">
        <v>26</v>
      </c>
      <c r="H486" s="4" t="s">
        <v>1747</v>
      </c>
      <c r="I486" s="4" t="s">
        <v>61</v>
      </c>
      <c r="J486" s="4" t="s">
        <v>29</v>
      </c>
      <c r="K486" s="4" t="s">
        <v>30</v>
      </c>
      <c r="L486" s="4" t="s">
        <v>641</v>
      </c>
      <c r="M486" s="4" t="s">
        <v>73</v>
      </c>
      <c r="N486" s="4" t="s">
        <v>33</v>
      </c>
      <c r="O486" s="4" t="s">
        <v>34</v>
      </c>
      <c r="P486" s="4" t="s">
        <v>88</v>
      </c>
      <c r="Q486" s="4">
        <v>8</v>
      </c>
      <c r="R486" s="4">
        <v>19171</v>
      </c>
      <c r="S486" s="5">
        <v>20</v>
      </c>
      <c r="T486" s="6">
        <f t="shared" si="21"/>
        <v>122694.39999999999</v>
      </c>
      <c r="U486" s="4">
        <v>6518.37</v>
      </c>
      <c r="V486" t="str">
        <f t="shared" si="22"/>
        <v>Mar</v>
      </c>
      <c r="W486">
        <f t="shared" si="23"/>
        <v>5.312687457618278E-2</v>
      </c>
    </row>
    <row r="487" spans="1:23" x14ac:dyDescent="0.4">
      <c r="A487" s="4" t="s">
        <v>1748</v>
      </c>
      <c r="B487" s="4" t="s">
        <v>1108</v>
      </c>
      <c r="C487" s="11">
        <v>44583</v>
      </c>
      <c r="D487" s="4" t="s">
        <v>23</v>
      </c>
      <c r="E487" s="4" t="s">
        <v>24</v>
      </c>
      <c r="F487" s="4" t="s">
        <v>25</v>
      </c>
      <c r="G487" s="4" t="s">
        <v>41</v>
      </c>
      <c r="H487" s="4" t="s">
        <v>1749</v>
      </c>
      <c r="I487" s="4" t="s">
        <v>43</v>
      </c>
      <c r="J487" s="4" t="s">
        <v>79</v>
      </c>
      <c r="K487" s="4" t="s">
        <v>153</v>
      </c>
      <c r="L487" s="4" t="s">
        <v>237</v>
      </c>
      <c r="M487" s="4" t="s">
        <v>81</v>
      </c>
      <c r="N487" s="4" t="s">
        <v>54</v>
      </c>
      <c r="O487" s="4" t="s">
        <v>66</v>
      </c>
      <c r="P487" s="4" t="s">
        <v>74</v>
      </c>
      <c r="Q487" s="4">
        <v>7</v>
      </c>
      <c r="R487" s="4">
        <v>18143</v>
      </c>
      <c r="S487" s="5">
        <v>10</v>
      </c>
      <c r="T487" s="6">
        <f t="shared" si="21"/>
        <v>114300.9</v>
      </c>
      <c r="U487" s="4">
        <v>15885.8</v>
      </c>
      <c r="V487" t="str">
        <f t="shared" si="22"/>
        <v>Jan</v>
      </c>
      <c r="W487">
        <f t="shared" si="23"/>
        <v>0.13898228272918237</v>
      </c>
    </row>
    <row r="488" spans="1:23" x14ac:dyDescent="0.4">
      <c r="A488" s="4" t="s">
        <v>1750</v>
      </c>
      <c r="B488" s="4" t="s">
        <v>1751</v>
      </c>
      <c r="C488" s="11">
        <v>45239</v>
      </c>
      <c r="D488" s="4" t="s">
        <v>39</v>
      </c>
      <c r="E488" s="4" t="s">
        <v>24</v>
      </c>
      <c r="F488" s="4" t="s">
        <v>58</v>
      </c>
      <c r="G488" s="4" t="s">
        <v>26</v>
      </c>
      <c r="H488" s="4" t="s">
        <v>1753</v>
      </c>
      <c r="I488" s="4" t="s">
        <v>28</v>
      </c>
      <c r="J488" s="4" t="s">
        <v>62</v>
      </c>
      <c r="K488" s="4" t="s">
        <v>44</v>
      </c>
      <c r="L488" s="4" t="s">
        <v>277</v>
      </c>
      <c r="M488" s="4" t="s">
        <v>53</v>
      </c>
      <c r="N488" s="4" t="s">
        <v>54</v>
      </c>
      <c r="O488" s="4" t="s">
        <v>82</v>
      </c>
      <c r="P488" s="4" t="s">
        <v>74</v>
      </c>
      <c r="Q488" s="4">
        <v>1</v>
      </c>
      <c r="R488" s="4">
        <v>3673</v>
      </c>
      <c r="S488" s="5">
        <v>15</v>
      </c>
      <c r="T488" s="6">
        <f t="shared" si="21"/>
        <v>3122.05</v>
      </c>
      <c r="U488" s="4">
        <v>-140.34</v>
      </c>
      <c r="V488" t="str">
        <f t="shared" si="22"/>
        <v>Nov</v>
      </c>
      <c r="W488">
        <f t="shared" si="23"/>
        <v>-4.4951233964862829E-2</v>
      </c>
    </row>
    <row r="489" spans="1:23" x14ac:dyDescent="0.4">
      <c r="A489" s="4" t="s">
        <v>1754</v>
      </c>
      <c r="B489" s="4" t="s">
        <v>1755</v>
      </c>
      <c r="C489" s="11">
        <v>45188</v>
      </c>
      <c r="D489" s="4" t="s">
        <v>124</v>
      </c>
      <c r="E489" s="4" t="s">
        <v>24</v>
      </c>
      <c r="F489" s="4" t="s">
        <v>26</v>
      </c>
      <c r="G489" s="4" t="s">
        <v>26</v>
      </c>
      <c r="H489" s="4" t="s">
        <v>1756</v>
      </c>
      <c r="I489" s="4" t="s">
        <v>28</v>
      </c>
      <c r="J489" s="4" t="s">
        <v>79</v>
      </c>
      <c r="K489" s="4" t="s">
        <v>44</v>
      </c>
      <c r="L489" s="4" t="s">
        <v>277</v>
      </c>
      <c r="M489" s="4" t="s">
        <v>32</v>
      </c>
      <c r="N489" s="4" t="s">
        <v>33</v>
      </c>
      <c r="O489" s="4" t="s">
        <v>66</v>
      </c>
      <c r="P489" s="4" t="s">
        <v>74</v>
      </c>
      <c r="Q489" s="4">
        <v>1</v>
      </c>
      <c r="R489" s="4">
        <v>21229</v>
      </c>
      <c r="S489" s="5">
        <v>10</v>
      </c>
      <c r="T489" s="6">
        <f t="shared" si="21"/>
        <v>19106.099999999999</v>
      </c>
      <c r="U489" s="4">
        <v>3541.51</v>
      </c>
      <c r="V489" t="str">
        <f t="shared" si="22"/>
        <v>Sep</v>
      </c>
      <c r="W489">
        <f t="shared" si="23"/>
        <v>0.18536017292906456</v>
      </c>
    </row>
    <row r="490" spans="1:23" x14ac:dyDescent="0.4">
      <c r="A490" s="4" t="s">
        <v>1757</v>
      </c>
      <c r="B490" s="4" t="s">
        <v>1029</v>
      </c>
      <c r="C490" s="11">
        <v>45456</v>
      </c>
      <c r="D490" s="4" t="s">
        <v>39</v>
      </c>
      <c r="E490" s="4" t="s">
        <v>24</v>
      </c>
      <c r="F490" s="4" t="s">
        <v>25</v>
      </c>
      <c r="G490" s="4" t="s">
        <v>99</v>
      </c>
      <c r="H490" s="4" t="s">
        <v>1759</v>
      </c>
      <c r="I490" s="4" t="s">
        <v>43</v>
      </c>
      <c r="J490" s="4" t="s">
        <v>79</v>
      </c>
      <c r="K490" s="4" t="s">
        <v>101</v>
      </c>
      <c r="L490" s="4" t="s">
        <v>315</v>
      </c>
      <c r="M490" s="4" t="s">
        <v>32</v>
      </c>
      <c r="N490" s="4" t="s">
        <v>33</v>
      </c>
      <c r="O490" s="4" t="s">
        <v>34</v>
      </c>
      <c r="P490" s="4" t="s">
        <v>35</v>
      </c>
      <c r="Q490" s="4">
        <v>7</v>
      </c>
      <c r="R490" s="4">
        <v>21888</v>
      </c>
      <c r="S490" s="5">
        <v>15</v>
      </c>
      <c r="T490" s="6">
        <f t="shared" si="21"/>
        <v>130233.60000000001</v>
      </c>
      <c r="U490" s="4">
        <v>1446.95</v>
      </c>
      <c r="V490" t="str">
        <f t="shared" si="22"/>
        <v>Jun</v>
      </c>
      <c r="W490">
        <f t="shared" si="23"/>
        <v>1.1110420045211067E-2</v>
      </c>
    </row>
    <row r="491" spans="1:23" x14ac:dyDescent="0.4">
      <c r="A491" s="4" t="s">
        <v>1760</v>
      </c>
      <c r="B491" s="4" t="s">
        <v>972</v>
      </c>
      <c r="C491" s="11">
        <v>45479</v>
      </c>
      <c r="D491" s="4" t="s">
        <v>39</v>
      </c>
      <c r="E491" s="4" t="s">
        <v>24</v>
      </c>
      <c r="F491" s="4" t="s">
        <v>40</v>
      </c>
      <c r="G491" s="4" t="s">
        <v>92</v>
      </c>
      <c r="H491" s="4" t="s">
        <v>1761</v>
      </c>
      <c r="I491" s="4" t="s">
        <v>28</v>
      </c>
      <c r="J491" s="4" t="s">
        <v>62</v>
      </c>
      <c r="K491" s="4" t="s">
        <v>86</v>
      </c>
      <c r="L491" s="4" t="s">
        <v>574</v>
      </c>
      <c r="M491" s="4" t="s">
        <v>65</v>
      </c>
      <c r="N491" s="4" t="s">
        <v>54</v>
      </c>
      <c r="O491" s="4" t="s">
        <v>34</v>
      </c>
      <c r="P491" s="4" t="s">
        <v>88</v>
      </c>
      <c r="Q491" s="4">
        <v>5</v>
      </c>
      <c r="R491" s="4">
        <v>6679</v>
      </c>
      <c r="S491" s="5">
        <v>0</v>
      </c>
      <c r="T491" s="6">
        <f t="shared" si="21"/>
        <v>33395</v>
      </c>
      <c r="U491" s="4">
        <v>3615.08</v>
      </c>
      <c r="V491" t="str">
        <f t="shared" si="22"/>
        <v>Jun</v>
      </c>
      <c r="W491">
        <f t="shared" si="23"/>
        <v>0.10825213355292708</v>
      </c>
    </row>
    <row r="492" spans="1:23" x14ac:dyDescent="0.4">
      <c r="A492" s="4" t="s">
        <v>1762</v>
      </c>
      <c r="B492" s="4" t="s">
        <v>1119</v>
      </c>
      <c r="C492" s="11">
        <v>45291</v>
      </c>
      <c r="D492" s="4" t="s">
        <v>124</v>
      </c>
      <c r="E492" s="4" t="s">
        <v>24</v>
      </c>
      <c r="F492" s="4" t="s">
        <v>58</v>
      </c>
      <c r="G492" s="4" t="s">
        <v>92</v>
      </c>
      <c r="H492" s="4" t="s">
        <v>1763</v>
      </c>
      <c r="I492" s="4" t="s">
        <v>43</v>
      </c>
      <c r="J492" s="4" t="s">
        <v>79</v>
      </c>
      <c r="K492" s="4" t="s">
        <v>30</v>
      </c>
      <c r="L492" s="4" t="s">
        <v>1764</v>
      </c>
      <c r="M492" s="4" t="s">
        <v>73</v>
      </c>
      <c r="N492" s="4" t="s">
        <v>54</v>
      </c>
      <c r="O492" s="4" t="s">
        <v>120</v>
      </c>
      <c r="P492" s="4" t="s">
        <v>47</v>
      </c>
      <c r="Q492" s="4">
        <v>4</v>
      </c>
      <c r="R492" s="4">
        <v>31110</v>
      </c>
      <c r="S492" s="5">
        <v>0</v>
      </c>
      <c r="T492" s="6">
        <f t="shared" si="21"/>
        <v>124440</v>
      </c>
      <c r="U492" s="4">
        <v>27780.39</v>
      </c>
      <c r="V492" t="str">
        <f t="shared" si="22"/>
        <v>Dec</v>
      </c>
      <c r="W492">
        <f t="shared" si="23"/>
        <v>0.22324324975891996</v>
      </c>
    </row>
    <row r="493" spans="1:23" x14ac:dyDescent="0.4">
      <c r="A493" s="4" t="s">
        <v>1765</v>
      </c>
      <c r="B493" s="4" t="s">
        <v>1523</v>
      </c>
      <c r="C493" s="11">
        <v>45436</v>
      </c>
      <c r="D493" s="4" t="s">
        <v>98</v>
      </c>
      <c r="E493" s="4" t="s">
        <v>24</v>
      </c>
      <c r="F493" s="4" t="s">
        <v>40</v>
      </c>
      <c r="G493" s="4" t="s">
        <v>59</v>
      </c>
      <c r="H493" s="4" t="s">
        <v>1766</v>
      </c>
      <c r="I493" s="4" t="s">
        <v>61</v>
      </c>
      <c r="J493" s="4" t="s">
        <v>29</v>
      </c>
      <c r="K493" s="4" t="s">
        <v>86</v>
      </c>
      <c r="L493" s="4" t="s">
        <v>636</v>
      </c>
      <c r="M493" s="4" t="s">
        <v>95</v>
      </c>
      <c r="N493" s="4" t="s">
        <v>54</v>
      </c>
      <c r="O493" s="4" t="s">
        <v>34</v>
      </c>
      <c r="P493" s="4" t="s">
        <v>88</v>
      </c>
      <c r="Q493" s="4">
        <v>1</v>
      </c>
      <c r="R493" s="4">
        <v>29936</v>
      </c>
      <c r="S493" s="5">
        <v>10</v>
      </c>
      <c r="T493" s="6">
        <f t="shared" si="21"/>
        <v>26942.400000000001</v>
      </c>
      <c r="U493" s="4">
        <v>836.28</v>
      </c>
      <c r="V493" t="str">
        <f t="shared" si="22"/>
        <v>May</v>
      </c>
      <c r="W493">
        <f t="shared" si="23"/>
        <v>3.1039551042223407E-2</v>
      </c>
    </row>
    <row r="494" spans="1:23" x14ac:dyDescent="0.4">
      <c r="A494" s="4" t="s">
        <v>1767</v>
      </c>
      <c r="B494" s="4" t="s">
        <v>1768</v>
      </c>
      <c r="C494" s="11">
        <v>44940</v>
      </c>
      <c r="D494" s="4" t="s">
        <v>39</v>
      </c>
      <c r="E494" s="4" t="s">
        <v>24</v>
      </c>
      <c r="F494" s="4" t="s">
        <v>26</v>
      </c>
      <c r="G494" s="4" t="s">
        <v>92</v>
      </c>
      <c r="H494" s="4" t="s">
        <v>1769</v>
      </c>
      <c r="I494" s="4" t="s">
        <v>43</v>
      </c>
      <c r="J494" s="4" t="s">
        <v>79</v>
      </c>
      <c r="K494" s="4" t="s">
        <v>63</v>
      </c>
      <c r="L494" s="4" t="s">
        <v>154</v>
      </c>
      <c r="M494" s="4" t="s">
        <v>53</v>
      </c>
      <c r="N494" s="4" t="s">
        <v>33</v>
      </c>
      <c r="O494" s="4" t="s">
        <v>120</v>
      </c>
      <c r="P494" s="4" t="s">
        <v>47</v>
      </c>
      <c r="Q494" s="4">
        <v>3</v>
      </c>
      <c r="R494" s="4">
        <v>23662</v>
      </c>
      <c r="S494" s="5">
        <v>20</v>
      </c>
      <c r="T494" s="6">
        <f t="shared" si="21"/>
        <v>56788.800000000003</v>
      </c>
      <c r="U494" s="4">
        <v>4326.6499999999996</v>
      </c>
      <c r="V494" t="str">
        <f t="shared" si="22"/>
        <v>Jan</v>
      </c>
      <c r="W494">
        <f t="shared" si="23"/>
        <v>7.6188438565350902E-2</v>
      </c>
    </row>
    <row r="495" spans="1:23" x14ac:dyDescent="0.4">
      <c r="A495" s="4" t="s">
        <v>1770</v>
      </c>
      <c r="B495" s="4" t="s">
        <v>1568</v>
      </c>
      <c r="C495" s="11">
        <v>45313</v>
      </c>
      <c r="D495" s="4" t="s">
        <v>124</v>
      </c>
      <c r="E495" s="4" t="s">
        <v>24</v>
      </c>
      <c r="F495" s="4" t="s">
        <v>58</v>
      </c>
      <c r="G495" s="4" t="s">
        <v>26</v>
      </c>
      <c r="H495" s="4" t="s">
        <v>1771</v>
      </c>
      <c r="I495" s="4" t="s">
        <v>28</v>
      </c>
      <c r="J495" s="4" t="s">
        <v>79</v>
      </c>
      <c r="K495" s="4" t="s">
        <v>63</v>
      </c>
      <c r="L495" s="4" t="s">
        <v>1322</v>
      </c>
      <c r="M495" s="4" t="s">
        <v>95</v>
      </c>
      <c r="N495" s="4" t="s">
        <v>54</v>
      </c>
      <c r="O495" s="4" t="s">
        <v>66</v>
      </c>
      <c r="P495" s="4" t="s">
        <v>88</v>
      </c>
      <c r="Q495" s="4">
        <v>1</v>
      </c>
      <c r="R495" s="4">
        <v>3587</v>
      </c>
      <c r="S495" s="5">
        <v>10</v>
      </c>
      <c r="T495" s="6">
        <f t="shared" si="21"/>
        <v>3228.3</v>
      </c>
      <c r="U495" s="4">
        <v>357.7</v>
      </c>
      <c r="V495" t="str">
        <f t="shared" si="22"/>
        <v>Jan</v>
      </c>
      <c r="W495">
        <f t="shared" si="23"/>
        <v>0.11080135055602018</v>
      </c>
    </row>
    <row r="496" spans="1:23" x14ac:dyDescent="0.4">
      <c r="A496" s="4" t="s">
        <v>1772</v>
      </c>
      <c r="B496" s="4" t="s">
        <v>1773</v>
      </c>
      <c r="C496" s="11">
        <v>44815</v>
      </c>
      <c r="D496" s="4" t="s">
        <v>98</v>
      </c>
      <c r="E496" s="4" t="s">
        <v>24</v>
      </c>
      <c r="F496" s="4" t="s">
        <v>26</v>
      </c>
      <c r="G496" s="4" t="s">
        <v>59</v>
      </c>
      <c r="H496" s="4" t="s">
        <v>1774</v>
      </c>
      <c r="I496" s="4" t="s">
        <v>28</v>
      </c>
      <c r="J496" s="4" t="s">
        <v>79</v>
      </c>
      <c r="K496" s="4" t="s">
        <v>101</v>
      </c>
      <c r="L496" s="4" t="s">
        <v>1322</v>
      </c>
      <c r="M496" s="4" t="s">
        <v>95</v>
      </c>
      <c r="N496" s="4" t="s">
        <v>54</v>
      </c>
      <c r="O496" s="4" t="s">
        <v>120</v>
      </c>
      <c r="P496" s="4" t="s">
        <v>35</v>
      </c>
      <c r="Q496" s="4">
        <v>2</v>
      </c>
      <c r="R496" s="4">
        <v>22411</v>
      </c>
      <c r="S496" s="5">
        <v>5</v>
      </c>
      <c r="T496" s="6">
        <f t="shared" si="21"/>
        <v>42580.9</v>
      </c>
      <c r="U496" s="4">
        <v>1445.98</v>
      </c>
      <c r="V496" t="str">
        <f t="shared" si="22"/>
        <v>Sep</v>
      </c>
      <c r="W496">
        <f t="shared" si="23"/>
        <v>3.3958417976134837E-2</v>
      </c>
    </row>
    <row r="497" spans="1:23" x14ac:dyDescent="0.4">
      <c r="A497" s="4" t="s">
        <v>1775</v>
      </c>
      <c r="B497" s="4" t="s">
        <v>1197</v>
      </c>
      <c r="C497" s="11">
        <v>45560</v>
      </c>
      <c r="D497" s="4" t="s">
        <v>124</v>
      </c>
      <c r="E497" s="4" t="s">
        <v>24</v>
      </c>
      <c r="F497" s="4" t="s">
        <v>26</v>
      </c>
      <c r="G497" s="4" t="s">
        <v>41</v>
      </c>
      <c r="H497" s="4" t="s">
        <v>1776</v>
      </c>
      <c r="I497" s="4" t="s">
        <v>61</v>
      </c>
      <c r="J497" s="4" t="s">
        <v>29</v>
      </c>
      <c r="K497" s="4" t="s">
        <v>153</v>
      </c>
      <c r="L497" s="4" t="s">
        <v>1777</v>
      </c>
      <c r="M497" s="4" t="s">
        <v>65</v>
      </c>
      <c r="N497" s="4" t="s">
        <v>54</v>
      </c>
      <c r="O497" s="4" t="s">
        <v>66</v>
      </c>
      <c r="P497" s="4" t="s">
        <v>35</v>
      </c>
      <c r="Q497" s="4">
        <v>3</v>
      </c>
      <c r="R497" s="4">
        <v>25712</v>
      </c>
      <c r="S497" s="5">
        <v>20</v>
      </c>
      <c r="T497" s="6">
        <f t="shared" si="21"/>
        <v>61708.800000000003</v>
      </c>
      <c r="U497" s="4">
        <v>-1110.6099999999999</v>
      </c>
      <c r="V497" t="str">
        <f t="shared" si="22"/>
        <v>Sep</v>
      </c>
      <c r="W497">
        <f t="shared" si="23"/>
        <v>-1.7997595156606511E-2</v>
      </c>
    </row>
    <row r="498" spans="1:23" x14ac:dyDescent="0.4">
      <c r="A498" s="4" t="s">
        <v>1778</v>
      </c>
      <c r="B498" s="4" t="s">
        <v>1003</v>
      </c>
      <c r="C498" s="11">
        <v>45455</v>
      </c>
      <c r="D498" s="4" t="s">
        <v>23</v>
      </c>
      <c r="E498" s="4" t="s">
        <v>24</v>
      </c>
      <c r="F498" s="4" t="s">
        <v>58</v>
      </c>
      <c r="G498" s="4" t="s">
        <v>41</v>
      </c>
      <c r="H498" s="4" t="s">
        <v>1779</v>
      </c>
      <c r="I498" s="4" t="s">
        <v>61</v>
      </c>
      <c r="J498" s="4" t="s">
        <v>79</v>
      </c>
      <c r="K498" s="4" t="s">
        <v>153</v>
      </c>
      <c r="L498" s="4" t="s">
        <v>1368</v>
      </c>
      <c r="M498" s="4" t="s">
        <v>53</v>
      </c>
      <c r="N498" s="4" t="s">
        <v>54</v>
      </c>
      <c r="O498" s="4" t="s">
        <v>34</v>
      </c>
      <c r="P498" s="4" t="s">
        <v>74</v>
      </c>
      <c r="Q498" s="4">
        <v>7</v>
      </c>
      <c r="R498" s="4">
        <v>2352</v>
      </c>
      <c r="S498" s="5">
        <v>15</v>
      </c>
      <c r="T498" s="6">
        <f t="shared" si="21"/>
        <v>13994.4</v>
      </c>
      <c r="U498" s="4">
        <v>970.45</v>
      </c>
      <c r="V498" t="str">
        <f t="shared" si="22"/>
        <v>Jun</v>
      </c>
      <c r="W498">
        <f t="shared" si="23"/>
        <v>6.9345595381009553E-2</v>
      </c>
    </row>
    <row r="499" spans="1:23" x14ac:dyDescent="0.4">
      <c r="A499" s="4" t="s">
        <v>1780</v>
      </c>
      <c r="B499" s="4" t="s">
        <v>1092</v>
      </c>
      <c r="C499" s="11">
        <v>45530</v>
      </c>
      <c r="D499" s="4" t="s">
        <v>23</v>
      </c>
      <c r="E499" s="4" t="s">
        <v>24</v>
      </c>
      <c r="F499" s="4" t="s">
        <v>26</v>
      </c>
      <c r="G499" s="4" t="s">
        <v>92</v>
      </c>
      <c r="H499" s="4" t="s">
        <v>1781</v>
      </c>
      <c r="I499" s="4" t="s">
        <v>28</v>
      </c>
      <c r="J499" s="4" t="s">
        <v>79</v>
      </c>
      <c r="K499" s="4" t="s">
        <v>86</v>
      </c>
      <c r="L499" s="4" t="s">
        <v>641</v>
      </c>
      <c r="M499" s="4" t="s">
        <v>73</v>
      </c>
      <c r="N499" s="4" t="s">
        <v>33</v>
      </c>
      <c r="O499" s="4" t="s">
        <v>120</v>
      </c>
      <c r="P499" s="4" t="s">
        <v>88</v>
      </c>
      <c r="Q499" s="4">
        <v>9</v>
      </c>
      <c r="R499" s="4">
        <v>45499</v>
      </c>
      <c r="S499" s="5">
        <v>15</v>
      </c>
      <c r="T499" s="6">
        <f t="shared" si="21"/>
        <v>348067.35</v>
      </c>
      <c r="U499" s="4">
        <v>-30990.720000000001</v>
      </c>
      <c r="V499" t="str">
        <f t="shared" si="22"/>
        <v>Aug</v>
      </c>
      <c r="W499">
        <f t="shared" si="23"/>
        <v>-8.9036561458579799E-2</v>
      </c>
    </row>
    <row r="500" spans="1:23" x14ac:dyDescent="0.4">
      <c r="A500" s="4" t="s">
        <v>1782</v>
      </c>
      <c r="B500" s="4" t="s">
        <v>933</v>
      </c>
      <c r="C500" s="11">
        <v>44783</v>
      </c>
      <c r="D500" s="4" t="s">
        <v>23</v>
      </c>
      <c r="E500" s="4" t="s">
        <v>24</v>
      </c>
      <c r="F500" s="4" t="s">
        <v>26</v>
      </c>
      <c r="G500" s="4" t="s">
        <v>59</v>
      </c>
      <c r="H500" s="4" t="s">
        <v>1784</v>
      </c>
      <c r="I500" s="4" t="s">
        <v>61</v>
      </c>
      <c r="J500" s="4" t="s">
        <v>62</v>
      </c>
      <c r="K500" s="4" t="s">
        <v>86</v>
      </c>
      <c r="L500" s="4" t="s">
        <v>1605</v>
      </c>
      <c r="M500" s="4" t="s">
        <v>53</v>
      </c>
      <c r="N500" s="4" t="s">
        <v>33</v>
      </c>
      <c r="O500" s="4" t="s">
        <v>46</v>
      </c>
      <c r="P500" s="4" t="s">
        <v>88</v>
      </c>
      <c r="Q500" s="4">
        <v>3</v>
      </c>
      <c r="R500" s="4">
        <v>2744</v>
      </c>
      <c r="S500" s="5">
        <v>0</v>
      </c>
      <c r="T500" s="6">
        <f t="shared" si="21"/>
        <v>8232</v>
      </c>
      <c r="U500" s="4">
        <v>2196.86</v>
      </c>
      <c r="V500" t="str">
        <f t="shared" si="22"/>
        <v>Aug</v>
      </c>
      <c r="W500">
        <f t="shared" si="23"/>
        <v>0.26686831875607386</v>
      </c>
    </row>
    <row r="501" spans="1:23" x14ac:dyDescent="0.4">
      <c r="A501" s="4" t="s">
        <v>1785</v>
      </c>
      <c r="B501" s="4" t="s">
        <v>1752</v>
      </c>
      <c r="C501" s="11">
        <v>45243</v>
      </c>
      <c r="D501" s="4" t="s">
        <v>39</v>
      </c>
      <c r="E501" s="4" t="s">
        <v>24</v>
      </c>
      <c r="F501" s="4" t="s">
        <v>70</v>
      </c>
      <c r="G501" s="4" t="s">
        <v>59</v>
      </c>
      <c r="H501" s="4" t="s">
        <v>1786</v>
      </c>
      <c r="I501" s="4" t="s">
        <v>61</v>
      </c>
      <c r="J501" s="4" t="s">
        <v>79</v>
      </c>
      <c r="K501" s="4" t="s">
        <v>153</v>
      </c>
      <c r="L501" s="4" t="s">
        <v>198</v>
      </c>
      <c r="M501" s="4" t="s">
        <v>95</v>
      </c>
      <c r="N501" s="4" t="s">
        <v>33</v>
      </c>
      <c r="O501" s="4" t="s">
        <v>34</v>
      </c>
      <c r="P501" s="4" t="s">
        <v>74</v>
      </c>
      <c r="Q501" s="4">
        <v>9</v>
      </c>
      <c r="R501" s="4">
        <v>33479</v>
      </c>
      <c r="S501" s="5">
        <v>5</v>
      </c>
      <c r="T501" s="6">
        <f t="shared" si="21"/>
        <v>286245.45</v>
      </c>
      <c r="U501" s="4">
        <v>33730.1</v>
      </c>
      <c r="V501" t="str">
        <f t="shared" si="22"/>
        <v>Nov</v>
      </c>
      <c r="W501">
        <f t="shared" si="23"/>
        <v>0.11783628351123135</v>
      </c>
    </row>
    <row r="502" spans="1:23" x14ac:dyDescent="0.4">
      <c r="A502" s="4" t="s">
        <v>1787</v>
      </c>
      <c r="B502" s="4" t="s">
        <v>1490</v>
      </c>
      <c r="C502" s="11">
        <v>44975</v>
      </c>
      <c r="D502" s="4" t="s">
        <v>23</v>
      </c>
      <c r="E502" s="4" t="s">
        <v>24</v>
      </c>
      <c r="F502" s="4" t="s">
        <v>40</v>
      </c>
      <c r="G502" s="4" t="s">
        <v>41</v>
      </c>
      <c r="H502" s="4" t="s">
        <v>1788</v>
      </c>
      <c r="I502" s="4" t="s">
        <v>28</v>
      </c>
      <c r="J502" s="4" t="s">
        <v>62</v>
      </c>
      <c r="K502" s="4" t="s">
        <v>30</v>
      </c>
      <c r="L502" s="4" t="s">
        <v>871</v>
      </c>
      <c r="M502" s="4" t="s">
        <v>73</v>
      </c>
      <c r="N502" s="4" t="s">
        <v>33</v>
      </c>
      <c r="O502" s="4" t="s">
        <v>66</v>
      </c>
      <c r="P502" s="4" t="s">
        <v>35</v>
      </c>
      <c r="Q502" s="4">
        <v>2</v>
      </c>
      <c r="R502" s="4">
        <v>23207</v>
      </c>
      <c r="S502" s="5">
        <v>0</v>
      </c>
      <c r="T502" s="6">
        <f t="shared" si="21"/>
        <v>46414</v>
      </c>
      <c r="U502" s="4">
        <v>11433.22</v>
      </c>
      <c r="V502" t="str">
        <f t="shared" si="22"/>
        <v>Feb</v>
      </c>
      <c r="W502">
        <f t="shared" si="23"/>
        <v>0.24633127935536689</v>
      </c>
    </row>
    <row r="503" spans="1:23" x14ac:dyDescent="0.4">
      <c r="A503" s="4" t="s">
        <v>1789</v>
      </c>
      <c r="B503" s="4" t="s">
        <v>995</v>
      </c>
      <c r="C503" s="11">
        <v>44618</v>
      </c>
      <c r="D503" s="4" t="s">
        <v>23</v>
      </c>
      <c r="E503" s="4" t="s">
        <v>24</v>
      </c>
      <c r="F503" s="4" t="s">
        <v>40</v>
      </c>
      <c r="G503" s="4" t="s">
        <v>41</v>
      </c>
      <c r="H503" s="4" t="s">
        <v>1790</v>
      </c>
      <c r="I503" s="4" t="s">
        <v>43</v>
      </c>
      <c r="J503" s="4" t="s">
        <v>79</v>
      </c>
      <c r="K503" s="4" t="s">
        <v>30</v>
      </c>
      <c r="L503" s="4" t="s">
        <v>319</v>
      </c>
      <c r="M503" s="4" t="s">
        <v>73</v>
      </c>
      <c r="N503" s="4" t="s">
        <v>54</v>
      </c>
      <c r="O503" s="4" t="s">
        <v>34</v>
      </c>
      <c r="P503" s="4" t="s">
        <v>35</v>
      </c>
      <c r="Q503" s="4">
        <v>9</v>
      </c>
      <c r="R503" s="4">
        <v>19017</v>
      </c>
      <c r="S503" s="5">
        <v>5</v>
      </c>
      <c r="T503" s="6">
        <f t="shared" si="21"/>
        <v>162595.35</v>
      </c>
      <c r="U503" s="4">
        <v>31365.77</v>
      </c>
      <c r="V503" t="str">
        <f t="shared" si="22"/>
        <v>Feb</v>
      </c>
      <c r="W503">
        <f t="shared" si="23"/>
        <v>0.19290693122527797</v>
      </c>
    </row>
    <row r="504" spans="1:23" x14ac:dyDescent="0.4">
      <c r="A504" s="4" t="s">
        <v>1791</v>
      </c>
      <c r="B504" s="4" t="s">
        <v>1792</v>
      </c>
      <c r="C504" s="11">
        <v>45497</v>
      </c>
      <c r="D504" s="4" t="s">
        <v>124</v>
      </c>
      <c r="E504" s="4" t="s">
        <v>24</v>
      </c>
      <c r="F504" s="4" t="s">
        <v>26</v>
      </c>
      <c r="G504" s="4" t="s">
        <v>92</v>
      </c>
      <c r="H504" s="4" t="s">
        <v>1793</v>
      </c>
      <c r="I504" s="4" t="s">
        <v>28</v>
      </c>
      <c r="J504" s="4" t="s">
        <v>29</v>
      </c>
      <c r="K504" s="4" t="s">
        <v>153</v>
      </c>
      <c r="L504" s="4" t="s">
        <v>574</v>
      </c>
      <c r="M504" s="4" t="s">
        <v>81</v>
      </c>
      <c r="N504" s="4" t="s">
        <v>54</v>
      </c>
      <c r="O504" s="4" t="s">
        <v>66</v>
      </c>
      <c r="P504" s="4" t="s">
        <v>74</v>
      </c>
      <c r="Q504" s="4">
        <v>4</v>
      </c>
      <c r="R504" s="4">
        <v>29015</v>
      </c>
      <c r="S504" s="5">
        <v>20</v>
      </c>
      <c r="T504" s="6">
        <f t="shared" si="21"/>
        <v>92848</v>
      </c>
      <c r="U504" s="4">
        <v>-4676.54</v>
      </c>
      <c r="V504" t="str">
        <f t="shared" si="22"/>
        <v>Jul</v>
      </c>
      <c r="W504">
        <f t="shared" si="23"/>
        <v>-5.0367697742546957E-2</v>
      </c>
    </row>
    <row r="505" spans="1:23" x14ac:dyDescent="0.4">
      <c r="A505" s="4" t="s">
        <v>1794</v>
      </c>
      <c r="B505" s="4" t="s">
        <v>860</v>
      </c>
      <c r="C505" s="11">
        <v>45306</v>
      </c>
      <c r="D505" s="4" t="s">
        <v>39</v>
      </c>
      <c r="E505" s="4" t="s">
        <v>24</v>
      </c>
      <c r="F505" s="4" t="s">
        <v>70</v>
      </c>
      <c r="G505" s="4" t="s">
        <v>99</v>
      </c>
      <c r="H505" s="4" t="s">
        <v>1795</v>
      </c>
      <c r="I505" s="4" t="s">
        <v>43</v>
      </c>
      <c r="J505" s="4" t="s">
        <v>29</v>
      </c>
      <c r="K505" s="4" t="s">
        <v>30</v>
      </c>
      <c r="L505" s="4" t="s">
        <v>949</v>
      </c>
      <c r="M505" s="4" t="s">
        <v>95</v>
      </c>
      <c r="N505" s="4" t="s">
        <v>33</v>
      </c>
      <c r="O505" s="4" t="s">
        <v>46</v>
      </c>
      <c r="P505" s="4" t="s">
        <v>74</v>
      </c>
      <c r="Q505" s="4">
        <v>10</v>
      </c>
      <c r="R505" s="4">
        <v>46266</v>
      </c>
      <c r="S505" s="5">
        <v>10</v>
      </c>
      <c r="T505" s="6">
        <f t="shared" si="21"/>
        <v>416394</v>
      </c>
      <c r="U505" s="4">
        <v>14544.46</v>
      </c>
      <c r="V505" t="str">
        <f t="shared" si="22"/>
        <v>Jan</v>
      </c>
      <c r="W505">
        <f t="shared" si="23"/>
        <v>3.4929561905310831E-2</v>
      </c>
    </row>
    <row r="506" spans="1:23" x14ac:dyDescent="0.4">
      <c r="A506" s="4" t="s">
        <v>1796</v>
      </c>
      <c r="B506" s="4" t="s">
        <v>1797</v>
      </c>
      <c r="C506" s="11">
        <v>44582</v>
      </c>
      <c r="D506" s="4" t="s">
        <v>124</v>
      </c>
      <c r="E506" s="4" t="s">
        <v>24</v>
      </c>
      <c r="F506" s="4" t="s">
        <v>40</v>
      </c>
      <c r="G506" s="4" t="s">
        <v>99</v>
      </c>
      <c r="H506" s="4" t="s">
        <v>1798</v>
      </c>
      <c r="I506" s="4" t="s">
        <v>43</v>
      </c>
      <c r="J506" s="4" t="s">
        <v>79</v>
      </c>
      <c r="K506" s="4" t="s">
        <v>44</v>
      </c>
      <c r="L506" s="4" t="s">
        <v>119</v>
      </c>
      <c r="M506" s="4" t="s">
        <v>65</v>
      </c>
      <c r="N506" s="4" t="s">
        <v>33</v>
      </c>
      <c r="O506" s="4" t="s">
        <v>82</v>
      </c>
      <c r="P506" s="4" t="s">
        <v>74</v>
      </c>
      <c r="Q506" s="4">
        <v>6</v>
      </c>
      <c r="R506" s="4">
        <v>14998</v>
      </c>
      <c r="S506" s="5">
        <v>20</v>
      </c>
      <c r="T506" s="6">
        <f t="shared" si="21"/>
        <v>71990.399999999994</v>
      </c>
      <c r="U506" s="4">
        <v>-5710.64</v>
      </c>
      <c r="V506" t="str">
        <f t="shared" si="22"/>
        <v>Jan</v>
      </c>
      <c r="W506">
        <f t="shared" si="23"/>
        <v>-7.9325021113926308E-2</v>
      </c>
    </row>
    <row r="507" spans="1:23" x14ac:dyDescent="0.4">
      <c r="A507" s="4" t="s">
        <v>1799</v>
      </c>
      <c r="B507" s="4" t="s">
        <v>1800</v>
      </c>
      <c r="C507" s="11">
        <v>44956</v>
      </c>
      <c r="D507" s="4" t="s">
        <v>124</v>
      </c>
      <c r="E507" s="4" t="s">
        <v>24</v>
      </c>
      <c r="F507" s="4" t="s">
        <v>58</v>
      </c>
      <c r="G507" s="4" t="s">
        <v>92</v>
      </c>
      <c r="H507" s="4" t="s">
        <v>1801</v>
      </c>
      <c r="I507" s="4" t="s">
        <v>43</v>
      </c>
      <c r="J507" s="4" t="s">
        <v>29</v>
      </c>
      <c r="K507" s="4" t="s">
        <v>44</v>
      </c>
      <c r="L507" s="4" t="s">
        <v>64</v>
      </c>
      <c r="M507" s="4" t="s">
        <v>65</v>
      </c>
      <c r="N507" s="4" t="s">
        <v>54</v>
      </c>
      <c r="O507" s="4" t="s">
        <v>46</v>
      </c>
      <c r="P507" s="4" t="s">
        <v>74</v>
      </c>
      <c r="Q507" s="4">
        <v>4</v>
      </c>
      <c r="R507" s="4">
        <v>18075</v>
      </c>
      <c r="S507" s="5">
        <v>15</v>
      </c>
      <c r="T507" s="6">
        <f t="shared" si="21"/>
        <v>61455</v>
      </c>
      <c r="U507" s="4">
        <v>-1512.24</v>
      </c>
      <c r="V507" t="str">
        <f t="shared" si="22"/>
        <v>Jan</v>
      </c>
      <c r="W507">
        <f t="shared" si="23"/>
        <v>-2.4607273614840126E-2</v>
      </c>
    </row>
    <row r="508" spans="1:23" x14ac:dyDescent="0.4">
      <c r="A508" s="4" t="s">
        <v>1802</v>
      </c>
      <c r="B508" s="4" t="s">
        <v>220</v>
      </c>
      <c r="C508" s="11">
        <v>45155</v>
      </c>
      <c r="D508" s="4" t="s">
        <v>23</v>
      </c>
      <c r="E508" s="4" t="s">
        <v>24</v>
      </c>
      <c r="F508" s="4" t="s">
        <v>26</v>
      </c>
      <c r="G508" s="4" t="s">
        <v>92</v>
      </c>
      <c r="H508" s="4" t="s">
        <v>1803</v>
      </c>
      <c r="I508" s="4" t="s">
        <v>28</v>
      </c>
      <c r="J508" s="4" t="s">
        <v>79</v>
      </c>
      <c r="K508" s="4" t="s">
        <v>44</v>
      </c>
      <c r="L508" s="4" t="s">
        <v>272</v>
      </c>
      <c r="M508" s="4" t="s">
        <v>53</v>
      </c>
      <c r="N508" s="4" t="s">
        <v>33</v>
      </c>
      <c r="O508" s="4" t="s">
        <v>46</v>
      </c>
      <c r="P508" s="4" t="s">
        <v>74</v>
      </c>
      <c r="Q508" s="4">
        <v>8</v>
      </c>
      <c r="R508" s="4">
        <v>34878</v>
      </c>
      <c r="S508" s="5">
        <v>15</v>
      </c>
      <c r="T508" s="6">
        <f t="shared" si="21"/>
        <v>237170.4</v>
      </c>
      <c r="U508" s="4">
        <v>31326.17</v>
      </c>
      <c r="V508" t="str">
        <f t="shared" si="22"/>
        <v>Aug</v>
      </c>
      <c r="W508">
        <f t="shared" si="23"/>
        <v>0.13208296650846818</v>
      </c>
    </row>
    <row r="509" spans="1:23" x14ac:dyDescent="0.4">
      <c r="A509" s="4" t="s">
        <v>1804</v>
      </c>
      <c r="B509" s="4" t="s">
        <v>466</v>
      </c>
      <c r="C509" s="11">
        <v>44846</v>
      </c>
      <c r="D509" s="4" t="s">
        <v>124</v>
      </c>
      <c r="E509" s="4" t="s">
        <v>24</v>
      </c>
      <c r="F509" s="4" t="s">
        <v>58</v>
      </c>
      <c r="G509" s="4" t="s">
        <v>26</v>
      </c>
      <c r="H509" s="4" t="s">
        <v>1806</v>
      </c>
      <c r="I509" s="4" t="s">
        <v>61</v>
      </c>
      <c r="J509" s="4" t="s">
        <v>29</v>
      </c>
      <c r="K509" s="4" t="s">
        <v>63</v>
      </c>
      <c r="L509" s="4" t="s">
        <v>699</v>
      </c>
      <c r="M509" s="4" t="s">
        <v>32</v>
      </c>
      <c r="N509" s="4" t="s">
        <v>33</v>
      </c>
      <c r="O509" s="4" t="s">
        <v>120</v>
      </c>
      <c r="P509" s="4" t="s">
        <v>88</v>
      </c>
      <c r="Q509" s="4">
        <v>10</v>
      </c>
      <c r="R509" s="4">
        <v>43748</v>
      </c>
      <c r="S509" s="5">
        <v>0</v>
      </c>
      <c r="T509" s="6">
        <f t="shared" si="21"/>
        <v>437480</v>
      </c>
      <c r="U509" s="4">
        <v>125013.25</v>
      </c>
      <c r="V509" t="str">
        <f t="shared" si="22"/>
        <v>Oct</v>
      </c>
      <c r="W509">
        <f t="shared" si="23"/>
        <v>0.28575763463472614</v>
      </c>
    </row>
    <row r="510" spans="1:23" x14ac:dyDescent="0.4">
      <c r="A510" s="4" t="s">
        <v>1807</v>
      </c>
      <c r="B510" s="4" t="s">
        <v>129</v>
      </c>
      <c r="C510" s="11">
        <v>44647</v>
      </c>
      <c r="D510" s="4" t="s">
        <v>98</v>
      </c>
      <c r="E510" s="4" t="s">
        <v>24</v>
      </c>
      <c r="F510" s="4" t="s">
        <v>40</v>
      </c>
      <c r="G510" s="4" t="s">
        <v>99</v>
      </c>
      <c r="H510" s="4" t="s">
        <v>1808</v>
      </c>
      <c r="I510" s="4" t="s">
        <v>28</v>
      </c>
      <c r="J510" s="4" t="s">
        <v>29</v>
      </c>
      <c r="K510" s="4" t="s">
        <v>86</v>
      </c>
      <c r="L510" s="4" t="s">
        <v>1254</v>
      </c>
      <c r="M510" s="4" t="s">
        <v>65</v>
      </c>
      <c r="N510" s="4" t="s">
        <v>33</v>
      </c>
      <c r="O510" s="4" t="s">
        <v>46</v>
      </c>
      <c r="P510" s="4" t="s">
        <v>88</v>
      </c>
      <c r="Q510" s="4">
        <v>2</v>
      </c>
      <c r="R510" s="4">
        <v>15845</v>
      </c>
      <c r="S510" s="5">
        <v>20</v>
      </c>
      <c r="T510" s="6">
        <f t="shared" si="21"/>
        <v>25352</v>
      </c>
      <c r="U510" s="4">
        <v>1169.82</v>
      </c>
      <c r="V510" t="str">
        <f t="shared" si="22"/>
        <v>Mar</v>
      </c>
      <c r="W510">
        <f t="shared" si="23"/>
        <v>4.6143105080467019E-2</v>
      </c>
    </row>
    <row r="511" spans="1:23" x14ac:dyDescent="0.4">
      <c r="A511" s="4" t="s">
        <v>1809</v>
      </c>
      <c r="B511" s="4" t="s">
        <v>941</v>
      </c>
      <c r="C511" s="11">
        <v>45506</v>
      </c>
      <c r="D511" s="4" t="s">
        <v>23</v>
      </c>
      <c r="E511" s="4" t="s">
        <v>24</v>
      </c>
      <c r="F511" s="4" t="s">
        <v>40</v>
      </c>
      <c r="G511" s="4" t="s">
        <v>41</v>
      </c>
      <c r="H511" s="4" t="s">
        <v>1811</v>
      </c>
      <c r="I511" s="4" t="s">
        <v>43</v>
      </c>
      <c r="J511" s="4" t="s">
        <v>62</v>
      </c>
      <c r="K511" s="4" t="s">
        <v>63</v>
      </c>
      <c r="L511" s="4" t="s">
        <v>1812</v>
      </c>
      <c r="M511" s="4" t="s">
        <v>73</v>
      </c>
      <c r="N511" s="4" t="s">
        <v>33</v>
      </c>
      <c r="O511" s="4" t="s">
        <v>82</v>
      </c>
      <c r="P511" s="4" t="s">
        <v>88</v>
      </c>
      <c r="Q511" s="4">
        <v>6</v>
      </c>
      <c r="R511" s="4">
        <v>32294</v>
      </c>
      <c r="S511" s="5">
        <v>15</v>
      </c>
      <c r="T511" s="6">
        <f t="shared" si="21"/>
        <v>164699.4</v>
      </c>
      <c r="U511" s="4">
        <v>6327.42</v>
      </c>
      <c r="V511" t="str">
        <f t="shared" si="22"/>
        <v>Jul</v>
      </c>
      <c r="W511">
        <f t="shared" si="23"/>
        <v>3.8417990593772655E-2</v>
      </c>
    </row>
    <row r="512" spans="1:23" x14ac:dyDescent="0.4">
      <c r="A512" s="4" t="s">
        <v>1813</v>
      </c>
      <c r="B512" s="4" t="s">
        <v>1330</v>
      </c>
      <c r="C512" s="11">
        <v>45197</v>
      </c>
      <c r="D512" s="4" t="s">
        <v>98</v>
      </c>
      <c r="E512" s="4" t="s">
        <v>24</v>
      </c>
      <c r="F512" s="4" t="s">
        <v>25</v>
      </c>
      <c r="G512" s="4" t="s">
        <v>99</v>
      </c>
      <c r="H512" s="4" t="s">
        <v>1814</v>
      </c>
      <c r="I512" s="4" t="s">
        <v>43</v>
      </c>
      <c r="J512" s="4" t="s">
        <v>29</v>
      </c>
      <c r="K512" s="4" t="s">
        <v>153</v>
      </c>
      <c r="L512" s="4" t="s">
        <v>1322</v>
      </c>
      <c r="M512" s="4" t="s">
        <v>65</v>
      </c>
      <c r="N512" s="4" t="s">
        <v>33</v>
      </c>
      <c r="O512" s="4" t="s">
        <v>66</v>
      </c>
      <c r="P512" s="4" t="s">
        <v>88</v>
      </c>
      <c r="Q512" s="4">
        <v>6</v>
      </c>
      <c r="R512" s="4">
        <v>14870</v>
      </c>
      <c r="S512" s="5">
        <v>5</v>
      </c>
      <c r="T512" s="6">
        <f t="shared" si="21"/>
        <v>84759</v>
      </c>
      <c r="U512" s="4">
        <v>16937.97</v>
      </c>
      <c r="V512" t="str">
        <f t="shared" si="22"/>
        <v>Sep</v>
      </c>
      <c r="W512">
        <f t="shared" si="23"/>
        <v>0.19983683148692175</v>
      </c>
    </row>
    <row r="513" spans="1:23" x14ac:dyDescent="0.4">
      <c r="A513" s="4" t="s">
        <v>1815</v>
      </c>
      <c r="B513" s="4" t="s">
        <v>1816</v>
      </c>
      <c r="C513" s="11">
        <v>45331</v>
      </c>
      <c r="D513" s="4" t="s">
        <v>23</v>
      </c>
      <c r="E513" s="4" t="s">
        <v>24</v>
      </c>
      <c r="F513" s="4" t="s">
        <v>26</v>
      </c>
      <c r="G513" s="4" t="s">
        <v>92</v>
      </c>
      <c r="H513" s="4" t="s">
        <v>1817</v>
      </c>
      <c r="I513" s="4" t="s">
        <v>43</v>
      </c>
      <c r="J513" s="4" t="s">
        <v>79</v>
      </c>
      <c r="K513" s="4" t="s">
        <v>153</v>
      </c>
      <c r="L513" s="4" t="s">
        <v>282</v>
      </c>
      <c r="M513" s="4" t="s">
        <v>81</v>
      </c>
      <c r="N513" s="4" t="s">
        <v>33</v>
      </c>
      <c r="O513" s="4" t="s">
        <v>46</v>
      </c>
      <c r="P513" s="4" t="s">
        <v>35</v>
      </c>
      <c r="Q513" s="4">
        <v>10</v>
      </c>
      <c r="R513" s="4">
        <v>37202</v>
      </c>
      <c r="S513" s="5">
        <v>15</v>
      </c>
      <c r="T513" s="6">
        <f t="shared" si="21"/>
        <v>316217</v>
      </c>
      <c r="U513" s="4">
        <v>26378.92</v>
      </c>
      <c r="V513" t="str">
        <f t="shared" si="22"/>
        <v>Feb</v>
      </c>
      <c r="W513">
        <f t="shared" si="23"/>
        <v>8.3420309471027798E-2</v>
      </c>
    </row>
    <row r="514" spans="1:23" x14ac:dyDescent="0.4">
      <c r="A514" s="4" t="s">
        <v>1818</v>
      </c>
      <c r="B514" s="4" t="s">
        <v>1792</v>
      </c>
      <c r="C514" s="11">
        <v>45502</v>
      </c>
      <c r="D514" s="4" t="s">
        <v>23</v>
      </c>
      <c r="E514" s="4" t="s">
        <v>24</v>
      </c>
      <c r="F514" s="4" t="s">
        <v>26</v>
      </c>
      <c r="G514" s="4" t="s">
        <v>41</v>
      </c>
      <c r="H514" s="4" t="s">
        <v>1819</v>
      </c>
      <c r="I514" s="4" t="s">
        <v>43</v>
      </c>
      <c r="J514" s="4" t="s">
        <v>62</v>
      </c>
      <c r="K514" s="4" t="s">
        <v>86</v>
      </c>
      <c r="L514" s="4" t="s">
        <v>564</v>
      </c>
      <c r="M514" s="4" t="s">
        <v>53</v>
      </c>
      <c r="N514" s="4" t="s">
        <v>33</v>
      </c>
      <c r="O514" s="4" t="s">
        <v>120</v>
      </c>
      <c r="P514" s="4" t="s">
        <v>47</v>
      </c>
      <c r="Q514" s="4">
        <v>7</v>
      </c>
      <c r="R514" s="4">
        <v>44095</v>
      </c>
      <c r="S514" s="5">
        <v>20</v>
      </c>
      <c r="T514" s="6">
        <f t="shared" si="21"/>
        <v>246932</v>
      </c>
      <c r="U514" s="4">
        <v>-38413.06</v>
      </c>
      <c r="V514" t="str">
        <f t="shared" si="22"/>
        <v>Jul</v>
      </c>
      <c r="W514">
        <f t="shared" si="23"/>
        <v>-0.15556128812790565</v>
      </c>
    </row>
    <row r="515" spans="1:23" x14ac:dyDescent="0.4">
      <c r="A515" s="4" t="s">
        <v>1820</v>
      </c>
      <c r="B515" s="4" t="s">
        <v>677</v>
      </c>
      <c r="C515" s="11">
        <v>45471</v>
      </c>
      <c r="D515" s="4" t="s">
        <v>98</v>
      </c>
      <c r="E515" s="4" t="s">
        <v>24</v>
      </c>
      <c r="F515" s="4" t="s">
        <v>70</v>
      </c>
      <c r="G515" s="4" t="s">
        <v>59</v>
      </c>
      <c r="H515" s="4" t="s">
        <v>1821</v>
      </c>
      <c r="I515" s="4" t="s">
        <v>43</v>
      </c>
      <c r="J515" s="4" t="s">
        <v>62</v>
      </c>
      <c r="K515" s="4" t="s">
        <v>63</v>
      </c>
      <c r="L515" s="4" t="s">
        <v>1822</v>
      </c>
      <c r="M515" s="4" t="s">
        <v>53</v>
      </c>
      <c r="N515" s="4" t="s">
        <v>33</v>
      </c>
      <c r="O515" s="4" t="s">
        <v>34</v>
      </c>
      <c r="P515" s="4" t="s">
        <v>35</v>
      </c>
      <c r="Q515" s="4">
        <v>1</v>
      </c>
      <c r="R515" s="4">
        <v>2760</v>
      </c>
      <c r="S515" s="5">
        <v>5</v>
      </c>
      <c r="T515" s="6">
        <f t="shared" ref="T515:T578" si="24">Q515*R515*(100-S515)/100</f>
        <v>2622</v>
      </c>
      <c r="U515" s="4">
        <v>371.87</v>
      </c>
      <c r="V515" t="str">
        <f t="shared" ref="V515:V578" si="25">TEXT(B515,"MMM")</f>
        <v>Jun</v>
      </c>
      <c r="W515">
        <f t="shared" ref="W515:W578" si="26">U515/T515</f>
        <v>0.14182684973302823</v>
      </c>
    </row>
    <row r="516" spans="1:23" x14ac:dyDescent="0.4">
      <c r="A516" s="4" t="s">
        <v>1823</v>
      </c>
      <c r="B516" s="4" t="s">
        <v>608</v>
      </c>
      <c r="C516" s="11">
        <v>45363</v>
      </c>
      <c r="D516" s="4" t="s">
        <v>98</v>
      </c>
      <c r="E516" s="4" t="s">
        <v>24</v>
      </c>
      <c r="F516" s="4" t="s">
        <v>58</v>
      </c>
      <c r="G516" s="4" t="s">
        <v>59</v>
      </c>
      <c r="H516" s="4" t="s">
        <v>1825</v>
      </c>
      <c r="I516" s="4" t="s">
        <v>61</v>
      </c>
      <c r="J516" s="4" t="s">
        <v>29</v>
      </c>
      <c r="K516" s="4" t="s">
        <v>86</v>
      </c>
      <c r="L516" s="4" t="s">
        <v>181</v>
      </c>
      <c r="M516" s="4" t="s">
        <v>65</v>
      </c>
      <c r="N516" s="4" t="s">
        <v>33</v>
      </c>
      <c r="O516" s="4" t="s">
        <v>34</v>
      </c>
      <c r="P516" s="4" t="s">
        <v>74</v>
      </c>
      <c r="Q516" s="4">
        <v>4</v>
      </c>
      <c r="R516" s="4">
        <v>6118</v>
      </c>
      <c r="S516" s="5">
        <v>0</v>
      </c>
      <c r="T516" s="6">
        <f t="shared" si="24"/>
        <v>24472</v>
      </c>
      <c r="U516" s="4">
        <v>5041.97</v>
      </c>
      <c r="V516" t="str">
        <f t="shared" si="25"/>
        <v>Mar</v>
      </c>
      <c r="W516">
        <f t="shared" si="26"/>
        <v>0.20603015691402421</v>
      </c>
    </row>
    <row r="517" spans="1:23" x14ac:dyDescent="0.4">
      <c r="A517" s="4" t="s">
        <v>1826</v>
      </c>
      <c r="B517" s="4" t="s">
        <v>1827</v>
      </c>
      <c r="C517" s="11">
        <v>45530</v>
      </c>
      <c r="D517" s="4" t="s">
        <v>23</v>
      </c>
      <c r="E517" s="4" t="s">
        <v>24</v>
      </c>
      <c r="F517" s="4" t="s">
        <v>25</v>
      </c>
      <c r="G517" s="4" t="s">
        <v>41</v>
      </c>
      <c r="H517" s="4" t="s">
        <v>1828</v>
      </c>
      <c r="I517" s="4" t="s">
        <v>61</v>
      </c>
      <c r="J517" s="4" t="s">
        <v>29</v>
      </c>
      <c r="K517" s="4" t="s">
        <v>101</v>
      </c>
      <c r="L517" s="4" t="s">
        <v>1829</v>
      </c>
      <c r="M517" s="4" t="s">
        <v>32</v>
      </c>
      <c r="N517" s="4" t="s">
        <v>33</v>
      </c>
      <c r="O517" s="4" t="s">
        <v>82</v>
      </c>
      <c r="P517" s="4" t="s">
        <v>35</v>
      </c>
      <c r="Q517" s="4">
        <v>10</v>
      </c>
      <c r="R517" s="4">
        <v>19986</v>
      </c>
      <c r="S517" s="5">
        <v>5</v>
      </c>
      <c r="T517" s="6">
        <f t="shared" si="24"/>
        <v>189867</v>
      </c>
      <c r="U517" s="4">
        <v>11278.88</v>
      </c>
      <c r="V517" t="str">
        <f t="shared" si="25"/>
        <v>Aug</v>
      </c>
      <c r="W517">
        <f t="shared" si="26"/>
        <v>5.9404109192224025E-2</v>
      </c>
    </row>
    <row r="518" spans="1:23" x14ac:dyDescent="0.4">
      <c r="A518" s="4" t="s">
        <v>1830</v>
      </c>
      <c r="B518" s="4" t="s">
        <v>179</v>
      </c>
      <c r="C518" s="11">
        <v>44674</v>
      </c>
      <c r="D518" s="4" t="s">
        <v>98</v>
      </c>
      <c r="E518" s="4" t="s">
        <v>24</v>
      </c>
      <c r="F518" s="4" t="s">
        <v>58</v>
      </c>
      <c r="G518" s="4" t="s">
        <v>92</v>
      </c>
      <c r="H518" s="4" t="s">
        <v>1832</v>
      </c>
      <c r="I518" s="4" t="s">
        <v>61</v>
      </c>
      <c r="J518" s="4" t="s">
        <v>62</v>
      </c>
      <c r="K518" s="4" t="s">
        <v>30</v>
      </c>
      <c r="L518" s="4" t="s">
        <v>203</v>
      </c>
      <c r="M518" s="4" t="s">
        <v>65</v>
      </c>
      <c r="N518" s="4" t="s">
        <v>54</v>
      </c>
      <c r="O518" s="4" t="s">
        <v>66</v>
      </c>
      <c r="P518" s="4" t="s">
        <v>74</v>
      </c>
      <c r="Q518" s="4">
        <v>6</v>
      </c>
      <c r="R518" s="4">
        <v>4646</v>
      </c>
      <c r="S518" s="5">
        <v>15</v>
      </c>
      <c r="T518" s="6">
        <f t="shared" si="24"/>
        <v>23694.6</v>
      </c>
      <c r="U518" s="4">
        <v>-2034.89</v>
      </c>
      <c r="V518" t="str">
        <f t="shared" si="25"/>
        <v>Apr</v>
      </c>
      <c r="W518">
        <f t="shared" si="26"/>
        <v>-8.5879905126062486E-2</v>
      </c>
    </row>
    <row r="519" spans="1:23" x14ac:dyDescent="0.4">
      <c r="A519" s="4" t="s">
        <v>1833</v>
      </c>
      <c r="B519" s="4" t="s">
        <v>1316</v>
      </c>
      <c r="C519" s="11">
        <v>45218</v>
      </c>
      <c r="D519" s="4" t="s">
        <v>98</v>
      </c>
      <c r="E519" s="4" t="s">
        <v>24</v>
      </c>
      <c r="F519" s="4" t="s">
        <v>40</v>
      </c>
      <c r="G519" s="4" t="s">
        <v>59</v>
      </c>
      <c r="H519" s="4" t="s">
        <v>1077</v>
      </c>
      <c r="I519" s="4" t="s">
        <v>28</v>
      </c>
      <c r="J519" s="4" t="s">
        <v>62</v>
      </c>
      <c r="K519" s="4" t="s">
        <v>30</v>
      </c>
      <c r="L519" s="4" t="s">
        <v>114</v>
      </c>
      <c r="M519" s="4" t="s">
        <v>65</v>
      </c>
      <c r="N519" s="4" t="s">
        <v>54</v>
      </c>
      <c r="O519" s="4" t="s">
        <v>82</v>
      </c>
      <c r="P519" s="4" t="s">
        <v>35</v>
      </c>
      <c r="Q519" s="4">
        <v>3</v>
      </c>
      <c r="R519" s="4">
        <v>5050</v>
      </c>
      <c r="S519" s="5">
        <v>20</v>
      </c>
      <c r="T519" s="6">
        <f t="shared" si="24"/>
        <v>12120</v>
      </c>
      <c r="U519" s="4">
        <v>-2257.77</v>
      </c>
      <c r="V519" t="str">
        <f t="shared" si="25"/>
        <v>Oct</v>
      </c>
      <c r="W519">
        <f t="shared" si="26"/>
        <v>-0.18628465346534653</v>
      </c>
    </row>
    <row r="520" spans="1:23" x14ac:dyDescent="0.4">
      <c r="A520" s="4" t="s">
        <v>1834</v>
      </c>
      <c r="B520" s="4" t="s">
        <v>1835</v>
      </c>
      <c r="C520" s="11">
        <v>44633</v>
      </c>
      <c r="D520" s="4" t="s">
        <v>124</v>
      </c>
      <c r="E520" s="4" t="s">
        <v>24</v>
      </c>
      <c r="F520" s="4" t="s">
        <v>58</v>
      </c>
      <c r="G520" s="4" t="s">
        <v>26</v>
      </c>
      <c r="H520" s="4" t="s">
        <v>1837</v>
      </c>
      <c r="I520" s="4" t="s">
        <v>61</v>
      </c>
      <c r="J520" s="4" t="s">
        <v>62</v>
      </c>
      <c r="K520" s="4" t="s">
        <v>86</v>
      </c>
      <c r="L520" s="4" t="s">
        <v>889</v>
      </c>
      <c r="M520" s="4" t="s">
        <v>95</v>
      </c>
      <c r="N520" s="4" t="s">
        <v>33</v>
      </c>
      <c r="O520" s="4" t="s">
        <v>66</v>
      </c>
      <c r="P520" s="4" t="s">
        <v>74</v>
      </c>
      <c r="Q520" s="4">
        <v>5</v>
      </c>
      <c r="R520" s="4">
        <v>27956</v>
      </c>
      <c r="S520" s="5">
        <v>0</v>
      </c>
      <c r="T520" s="6">
        <f t="shared" si="24"/>
        <v>139780</v>
      </c>
      <c r="U520" s="4">
        <v>12542.38</v>
      </c>
      <c r="V520" t="str">
        <f t="shared" si="25"/>
        <v>Mar</v>
      </c>
      <c r="W520">
        <f t="shared" si="26"/>
        <v>8.972943196451566E-2</v>
      </c>
    </row>
    <row r="521" spans="1:23" x14ac:dyDescent="0.4">
      <c r="A521" s="4" t="s">
        <v>1838</v>
      </c>
      <c r="B521" s="4" t="s">
        <v>1431</v>
      </c>
      <c r="C521" s="11">
        <v>45559</v>
      </c>
      <c r="D521" s="4" t="s">
        <v>23</v>
      </c>
      <c r="E521" s="4" t="s">
        <v>24</v>
      </c>
      <c r="F521" s="4" t="s">
        <v>70</v>
      </c>
      <c r="G521" s="4" t="s">
        <v>92</v>
      </c>
      <c r="H521" s="4" t="s">
        <v>1839</v>
      </c>
      <c r="I521" s="4" t="s">
        <v>43</v>
      </c>
      <c r="J521" s="4" t="s">
        <v>29</v>
      </c>
      <c r="K521" s="4" t="s">
        <v>44</v>
      </c>
      <c r="L521" s="4" t="s">
        <v>687</v>
      </c>
      <c r="M521" s="4" t="s">
        <v>53</v>
      </c>
      <c r="N521" s="4" t="s">
        <v>54</v>
      </c>
      <c r="O521" s="4" t="s">
        <v>46</v>
      </c>
      <c r="P521" s="4" t="s">
        <v>74</v>
      </c>
      <c r="Q521" s="4">
        <v>6</v>
      </c>
      <c r="R521" s="4">
        <v>49426</v>
      </c>
      <c r="S521" s="5">
        <v>10</v>
      </c>
      <c r="T521" s="6">
        <f t="shared" si="24"/>
        <v>266900.40000000002</v>
      </c>
      <c r="U521" s="4">
        <v>-12686.65</v>
      </c>
      <c r="V521" t="str">
        <f t="shared" si="25"/>
        <v>Sep</v>
      </c>
      <c r="W521">
        <f t="shared" si="26"/>
        <v>-4.7533274584826396E-2</v>
      </c>
    </row>
    <row r="522" spans="1:23" x14ac:dyDescent="0.4">
      <c r="A522" s="4" t="s">
        <v>1840</v>
      </c>
      <c r="B522" s="4" t="s">
        <v>1193</v>
      </c>
      <c r="C522" s="11">
        <v>44625</v>
      </c>
      <c r="D522" s="4" t="s">
        <v>124</v>
      </c>
      <c r="E522" s="4" t="s">
        <v>24</v>
      </c>
      <c r="F522" s="4" t="s">
        <v>58</v>
      </c>
      <c r="G522" s="4" t="s">
        <v>92</v>
      </c>
      <c r="H522" s="4" t="s">
        <v>1841</v>
      </c>
      <c r="I522" s="4" t="s">
        <v>28</v>
      </c>
      <c r="J522" s="4" t="s">
        <v>79</v>
      </c>
      <c r="K522" s="4" t="s">
        <v>153</v>
      </c>
      <c r="L522" s="4" t="s">
        <v>775</v>
      </c>
      <c r="M522" s="4" t="s">
        <v>53</v>
      </c>
      <c r="N522" s="4" t="s">
        <v>54</v>
      </c>
      <c r="O522" s="4" t="s">
        <v>66</v>
      </c>
      <c r="P522" s="4" t="s">
        <v>88</v>
      </c>
      <c r="Q522" s="4">
        <v>10</v>
      </c>
      <c r="R522" s="4">
        <v>24590</v>
      </c>
      <c r="S522" s="5">
        <v>5</v>
      </c>
      <c r="T522" s="6">
        <f t="shared" si="24"/>
        <v>233605</v>
      </c>
      <c r="U522" s="4">
        <v>57687.32</v>
      </c>
      <c r="V522" t="str">
        <f t="shared" si="25"/>
        <v>Feb</v>
      </c>
      <c r="W522">
        <f t="shared" si="26"/>
        <v>0.24694385822221271</v>
      </c>
    </row>
    <row r="523" spans="1:23" x14ac:dyDescent="0.4">
      <c r="A523" s="4" t="s">
        <v>1842</v>
      </c>
      <c r="B523" s="4" t="s">
        <v>294</v>
      </c>
      <c r="C523" s="11">
        <v>44760</v>
      </c>
      <c r="D523" s="4" t="s">
        <v>98</v>
      </c>
      <c r="E523" s="4" t="s">
        <v>24</v>
      </c>
      <c r="F523" s="4" t="s">
        <v>58</v>
      </c>
      <c r="G523" s="4" t="s">
        <v>59</v>
      </c>
      <c r="H523" s="4" t="s">
        <v>1843</v>
      </c>
      <c r="I523" s="4" t="s">
        <v>61</v>
      </c>
      <c r="J523" s="4" t="s">
        <v>79</v>
      </c>
      <c r="K523" s="4" t="s">
        <v>44</v>
      </c>
      <c r="L523" s="4" t="s">
        <v>601</v>
      </c>
      <c r="M523" s="4" t="s">
        <v>32</v>
      </c>
      <c r="N523" s="4" t="s">
        <v>33</v>
      </c>
      <c r="O523" s="4" t="s">
        <v>34</v>
      </c>
      <c r="P523" s="4" t="s">
        <v>47</v>
      </c>
      <c r="Q523" s="4">
        <v>8</v>
      </c>
      <c r="R523" s="4">
        <v>39214</v>
      </c>
      <c r="S523" s="5">
        <v>10</v>
      </c>
      <c r="T523" s="6">
        <f t="shared" si="24"/>
        <v>282340.8</v>
      </c>
      <c r="U523" s="4">
        <v>23676.9</v>
      </c>
      <c r="V523" t="str">
        <f t="shared" si="25"/>
        <v>Jul</v>
      </c>
      <c r="W523">
        <f t="shared" si="26"/>
        <v>8.3859293449618344E-2</v>
      </c>
    </row>
    <row r="524" spans="1:23" x14ac:dyDescent="0.4">
      <c r="A524" s="4" t="s">
        <v>1844</v>
      </c>
      <c r="B524" s="4" t="s">
        <v>533</v>
      </c>
      <c r="C524" s="11">
        <v>45432</v>
      </c>
      <c r="D524" s="4" t="s">
        <v>98</v>
      </c>
      <c r="E524" s="4" t="s">
        <v>24</v>
      </c>
      <c r="F524" s="4" t="s">
        <v>70</v>
      </c>
      <c r="G524" s="4" t="s">
        <v>41</v>
      </c>
      <c r="H524" s="4" t="s">
        <v>1845</v>
      </c>
      <c r="I524" s="4" t="s">
        <v>43</v>
      </c>
      <c r="J524" s="4" t="s">
        <v>62</v>
      </c>
      <c r="K524" s="4" t="s">
        <v>153</v>
      </c>
      <c r="L524" s="4" t="s">
        <v>31</v>
      </c>
      <c r="M524" s="4" t="s">
        <v>81</v>
      </c>
      <c r="N524" s="4" t="s">
        <v>33</v>
      </c>
      <c r="O524" s="4" t="s">
        <v>46</v>
      </c>
      <c r="P524" s="4" t="s">
        <v>74</v>
      </c>
      <c r="Q524" s="4">
        <v>5</v>
      </c>
      <c r="R524" s="4">
        <v>45633</v>
      </c>
      <c r="S524" s="5">
        <v>0</v>
      </c>
      <c r="T524" s="6">
        <f t="shared" si="24"/>
        <v>228165</v>
      </c>
      <c r="U524" s="4">
        <v>30227.94</v>
      </c>
      <c r="V524" t="str">
        <f t="shared" si="25"/>
        <v>May</v>
      </c>
      <c r="W524">
        <f t="shared" si="26"/>
        <v>0.13248280849385313</v>
      </c>
    </row>
    <row r="525" spans="1:23" x14ac:dyDescent="0.4">
      <c r="A525" s="4" t="s">
        <v>1846</v>
      </c>
      <c r="B525" s="4" t="s">
        <v>1847</v>
      </c>
      <c r="C525" s="11">
        <v>44627</v>
      </c>
      <c r="D525" s="4" t="s">
        <v>23</v>
      </c>
      <c r="E525" s="4" t="s">
        <v>24</v>
      </c>
      <c r="F525" s="4" t="s">
        <v>40</v>
      </c>
      <c r="G525" s="4" t="s">
        <v>99</v>
      </c>
      <c r="H525" s="4" t="s">
        <v>1848</v>
      </c>
      <c r="I525" s="4" t="s">
        <v>43</v>
      </c>
      <c r="J525" s="4" t="s">
        <v>62</v>
      </c>
      <c r="K525" s="4" t="s">
        <v>101</v>
      </c>
      <c r="L525" s="4" t="s">
        <v>352</v>
      </c>
      <c r="M525" s="4" t="s">
        <v>53</v>
      </c>
      <c r="N525" s="4" t="s">
        <v>54</v>
      </c>
      <c r="O525" s="4" t="s">
        <v>34</v>
      </c>
      <c r="P525" s="4" t="s">
        <v>88</v>
      </c>
      <c r="Q525" s="4">
        <v>5</v>
      </c>
      <c r="R525" s="4">
        <v>8184</v>
      </c>
      <c r="S525" s="5">
        <v>0</v>
      </c>
      <c r="T525" s="6">
        <f t="shared" si="24"/>
        <v>40920</v>
      </c>
      <c r="U525" s="4">
        <v>9552.08</v>
      </c>
      <c r="V525" t="str">
        <f t="shared" si="25"/>
        <v>Mar</v>
      </c>
      <c r="W525">
        <f t="shared" si="26"/>
        <v>0.23343304007820137</v>
      </c>
    </row>
    <row r="526" spans="1:23" x14ac:dyDescent="0.4">
      <c r="A526" s="4" t="s">
        <v>1849</v>
      </c>
      <c r="B526" s="4" t="s">
        <v>1850</v>
      </c>
      <c r="C526" s="11">
        <v>45034</v>
      </c>
      <c r="D526" s="4" t="s">
        <v>124</v>
      </c>
      <c r="E526" s="4" t="s">
        <v>24</v>
      </c>
      <c r="F526" s="4" t="s">
        <v>25</v>
      </c>
      <c r="G526" s="4" t="s">
        <v>26</v>
      </c>
      <c r="H526" s="4" t="s">
        <v>1851</v>
      </c>
      <c r="I526" s="4" t="s">
        <v>28</v>
      </c>
      <c r="J526" s="4" t="s">
        <v>62</v>
      </c>
      <c r="K526" s="4" t="s">
        <v>63</v>
      </c>
      <c r="L526" s="4" t="s">
        <v>808</v>
      </c>
      <c r="M526" s="4" t="s">
        <v>81</v>
      </c>
      <c r="N526" s="4" t="s">
        <v>54</v>
      </c>
      <c r="O526" s="4" t="s">
        <v>46</v>
      </c>
      <c r="P526" s="4" t="s">
        <v>74</v>
      </c>
      <c r="Q526" s="4">
        <v>1</v>
      </c>
      <c r="R526" s="4">
        <v>17345</v>
      </c>
      <c r="S526" s="5">
        <v>0</v>
      </c>
      <c r="T526" s="6">
        <f t="shared" si="24"/>
        <v>17345</v>
      </c>
      <c r="U526" s="4">
        <v>1710.57</v>
      </c>
      <c r="V526" t="str">
        <f t="shared" si="25"/>
        <v>Apr</v>
      </c>
      <c r="W526">
        <f t="shared" si="26"/>
        <v>9.8620351686364946E-2</v>
      </c>
    </row>
    <row r="527" spans="1:23" x14ac:dyDescent="0.4">
      <c r="A527" s="4" t="s">
        <v>1852</v>
      </c>
      <c r="B527" s="4" t="s">
        <v>1853</v>
      </c>
      <c r="C527" s="11">
        <v>45265</v>
      </c>
      <c r="D527" s="4" t="s">
        <v>23</v>
      </c>
      <c r="E527" s="4" t="s">
        <v>24</v>
      </c>
      <c r="F527" s="4" t="s">
        <v>40</v>
      </c>
      <c r="G527" s="4" t="s">
        <v>59</v>
      </c>
      <c r="H527" s="4" t="s">
        <v>1854</v>
      </c>
      <c r="I527" s="4" t="s">
        <v>43</v>
      </c>
      <c r="J527" s="4" t="s">
        <v>62</v>
      </c>
      <c r="K527" s="4" t="s">
        <v>44</v>
      </c>
      <c r="L527" s="4" t="s">
        <v>1667</v>
      </c>
      <c r="M527" s="4" t="s">
        <v>73</v>
      </c>
      <c r="N527" s="4" t="s">
        <v>54</v>
      </c>
      <c r="O527" s="4" t="s">
        <v>120</v>
      </c>
      <c r="P527" s="4" t="s">
        <v>47</v>
      </c>
      <c r="Q527" s="4">
        <v>3</v>
      </c>
      <c r="R527" s="4">
        <v>41284</v>
      </c>
      <c r="S527" s="5">
        <v>20</v>
      </c>
      <c r="T527" s="6">
        <f t="shared" si="24"/>
        <v>99081.600000000006</v>
      </c>
      <c r="U527" s="4">
        <v>-3713.72</v>
      </c>
      <c r="V527" t="str">
        <f t="shared" si="25"/>
        <v>Nov</v>
      </c>
      <c r="W527">
        <f t="shared" si="26"/>
        <v>-3.7481429448050899E-2</v>
      </c>
    </row>
    <row r="528" spans="1:23" x14ac:dyDescent="0.4">
      <c r="A528" s="4" t="s">
        <v>1855</v>
      </c>
      <c r="B528" s="4" t="s">
        <v>230</v>
      </c>
      <c r="C528" s="11">
        <v>44840</v>
      </c>
      <c r="D528" s="4" t="s">
        <v>39</v>
      </c>
      <c r="E528" s="4" t="s">
        <v>24</v>
      </c>
      <c r="F528" s="4" t="s">
        <v>70</v>
      </c>
      <c r="G528" s="4" t="s">
        <v>41</v>
      </c>
      <c r="H528" s="4" t="s">
        <v>1857</v>
      </c>
      <c r="I528" s="4" t="s">
        <v>61</v>
      </c>
      <c r="J528" s="4" t="s">
        <v>29</v>
      </c>
      <c r="K528" s="4" t="s">
        <v>30</v>
      </c>
      <c r="L528" s="4" t="s">
        <v>1148</v>
      </c>
      <c r="M528" s="4" t="s">
        <v>81</v>
      </c>
      <c r="N528" s="4" t="s">
        <v>54</v>
      </c>
      <c r="O528" s="4" t="s">
        <v>46</v>
      </c>
      <c r="P528" s="4" t="s">
        <v>35</v>
      </c>
      <c r="Q528" s="4">
        <v>6</v>
      </c>
      <c r="R528" s="4">
        <v>34214</v>
      </c>
      <c r="S528" s="5">
        <v>15</v>
      </c>
      <c r="T528" s="6">
        <f t="shared" si="24"/>
        <v>174491.4</v>
      </c>
      <c r="U528" s="4">
        <v>23874.09</v>
      </c>
      <c r="V528" t="str">
        <f t="shared" si="25"/>
        <v>Sep</v>
      </c>
      <c r="W528">
        <f t="shared" si="26"/>
        <v>0.13682101238227215</v>
      </c>
    </row>
    <row r="529" spans="1:23" x14ac:dyDescent="0.4">
      <c r="A529" s="4" t="s">
        <v>1858</v>
      </c>
      <c r="B529" s="4" t="s">
        <v>1859</v>
      </c>
      <c r="C529" s="11">
        <v>45012</v>
      </c>
      <c r="D529" s="4" t="s">
        <v>23</v>
      </c>
      <c r="E529" s="4" t="s">
        <v>24</v>
      </c>
      <c r="F529" s="4" t="s">
        <v>40</v>
      </c>
      <c r="G529" s="4" t="s">
        <v>41</v>
      </c>
      <c r="H529" s="4" t="s">
        <v>1860</v>
      </c>
      <c r="I529" s="4" t="s">
        <v>28</v>
      </c>
      <c r="J529" s="4" t="s">
        <v>62</v>
      </c>
      <c r="K529" s="4" t="s">
        <v>86</v>
      </c>
      <c r="L529" s="4" t="s">
        <v>259</v>
      </c>
      <c r="M529" s="4" t="s">
        <v>81</v>
      </c>
      <c r="N529" s="4" t="s">
        <v>33</v>
      </c>
      <c r="O529" s="4" t="s">
        <v>46</v>
      </c>
      <c r="P529" s="4" t="s">
        <v>74</v>
      </c>
      <c r="Q529" s="4">
        <v>8</v>
      </c>
      <c r="R529" s="4">
        <v>43540</v>
      </c>
      <c r="S529" s="5">
        <v>10</v>
      </c>
      <c r="T529" s="6">
        <f t="shared" si="24"/>
        <v>313488</v>
      </c>
      <c r="U529" s="4">
        <v>64735.519999999997</v>
      </c>
      <c r="V529" t="str">
        <f t="shared" si="25"/>
        <v>Mar</v>
      </c>
      <c r="W529">
        <f t="shared" si="26"/>
        <v>0.20650079109886182</v>
      </c>
    </row>
    <row r="530" spans="1:23" x14ac:dyDescent="0.4">
      <c r="A530" s="4" t="s">
        <v>1861</v>
      </c>
      <c r="B530" s="4" t="s">
        <v>1067</v>
      </c>
      <c r="C530" s="11">
        <v>45449</v>
      </c>
      <c r="D530" s="4" t="s">
        <v>23</v>
      </c>
      <c r="E530" s="4" t="s">
        <v>24</v>
      </c>
      <c r="F530" s="4" t="s">
        <v>40</v>
      </c>
      <c r="G530" s="4" t="s">
        <v>99</v>
      </c>
      <c r="H530" s="4" t="s">
        <v>1863</v>
      </c>
      <c r="I530" s="4" t="s">
        <v>61</v>
      </c>
      <c r="J530" s="4" t="s">
        <v>29</v>
      </c>
      <c r="K530" s="4" t="s">
        <v>30</v>
      </c>
      <c r="L530" s="4" t="s">
        <v>306</v>
      </c>
      <c r="M530" s="4" t="s">
        <v>65</v>
      </c>
      <c r="N530" s="4" t="s">
        <v>33</v>
      </c>
      <c r="O530" s="4" t="s">
        <v>82</v>
      </c>
      <c r="P530" s="4" t="s">
        <v>74</v>
      </c>
      <c r="Q530" s="4">
        <v>10</v>
      </c>
      <c r="R530" s="4">
        <v>8065</v>
      </c>
      <c r="S530" s="5">
        <v>15</v>
      </c>
      <c r="T530" s="6">
        <f t="shared" si="24"/>
        <v>68552.5</v>
      </c>
      <c r="U530" s="4">
        <v>8076.76</v>
      </c>
      <c r="V530" t="str">
        <f t="shared" si="25"/>
        <v>Jun</v>
      </c>
      <c r="W530">
        <f t="shared" si="26"/>
        <v>0.11781860617774699</v>
      </c>
    </row>
    <row r="531" spans="1:23" x14ac:dyDescent="0.4">
      <c r="A531" s="4" t="s">
        <v>1864</v>
      </c>
      <c r="B531" s="4" t="s">
        <v>1865</v>
      </c>
      <c r="C531" s="11">
        <v>44723</v>
      </c>
      <c r="D531" s="4" t="s">
        <v>39</v>
      </c>
      <c r="E531" s="4" t="s">
        <v>24</v>
      </c>
      <c r="F531" s="4" t="s">
        <v>40</v>
      </c>
      <c r="G531" s="4" t="s">
        <v>92</v>
      </c>
      <c r="H531" s="4" t="s">
        <v>1866</v>
      </c>
      <c r="I531" s="4" t="s">
        <v>61</v>
      </c>
      <c r="J531" s="4" t="s">
        <v>62</v>
      </c>
      <c r="K531" s="4" t="s">
        <v>101</v>
      </c>
      <c r="L531" s="4" t="s">
        <v>826</v>
      </c>
      <c r="M531" s="4" t="s">
        <v>95</v>
      </c>
      <c r="N531" s="4" t="s">
        <v>33</v>
      </c>
      <c r="O531" s="4" t="s">
        <v>34</v>
      </c>
      <c r="P531" s="4" t="s">
        <v>47</v>
      </c>
      <c r="Q531" s="4">
        <v>8</v>
      </c>
      <c r="R531" s="4">
        <v>11214</v>
      </c>
      <c r="S531" s="5">
        <v>10</v>
      </c>
      <c r="T531" s="6">
        <f t="shared" si="24"/>
        <v>80740.800000000003</v>
      </c>
      <c r="U531" s="4">
        <v>-3148.64</v>
      </c>
      <c r="V531" t="str">
        <f t="shared" si="25"/>
        <v>Jun</v>
      </c>
      <c r="W531">
        <f t="shared" si="26"/>
        <v>-3.899688880962289E-2</v>
      </c>
    </row>
    <row r="532" spans="1:23" x14ac:dyDescent="0.4">
      <c r="A532" s="4" t="s">
        <v>1867</v>
      </c>
      <c r="B532" s="4" t="s">
        <v>1868</v>
      </c>
      <c r="C532" s="11">
        <v>44773</v>
      </c>
      <c r="D532" s="4" t="s">
        <v>39</v>
      </c>
      <c r="E532" s="4" t="s">
        <v>24</v>
      </c>
      <c r="F532" s="4" t="s">
        <v>25</v>
      </c>
      <c r="G532" s="4" t="s">
        <v>41</v>
      </c>
      <c r="H532" s="4" t="s">
        <v>1870</v>
      </c>
      <c r="I532" s="4" t="s">
        <v>28</v>
      </c>
      <c r="J532" s="4" t="s">
        <v>62</v>
      </c>
      <c r="K532" s="4" t="s">
        <v>101</v>
      </c>
      <c r="L532" s="4" t="s">
        <v>627</v>
      </c>
      <c r="M532" s="4" t="s">
        <v>65</v>
      </c>
      <c r="N532" s="4" t="s">
        <v>33</v>
      </c>
      <c r="O532" s="4" t="s">
        <v>120</v>
      </c>
      <c r="P532" s="4" t="s">
        <v>88</v>
      </c>
      <c r="Q532" s="4">
        <v>9</v>
      </c>
      <c r="R532" s="4">
        <v>45582</v>
      </c>
      <c r="S532" s="5">
        <v>5</v>
      </c>
      <c r="T532" s="6">
        <f t="shared" si="24"/>
        <v>389726.1</v>
      </c>
      <c r="U532" s="4">
        <v>46579.86</v>
      </c>
      <c r="V532" t="str">
        <f t="shared" si="25"/>
        <v>Jul</v>
      </c>
      <c r="W532">
        <f t="shared" si="26"/>
        <v>0.11951947791025544</v>
      </c>
    </row>
    <row r="533" spans="1:23" x14ac:dyDescent="0.4">
      <c r="A533" s="4" t="s">
        <v>1871</v>
      </c>
      <c r="B533" s="4" t="s">
        <v>1626</v>
      </c>
      <c r="C533" s="11">
        <v>44598</v>
      </c>
      <c r="D533" s="4" t="s">
        <v>124</v>
      </c>
      <c r="E533" s="4" t="s">
        <v>24</v>
      </c>
      <c r="F533" s="4" t="s">
        <v>70</v>
      </c>
      <c r="G533" s="4" t="s">
        <v>99</v>
      </c>
      <c r="H533" s="4" t="s">
        <v>1872</v>
      </c>
      <c r="I533" s="4" t="s">
        <v>43</v>
      </c>
      <c r="J533" s="4" t="s">
        <v>79</v>
      </c>
      <c r="K533" s="4" t="s">
        <v>153</v>
      </c>
      <c r="L533" s="4" t="s">
        <v>812</v>
      </c>
      <c r="M533" s="4" t="s">
        <v>81</v>
      </c>
      <c r="N533" s="4" t="s">
        <v>33</v>
      </c>
      <c r="O533" s="4" t="s">
        <v>46</v>
      </c>
      <c r="P533" s="4" t="s">
        <v>88</v>
      </c>
      <c r="Q533" s="4">
        <v>4</v>
      </c>
      <c r="R533" s="4">
        <v>48300</v>
      </c>
      <c r="S533" s="5">
        <v>10</v>
      </c>
      <c r="T533" s="6">
        <f t="shared" si="24"/>
        <v>173880</v>
      </c>
      <c r="U533" s="4">
        <v>13196.71</v>
      </c>
      <c r="V533" t="str">
        <f t="shared" si="25"/>
        <v>Jan</v>
      </c>
      <c r="W533">
        <f t="shared" si="26"/>
        <v>7.5895502645502641E-2</v>
      </c>
    </row>
    <row r="534" spans="1:23" x14ac:dyDescent="0.4">
      <c r="A534" s="4" t="s">
        <v>1873</v>
      </c>
      <c r="B534" s="4" t="s">
        <v>1874</v>
      </c>
      <c r="C534" s="11">
        <v>44874</v>
      </c>
      <c r="D534" s="4" t="s">
        <v>23</v>
      </c>
      <c r="E534" s="4" t="s">
        <v>24</v>
      </c>
      <c r="F534" s="4" t="s">
        <v>26</v>
      </c>
      <c r="G534" s="4" t="s">
        <v>41</v>
      </c>
      <c r="H534" s="4" t="s">
        <v>1875</v>
      </c>
      <c r="I534" s="4" t="s">
        <v>28</v>
      </c>
      <c r="J534" s="4" t="s">
        <v>29</v>
      </c>
      <c r="K534" s="4" t="s">
        <v>86</v>
      </c>
      <c r="L534" s="4" t="s">
        <v>1226</v>
      </c>
      <c r="M534" s="4" t="s">
        <v>73</v>
      </c>
      <c r="N534" s="4" t="s">
        <v>33</v>
      </c>
      <c r="O534" s="4" t="s">
        <v>34</v>
      </c>
      <c r="P534" s="4" t="s">
        <v>35</v>
      </c>
      <c r="Q534" s="4">
        <v>4</v>
      </c>
      <c r="R534" s="4">
        <v>10362</v>
      </c>
      <c r="S534" s="5">
        <v>15</v>
      </c>
      <c r="T534" s="6">
        <f t="shared" si="24"/>
        <v>35230.800000000003</v>
      </c>
      <c r="U534" s="4">
        <v>1222.8900000000001</v>
      </c>
      <c r="V534" t="str">
        <f t="shared" si="25"/>
        <v>Nov</v>
      </c>
      <c r="W534">
        <f t="shared" si="26"/>
        <v>3.4710821213256582E-2</v>
      </c>
    </row>
    <row r="535" spans="1:23" x14ac:dyDescent="0.4">
      <c r="A535" s="4" t="s">
        <v>1876</v>
      </c>
      <c r="B535" s="4" t="s">
        <v>1877</v>
      </c>
      <c r="C535" s="11">
        <v>44664</v>
      </c>
      <c r="D535" s="4" t="s">
        <v>124</v>
      </c>
      <c r="E535" s="4" t="s">
        <v>24</v>
      </c>
      <c r="F535" s="4" t="s">
        <v>26</v>
      </c>
      <c r="G535" s="4" t="s">
        <v>26</v>
      </c>
      <c r="H535" s="4" t="s">
        <v>1878</v>
      </c>
      <c r="I535" s="4" t="s">
        <v>28</v>
      </c>
      <c r="J535" s="4" t="s">
        <v>79</v>
      </c>
      <c r="K535" s="4" t="s">
        <v>86</v>
      </c>
      <c r="L535" s="4" t="s">
        <v>154</v>
      </c>
      <c r="M535" s="4" t="s">
        <v>81</v>
      </c>
      <c r="N535" s="4" t="s">
        <v>33</v>
      </c>
      <c r="O535" s="4" t="s">
        <v>120</v>
      </c>
      <c r="P535" s="4" t="s">
        <v>47</v>
      </c>
      <c r="Q535" s="4">
        <v>2</v>
      </c>
      <c r="R535" s="4">
        <v>27739</v>
      </c>
      <c r="S535" s="5">
        <v>20</v>
      </c>
      <c r="T535" s="6">
        <f t="shared" si="24"/>
        <v>44382.400000000001</v>
      </c>
      <c r="U535" s="4">
        <v>-8045.57</v>
      </c>
      <c r="V535" t="str">
        <f t="shared" si="25"/>
        <v>Apr</v>
      </c>
      <c r="W535">
        <f t="shared" si="26"/>
        <v>-0.18127838963192616</v>
      </c>
    </row>
    <row r="536" spans="1:23" x14ac:dyDescent="0.4">
      <c r="A536" s="4" t="s">
        <v>1879</v>
      </c>
      <c r="B536" s="4" t="s">
        <v>833</v>
      </c>
      <c r="C536" s="11">
        <v>45321</v>
      </c>
      <c r="D536" s="4" t="s">
        <v>23</v>
      </c>
      <c r="E536" s="4" t="s">
        <v>24</v>
      </c>
      <c r="F536" s="4" t="s">
        <v>40</v>
      </c>
      <c r="G536" s="4" t="s">
        <v>92</v>
      </c>
      <c r="H536" s="4" t="s">
        <v>1881</v>
      </c>
      <c r="I536" s="4" t="s">
        <v>43</v>
      </c>
      <c r="J536" s="4" t="s">
        <v>62</v>
      </c>
      <c r="K536" s="4" t="s">
        <v>101</v>
      </c>
      <c r="L536" s="4" t="s">
        <v>1590</v>
      </c>
      <c r="M536" s="4" t="s">
        <v>73</v>
      </c>
      <c r="N536" s="4" t="s">
        <v>54</v>
      </c>
      <c r="O536" s="4" t="s">
        <v>46</v>
      </c>
      <c r="P536" s="4" t="s">
        <v>88</v>
      </c>
      <c r="Q536" s="4">
        <v>5</v>
      </c>
      <c r="R536" s="4">
        <v>40424</v>
      </c>
      <c r="S536" s="5">
        <v>0</v>
      </c>
      <c r="T536" s="6">
        <f t="shared" si="24"/>
        <v>202120</v>
      </c>
      <c r="U536" s="4">
        <v>47663.32</v>
      </c>
      <c r="V536" t="str">
        <f t="shared" si="25"/>
        <v>Jan</v>
      </c>
      <c r="W536">
        <f t="shared" si="26"/>
        <v>0.23581694043142687</v>
      </c>
    </row>
    <row r="537" spans="1:23" x14ac:dyDescent="0.4">
      <c r="A537" s="4" t="s">
        <v>1882</v>
      </c>
      <c r="B537" s="4" t="s">
        <v>421</v>
      </c>
      <c r="C537" s="11">
        <v>45488</v>
      </c>
      <c r="D537" s="4" t="s">
        <v>98</v>
      </c>
      <c r="E537" s="4" t="s">
        <v>24</v>
      </c>
      <c r="F537" s="4" t="s">
        <v>26</v>
      </c>
      <c r="G537" s="4" t="s">
        <v>59</v>
      </c>
      <c r="H537" s="4" t="s">
        <v>1883</v>
      </c>
      <c r="I537" s="4" t="s">
        <v>28</v>
      </c>
      <c r="J537" s="4" t="s">
        <v>79</v>
      </c>
      <c r="K537" s="4" t="s">
        <v>101</v>
      </c>
      <c r="L537" s="4" t="s">
        <v>80</v>
      </c>
      <c r="M537" s="4" t="s">
        <v>32</v>
      </c>
      <c r="N537" s="4" t="s">
        <v>54</v>
      </c>
      <c r="O537" s="4" t="s">
        <v>82</v>
      </c>
      <c r="P537" s="4" t="s">
        <v>88</v>
      </c>
      <c r="Q537" s="4">
        <v>4</v>
      </c>
      <c r="R537" s="4">
        <v>23387</v>
      </c>
      <c r="S537" s="5">
        <v>5</v>
      </c>
      <c r="T537" s="6">
        <f t="shared" si="24"/>
        <v>88870.6</v>
      </c>
      <c r="U537" s="4">
        <v>14561.8</v>
      </c>
      <c r="V537" t="str">
        <f t="shared" si="25"/>
        <v>Jul</v>
      </c>
      <c r="W537">
        <f t="shared" si="26"/>
        <v>0.16385396295287755</v>
      </c>
    </row>
    <row r="538" spans="1:23" x14ac:dyDescent="0.4">
      <c r="A538" s="4" t="s">
        <v>1884</v>
      </c>
      <c r="B538" s="4" t="s">
        <v>1645</v>
      </c>
      <c r="C538" s="11">
        <v>45417</v>
      </c>
      <c r="D538" s="4" t="s">
        <v>39</v>
      </c>
      <c r="E538" s="4" t="s">
        <v>24</v>
      </c>
      <c r="F538" s="4" t="s">
        <v>25</v>
      </c>
      <c r="G538" s="4" t="s">
        <v>92</v>
      </c>
      <c r="H538" s="4" t="s">
        <v>1223</v>
      </c>
      <c r="I538" s="4" t="s">
        <v>28</v>
      </c>
      <c r="J538" s="4" t="s">
        <v>62</v>
      </c>
      <c r="K538" s="4" t="s">
        <v>30</v>
      </c>
      <c r="L538" s="4" t="s">
        <v>718</v>
      </c>
      <c r="M538" s="4" t="s">
        <v>32</v>
      </c>
      <c r="N538" s="4" t="s">
        <v>54</v>
      </c>
      <c r="O538" s="4" t="s">
        <v>120</v>
      </c>
      <c r="P538" s="4" t="s">
        <v>74</v>
      </c>
      <c r="Q538" s="4">
        <v>4</v>
      </c>
      <c r="R538" s="4">
        <v>26836</v>
      </c>
      <c r="S538" s="5">
        <v>5</v>
      </c>
      <c r="T538" s="6">
        <f t="shared" si="24"/>
        <v>101976.8</v>
      </c>
      <c r="U538" s="4">
        <v>24414.61</v>
      </c>
      <c r="V538" t="str">
        <f t="shared" si="25"/>
        <v>May</v>
      </c>
      <c r="W538">
        <f t="shared" si="26"/>
        <v>0.23941337637580312</v>
      </c>
    </row>
    <row r="539" spans="1:23" x14ac:dyDescent="0.4">
      <c r="A539" s="4" t="s">
        <v>1886</v>
      </c>
      <c r="B539" s="4" t="s">
        <v>891</v>
      </c>
      <c r="C539" s="11">
        <v>44820</v>
      </c>
      <c r="D539" s="4" t="s">
        <v>98</v>
      </c>
      <c r="E539" s="4" t="s">
        <v>24</v>
      </c>
      <c r="F539" s="4" t="s">
        <v>58</v>
      </c>
      <c r="G539" s="4" t="s">
        <v>99</v>
      </c>
      <c r="H539" s="4" t="s">
        <v>1887</v>
      </c>
      <c r="I539" s="4" t="s">
        <v>43</v>
      </c>
      <c r="J539" s="4" t="s">
        <v>79</v>
      </c>
      <c r="K539" s="4" t="s">
        <v>44</v>
      </c>
      <c r="L539" s="4" t="s">
        <v>481</v>
      </c>
      <c r="M539" s="4" t="s">
        <v>73</v>
      </c>
      <c r="N539" s="4" t="s">
        <v>33</v>
      </c>
      <c r="O539" s="4" t="s">
        <v>82</v>
      </c>
      <c r="P539" s="4" t="s">
        <v>47</v>
      </c>
      <c r="Q539" s="4">
        <v>10</v>
      </c>
      <c r="R539" s="4">
        <v>22469</v>
      </c>
      <c r="S539" s="5">
        <v>0</v>
      </c>
      <c r="T539" s="6">
        <f t="shared" si="24"/>
        <v>224690</v>
      </c>
      <c r="U539" s="4">
        <v>62063.12</v>
      </c>
      <c r="V539" t="str">
        <f t="shared" si="25"/>
        <v>Sep</v>
      </c>
      <c r="W539">
        <f t="shared" si="26"/>
        <v>0.27621665405670037</v>
      </c>
    </row>
    <row r="540" spans="1:23" x14ac:dyDescent="0.4">
      <c r="A540" s="4" t="s">
        <v>1888</v>
      </c>
      <c r="B540" s="4" t="s">
        <v>1889</v>
      </c>
      <c r="C540" s="11">
        <v>45305</v>
      </c>
      <c r="D540" s="4" t="s">
        <v>23</v>
      </c>
      <c r="E540" s="4" t="s">
        <v>24</v>
      </c>
      <c r="F540" s="4" t="s">
        <v>25</v>
      </c>
      <c r="G540" s="4" t="s">
        <v>41</v>
      </c>
      <c r="H540" s="4" t="s">
        <v>1890</v>
      </c>
      <c r="I540" s="4" t="s">
        <v>61</v>
      </c>
      <c r="J540" s="4" t="s">
        <v>62</v>
      </c>
      <c r="K540" s="4" t="s">
        <v>153</v>
      </c>
      <c r="L540" s="4" t="s">
        <v>414</v>
      </c>
      <c r="M540" s="4" t="s">
        <v>32</v>
      </c>
      <c r="N540" s="4" t="s">
        <v>33</v>
      </c>
      <c r="O540" s="4" t="s">
        <v>46</v>
      </c>
      <c r="P540" s="4" t="s">
        <v>47</v>
      </c>
      <c r="Q540" s="4">
        <v>4</v>
      </c>
      <c r="R540" s="4">
        <v>13762</v>
      </c>
      <c r="S540" s="5">
        <v>5</v>
      </c>
      <c r="T540" s="6">
        <f t="shared" si="24"/>
        <v>52295.6</v>
      </c>
      <c r="U540" s="4">
        <v>10121.5</v>
      </c>
      <c r="V540" t="str">
        <f t="shared" si="25"/>
        <v>Jan</v>
      </c>
      <c r="W540">
        <f t="shared" si="26"/>
        <v>0.19354400752644582</v>
      </c>
    </row>
    <row r="541" spans="1:23" x14ac:dyDescent="0.4">
      <c r="A541" s="4" t="s">
        <v>1891</v>
      </c>
      <c r="B541" s="4" t="s">
        <v>215</v>
      </c>
      <c r="C541" s="11">
        <v>45364</v>
      </c>
      <c r="D541" s="4" t="s">
        <v>124</v>
      </c>
      <c r="E541" s="4" t="s">
        <v>24</v>
      </c>
      <c r="F541" s="4" t="s">
        <v>70</v>
      </c>
      <c r="G541" s="4" t="s">
        <v>92</v>
      </c>
      <c r="H541" s="4" t="s">
        <v>1892</v>
      </c>
      <c r="I541" s="4" t="s">
        <v>61</v>
      </c>
      <c r="J541" s="4" t="s">
        <v>29</v>
      </c>
      <c r="K541" s="4" t="s">
        <v>86</v>
      </c>
      <c r="L541" s="4" t="s">
        <v>1226</v>
      </c>
      <c r="M541" s="4" t="s">
        <v>53</v>
      </c>
      <c r="N541" s="4" t="s">
        <v>54</v>
      </c>
      <c r="O541" s="4" t="s">
        <v>120</v>
      </c>
      <c r="P541" s="4" t="s">
        <v>35</v>
      </c>
      <c r="Q541" s="4">
        <v>2</v>
      </c>
      <c r="R541" s="4">
        <v>21518</v>
      </c>
      <c r="S541" s="5">
        <v>0</v>
      </c>
      <c r="T541" s="6">
        <f t="shared" si="24"/>
        <v>43036</v>
      </c>
      <c r="U541" s="4">
        <v>8740.75</v>
      </c>
      <c r="V541" t="str">
        <f t="shared" si="25"/>
        <v>Mar</v>
      </c>
      <c r="W541">
        <f t="shared" si="26"/>
        <v>0.20310321591225949</v>
      </c>
    </row>
    <row r="542" spans="1:23" x14ac:dyDescent="0.4">
      <c r="A542" s="4" t="s">
        <v>1893</v>
      </c>
      <c r="B542" s="4" t="s">
        <v>1894</v>
      </c>
      <c r="C542" s="11">
        <v>45462</v>
      </c>
      <c r="D542" s="4" t="s">
        <v>98</v>
      </c>
      <c r="E542" s="4" t="s">
        <v>24</v>
      </c>
      <c r="F542" s="4" t="s">
        <v>40</v>
      </c>
      <c r="G542" s="4" t="s">
        <v>26</v>
      </c>
      <c r="H542" s="4" t="s">
        <v>1896</v>
      </c>
      <c r="I542" s="4" t="s">
        <v>43</v>
      </c>
      <c r="J542" s="4" t="s">
        <v>29</v>
      </c>
      <c r="K542" s="4" t="s">
        <v>101</v>
      </c>
      <c r="L542" s="4" t="s">
        <v>72</v>
      </c>
      <c r="M542" s="4" t="s">
        <v>81</v>
      </c>
      <c r="N542" s="4" t="s">
        <v>33</v>
      </c>
      <c r="O542" s="4" t="s">
        <v>82</v>
      </c>
      <c r="P542" s="4" t="s">
        <v>35</v>
      </c>
      <c r="Q542" s="4">
        <v>1</v>
      </c>
      <c r="R542" s="4">
        <v>44402</v>
      </c>
      <c r="S542" s="5">
        <v>15</v>
      </c>
      <c r="T542" s="6">
        <f t="shared" si="24"/>
        <v>37741.699999999997</v>
      </c>
      <c r="U542" s="4">
        <v>2802.79</v>
      </c>
      <c r="V542" t="str">
        <f t="shared" si="25"/>
        <v>Jun</v>
      </c>
      <c r="W542">
        <f t="shared" si="26"/>
        <v>7.4262420611684157E-2</v>
      </c>
    </row>
    <row r="543" spans="1:23" x14ac:dyDescent="0.4">
      <c r="A543" s="4" t="s">
        <v>1897</v>
      </c>
      <c r="B543" s="4" t="s">
        <v>932</v>
      </c>
      <c r="C543" s="11">
        <v>44785</v>
      </c>
      <c r="D543" s="4" t="s">
        <v>98</v>
      </c>
      <c r="E543" s="4" t="s">
        <v>24</v>
      </c>
      <c r="F543" s="4" t="s">
        <v>58</v>
      </c>
      <c r="G543" s="4" t="s">
        <v>99</v>
      </c>
      <c r="H543" s="4" t="s">
        <v>1898</v>
      </c>
      <c r="I543" s="4" t="s">
        <v>43</v>
      </c>
      <c r="J543" s="4" t="s">
        <v>29</v>
      </c>
      <c r="K543" s="4" t="s">
        <v>101</v>
      </c>
      <c r="L543" s="4" t="s">
        <v>843</v>
      </c>
      <c r="M543" s="4" t="s">
        <v>65</v>
      </c>
      <c r="N543" s="4" t="s">
        <v>33</v>
      </c>
      <c r="O543" s="4" t="s">
        <v>120</v>
      </c>
      <c r="P543" s="4" t="s">
        <v>88</v>
      </c>
      <c r="Q543" s="4">
        <v>10</v>
      </c>
      <c r="R543" s="4">
        <v>18814</v>
      </c>
      <c r="S543" s="5">
        <v>20</v>
      </c>
      <c r="T543" s="6">
        <f t="shared" si="24"/>
        <v>150512</v>
      </c>
      <c r="U543" s="4">
        <v>-14159.14</v>
      </c>
      <c r="V543" t="str">
        <f t="shared" si="25"/>
        <v>Aug</v>
      </c>
      <c r="W543">
        <f t="shared" si="26"/>
        <v>-9.4073163601573292E-2</v>
      </c>
    </row>
    <row r="544" spans="1:23" x14ac:dyDescent="0.4">
      <c r="A544" s="4" t="s">
        <v>1899</v>
      </c>
      <c r="B544" s="4" t="s">
        <v>1007</v>
      </c>
      <c r="C544" s="11">
        <v>44782</v>
      </c>
      <c r="D544" s="4" t="s">
        <v>39</v>
      </c>
      <c r="E544" s="4" t="s">
        <v>24</v>
      </c>
      <c r="F544" s="4" t="s">
        <v>40</v>
      </c>
      <c r="G544" s="4" t="s">
        <v>59</v>
      </c>
      <c r="H544" s="4" t="s">
        <v>1394</v>
      </c>
      <c r="I544" s="4" t="s">
        <v>28</v>
      </c>
      <c r="J544" s="4" t="s">
        <v>29</v>
      </c>
      <c r="K544" s="4" t="s">
        <v>86</v>
      </c>
      <c r="L544" s="4" t="s">
        <v>627</v>
      </c>
      <c r="M544" s="4" t="s">
        <v>73</v>
      </c>
      <c r="N544" s="4" t="s">
        <v>54</v>
      </c>
      <c r="O544" s="4" t="s">
        <v>46</v>
      </c>
      <c r="P544" s="4" t="s">
        <v>35</v>
      </c>
      <c r="Q544" s="4">
        <v>5</v>
      </c>
      <c r="R544" s="4">
        <v>14028</v>
      </c>
      <c r="S544" s="5">
        <v>20</v>
      </c>
      <c r="T544" s="6">
        <f t="shared" si="24"/>
        <v>56112</v>
      </c>
      <c r="U544" s="4">
        <v>4579.3</v>
      </c>
      <c r="V544" t="str">
        <f t="shared" si="25"/>
        <v>Aug</v>
      </c>
      <c r="W544">
        <f t="shared" si="26"/>
        <v>8.1609994297120042E-2</v>
      </c>
    </row>
    <row r="545" spans="1:23" x14ac:dyDescent="0.4">
      <c r="A545" s="4" t="s">
        <v>1900</v>
      </c>
      <c r="B545" s="4" t="s">
        <v>1732</v>
      </c>
      <c r="C545" s="11">
        <v>44679</v>
      </c>
      <c r="D545" s="4" t="s">
        <v>98</v>
      </c>
      <c r="E545" s="4" t="s">
        <v>24</v>
      </c>
      <c r="F545" s="4" t="s">
        <v>70</v>
      </c>
      <c r="G545" s="4" t="s">
        <v>41</v>
      </c>
      <c r="H545" s="4" t="s">
        <v>1901</v>
      </c>
      <c r="I545" s="4" t="s">
        <v>28</v>
      </c>
      <c r="J545" s="4" t="s">
        <v>62</v>
      </c>
      <c r="K545" s="4" t="s">
        <v>63</v>
      </c>
      <c r="L545" s="4" t="s">
        <v>636</v>
      </c>
      <c r="M545" s="4" t="s">
        <v>53</v>
      </c>
      <c r="N545" s="4" t="s">
        <v>33</v>
      </c>
      <c r="O545" s="4" t="s">
        <v>34</v>
      </c>
      <c r="P545" s="4" t="s">
        <v>35</v>
      </c>
      <c r="Q545" s="4">
        <v>4</v>
      </c>
      <c r="R545" s="4">
        <v>9172</v>
      </c>
      <c r="S545" s="5">
        <v>15</v>
      </c>
      <c r="T545" s="6">
        <f t="shared" si="24"/>
        <v>31184.799999999999</v>
      </c>
      <c r="U545" s="4">
        <v>4616.37</v>
      </c>
      <c r="V545" t="str">
        <f t="shared" si="25"/>
        <v>Apr</v>
      </c>
      <c r="W545">
        <f t="shared" si="26"/>
        <v>0.14803269541571534</v>
      </c>
    </row>
    <row r="546" spans="1:23" x14ac:dyDescent="0.4">
      <c r="A546" s="4" t="s">
        <v>1902</v>
      </c>
      <c r="B546" s="4" t="s">
        <v>1903</v>
      </c>
      <c r="C546" s="11">
        <v>45209</v>
      </c>
      <c r="D546" s="4" t="s">
        <v>124</v>
      </c>
      <c r="E546" s="4" t="s">
        <v>24</v>
      </c>
      <c r="F546" s="4" t="s">
        <v>40</v>
      </c>
      <c r="G546" s="4" t="s">
        <v>92</v>
      </c>
      <c r="H546" s="4" t="s">
        <v>1904</v>
      </c>
      <c r="I546" s="4" t="s">
        <v>43</v>
      </c>
      <c r="J546" s="4" t="s">
        <v>62</v>
      </c>
      <c r="K546" s="4" t="s">
        <v>30</v>
      </c>
      <c r="L546" s="4" t="s">
        <v>1089</v>
      </c>
      <c r="M546" s="4" t="s">
        <v>32</v>
      </c>
      <c r="N546" s="4" t="s">
        <v>54</v>
      </c>
      <c r="O546" s="4" t="s">
        <v>66</v>
      </c>
      <c r="P546" s="4" t="s">
        <v>74</v>
      </c>
      <c r="Q546" s="4">
        <v>8</v>
      </c>
      <c r="R546" s="4">
        <v>10342</v>
      </c>
      <c r="S546" s="5">
        <v>10</v>
      </c>
      <c r="T546" s="6">
        <f t="shared" si="24"/>
        <v>74462.399999999994</v>
      </c>
      <c r="U546" s="4">
        <v>9527.07</v>
      </c>
      <c r="V546" t="str">
        <f t="shared" si="25"/>
        <v>Oct</v>
      </c>
      <c r="W546">
        <f t="shared" si="26"/>
        <v>0.12794470766453941</v>
      </c>
    </row>
    <row r="547" spans="1:23" x14ac:dyDescent="0.4">
      <c r="A547" s="4" t="s">
        <v>1905</v>
      </c>
      <c r="B547" s="4" t="s">
        <v>1906</v>
      </c>
      <c r="C547" s="11">
        <v>44931</v>
      </c>
      <c r="D547" s="4" t="s">
        <v>23</v>
      </c>
      <c r="E547" s="4" t="s">
        <v>24</v>
      </c>
      <c r="F547" s="4" t="s">
        <v>58</v>
      </c>
      <c r="G547" s="4" t="s">
        <v>41</v>
      </c>
      <c r="H547" s="4" t="s">
        <v>1908</v>
      </c>
      <c r="I547" s="4" t="s">
        <v>28</v>
      </c>
      <c r="J547" s="4" t="s">
        <v>79</v>
      </c>
      <c r="K547" s="4" t="s">
        <v>101</v>
      </c>
      <c r="L547" s="4" t="s">
        <v>885</v>
      </c>
      <c r="M547" s="4" t="s">
        <v>95</v>
      </c>
      <c r="N547" s="4" t="s">
        <v>33</v>
      </c>
      <c r="O547" s="4" t="s">
        <v>46</v>
      </c>
      <c r="P547" s="4" t="s">
        <v>47</v>
      </c>
      <c r="Q547" s="4">
        <v>5</v>
      </c>
      <c r="R547" s="4">
        <v>32552</v>
      </c>
      <c r="S547" s="5">
        <v>20</v>
      </c>
      <c r="T547" s="6">
        <f t="shared" si="24"/>
        <v>130208</v>
      </c>
      <c r="U547" s="4">
        <v>-66.489999999999995</v>
      </c>
      <c r="V547" t="str">
        <f t="shared" si="25"/>
        <v>Dec</v>
      </c>
      <c r="W547">
        <f t="shared" si="26"/>
        <v>-5.1064450724993854E-4</v>
      </c>
    </row>
    <row r="548" spans="1:23" x14ac:dyDescent="0.4">
      <c r="A548" s="4" t="s">
        <v>1909</v>
      </c>
      <c r="B548" s="4" t="s">
        <v>1910</v>
      </c>
      <c r="C548" s="11">
        <v>45070</v>
      </c>
      <c r="D548" s="4" t="s">
        <v>23</v>
      </c>
      <c r="E548" s="4" t="s">
        <v>24</v>
      </c>
      <c r="F548" s="4" t="s">
        <v>26</v>
      </c>
      <c r="G548" s="4" t="s">
        <v>59</v>
      </c>
      <c r="H548" s="4" t="s">
        <v>1321</v>
      </c>
      <c r="I548" s="4" t="s">
        <v>43</v>
      </c>
      <c r="J548" s="4" t="s">
        <v>62</v>
      </c>
      <c r="K548" s="4" t="s">
        <v>101</v>
      </c>
      <c r="L548" s="4" t="s">
        <v>792</v>
      </c>
      <c r="M548" s="4" t="s">
        <v>53</v>
      </c>
      <c r="N548" s="4" t="s">
        <v>54</v>
      </c>
      <c r="O548" s="4" t="s">
        <v>120</v>
      </c>
      <c r="P548" s="4" t="s">
        <v>47</v>
      </c>
      <c r="Q548" s="4">
        <v>4</v>
      </c>
      <c r="R548" s="4">
        <v>17586</v>
      </c>
      <c r="S548" s="5">
        <v>15</v>
      </c>
      <c r="T548" s="6">
        <f t="shared" si="24"/>
        <v>59792.4</v>
      </c>
      <c r="U548" s="4">
        <v>9850.4</v>
      </c>
      <c r="V548" t="str">
        <f t="shared" si="25"/>
        <v>May</v>
      </c>
      <c r="W548">
        <f t="shared" si="26"/>
        <v>0.16474334530809934</v>
      </c>
    </row>
    <row r="549" spans="1:23" x14ac:dyDescent="0.4">
      <c r="A549" s="4" t="s">
        <v>1911</v>
      </c>
      <c r="B549" s="4" t="s">
        <v>1912</v>
      </c>
      <c r="C549" s="11">
        <v>44733</v>
      </c>
      <c r="D549" s="4" t="s">
        <v>23</v>
      </c>
      <c r="E549" s="4" t="s">
        <v>24</v>
      </c>
      <c r="F549" s="4" t="s">
        <v>58</v>
      </c>
      <c r="G549" s="4" t="s">
        <v>41</v>
      </c>
      <c r="H549" s="4" t="s">
        <v>1913</v>
      </c>
      <c r="I549" s="4" t="s">
        <v>28</v>
      </c>
      <c r="J549" s="4" t="s">
        <v>62</v>
      </c>
      <c r="K549" s="4" t="s">
        <v>153</v>
      </c>
      <c r="L549" s="4" t="s">
        <v>867</v>
      </c>
      <c r="M549" s="4" t="s">
        <v>73</v>
      </c>
      <c r="N549" s="4" t="s">
        <v>54</v>
      </c>
      <c r="O549" s="4" t="s">
        <v>66</v>
      </c>
      <c r="P549" s="4" t="s">
        <v>74</v>
      </c>
      <c r="Q549" s="4">
        <v>5</v>
      </c>
      <c r="R549" s="4">
        <v>43474</v>
      </c>
      <c r="S549" s="5">
        <v>15</v>
      </c>
      <c r="T549" s="6">
        <f t="shared" si="24"/>
        <v>184764.5</v>
      </c>
      <c r="U549" s="4">
        <v>3161.55</v>
      </c>
      <c r="V549" t="str">
        <f t="shared" si="25"/>
        <v>Jun</v>
      </c>
      <c r="W549">
        <f t="shared" si="26"/>
        <v>1.7111241607559894E-2</v>
      </c>
    </row>
    <row r="550" spans="1:23" x14ac:dyDescent="0.4">
      <c r="A550" s="4" t="s">
        <v>1914</v>
      </c>
      <c r="B550" s="4" t="s">
        <v>1092</v>
      </c>
      <c r="C550" s="11">
        <v>45527</v>
      </c>
      <c r="D550" s="4" t="s">
        <v>124</v>
      </c>
      <c r="E550" s="4" t="s">
        <v>24</v>
      </c>
      <c r="F550" s="4" t="s">
        <v>25</v>
      </c>
      <c r="G550" s="4" t="s">
        <v>41</v>
      </c>
      <c r="H550" s="4" t="s">
        <v>1915</v>
      </c>
      <c r="I550" s="4" t="s">
        <v>43</v>
      </c>
      <c r="J550" s="4" t="s">
        <v>79</v>
      </c>
      <c r="K550" s="4" t="s">
        <v>101</v>
      </c>
      <c r="L550" s="4" t="s">
        <v>1005</v>
      </c>
      <c r="M550" s="4" t="s">
        <v>73</v>
      </c>
      <c r="N550" s="4" t="s">
        <v>54</v>
      </c>
      <c r="O550" s="4" t="s">
        <v>120</v>
      </c>
      <c r="P550" s="4" t="s">
        <v>88</v>
      </c>
      <c r="Q550" s="4">
        <v>6</v>
      </c>
      <c r="R550" s="4">
        <v>2527</v>
      </c>
      <c r="S550" s="5">
        <v>5</v>
      </c>
      <c r="T550" s="6">
        <f t="shared" si="24"/>
        <v>14403.9</v>
      </c>
      <c r="U550" s="4">
        <v>1452.43</v>
      </c>
      <c r="V550" t="str">
        <f t="shared" si="25"/>
        <v>Aug</v>
      </c>
      <c r="W550">
        <f t="shared" si="26"/>
        <v>0.10083588472566458</v>
      </c>
    </row>
    <row r="551" spans="1:23" x14ac:dyDescent="0.4">
      <c r="A551" s="4" t="s">
        <v>1916</v>
      </c>
      <c r="B551" s="4" t="s">
        <v>37</v>
      </c>
      <c r="C551" s="11">
        <v>45359</v>
      </c>
      <c r="D551" s="4" t="s">
        <v>39</v>
      </c>
      <c r="E551" s="4" t="s">
        <v>24</v>
      </c>
      <c r="F551" s="4" t="s">
        <v>58</v>
      </c>
      <c r="G551" s="4" t="s">
        <v>92</v>
      </c>
      <c r="H551" s="4" t="s">
        <v>1917</v>
      </c>
      <c r="I551" s="4" t="s">
        <v>61</v>
      </c>
      <c r="J551" s="4" t="s">
        <v>79</v>
      </c>
      <c r="K551" s="4" t="s">
        <v>101</v>
      </c>
      <c r="L551" s="4" t="s">
        <v>135</v>
      </c>
      <c r="M551" s="4" t="s">
        <v>73</v>
      </c>
      <c r="N551" s="4" t="s">
        <v>33</v>
      </c>
      <c r="O551" s="4" t="s">
        <v>82</v>
      </c>
      <c r="P551" s="4" t="s">
        <v>74</v>
      </c>
      <c r="Q551" s="4">
        <v>6</v>
      </c>
      <c r="R551" s="4">
        <v>3671</v>
      </c>
      <c r="S551" s="5">
        <v>0</v>
      </c>
      <c r="T551" s="6">
        <f t="shared" si="24"/>
        <v>22026</v>
      </c>
      <c r="U551" s="4">
        <v>3563.29</v>
      </c>
      <c r="V551" t="str">
        <f t="shared" si="25"/>
        <v>Mar</v>
      </c>
      <c r="W551">
        <f t="shared" si="26"/>
        <v>0.16177653682012166</v>
      </c>
    </row>
    <row r="552" spans="1:23" x14ac:dyDescent="0.4">
      <c r="A552" s="4" t="s">
        <v>1918</v>
      </c>
      <c r="B552" s="4" t="s">
        <v>1449</v>
      </c>
      <c r="C552" s="11">
        <v>45503</v>
      </c>
      <c r="D552" s="4" t="s">
        <v>98</v>
      </c>
      <c r="E552" s="4" t="s">
        <v>24</v>
      </c>
      <c r="F552" s="4" t="s">
        <v>25</v>
      </c>
      <c r="G552" s="4" t="s">
        <v>92</v>
      </c>
      <c r="H552" s="4" t="s">
        <v>1920</v>
      </c>
      <c r="I552" s="4" t="s">
        <v>61</v>
      </c>
      <c r="J552" s="4" t="s">
        <v>62</v>
      </c>
      <c r="K552" s="4" t="s">
        <v>44</v>
      </c>
      <c r="L552" s="4" t="s">
        <v>1921</v>
      </c>
      <c r="M552" s="4" t="s">
        <v>53</v>
      </c>
      <c r="N552" s="4" t="s">
        <v>33</v>
      </c>
      <c r="O552" s="4" t="s">
        <v>82</v>
      </c>
      <c r="P552" s="4" t="s">
        <v>88</v>
      </c>
      <c r="Q552" s="4">
        <v>2</v>
      </c>
      <c r="R552" s="4">
        <v>5015</v>
      </c>
      <c r="S552" s="5">
        <v>10</v>
      </c>
      <c r="T552" s="6">
        <f t="shared" si="24"/>
        <v>9027</v>
      </c>
      <c r="U552" s="4">
        <v>1968.19</v>
      </c>
      <c r="V552" t="str">
        <f t="shared" si="25"/>
        <v>Jul</v>
      </c>
      <c r="W552">
        <f t="shared" si="26"/>
        <v>0.21803367674753518</v>
      </c>
    </row>
    <row r="553" spans="1:23" x14ac:dyDescent="0.4">
      <c r="A553" s="4" t="s">
        <v>1922</v>
      </c>
      <c r="B553" s="4" t="s">
        <v>1923</v>
      </c>
      <c r="C553" s="11">
        <v>44570</v>
      </c>
      <c r="D553" s="4" t="s">
        <v>124</v>
      </c>
      <c r="E553" s="4" t="s">
        <v>24</v>
      </c>
      <c r="F553" s="4" t="s">
        <v>25</v>
      </c>
      <c r="G553" s="4" t="s">
        <v>41</v>
      </c>
      <c r="H553" s="4" t="s">
        <v>1924</v>
      </c>
      <c r="I553" s="4" t="s">
        <v>61</v>
      </c>
      <c r="J553" s="4" t="s">
        <v>79</v>
      </c>
      <c r="K553" s="4" t="s">
        <v>63</v>
      </c>
      <c r="L553" s="4" t="s">
        <v>808</v>
      </c>
      <c r="M553" s="4" t="s">
        <v>32</v>
      </c>
      <c r="N553" s="4" t="s">
        <v>33</v>
      </c>
      <c r="O553" s="4" t="s">
        <v>46</v>
      </c>
      <c r="P553" s="4" t="s">
        <v>74</v>
      </c>
      <c r="Q553" s="4">
        <v>10</v>
      </c>
      <c r="R553" s="4">
        <v>49613</v>
      </c>
      <c r="S553" s="5">
        <v>0</v>
      </c>
      <c r="T553" s="6">
        <f t="shared" si="24"/>
        <v>496130</v>
      </c>
      <c r="U553" s="4">
        <v>54803.47</v>
      </c>
      <c r="V553" t="str">
        <f t="shared" si="25"/>
        <v>Jan</v>
      </c>
      <c r="W553">
        <f t="shared" si="26"/>
        <v>0.11046191522383246</v>
      </c>
    </row>
    <row r="554" spans="1:23" x14ac:dyDescent="0.4">
      <c r="A554" s="4" t="s">
        <v>1925</v>
      </c>
      <c r="B554" s="4" t="s">
        <v>958</v>
      </c>
      <c r="C554" s="11">
        <v>44809</v>
      </c>
      <c r="D554" s="4" t="s">
        <v>39</v>
      </c>
      <c r="E554" s="4" t="s">
        <v>24</v>
      </c>
      <c r="F554" s="4" t="s">
        <v>58</v>
      </c>
      <c r="G554" s="4" t="s">
        <v>92</v>
      </c>
      <c r="H554" s="4" t="s">
        <v>1926</v>
      </c>
      <c r="I554" s="4" t="s">
        <v>43</v>
      </c>
      <c r="J554" s="4" t="s">
        <v>62</v>
      </c>
      <c r="K554" s="4" t="s">
        <v>44</v>
      </c>
      <c r="L554" s="4" t="s">
        <v>1453</v>
      </c>
      <c r="M554" s="4" t="s">
        <v>53</v>
      </c>
      <c r="N554" s="4" t="s">
        <v>33</v>
      </c>
      <c r="O554" s="4" t="s">
        <v>120</v>
      </c>
      <c r="P554" s="4" t="s">
        <v>35</v>
      </c>
      <c r="Q554" s="4">
        <v>1</v>
      </c>
      <c r="R554" s="4">
        <v>3130</v>
      </c>
      <c r="S554" s="5">
        <v>15</v>
      </c>
      <c r="T554" s="6">
        <f t="shared" si="24"/>
        <v>2660.5</v>
      </c>
      <c r="U554" s="4">
        <v>-261.12</v>
      </c>
      <c r="V554" t="str">
        <f t="shared" si="25"/>
        <v>Aug</v>
      </c>
      <c r="W554">
        <f t="shared" si="26"/>
        <v>-9.8146964856230035E-2</v>
      </c>
    </row>
    <row r="555" spans="1:23" x14ac:dyDescent="0.4">
      <c r="A555" s="4" t="s">
        <v>1927</v>
      </c>
      <c r="B555" s="4" t="s">
        <v>1446</v>
      </c>
      <c r="C555" s="11">
        <v>44862</v>
      </c>
      <c r="D555" s="4" t="s">
        <v>98</v>
      </c>
      <c r="E555" s="4" t="s">
        <v>24</v>
      </c>
      <c r="F555" s="4" t="s">
        <v>58</v>
      </c>
      <c r="G555" s="4" t="s">
        <v>41</v>
      </c>
      <c r="H555" s="4" t="s">
        <v>1928</v>
      </c>
      <c r="I555" s="4" t="s">
        <v>28</v>
      </c>
      <c r="J555" s="4" t="s">
        <v>29</v>
      </c>
      <c r="K555" s="4" t="s">
        <v>101</v>
      </c>
      <c r="L555" s="4" t="s">
        <v>423</v>
      </c>
      <c r="M555" s="4" t="s">
        <v>73</v>
      </c>
      <c r="N555" s="4" t="s">
        <v>54</v>
      </c>
      <c r="O555" s="4" t="s">
        <v>66</v>
      </c>
      <c r="P555" s="4" t="s">
        <v>35</v>
      </c>
      <c r="Q555" s="4">
        <v>10</v>
      </c>
      <c r="R555" s="4">
        <v>19969</v>
      </c>
      <c r="S555" s="5">
        <v>10</v>
      </c>
      <c r="T555" s="6">
        <f t="shared" si="24"/>
        <v>179721</v>
      </c>
      <c r="U555" s="4">
        <v>-5277.93</v>
      </c>
      <c r="V555" t="str">
        <f t="shared" si="25"/>
        <v>Oct</v>
      </c>
      <c r="W555">
        <f t="shared" si="26"/>
        <v>-2.9367352730064935E-2</v>
      </c>
    </row>
    <row r="556" spans="1:23" x14ac:dyDescent="0.4">
      <c r="A556" s="4" t="s">
        <v>1929</v>
      </c>
      <c r="B556" s="4" t="s">
        <v>958</v>
      </c>
      <c r="C556" s="11">
        <v>44804</v>
      </c>
      <c r="D556" s="4" t="s">
        <v>98</v>
      </c>
      <c r="E556" s="4" t="s">
        <v>24</v>
      </c>
      <c r="F556" s="4" t="s">
        <v>58</v>
      </c>
      <c r="G556" s="4" t="s">
        <v>92</v>
      </c>
      <c r="H556" s="4" t="s">
        <v>1930</v>
      </c>
      <c r="I556" s="4" t="s">
        <v>28</v>
      </c>
      <c r="J556" s="4" t="s">
        <v>29</v>
      </c>
      <c r="K556" s="4" t="s">
        <v>153</v>
      </c>
      <c r="L556" s="4" t="s">
        <v>1040</v>
      </c>
      <c r="M556" s="4" t="s">
        <v>32</v>
      </c>
      <c r="N556" s="4" t="s">
        <v>54</v>
      </c>
      <c r="O556" s="4" t="s">
        <v>34</v>
      </c>
      <c r="P556" s="4" t="s">
        <v>47</v>
      </c>
      <c r="Q556" s="4">
        <v>9</v>
      </c>
      <c r="R556" s="4">
        <v>10300</v>
      </c>
      <c r="S556" s="5">
        <v>0</v>
      </c>
      <c r="T556" s="6">
        <f t="shared" si="24"/>
        <v>92700</v>
      </c>
      <c r="U556" s="4">
        <v>10640.25</v>
      </c>
      <c r="V556" t="str">
        <f t="shared" si="25"/>
        <v>Aug</v>
      </c>
      <c r="W556">
        <f t="shared" si="26"/>
        <v>0.11478155339805825</v>
      </c>
    </row>
    <row r="557" spans="1:23" x14ac:dyDescent="0.4">
      <c r="A557" s="4" t="s">
        <v>1931</v>
      </c>
      <c r="B557" s="4" t="s">
        <v>527</v>
      </c>
      <c r="C557" s="11">
        <v>45175</v>
      </c>
      <c r="D557" s="4" t="s">
        <v>23</v>
      </c>
      <c r="E557" s="4" t="s">
        <v>24</v>
      </c>
      <c r="F557" s="4" t="s">
        <v>70</v>
      </c>
      <c r="G557" s="4" t="s">
        <v>59</v>
      </c>
      <c r="H557" s="4" t="s">
        <v>1932</v>
      </c>
      <c r="I557" s="4" t="s">
        <v>43</v>
      </c>
      <c r="J557" s="4" t="s">
        <v>62</v>
      </c>
      <c r="K557" s="4" t="s">
        <v>153</v>
      </c>
      <c r="L557" s="4" t="s">
        <v>757</v>
      </c>
      <c r="M557" s="4" t="s">
        <v>65</v>
      </c>
      <c r="N557" s="4" t="s">
        <v>54</v>
      </c>
      <c r="O557" s="4" t="s">
        <v>34</v>
      </c>
      <c r="P557" s="4" t="s">
        <v>88</v>
      </c>
      <c r="Q557" s="4">
        <v>3</v>
      </c>
      <c r="R557" s="4">
        <v>48879</v>
      </c>
      <c r="S557" s="5">
        <v>15</v>
      </c>
      <c r="T557" s="6">
        <f t="shared" si="24"/>
        <v>124641.45</v>
      </c>
      <c r="U557" s="4">
        <v>20311.72</v>
      </c>
      <c r="V557" t="str">
        <f t="shared" si="25"/>
        <v>Sep</v>
      </c>
      <c r="W557">
        <f t="shared" si="26"/>
        <v>0.16296119790005653</v>
      </c>
    </row>
    <row r="558" spans="1:23" x14ac:dyDescent="0.4">
      <c r="A558" s="4" t="s">
        <v>1933</v>
      </c>
      <c r="B558" s="4" t="s">
        <v>1116</v>
      </c>
      <c r="C558" s="11">
        <v>45000</v>
      </c>
      <c r="D558" s="4" t="s">
        <v>98</v>
      </c>
      <c r="E558" s="4" t="s">
        <v>24</v>
      </c>
      <c r="F558" s="4" t="s">
        <v>58</v>
      </c>
      <c r="G558" s="4" t="s">
        <v>92</v>
      </c>
      <c r="H558" s="4" t="s">
        <v>1572</v>
      </c>
      <c r="I558" s="4" t="s">
        <v>61</v>
      </c>
      <c r="J558" s="4" t="s">
        <v>79</v>
      </c>
      <c r="K558" s="4" t="s">
        <v>86</v>
      </c>
      <c r="L558" s="4" t="s">
        <v>181</v>
      </c>
      <c r="M558" s="4" t="s">
        <v>32</v>
      </c>
      <c r="N558" s="4" t="s">
        <v>33</v>
      </c>
      <c r="O558" s="4" t="s">
        <v>46</v>
      </c>
      <c r="P558" s="4" t="s">
        <v>88</v>
      </c>
      <c r="Q558" s="4">
        <v>1</v>
      </c>
      <c r="R558" s="4">
        <v>33993</v>
      </c>
      <c r="S558" s="5">
        <v>0</v>
      </c>
      <c r="T558" s="6">
        <f t="shared" si="24"/>
        <v>33993</v>
      </c>
      <c r="U558" s="4">
        <v>6963.85</v>
      </c>
      <c r="V558" t="str">
        <f t="shared" si="25"/>
        <v>Mar</v>
      </c>
      <c r="W558">
        <f t="shared" si="26"/>
        <v>0.20486129497249433</v>
      </c>
    </row>
    <row r="559" spans="1:23" x14ac:dyDescent="0.4">
      <c r="A559" s="4" t="s">
        <v>1934</v>
      </c>
      <c r="B559" s="4" t="s">
        <v>1476</v>
      </c>
      <c r="C559" s="11">
        <v>45223</v>
      </c>
      <c r="D559" s="4" t="s">
        <v>39</v>
      </c>
      <c r="E559" s="4" t="s">
        <v>24</v>
      </c>
      <c r="F559" s="4" t="s">
        <v>25</v>
      </c>
      <c r="G559" s="4" t="s">
        <v>99</v>
      </c>
      <c r="H559" s="4" t="s">
        <v>1936</v>
      </c>
      <c r="I559" s="4" t="s">
        <v>61</v>
      </c>
      <c r="J559" s="4" t="s">
        <v>29</v>
      </c>
      <c r="K559" s="4" t="s">
        <v>44</v>
      </c>
      <c r="L559" s="4" t="s">
        <v>530</v>
      </c>
      <c r="M559" s="4" t="s">
        <v>32</v>
      </c>
      <c r="N559" s="4" t="s">
        <v>33</v>
      </c>
      <c r="O559" s="4" t="s">
        <v>66</v>
      </c>
      <c r="P559" s="4" t="s">
        <v>74</v>
      </c>
      <c r="Q559" s="4">
        <v>5</v>
      </c>
      <c r="R559" s="4">
        <v>28175</v>
      </c>
      <c r="S559" s="5">
        <v>15</v>
      </c>
      <c r="T559" s="6">
        <f t="shared" si="24"/>
        <v>119743.75</v>
      </c>
      <c r="U559" s="4">
        <v>18243.310000000001</v>
      </c>
      <c r="V559" t="str">
        <f t="shared" si="25"/>
        <v>Oct</v>
      </c>
      <c r="W559">
        <f t="shared" si="26"/>
        <v>0.15235292029855421</v>
      </c>
    </row>
    <row r="560" spans="1:23" x14ac:dyDescent="0.4">
      <c r="A560" s="4" t="s">
        <v>1937</v>
      </c>
      <c r="B560" s="4" t="s">
        <v>1348</v>
      </c>
      <c r="C560" s="11">
        <v>45120</v>
      </c>
      <c r="D560" s="4" t="s">
        <v>23</v>
      </c>
      <c r="E560" s="4" t="s">
        <v>24</v>
      </c>
      <c r="F560" s="4" t="s">
        <v>70</v>
      </c>
      <c r="G560" s="4" t="s">
        <v>59</v>
      </c>
      <c r="H560" s="4" t="s">
        <v>910</v>
      </c>
      <c r="I560" s="4" t="s">
        <v>61</v>
      </c>
      <c r="J560" s="4" t="s">
        <v>62</v>
      </c>
      <c r="K560" s="4" t="s">
        <v>86</v>
      </c>
      <c r="L560" s="4" t="s">
        <v>1563</v>
      </c>
      <c r="M560" s="4" t="s">
        <v>81</v>
      </c>
      <c r="N560" s="4" t="s">
        <v>54</v>
      </c>
      <c r="O560" s="4" t="s">
        <v>66</v>
      </c>
      <c r="P560" s="4" t="s">
        <v>35</v>
      </c>
      <c r="Q560" s="4">
        <v>3</v>
      </c>
      <c r="R560" s="4">
        <v>11442</v>
      </c>
      <c r="S560" s="5">
        <v>5</v>
      </c>
      <c r="T560" s="6">
        <f t="shared" si="24"/>
        <v>32609.7</v>
      </c>
      <c r="U560" s="4">
        <v>7865.49</v>
      </c>
      <c r="V560" t="str">
        <f t="shared" si="25"/>
        <v>Jul</v>
      </c>
      <c r="W560">
        <f t="shared" si="26"/>
        <v>0.24120093101132484</v>
      </c>
    </row>
    <row r="561" spans="1:23" x14ac:dyDescent="0.4">
      <c r="A561" s="4" t="s">
        <v>1938</v>
      </c>
      <c r="B561" s="4" t="s">
        <v>326</v>
      </c>
      <c r="C561" s="11">
        <v>44899</v>
      </c>
      <c r="D561" s="4" t="s">
        <v>124</v>
      </c>
      <c r="E561" s="4" t="s">
        <v>24</v>
      </c>
      <c r="F561" s="4" t="s">
        <v>40</v>
      </c>
      <c r="G561" s="4" t="s">
        <v>26</v>
      </c>
      <c r="H561" s="4" t="s">
        <v>1940</v>
      </c>
      <c r="I561" s="4" t="s">
        <v>43</v>
      </c>
      <c r="J561" s="4" t="s">
        <v>29</v>
      </c>
      <c r="K561" s="4" t="s">
        <v>63</v>
      </c>
      <c r="L561" s="4" t="s">
        <v>87</v>
      </c>
      <c r="M561" s="4" t="s">
        <v>95</v>
      </c>
      <c r="N561" s="4" t="s">
        <v>54</v>
      </c>
      <c r="O561" s="4" t="s">
        <v>46</v>
      </c>
      <c r="P561" s="4" t="s">
        <v>35</v>
      </c>
      <c r="Q561" s="4">
        <v>3</v>
      </c>
      <c r="R561" s="4">
        <v>45174</v>
      </c>
      <c r="S561" s="5">
        <v>5</v>
      </c>
      <c r="T561" s="6">
        <f t="shared" si="24"/>
        <v>128745.9</v>
      </c>
      <c r="U561" s="4">
        <v>4624.1400000000003</v>
      </c>
      <c r="V561" t="str">
        <f t="shared" si="25"/>
        <v>Dec</v>
      </c>
      <c r="W561">
        <f t="shared" si="26"/>
        <v>3.5916794243544846E-2</v>
      </c>
    </row>
    <row r="562" spans="1:23" x14ac:dyDescent="0.4">
      <c r="A562" s="4" t="s">
        <v>1941</v>
      </c>
      <c r="B562" s="4" t="s">
        <v>1942</v>
      </c>
      <c r="C562" s="11">
        <v>44598</v>
      </c>
      <c r="D562" s="4" t="s">
        <v>98</v>
      </c>
      <c r="E562" s="4" t="s">
        <v>24</v>
      </c>
      <c r="F562" s="4" t="s">
        <v>58</v>
      </c>
      <c r="G562" s="4" t="s">
        <v>92</v>
      </c>
      <c r="H562" s="4" t="s">
        <v>1943</v>
      </c>
      <c r="I562" s="4" t="s">
        <v>61</v>
      </c>
      <c r="J562" s="4" t="s">
        <v>79</v>
      </c>
      <c r="K562" s="4" t="s">
        <v>44</v>
      </c>
      <c r="L562" s="4" t="s">
        <v>126</v>
      </c>
      <c r="M562" s="4" t="s">
        <v>81</v>
      </c>
      <c r="N562" s="4" t="s">
        <v>54</v>
      </c>
      <c r="O562" s="4" t="s">
        <v>120</v>
      </c>
      <c r="P562" s="4" t="s">
        <v>47</v>
      </c>
      <c r="Q562" s="4">
        <v>2</v>
      </c>
      <c r="R562" s="4">
        <v>40790</v>
      </c>
      <c r="S562" s="5">
        <v>0</v>
      </c>
      <c r="T562" s="6">
        <f t="shared" si="24"/>
        <v>81580</v>
      </c>
      <c r="U562" s="4">
        <v>12280.62</v>
      </c>
      <c r="V562" t="str">
        <f t="shared" si="25"/>
        <v>Feb</v>
      </c>
      <c r="W562">
        <f t="shared" si="26"/>
        <v>0.15053468987496937</v>
      </c>
    </row>
    <row r="563" spans="1:23" x14ac:dyDescent="0.4">
      <c r="A563" s="4" t="s">
        <v>1944</v>
      </c>
      <c r="B563" s="4" t="s">
        <v>1945</v>
      </c>
      <c r="C563" s="11">
        <v>44972</v>
      </c>
      <c r="D563" s="4" t="s">
        <v>124</v>
      </c>
      <c r="E563" s="4" t="s">
        <v>24</v>
      </c>
      <c r="F563" s="4" t="s">
        <v>26</v>
      </c>
      <c r="G563" s="4" t="s">
        <v>59</v>
      </c>
      <c r="H563" s="4" t="s">
        <v>1946</v>
      </c>
      <c r="I563" s="4" t="s">
        <v>43</v>
      </c>
      <c r="J563" s="4" t="s">
        <v>29</v>
      </c>
      <c r="K563" s="4" t="s">
        <v>63</v>
      </c>
      <c r="L563" s="4" t="s">
        <v>1605</v>
      </c>
      <c r="M563" s="4" t="s">
        <v>65</v>
      </c>
      <c r="N563" s="4" t="s">
        <v>33</v>
      </c>
      <c r="O563" s="4" t="s">
        <v>34</v>
      </c>
      <c r="P563" s="4" t="s">
        <v>35</v>
      </c>
      <c r="Q563" s="4">
        <v>1</v>
      </c>
      <c r="R563" s="4">
        <v>31855</v>
      </c>
      <c r="S563" s="5">
        <v>5</v>
      </c>
      <c r="T563" s="6">
        <f t="shared" si="24"/>
        <v>30262.25</v>
      </c>
      <c r="U563" s="4">
        <v>4812.18</v>
      </c>
      <c r="V563" t="str">
        <f t="shared" si="25"/>
        <v>Feb</v>
      </c>
      <c r="W563">
        <f t="shared" si="26"/>
        <v>0.15901593569546218</v>
      </c>
    </row>
    <row r="564" spans="1:23" x14ac:dyDescent="0.4">
      <c r="A564" s="4" t="s">
        <v>1947</v>
      </c>
      <c r="B564" s="4" t="s">
        <v>279</v>
      </c>
      <c r="C564" s="11">
        <v>45509</v>
      </c>
      <c r="D564" s="4" t="s">
        <v>124</v>
      </c>
      <c r="E564" s="4" t="s">
        <v>24</v>
      </c>
      <c r="F564" s="4" t="s">
        <v>58</v>
      </c>
      <c r="G564" s="4" t="s">
        <v>59</v>
      </c>
      <c r="H564" s="4" t="s">
        <v>1948</v>
      </c>
      <c r="I564" s="4" t="s">
        <v>61</v>
      </c>
      <c r="J564" s="4" t="s">
        <v>29</v>
      </c>
      <c r="K564" s="4" t="s">
        <v>30</v>
      </c>
      <c r="L564" s="4" t="s">
        <v>867</v>
      </c>
      <c r="M564" s="4" t="s">
        <v>73</v>
      </c>
      <c r="N564" s="4" t="s">
        <v>33</v>
      </c>
      <c r="O564" s="4" t="s">
        <v>66</v>
      </c>
      <c r="P564" s="4" t="s">
        <v>47</v>
      </c>
      <c r="Q564" s="4">
        <v>6</v>
      </c>
      <c r="R564" s="4">
        <v>10290</v>
      </c>
      <c r="S564" s="5">
        <v>20</v>
      </c>
      <c r="T564" s="6">
        <f t="shared" si="24"/>
        <v>49392</v>
      </c>
      <c r="U564" s="4">
        <v>133.85</v>
      </c>
      <c r="V564" t="str">
        <f t="shared" si="25"/>
        <v>Jul</v>
      </c>
      <c r="W564">
        <f t="shared" si="26"/>
        <v>2.7099530288305796E-3</v>
      </c>
    </row>
    <row r="565" spans="1:23" x14ac:dyDescent="0.4">
      <c r="A565" s="4" t="s">
        <v>1949</v>
      </c>
      <c r="B565" s="4" t="s">
        <v>1950</v>
      </c>
      <c r="C565" s="11">
        <v>44948</v>
      </c>
      <c r="D565" s="4" t="s">
        <v>23</v>
      </c>
      <c r="E565" s="4" t="s">
        <v>24</v>
      </c>
      <c r="F565" s="4" t="s">
        <v>58</v>
      </c>
      <c r="G565" s="4" t="s">
        <v>41</v>
      </c>
      <c r="H565" s="4" t="s">
        <v>1952</v>
      </c>
      <c r="I565" s="4" t="s">
        <v>61</v>
      </c>
      <c r="J565" s="4" t="s">
        <v>79</v>
      </c>
      <c r="K565" s="4" t="s">
        <v>44</v>
      </c>
      <c r="L565" s="4" t="s">
        <v>94</v>
      </c>
      <c r="M565" s="4" t="s">
        <v>95</v>
      </c>
      <c r="N565" s="4" t="s">
        <v>54</v>
      </c>
      <c r="O565" s="4" t="s">
        <v>66</v>
      </c>
      <c r="P565" s="4" t="s">
        <v>88</v>
      </c>
      <c r="Q565" s="4">
        <v>2</v>
      </c>
      <c r="R565" s="4">
        <v>4286</v>
      </c>
      <c r="S565" s="5">
        <v>5</v>
      </c>
      <c r="T565" s="6">
        <f t="shared" si="24"/>
        <v>8143.4</v>
      </c>
      <c r="U565" s="4">
        <v>829.17</v>
      </c>
      <c r="V565" t="str">
        <f t="shared" si="25"/>
        <v>Jan</v>
      </c>
      <c r="W565">
        <f t="shared" si="26"/>
        <v>0.10182110666306457</v>
      </c>
    </row>
    <row r="566" spans="1:23" x14ac:dyDescent="0.4">
      <c r="A566" s="4" t="s">
        <v>1953</v>
      </c>
      <c r="B566" s="4" t="s">
        <v>528</v>
      </c>
      <c r="C566" s="11">
        <v>45180</v>
      </c>
      <c r="D566" s="4" t="s">
        <v>98</v>
      </c>
      <c r="E566" s="4" t="s">
        <v>24</v>
      </c>
      <c r="F566" s="4" t="s">
        <v>25</v>
      </c>
      <c r="G566" s="4" t="s">
        <v>26</v>
      </c>
      <c r="H566" s="4" t="s">
        <v>1954</v>
      </c>
      <c r="I566" s="4" t="s">
        <v>43</v>
      </c>
      <c r="J566" s="4" t="s">
        <v>79</v>
      </c>
      <c r="K566" s="4" t="s">
        <v>44</v>
      </c>
      <c r="L566" s="4" t="s">
        <v>1453</v>
      </c>
      <c r="M566" s="4" t="s">
        <v>73</v>
      </c>
      <c r="N566" s="4" t="s">
        <v>33</v>
      </c>
      <c r="O566" s="4" t="s">
        <v>46</v>
      </c>
      <c r="P566" s="4" t="s">
        <v>88</v>
      </c>
      <c r="Q566" s="4">
        <v>9</v>
      </c>
      <c r="R566" s="4">
        <v>18677</v>
      </c>
      <c r="S566" s="5">
        <v>0</v>
      </c>
      <c r="T566" s="6">
        <f t="shared" si="24"/>
        <v>168093</v>
      </c>
      <c r="U566" s="4">
        <v>43860.49</v>
      </c>
      <c r="V566" t="str">
        <f t="shared" si="25"/>
        <v>Sep</v>
      </c>
      <c r="W566">
        <f t="shared" si="26"/>
        <v>0.26092990189954368</v>
      </c>
    </row>
    <row r="567" spans="1:23" x14ac:dyDescent="0.4">
      <c r="A567" s="4" t="s">
        <v>1955</v>
      </c>
      <c r="B567" s="4" t="s">
        <v>1956</v>
      </c>
      <c r="C567" s="11">
        <v>45093</v>
      </c>
      <c r="D567" s="4" t="s">
        <v>98</v>
      </c>
      <c r="E567" s="4" t="s">
        <v>24</v>
      </c>
      <c r="F567" s="4" t="s">
        <v>58</v>
      </c>
      <c r="G567" s="4" t="s">
        <v>41</v>
      </c>
      <c r="H567" s="4" t="s">
        <v>1957</v>
      </c>
      <c r="I567" s="4" t="s">
        <v>28</v>
      </c>
      <c r="J567" s="4" t="s">
        <v>62</v>
      </c>
      <c r="K567" s="4" t="s">
        <v>153</v>
      </c>
      <c r="L567" s="4" t="s">
        <v>704</v>
      </c>
      <c r="M567" s="4" t="s">
        <v>32</v>
      </c>
      <c r="N567" s="4" t="s">
        <v>54</v>
      </c>
      <c r="O567" s="4" t="s">
        <v>34</v>
      </c>
      <c r="P567" s="4" t="s">
        <v>35</v>
      </c>
      <c r="Q567" s="4">
        <v>2</v>
      </c>
      <c r="R567" s="4">
        <v>6632</v>
      </c>
      <c r="S567" s="5">
        <v>5</v>
      </c>
      <c r="T567" s="6">
        <f t="shared" si="24"/>
        <v>12600.8</v>
      </c>
      <c r="U567" s="4">
        <v>2278.1</v>
      </c>
      <c r="V567" t="str">
        <f t="shared" si="25"/>
        <v>Jun</v>
      </c>
      <c r="W567">
        <f t="shared" si="26"/>
        <v>0.18079010856453559</v>
      </c>
    </row>
    <row r="568" spans="1:23" x14ac:dyDescent="0.4">
      <c r="A568" s="4" t="s">
        <v>1958</v>
      </c>
      <c r="B568" s="4" t="s">
        <v>547</v>
      </c>
      <c r="C568" s="11">
        <v>45396</v>
      </c>
      <c r="D568" s="4" t="s">
        <v>98</v>
      </c>
      <c r="E568" s="4" t="s">
        <v>24</v>
      </c>
      <c r="F568" s="4" t="s">
        <v>26</v>
      </c>
      <c r="G568" s="4" t="s">
        <v>26</v>
      </c>
      <c r="H568" s="4" t="s">
        <v>1959</v>
      </c>
      <c r="I568" s="4" t="s">
        <v>43</v>
      </c>
      <c r="J568" s="4" t="s">
        <v>62</v>
      </c>
      <c r="K568" s="4" t="s">
        <v>30</v>
      </c>
      <c r="L568" s="4" t="s">
        <v>699</v>
      </c>
      <c r="M568" s="4" t="s">
        <v>81</v>
      </c>
      <c r="N568" s="4" t="s">
        <v>33</v>
      </c>
      <c r="O568" s="4" t="s">
        <v>46</v>
      </c>
      <c r="P568" s="4" t="s">
        <v>74</v>
      </c>
      <c r="Q568" s="4">
        <v>3</v>
      </c>
      <c r="R568" s="4">
        <v>49295</v>
      </c>
      <c r="S568" s="5">
        <v>5</v>
      </c>
      <c r="T568" s="6">
        <f t="shared" si="24"/>
        <v>140490.75</v>
      </c>
      <c r="U568" s="4">
        <v>33540.57</v>
      </c>
      <c r="V568" t="str">
        <f t="shared" si="25"/>
        <v>Apr</v>
      </c>
      <c r="W568">
        <f t="shared" si="26"/>
        <v>0.23873863581766058</v>
      </c>
    </row>
    <row r="569" spans="1:23" x14ac:dyDescent="0.4">
      <c r="A569" s="4" t="s">
        <v>1960</v>
      </c>
      <c r="B569" s="4" t="s">
        <v>1296</v>
      </c>
      <c r="C569" s="11">
        <v>44680</v>
      </c>
      <c r="D569" s="4" t="s">
        <v>39</v>
      </c>
      <c r="E569" s="4" t="s">
        <v>24</v>
      </c>
      <c r="F569" s="4" t="s">
        <v>40</v>
      </c>
      <c r="G569" s="4" t="s">
        <v>99</v>
      </c>
      <c r="H569" s="4" t="s">
        <v>1961</v>
      </c>
      <c r="I569" s="4" t="s">
        <v>61</v>
      </c>
      <c r="J569" s="4" t="s">
        <v>62</v>
      </c>
      <c r="K569" s="4" t="s">
        <v>153</v>
      </c>
      <c r="L569" s="4" t="s">
        <v>1709</v>
      </c>
      <c r="M569" s="4" t="s">
        <v>32</v>
      </c>
      <c r="N569" s="4" t="s">
        <v>33</v>
      </c>
      <c r="O569" s="4" t="s">
        <v>34</v>
      </c>
      <c r="P569" s="4" t="s">
        <v>47</v>
      </c>
      <c r="Q569" s="4">
        <v>2</v>
      </c>
      <c r="R569" s="4">
        <v>48424</v>
      </c>
      <c r="S569" s="5">
        <v>10</v>
      </c>
      <c r="T569" s="6">
        <f t="shared" si="24"/>
        <v>87163.199999999997</v>
      </c>
      <c r="U569" s="4">
        <v>1080.23</v>
      </c>
      <c r="V569" t="str">
        <f t="shared" si="25"/>
        <v>Apr</v>
      </c>
      <c r="W569">
        <f t="shared" si="26"/>
        <v>1.2393188868696881E-2</v>
      </c>
    </row>
    <row r="570" spans="1:23" x14ac:dyDescent="0.4">
      <c r="A570" s="4" t="s">
        <v>1962</v>
      </c>
      <c r="B570" s="4" t="s">
        <v>1963</v>
      </c>
      <c r="C570" s="11">
        <v>44918</v>
      </c>
      <c r="D570" s="4" t="s">
        <v>98</v>
      </c>
      <c r="E570" s="4" t="s">
        <v>24</v>
      </c>
      <c r="F570" s="4" t="s">
        <v>25</v>
      </c>
      <c r="G570" s="4" t="s">
        <v>92</v>
      </c>
      <c r="H570" s="4" t="s">
        <v>1964</v>
      </c>
      <c r="I570" s="4" t="s">
        <v>61</v>
      </c>
      <c r="J570" s="4" t="s">
        <v>62</v>
      </c>
      <c r="K570" s="4" t="s">
        <v>63</v>
      </c>
      <c r="L570" s="4" t="s">
        <v>1368</v>
      </c>
      <c r="M570" s="4" t="s">
        <v>95</v>
      </c>
      <c r="N570" s="4" t="s">
        <v>33</v>
      </c>
      <c r="O570" s="4" t="s">
        <v>34</v>
      </c>
      <c r="P570" s="4" t="s">
        <v>88</v>
      </c>
      <c r="Q570" s="4">
        <v>2</v>
      </c>
      <c r="R570" s="4">
        <v>48474</v>
      </c>
      <c r="S570" s="5">
        <v>10</v>
      </c>
      <c r="T570" s="6">
        <f t="shared" si="24"/>
        <v>87253.2</v>
      </c>
      <c r="U570" s="4">
        <v>12526.63</v>
      </c>
      <c r="V570" t="str">
        <f t="shared" si="25"/>
        <v>Dec</v>
      </c>
      <c r="W570">
        <f t="shared" si="26"/>
        <v>0.14356642507094294</v>
      </c>
    </row>
    <row r="571" spans="1:23" x14ac:dyDescent="0.4">
      <c r="A571" s="4" t="s">
        <v>1965</v>
      </c>
      <c r="B571" s="4" t="s">
        <v>230</v>
      </c>
      <c r="C571" s="11">
        <v>44836</v>
      </c>
      <c r="D571" s="4" t="s">
        <v>98</v>
      </c>
      <c r="E571" s="4" t="s">
        <v>24</v>
      </c>
      <c r="F571" s="4" t="s">
        <v>26</v>
      </c>
      <c r="G571" s="4" t="s">
        <v>99</v>
      </c>
      <c r="H571" s="4" t="s">
        <v>1966</v>
      </c>
      <c r="I571" s="4" t="s">
        <v>61</v>
      </c>
      <c r="J571" s="4" t="s">
        <v>62</v>
      </c>
      <c r="K571" s="4" t="s">
        <v>44</v>
      </c>
      <c r="L571" s="4" t="s">
        <v>481</v>
      </c>
      <c r="M571" s="4" t="s">
        <v>73</v>
      </c>
      <c r="N571" s="4" t="s">
        <v>54</v>
      </c>
      <c r="O571" s="4" t="s">
        <v>66</v>
      </c>
      <c r="P571" s="4" t="s">
        <v>74</v>
      </c>
      <c r="Q571" s="4">
        <v>8</v>
      </c>
      <c r="R571" s="4">
        <v>19336</v>
      </c>
      <c r="S571" s="5">
        <v>0</v>
      </c>
      <c r="T571" s="6">
        <f t="shared" si="24"/>
        <v>154688</v>
      </c>
      <c r="U571" s="4">
        <v>24615.7</v>
      </c>
      <c r="V571" t="str">
        <f t="shared" si="25"/>
        <v>Sep</v>
      </c>
      <c r="W571">
        <f t="shared" si="26"/>
        <v>0.15913128361605297</v>
      </c>
    </row>
    <row r="572" spans="1:23" x14ac:dyDescent="0.4">
      <c r="A572" s="4" t="s">
        <v>1967</v>
      </c>
      <c r="B572" s="4" t="s">
        <v>91</v>
      </c>
      <c r="C572" s="11">
        <v>44969</v>
      </c>
      <c r="D572" s="4" t="s">
        <v>23</v>
      </c>
      <c r="E572" s="4" t="s">
        <v>24</v>
      </c>
      <c r="F572" s="4" t="s">
        <v>70</v>
      </c>
      <c r="G572" s="4" t="s">
        <v>41</v>
      </c>
      <c r="H572" s="4" t="s">
        <v>1969</v>
      </c>
      <c r="I572" s="4" t="s">
        <v>61</v>
      </c>
      <c r="J572" s="4" t="s">
        <v>79</v>
      </c>
      <c r="K572" s="4" t="s">
        <v>44</v>
      </c>
      <c r="L572" s="4" t="s">
        <v>939</v>
      </c>
      <c r="M572" s="4" t="s">
        <v>32</v>
      </c>
      <c r="N572" s="4" t="s">
        <v>54</v>
      </c>
      <c r="O572" s="4" t="s">
        <v>66</v>
      </c>
      <c r="P572" s="4" t="s">
        <v>88</v>
      </c>
      <c r="Q572" s="4">
        <v>5</v>
      </c>
      <c r="R572" s="4">
        <v>15366</v>
      </c>
      <c r="S572" s="5">
        <v>15</v>
      </c>
      <c r="T572" s="6">
        <f t="shared" si="24"/>
        <v>65305.5</v>
      </c>
      <c r="U572" s="4">
        <v>1278.77</v>
      </c>
      <c r="V572" t="str">
        <f t="shared" si="25"/>
        <v>Feb</v>
      </c>
      <c r="W572">
        <f t="shared" si="26"/>
        <v>1.9581352259763724E-2</v>
      </c>
    </row>
    <row r="573" spans="1:23" x14ac:dyDescent="0.4">
      <c r="A573" s="4" t="s">
        <v>1970</v>
      </c>
      <c r="B573" s="4" t="s">
        <v>1971</v>
      </c>
      <c r="C573" s="11">
        <v>45252</v>
      </c>
      <c r="D573" s="4" t="s">
        <v>39</v>
      </c>
      <c r="E573" s="4" t="s">
        <v>24</v>
      </c>
      <c r="F573" s="4" t="s">
        <v>25</v>
      </c>
      <c r="G573" s="4" t="s">
        <v>92</v>
      </c>
      <c r="H573" s="4" t="s">
        <v>1973</v>
      </c>
      <c r="I573" s="4" t="s">
        <v>28</v>
      </c>
      <c r="J573" s="4" t="s">
        <v>62</v>
      </c>
      <c r="K573" s="4" t="s">
        <v>153</v>
      </c>
      <c r="L573" s="4" t="s">
        <v>559</v>
      </c>
      <c r="M573" s="4" t="s">
        <v>65</v>
      </c>
      <c r="N573" s="4" t="s">
        <v>33</v>
      </c>
      <c r="O573" s="4" t="s">
        <v>82</v>
      </c>
      <c r="P573" s="4" t="s">
        <v>74</v>
      </c>
      <c r="Q573" s="4">
        <v>8</v>
      </c>
      <c r="R573" s="4">
        <v>6177</v>
      </c>
      <c r="S573" s="5">
        <v>10</v>
      </c>
      <c r="T573" s="6">
        <f t="shared" si="24"/>
        <v>44474.400000000001</v>
      </c>
      <c r="U573" s="4">
        <v>9540.81</v>
      </c>
      <c r="V573" t="str">
        <f t="shared" si="25"/>
        <v>Nov</v>
      </c>
      <c r="W573">
        <f t="shared" si="26"/>
        <v>0.21452363606928929</v>
      </c>
    </row>
    <row r="574" spans="1:23" x14ac:dyDescent="0.4">
      <c r="A574" s="4" t="s">
        <v>1974</v>
      </c>
      <c r="B574" s="4" t="s">
        <v>1689</v>
      </c>
      <c r="C574" s="11">
        <v>44703</v>
      </c>
      <c r="D574" s="4" t="s">
        <v>39</v>
      </c>
      <c r="E574" s="4" t="s">
        <v>24</v>
      </c>
      <c r="F574" s="4" t="s">
        <v>40</v>
      </c>
      <c r="G574" s="4" t="s">
        <v>59</v>
      </c>
      <c r="H574" s="4" t="s">
        <v>1975</v>
      </c>
      <c r="I574" s="4" t="s">
        <v>61</v>
      </c>
      <c r="J574" s="4" t="s">
        <v>79</v>
      </c>
      <c r="K574" s="4" t="s">
        <v>153</v>
      </c>
      <c r="L574" s="4" t="s">
        <v>687</v>
      </c>
      <c r="M574" s="4" t="s">
        <v>81</v>
      </c>
      <c r="N574" s="4" t="s">
        <v>54</v>
      </c>
      <c r="O574" s="4" t="s">
        <v>120</v>
      </c>
      <c r="P574" s="4" t="s">
        <v>47</v>
      </c>
      <c r="Q574" s="4">
        <v>10</v>
      </c>
      <c r="R574" s="4">
        <v>1379</v>
      </c>
      <c r="S574" s="5">
        <v>15</v>
      </c>
      <c r="T574" s="6">
        <f t="shared" si="24"/>
        <v>11721.5</v>
      </c>
      <c r="U574" s="4">
        <v>-6.5</v>
      </c>
      <c r="V574" t="str">
        <f t="shared" si="25"/>
        <v>May</v>
      </c>
      <c r="W574">
        <f t="shared" si="26"/>
        <v>-5.5453653542635332E-4</v>
      </c>
    </row>
    <row r="575" spans="1:23" x14ac:dyDescent="0.4">
      <c r="A575" s="4" t="s">
        <v>1976</v>
      </c>
      <c r="B575" s="4" t="s">
        <v>1977</v>
      </c>
      <c r="C575" s="11">
        <v>44601</v>
      </c>
      <c r="D575" s="4" t="s">
        <v>23</v>
      </c>
      <c r="E575" s="4" t="s">
        <v>24</v>
      </c>
      <c r="F575" s="4" t="s">
        <v>40</v>
      </c>
      <c r="G575" s="4" t="s">
        <v>41</v>
      </c>
      <c r="H575" s="4" t="s">
        <v>1978</v>
      </c>
      <c r="I575" s="4" t="s">
        <v>61</v>
      </c>
      <c r="J575" s="4" t="s">
        <v>79</v>
      </c>
      <c r="K575" s="4" t="s">
        <v>101</v>
      </c>
      <c r="L575" s="4" t="s">
        <v>423</v>
      </c>
      <c r="M575" s="4" t="s">
        <v>73</v>
      </c>
      <c r="N575" s="4" t="s">
        <v>33</v>
      </c>
      <c r="O575" s="4" t="s">
        <v>34</v>
      </c>
      <c r="P575" s="4" t="s">
        <v>88</v>
      </c>
      <c r="Q575" s="4">
        <v>2</v>
      </c>
      <c r="R575" s="4">
        <v>29402</v>
      </c>
      <c r="S575" s="5">
        <v>10</v>
      </c>
      <c r="T575" s="6">
        <f t="shared" si="24"/>
        <v>52923.6</v>
      </c>
      <c r="U575" s="4">
        <v>-1810.82</v>
      </c>
      <c r="V575" t="str">
        <f t="shared" si="25"/>
        <v>Feb</v>
      </c>
      <c r="W575">
        <f t="shared" si="26"/>
        <v>-3.4215737402595439E-2</v>
      </c>
    </row>
    <row r="576" spans="1:23" x14ac:dyDescent="0.4">
      <c r="A576" s="4" t="s">
        <v>1979</v>
      </c>
      <c r="B576" s="4" t="s">
        <v>1182</v>
      </c>
      <c r="C576" s="11">
        <v>44921</v>
      </c>
      <c r="D576" s="4" t="s">
        <v>98</v>
      </c>
      <c r="E576" s="4" t="s">
        <v>24</v>
      </c>
      <c r="F576" s="4" t="s">
        <v>26</v>
      </c>
      <c r="G576" s="4" t="s">
        <v>26</v>
      </c>
      <c r="H576" s="4" t="s">
        <v>1980</v>
      </c>
      <c r="I576" s="4" t="s">
        <v>61</v>
      </c>
      <c r="J576" s="4" t="s">
        <v>29</v>
      </c>
      <c r="K576" s="4" t="s">
        <v>44</v>
      </c>
      <c r="L576" s="4" t="s">
        <v>139</v>
      </c>
      <c r="M576" s="4" t="s">
        <v>95</v>
      </c>
      <c r="N576" s="4" t="s">
        <v>33</v>
      </c>
      <c r="O576" s="4" t="s">
        <v>82</v>
      </c>
      <c r="P576" s="4" t="s">
        <v>47</v>
      </c>
      <c r="Q576" s="4">
        <v>4</v>
      </c>
      <c r="R576" s="4">
        <v>31807</v>
      </c>
      <c r="S576" s="5">
        <v>0</v>
      </c>
      <c r="T576" s="6">
        <f t="shared" si="24"/>
        <v>127228</v>
      </c>
      <c r="U576" s="4">
        <v>24616.78</v>
      </c>
      <c r="V576" t="str">
        <f t="shared" si="25"/>
        <v>Dec</v>
      </c>
      <c r="W576">
        <f t="shared" si="26"/>
        <v>0.19348555349451377</v>
      </c>
    </row>
    <row r="577" spans="1:23" x14ac:dyDescent="0.4">
      <c r="A577" s="4" t="s">
        <v>1981</v>
      </c>
      <c r="B577" s="4" t="s">
        <v>77</v>
      </c>
      <c r="C577" s="11">
        <v>45117</v>
      </c>
      <c r="D577" s="4" t="s">
        <v>98</v>
      </c>
      <c r="E577" s="4" t="s">
        <v>24</v>
      </c>
      <c r="F577" s="4" t="s">
        <v>26</v>
      </c>
      <c r="G577" s="4" t="s">
        <v>59</v>
      </c>
      <c r="H577" s="4" t="s">
        <v>1982</v>
      </c>
      <c r="I577" s="4" t="s">
        <v>43</v>
      </c>
      <c r="J577" s="4" t="s">
        <v>79</v>
      </c>
      <c r="K577" s="4" t="s">
        <v>30</v>
      </c>
      <c r="L577" s="4" t="s">
        <v>1311</v>
      </c>
      <c r="M577" s="4" t="s">
        <v>65</v>
      </c>
      <c r="N577" s="4" t="s">
        <v>33</v>
      </c>
      <c r="O577" s="4" t="s">
        <v>66</v>
      </c>
      <c r="P577" s="4" t="s">
        <v>74</v>
      </c>
      <c r="Q577" s="4">
        <v>7</v>
      </c>
      <c r="R577" s="4">
        <v>12152</v>
      </c>
      <c r="S577" s="5">
        <v>15</v>
      </c>
      <c r="T577" s="6">
        <f t="shared" si="24"/>
        <v>72304.399999999994</v>
      </c>
      <c r="U577" s="4">
        <v>4946.22</v>
      </c>
      <c r="V577" t="str">
        <f t="shared" si="25"/>
        <v>Jul</v>
      </c>
      <c r="W577">
        <f t="shared" si="26"/>
        <v>6.8408284972975381E-2</v>
      </c>
    </row>
    <row r="578" spans="1:23" x14ac:dyDescent="0.4">
      <c r="A578" s="4" t="s">
        <v>1983</v>
      </c>
      <c r="B578" s="4" t="s">
        <v>1260</v>
      </c>
      <c r="C578" s="11">
        <v>44832</v>
      </c>
      <c r="D578" s="4" t="s">
        <v>124</v>
      </c>
      <c r="E578" s="4" t="s">
        <v>24</v>
      </c>
      <c r="F578" s="4" t="s">
        <v>70</v>
      </c>
      <c r="G578" s="4" t="s">
        <v>92</v>
      </c>
      <c r="H578" s="4" t="s">
        <v>1984</v>
      </c>
      <c r="I578" s="4" t="s">
        <v>61</v>
      </c>
      <c r="J578" s="4" t="s">
        <v>79</v>
      </c>
      <c r="K578" s="4" t="s">
        <v>153</v>
      </c>
      <c r="L578" s="4" t="s">
        <v>867</v>
      </c>
      <c r="M578" s="4" t="s">
        <v>32</v>
      </c>
      <c r="N578" s="4" t="s">
        <v>33</v>
      </c>
      <c r="O578" s="4" t="s">
        <v>46</v>
      </c>
      <c r="P578" s="4" t="s">
        <v>88</v>
      </c>
      <c r="Q578" s="4">
        <v>9</v>
      </c>
      <c r="R578" s="4">
        <v>11908</v>
      </c>
      <c r="S578" s="5">
        <v>5</v>
      </c>
      <c r="T578" s="6">
        <f t="shared" si="24"/>
        <v>101813.4</v>
      </c>
      <c r="U578" s="4">
        <v>23866.89</v>
      </c>
      <c r="V578" t="str">
        <f t="shared" si="25"/>
        <v>Sep</v>
      </c>
      <c r="W578">
        <f t="shared" si="26"/>
        <v>0.23441796462941028</v>
      </c>
    </row>
    <row r="579" spans="1:23" x14ac:dyDescent="0.4">
      <c r="A579" s="4" t="s">
        <v>1985</v>
      </c>
      <c r="B579" s="4" t="s">
        <v>1084</v>
      </c>
      <c r="C579" s="11">
        <v>44716</v>
      </c>
      <c r="D579" s="4" t="s">
        <v>39</v>
      </c>
      <c r="E579" s="4" t="s">
        <v>24</v>
      </c>
      <c r="F579" s="4" t="s">
        <v>58</v>
      </c>
      <c r="G579" s="4" t="s">
        <v>59</v>
      </c>
      <c r="H579" s="4" t="s">
        <v>1986</v>
      </c>
      <c r="I579" s="4" t="s">
        <v>43</v>
      </c>
      <c r="J579" s="4" t="s">
        <v>29</v>
      </c>
      <c r="K579" s="4" t="s">
        <v>101</v>
      </c>
      <c r="L579" s="4" t="s">
        <v>315</v>
      </c>
      <c r="M579" s="4" t="s">
        <v>32</v>
      </c>
      <c r="N579" s="4" t="s">
        <v>33</v>
      </c>
      <c r="O579" s="4" t="s">
        <v>120</v>
      </c>
      <c r="P579" s="4" t="s">
        <v>47</v>
      </c>
      <c r="Q579" s="4">
        <v>1</v>
      </c>
      <c r="R579" s="4">
        <v>13789</v>
      </c>
      <c r="S579" s="5">
        <v>20</v>
      </c>
      <c r="T579" s="6">
        <f t="shared" ref="T579:T642" si="27">Q579*R579*(100-S579)/100</f>
        <v>11031.2</v>
      </c>
      <c r="U579" s="4">
        <v>-922.13</v>
      </c>
      <c r="V579" t="str">
        <f t="shared" ref="V579:V642" si="28">TEXT(B579,"MMM")</f>
        <v>Jun</v>
      </c>
      <c r="W579">
        <f t="shared" ref="W579:W642" si="29">U579/T579</f>
        <v>-8.3592900137790985E-2</v>
      </c>
    </row>
    <row r="580" spans="1:23" x14ac:dyDescent="0.4">
      <c r="A580" s="4" t="s">
        <v>1987</v>
      </c>
      <c r="B580" s="4" t="s">
        <v>620</v>
      </c>
      <c r="C580" s="11">
        <v>44718</v>
      </c>
      <c r="D580" s="4" t="s">
        <v>124</v>
      </c>
      <c r="E580" s="4" t="s">
        <v>24</v>
      </c>
      <c r="F580" s="4" t="s">
        <v>40</v>
      </c>
      <c r="G580" s="4" t="s">
        <v>41</v>
      </c>
      <c r="H580" s="4" t="s">
        <v>1988</v>
      </c>
      <c r="I580" s="4" t="s">
        <v>28</v>
      </c>
      <c r="J580" s="4" t="s">
        <v>79</v>
      </c>
      <c r="K580" s="4" t="s">
        <v>101</v>
      </c>
      <c r="L580" s="4" t="s">
        <v>126</v>
      </c>
      <c r="M580" s="4" t="s">
        <v>95</v>
      </c>
      <c r="N580" s="4" t="s">
        <v>54</v>
      </c>
      <c r="O580" s="4" t="s">
        <v>46</v>
      </c>
      <c r="P580" s="4" t="s">
        <v>47</v>
      </c>
      <c r="Q580" s="4">
        <v>10</v>
      </c>
      <c r="R580" s="4">
        <v>33336</v>
      </c>
      <c r="S580" s="5">
        <v>0</v>
      </c>
      <c r="T580" s="6">
        <f t="shared" si="27"/>
        <v>333360</v>
      </c>
      <c r="U580" s="4">
        <v>94878.51</v>
      </c>
      <c r="V580" t="str">
        <f t="shared" si="28"/>
        <v>May</v>
      </c>
      <c r="W580">
        <f t="shared" si="29"/>
        <v>0.28461276097912164</v>
      </c>
    </row>
    <row r="581" spans="1:23" x14ac:dyDescent="0.4">
      <c r="A581" s="4" t="s">
        <v>1989</v>
      </c>
      <c r="B581" s="4" t="s">
        <v>1990</v>
      </c>
      <c r="C581" s="11">
        <v>44610</v>
      </c>
      <c r="D581" s="4" t="s">
        <v>98</v>
      </c>
      <c r="E581" s="4" t="s">
        <v>24</v>
      </c>
      <c r="F581" s="4" t="s">
        <v>70</v>
      </c>
      <c r="G581" s="4" t="s">
        <v>59</v>
      </c>
      <c r="H581" s="4" t="s">
        <v>1991</v>
      </c>
      <c r="I581" s="4" t="s">
        <v>61</v>
      </c>
      <c r="J581" s="4" t="s">
        <v>79</v>
      </c>
      <c r="K581" s="4" t="s">
        <v>86</v>
      </c>
      <c r="L581" s="4" t="s">
        <v>812</v>
      </c>
      <c r="M581" s="4" t="s">
        <v>73</v>
      </c>
      <c r="N581" s="4" t="s">
        <v>33</v>
      </c>
      <c r="O581" s="4" t="s">
        <v>120</v>
      </c>
      <c r="P581" s="4" t="s">
        <v>74</v>
      </c>
      <c r="Q581" s="4">
        <v>1</v>
      </c>
      <c r="R581" s="4">
        <v>40526</v>
      </c>
      <c r="S581" s="5">
        <v>20</v>
      </c>
      <c r="T581" s="6">
        <f t="shared" si="27"/>
        <v>32420.799999999999</v>
      </c>
      <c r="U581" s="4">
        <v>3270.5</v>
      </c>
      <c r="V581" t="str">
        <f t="shared" si="28"/>
        <v>Feb</v>
      </c>
      <c r="W581">
        <f t="shared" si="29"/>
        <v>0.10087659773972264</v>
      </c>
    </row>
    <row r="582" spans="1:23" x14ac:dyDescent="0.4">
      <c r="A582" s="4" t="s">
        <v>1992</v>
      </c>
      <c r="B582" s="4" t="s">
        <v>1614</v>
      </c>
      <c r="C582" s="11">
        <v>44728</v>
      </c>
      <c r="D582" s="4" t="s">
        <v>23</v>
      </c>
      <c r="E582" s="4" t="s">
        <v>24</v>
      </c>
      <c r="F582" s="4" t="s">
        <v>58</v>
      </c>
      <c r="G582" s="4" t="s">
        <v>92</v>
      </c>
      <c r="H582" s="4" t="s">
        <v>1994</v>
      </c>
      <c r="I582" s="4" t="s">
        <v>43</v>
      </c>
      <c r="J582" s="4" t="s">
        <v>29</v>
      </c>
      <c r="K582" s="4" t="s">
        <v>44</v>
      </c>
      <c r="L582" s="4" t="s">
        <v>1822</v>
      </c>
      <c r="M582" s="4" t="s">
        <v>95</v>
      </c>
      <c r="N582" s="4" t="s">
        <v>54</v>
      </c>
      <c r="O582" s="4" t="s">
        <v>34</v>
      </c>
      <c r="P582" s="4" t="s">
        <v>35</v>
      </c>
      <c r="Q582" s="4">
        <v>6</v>
      </c>
      <c r="R582" s="4">
        <v>16540</v>
      </c>
      <c r="S582" s="5">
        <v>15</v>
      </c>
      <c r="T582" s="6">
        <f t="shared" si="27"/>
        <v>84354</v>
      </c>
      <c r="U582" s="4">
        <v>7253.35</v>
      </c>
      <c r="V582" t="str">
        <f t="shared" si="28"/>
        <v>Jun</v>
      </c>
      <c r="W582">
        <f t="shared" si="29"/>
        <v>8.59870308461958E-2</v>
      </c>
    </row>
    <row r="583" spans="1:23" x14ac:dyDescent="0.4">
      <c r="A583" s="4" t="s">
        <v>1995</v>
      </c>
      <c r="B583" s="4" t="s">
        <v>869</v>
      </c>
      <c r="C583" s="11">
        <v>45361</v>
      </c>
      <c r="D583" s="4" t="s">
        <v>23</v>
      </c>
      <c r="E583" s="4" t="s">
        <v>24</v>
      </c>
      <c r="F583" s="4" t="s">
        <v>40</v>
      </c>
      <c r="G583" s="4" t="s">
        <v>59</v>
      </c>
      <c r="H583" s="4" t="s">
        <v>1996</v>
      </c>
      <c r="I583" s="4" t="s">
        <v>28</v>
      </c>
      <c r="J583" s="4" t="s">
        <v>79</v>
      </c>
      <c r="K583" s="4" t="s">
        <v>153</v>
      </c>
      <c r="L583" s="4" t="s">
        <v>757</v>
      </c>
      <c r="M583" s="4" t="s">
        <v>73</v>
      </c>
      <c r="N583" s="4" t="s">
        <v>33</v>
      </c>
      <c r="O583" s="4" t="s">
        <v>120</v>
      </c>
      <c r="P583" s="4" t="s">
        <v>74</v>
      </c>
      <c r="Q583" s="4">
        <v>3</v>
      </c>
      <c r="R583" s="4">
        <v>48620</v>
      </c>
      <c r="S583" s="5">
        <v>0</v>
      </c>
      <c r="T583" s="6">
        <f t="shared" si="27"/>
        <v>145860</v>
      </c>
      <c r="U583" s="4">
        <v>26113.79</v>
      </c>
      <c r="V583" t="str">
        <f t="shared" si="28"/>
        <v>Mar</v>
      </c>
      <c r="W583">
        <f t="shared" si="29"/>
        <v>0.17903325106266282</v>
      </c>
    </row>
    <row r="584" spans="1:23" x14ac:dyDescent="0.4">
      <c r="A584" s="4" t="s">
        <v>1997</v>
      </c>
      <c r="B584" s="4" t="s">
        <v>216</v>
      </c>
      <c r="C584" s="11">
        <v>45368</v>
      </c>
      <c r="D584" s="4" t="s">
        <v>23</v>
      </c>
      <c r="E584" s="4" t="s">
        <v>24</v>
      </c>
      <c r="F584" s="4" t="s">
        <v>26</v>
      </c>
      <c r="G584" s="4" t="s">
        <v>99</v>
      </c>
      <c r="H584" s="4" t="s">
        <v>1999</v>
      </c>
      <c r="I584" s="4" t="s">
        <v>61</v>
      </c>
      <c r="J584" s="4" t="s">
        <v>62</v>
      </c>
      <c r="K584" s="4" t="s">
        <v>86</v>
      </c>
      <c r="L584" s="4" t="s">
        <v>218</v>
      </c>
      <c r="M584" s="4" t="s">
        <v>73</v>
      </c>
      <c r="N584" s="4" t="s">
        <v>54</v>
      </c>
      <c r="O584" s="4" t="s">
        <v>120</v>
      </c>
      <c r="P584" s="4" t="s">
        <v>35</v>
      </c>
      <c r="Q584" s="4">
        <v>7</v>
      </c>
      <c r="R584" s="4">
        <v>25749</v>
      </c>
      <c r="S584" s="5">
        <v>0</v>
      </c>
      <c r="T584" s="6">
        <f t="shared" si="27"/>
        <v>180243</v>
      </c>
      <c r="U584" s="4">
        <v>46870.28</v>
      </c>
      <c r="V584" t="str">
        <f t="shared" si="28"/>
        <v>Mar</v>
      </c>
      <c r="W584">
        <f t="shared" si="29"/>
        <v>0.26003939126623504</v>
      </c>
    </row>
    <row r="585" spans="1:23" x14ac:dyDescent="0.4">
      <c r="A585" s="4" t="s">
        <v>2000</v>
      </c>
      <c r="B585" s="4" t="s">
        <v>2001</v>
      </c>
      <c r="C585" s="11">
        <v>45561</v>
      </c>
      <c r="D585" s="4" t="s">
        <v>124</v>
      </c>
      <c r="E585" s="4" t="s">
        <v>24</v>
      </c>
      <c r="F585" s="4" t="s">
        <v>58</v>
      </c>
      <c r="G585" s="4" t="s">
        <v>99</v>
      </c>
      <c r="H585" s="4" t="s">
        <v>2002</v>
      </c>
      <c r="I585" s="4" t="s">
        <v>61</v>
      </c>
      <c r="J585" s="4" t="s">
        <v>29</v>
      </c>
      <c r="K585" s="4" t="s">
        <v>63</v>
      </c>
      <c r="L585" s="4" t="s">
        <v>1214</v>
      </c>
      <c r="M585" s="4" t="s">
        <v>65</v>
      </c>
      <c r="N585" s="4" t="s">
        <v>54</v>
      </c>
      <c r="O585" s="4" t="s">
        <v>46</v>
      </c>
      <c r="P585" s="4" t="s">
        <v>35</v>
      </c>
      <c r="Q585" s="4">
        <v>1</v>
      </c>
      <c r="R585" s="4">
        <v>33483</v>
      </c>
      <c r="S585" s="5">
        <v>20</v>
      </c>
      <c r="T585" s="6">
        <f t="shared" si="27"/>
        <v>26786.400000000001</v>
      </c>
      <c r="U585" s="4">
        <v>-1592.41</v>
      </c>
      <c r="V585" t="str">
        <f t="shared" si="28"/>
        <v>Sep</v>
      </c>
      <c r="W585">
        <f t="shared" si="29"/>
        <v>-5.9448451452976135E-2</v>
      </c>
    </row>
    <row r="586" spans="1:23" x14ac:dyDescent="0.4">
      <c r="A586" s="4" t="s">
        <v>2003</v>
      </c>
      <c r="B586" s="4" t="s">
        <v>1903</v>
      </c>
      <c r="C586" s="11">
        <v>45211</v>
      </c>
      <c r="D586" s="4" t="s">
        <v>98</v>
      </c>
      <c r="E586" s="4" t="s">
        <v>24</v>
      </c>
      <c r="F586" s="4" t="s">
        <v>70</v>
      </c>
      <c r="G586" s="4" t="s">
        <v>59</v>
      </c>
      <c r="H586" s="4" t="s">
        <v>2004</v>
      </c>
      <c r="I586" s="4" t="s">
        <v>43</v>
      </c>
      <c r="J586" s="4" t="s">
        <v>79</v>
      </c>
      <c r="K586" s="4" t="s">
        <v>153</v>
      </c>
      <c r="L586" s="4" t="s">
        <v>906</v>
      </c>
      <c r="M586" s="4" t="s">
        <v>53</v>
      </c>
      <c r="N586" s="4" t="s">
        <v>54</v>
      </c>
      <c r="O586" s="4" t="s">
        <v>46</v>
      </c>
      <c r="P586" s="4" t="s">
        <v>74</v>
      </c>
      <c r="Q586" s="4">
        <v>1</v>
      </c>
      <c r="R586" s="4">
        <v>5097</v>
      </c>
      <c r="S586" s="5">
        <v>15</v>
      </c>
      <c r="T586" s="6">
        <f t="shared" si="27"/>
        <v>4332.45</v>
      </c>
      <c r="U586" s="4">
        <v>-478.69</v>
      </c>
      <c r="V586" t="str">
        <f t="shared" si="28"/>
        <v>Oct</v>
      </c>
      <c r="W586">
        <f t="shared" si="29"/>
        <v>-0.11048944592551559</v>
      </c>
    </row>
    <row r="587" spans="1:23" x14ac:dyDescent="0.4">
      <c r="A587" s="4" t="s">
        <v>2005</v>
      </c>
      <c r="B587" s="4" t="s">
        <v>669</v>
      </c>
      <c r="C587" s="11">
        <v>44647</v>
      </c>
      <c r="D587" s="4" t="s">
        <v>39</v>
      </c>
      <c r="E587" s="4" t="s">
        <v>24</v>
      </c>
      <c r="F587" s="4" t="s">
        <v>70</v>
      </c>
      <c r="G587" s="4" t="s">
        <v>26</v>
      </c>
      <c r="H587" s="4" t="s">
        <v>2006</v>
      </c>
      <c r="I587" s="4" t="s">
        <v>28</v>
      </c>
      <c r="J587" s="4" t="s">
        <v>62</v>
      </c>
      <c r="K587" s="4" t="s">
        <v>30</v>
      </c>
      <c r="L587" s="4" t="s">
        <v>559</v>
      </c>
      <c r="M587" s="4" t="s">
        <v>81</v>
      </c>
      <c r="N587" s="4" t="s">
        <v>54</v>
      </c>
      <c r="O587" s="4" t="s">
        <v>46</v>
      </c>
      <c r="P587" s="4" t="s">
        <v>47</v>
      </c>
      <c r="Q587" s="4">
        <v>2</v>
      </c>
      <c r="R587" s="4">
        <v>38060</v>
      </c>
      <c r="S587" s="5">
        <v>15</v>
      </c>
      <c r="T587" s="6">
        <f t="shared" si="27"/>
        <v>64702</v>
      </c>
      <c r="U587" s="4">
        <v>1099.94</v>
      </c>
      <c r="V587" t="str">
        <f t="shared" si="28"/>
        <v>Mar</v>
      </c>
      <c r="W587">
        <f t="shared" si="29"/>
        <v>1.7000092732836699E-2</v>
      </c>
    </row>
    <row r="588" spans="1:23" x14ac:dyDescent="0.4">
      <c r="A588" s="4" t="s">
        <v>2007</v>
      </c>
      <c r="B588" s="4" t="s">
        <v>2008</v>
      </c>
      <c r="C588" s="11">
        <v>45316</v>
      </c>
      <c r="D588" s="4" t="s">
        <v>23</v>
      </c>
      <c r="E588" s="4" t="s">
        <v>24</v>
      </c>
      <c r="F588" s="4" t="s">
        <v>40</v>
      </c>
      <c r="G588" s="4" t="s">
        <v>99</v>
      </c>
      <c r="H588" s="4" t="s">
        <v>2009</v>
      </c>
      <c r="I588" s="4" t="s">
        <v>43</v>
      </c>
      <c r="J588" s="4" t="s">
        <v>29</v>
      </c>
      <c r="K588" s="4" t="s">
        <v>63</v>
      </c>
      <c r="L588" s="4" t="s">
        <v>535</v>
      </c>
      <c r="M588" s="4" t="s">
        <v>53</v>
      </c>
      <c r="N588" s="4" t="s">
        <v>54</v>
      </c>
      <c r="O588" s="4" t="s">
        <v>82</v>
      </c>
      <c r="P588" s="4" t="s">
        <v>74</v>
      </c>
      <c r="Q588" s="4">
        <v>3</v>
      </c>
      <c r="R588" s="4">
        <v>11455</v>
      </c>
      <c r="S588" s="5">
        <v>10</v>
      </c>
      <c r="T588" s="6">
        <f t="shared" si="27"/>
        <v>30928.5</v>
      </c>
      <c r="U588" s="4">
        <v>741.88</v>
      </c>
      <c r="V588" t="str">
        <f t="shared" si="28"/>
        <v>Jan</v>
      </c>
      <c r="W588">
        <f t="shared" si="29"/>
        <v>2.3986937614174628E-2</v>
      </c>
    </row>
    <row r="589" spans="1:23" x14ac:dyDescent="0.4">
      <c r="A589" s="4" t="s">
        <v>2010</v>
      </c>
      <c r="B589" s="4" t="s">
        <v>912</v>
      </c>
      <c r="C589" s="11">
        <v>45378</v>
      </c>
      <c r="D589" s="4" t="s">
        <v>98</v>
      </c>
      <c r="E589" s="4" t="s">
        <v>24</v>
      </c>
      <c r="F589" s="4" t="s">
        <v>25</v>
      </c>
      <c r="G589" s="4" t="s">
        <v>92</v>
      </c>
      <c r="H589" s="4" t="s">
        <v>2011</v>
      </c>
      <c r="I589" s="4" t="s">
        <v>61</v>
      </c>
      <c r="J589" s="4" t="s">
        <v>79</v>
      </c>
      <c r="K589" s="4" t="s">
        <v>101</v>
      </c>
      <c r="L589" s="4" t="s">
        <v>839</v>
      </c>
      <c r="M589" s="4" t="s">
        <v>53</v>
      </c>
      <c r="N589" s="4" t="s">
        <v>33</v>
      </c>
      <c r="O589" s="4" t="s">
        <v>120</v>
      </c>
      <c r="P589" s="4" t="s">
        <v>47</v>
      </c>
      <c r="Q589" s="4">
        <v>10</v>
      </c>
      <c r="R589" s="4">
        <v>17171</v>
      </c>
      <c r="S589" s="5">
        <v>0</v>
      </c>
      <c r="T589" s="6">
        <f t="shared" si="27"/>
        <v>171710</v>
      </c>
      <c r="U589" s="4">
        <v>12316.59</v>
      </c>
      <c r="V589" t="str">
        <f t="shared" si="28"/>
        <v>Mar</v>
      </c>
      <c r="W589">
        <f t="shared" si="29"/>
        <v>7.1729019859064699E-2</v>
      </c>
    </row>
    <row r="590" spans="1:23" x14ac:dyDescent="0.4">
      <c r="A590" s="4" t="s">
        <v>2012</v>
      </c>
      <c r="B590" s="4" t="s">
        <v>1099</v>
      </c>
      <c r="C590" s="11">
        <v>45189</v>
      </c>
      <c r="D590" s="4" t="s">
        <v>124</v>
      </c>
      <c r="E590" s="4" t="s">
        <v>24</v>
      </c>
      <c r="F590" s="4" t="s">
        <v>25</v>
      </c>
      <c r="G590" s="4" t="s">
        <v>26</v>
      </c>
      <c r="H590" s="4" t="s">
        <v>2013</v>
      </c>
      <c r="I590" s="4" t="s">
        <v>43</v>
      </c>
      <c r="J590" s="4" t="s">
        <v>62</v>
      </c>
      <c r="K590" s="4" t="s">
        <v>44</v>
      </c>
      <c r="L590" s="4" t="s">
        <v>251</v>
      </c>
      <c r="M590" s="4" t="s">
        <v>81</v>
      </c>
      <c r="N590" s="4" t="s">
        <v>54</v>
      </c>
      <c r="O590" s="4" t="s">
        <v>66</v>
      </c>
      <c r="P590" s="4" t="s">
        <v>88</v>
      </c>
      <c r="Q590" s="4">
        <v>3</v>
      </c>
      <c r="R590" s="4">
        <v>8460</v>
      </c>
      <c r="S590" s="5">
        <v>10</v>
      </c>
      <c r="T590" s="6">
        <f t="shared" si="27"/>
        <v>22842</v>
      </c>
      <c r="U590" s="4">
        <v>4363.3900000000003</v>
      </c>
      <c r="V590" t="str">
        <f t="shared" si="28"/>
        <v>Sep</v>
      </c>
      <c r="W590">
        <f t="shared" si="29"/>
        <v>0.19102486647403907</v>
      </c>
    </row>
    <row r="591" spans="1:23" x14ac:dyDescent="0.4">
      <c r="A591" s="4" t="s">
        <v>2014</v>
      </c>
      <c r="B591" s="4" t="s">
        <v>2015</v>
      </c>
      <c r="C591" s="11">
        <v>44897</v>
      </c>
      <c r="D591" s="4" t="s">
        <v>124</v>
      </c>
      <c r="E591" s="4" t="s">
        <v>24</v>
      </c>
      <c r="F591" s="4" t="s">
        <v>70</v>
      </c>
      <c r="G591" s="4" t="s">
        <v>92</v>
      </c>
      <c r="H591" s="4" t="s">
        <v>2017</v>
      </c>
      <c r="I591" s="4" t="s">
        <v>28</v>
      </c>
      <c r="J591" s="4" t="s">
        <v>79</v>
      </c>
      <c r="K591" s="4" t="s">
        <v>153</v>
      </c>
      <c r="L591" s="4" t="s">
        <v>812</v>
      </c>
      <c r="M591" s="4" t="s">
        <v>32</v>
      </c>
      <c r="N591" s="4" t="s">
        <v>33</v>
      </c>
      <c r="O591" s="4" t="s">
        <v>34</v>
      </c>
      <c r="P591" s="4" t="s">
        <v>47</v>
      </c>
      <c r="Q591" s="4">
        <v>2</v>
      </c>
      <c r="R591" s="4">
        <v>3141</v>
      </c>
      <c r="S591" s="5">
        <v>0</v>
      </c>
      <c r="T591" s="6">
        <f t="shared" si="27"/>
        <v>6282</v>
      </c>
      <c r="U591" s="4">
        <v>1139.26</v>
      </c>
      <c r="V591" t="str">
        <f t="shared" si="28"/>
        <v>Nov</v>
      </c>
      <c r="W591">
        <f t="shared" si="29"/>
        <v>0.18135307226997771</v>
      </c>
    </row>
    <row r="592" spans="1:23" x14ac:dyDescent="0.4">
      <c r="A592" s="4" t="s">
        <v>2018</v>
      </c>
      <c r="B592" s="4" t="s">
        <v>2019</v>
      </c>
      <c r="C592" s="11">
        <v>45543</v>
      </c>
      <c r="D592" s="4" t="s">
        <v>98</v>
      </c>
      <c r="E592" s="4" t="s">
        <v>24</v>
      </c>
      <c r="F592" s="4" t="s">
        <v>40</v>
      </c>
      <c r="G592" s="4" t="s">
        <v>99</v>
      </c>
      <c r="H592" s="4" t="s">
        <v>2020</v>
      </c>
      <c r="I592" s="4" t="s">
        <v>43</v>
      </c>
      <c r="J592" s="4" t="s">
        <v>79</v>
      </c>
      <c r="K592" s="4" t="s">
        <v>153</v>
      </c>
      <c r="L592" s="4" t="s">
        <v>348</v>
      </c>
      <c r="M592" s="4" t="s">
        <v>65</v>
      </c>
      <c r="N592" s="4" t="s">
        <v>33</v>
      </c>
      <c r="O592" s="4" t="s">
        <v>46</v>
      </c>
      <c r="P592" s="4" t="s">
        <v>88</v>
      </c>
      <c r="Q592" s="4">
        <v>7</v>
      </c>
      <c r="R592" s="4">
        <v>33252</v>
      </c>
      <c r="S592" s="5">
        <v>10</v>
      </c>
      <c r="T592" s="6">
        <f t="shared" si="27"/>
        <v>209487.6</v>
      </c>
      <c r="U592" s="4">
        <v>45461.17</v>
      </c>
      <c r="V592" t="str">
        <f t="shared" si="28"/>
        <v>Aug</v>
      </c>
      <c r="W592">
        <f t="shared" si="29"/>
        <v>0.21701126940210302</v>
      </c>
    </row>
    <row r="593" spans="1:23" x14ac:dyDescent="0.4">
      <c r="A593" s="4" t="s">
        <v>2021</v>
      </c>
      <c r="B593" s="4" t="s">
        <v>2022</v>
      </c>
      <c r="C593" s="11">
        <v>45094</v>
      </c>
      <c r="D593" s="4" t="s">
        <v>23</v>
      </c>
      <c r="E593" s="4" t="s">
        <v>24</v>
      </c>
      <c r="F593" s="4" t="s">
        <v>58</v>
      </c>
      <c r="G593" s="4" t="s">
        <v>41</v>
      </c>
      <c r="H593" s="4" t="s">
        <v>2023</v>
      </c>
      <c r="I593" s="4" t="s">
        <v>61</v>
      </c>
      <c r="J593" s="4" t="s">
        <v>79</v>
      </c>
      <c r="K593" s="4" t="s">
        <v>30</v>
      </c>
      <c r="L593" s="4" t="s">
        <v>119</v>
      </c>
      <c r="M593" s="4" t="s">
        <v>81</v>
      </c>
      <c r="N593" s="4" t="s">
        <v>33</v>
      </c>
      <c r="O593" s="4" t="s">
        <v>120</v>
      </c>
      <c r="P593" s="4" t="s">
        <v>74</v>
      </c>
      <c r="Q593" s="4">
        <v>10</v>
      </c>
      <c r="R593" s="4">
        <v>49581</v>
      </c>
      <c r="S593" s="5">
        <v>10</v>
      </c>
      <c r="T593" s="6">
        <f t="shared" si="27"/>
        <v>446229</v>
      </c>
      <c r="U593" s="4">
        <v>60787.199999999997</v>
      </c>
      <c r="V593" t="str">
        <f t="shared" si="28"/>
        <v>Jun</v>
      </c>
      <c r="W593">
        <f t="shared" si="29"/>
        <v>0.13622422567784701</v>
      </c>
    </row>
    <row r="594" spans="1:23" x14ac:dyDescent="0.4">
      <c r="A594" s="4" t="s">
        <v>2024</v>
      </c>
      <c r="B594" s="4" t="s">
        <v>1836</v>
      </c>
      <c r="C594" s="11">
        <v>44641</v>
      </c>
      <c r="D594" s="4" t="s">
        <v>98</v>
      </c>
      <c r="E594" s="4" t="s">
        <v>24</v>
      </c>
      <c r="F594" s="4" t="s">
        <v>40</v>
      </c>
      <c r="G594" s="4" t="s">
        <v>26</v>
      </c>
      <c r="H594" s="4" t="s">
        <v>2025</v>
      </c>
      <c r="I594" s="4" t="s">
        <v>28</v>
      </c>
      <c r="J594" s="4" t="s">
        <v>29</v>
      </c>
      <c r="K594" s="4" t="s">
        <v>86</v>
      </c>
      <c r="L594" s="4" t="s">
        <v>850</v>
      </c>
      <c r="M594" s="4" t="s">
        <v>95</v>
      </c>
      <c r="N594" s="4" t="s">
        <v>33</v>
      </c>
      <c r="O594" s="4" t="s">
        <v>66</v>
      </c>
      <c r="P594" s="4" t="s">
        <v>74</v>
      </c>
      <c r="Q594" s="4">
        <v>5</v>
      </c>
      <c r="R594" s="4">
        <v>8816</v>
      </c>
      <c r="S594" s="5">
        <v>20</v>
      </c>
      <c r="T594" s="6">
        <f t="shared" si="27"/>
        <v>35264</v>
      </c>
      <c r="U594" s="4">
        <v>-323.58999999999997</v>
      </c>
      <c r="V594" t="str">
        <f t="shared" si="28"/>
        <v>Mar</v>
      </c>
      <c r="W594">
        <f t="shared" si="29"/>
        <v>-9.1762137023593451E-3</v>
      </c>
    </row>
    <row r="595" spans="1:23" x14ac:dyDescent="0.4">
      <c r="A595" s="4" t="s">
        <v>2026</v>
      </c>
      <c r="B595" s="4" t="s">
        <v>690</v>
      </c>
      <c r="C595" s="11">
        <v>45225</v>
      </c>
      <c r="D595" s="4" t="s">
        <v>39</v>
      </c>
      <c r="E595" s="4" t="s">
        <v>24</v>
      </c>
      <c r="F595" s="4" t="s">
        <v>58</v>
      </c>
      <c r="G595" s="4" t="s">
        <v>59</v>
      </c>
      <c r="H595" s="4" t="s">
        <v>2028</v>
      </c>
      <c r="I595" s="4" t="s">
        <v>61</v>
      </c>
      <c r="J595" s="4" t="s">
        <v>62</v>
      </c>
      <c r="K595" s="4" t="s">
        <v>30</v>
      </c>
      <c r="L595" s="4" t="s">
        <v>1812</v>
      </c>
      <c r="M595" s="4" t="s">
        <v>32</v>
      </c>
      <c r="N595" s="4" t="s">
        <v>33</v>
      </c>
      <c r="O595" s="4" t="s">
        <v>46</v>
      </c>
      <c r="P595" s="4" t="s">
        <v>35</v>
      </c>
      <c r="Q595" s="4">
        <v>6</v>
      </c>
      <c r="R595" s="4">
        <v>47344</v>
      </c>
      <c r="S595" s="5">
        <v>10</v>
      </c>
      <c r="T595" s="6">
        <f t="shared" si="27"/>
        <v>255657.60000000001</v>
      </c>
      <c r="U595" s="4">
        <v>45014.75</v>
      </c>
      <c r="V595" t="str">
        <f t="shared" si="28"/>
        <v>Oct</v>
      </c>
      <c r="W595">
        <f t="shared" si="29"/>
        <v>0.17607436665289825</v>
      </c>
    </row>
    <row r="596" spans="1:23" x14ac:dyDescent="0.4">
      <c r="A596" s="4" t="s">
        <v>2029</v>
      </c>
      <c r="B596" s="4" t="s">
        <v>1506</v>
      </c>
      <c r="C596" s="11">
        <v>45229</v>
      </c>
      <c r="D596" s="4" t="s">
        <v>124</v>
      </c>
      <c r="E596" s="4" t="s">
        <v>24</v>
      </c>
      <c r="F596" s="4" t="s">
        <v>40</v>
      </c>
      <c r="G596" s="4" t="s">
        <v>92</v>
      </c>
      <c r="H596" s="4" t="s">
        <v>2030</v>
      </c>
      <c r="I596" s="4" t="s">
        <v>61</v>
      </c>
      <c r="J596" s="4" t="s">
        <v>62</v>
      </c>
      <c r="K596" s="4" t="s">
        <v>44</v>
      </c>
      <c r="L596" s="4" t="s">
        <v>441</v>
      </c>
      <c r="M596" s="4" t="s">
        <v>53</v>
      </c>
      <c r="N596" s="4" t="s">
        <v>54</v>
      </c>
      <c r="O596" s="4" t="s">
        <v>66</v>
      </c>
      <c r="P596" s="4" t="s">
        <v>35</v>
      </c>
      <c r="Q596" s="4">
        <v>4</v>
      </c>
      <c r="R596" s="4">
        <v>7290</v>
      </c>
      <c r="S596" s="5">
        <v>5</v>
      </c>
      <c r="T596" s="6">
        <f t="shared" si="27"/>
        <v>27702</v>
      </c>
      <c r="U596" s="4">
        <v>3573.32</v>
      </c>
      <c r="V596" t="str">
        <f t="shared" si="28"/>
        <v>Oct</v>
      </c>
      <c r="W596">
        <f t="shared" si="29"/>
        <v>0.12899140856255867</v>
      </c>
    </row>
    <row r="597" spans="1:23" x14ac:dyDescent="0.4">
      <c r="A597" s="4" t="s">
        <v>2031</v>
      </c>
      <c r="B597" s="4" t="s">
        <v>2032</v>
      </c>
      <c r="C597" s="11">
        <v>44740</v>
      </c>
      <c r="D597" s="4" t="s">
        <v>39</v>
      </c>
      <c r="E597" s="4" t="s">
        <v>24</v>
      </c>
      <c r="F597" s="4" t="s">
        <v>58</v>
      </c>
      <c r="G597" s="4" t="s">
        <v>26</v>
      </c>
      <c r="H597" s="4" t="s">
        <v>2033</v>
      </c>
      <c r="I597" s="4" t="s">
        <v>61</v>
      </c>
      <c r="J597" s="4" t="s">
        <v>29</v>
      </c>
      <c r="K597" s="4" t="s">
        <v>101</v>
      </c>
      <c r="L597" s="4" t="s">
        <v>2034</v>
      </c>
      <c r="M597" s="4" t="s">
        <v>81</v>
      </c>
      <c r="N597" s="4" t="s">
        <v>54</v>
      </c>
      <c r="O597" s="4" t="s">
        <v>66</v>
      </c>
      <c r="P597" s="4" t="s">
        <v>35</v>
      </c>
      <c r="Q597" s="4">
        <v>9</v>
      </c>
      <c r="R597" s="4">
        <v>25579</v>
      </c>
      <c r="S597" s="5">
        <v>0</v>
      </c>
      <c r="T597" s="6">
        <f t="shared" si="27"/>
        <v>230211</v>
      </c>
      <c r="U597" s="4">
        <v>46648.62</v>
      </c>
      <c r="V597" t="str">
        <f t="shared" si="28"/>
        <v>Jun</v>
      </c>
      <c r="W597">
        <f t="shared" si="29"/>
        <v>0.20263419211071584</v>
      </c>
    </row>
    <row r="598" spans="1:23" x14ac:dyDescent="0.4">
      <c r="A598" s="4" t="s">
        <v>2035</v>
      </c>
      <c r="B598" s="4" t="s">
        <v>1228</v>
      </c>
      <c r="C598" s="11">
        <v>44845</v>
      </c>
      <c r="D598" s="4" t="s">
        <v>39</v>
      </c>
      <c r="E598" s="4" t="s">
        <v>24</v>
      </c>
      <c r="F598" s="4" t="s">
        <v>25</v>
      </c>
      <c r="G598" s="4" t="s">
        <v>99</v>
      </c>
      <c r="H598" s="4" t="s">
        <v>2037</v>
      </c>
      <c r="I598" s="4" t="s">
        <v>43</v>
      </c>
      <c r="J598" s="4" t="s">
        <v>29</v>
      </c>
      <c r="K598" s="4" t="s">
        <v>44</v>
      </c>
      <c r="L598" s="4" t="s">
        <v>311</v>
      </c>
      <c r="M598" s="4" t="s">
        <v>73</v>
      </c>
      <c r="N598" s="4" t="s">
        <v>54</v>
      </c>
      <c r="O598" s="4" t="s">
        <v>82</v>
      </c>
      <c r="P598" s="4" t="s">
        <v>35</v>
      </c>
      <c r="Q598" s="4">
        <v>4</v>
      </c>
      <c r="R598" s="4">
        <v>34501</v>
      </c>
      <c r="S598" s="5">
        <v>0</v>
      </c>
      <c r="T598" s="6">
        <f t="shared" si="27"/>
        <v>138004</v>
      </c>
      <c r="U598" s="4">
        <v>23496.53</v>
      </c>
      <c r="V598" t="str">
        <f t="shared" si="28"/>
        <v>Oct</v>
      </c>
      <c r="W598">
        <f t="shared" si="29"/>
        <v>0.17025977507898321</v>
      </c>
    </row>
    <row r="599" spans="1:23" x14ac:dyDescent="0.4">
      <c r="A599" s="4" t="s">
        <v>2038</v>
      </c>
      <c r="B599" s="4" t="s">
        <v>2039</v>
      </c>
      <c r="C599" s="11">
        <v>44713</v>
      </c>
      <c r="D599" s="4" t="s">
        <v>23</v>
      </c>
      <c r="E599" s="4" t="s">
        <v>24</v>
      </c>
      <c r="F599" s="4" t="s">
        <v>25</v>
      </c>
      <c r="G599" s="4" t="s">
        <v>59</v>
      </c>
      <c r="H599" s="4" t="s">
        <v>2040</v>
      </c>
      <c r="I599" s="4" t="s">
        <v>28</v>
      </c>
      <c r="J599" s="4" t="s">
        <v>29</v>
      </c>
      <c r="K599" s="4" t="s">
        <v>30</v>
      </c>
      <c r="L599" s="4" t="s">
        <v>282</v>
      </c>
      <c r="M599" s="4" t="s">
        <v>53</v>
      </c>
      <c r="N599" s="4" t="s">
        <v>33</v>
      </c>
      <c r="O599" s="4" t="s">
        <v>82</v>
      </c>
      <c r="P599" s="4" t="s">
        <v>35</v>
      </c>
      <c r="Q599" s="4">
        <v>8</v>
      </c>
      <c r="R599" s="4">
        <v>23472</v>
      </c>
      <c r="S599" s="5">
        <v>5</v>
      </c>
      <c r="T599" s="6">
        <f t="shared" si="27"/>
        <v>178387.20000000001</v>
      </c>
      <c r="U599" s="4">
        <v>44504.99</v>
      </c>
      <c r="V599" t="str">
        <f t="shared" si="28"/>
        <v>May</v>
      </c>
      <c r="W599">
        <f t="shared" si="29"/>
        <v>0.24948533302837869</v>
      </c>
    </row>
    <row r="600" spans="1:23" x14ac:dyDescent="0.4">
      <c r="A600" s="4" t="s">
        <v>2041</v>
      </c>
      <c r="B600" s="4" t="s">
        <v>547</v>
      </c>
      <c r="C600" s="11">
        <v>45391</v>
      </c>
      <c r="D600" s="4" t="s">
        <v>98</v>
      </c>
      <c r="E600" s="4" t="s">
        <v>24</v>
      </c>
      <c r="F600" s="4" t="s">
        <v>26</v>
      </c>
      <c r="G600" s="4" t="s">
        <v>26</v>
      </c>
      <c r="H600" s="4" t="s">
        <v>2042</v>
      </c>
      <c r="I600" s="4" t="s">
        <v>43</v>
      </c>
      <c r="J600" s="4" t="s">
        <v>29</v>
      </c>
      <c r="K600" s="4" t="s">
        <v>101</v>
      </c>
      <c r="L600" s="4" t="s">
        <v>190</v>
      </c>
      <c r="M600" s="4" t="s">
        <v>81</v>
      </c>
      <c r="N600" s="4" t="s">
        <v>33</v>
      </c>
      <c r="O600" s="4" t="s">
        <v>34</v>
      </c>
      <c r="P600" s="4" t="s">
        <v>74</v>
      </c>
      <c r="Q600" s="4">
        <v>4</v>
      </c>
      <c r="R600" s="4">
        <v>45555</v>
      </c>
      <c r="S600" s="5">
        <v>0</v>
      </c>
      <c r="T600" s="6">
        <f t="shared" si="27"/>
        <v>182220</v>
      </c>
      <c r="U600" s="4">
        <v>34607.519999999997</v>
      </c>
      <c r="V600" t="str">
        <f t="shared" si="28"/>
        <v>Apr</v>
      </c>
      <c r="W600">
        <f t="shared" si="29"/>
        <v>0.18992163319064864</v>
      </c>
    </row>
    <row r="601" spans="1:23" x14ac:dyDescent="0.4">
      <c r="A601" s="4" t="s">
        <v>2043</v>
      </c>
      <c r="B601" s="4" t="s">
        <v>2044</v>
      </c>
      <c r="C601" s="11">
        <v>45055</v>
      </c>
      <c r="D601" s="4" t="s">
        <v>23</v>
      </c>
      <c r="E601" s="4" t="s">
        <v>24</v>
      </c>
      <c r="F601" s="4" t="s">
        <v>25</v>
      </c>
      <c r="G601" s="4" t="s">
        <v>59</v>
      </c>
      <c r="H601" s="4" t="s">
        <v>2046</v>
      </c>
      <c r="I601" s="4" t="s">
        <v>43</v>
      </c>
      <c r="J601" s="4" t="s">
        <v>62</v>
      </c>
      <c r="K601" s="4" t="s">
        <v>153</v>
      </c>
      <c r="L601" s="4" t="s">
        <v>583</v>
      </c>
      <c r="M601" s="4" t="s">
        <v>53</v>
      </c>
      <c r="N601" s="4" t="s">
        <v>33</v>
      </c>
      <c r="O601" s="4" t="s">
        <v>66</v>
      </c>
      <c r="P601" s="4" t="s">
        <v>47</v>
      </c>
      <c r="Q601" s="4">
        <v>7</v>
      </c>
      <c r="R601" s="4">
        <v>49461</v>
      </c>
      <c r="S601" s="5">
        <v>15</v>
      </c>
      <c r="T601" s="6">
        <f t="shared" si="27"/>
        <v>294292.95</v>
      </c>
      <c r="U601" s="4">
        <v>30663.46</v>
      </c>
      <c r="V601" t="str">
        <f t="shared" si="28"/>
        <v>May</v>
      </c>
      <c r="W601">
        <f t="shared" si="29"/>
        <v>0.10419366145196478</v>
      </c>
    </row>
    <row r="602" spans="1:23" x14ac:dyDescent="0.4">
      <c r="A602" s="4" t="s">
        <v>2047</v>
      </c>
      <c r="B602" s="4" t="s">
        <v>2048</v>
      </c>
      <c r="C602" s="11">
        <v>45110</v>
      </c>
      <c r="D602" s="4" t="s">
        <v>98</v>
      </c>
      <c r="E602" s="4" t="s">
        <v>24</v>
      </c>
      <c r="F602" s="4" t="s">
        <v>26</v>
      </c>
      <c r="G602" s="4" t="s">
        <v>59</v>
      </c>
      <c r="H602" s="4" t="s">
        <v>2049</v>
      </c>
      <c r="I602" s="4" t="s">
        <v>61</v>
      </c>
      <c r="J602" s="4" t="s">
        <v>79</v>
      </c>
      <c r="K602" s="4" t="s">
        <v>86</v>
      </c>
      <c r="L602" s="4" t="s">
        <v>622</v>
      </c>
      <c r="M602" s="4" t="s">
        <v>32</v>
      </c>
      <c r="N602" s="4" t="s">
        <v>54</v>
      </c>
      <c r="O602" s="4" t="s">
        <v>66</v>
      </c>
      <c r="P602" s="4" t="s">
        <v>35</v>
      </c>
      <c r="Q602" s="4">
        <v>4</v>
      </c>
      <c r="R602" s="4">
        <v>34073</v>
      </c>
      <c r="S602" s="5">
        <v>15</v>
      </c>
      <c r="T602" s="6">
        <f t="shared" si="27"/>
        <v>115848.2</v>
      </c>
      <c r="U602" s="4">
        <v>8518.98</v>
      </c>
      <c r="V602" t="str">
        <f t="shared" si="28"/>
        <v>Jun</v>
      </c>
      <c r="W602">
        <f t="shared" si="29"/>
        <v>7.3535713114230516E-2</v>
      </c>
    </row>
    <row r="603" spans="1:23" x14ac:dyDescent="0.4">
      <c r="A603" s="4" t="s">
        <v>2050</v>
      </c>
      <c r="B603" s="4" t="s">
        <v>1530</v>
      </c>
      <c r="C603" s="11">
        <v>44724</v>
      </c>
      <c r="D603" s="4" t="s">
        <v>23</v>
      </c>
      <c r="E603" s="4" t="s">
        <v>24</v>
      </c>
      <c r="F603" s="4" t="s">
        <v>40</v>
      </c>
      <c r="G603" s="4" t="s">
        <v>92</v>
      </c>
      <c r="H603" s="4" t="s">
        <v>2052</v>
      </c>
      <c r="I603" s="4" t="s">
        <v>28</v>
      </c>
      <c r="J603" s="4" t="s">
        <v>79</v>
      </c>
      <c r="K603" s="4" t="s">
        <v>63</v>
      </c>
      <c r="L603" s="4" t="s">
        <v>418</v>
      </c>
      <c r="M603" s="4" t="s">
        <v>53</v>
      </c>
      <c r="N603" s="4" t="s">
        <v>54</v>
      </c>
      <c r="O603" s="4" t="s">
        <v>66</v>
      </c>
      <c r="P603" s="4" t="s">
        <v>47</v>
      </c>
      <c r="Q603" s="4">
        <v>7</v>
      </c>
      <c r="R603" s="4">
        <v>43066</v>
      </c>
      <c r="S603" s="5">
        <v>15</v>
      </c>
      <c r="T603" s="6">
        <f t="shared" si="27"/>
        <v>256242.7</v>
      </c>
      <c r="U603" s="4">
        <v>-2165.54</v>
      </c>
      <c r="V603" t="str">
        <f t="shared" si="28"/>
        <v>Jun</v>
      </c>
      <c r="W603">
        <f t="shared" si="29"/>
        <v>-8.4511285589794361E-3</v>
      </c>
    </row>
    <row r="604" spans="1:23" x14ac:dyDescent="0.4">
      <c r="A604" s="4" t="s">
        <v>2053</v>
      </c>
      <c r="B604" s="4" t="s">
        <v>1579</v>
      </c>
      <c r="C604" s="11">
        <v>44989</v>
      </c>
      <c r="D604" s="4" t="s">
        <v>39</v>
      </c>
      <c r="E604" s="4" t="s">
        <v>24</v>
      </c>
      <c r="F604" s="4" t="s">
        <v>25</v>
      </c>
      <c r="G604" s="4" t="s">
        <v>41</v>
      </c>
      <c r="H604" s="4" t="s">
        <v>2055</v>
      </c>
      <c r="I604" s="4" t="s">
        <v>43</v>
      </c>
      <c r="J604" s="4" t="s">
        <v>79</v>
      </c>
      <c r="K604" s="4" t="s">
        <v>63</v>
      </c>
      <c r="L604" s="4" t="s">
        <v>559</v>
      </c>
      <c r="M604" s="4" t="s">
        <v>95</v>
      </c>
      <c r="N604" s="4" t="s">
        <v>54</v>
      </c>
      <c r="O604" s="4" t="s">
        <v>82</v>
      </c>
      <c r="P604" s="4" t="s">
        <v>74</v>
      </c>
      <c r="Q604" s="4">
        <v>6</v>
      </c>
      <c r="R604" s="4">
        <v>4199</v>
      </c>
      <c r="S604" s="5">
        <v>0</v>
      </c>
      <c r="T604" s="6">
        <f t="shared" si="27"/>
        <v>25194</v>
      </c>
      <c r="U604" s="4">
        <v>1974.94</v>
      </c>
      <c r="V604" t="str">
        <f t="shared" si="28"/>
        <v>Feb</v>
      </c>
      <c r="W604">
        <f t="shared" si="29"/>
        <v>7.8389299039453839E-2</v>
      </c>
    </row>
    <row r="605" spans="1:23" x14ac:dyDescent="0.4">
      <c r="A605" s="4" t="s">
        <v>2056</v>
      </c>
      <c r="B605" s="4" t="s">
        <v>1194</v>
      </c>
      <c r="C605" s="11">
        <v>44634</v>
      </c>
      <c r="D605" s="4" t="s">
        <v>98</v>
      </c>
      <c r="E605" s="4" t="s">
        <v>24</v>
      </c>
      <c r="F605" s="4" t="s">
        <v>40</v>
      </c>
      <c r="G605" s="4" t="s">
        <v>26</v>
      </c>
      <c r="H605" s="4" t="s">
        <v>1085</v>
      </c>
      <c r="I605" s="4" t="s">
        <v>43</v>
      </c>
      <c r="J605" s="4" t="s">
        <v>79</v>
      </c>
      <c r="K605" s="4" t="s">
        <v>101</v>
      </c>
      <c r="L605" s="4" t="s">
        <v>2057</v>
      </c>
      <c r="M605" s="4" t="s">
        <v>53</v>
      </c>
      <c r="N605" s="4" t="s">
        <v>54</v>
      </c>
      <c r="O605" s="4" t="s">
        <v>66</v>
      </c>
      <c r="P605" s="4" t="s">
        <v>74</v>
      </c>
      <c r="Q605" s="4">
        <v>5</v>
      </c>
      <c r="R605" s="4">
        <v>28604</v>
      </c>
      <c r="S605" s="5">
        <v>10</v>
      </c>
      <c r="T605" s="6">
        <f t="shared" si="27"/>
        <v>128718</v>
      </c>
      <c r="U605" s="4">
        <v>22176.98</v>
      </c>
      <c r="V605" t="str">
        <f t="shared" si="28"/>
        <v>Mar</v>
      </c>
      <c r="W605">
        <f t="shared" si="29"/>
        <v>0.17229121024254571</v>
      </c>
    </row>
    <row r="606" spans="1:23" x14ac:dyDescent="0.4">
      <c r="A606" s="4" t="s">
        <v>2058</v>
      </c>
      <c r="B606" s="4" t="s">
        <v>2059</v>
      </c>
      <c r="C606" s="11">
        <v>45277</v>
      </c>
      <c r="D606" s="4" t="s">
        <v>23</v>
      </c>
      <c r="E606" s="4" t="s">
        <v>24</v>
      </c>
      <c r="F606" s="4" t="s">
        <v>26</v>
      </c>
      <c r="G606" s="4" t="s">
        <v>26</v>
      </c>
      <c r="H606" s="4" t="s">
        <v>2060</v>
      </c>
      <c r="I606" s="4" t="s">
        <v>28</v>
      </c>
      <c r="J606" s="4" t="s">
        <v>79</v>
      </c>
      <c r="K606" s="4" t="s">
        <v>30</v>
      </c>
      <c r="L606" s="4" t="s">
        <v>610</v>
      </c>
      <c r="M606" s="4" t="s">
        <v>81</v>
      </c>
      <c r="N606" s="4" t="s">
        <v>33</v>
      </c>
      <c r="O606" s="4" t="s">
        <v>82</v>
      </c>
      <c r="P606" s="4" t="s">
        <v>35</v>
      </c>
      <c r="Q606" s="4">
        <v>5</v>
      </c>
      <c r="R606" s="4">
        <v>47346</v>
      </c>
      <c r="S606" s="5">
        <v>20</v>
      </c>
      <c r="T606" s="6">
        <f t="shared" si="27"/>
        <v>189384</v>
      </c>
      <c r="U606" s="4">
        <v>8200.5499999999993</v>
      </c>
      <c r="V606" t="str">
        <f t="shared" si="28"/>
        <v>Dec</v>
      </c>
      <c r="W606">
        <f t="shared" si="29"/>
        <v>4.3301176445739865E-2</v>
      </c>
    </row>
    <row r="607" spans="1:23" x14ac:dyDescent="0.4">
      <c r="A607" s="4" t="s">
        <v>2061</v>
      </c>
      <c r="B607" s="4" t="s">
        <v>1237</v>
      </c>
      <c r="C607" s="11">
        <v>44742</v>
      </c>
      <c r="D607" s="4" t="s">
        <v>23</v>
      </c>
      <c r="E607" s="4" t="s">
        <v>24</v>
      </c>
      <c r="F607" s="4" t="s">
        <v>40</v>
      </c>
      <c r="G607" s="4" t="s">
        <v>41</v>
      </c>
      <c r="H607" s="4" t="s">
        <v>2062</v>
      </c>
      <c r="I607" s="4" t="s">
        <v>28</v>
      </c>
      <c r="J607" s="4" t="s">
        <v>29</v>
      </c>
      <c r="K607" s="4" t="s">
        <v>101</v>
      </c>
      <c r="L607" s="4" t="s">
        <v>2057</v>
      </c>
      <c r="M607" s="4" t="s">
        <v>53</v>
      </c>
      <c r="N607" s="4" t="s">
        <v>54</v>
      </c>
      <c r="O607" s="4" t="s">
        <v>120</v>
      </c>
      <c r="P607" s="4" t="s">
        <v>74</v>
      </c>
      <c r="Q607" s="4">
        <v>5</v>
      </c>
      <c r="R607" s="4">
        <v>5358</v>
      </c>
      <c r="S607" s="5">
        <v>15</v>
      </c>
      <c r="T607" s="6">
        <f t="shared" si="27"/>
        <v>22771.5</v>
      </c>
      <c r="U607" s="4">
        <v>1965.06</v>
      </c>
      <c r="V607" t="str">
        <f t="shared" si="28"/>
        <v>Jun</v>
      </c>
      <c r="W607">
        <f t="shared" si="29"/>
        <v>8.6294710493379875E-2</v>
      </c>
    </row>
    <row r="608" spans="1:23" x14ac:dyDescent="0.4">
      <c r="A608" s="4" t="s">
        <v>2063</v>
      </c>
      <c r="B608" s="4" t="s">
        <v>2064</v>
      </c>
      <c r="C608" s="11">
        <v>45204</v>
      </c>
      <c r="D608" s="4" t="s">
        <v>124</v>
      </c>
      <c r="E608" s="4" t="s">
        <v>24</v>
      </c>
      <c r="F608" s="4" t="s">
        <v>26</v>
      </c>
      <c r="G608" s="4" t="s">
        <v>59</v>
      </c>
      <c r="H608" s="4" t="s">
        <v>2065</v>
      </c>
      <c r="I608" s="4" t="s">
        <v>43</v>
      </c>
      <c r="J608" s="4" t="s">
        <v>62</v>
      </c>
      <c r="K608" s="4" t="s">
        <v>86</v>
      </c>
      <c r="L608" s="4" t="s">
        <v>666</v>
      </c>
      <c r="M608" s="4" t="s">
        <v>32</v>
      </c>
      <c r="N608" s="4" t="s">
        <v>54</v>
      </c>
      <c r="O608" s="4" t="s">
        <v>66</v>
      </c>
      <c r="P608" s="4" t="s">
        <v>35</v>
      </c>
      <c r="Q608" s="4">
        <v>2</v>
      </c>
      <c r="R608" s="4">
        <v>20406</v>
      </c>
      <c r="S608" s="5">
        <v>10</v>
      </c>
      <c r="T608" s="6">
        <f t="shared" si="27"/>
        <v>36730.800000000003</v>
      </c>
      <c r="U608" s="4">
        <v>5338.53</v>
      </c>
      <c r="V608" t="str">
        <f t="shared" si="28"/>
        <v>Oct</v>
      </c>
      <c r="W608">
        <f t="shared" si="29"/>
        <v>0.14534205625796331</v>
      </c>
    </row>
    <row r="609" spans="1:23" x14ac:dyDescent="0.4">
      <c r="A609" s="4" t="s">
        <v>2066</v>
      </c>
      <c r="B609" s="4" t="s">
        <v>129</v>
      </c>
      <c r="C609" s="11">
        <v>44646</v>
      </c>
      <c r="D609" s="4" t="s">
        <v>124</v>
      </c>
      <c r="E609" s="4" t="s">
        <v>24</v>
      </c>
      <c r="F609" s="4" t="s">
        <v>26</v>
      </c>
      <c r="G609" s="4" t="s">
        <v>41</v>
      </c>
      <c r="H609" s="4" t="s">
        <v>2067</v>
      </c>
      <c r="I609" s="4" t="s">
        <v>28</v>
      </c>
      <c r="J609" s="4" t="s">
        <v>29</v>
      </c>
      <c r="K609" s="4" t="s">
        <v>86</v>
      </c>
      <c r="L609" s="4" t="s">
        <v>960</v>
      </c>
      <c r="M609" s="4" t="s">
        <v>53</v>
      </c>
      <c r="N609" s="4" t="s">
        <v>54</v>
      </c>
      <c r="O609" s="4" t="s">
        <v>120</v>
      </c>
      <c r="P609" s="4" t="s">
        <v>88</v>
      </c>
      <c r="Q609" s="4">
        <v>2</v>
      </c>
      <c r="R609" s="4">
        <v>26012</v>
      </c>
      <c r="S609" s="5">
        <v>10</v>
      </c>
      <c r="T609" s="6">
        <f t="shared" si="27"/>
        <v>46821.599999999999</v>
      </c>
      <c r="U609" s="4">
        <v>5240.54</v>
      </c>
      <c r="V609" t="str">
        <f t="shared" si="28"/>
        <v>Mar</v>
      </c>
      <c r="W609">
        <f t="shared" si="29"/>
        <v>0.11192569241546636</v>
      </c>
    </row>
    <row r="610" spans="1:23" x14ac:dyDescent="0.4">
      <c r="A610" s="4" t="s">
        <v>2068</v>
      </c>
      <c r="B610" s="4" t="s">
        <v>2069</v>
      </c>
      <c r="C610" s="11">
        <v>45034</v>
      </c>
      <c r="D610" s="4" t="s">
        <v>39</v>
      </c>
      <c r="E610" s="4" t="s">
        <v>24</v>
      </c>
      <c r="F610" s="4" t="s">
        <v>40</v>
      </c>
      <c r="G610" s="4" t="s">
        <v>26</v>
      </c>
      <c r="H610" s="4" t="s">
        <v>2070</v>
      </c>
      <c r="I610" s="4" t="s">
        <v>61</v>
      </c>
      <c r="J610" s="4" t="s">
        <v>79</v>
      </c>
      <c r="K610" s="4" t="s">
        <v>44</v>
      </c>
      <c r="L610" s="4" t="s">
        <v>423</v>
      </c>
      <c r="M610" s="4" t="s">
        <v>65</v>
      </c>
      <c r="N610" s="4" t="s">
        <v>33</v>
      </c>
      <c r="O610" s="4" t="s">
        <v>66</v>
      </c>
      <c r="P610" s="4" t="s">
        <v>47</v>
      </c>
      <c r="Q610" s="4">
        <v>6</v>
      </c>
      <c r="R610" s="4">
        <v>7755</v>
      </c>
      <c r="S610" s="5">
        <v>5</v>
      </c>
      <c r="T610" s="6">
        <f t="shared" si="27"/>
        <v>44203.5</v>
      </c>
      <c r="U610" s="4">
        <v>2357.13</v>
      </c>
      <c r="V610" t="str">
        <f t="shared" si="28"/>
        <v>Apr</v>
      </c>
      <c r="W610">
        <f t="shared" si="29"/>
        <v>5.3324510502562018E-2</v>
      </c>
    </row>
    <row r="611" spans="1:23" x14ac:dyDescent="0.4">
      <c r="A611" s="4" t="s">
        <v>2071</v>
      </c>
      <c r="B611" s="4" t="s">
        <v>1755</v>
      </c>
      <c r="C611" s="11">
        <v>45183</v>
      </c>
      <c r="D611" s="4" t="s">
        <v>39</v>
      </c>
      <c r="E611" s="4" t="s">
        <v>24</v>
      </c>
      <c r="F611" s="4" t="s">
        <v>25</v>
      </c>
      <c r="G611" s="4" t="s">
        <v>41</v>
      </c>
      <c r="H611" s="4" t="s">
        <v>2073</v>
      </c>
      <c r="I611" s="4" t="s">
        <v>28</v>
      </c>
      <c r="J611" s="4" t="s">
        <v>79</v>
      </c>
      <c r="K611" s="4" t="s">
        <v>86</v>
      </c>
      <c r="L611" s="4" t="s">
        <v>960</v>
      </c>
      <c r="M611" s="4" t="s">
        <v>95</v>
      </c>
      <c r="N611" s="4" t="s">
        <v>33</v>
      </c>
      <c r="O611" s="4" t="s">
        <v>66</v>
      </c>
      <c r="P611" s="4" t="s">
        <v>74</v>
      </c>
      <c r="Q611" s="4">
        <v>2</v>
      </c>
      <c r="R611" s="4">
        <v>2743</v>
      </c>
      <c r="S611" s="5">
        <v>10</v>
      </c>
      <c r="T611" s="6">
        <f t="shared" si="27"/>
        <v>4937.3999999999996</v>
      </c>
      <c r="U611" s="4">
        <v>881.76</v>
      </c>
      <c r="V611" t="str">
        <f t="shared" si="28"/>
        <v>Sep</v>
      </c>
      <c r="W611">
        <f t="shared" si="29"/>
        <v>0.17858792076801558</v>
      </c>
    </row>
    <row r="612" spans="1:23" x14ac:dyDescent="0.4">
      <c r="A612" s="4" t="s">
        <v>2074</v>
      </c>
      <c r="B612" s="4" t="s">
        <v>478</v>
      </c>
      <c r="C612" s="11">
        <v>45015</v>
      </c>
      <c r="D612" s="4" t="s">
        <v>23</v>
      </c>
      <c r="E612" s="4" t="s">
        <v>24</v>
      </c>
      <c r="F612" s="4" t="s">
        <v>26</v>
      </c>
      <c r="G612" s="4" t="s">
        <v>92</v>
      </c>
      <c r="H612" s="4" t="s">
        <v>2075</v>
      </c>
      <c r="I612" s="4" t="s">
        <v>61</v>
      </c>
      <c r="J612" s="4" t="s">
        <v>62</v>
      </c>
      <c r="K612" s="4" t="s">
        <v>86</v>
      </c>
      <c r="L612" s="4" t="s">
        <v>301</v>
      </c>
      <c r="M612" s="4" t="s">
        <v>65</v>
      </c>
      <c r="N612" s="4" t="s">
        <v>54</v>
      </c>
      <c r="O612" s="4" t="s">
        <v>120</v>
      </c>
      <c r="P612" s="4" t="s">
        <v>35</v>
      </c>
      <c r="Q612" s="4">
        <v>10</v>
      </c>
      <c r="R612" s="4">
        <v>3494</v>
      </c>
      <c r="S612" s="5">
        <v>20</v>
      </c>
      <c r="T612" s="6">
        <f t="shared" si="27"/>
        <v>27952</v>
      </c>
      <c r="U612" s="4">
        <v>2441.09</v>
      </c>
      <c r="V612" t="str">
        <f t="shared" si="28"/>
        <v>Mar</v>
      </c>
      <c r="W612">
        <f t="shared" si="29"/>
        <v>8.7331496851745849E-2</v>
      </c>
    </row>
    <row r="613" spans="1:23" x14ac:dyDescent="0.4">
      <c r="A613" s="4" t="s">
        <v>2076</v>
      </c>
      <c r="B613" s="4" t="s">
        <v>2077</v>
      </c>
      <c r="C613" s="11">
        <v>45505</v>
      </c>
      <c r="D613" s="4" t="s">
        <v>98</v>
      </c>
      <c r="E613" s="4" t="s">
        <v>24</v>
      </c>
      <c r="F613" s="4" t="s">
        <v>58</v>
      </c>
      <c r="G613" s="4" t="s">
        <v>26</v>
      </c>
      <c r="H613" s="4" t="s">
        <v>2025</v>
      </c>
      <c r="I613" s="4" t="s">
        <v>28</v>
      </c>
      <c r="J613" s="4" t="s">
        <v>62</v>
      </c>
      <c r="K613" s="4" t="s">
        <v>86</v>
      </c>
      <c r="L613" s="4" t="s">
        <v>472</v>
      </c>
      <c r="M613" s="4" t="s">
        <v>32</v>
      </c>
      <c r="N613" s="4" t="s">
        <v>33</v>
      </c>
      <c r="O613" s="4" t="s">
        <v>120</v>
      </c>
      <c r="P613" s="4" t="s">
        <v>88</v>
      </c>
      <c r="Q613" s="4">
        <v>1</v>
      </c>
      <c r="R613" s="4">
        <v>20748</v>
      </c>
      <c r="S613" s="5">
        <v>10</v>
      </c>
      <c r="T613" s="6">
        <f t="shared" si="27"/>
        <v>18673.2</v>
      </c>
      <c r="U613" s="4">
        <v>1224.6400000000001</v>
      </c>
      <c r="V613" t="str">
        <f t="shared" si="28"/>
        <v>Jul</v>
      </c>
      <c r="W613">
        <f t="shared" si="29"/>
        <v>6.5582760319602432E-2</v>
      </c>
    </row>
    <row r="614" spans="1:23" x14ac:dyDescent="0.4">
      <c r="A614" s="4" t="s">
        <v>2079</v>
      </c>
      <c r="B614" s="4" t="s">
        <v>1527</v>
      </c>
      <c r="C614" s="11">
        <v>44882</v>
      </c>
      <c r="D614" s="4" t="s">
        <v>98</v>
      </c>
      <c r="E614" s="4" t="s">
        <v>24</v>
      </c>
      <c r="F614" s="4" t="s">
        <v>70</v>
      </c>
      <c r="G614" s="4" t="s">
        <v>59</v>
      </c>
      <c r="H614" s="4" t="s">
        <v>2081</v>
      </c>
      <c r="I614" s="4" t="s">
        <v>43</v>
      </c>
      <c r="J614" s="4" t="s">
        <v>79</v>
      </c>
      <c r="K614" s="4" t="s">
        <v>153</v>
      </c>
      <c r="L614" s="4" t="s">
        <v>956</v>
      </c>
      <c r="M614" s="4" t="s">
        <v>73</v>
      </c>
      <c r="N614" s="4" t="s">
        <v>54</v>
      </c>
      <c r="O614" s="4" t="s">
        <v>46</v>
      </c>
      <c r="P614" s="4" t="s">
        <v>74</v>
      </c>
      <c r="Q614" s="4">
        <v>2</v>
      </c>
      <c r="R614" s="4">
        <v>38964</v>
      </c>
      <c r="S614" s="5">
        <v>0</v>
      </c>
      <c r="T614" s="6">
        <f t="shared" si="27"/>
        <v>77928</v>
      </c>
      <c r="U614" s="4">
        <v>16977.2</v>
      </c>
      <c r="V614" t="str">
        <f t="shared" si="28"/>
        <v>Nov</v>
      </c>
      <c r="W614">
        <f t="shared" si="29"/>
        <v>0.21785750949594498</v>
      </c>
    </row>
    <row r="615" spans="1:23" x14ac:dyDescent="0.4">
      <c r="A615" s="4" t="s">
        <v>2082</v>
      </c>
      <c r="B615" s="4" t="s">
        <v>1664</v>
      </c>
      <c r="C615" s="11">
        <v>44958</v>
      </c>
      <c r="D615" s="4" t="s">
        <v>98</v>
      </c>
      <c r="E615" s="4" t="s">
        <v>24</v>
      </c>
      <c r="F615" s="4" t="s">
        <v>26</v>
      </c>
      <c r="G615" s="4" t="s">
        <v>26</v>
      </c>
      <c r="H615" s="4" t="s">
        <v>2083</v>
      </c>
      <c r="I615" s="4" t="s">
        <v>43</v>
      </c>
      <c r="J615" s="4" t="s">
        <v>62</v>
      </c>
      <c r="K615" s="4" t="s">
        <v>63</v>
      </c>
      <c r="L615" s="4" t="s">
        <v>2084</v>
      </c>
      <c r="M615" s="4" t="s">
        <v>95</v>
      </c>
      <c r="N615" s="4" t="s">
        <v>54</v>
      </c>
      <c r="O615" s="4" t="s">
        <v>46</v>
      </c>
      <c r="P615" s="4" t="s">
        <v>47</v>
      </c>
      <c r="Q615" s="4">
        <v>7</v>
      </c>
      <c r="R615" s="4">
        <v>45909</v>
      </c>
      <c r="S615" s="5">
        <v>15</v>
      </c>
      <c r="T615" s="6">
        <f t="shared" si="27"/>
        <v>273158.55</v>
      </c>
      <c r="U615" s="4">
        <v>40042.47</v>
      </c>
      <c r="V615" t="str">
        <f t="shared" si="28"/>
        <v>Jan</v>
      </c>
      <c r="W615">
        <f t="shared" si="29"/>
        <v>0.14659057898791747</v>
      </c>
    </row>
    <row r="616" spans="1:23" x14ac:dyDescent="0.4">
      <c r="A616" s="4" t="s">
        <v>2085</v>
      </c>
      <c r="B616" s="4" t="s">
        <v>659</v>
      </c>
      <c r="C616" s="11">
        <v>44740</v>
      </c>
      <c r="D616" s="4" t="s">
        <v>39</v>
      </c>
      <c r="E616" s="4" t="s">
        <v>24</v>
      </c>
      <c r="F616" s="4" t="s">
        <v>26</v>
      </c>
      <c r="G616" s="4" t="s">
        <v>99</v>
      </c>
      <c r="H616" s="4" t="s">
        <v>2086</v>
      </c>
      <c r="I616" s="4" t="s">
        <v>28</v>
      </c>
      <c r="J616" s="4" t="s">
        <v>62</v>
      </c>
      <c r="K616" s="4" t="s">
        <v>153</v>
      </c>
      <c r="L616" s="4" t="s">
        <v>1777</v>
      </c>
      <c r="M616" s="4" t="s">
        <v>65</v>
      </c>
      <c r="N616" s="4" t="s">
        <v>54</v>
      </c>
      <c r="O616" s="4" t="s">
        <v>46</v>
      </c>
      <c r="P616" s="4" t="s">
        <v>74</v>
      </c>
      <c r="Q616" s="4">
        <v>8</v>
      </c>
      <c r="R616" s="4">
        <v>21910</v>
      </c>
      <c r="S616" s="5">
        <v>5</v>
      </c>
      <c r="T616" s="6">
        <f t="shared" si="27"/>
        <v>166516</v>
      </c>
      <c r="U616" s="4">
        <v>10699.32</v>
      </c>
      <c r="V616" t="str">
        <f t="shared" si="28"/>
        <v>Jun</v>
      </c>
      <c r="W616">
        <f t="shared" si="29"/>
        <v>6.4254005621081453E-2</v>
      </c>
    </row>
    <row r="617" spans="1:23" x14ac:dyDescent="0.4">
      <c r="A617" s="4" t="s">
        <v>2087</v>
      </c>
      <c r="B617" s="4" t="s">
        <v>178</v>
      </c>
      <c r="C617" s="11">
        <v>44662</v>
      </c>
      <c r="D617" s="4" t="s">
        <v>23</v>
      </c>
      <c r="E617" s="4" t="s">
        <v>24</v>
      </c>
      <c r="F617" s="4" t="s">
        <v>40</v>
      </c>
      <c r="G617" s="4" t="s">
        <v>92</v>
      </c>
      <c r="H617" s="4" t="s">
        <v>2088</v>
      </c>
      <c r="I617" s="4" t="s">
        <v>28</v>
      </c>
      <c r="J617" s="4" t="s">
        <v>79</v>
      </c>
      <c r="K617" s="4" t="s">
        <v>101</v>
      </c>
      <c r="L617" s="4" t="s">
        <v>805</v>
      </c>
      <c r="M617" s="4" t="s">
        <v>73</v>
      </c>
      <c r="N617" s="4" t="s">
        <v>33</v>
      </c>
      <c r="O617" s="4" t="s">
        <v>120</v>
      </c>
      <c r="P617" s="4" t="s">
        <v>74</v>
      </c>
      <c r="Q617" s="4">
        <v>1</v>
      </c>
      <c r="R617" s="4">
        <v>36661</v>
      </c>
      <c r="S617" s="5">
        <v>20</v>
      </c>
      <c r="T617" s="6">
        <f t="shared" si="27"/>
        <v>29328.799999999999</v>
      </c>
      <c r="U617" s="4">
        <v>-4139.54</v>
      </c>
      <c r="V617" t="str">
        <f t="shared" si="28"/>
        <v>Apr</v>
      </c>
      <c r="W617">
        <f t="shared" si="29"/>
        <v>-0.14114249474918852</v>
      </c>
    </row>
    <row r="618" spans="1:23" x14ac:dyDescent="0.4">
      <c r="A618" s="4" t="s">
        <v>2089</v>
      </c>
      <c r="B618" s="4" t="s">
        <v>1880</v>
      </c>
      <c r="C618" s="11">
        <v>45324</v>
      </c>
      <c r="D618" s="4" t="s">
        <v>23</v>
      </c>
      <c r="E618" s="4" t="s">
        <v>24</v>
      </c>
      <c r="F618" s="4" t="s">
        <v>40</v>
      </c>
      <c r="G618" s="4" t="s">
        <v>99</v>
      </c>
      <c r="H618" s="4" t="s">
        <v>2090</v>
      </c>
      <c r="I618" s="4" t="s">
        <v>43</v>
      </c>
      <c r="J618" s="4" t="s">
        <v>79</v>
      </c>
      <c r="K618" s="4" t="s">
        <v>30</v>
      </c>
      <c r="L618" s="4" t="s">
        <v>889</v>
      </c>
      <c r="M618" s="4" t="s">
        <v>73</v>
      </c>
      <c r="N618" s="4" t="s">
        <v>33</v>
      </c>
      <c r="O618" s="4" t="s">
        <v>66</v>
      </c>
      <c r="P618" s="4" t="s">
        <v>35</v>
      </c>
      <c r="Q618" s="4">
        <v>9</v>
      </c>
      <c r="R618" s="4">
        <v>33679</v>
      </c>
      <c r="S618" s="5">
        <v>5</v>
      </c>
      <c r="T618" s="6">
        <f t="shared" si="27"/>
        <v>287955.45</v>
      </c>
      <c r="U618" s="4">
        <v>25278.35</v>
      </c>
      <c r="V618" t="str">
        <f t="shared" si="28"/>
        <v>Jan</v>
      </c>
      <c r="W618">
        <f t="shared" si="29"/>
        <v>8.778562795043468E-2</v>
      </c>
    </row>
    <row r="619" spans="1:23" x14ac:dyDescent="0.4">
      <c r="A619" s="4" t="s">
        <v>2091</v>
      </c>
      <c r="B619" s="4" t="s">
        <v>681</v>
      </c>
      <c r="C619" s="11">
        <v>45417</v>
      </c>
      <c r="D619" s="4" t="s">
        <v>39</v>
      </c>
      <c r="E619" s="4" t="s">
        <v>24</v>
      </c>
      <c r="F619" s="4" t="s">
        <v>40</v>
      </c>
      <c r="G619" s="4" t="s">
        <v>99</v>
      </c>
      <c r="H619" s="4" t="s">
        <v>2092</v>
      </c>
      <c r="I619" s="4" t="s">
        <v>61</v>
      </c>
      <c r="J619" s="4" t="s">
        <v>29</v>
      </c>
      <c r="K619" s="4" t="s">
        <v>30</v>
      </c>
      <c r="L619" s="4" t="s">
        <v>723</v>
      </c>
      <c r="M619" s="4" t="s">
        <v>95</v>
      </c>
      <c r="N619" s="4" t="s">
        <v>54</v>
      </c>
      <c r="O619" s="4" t="s">
        <v>82</v>
      </c>
      <c r="P619" s="4" t="s">
        <v>47</v>
      </c>
      <c r="Q619" s="4">
        <v>7</v>
      </c>
      <c r="R619" s="4">
        <v>47410</v>
      </c>
      <c r="S619" s="5">
        <v>0</v>
      </c>
      <c r="T619" s="6">
        <f t="shared" si="27"/>
        <v>331870</v>
      </c>
      <c r="U619" s="4">
        <v>33571.07</v>
      </c>
      <c r="V619" t="str">
        <f t="shared" si="28"/>
        <v>Apr</v>
      </c>
      <c r="W619">
        <f t="shared" si="29"/>
        <v>0.10115729050531835</v>
      </c>
    </row>
    <row r="620" spans="1:23" x14ac:dyDescent="0.4">
      <c r="A620" s="4" t="s">
        <v>2093</v>
      </c>
      <c r="B620" s="4" t="s">
        <v>266</v>
      </c>
      <c r="C620" s="11">
        <v>44769</v>
      </c>
      <c r="D620" s="4" t="s">
        <v>39</v>
      </c>
      <c r="E620" s="4" t="s">
        <v>24</v>
      </c>
      <c r="F620" s="4" t="s">
        <v>58</v>
      </c>
      <c r="G620" s="4" t="s">
        <v>26</v>
      </c>
      <c r="H620" s="4" t="s">
        <v>728</v>
      </c>
      <c r="I620" s="4" t="s">
        <v>28</v>
      </c>
      <c r="J620" s="4" t="s">
        <v>62</v>
      </c>
      <c r="K620" s="4" t="s">
        <v>101</v>
      </c>
      <c r="L620" s="4" t="s">
        <v>1278</v>
      </c>
      <c r="M620" s="4" t="s">
        <v>73</v>
      </c>
      <c r="N620" s="4" t="s">
        <v>33</v>
      </c>
      <c r="O620" s="4" t="s">
        <v>66</v>
      </c>
      <c r="P620" s="4" t="s">
        <v>88</v>
      </c>
      <c r="Q620" s="4">
        <v>3</v>
      </c>
      <c r="R620" s="4">
        <v>27879</v>
      </c>
      <c r="S620" s="5">
        <v>0</v>
      </c>
      <c r="T620" s="6">
        <f t="shared" si="27"/>
        <v>83637</v>
      </c>
      <c r="U620" s="4">
        <v>23635.07</v>
      </c>
      <c r="V620" t="str">
        <f t="shared" si="28"/>
        <v>Jul</v>
      </c>
      <c r="W620">
        <f t="shared" si="29"/>
        <v>0.28259107811136219</v>
      </c>
    </row>
    <row r="621" spans="1:23" x14ac:dyDescent="0.4">
      <c r="A621" s="4" t="s">
        <v>2094</v>
      </c>
      <c r="B621" s="4" t="s">
        <v>2095</v>
      </c>
      <c r="C621" s="11">
        <v>45302</v>
      </c>
      <c r="D621" s="4" t="s">
        <v>124</v>
      </c>
      <c r="E621" s="4" t="s">
        <v>24</v>
      </c>
      <c r="F621" s="4" t="s">
        <v>58</v>
      </c>
      <c r="G621" s="4" t="s">
        <v>59</v>
      </c>
      <c r="H621" s="4" t="s">
        <v>2096</v>
      </c>
      <c r="I621" s="4" t="s">
        <v>28</v>
      </c>
      <c r="J621" s="4" t="s">
        <v>29</v>
      </c>
      <c r="K621" s="4" t="s">
        <v>63</v>
      </c>
      <c r="L621" s="4" t="s">
        <v>675</v>
      </c>
      <c r="M621" s="4" t="s">
        <v>32</v>
      </c>
      <c r="N621" s="4" t="s">
        <v>54</v>
      </c>
      <c r="O621" s="4" t="s">
        <v>82</v>
      </c>
      <c r="P621" s="4" t="s">
        <v>35</v>
      </c>
      <c r="Q621" s="4">
        <v>6</v>
      </c>
      <c r="R621" s="4">
        <v>33596</v>
      </c>
      <c r="S621" s="5">
        <v>10</v>
      </c>
      <c r="T621" s="6">
        <f t="shared" si="27"/>
        <v>181418.4</v>
      </c>
      <c r="U621" s="4">
        <v>26148.98</v>
      </c>
      <c r="V621" t="str">
        <f t="shared" si="28"/>
        <v>Jan</v>
      </c>
      <c r="W621">
        <f t="shared" si="29"/>
        <v>0.14413631693367376</v>
      </c>
    </row>
    <row r="622" spans="1:23" x14ac:dyDescent="0.4">
      <c r="A622" s="4" t="s">
        <v>2097</v>
      </c>
      <c r="B622" s="4" t="s">
        <v>2098</v>
      </c>
      <c r="C622" s="11">
        <v>45053</v>
      </c>
      <c r="D622" s="4" t="s">
        <v>124</v>
      </c>
      <c r="E622" s="4" t="s">
        <v>24</v>
      </c>
      <c r="F622" s="4" t="s">
        <v>26</v>
      </c>
      <c r="G622" s="4" t="s">
        <v>41</v>
      </c>
      <c r="H622" s="4" t="s">
        <v>2099</v>
      </c>
      <c r="I622" s="4" t="s">
        <v>28</v>
      </c>
      <c r="J622" s="4" t="s">
        <v>79</v>
      </c>
      <c r="K622" s="4" t="s">
        <v>86</v>
      </c>
      <c r="L622" s="4" t="s">
        <v>1633</v>
      </c>
      <c r="M622" s="4" t="s">
        <v>32</v>
      </c>
      <c r="N622" s="4" t="s">
        <v>54</v>
      </c>
      <c r="O622" s="4" t="s">
        <v>120</v>
      </c>
      <c r="P622" s="4" t="s">
        <v>88</v>
      </c>
      <c r="Q622" s="4">
        <v>1</v>
      </c>
      <c r="R622" s="4">
        <v>30341</v>
      </c>
      <c r="S622" s="5">
        <v>10</v>
      </c>
      <c r="T622" s="6">
        <f t="shared" si="27"/>
        <v>27306.9</v>
      </c>
      <c r="U622" s="4">
        <v>4303.97</v>
      </c>
      <c r="V622" t="str">
        <f t="shared" si="28"/>
        <v>Apr</v>
      </c>
      <c r="W622">
        <f t="shared" si="29"/>
        <v>0.15761474206153023</v>
      </c>
    </row>
    <row r="623" spans="1:23" x14ac:dyDescent="0.4">
      <c r="A623" s="4" t="s">
        <v>2100</v>
      </c>
      <c r="B623" s="4" t="s">
        <v>1625</v>
      </c>
      <c r="C623" s="11">
        <v>44591</v>
      </c>
      <c r="D623" s="4" t="s">
        <v>39</v>
      </c>
      <c r="E623" s="4" t="s">
        <v>24</v>
      </c>
      <c r="F623" s="4" t="s">
        <v>58</v>
      </c>
      <c r="G623" s="4" t="s">
        <v>41</v>
      </c>
      <c r="H623" s="4" t="s">
        <v>2101</v>
      </c>
      <c r="I623" s="4" t="s">
        <v>43</v>
      </c>
      <c r="J623" s="4" t="s">
        <v>29</v>
      </c>
      <c r="K623" s="4" t="s">
        <v>101</v>
      </c>
      <c r="L623" s="4" t="s">
        <v>181</v>
      </c>
      <c r="M623" s="4" t="s">
        <v>65</v>
      </c>
      <c r="N623" s="4" t="s">
        <v>54</v>
      </c>
      <c r="O623" s="4" t="s">
        <v>82</v>
      </c>
      <c r="P623" s="4" t="s">
        <v>47</v>
      </c>
      <c r="Q623" s="4">
        <v>8</v>
      </c>
      <c r="R623" s="4">
        <v>38374</v>
      </c>
      <c r="S623" s="5">
        <v>20</v>
      </c>
      <c r="T623" s="6">
        <f t="shared" si="27"/>
        <v>245593.60000000001</v>
      </c>
      <c r="U623" s="4">
        <v>664.05</v>
      </c>
      <c r="V623" t="str">
        <f t="shared" si="28"/>
        <v>Jan</v>
      </c>
      <c r="W623">
        <f t="shared" si="29"/>
        <v>2.703857103768176E-3</v>
      </c>
    </row>
    <row r="624" spans="1:23" x14ac:dyDescent="0.4">
      <c r="A624" s="4" t="s">
        <v>2102</v>
      </c>
      <c r="B624" s="4" t="s">
        <v>2103</v>
      </c>
      <c r="C624" s="11">
        <v>44606</v>
      </c>
      <c r="D624" s="4" t="s">
        <v>98</v>
      </c>
      <c r="E624" s="4" t="s">
        <v>24</v>
      </c>
      <c r="F624" s="4" t="s">
        <v>40</v>
      </c>
      <c r="G624" s="4" t="s">
        <v>26</v>
      </c>
      <c r="H624" s="4" t="s">
        <v>2104</v>
      </c>
      <c r="I624" s="4" t="s">
        <v>61</v>
      </c>
      <c r="J624" s="4" t="s">
        <v>79</v>
      </c>
      <c r="K624" s="4" t="s">
        <v>63</v>
      </c>
      <c r="L624" s="4" t="s">
        <v>272</v>
      </c>
      <c r="M624" s="4" t="s">
        <v>32</v>
      </c>
      <c r="N624" s="4" t="s">
        <v>33</v>
      </c>
      <c r="O624" s="4" t="s">
        <v>46</v>
      </c>
      <c r="P624" s="4" t="s">
        <v>74</v>
      </c>
      <c r="Q624" s="4">
        <v>8</v>
      </c>
      <c r="R624" s="4">
        <v>30127</v>
      </c>
      <c r="S624" s="5">
        <v>0</v>
      </c>
      <c r="T624" s="6">
        <f t="shared" si="27"/>
        <v>241016</v>
      </c>
      <c r="U624" s="4">
        <v>55054.17</v>
      </c>
      <c r="V624" t="str">
        <f t="shared" si="28"/>
        <v>Feb</v>
      </c>
      <c r="W624">
        <f t="shared" si="29"/>
        <v>0.22842537424901252</v>
      </c>
    </row>
    <row r="625" spans="1:23" x14ac:dyDescent="0.4">
      <c r="A625" s="4" t="s">
        <v>2105</v>
      </c>
      <c r="B625" s="4" t="s">
        <v>787</v>
      </c>
      <c r="C625" s="11">
        <v>44928</v>
      </c>
      <c r="D625" s="4" t="s">
        <v>98</v>
      </c>
      <c r="E625" s="4" t="s">
        <v>24</v>
      </c>
      <c r="F625" s="4" t="s">
        <v>25</v>
      </c>
      <c r="G625" s="4" t="s">
        <v>59</v>
      </c>
      <c r="H625" s="4" t="s">
        <v>2107</v>
      </c>
      <c r="I625" s="4" t="s">
        <v>43</v>
      </c>
      <c r="J625" s="4" t="s">
        <v>62</v>
      </c>
      <c r="K625" s="4" t="s">
        <v>30</v>
      </c>
      <c r="L625" s="4" t="s">
        <v>1226</v>
      </c>
      <c r="M625" s="4" t="s">
        <v>65</v>
      </c>
      <c r="N625" s="4" t="s">
        <v>54</v>
      </c>
      <c r="O625" s="4" t="s">
        <v>120</v>
      </c>
      <c r="P625" s="4" t="s">
        <v>35</v>
      </c>
      <c r="Q625" s="4">
        <v>10</v>
      </c>
      <c r="R625" s="4">
        <v>30315</v>
      </c>
      <c r="S625" s="5">
        <v>0</v>
      </c>
      <c r="T625" s="6">
        <f t="shared" si="27"/>
        <v>303150</v>
      </c>
      <c r="U625" s="4">
        <v>18803.72</v>
      </c>
      <c r="V625" t="str">
        <f t="shared" si="28"/>
        <v>Dec</v>
      </c>
      <c r="W625">
        <f t="shared" si="29"/>
        <v>6.2027775028863599E-2</v>
      </c>
    </row>
    <row r="626" spans="1:23" x14ac:dyDescent="0.4">
      <c r="A626" s="4" t="s">
        <v>2108</v>
      </c>
      <c r="B626" s="4" t="s">
        <v>309</v>
      </c>
      <c r="C626" s="11">
        <v>44598</v>
      </c>
      <c r="D626" s="4" t="s">
        <v>39</v>
      </c>
      <c r="E626" s="4" t="s">
        <v>24</v>
      </c>
      <c r="F626" s="4" t="s">
        <v>70</v>
      </c>
      <c r="G626" s="4" t="s">
        <v>92</v>
      </c>
      <c r="H626" s="4" t="s">
        <v>2109</v>
      </c>
      <c r="I626" s="4" t="s">
        <v>28</v>
      </c>
      <c r="J626" s="4" t="s">
        <v>79</v>
      </c>
      <c r="K626" s="4" t="s">
        <v>30</v>
      </c>
      <c r="L626" s="4" t="s">
        <v>1148</v>
      </c>
      <c r="M626" s="4" t="s">
        <v>95</v>
      </c>
      <c r="N626" s="4" t="s">
        <v>54</v>
      </c>
      <c r="O626" s="4" t="s">
        <v>34</v>
      </c>
      <c r="P626" s="4" t="s">
        <v>35</v>
      </c>
      <c r="Q626" s="4">
        <v>1</v>
      </c>
      <c r="R626" s="4">
        <v>28398</v>
      </c>
      <c r="S626" s="5">
        <v>20</v>
      </c>
      <c r="T626" s="6">
        <f t="shared" si="27"/>
        <v>22718.400000000001</v>
      </c>
      <c r="U626" s="4">
        <v>-283.22000000000003</v>
      </c>
      <c r="V626" t="str">
        <f t="shared" si="28"/>
        <v>Jan</v>
      </c>
      <c r="W626">
        <f t="shared" si="29"/>
        <v>-1.2466546939925348E-2</v>
      </c>
    </row>
    <row r="627" spans="1:23" x14ac:dyDescent="0.4">
      <c r="A627" s="4" t="s">
        <v>2110</v>
      </c>
      <c r="B627" s="4" t="s">
        <v>2111</v>
      </c>
      <c r="C627" s="11">
        <v>45179</v>
      </c>
      <c r="D627" s="4" t="s">
        <v>124</v>
      </c>
      <c r="E627" s="4" t="s">
        <v>24</v>
      </c>
      <c r="F627" s="4" t="s">
        <v>40</v>
      </c>
      <c r="G627" s="4" t="s">
        <v>59</v>
      </c>
      <c r="H627" s="4" t="s">
        <v>2112</v>
      </c>
      <c r="I627" s="4" t="s">
        <v>43</v>
      </c>
      <c r="J627" s="4" t="s">
        <v>62</v>
      </c>
      <c r="K627" s="4" t="s">
        <v>86</v>
      </c>
      <c r="L627" s="4" t="s">
        <v>232</v>
      </c>
      <c r="M627" s="4" t="s">
        <v>73</v>
      </c>
      <c r="N627" s="4" t="s">
        <v>33</v>
      </c>
      <c r="O627" s="4" t="s">
        <v>66</v>
      </c>
      <c r="P627" s="4" t="s">
        <v>35</v>
      </c>
      <c r="Q627" s="4">
        <v>5</v>
      </c>
      <c r="R627" s="4">
        <v>6950</v>
      </c>
      <c r="S627" s="5">
        <v>20</v>
      </c>
      <c r="T627" s="6">
        <f t="shared" si="27"/>
        <v>27800</v>
      </c>
      <c r="U627" s="4">
        <v>-1580.09</v>
      </c>
      <c r="V627" t="str">
        <f t="shared" si="28"/>
        <v>Sep</v>
      </c>
      <c r="W627">
        <f t="shared" si="29"/>
        <v>-5.6837769784172661E-2</v>
      </c>
    </row>
    <row r="628" spans="1:23" x14ac:dyDescent="0.4">
      <c r="A628" s="4" t="s">
        <v>2113</v>
      </c>
      <c r="B628" s="4" t="s">
        <v>2114</v>
      </c>
      <c r="C628" s="11">
        <v>45435</v>
      </c>
      <c r="D628" s="4" t="s">
        <v>124</v>
      </c>
      <c r="E628" s="4" t="s">
        <v>24</v>
      </c>
      <c r="F628" s="4" t="s">
        <v>58</v>
      </c>
      <c r="G628" s="4" t="s">
        <v>99</v>
      </c>
      <c r="H628" s="4" t="s">
        <v>2115</v>
      </c>
      <c r="I628" s="4" t="s">
        <v>61</v>
      </c>
      <c r="J628" s="4" t="s">
        <v>62</v>
      </c>
      <c r="K628" s="4" t="s">
        <v>153</v>
      </c>
      <c r="L628" s="4" t="s">
        <v>601</v>
      </c>
      <c r="M628" s="4" t="s">
        <v>95</v>
      </c>
      <c r="N628" s="4" t="s">
        <v>33</v>
      </c>
      <c r="O628" s="4" t="s">
        <v>46</v>
      </c>
      <c r="P628" s="4" t="s">
        <v>88</v>
      </c>
      <c r="Q628" s="4">
        <v>8</v>
      </c>
      <c r="R628" s="4">
        <v>46363</v>
      </c>
      <c r="S628" s="5">
        <v>0</v>
      </c>
      <c r="T628" s="6">
        <f t="shared" si="27"/>
        <v>370904</v>
      </c>
      <c r="U628" s="4">
        <v>31320.34</v>
      </c>
      <c r="V628" t="str">
        <f t="shared" si="28"/>
        <v>May</v>
      </c>
      <c r="W628">
        <f t="shared" si="29"/>
        <v>8.4443252162284585E-2</v>
      </c>
    </row>
    <row r="629" spans="1:23" x14ac:dyDescent="0.4">
      <c r="A629" s="4" t="s">
        <v>2116</v>
      </c>
      <c r="B629" s="4" t="s">
        <v>1434</v>
      </c>
      <c r="C629" s="11">
        <v>45483</v>
      </c>
      <c r="D629" s="4" t="s">
        <v>98</v>
      </c>
      <c r="E629" s="4" t="s">
        <v>24</v>
      </c>
      <c r="F629" s="4" t="s">
        <v>58</v>
      </c>
      <c r="G629" s="4" t="s">
        <v>59</v>
      </c>
      <c r="H629" s="4" t="s">
        <v>2117</v>
      </c>
      <c r="I629" s="4" t="s">
        <v>43</v>
      </c>
      <c r="J629" s="4" t="s">
        <v>79</v>
      </c>
      <c r="K629" s="4" t="s">
        <v>101</v>
      </c>
      <c r="L629" s="4" t="s">
        <v>636</v>
      </c>
      <c r="M629" s="4" t="s">
        <v>32</v>
      </c>
      <c r="N629" s="4" t="s">
        <v>54</v>
      </c>
      <c r="O629" s="4" t="s">
        <v>66</v>
      </c>
      <c r="P629" s="4" t="s">
        <v>35</v>
      </c>
      <c r="Q629" s="4">
        <v>9</v>
      </c>
      <c r="R629" s="4">
        <v>22862</v>
      </c>
      <c r="S629" s="5">
        <v>20</v>
      </c>
      <c r="T629" s="6">
        <f t="shared" si="27"/>
        <v>164606.39999999999</v>
      </c>
      <c r="U629" s="4">
        <v>520.12</v>
      </c>
      <c r="V629" t="str">
        <f t="shared" si="28"/>
        <v>Jul</v>
      </c>
      <c r="W629">
        <f t="shared" si="29"/>
        <v>3.159779935652563E-3</v>
      </c>
    </row>
    <row r="630" spans="1:23" x14ac:dyDescent="0.4">
      <c r="A630" s="4" t="s">
        <v>2118</v>
      </c>
      <c r="B630" s="4" t="s">
        <v>2015</v>
      </c>
      <c r="C630" s="11">
        <v>44891</v>
      </c>
      <c r="D630" s="4" t="s">
        <v>39</v>
      </c>
      <c r="E630" s="4" t="s">
        <v>24</v>
      </c>
      <c r="F630" s="4" t="s">
        <v>40</v>
      </c>
      <c r="G630" s="4" t="s">
        <v>41</v>
      </c>
      <c r="H630" s="4" t="s">
        <v>2120</v>
      </c>
      <c r="I630" s="4" t="s">
        <v>43</v>
      </c>
      <c r="J630" s="4" t="s">
        <v>79</v>
      </c>
      <c r="K630" s="4" t="s">
        <v>44</v>
      </c>
      <c r="L630" s="4" t="s">
        <v>601</v>
      </c>
      <c r="M630" s="4" t="s">
        <v>32</v>
      </c>
      <c r="N630" s="4" t="s">
        <v>54</v>
      </c>
      <c r="O630" s="4" t="s">
        <v>66</v>
      </c>
      <c r="P630" s="4" t="s">
        <v>35</v>
      </c>
      <c r="Q630" s="4">
        <v>6</v>
      </c>
      <c r="R630" s="4">
        <v>33279</v>
      </c>
      <c r="S630" s="5">
        <v>5</v>
      </c>
      <c r="T630" s="6">
        <f t="shared" si="27"/>
        <v>189690.3</v>
      </c>
      <c r="U630" s="4">
        <v>14194.02</v>
      </c>
      <c r="V630" t="str">
        <f t="shared" si="28"/>
        <v>Nov</v>
      </c>
      <c r="W630">
        <f t="shared" si="29"/>
        <v>7.4827336980330575E-2</v>
      </c>
    </row>
    <row r="631" spans="1:23" x14ac:dyDescent="0.4">
      <c r="A631" s="4" t="s">
        <v>2121</v>
      </c>
      <c r="B631" s="4" t="s">
        <v>1538</v>
      </c>
      <c r="C631" s="11">
        <v>45109</v>
      </c>
      <c r="D631" s="4" t="s">
        <v>23</v>
      </c>
      <c r="E631" s="4" t="s">
        <v>24</v>
      </c>
      <c r="F631" s="4" t="s">
        <v>58</v>
      </c>
      <c r="G631" s="4" t="s">
        <v>41</v>
      </c>
      <c r="H631" s="4" t="s">
        <v>2123</v>
      </c>
      <c r="I631" s="4" t="s">
        <v>28</v>
      </c>
      <c r="J631" s="4" t="s">
        <v>62</v>
      </c>
      <c r="K631" s="4" t="s">
        <v>30</v>
      </c>
      <c r="L631" s="4" t="s">
        <v>167</v>
      </c>
      <c r="M631" s="4" t="s">
        <v>32</v>
      </c>
      <c r="N631" s="4" t="s">
        <v>33</v>
      </c>
      <c r="O631" s="4" t="s">
        <v>120</v>
      </c>
      <c r="P631" s="4" t="s">
        <v>35</v>
      </c>
      <c r="Q631" s="4">
        <v>8</v>
      </c>
      <c r="R631" s="4">
        <v>35713</v>
      </c>
      <c r="S631" s="5">
        <v>0</v>
      </c>
      <c r="T631" s="6">
        <f t="shared" si="27"/>
        <v>285704</v>
      </c>
      <c r="U631" s="4">
        <v>20107.93</v>
      </c>
      <c r="V631" t="str">
        <f t="shared" si="28"/>
        <v>Jun</v>
      </c>
      <c r="W631">
        <f t="shared" si="29"/>
        <v>7.0380288690392853E-2</v>
      </c>
    </row>
    <row r="632" spans="1:23" x14ac:dyDescent="0.4">
      <c r="A632" s="4" t="s">
        <v>2124</v>
      </c>
      <c r="B632" s="4" t="s">
        <v>2125</v>
      </c>
      <c r="C632" s="11">
        <v>44572</v>
      </c>
      <c r="D632" s="4" t="s">
        <v>98</v>
      </c>
      <c r="E632" s="4" t="s">
        <v>24</v>
      </c>
      <c r="F632" s="4" t="s">
        <v>25</v>
      </c>
      <c r="G632" s="4" t="s">
        <v>92</v>
      </c>
      <c r="H632" s="4" t="s">
        <v>2126</v>
      </c>
      <c r="I632" s="4" t="s">
        <v>61</v>
      </c>
      <c r="J632" s="4" t="s">
        <v>29</v>
      </c>
      <c r="K632" s="4" t="s">
        <v>44</v>
      </c>
      <c r="L632" s="4" t="s">
        <v>862</v>
      </c>
      <c r="M632" s="4" t="s">
        <v>32</v>
      </c>
      <c r="N632" s="4" t="s">
        <v>54</v>
      </c>
      <c r="O632" s="4" t="s">
        <v>46</v>
      </c>
      <c r="P632" s="4" t="s">
        <v>88</v>
      </c>
      <c r="Q632" s="4">
        <v>5</v>
      </c>
      <c r="R632" s="4">
        <v>21941</v>
      </c>
      <c r="S632" s="5">
        <v>20</v>
      </c>
      <c r="T632" s="6">
        <f t="shared" si="27"/>
        <v>87764</v>
      </c>
      <c r="U632" s="4">
        <v>-15390.4</v>
      </c>
      <c r="V632" t="str">
        <f t="shared" si="28"/>
        <v>Jan</v>
      </c>
      <c r="W632">
        <f t="shared" si="29"/>
        <v>-0.17536119593455174</v>
      </c>
    </row>
    <row r="633" spans="1:23" x14ac:dyDescent="0.4">
      <c r="A633" s="4" t="s">
        <v>2127</v>
      </c>
      <c r="B633" s="4" t="s">
        <v>572</v>
      </c>
      <c r="C633" s="11">
        <v>45349</v>
      </c>
      <c r="D633" s="4" t="s">
        <v>23</v>
      </c>
      <c r="E633" s="4" t="s">
        <v>24</v>
      </c>
      <c r="F633" s="4" t="s">
        <v>40</v>
      </c>
      <c r="G633" s="4" t="s">
        <v>92</v>
      </c>
      <c r="H633" s="4" t="s">
        <v>2128</v>
      </c>
      <c r="I633" s="4" t="s">
        <v>28</v>
      </c>
      <c r="J633" s="4" t="s">
        <v>79</v>
      </c>
      <c r="K633" s="4" t="s">
        <v>63</v>
      </c>
      <c r="L633" s="4" t="s">
        <v>423</v>
      </c>
      <c r="M633" s="4" t="s">
        <v>53</v>
      </c>
      <c r="N633" s="4" t="s">
        <v>33</v>
      </c>
      <c r="O633" s="4" t="s">
        <v>46</v>
      </c>
      <c r="P633" s="4" t="s">
        <v>35</v>
      </c>
      <c r="Q633" s="4">
        <v>4</v>
      </c>
      <c r="R633" s="4">
        <v>32828</v>
      </c>
      <c r="S633" s="5">
        <v>20</v>
      </c>
      <c r="T633" s="6">
        <f t="shared" si="27"/>
        <v>105049.60000000001</v>
      </c>
      <c r="U633" s="4">
        <v>7440.49</v>
      </c>
      <c r="V633" t="str">
        <f t="shared" si="28"/>
        <v>Feb</v>
      </c>
      <c r="W633">
        <f t="shared" si="29"/>
        <v>7.0828351559644204E-2</v>
      </c>
    </row>
    <row r="634" spans="1:23" x14ac:dyDescent="0.4">
      <c r="A634" s="4" t="s">
        <v>2129</v>
      </c>
      <c r="B634" s="4" t="s">
        <v>1050</v>
      </c>
      <c r="C634" s="11">
        <v>45410</v>
      </c>
      <c r="D634" s="4" t="s">
        <v>98</v>
      </c>
      <c r="E634" s="4" t="s">
        <v>24</v>
      </c>
      <c r="F634" s="4" t="s">
        <v>58</v>
      </c>
      <c r="G634" s="4" t="s">
        <v>41</v>
      </c>
      <c r="H634" s="4" t="s">
        <v>2131</v>
      </c>
      <c r="I634" s="4" t="s">
        <v>43</v>
      </c>
      <c r="J634" s="4" t="s">
        <v>62</v>
      </c>
      <c r="K634" s="4" t="s">
        <v>153</v>
      </c>
      <c r="L634" s="4" t="s">
        <v>348</v>
      </c>
      <c r="M634" s="4" t="s">
        <v>73</v>
      </c>
      <c r="N634" s="4" t="s">
        <v>33</v>
      </c>
      <c r="O634" s="4" t="s">
        <v>120</v>
      </c>
      <c r="P634" s="4" t="s">
        <v>88</v>
      </c>
      <c r="Q634" s="4">
        <v>4</v>
      </c>
      <c r="R634" s="4">
        <v>18592</v>
      </c>
      <c r="S634" s="5">
        <v>15</v>
      </c>
      <c r="T634" s="6">
        <f t="shared" si="27"/>
        <v>63212.800000000003</v>
      </c>
      <c r="U634" s="4">
        <v>-565.88</v>
      </c>
      <c r="V634" t="str">
        <f t="shared" si="28"/>
        <v>Apr</v>
      </c>
      <c r="W634">
        <f t="shared" si="29"/>
        <v>-8.9519844082211197E-3</v>
      </c>
    </row>
    <row r="635" spans="1:23" x14ac:dyDescent="0.4">
      <c r="A635" s="4" t="s">
        <v>2132</v>
      </c>
      <c r="B635" s="4" t="s">
        <v>1520</v>
      </c>
      <c r="C635" s="11">
        <v>45522</v>
      </c>
      <c r="D635" s="4" t="s">
        <v>124</v>
      </c>
      <c r="E635" s="4" t="s">
        <v>24</v>
      </c>
      <c r="F635" s="4" t="s">
        <v>70</v>
      </c>
      <c r="G635" s="4" t="s">
        <v>92</v>
      </c>
      <c r="H635" s="4" t="s">
        <v>2133</v>
      </c>
      <c r="I635" s="4" t="s">
        <v>28</v>
      </c>
      <c r="J635" s="4" t="s">
        <v>79</v>
      </c>
      <c r="K635" s="4" t="s">
        <v>30</v>
      </c>
      <c r="L635" s="4" t="s">
        <v>198</v>
      </c>
      <c r="M635" s="4" t="s">
        <v>65</v>
      </c>
      <c r="N635" s="4" t="s">
        <v>54</v>
      </c>
      <c r="O635" s="4" t="s">
        <v>34</v>
      </c>
      <c r="P635" s="4" t="s">
        <v>88</v>
      </c>
      <c r="Q635" s="4">
        <v>7</v>
      </c>
      <c r="R635" s="4">
        <v>21394</v>
      </c>
      <c r="S635" s="5">
        <v>20</v>
      </c>
      <c r="T635" s="6">
        <f t="shared" si="27"/>
        <v>119806.39999999999</v>
      </c>
      <c r="U635" s="4">
        <v>297.64999999999998</v>
      </c>
      <c r="V635" t="str">
        <f t="shared" si="28"/>
        <v>Aug</v>
      </c>
      <c r="W635">
        <f t="shared" si="29"/>
        <v>2.4844248721270315E-3</v>
      </c>
    </row>
    <row r="636" spans="1:23" x14ac:dyDescent="0.4">
      <c r="A636" s="4" t="s">
        <v>2134</v>
      </c>
      <c r="B636" s="4" t="s">
        <v>2135</v>
      </c>
      <c r="C636" s="11">
        <v>44747</v>
      </c>
      <c r="D636" s="4" t="s">
        <v>98</v>
      </c>
      <c r="E636" s="4" t="s">
        <v>24</v>
      </c>
      <c r="F636" s="4" t="s">
        <v>70</v>
      </c>
      <c r="G636" s="4" t="s">
        <v>59</v>
      </c>
      <c r="H636" s="4" t="s">
        <v>2136</v>
      </c>
      <c r="I636" s="4" t="s">
        <v>43</v>
      </c>
      <c r="J636" s="4" t="s">
        <v>79</v>
      </c>
      <c r="K636" s="4" t="s">
        <v>63</v>
      </c>
      <c r="L636" s="4" t="s">
        <v>190</v>
      </c>
      <c r="M636" s="4" t="s">
        <v>73</v>
      </c>
      <c r="N636" s="4" t="s">
        <v>54</v>
      </c>
      <c r="O636" s="4" t="s">
        <v>46</v>
      </c>
      <c r="P636" s="4" t="s">
        <v>35</v>
      </c>
      <c r="Q636" s="4">
        <v>8</v>
      </c>
      <c r="R636" s="4">
        <v>6374</v>
      </c>
      <c r="S636" s="5">
        <v>0</v>
      </c>
      <c r="T636" s="6">
        <f t="shared" si="27"/>
        <v>50992</v>
      </c>
      <c r="U636" s="4">
        <v>14409.48</v>
      </c>
      <c r="V636" t="str">
        <f t="shared" si="28"/>
        <v>Jun</v>
      </c>
      <c r="W636">
        <f t="shared" si="29"/>
        <v>0.28258315029808595</v>
      </c>
    </row>
    <row r="637" spans="1:23" x14ac:dyDescent="0.4">
      <c r="A637" s="4" t="s">
        <v>2137</v>
      </c>
      <c r="B637" s="4" t="s">
        <v>1206</v>
      </c>
      <c r="C637" s="11">
        <v>45250</v>
      </c>
      <c r="D637" s="4" t="s">
        <v>98</v>
      </c>
      <c r="E637" s="4" t="s">
        <v>24</v>
      </c>
      <c r="F637" s="4" t="s">
        <v>40</v>
      </c>
      <c r="G637" s="4" t="s">
        <v>59</v>
      </c>
      <c r="H637" s="4" t="s">
        <v>2138</v>
      </c>
      <c r="I637" s="4" t="s">
        <v>61</v>
      </c>
      <c r="J637" s="4" t="s">
        <v>79</v>
      </c>
      <c r="K637" s="4" t="s">
        <v>86</v>
      </c>
      <c r="L637" s="4" t="s">
        <v>2139</v>
      </c>
      <c r="M637" s="4" t="s">
        <v>32</v>
      </c>
      <c r="N637" s="4" t="s">
        <v>54</v>
      </c>
      <c r="O637" s="4" t="s">
        <v>66</v>
      </c>
      <c r="P637" s="4" t="s">
        <v>88</v>
      </c>
      <c r="Q637" s="4">
        <v>7</v>
      </c>
      <c r="R637" s="4">
        <v>45064</v>
      </c>
      <c r="S637" s="5">
        <v>0</v>
      </c>
      <c r="T637" s="6">
        <f t="shared" si="27"/>
        <v>315448</v>
      </c>
      <c r="U637" s="4">
        <v>58889.93</v>
      </c>
      <c r="V637" t="str">
        <f t="shared" si="28"/>
        <v>Nov</v>
      </c>
      <c r="W637">
        <f t="shared" si="29"/>
        <v>0.18668664882960107</v>
      </c>
    </row>
    <row r="638" spans="1:23" x14ac:dyDescent="0.4">
      <c r="A638" s="4" t="s">
        <v>2140</v>
      </c>
      <c r="B638" s="4" t="s">
        <v>1348</v>
      </c>
      <c r="C638" s="11">
        <v>45116</v>
      </c>
      <c r="D638" s="4" t="s">
        <v>23</v>
      </c>
      <c r="E638" s="4" t="s">
        <v>24</v>
      </c>
      <c r="F638" s="4" t="s">
        <v>70</v>
      </c>
      <c r="G638" s="4" t="s">
        <v>59</v>
      </c>
      <c r="H638" s="4" t="s">
        <v>2141</v>
      </c>
      <c r="I638" s="4" t="s">
        <v>28</v>
      </c>
      <c r="J638" s="4" t="s">
        <v>79</v>
      </c>
      <c r="K638" s="4" t="s">
        <v>63</v>
      </c>
      <c r="L638" s="4" t="s">
        <v>976</v>
      </c>
      <c r="M638" s="4" t="s">
        <v>53</v>
      </c>
      <c r="N638" s="4" t="s">
        <v>33</v>
      </c>
      <c r="O638" s="4" t="s">
        <v>34</v>
      </c>
      <c r="P638" s="4" t="s">
        <v>88</v>
      </c>
      <c r="Q638" s="4">
        <v>5</v>
      </c>
      <c r="R638" s="4">
        <v>15869</v>
      </c>
      <c r="S638" s="5">
        <v>0</v>
      </c>
      <c r="T638" s="6">
        <f t="shared" si="27"/>
        <v>79345</v>
      </c>
      <c r="U638" s="4">
        <v>17520.849999999999</v>
      </c>
      <c r="V638" t="str">
        <f t="shared" si="28"/>
        <v>Jul</v>
      </c>
      <c r="W638">
        <f t="shared" si="29"/>
        <v>0.2208185771000063</v>
      </c>
    </row>
    <row r="639" spans="1:23" x14ac:dyDescent="0.4">
      <c r="A639" s="4" t="s">
        <v>2142</v>
      </c>
      <c r="B639" s="4" t="s">
        <v>1207</v>
      </c>
      <c r="C639" s="11">
        <v>45258</v>
      </c>
      <c r="D639" s="4" t="s">
        <v>23</v>
      </c>
      <c r="E639" s="4" t="s">
        <v>24</v>
      </c>
      <c r="F639" s="4" t="s">
        <v>26</v>
      </c>
      <c r="G639" s="4" t="s">
        <v>41</v>
      </c>
      <c r="H639" s="4" t="s">
        <v>2143</v>
      </c>
      <c r="I639" s="4" t="s">
        <v>61</v>
      </c>
      <c r="J639" s="4" t="s">
        <v>62</v>
      </c>
      <c r="K639" s="4" t="s">
        <v>63</v>
      </c>
      <c r="L639" s="4" t="s">
        <v>213</v>
      </c>
      <c r="M639" s="4" t="s">
        <v>73</v>
      </c>
      <c r="N639" s="4" t="s">
        <v>54</v>
      </c>
      <c r="O639" s="4" t="s">
        <v>34</v>
      </c>
      <c r="P639" s="4" t="s">
        <v>35</v>
      </c>
      <c r="Q639" s="4">
        <v>8</v>
      </c>
      <c r="R639" s="4">
        <v>44731</v>
      </c>
      <c r="S639" s="5">
        <v>20</v>
      </c>
      <c r="T639" s="6">
        <f t="shared" si="27"/>
        <v>286278.40000000002</v>
      </c>
      <c r="U639" s="4">
        <v>-18116.39</v>
      </c>
      <c r="V639" t="str">
        <f t="shared" si="28"/>
        <v>Nov</v>
      </c>
      <c r="W639">
        <f t="shared" si="29"/>
        <v>-6.3282420189577693E-2</v>
      </c>
    </row>
    <row r="640" spans="1:23" x14ac:dyDescent="0.4">
      <c r="A640" s="4" t="s">
        <v>2144</v>
      </c>
      <c r="B640" s="4" t="s">
        <v>2145</v>
      </c>
      <c r="C640" s="11">
        <v>44952</v>
      </c>
      <c r="D640" s="4" t="s">
        <v>98</v>
      </c>
      <c r="E640" s="4" t="s">
        <v>24</v>
      </c>
      <c r="F640" s="4" t="s">
        <v>40</v>
      </c>
      <c r="G640" s="4" t="s">
        <v>41</v>
      </c>
      <c r="H640" s="4" t="s">
        <v>2146</v>
      </c>
      <c r="I640" s="4" t="s">
        <v>43</v>
      </c>
      <c r="J640" s="4" t="s">
        <v>62</v>
      </c>
      <c r="K640" s="4" t="s">
        <v>63</v>
      </c>
      <c r="L640" s="4" t="s">
        <v>753</v>
      </c>
      <c r="M640" s="4" t="s">
        <v>65</v>
      </c>
      <c r="N640" s="4" t="s">
        <v>33</v>
      </c>
      <c r="O640" s="4" t="s">
        <v>120</v>
      </c>
      <c r="P640" s="4" t="s">
        <v>88</v>
      </c>
      <c r="Q640" s="4">
        <v>2</v>
      </c>
      <c r="R640" s="4">
        <v>1138</v>
      </c>
      <c r="S640" s="5">
        <v>20</v>
      </c>
      <c r="T640" s="6">
        <f t="shared" si="27"/>
        <v>1820.8</v>
      </c>
      <c r="U640" s="4">
        <v>132.08000000000001</v>
      </c>
      <c r="V640" t="str">
        <f t="shared" si="28"/>
        <v>Jan</v>
      </c>
      <c r="W640">
        <f t="shared" si="29"/>
        <v>7.2539543057996494E-2</v>
      </c>
    </row>
    <row r="641" spans="1:23" x14ac:dyDescent="0.4">
      <c r="A641" s="4" t="s">
        <v>2147</v>
      </c>
      <c r="B641" s="4" t="s">
        <v>1299</v>
      </c>
      <c r="C641" s="11">
        <v>45355</v>
      </c>
      <c r="D641" s="4" t="s">
        <v>98</v>
      </c>
      <c r="E641" s="4" t="s">
        <v>24</v>
      </c>
      <c r="F641" s="4" t="s">
        <v>70</v>
      </c>
      <c r="G641" s="4" t="s">
        <v>99</v>
      </c>
      <c r="H641" s="4" t="s">
        <v>2148</v>
      </c>
      <c r="I641" s="4" t="s">
        <v>28</v>
      </c>
      <c r="J641" s="4" t="s">
        <v>79</v>
      </c>
      <c r="K641" s="4" t="s">
        <v>44</v>
      </c>
      <c r="L641" s="4" t="s">
        <v>1701</v>
      </c>
      <c r="M641" s="4" t="s">
        <v>73</v>
      </c>
      <c r="N641" s="4" t="s">
        <v>54</v>
      </c>
      <c r="O641" s="4" t="s">
        <v>66</v>
      </c>
      <c r="P641" s="4" t="s">
        <v>35</v>
      </c>
      <c r="Q641" s="4">
        <v>8</v>
      </c>
      <c r="R641" s="4">
        <v>15502</v>
      </c>
      <c r="S641" s="5">
        <v>5</v>
      </c>
      <c r="T641" s="6">
        <f t="shared" si="27"/>
        <v>117815.2</v>
      </c>
      <c r="U641" s="4">
        <v>16936.47</v>
      </c>
      <c r="V641" t="str">
        <f t="shared" si="28"/>
        <v>Feb</v>
      </c>
      <c r="W641">
        <f t="shared" si="29"/>
        <v>0.14375454100998855</v>
      </c>
    </row>
    <row r="642" spans="1:23" x14ac:dyDescent="0.4">
      <c r="A642" s="4" t="s">
        <v>2149</v>
      </c>
      <c r="B642" s="4" t="s">
        <v>2150</v>
      </c>
      <c r="C642" s="11">
        <v>44694</v>
      </c>
      <c r="D642" s="4" t="s">
        <v>98</v>
      </c>
      <c r="E642" s="4" t="s">
        <v>24</v>
      </c>
      <c r="F642" s="4" t="s">
        <v>58</v>
      </c>
      <c r="G642" s="4" t="s">
        <v>59</v>
      </c>
      <c r="H642" s="4" t="s">
        <v>1220</v>
      </c>
      <c r="I642" s="4" t="s">
        <v>28</v>
      </c>
      <c r="J642" s="4" t="s">
        <v>62</v>
      </c>
      <c r="K642" s="4" t="s">
        <v>101</v>
      </c>
      <c r="L642" s="4" t="s">
        <v>775</v>
      </c>
      <c r="M642" s="4" t="s">
        <v>32</v>
      </c>
      <c r="N642" s="4" t="s">
        <v>54</v>
      </c>
      <c r="O642" s="4" t="s">
        <v>66</v>
      </c>
      <c r="P642" s="4" t="s">
        <v>88</v>
      </c>
      <c r="Q642" s="4">
        <v>6</v>
      </c>
      <c r="R642" s="4">
        <v>44471</v>
      </c>
      <c r="S642" s="5">
        <v>5</v>
      </c>
      <c r="T642" s="6">
        <f t="shared" si="27"/>
        <v>253484.7</v>
      </c>
      <c r="U642" s="4">
        <v>16396.14</v>
      </c>
      <c r="V642" t="str">
        <f t="shared" si="28"/>
        <v>May</v>
      </c>
      <c r="W642">
        <f t="shared" si="29"/>
        <v>6.468295719623314E-2</v>
      </c>
    </row>
    <row r="643" spans="1:23" x14ac:dyDescent="0.4">
      <c r="A643" s="4" t="s">
        <v>2151</v>
      </c>
      <c r="B643" s="4" t="s">
        <v>2054</v>
      </c>
      <c r="C643" s="11">
        <v>44997</v>
      </c>
      <c r="D643" s="4" t="s">
        <v>124</v>
      </c>
      <c r="E643" s="4" t="s">
        <v>24</v>
      </c>
      <c r="F643" s="4" t="s">
        <v>25</v>
      </c>
      <c r="G643" s="4" t="s">
        <v>41</v>
      </c>
      <c r="H643" s="4" t="s">
        <v>2152</v>
      </c>
      <c r="I643" s="4" t="s">
        <v>43</v>
      </c>
      <c r="J643" s="4" t="s">
        <v>79</v>
      </c>
      <c r="K643" s="4" t="s">
        <v>30</v>
      </c>
      <c r="L643" s="4" t="s">
        <v>993</v>
      </c>
      <c r="M643" s="4" t="s">
        <v>53</v>
      </c>
      <c r="N643" s="4" t="s">
        <v>33</v>
      </c>
      <c r="O643" s="4" t="s">
        <v>34</v>
      </c>
      <c r="P643" s="4" t="s">
        <v>35</v>
      </c>
      <c r="Q643" s="4">
        <v>6</v>
      </c>
      <c r="R643" s="4">
        <v>10767</v>
      </c>
      <c r="S643" s="5">
        <v>15</v>
      </c>
      <c r="T643" s="6">
        <f t="shared" ref="T643:T706" si="30">Q643*R643*(100-S643)/100</f>
        <v>54911.7</v>
      </c>
      <c r="U643" s="4">
        <v>4485.43</v>
      </c>
      <c r="V643" t="str">
        <f t="shared" ref="V643:V706" si="31">TEXT(B643,"MMM")</f>
        <v>Mar</v>
      </c>
      <c r="W643">
        <f t="shared" ref="W643:W706" si="32">U643/T643</f>
        <v>8.1684413339962167E-2</v>
      </c>
    </row>
    <row r="644" spans="1:23" x14ac:dyDescent="0.4">
      <c r="A644" s="4" t="s">
        <v>2153</v>
      </c>
      <c r="B644" s="4" t="s">
        <v>1096</v>
      </c>
      <c r="C644" s="11">
        <v>45123</v>
      </c>
      <c r="D644" s="4" t="s">
        <v>98</v>
      </c>
      <c r="E644" s="4" t="s">
        <v>24</v>
      </c>
      <c r="F644" s="4" t="s">
        <v>58</v>
      </c>
      <c r="G644" s="4" t="s">
        <v>26</v>
      </c>
      <c r="H644" s="4" t="s">
        <v>1781</v>
      </c>
      <c r="I644" s="4" t="s">
        <v>43</v>
      </c>
      <c r="J644" s="4" t="s">
        <v>62</v>
      </c>
      <c r="K644" s="4" t="s">
        <v>44</v>
      </c>
      <c r="L644" s="4" t="s">
        <v>494</v>
      </c>
      <c r="M644" s="4" t="s">
        <v>32</v>
      </c>
      <c r="N644" s="4" t="s">
        <v>54</v>
      </c>
      <c r="O644" s="4" t="s">
        <v>34</v>
      </c>
      <c r="P644" s="4" t="s">
        <v>35</v>
      </c>
      <c r="Q644" s="4">
        <v>6</v>
      </c>
      <c r="R644" s="4">
        <v>28920</v>
      </c>
      <c r="S644" s="5">
        <v>20</v>
      </c>
      <c r="T644" s="6">
        <f t="shared" si="30"/>
        <v>138816</v>
      </c>
      <c r="U644" s="4">
        <v>13190.83</v>
      </c>
      <c r="V644" t="str">
        <f t="shared" si="31"/>
        <v>Jul</v>
      </c>
      <c r="W644">
        <f t="shared" si="32"/>
        <v>9.5023844513600741E-2</v>
      </c>
    </row>
    <row r="645" spans="1:23" x14ac:dyDescent="0.4">
      <c r="A645" s="4" t="s">
        <v>2154</v>
      </c>
      <c r="B645" s="4" t="s">
        <v>1167</v>
      </c>
      <c r="C645" s="11">
        <v>44920</v>
      </c>
      <c r="D645" s="4" t="s">
        <v>98</v>
      </c>
      <c r="E645" s="4" t="s">
        <v>24</v>
      </c>
      <c r="F645" s="4" t="s">
        <v>40</v>
      </c>
      <c r="G645" s="4" t="s">
        <v>26</v>
      </c>
      <c r="H645" s="4" t="s">
        <v>2155</v>
      </c>
      <c r="I645" s="4" t="s">
        <v>28</v>
      </c>
      <c r="J645" s="4" t="s">
        <v>29</v>
      </c>
      <c r="K645" s="4" t="s">
        <v>86</v>
      </c>
      <c r="L645" s="4" t="s">
        <v>194</v>
      </c>
      <c r="M645" s="4" t="s">
        <v>73</v>
      </c>
      <c r="N645" s="4" t="s">
        <v>54</v>
      </c>
      <c r="O645" s="4" t="s">
        <v>82</v>
      </c>
      <c r="P645" s="4" t="s">
        <v>74</v>
      </c>
      <c r="Q645" s="4">
        <v>2</v>
      </c>
      <c r="R645" s="4">
        <v>13656</v>
      </c>
      <c r="S645" s="5">
        <v>5</v>
      </c>
      <c r="T645" s="6">
        <f t="shared" si="30"/>
        <v>25946.400000000001</v>
      </c>
      <c r="U645" s="4">
        <v>538</v>
      </c>
      <c r="V645" t="str">
        <f t="shared" si="31"/>
        <v>Dec</v>
      </c>
      <c r="W645">
        <f t="shared" si="32"/>
        <v>2.0735053803225108E-2</v>
      </c>
    </row>
    <row r="646" spans="1:23" x14ac:dyDescent="0.4">
      <c r="A646" s="4" t="s">
        <v>2156</v>
      </c>
      <c r="B646" s="4" t="s">
        <v>2157</v>
      </c>
      <c r="C646" s="11">
        <v>45372</v>
      </c>
      <c r="D646" s="4" t="s">
        <v>124</v>
      </c>
      <c r="E646" s="4" t="s">
        <v>24</v>
      </c>
      <c r="F646" s="4" t="s">
        <v>70</v>
      </c>
      <c r="G646" s="4" t="s">
        <v>59</v>
      </c>
      <c r="H646" s="4" t="s">
        <v>2159</v>
      </c>
      <c r="I646" s="4" t="s">
        <v>43</v>
      </c>
      <c r="J646" s="4" t="s">
        <v>62</v>
      </c>
      <c r="K646" s="4" t="s">
        <v>63</v>
      </c>
      <c r="L646" s="4" t="s">
        <v>507</v>
      </c>
      <c r="M646" s="4" t="s">
        <v>53</v>
      </c>
      <c r="N646" s="4" t="s">
        <v>33</v>
      </c>
      <c r="O646" s="4" t="s">
        <v>46</v>
      </c>
      <c r="P646" s="4" t="s">
        <v>47</v>
      </c>
      <c r="Q646" s="4">
        <v>8</v>
      </c>
      <c r="R646" s="4">
        <v>42273</v>
      </c>
      <c r="S646" s="5">
        <v>15</v>
      </c>
      <c r="T646" s="6">
        <f t="shared" si="30"/>
        <v>287456.40000000002</v>
      </c>
      <c r="U646" s="4">
        <v>16297.29</v>
      </c>
      <c r="V646" t="str">
        <f t="shared" si="31"/>
        <v>Mar</v>
      </c>
      <c r="W646">
        <f t="shared" si="32"/>
        <v>5.6694823980262744E-2</v>
      </c>
    </row>
    <row r="647" spans="1:23" x14ac:dyDescent="0.4">
      <c r="A647" s="4" t="s">
        <v>2160</v>
      </c>
      <c r="B647" s="4" t="s">
        <v>1939</v>
      </c>
      <c r="C647" s="11">
        <v>44904</v>
      </c>
      <c r="D647" s="4" t="s">
        <v>124</v>
      </c>
      <c r="E647" s="4" t="s">
        <v>24</v>
      </c>
      <c r="F647" s="4" t="s">
        <v>26</v>
      </c>
      <c r="G647" s="4" t="s">
        <v>26</v>
      </c>
      <c r="H647" s="4" t="s">
        <v>2161</v>
      </c>
      <c r="I647" s="4" t="s">
        <v>28</v>
      </c>
      <c r="J647" s="4" t="s">
        <v>62</v>
      </c>
      <c r="K647" s="4" t="s">
        <v>30</v>
      </c>
      <c r="L647" s="4" t="s">
        <v>605</v>
      </c>
      <c r="M647" s="4" t="s">
        <v>73</v>
      </c>
      <c r="N647" s="4" t="s">
        <v>33</v>
      </c>
      <c r="O647" s="4" t="s">
        <v>34</v>
      </c>
      <c r="P647" s="4" t="s">
        <v>47</v>
      </c>
      <c r="Q647" s="4">
        <v>1</v>
      </c>
      <c r="R647" s="4">
        <v>15882</v>
      </c>
      <c r="S647" s="5">
        <v>20</v>
      </c>
      <c r="T647" s="6">
        <f t="shared" si="30"/>
        <v>12705.6</v>
      </c>
      <c r="U647" s="4">
        <v>221.13</v>
      </c>
      <c r="V647" t="str">
        <f t="shared" si="31"/>
        <v>Dec</v>
      </c>
      <c r="W647">
        <f t="shared" si="32"/>
        <v>1.7404136758594636E-2</v>
      </c>
    </row>
    <row r="648" spans="1:23" x14ac:dyDescent="0.4">
      <c r="A648" s="4" t="s">
        <v>2162</v>
      </c>
      <c r="B648" s="4" t="s">
        <v>299</v>
      </c>
      <c r="C648" s="11">
        <v>45485</v>
      </c>
      <c r="D648" s="4" t="s">
        <v>23</v>
      </c>
      <c r="E648" s="4" t="s">
        <v>24</v>
      </c>
      <c r="F648" s="4" t="s">
        <v>58</v>
      </c>
      <c r="G648" s="4" t="s">
        <v>59</v>
      </c>
      <c r="H648" s="4" t="s">
        <v>2163</v>
      </c>
      <c r="I648" s="4" t="s">
        <v>28</v>
      </c>
      <c r="J648" s="4" t="s">
        <v>79</v>
      </c>
      <c r="K648" s="4" t="s">
        <v>63</v>
      </c>
      <c r="L648" s="4" t="s">
        <v>1089</v>
      </c>
      <c r="M648" s="4" t="s">
        <v>73</v>
      </c>
      <c r="N648" s="4" t="s">
        <v>54</v>
      </c>
      <c r="O648" s="4" t="s">
        <v>82</v>
      </c>
      <c r="P648" s="4" t="s">
        <v>74</v>
      </c>
      <c r="Q648" s="4">
        <v>7</v>
      </c>
      <c r="R648" s="4">
        <v>15210</v>
      </c>
      <c r="S648" s="5">
        <v>5</v>
      </c>
      <c r="T648" s="6">
        <f t="shared" si="30"/>
        <v>101146.5</v>
      </c>
      <c r="U648" s="4">
        <v>22366.47</v>
      </c>
      <c r="V648" t="str">
        <f t="shared" si="31"/>
        <v>Jul</v>
      </c>
      <c r="W648">
        <f t="shared" si="32"/>
        <v>0.22112945084605004</v>
      </c>
    </row>
    <row r="649" spans="1:23" x14ac:dyDescent="0.4">
      <c r="A649" s="4" t="s">
        <v>2164</v>
      </c>
      <c r="B649" s="4" t="s">
        <v>2165</v>
      </c>
      <c r="C649" s="11">
        <v>45040</v>
      </c>
      <c r="D649" s="4" t="s">
        <v>39</v>
      </c>
      <c r="E649" s="4" t="s">
        <v>24</v>
      </c>
      <c r="F649" s="4" t="s">
        <v>40</v>
      </c>
      <c r="G649" s="4" t="s">
        <v>59</v>
      </c>
      <c r="H649" s="4" t="s">
        <v>2166</v>
      </c>
      <c r="I649" s="4" t="s">
        <v>43</v>
      </c>
      <c r="J649" s="4" t="s">
        <v>62</v>
      </c>
      <c r="K649" s="4" t="s">
        <v>44</v>
      </c>
      <c r="L649" s="4" t="s">
        <v>1322</v>
      </c>
      <c r="M649" s="4" t="s">
        <v>81</v>
      </c>
      <c r="N649" s="4" t="s">
        <v>54</v>
      </c>
      <c r="O649" s="4" t="s">
        <v>34</v>
      </c>
      <c r="P649" s="4" t="s">
        <v>47</v>
      </c>
      <c r="Q649" s="4">
        <v>9</v>
      </c>
      <c r="R649" s="4">
        <v>47515</v>
      </c>
      <c r="S649" s="5">
        <v>0</v>
      </c>
      <c r="T649" s="6">
        <f t="shared" si="30"/>
        <v>427635</v>
      </c>
      <c r="U649" s="4">
        <v>81219.520000000004</v>
      </c>
      <c r="V649" t="str">
        <f t="shared" si="31"/>
        <v>Apr</v>
      </c>
      <c r="W649">
        <f t="shared" si="32"/>
        <v>0.18992720427467349</v>
      </c>
    </row>
    <row r="650" spans="1:23" x14ac:dyDescent="0.4">
      <c r="A650" s="4" t="s">
        <v>2167</v>
      </c>
      <c r="B650" s="4" t="s">
        <v>1438</v>
      </c>
      <c r="C650" s="11">
        <v>45556</v>
      </c>
      <c r="D650" s="4" t="s">
        <v>124</v>
      </c>
      <c r="E650" s="4" t="s">
        <v>24</v>
      </c>
      <c r="F650" s="4" t="s">
        <v>58</v>
      </c>
      <c r="G650" s="4" t="s">
        <v>59</v>
      </c>
      <c r="H650" s="4" t="s">
        <v>2168</v>
      </c>
      <c r="I650" s="4" t="s">
        <v>28</v>
      </c>
      <c r="J650" s="4" t="s">
        <v>79</v>
      </c>
      <c r="K650" s="4" t="s">
        <v>86</v>
      </c>
      <c r="L650" s="4" t="s">
        <v>507</v>
      </c>
      <c r="M650" s="4" t="s">
        <v>73</v>
      </c>
      <c r="N650" s="4" t="s">
        <v>33</v>
      </c>
      <c r="O650" s="4" t="s">
        <v>120</v>
      </c>
      <c r="P650" s="4" t="s">
        <v>35</v>
      </c>
      <c r="Q650" s="4">
        <v>9</v>
      </c>
      <c r="R650" s="4">
        <v>5077</v>
      </c>
      <c r="S650" s="5">
        <v>10</v>
      </c>
      <c r="T650" s="6">
        <f t="shared" si="30"/>
        <v>41123.699999999997</v>
      </c>
      <c r="U650" s="4">
        <v>6014.47</v>
      </c>
      <c r="V650" t="str">
        <f t="shared" si="31"/>
        <v>Sep</v>
      </c>
      <c r="W650">
        <f t="shared" si="32"/>
        <v>0.14625313383766539</v>
      </c>
    </row>
    <row r="651" spans="1:23" x14ac:dyDescent="0.4">
      <c r="A651" s="4" t="s">
        <v>2169</v>
      </c>
      <c r="B651" s="4" t="s">
        <v>1329</v>
      </c>
      <c r="C651" s="11">
        <v>45188</v>
      </c>
      <c r="D651" s="4" t="s">
        <v>39</v>
      </c>
      <c r="E651" s="4" t="s">
        <v>24</v>
      </c>
      <c r="F651" s="4" t="s">
        <v>25</v>
      </c>
      <c r="G651" s="4" t="s">
        <v>92</v>
      </c>
      <c r="H651" s="4" t="s">
        <v>2170</v>
      </c>
      <c r="I651" s="4" t="s">
        <v>61</v>
      </c>
      <c r="J651" s="4" t="s">
        <v>29</v>
      </c>
      <c r="K651" s="4" t="s">
        <v>44</v>
      </c>
      <c r="L651" s="4" t="s">
        <v>699</v>
      </c>
      <c r="M651" s="4" t="s">
        <v>81</v>
      </c>
      <c r="N651" s="4" t="s">
        <v>54</v>
      </c>
      <c r="O651" s="4" t="s">
        <v>120</v>
      </c>
      <c r="P651" s="4" t="s">
        <v>35</v>
      </c>
      <c r="Q651" s="4">
        <v>1</v>
      </c>
      <c r="R651" s="4">
        <v>34979</v>
      </c>
      <c r="S651" s="5">
        <v>20</v>
      </c>
      <c r="T651" s="6">
        <f t="shared" si="30"/>
        <v>27983.200000000001</v>
      </c>
      <c r="U651" s="4">
        <v>2086.66</v>
      </c>
      <c r="V651" t="str">
        <f t="shared" si="31"/>
        <v>Sep</v>
      </c>
      <c r="W651">
        <f t="shared" si="32"/>
        <v>7.4568312416021035E-2</v>
      </c>
    </row>
    <row r="652" spans="1:23" x14ac:dyDescent="0.4">
      <c r="A652" s="4" t="s">
        <v>2171</v>
      </c>
      <c r="B652" s="4" t="s">
        <v>1491</v>
      </c>
      <c r="C652" s="11">
        <v>44989</v>
      </c>
      <c r="D652" s="4" t="s">
        <v>23</v>
      </c>
      <c r="E652" s="4" t="s">
        <v>24</v>
      </c>
      <c r="F652" s="4" t="s">
        <v>25</v>
      </c>
      <c r="G652" s="4" t="s">
        <v>99</v>
      </c>
      <c r="H652" s="4" t="s">
        <v>2172</v>
      </c>
      <c r="I652" s="4" t="s">
        <v>61</v>
      </c>
      <c r="J652" s="4" t="s">
        <v>29</v>
      </c>
      <c r="K652" s="4" t="s">
        <v>86</v>
      </c>
      <c r="L652" s="4" t="s">
        <v>208</v>
      </c>
      <c r="M652" s="4" t="s">
        <v>81</v>
      </c>
      <c r="N652" s="4" t="s">
        <v>33</v>
      </c>
      <c r="O652" s="4" t="s">
        <v>46</v>
      </c>
      <c r="P652" s="4" t="s">
        <v>74</v>
      </c>
      <c r="Q652" s="4">
        <v>6</v>
      </c>
      <c r="R652" s="4">
        <v>27924</v>
      </c>
      <c r="S652" s="5">
        <v>10</v>
      </c>
      <c r="T652" s="6">
        <f t="shared" si="30"/>
        <v>150789.6</v>
      </c>
      <c r="U652" s="4">
        <v>30996.5</v>
      </c>
      <c r="V652" t="str">
        <f t="shared" si="31"/>
        <v>Feb</v>
      </c>
      <c r="W652">
        <f t="shared" si="32"/>
        <v>0.20556125886665924</v>
      </c>
    </row>
    <row r="653" spans="1:23" x14ac:dyDescent="0.4">
      <c r="A653" s="4" t="s">
        <v>2173</v>
      </c>
      <c r="B653" s="4" t="s">
        <v>509</v>
      </c>
      <c r="C653" s="11">
        <v>44687</v>
      </c>
      <c r="D653" s="4" t="s">
        <v>23</v>
      </c>
      <c r="E653" s="4" t="s">
        <v>24</v>
      </c>
      <c r="F653" s="4" t="s">
        <v>26</v>
      </c>
      <c r="G653" s="4" t="s">
        <v>26</v>
      </c>
      <c r="H653" s="4" t="s">
        <v>2174</v>
      </c>
      <c r="I653" s="4" t="s">
        <v>61</v>
      </c>
      <c r="J653" s="4" t="s">
        <v>29</v>
      </c>
      <c r="K653" s="4" t="s">
        <v>44</v>
      </c>
      <c r="L653" s="4" t="s">
        <v>757</v>
      </c>
      <c r="M653" s="4" t="s">
        <v>81</v>
      </c>
      <c r="N653" s="4" t="s">
        <v>54</v>
      </c>
      <c r="O653" s="4" t="s">
        <v>34</v>
      </c>
      <c r="P653" s="4" t="s">
        <v>47</v>
      </c>
      <c r="Q653" s="4">
        <v>9</v>
      </c>
      <c r="R653" s="4">
        <v>19954</v>
      </c>
      <c r="S653" s="5">
        <v>20</v>
      </c>
      <c r="T653" s="6">
        <f t="shared" si="30"/>
        <v>143668.79999999999</v>
      </c>
      <c r="U653" s="4">
        <v>-19971.330000000002</v>
      </c>
      <c r="V653" t="str">
        <f t="shared" si="31"/>
        <v>May</v>
      </c>
      <c r="W653">
        <f t="shared" si="32"/>
        <v>-0.1390095135478267</v>
      </c>
    </row>
    <row r="654" spans="1:23" x14ac:dyDescent="0.4">
      <c r="A654" s="4" t="s">
        <v>2175</v>
      </c>
      <c r="B654" s="4" t="s">
        <v>612</v>
      </c>
      <c r="C654" s="11">
        <v>44672</v>
      </c>
      <c r="D654" s="4" t="s">
        <v>124</v>
      </c>
      <c r="E654" s="4" t="s">
        <v>24</v>
      </c>
      <c r="F654" s="4" t="s">
        <v>58</v>
      </c>
      <c r="G654" s="4" t="s">
        <v>26</v>
      </c>
      <c r="H654" s="4" t="s">
        <v>2177</v>
      </c>
      <c r="I654" s="4" t="s">
        <v>43</v>
      </c>
      <c r="J654" s="4" t="s">
        <v>29</v>
      </c>
      <c r="K654" s="4" t="s">
        <v>63</v>
      </c>
      <c r="L654" s="4" t="s">
        <v>52</v>
      </c>
      <c r="M654" s="4" t="s">
        <v>53</v>
      </c>
      <c r="N654" s="4" t="s">
        <v>33</v>
      </c>
      <c r="O654" s="4" t="s">
        <v>46</v>
      </c>
      <c r="P654" s="4" t="s">
        <v>88</v>
      </c>
      <c r="Q654" s="4">
        <v>3</v>
      </c>
      <c r="R654" s="4">
        <v>25390</v>
      </c>
      <c r="S654" s="5">
        <v>20</v>
      </c>
      <c r="T654" s="6">
        <f t="shared" si="30"/>
        <v>60936</v>
      </c>
      <c r="U654" s="4">
        <v>-1422.36</v>
      </c>
      <c r="V654" t="str">
        <f t="shared" si="31"/>
        <v>Apr</v>
      </c>
      <c r="W654">
        <f t="shared" si="32"/>
        <v>-2.3341866876723117E-2</v>
      </c>
    </row>
    <row r="655" spans="1:23" x14ac:dyDescent="0.4">
      <c r="A655" s="4" t="s">
        <v>2178</v>
      </c>
      <c r="B655" s="4" t="s">
        <v>1476</v>
      </c>
      <c r="C655" s="11">
        <v>45223</v>
      </c>
      <c r="D655" s="4" t="s">
        <v>98</v>
      </c>
      <c r="E655" s="4" t="s">
        <v>24</v>
      </c>
      <c r="F655" s="4" t="s">
        <v>58</v>
      </c>
      <c r="G655" s="4" t="s">
        <v>26</v>
      </c>
      <c r="H655" s="4" t="s">
        <v>1511</v>
      </c>
      <c r="I655" s="4" t="s">
        <v>28</v>
      </c>
      <c r="J655" s="4" t="s">
        <v>62</v>
      </c>
      <c r="K655" s="4" t="s">
        <v>86</v>
      </c>
      <c r="L655" s="4" t="s">
        <v>1065</v>
      </c>
      <c r="M655" s="4" t="s">
        <v>65</v>
      </c>
      <c r="N655" s="4" t="s">
        <v>33</v>
      </c>
      <c r="O655" s="4" t="s">
        <v>82</v>
      </c>
      <c r="P655" s="4" t="s">
        <v>47</v>
      </c>
      <c r="Q655" s="4">
        <v>4</v>
      </c>
      <c r="R655" s="4">
        <v>618</v>
      </c>
      <c r="S655" s="5">
        <v>0</v>
      </c>
      <c r="T655" s="6">
        <f t="shared" si="30"/>
        <v>2472</v>
      </c>
      <c r="U655" s="4">
        <v>356.28</v>
      </c>
      <c r="V655" t="str">
        <f t="shared" si="31"/>
        <v>Oct</v>
      </c>
      <c r="W655">
        <f t="shared" si="32"/>
        <v>0.14412621359223299</v>
      </c>
    </row>
    <row r="656" spans="1:23" x14ac:dyDescent="0.4">
      <c r="A656" s="4" t="s">
        <v>2179</v>
      </c>
      <c r="B656" s="4" t="s">
        <v>239</v>
      </c>
      <c r="C656" s="11">
        <v>45344</v>
      </c>
      <c r="D656" s="4" t="s">
        <v>39</v>
      </c>
      <c r="E656" s="4" t="s">
        <v>24</v>
      </c>
      <c r="F656" s="4" t="s">
        <v>70</v>
      </c>
      <c r="G656" s="4" t="s">
        <v>41</v>
      </c>
      <c r="H656" s="4" t="s">
        <v>2180</v>
      </c>
      <c r="I656" s="4" t="s">
        <v>61</v>
      </c>
      <c r="J656" s="4" t="s">
        <v>62</v>
      </c>
      <c r="K656" s="4" t="s">
        <v>86</v>
      </c>
      <c r="L656" s="4" t="s">
        <v>2139</v>
      </c>
      <c r="M656" s="4" t="s">
        <v>32</v>
      </c>
      <c r="N656" s="4" t="s">
        <v>33</v>
      </c>
      <c r="O656" s="4" t="s">
        <v>66</v>
      </c>
      <c r="P656" s="4" t="s">
        <v>47</v>
      </c>
      <c r="Q656" s="4">
        <v>6</v>
      </c>
      <c r="R656" s="4">
        <v>1816</v>
      </c>
      <c r="S656" s="5">
        <v>5</v>
      </c>
      <c r="T656" s="6">
        <f t="shared" si="30"/>
        <v>10351.200000000001</v>
      </c>
      <c r="U656" s="4">
        <v>824.12</v>
      </c>
      <c r="V656" t="str">
        <f t="shared" si="31"/>
        <v>Feb</v>
      </c>
      <c r="W656">
        <f t="shared" si="32"/>
        <v>7.9615889945127125E-2</v>
      </c>
    </row>
    <row r="657" spans="1:23" x14ac:dyDescent="0.4">
      <c r="A657" s="4" t="s">
        <v>2181</v>
      </c>
      <c r="B657" s="4" t="s">
        <v>460</v>
      </c>
      <c r="C657" s="11">
        <v>45301</v>
      </c>
      <c r="D657" s="4" t="s">
        <v>39</v>
      </c>
      <c r="E657" s="4" t="s">
        <v>24</v>
      </c>
      <c r="F657" s="4" t="s">
        <v>26</v>
      </c>
      <c r="G657" s="4" t="s">
        <v>59</v>
      </c>
      <c r="H657" s="4" t="s">
        <v>2183</v>
      </c>
      <c r="I657" s="4" t="s">
        <v>28</v>
      </c>
      <c r="J657" s="4" t="s">
        <v>29</v>
      </c>
      <c r="K657" s="4" t="s">
        <v>30</v>
      </c>
      <c r="L657" s="4" t="s">
        <v>135</v>
      </c>
      <c r="M657" s="4" t="s">
        <v>53</v>
      </c>
      <c r="N657" s="4" t="s">
        <v>33</v>
      </c>
      <c r="O657" s="4" t="s">
        <v>120</v>
      </c>
      <c r="P657" s="4" t="s">
        <v>35</v>
      </c>
      <c r="Q657" s="4">
        <v>8</v>
      </c>
      <c r="R657" s="4">
        <v>36595</v>
      </c>
      <c r="S657" s="5">
        <v>20</v>
      </c>
      <c r="T657" s="6">
        <f t="shared" si="30"/>
        <v>234208</v>
      </c>
      <c r="U657" s="4">
        <v>9870.6200000000008</v>
      </c>
      <c r="V657" t="str">
        <f t="shared" si="31"/>
        <v>Jan</v>
      </c>
      <c r="W657">
        <f t="shared" si="32"/>
        <v>4.2144674818964341E-2</v>
      </c>
    </row>
    <row r="658" spans="1:23" x14ac:dyDescent="0.4">
      <c r="A658" s="4" t="s">
        <v>2184</v>
      </c>
      <c r="B658" s="4" t="s">
        <v>1087</v>
      </c>
      <c r="C658" s="11">
        <v>44989</v>
      </c>
      <c r="D658" s="4" t="s">
        <v>23</v>
      </c>
      <c r="E658" s="4" t="s">
        <v>24</v>
      </c>
      <c r="F658" s="4" t="s">
        <v>58</v>
      </c>
      <c r="G658" s="4" t="s">
        <v>59</v>
      </c>
      <c r="H658" s="4" t="s">
        <v>2185</v>
      </c>
      <c r="I658" s="4" t="s">
        <v>43</v>
      </c>
      <c r="J658" s="4" t="s">
        <v>62</v>
      </c>
      <c r="K658" s="4" t="s">
        <v>86</v>
      </c>
      <c r="L658" s="4" t="s">
        <v>822</v>
      </c>
      <c r="M658" s="4" t="s">
        <v>65</v>
      </c>
      <c r="N658" s="4" t="s">
        <v>54</v>
      </c>
      <c r="O658" s="4" t="s">
        <v>120</v>
      </c>
      <c r="P658" s="4" t="s">
        <v>88</v>
      </c>
      <c r="Q658" s="4">
        <v>6</v>
      </c>
      <c r="R658" s="4">
        <v>41704</v>
      </c>
      <c r="S658" s="5">
        <v>0</v>
      </c>
      <c r="T658" s="6">
        <f t="shared" si="30"/>
        <v>250224</v>
      </c>
      <c r="U658" s="4">
        <v>58587.28</v>
      </c>
      <c r="V658" t="str">
        <f t="shared" si="31"/>
        <v>Feb</v>
      </c>
      <c r="W658">
        <f t="shared" si="32"/>
        <v>0.23413933115928129</v>
      </c>
    </row>
    <row r="659" spans="1:23" x14ac:dyDescent="0.4">
      <c r="A659" s="4" t="s">
        <v>2186</v>
      </c>
      <c r="B659" s="4" t="s">
        <v>2187</v>
      </c>
      <c r="C659" s="11">
        <v>45019</v>
      </c>
      <c r="D659" s="4" t="s">
        <v>124</v>
      </c>
      <c r="E659" s="4" t="s">
        <v>24</v>
      </c>
      <c r="F659" s="4" t="s">
        <v>26</v>
      </c>
      <c r="G659" s="4" t="s">
        <v>41</v>
      </c>
      <c r="H659" s="4" t="s">
        <v>2188</v>
      </c>
      <c r="I659" s="4" t="s">
        <v>28</v>
      </c>
      <c r="J659" s="4" t="s">
        <v>29</v>
      </c>
      <c r="K659" s="4" t="s">
        <v>30</v>
      </c>
      <c r="L659" s="4" t="s">
        <v>418</v>
      </c>
      <c r="M659" s="4" t="s">
        <v>65</v>
      </c>
      <c r="N659" s="4" t="s">
        <v>54</v>
      </c>
      <c r="O659" s="4" t="s">
        <v>120</v>
      </c>
      <c r="P659" s="4" t="s">
        <v>74</v>
      </c>
      <c r="Q659" s="4">
        <v>1</v>
      </c>
      <c r="R659" s="4">
        <v>21562</v>
      </c>
      <c r="S659" s="5">
        <v>15</v>
      </c>
      <c r="T659" s="6">
        <f t="shared" si="30"/>
        <v>18327.7</v>
      </c>
      <c r="U659" s="4">
        <v>-390.71</v>
      </c>
      <c r="V659" t="str">
        <f t="shared" si="31"/>
        <v>Mar</v>
      </c>
      <c r="W659">
        <f t="shared" si="32"/>
        <v>-2.1318004986986907E-2</v>
      </c>
    </row>
    <row r="660" spans="1:23" x14ac:dyDescent="0.4">
      <c r="A660" s="4" t="s">
        <v>2189</v>
      </c>
      <c r="B660" s="4" t="s">
        <v>466</v>
      </c>
      <c r="C660" s="11">
        <v>44850</v>
      </c>
      <c r="D660" s="4" t="s">
        <v>39</v>
      </c>
      <c r="E660" s="4" t="s">
        <v>24</v>
      </c>
      <c r="F660" s="4" t="s">
        <v>70</v>
      </c>
      <c r="G660" s="4" t="s">
        <v>99</v>
      </c>
      <c r="H660" s="4" t="s">
        <v>2190</v>
      </c>
      <c r="I660" s="4" t="s">
        <v>28</v>
      </c>
      <c r="J660" s="4" t="s">
        <v>29</v>
      </c>
      <c r="K660" s="4" t="s">
        <v>30</v>
      </c>
      <c r="L660" s="4" t="s">
        <v>382</v>
      </c>
      <c r="M660" s="4" t="s">
        <v>95</v>
      </c>
      <c r="N660" s="4" t="s">
        <v>33</v>
      </c>
      <c r="O660" s="4" t="s">
        <v>66</v>
      </c>
      <c r="P660" s="4" t="s">
        <v>74</v>
      </c>
      <c r="Q660" s="4">
        <v>3</v>
      </c>
      <c r="R660" s="4">
        <v>20457</v>
      </c>
      <c r="S660" s="5">
        <v>15</v>
      </c>
      <c r="T660" s="6">
        <f t="shared" si="30"/>
        <v>52165.35</v>
      </c>
      <c r="U660" s="4">
        <v>-2831.8</v>
      </c>
      <c r="V660" t="str">
        <f t="shared" si="31"/>
        <v>Oct</v>
      </c>
      <c r="W660">
        <f t="shared" si="32"/>
        <v>-5.4285076204798784E-2</v>
      </c>
    </row>
    <row r="661" spans="1:23" x14ac:dyDescent="0.4">
      <c r="A661" s="4" t="s">
        <v>2191</v>
      </c>
      <c r="B661" s="4" t="s">
        <v>2192</v>
      </c>
      <c r="C661" s="11">
        <v>44989</v>
      </c>
      <c r="D661" s="4" t="s">
        <v>23</v>
      </c>
      <c r="E661" s="4" t="s">
        <v>24</v>
      </c>
      <c r="F661" s="4" t="s">
        <v>70</v>
      </c>
      <c r="G661" s="4" t="s">
        <v>59</v>
      </c>
      <c r="H661" s="4" t="s">
        <v>2193</v>
      </c>
      <c r="I661" s="4" t="s">
        <v>43</v>
      </c>
      <c r="J661" s="4" t="s">
        <v>29</v>
      </c>
      <c r="K661" s="4" t="s">
        <v>30</v>
      </c>
      <c r="L661" s="4" t="s">
        <v>601</v>
      </c>
      <c r="M661" s="4" t="s">
        <v>81</v>
      </c>
      <c r="N661" s="4" t="s">
        <v>33</v>
      </c>
      <c r="O661" s="4" t="s">
        <v>34</v>
      </c>
      <c r="P661" s="4" t="s">
        <v>47</v>
      </c>
      <c r="Q661" s="4">
        <v>4</v>
      </c>
      <c r="R661" s="4">
        <v>41523</v>
      </c>
      <c r="S661" s="5">
        <v>5</v>
      </c>
      <c r="T661" s="6">
        <f t="shared" si="30"/>
        <v>157787.4</v>
      </c>
      <c r="U661" s="4">
        <v>14576.31</v>
      </c>
      <c r="V661" t="str">
        <f t="shared" si="31"/>
        <v>Mar</v>
      </c>
      <c r="W661">
        <f t="shared" si="32"/>
        <v>9.2379429536198709E-2</v>
      </c>
    </row>
    <row r="662" spans="1:23" x14ac:dyDescent="0.4">
      <c r="A662" s="4" t="s">
        <v>2194</v>
      </c>
      <c r="B662" s="4" t="s">
        <v>2195</v>
      </c>
      <c r="C662" s="11">
        <v>45557</v>
      </c>
      <c r="D662" s="4" t="s">
        <v>98</v>
      </c>
      <c r="E662" s="4" t="s">
        <v>24</v>
      </c>
      <c r="F662" s="4" t="s">
        <v>70</v>
      </c>
      <c r="G662" s="4" t="s">
        <v>26</v>
      </c>
      <c r="H662" s="4" t="s">
        <v>2196</v>
      </c>
      <c r="I662" s="4" t="s">
        <v>28</v>
      </c>
      <c r="J662" s="4" t="s">
        <v>62</v>
      </c>
      <c r="K662" s="4" t="s">
        <v>30</v>
      </c>
      <c r="L662" s="4" t="s">
        <v>282</v>
      </c>
      <c r="M662" s="4" t="s">
        <v>53</v>
      </c>
      <c r="N662" s="4" t="s">
        <v>33</v>
      </c>
      <c r="O662" s="4" t="s">
        <v>66</v>
      </c>
      <c r="P662" s="4" t="s">
        <v>88</v>
      </c>
      <c r="Q662" s="4">
        <v>8</v>
      </c>
      <c r="R662" s="4">
        <v>26569</v>
      </c>
      <c r="S662" s="5">
        <v>0</v>
      </c>
      <c r="T662" s="6">
        <f t="shared" si="30"/>
        <v>212552</v>
      </c>
      <c r="U662" s="4">
        <v>33060.35</v>
      </c>
      <c r="V662" t="str">
        <f t="shared" si="31"/>
        <v>Sep</v>
      </c>
      <c r="W662">
        <f t="shared" si="32"/>
        <v>0.15554005608039445</v>
      </c>
    </row>
    <row r="663" spans="1:23" x14ac:dyDescent="0.4">
      <c r="A663" s="4" t="s">
        <v>2197</v>
      </c>
      <c r="B663" s="4" t="s">
        <v>1087</v>
      </c>
      <c r="C663" s="11">
        <v>44991</v>
      </c>
      <c r="D663" s="4" t="s">
        <v>23</v>
      </c>
      <c r="E663" s="4" t="s">
        <v>24</v>
      </c>
      <c r="F663" s="4" t="s">
        <v>58</v>
      </c>
      <c r="G663" s="4" t="s">
        <v>41</v>
      </c>
      <c r="H663" s="4" t="s">
        <v>2198</v>
      </c>
      <c r="I663" s="4" t="s">
        <v>28</v>
      </c>
      <c r="J663" s="4" t="s">
        <v>62</v>
      </c>
      <c r="K663" s="4" t="s">
        <v>101</v>
      </c>
      <c r="L663" s="4" t="s">
        <v>1725</v>
      </c>
      <c r="M663" s="4" t="s">
        <v>65</v>
      </c>
      <c r="N663" s="4" t="s">
        <v>33</v>
      </c>
      <c r="O663" s="4" t="s">
        <v>120</v>
      </c>
      <c r="P663" s="4" t="s">
        <v>47</v>
      </c>
      <c r="Q663" s="4">
        <v>4</v>
      </c>
      <c r="R663" s="4">
        <v>28151</v>
      </c>
      <c r="S663" s="5">
        <v>0</v>
      </c>
      <c r="T663" s="6">
        <f t="shared" si="30"/>
        <v>112604</v>
      </c>
      <c r="U663" s="4">
        <v>7622.14</v>
      </c>
      <c r="V663" t="str">
        <f t="shared" si="31"/>
        <v>Feb</v>
      </c>
      <c r="W663">
        <f t="shared" si="32"/>
        <v>6.7689780114383147E-2</v>
      </c>
    </row>
    <row r="664" spans="1:23" x14ac:dyDescent="0.4">
      <c r="A664" s="4" t="s">
        <v>2199</v>
      </c>
      <c r="B664" s="4" t="s">
        <v>1859</v>
      </c>
      <c r="C664" s="11">
        <v>45012</v>
      </c>
      <c r="D664" s="4" t="s">
        <v>39</v>
      </c>
      <c r="E664" s="4" t="s">
        <v>24</v>
      </c>
      <c r="F664" s="4" t="s">
        <v>70</v>
      </c>
      <c r="G664" s="4" t="s">
        <v>92</v>
      </c>
      <c r="H664" s="4" t="s">
        <v>2200</v>
      </c>
      <c r="I664" s="4" t="s">
        <v>61</v>
      </c>
      <c r="J664" s="4" t="s">
        <v>29</v>
      </c>
      <c r="K664" s="4" t="s">
        <v>101</v>
      </c>
      <c r="L664" s="4" t="s">
        <v>296</v>
      </c>
      <c r="M664" s="4" t="s">
        <v>53</v>
      </c>
      <c r="N664" s="4" t="s">
        <v>33</v>
      </c>
      <c r="O664" s="4" t="s">
        <v>34</v>
      </c>
      <c r="P664" s="4" t="s">
        <v>47</v>
      </c>
      <c r="Q664" s="4">
        <v>8</v>
      </c>
      <c r="R664" s="4">
        <v>46931</v>
      </c>
      <c r="S664" s="5">
        <v>10</v>
      </c>
      <c r="T664" s="6">
        <f t="shared" si="30"/>
        <v>337903.2</v>
      </c>
      <c r="U664" s="4">
        <v>44012.42</v>
      </c>
      <c r="V664" t="str">
        <f t="shared" si="31"/>
        <v>Mar</v>
      </c>
      <c r="W664">
        <f t="shared" si="32"/>
        <v>0.13025156316957046</v>
      </c>
    </row>
    <row r="665" spans="1:23" x14ac:dyDescent="0.4">
      <c r="A665" s="4" t="s">
        <v>2201</v>
      </c>
      <c r="B665" s="4" t="s">
        <v>1686</v>
      </c>
      <c r="C665" s="11">
        <v>44890</v>
      </c>
      <c r="D665" s="4" t="s">
        <v>23</v>
      </c>
      <c r="E665" s="4" t="s">
        <v>24</v>
      </c>
      <c r="F665" s="4" t="s">
        <v>26</v>
      </c>
      <c r="G665" s="4" t="s">
        <v>26</v>
      </c>
      <c r="H665" s="4" t="s">
        <v>2202</v>
      </c>
      <c r="I665" s="4" t="s">
        <v>28</v>
      </c>
      <c r="J665" s="4" t="s">
        <v>79</v>
      </c>
      <c r="K665" s="4" t="s">
        <v>44</v>
      </c>
      <c r="L665" s="4" t="s">
        <v>2203</v>
      </c>
      <c r="M665" s="4" t="s">
        <v>73</v>
      </c>
      <c r="N665" s="4" t="s">
        <v>54</v>
      </c>
      <c r="O665" s="4" t="s">
        <v>46</v>
      </c>
      <c r="P665" s="4" t="s">
        <v>74</v>
      </c>
      <c r="Q665" s="4">
        <v>1</v>
      </c>
      <c r="R665" s="4">
        <v>4162</v>
      </c>
      <c r="S665" s="5">
        <v>10</v>
      </c>
      <c r="T665" s="6">
        <f t="shared" si="30"/>
        <v>3745.8</v>
      </c>
      <c r="U665" s="4">
        <v>327.07</v>
      </c>
      <c r="V665" t="str">
        <f t="shared" si="31"/>
        <v>Nov</v>
      </c>
      <c r="W665">
        <f t="shared" si="32"/>
        <v>8.7316461103102136E-2</v>
      </c>
    </row>
    <row r="666" spans="1:23" x14ac:dyDescent="0.4">
      <c r="A666" s="4" t="s">
        <v>2204</v>
      </c>
      <c r="B666" s="4" t="s">
        <v>151</v>
      </c>
      <c r="C666" s="11">
        <v>45193</v>
      </c>
      <c r="D666" s="4" t="s">
        <v>23</v>
      </c>
      <c r="E666" s="4" t="s">
        <v>24</v>
      </c>
      <c r="F666" s="4" t="s">
        <v>25</v>
      </c>
      <c r="G666" s="4" t="s">
        <v>92</v>
      </c>
      <c r="H666" s="4" t="s">
        <v>2205</v>
      </c>
      <c r="I666" s="4" t="s">
        <v>61</v>
      </c>
      <c r="J666" s="4" t="s">
        <v>79</v>
      </c>
      <c r="K666" s="4" t="s">
        <v>63</v>
      </c>
      <c r="L666" s="4" t="s">
        <v>301</v>
      </c>
      <c r="M666" s="4" t="s">
        <v>95</v>
      </c>
      <c r="N666" s="4" t="s">
        <v>54</v>
      </c>
      <c r="O666" s="4" t="s">
        <v>66</v>
      </c>
      <c r="P666" s="4" t="s">
        <v>47</v>
      </c>
      <c r="Q666" s="4">
        <v>7</v>
      </c>
      <c r="R666" s="4">
        <v>36563</v>
      </c>
      <c r="S666" s="5">
        <v>0</v>
      </c>
      <c r="T666" s="6">
        <f t="shared" si="30"/>
        <v>255941</v>
      </c>
      <c r="U666" s="4">
        <v>74136.56</v>
      </c>
      <c r="V666" t="str">
        <f t="shared" si="31"/>
        <v>Sep</v>
      </c>
      <c r="W666">
        <f t="shared" si="32"/>
        <v>0.28966269569939945</v>
      </c>
    </row>
    <row r="667" spans="1:23" x14ac:dyDescent="0.4">
      <c r="A667" s="4" t="s">
        <v>2206</v>
      </c>
      <c r="B667" s="4" t="s">
        <v>137</v>
      </c>
      <c r="C667" s="11">
        <v>44631</v>
      </c>
      <c r="D667" s="4" t="s">
        <v>23</v>
      </c>
      <c r="E667" s="4" t="s">
        <v>24</v>
      </c>
      <c r="F667" s="4" t="s">
        <v>70</v>
      </c>
      <c r="G667" s="4" t="s">
        <v>41</v>
      </c>
      <c r="H667" s="4" t="s">
        <v>2207</v>
      </c>
      <c r="I667" s="4" t="s">
        <v>43</v>
      </c>
      <c r="J667" s="4" t="s">
        <v>79</v>
      </c>
      <c r="K667" s="4" t="s">
        <v>153</v>
      </c>
      <c r="L667" s="4" t="s">
        <v>154</v>
      </c>
      <c r="M667" s="4" t="s">
        <v>65</v>
      </c>
      <c r="N667" s="4" t="s">
        <v>54</v>
      </c>
      <c r="O667" s="4" t="s">
        <v>120</v>
      </c>
      <c r="P667" s="4" t="s">
        <v>35</v>
      </c>
      <c r="Q667" s="4">
        <v>6</v>
      </c>
      <c r="R667" s="4">
        <v>5971</v>
      </c>
      <c r="S667" s="5">
        <v>10</v>
      </c>
      <c r="T667" s="6">
        <f t="shared" si="30"/>
        <v>32243.4</v>
      </c>
      <c r="U667" s="4">
        <v>3017.32</v>
      </c>
      <c r="V667" t="str">
        <f t="shared" si="31"/>
        <v>Mar</v>
      </c>
      <c r="W667">
        <f t="shared" si="32"/>
        <v>9.3579461223072008E-2</v>
      </c>
    </row>
    <row r="668" spans="1:23" x14ac:dyDescent="0.4">
      <c r="A668" s="4" t="s">
        <v>2208</v>
      </c>
      <c r="B668" s="4" t="s">
        <v>2209</v>
      </c>
      <c r="C668" s="11">
        <v>45130</v>
      </c>
      <c r="D668" s="4" t="s">
        <v>98</v>
      </c>
      <c r="E668" s="4" t="s">
        <v>24</v>
      </c>
      <c r="F668" s="4" t="s">
        <v>40</v>
      </c>
      <c r="G668" s="4" t="s">
        <v>99</v>
      </c>
      <c r="H668" s="4" t="s">
        <v>1870</v>
      </c>
      <c r="I668" s="4" t="s">
        <v>43</v>
      </c>
      <c r="J668" s="4" t="s">
        <v>29</v>
      </c>
      <c r="K668" s="4" t="s">
        <v>101</v>
      </c>
      <c r="L668" s="4" t="s">
        <v>203</v>
      </c>
      <c r="M668" s="4" t="s">
        <v>65</v>
      </c>
      <c r="N668" s="4" t="s">
        <v>33</v>
      </c>
      <c r="O668" s="4" t="s">
        <v>34</v>
      </c>
      <c r="P668" s="4" t="s">
        <v>47</v>
      </c>
      <c r="Q668" s="4">
        <v>5</v>
      </c>
      <c r="R668" s="4">
        <v>28923</v>
      </c>
      <c r="S668" s="5">
        <v>5</v>
      </c>
      <c r="T668" s="6">
        <f t="shared" si="30"/>
        <v>137384.25</v>
      </c>
      <c r="U668" s="4">
        <v>27891.18</v>
      </c>
      <c r="V668" t="str">
        <f t="shared" si="31"/>
        <v>Jul</v>
      </c>
      <c r="W668">
        <f t="shared" si="32"/>
        <v>0.20301584788649354</v>
      </c>
    </row>
    <row r="669" spans="1:23" x14ac:dyDescent="0.4">
      <c r="A669" s="4" t="s">
        <v>2211</v>
      </c>
      <c r="B669" s="4" t="s">
        <v>1856</v>
      </c>
      <c r="C669" s="11">
        <v>44842</v>
      </c>
      <c r="D669" s="4" t="s">
        <v>39</v>
      </c>
      <c r="E669" s="4" t="s">
        <v>24</v>
      </c>
      <c r="F669" s="4" t="s">
        <v>25</v>
      </c>
      <c r="G669" s="4" t="s">
        <v>26</v>
      </c>
      <c r="H669" s="4" t="s">
        <v>2212</v>
      </c>
      <c r="I669" s="4" t="s">
        <v>43</v>
      </c>
      <c r="J669" s="4" t="s">
        <v>79</v>
      </c>
      <c r="K669" s="4" t="s">
        <v>63</v>
      </c>
      <c r="L669" s="4" t="s">
        <v>457</v>
      </c>
      <c r="M669" s="4" t="s">
        <v>65</v>
      </c>
      <c r="N669" s="4" t="s">
        <v>54</v>
      </c>
      <c r="O669" s="4" t="s">
        <v>34</v>
      </c>
      <c r="P669" s="4" t="s">
        <v>88</v>
      </c>
      <c r="Q669" s="4">
        <v>5</v>
      </c>
      <c r="R669" s="4">
        <v>28596</v>
      </c>
      <c r="S669" s="5">
        <v>15</v>
      </c>
      <c r="T669" s="6">
        <f t="shared" si="30"/>
        <v>121533</v>
      </c>
      <c r="U669" s="4">
        <v>-3688.26</v>
      </c>
      <c r="V669" t="str">
        <f t="shared" si="31"/>
        <v>Oct</v>
      </c>
      <c r="W669">
        <f t="shared" si="32"/>
        <v>-3.0347806768532007E-2</v>
      </c>
    </row>
    <row r="670" spans="1:23" x14ac:dyDescent="0.4">
      <c r="A670" s="4" t="s">
        <v>2213</v>
      </c>
      <c r="B670" s="4" t="s">
        <v>389</v>
      </c>
      <c r="C670" s="11">
        <v>45172</v>
      </c>
      <c r="D670" s="4" t="s">
        <v>98</v>
      </c>
      <c r="E670" s="4" t="s">
        <v>24</v>
      </c>
      <c r="F670" s="4" t="s">
        <v>58</v>
      </c>
      <c r="G670" s="4" t="s">
        <v>59</v>
      </c>
      <c r="H670" s="4" t="s">
        <v>2215</v>
      </c>
      <c r="I670" s="4" t="s">
        <v>28</v>
      </c>
      <c r="J670" s="4" t="s">
        <v>29</v>
      </c>
      <c r="K670" s="4" t="s">
        <v>30</v>
      </c>
      <c r="L670" s="4" t="s">
        <v>203</v>
      </c>
      <c r="M670" s="4" t="s">
        <v>53</v>
      </c>
      <c r="N670" s="4" t="s">
        <v>33</v>
      </c>
      <c r="O670" s="4" t="s">
        <v>46</v>
      </c>
      <c r="P670" s="4" t="s">
        <v>47</v>
      </c>
      <c r="Q670" s="4">
        <v>8</v>
      </c>
      <c r="R670" s="4">
        <v>26560</v>
      </c>
      <c r="S670" s="5">
        <v>15</v>
      </c>
      <c r="T670" s="6">
        <f t="shared" si="30"/>
        <v>180608</v>
      </c>
      <c r="U670" s="4">
        <v>30465.72</v>
      </c>
      <c r="V670" t="str">
        <f t="shared" si="31"/>
        <v>Aug</v>
      </c>
      <c r="W670">
        <f t="shared" si="32"/>
        <v>0.16868422218284904</v>
      </c>
    </row>
    <row r="671" spans="1:23" x14ac:dyDescent="0.4">
      <c r="A671" s="4" t="s">
        <v>2216</v>
      </c>
      <c r="B671" s="4" t="s">
        <v>2217</v>
      </c>
      <c r="C671" s="11">
        <v>45541</v>
      </c>
      <c r="D671" s="4" t="s">
        <v>124</v>
      </c>
      <c r="E671" s="4" t="s">
        <v>24</v>
      </c>
      <c r="F671" s="4" t="s">
        <v>26</v>
      </c>
      <c r="G671" s="4" t="s">
        <v>99</v>
      </c>
      <c r="H671" s="4" t="s">
        <v>1365</v>
      </c>
      <c r="I671" s="4" t="s">
        <v>28</v>
      </c>
      <c r="J671" s="4" t="s">
        <v>79</v>
      </c>
      <c r="K671" s="4" t="s">
        <v>101</v>
      </c>
      <c r="L671" s="4" t="s">
        <v>544</v>
      </c>
      <c r="M671" s="4" t="s">
        <v>95</v>
      </c>
      <c r="N671" s="4" t="s">
        <v>33</v>
      </c>
      <c r="O671" s="4" t="s">
        <v>34</v>
      </c>
      <c r="P671" s="4" t="s">
        <v>88</v>
      </c>
      <c r="Q671" s="4">
        <v>9</v>
      </c>
      <c r="R671" s="4">
        <v>47481</v>
      </c>
      <c r="S671" s="5">
        <v>0</v>
      </c>
      <c r="T671" s="6">
        <f t="shared" si="30"/>
        <v>427329</v>
      </c>
      <c r="U671" s="4">
        <v>78063.259999999995</v>
      </c>
      <c r="V671" t="str">
        <f t="shared" si="31"/>
        <v>Sep</v>
      </c>
      <c r="W671">
        <f t="shared" si="32"/>
        <v>0.18267718783419801</v>
      </c>
    </row>
    <row r="672" spans="1:23" x14ac:dyDescent="0.4">
      <c r="A672" s="4" t="s">
        <v>2218</v>
      </c>
      <c r="B672" s="4" t="s">
        <v>1339</v>
      </c>
      <c r="C672" s="11">
        <v>45481</v>
      </c>
      <c r="D672" s="4" t="s">
        <v>23</v>
      </c>
      <c r="E672" s="4" t="s">
        <v>24</v>
      </c>
      <c r="F672" s="4" t="s">
        <v>25</v>
      </c>
      <c r="G672" s="4" t="s">
        <v>26</v>
      </c>
      <c r="H672" s="4" t="s">
        <v>2219</v>
      </c>
      <c r="I672" s="4" t="s">
        <v>43</v>
      </c>
      <c r="J672" s="4" t="s">
        <v>62</v>
      </c>
      <c r="K672" s="4" t="s">
        <v>63</v>
      </c>
      <c r="L672" s="4" t="s">
        <v>382</v>
      </c>
      <c r="M672" s="4" t="s">
        <v>53</v>
      </c>
      <c r="N672" s="4" t="s">
        <v>33</v>
      </c>
      <c r="O672" s="4" t="s">
        <v>46</v>
      </c>
      <c r="P672" s="4" t="s">
        <v>74</v>
      </c>
      <c r="Q672" s="4">
        <v>1</v>
      </c>
      <c r="R672" s="4">
        <v>16348</v>
      </c>
      <c r="S672" s="5">
        <v>10</v>
      </c>
      <c r="T672" s="6">
        <f t="shared" si="30"/>
        <v>14713.2</v>
      </c>
      <c r="U672" s="4">
        <v>2583.12</v>
      </c>
      <c r="V672" t="str">
        <f t="shared" si="31"/>
        <v>Jul</v>
      </c>
      <c r="W672">
        <f t="shared" si="32"/>
        <v>0.17556479895603946</v>
      </c>
    </row>
    <row r="673" spans="1:23" x14ac:dyDescent="0.4">
      <c r="A673" s="4" t="s">
        <v>2220</v>
      </c>
      <c r="B673" s="4" t="s">
        <v>1076</v>
      </c>
      <c r="C673" s="11">
        <v>44719</v>
      </c>
      <c r="D673" s="4" t="s">
        <v>39</v>
      </c>
      <c r="E673" s="4" t="s">
        <v>24</v>
      </c>
      <c r="F673" s="4" t="s">
        <v>25</v>
      </c>
      <c r="G673" s="4" t="s">
        <v>26</v>
      </c>
      <c r="H673" s="4" t="s">
        <v>2221</v>
      </c>
      <c r="I673" s="4" t="s">
        <v>61</v>
      </c>
      <c r="J673" s="4" t="s">
        <v>79</v>
      </c>
      <c r="K673" s="4" t="s">
        <v>86</v>
      </c>
      <c r="L673" s="4" t="s">
        <v>423</v>
      </c>
      <c r="M673" s="4" t="s">
        <v>53</v>
      </c>
      <c r="N673" s="4" t="s">
        <v>33</v>
      </c>
      <c r="O673" s="4" t="s">
        <v>46</v>
      </c>
      <c r="P673" s="4" t="s">
        <v>74</v>
      </c>
      <c r="Q673" s="4">
        <v>8</v>
      </c>
      <c r="R673" s="4">
        <v>31811</v>
      </c>
      <c r="S673" s="5">
        <v>0</v>
      </c>
      <c r="T673" s="6">
        <f t="shared" si="30"/>
        <v>254488</v>
      </c>
      <c r="U673" s="4">
        <v>34617.1</v>
      </c>
      <c r="V673" t="str">
        <f t="shared" si="31"/>
        <v>May</v>
      </c>
      <c r="W673">
        <f t="shared" si="32"/>
        <v>0.13602645311370279</v>
      </c>
    </row>
    <row r="674" spans="1:23" x14ac:dyDescent="0.4">
      <c r="A674" s="4" t="s">
        <v>2222</v>
      </c>
      <c r="B674" s="4" t="s">
        <v>2223</v>
      </c>
      <c r="C674" s="11">
        <v>44894</v>
      </c>
      <c r="D674" s="4" t="s">
        <v>39</v>
      </c>
      <c r="E674" s="4" t="s">
        <v>24</v>
      </c>
      <c r="F674" s="4" t="s">
        <v>40</v>
      </c>
      <c r="G674" s="4" t="s">
        <v>41</v>
      </c>
      <c r="H674" s="4" t="s">
        <v>2224</v>
      </c>
      <c r="I674" s="4" t="s">
        <v>43</v>
      </c>
      <c r="J674" s="4" t="s">
        <v>79</v>
      </c>
      <c r="K674" s="4" t="s">
        <v>86</v>
      </c>
      <c r="L674" s="4" t="s">
        <v>1725</v>
      </c>
      <c r="M674" s="4" t="s">
        <v>53</v>
      </c>
      <c r="N674" s="4" t="s">
        <v>54</v>
      </c>
      <c r="O674" s="4" t="s">
        <v>82</v>
      </c>
      <c r="P674" s="4" t="s">
        <v>74</v>
      </c>
      <c r="Q674" s="4">
        <v>3</v>
      </c>
      <c r="R674" s="4">
        <v>1329</v>
      </c>
      <c r="S674" s="5">
        <v>0</v>
      </c>
      <c r="T674" s="6">
        <f t="shared" si="30"/>
        <v>3987</v>
      </c>
      <c r="U674" s="4">
        <v>750.08</v>
      </c>
      <c r="V674" t="str">
        <f t="shared" si="31"/>
        <v>Nov</v>
      </c>
      <c r="W674">
        <f t="shared" si="32"/>
        <v>0.18813142713819916</v>
      </c>
    </row>
    <row r="675" spans="1:23" x14ac:dyDescent="0.4">
      <c r="A675" s="4" t="s">
        <v>2225</v>
      </c>
      <c r="B675" s="4" t="s">
        <v>1744</v>
      </c>
      <c r="C675" s="11">
        <v>44843</v>
      </c>
      <c r="D675" s="4" t="s">
        <v>39</v>
      </c>
      <c r="E675" s="4" t="s">
        <v>24</v>
      </c>
      <c r="F675" s="4" t="s">
        <v>26</v>
      </c>
      <c r="G675" s="4" t="s">
        <v>99</v>
      </c>
      <c r="H675" s="4" t="s">
        <v>2226</v>
      </c>
      <c r="I675" s="4" t="s">
        <v>28</v>
      </c>
      <c r="J675" s="4" t="s">
        <v>79</v>
      </c>
      <c r="K675" s="4" t="s">
        <v>101</v>
      </c>
      <c r="L675" s="4" t="s">
        <v>775</v>
      </c>
      <c r="M675" s="4" t="s">
        <v>32</v>
      </c>
      <c r="N675" s="4" t="s">
        <v>33</v>
      </c>
      <c r="O675" s="4" t="s">
        <v>46</v>
      </c>
      <c r="P675" s="4" t="s">
        <v>74</v>
      </c>
      <c r="Q675" s="4">
        <v>10</v>
      </c>
      <c r="R675" s="4">
        <v>10684</v>
      </c>
      <c r="S675" s="5">
        <v>15</v>
      </c>
      <c r="T675" s="6">
        <f t="shared" si="30"/>
        <v>90814</v>
      </c>
      <c r="U675" s="4">
        <v>-2186.1999999999998</v>
      </c>
      <c r="V675" t="str">
        <f t="shared" si="31"/>
        <v>Oct</v>
      </c>
      <c r="W675">
        <f t="shared" si="32"/>
        <v>-2.4073380756271058E-2</v>
      </c>
    </row>
    <row r="676" spans="1:23" x14ac:dyDescent="0.4">
      <c r="A676" s="4" t="s">
        <v>2227</v>
      </c>
      <c r="B676" s="4" t="s">
        <v>2228</v>
      </c>
      <c r="C676" s="11">
        <v>45223</v>
      </c>
      <c r="D676" s="4" t="s">
        <v>98</v>
      </c>
      <c r="E676" s="4" t="s">
        <v>24</v>
      </c>
      <c r="F676" s="4" t="s">
        <v>58</v>
      </c>
      <c r="G676" s="4" t="s">
        <v>92</v>
      </c>
      <c r="H676" s="4" t="s">
        <v>2229</v>
      </c>
      <c r="I676" s="4" t="s">
        <v>61</v>
      </c>
      <c r="J676" s="4" t="s">
        <v>62</v>
      </c>
      <c r="K676" s="4" t="s">
        <v>101</v>
      </c>
      <c r="L676" s="4" t="s">
        <v>976</v>
      </c>
      <c r="M676" s="4" t="s">
        <v>32</v>
      </c>
      <c r="N676" s="4" t="s">
        <v>54</v>
      </c>
      <c r="O676" s="4" t="s">
        <v>66</v>
      </c>
      <c r="P676" s="4" t="s">
        <v>74</v>
      </c>
      <c r="Q676" s="4">
        <v>1</v>
      </c>
      <c r="R676" s="4">
        <v>24502</v>
      </c>
      <c r="S676" s="5">
        <v>0</v>
      </c>
      <c r="T676" s="6">
        <f t="shared" si="30"/>
        <v>24502</v>
      </c>
      <c r="U676" s="4">
        <v>5310.08</v>
      </c>
      <c r="V676" t="str">
        <f t="shared" si="31"/>
        <v>Oct</v>
      </c>
      <c r="W676">
        <f t="shared" si="32"/>
        <v>0.21672026773324626</v>
      </c>
    </row>
    <row r="677" spans="1:23" x14ac:dyDescent="0.4">
      <c r="A677" s="4" t="s">
        <v>2230</v>
      </c>
      <c r="B677" s="4" t="s">
        <v>1558</v>
      </c>
      <c r="C677" s="11">
        <v>45371</v>
      </c>
      <c r="D677" s="4" t="s">
        <v>39</v>
      </c>
      <c r="E677" s="4" t="s">
        <v>24</v>
      </c>
      <c r="F677" s="4" t="s">
        <v>58</v>
      </c>
      <c r="G677" s="4" t="s">
        <v>59</v>
      </c>
      <c r="H677" s="4" t="s">
        <v>2231</v>
      </c>
      <c r="I677" s="4" t="s">
        <v>28</v>
      </c>
      <c r="J677" s="4" t="s">
        <v>29</v>
      </c>
      <c r="K677" s="4" t="s">
        <v>63</v>
      </c>
      <c r="L677" s="4" t="s">
        <v>315</v>
      </c>
      <c r="M677" s="4" t="s">
        <v>32</v>
      </c>
      <c r="N677" s="4" t="s">
        <v>33</v>
      </c>
      <c r="O677" s="4" t="s">
        <v>82</v>
      </c>
      <c r="P677" s="4" t="s">
        <v>35</v>
      </c>
      <c r="Q677" s="4">
        <v>3</v>
      </c>
      <c r="R677" s="4">
        <v>46867</v>
      </c>
      <c r="S677" s="5">
        <v>20</v>
      </c>
      <c r="T677" s="6">
        <f t="shared" si="30"/>
        <v>112480.8</v>
      </c>
      <c r="U677" s="4">
        <v>-2941.46</v>
      </c>
      <c r="V677" t="str">
        <f t="shared" si="31"/>
        <v>Mar</v>
      </c>
      <c r="W677">
        <f t="shared" si="32"/>
        <v>-2.6150774176570579E-2</v>
      </c>
    </row>
    <row r="678" spans="1:23" x14ac:dyDescent="0.4">
      <c r="A678" s="4" t="s">
        <v>2232</v>
      </c>
      <c r="B678" s="4" t="s">
        <v>781</v>
      </c>
      <c r="C678" s="11">
        <v>45109</v>
      </c>
      <c r="D678" s="4" t="s">
        <v>124</v>
      </c>
      <c r="E678" s="4" t="s">
        <v>24</v>
      </c>
      <c r="F678" s="4" t="s">
        <v>58</v>
      </c>
      <c r="G678" s="4" t="s">
        <v>99</v>
      </c>
      <c r="H678" s="4" t="s">
        <v>2233</v>
      </c>
      <c r="I678" s="4" t="s">
        <v>28</v>
      </c>
      <c r="J678" s="4" t="s">
        <v>62</v>
      </c>
      <c r="K678" s="4" t="s">
        <v>44</v>
      </c>
      <c r="L678" s="4" t="s">
        <v>114</v>
      </c>
      <c r="M678" s="4" t="s">
        <v>95</v>
      </c>
      <c r="N678" s="4" t="s">
        <v>54</v>
      </c>
      <c r="O678" s="4" t="s">
        <v>120</v>
      </c>
      <c r="P678" s="4" t="s">
        <v>47</v>
      </c>
      <c r="Q678" s="4">
        <v>7</v>
      </c>
      <c r="R678" s="4">
        <v>32635</v>
      </c>
      <c r="S678" s="5">
        <v>15</v>
      </c>
      <c r="T678" s="6">
        <f t="shared" si="30"/>
        <v>194178.25</v>
      </c>
      <c r="U678" s="4">
        <v>-13551.07</v>
      </c>
      <c r="V678" t="str">
        <f t="shared" si="31"/>
        <v>Jun</v>
      </c>
      <c r="W678">
        <f t="shared" si="32"/>
        <v>-6.9786755210740639E-2</v>
      </c>
    </row>
    <row r="679" spans="1:23" x14ac:dyDescent="0.4">
      <c r="A679" s="4" t="s">
        <v>2234</v>
      </c>
      <c r="B679" s="4" t="s">
        <v>1797</v>
      </c>
      <c r="C679" s="11">
        <v>44578</v>
      </c>
      <c r="D679" s="4" t="s">
        <v>124</v>
      </c>
      <c r="E679" s="4" t="s">
        <v>24</v>
      </c>
      <c r="F679" s="4" t="s">
        <v>26</v>
      </c>
      <c r="G679" s="4" t="s">
        <v>99</v>
      </c>
      <c r="H679" s="4" t="s">
        <v>2235</v>
      </c>
      <c r="I679" s="4" t="s">
        <v>43</v>
      </c>
      <c r="J679" s="4" t="s">
        <v>79</v>
      </c>
      <c r="K679" s="4" t="s">
        <v>86</v>
      </c>
      <c r="L679" s="4" t="s">
        <v>850</v>
      </c>
      <c r="M679" s="4" t="s">
        <v>81</v>
      </c>
      <c r="N679" s="4" t="s">
        <v>54</v>
      </c>
      <c r="O679" s="4" t="s">
        <v>120</v>
      </c>
      <c r="P679" s="4" t="s">
        <v>47</v>
      </c>
      <c r="Q679" s="4">
        <v>2</v>
      </c>
      <c r="R679" s="4">
        <v>6875</v>
      </c>
      <c r="S679" s="5">
        <v>20</v>
      </c>
      <c r="T679" s="6">
        <f t="shared" si="30"/>
        <v>11000</v>
      </c>
      <c r="U679" s="4">
        <v>651.88</v>
      </c>
      <c r="V679" t="str">
        <f t="shared" si="31"/>
        <v>Jan</v>
      </c>
      <c r="W679">
        <f t="shared" si="32"/>
        <v>5.9261818181818179E-2</v>
      </c>
    </row>
    <row r="680" spans="1:23" x14ac:dyDescent="0.4">
      <c r="A680" s="4" t="s">
        <v>2236</v>
      </c>
      <c r="B680" s="4" t="s">
        <v>1652</v>
      </c>
      <c r="C680" s="11">
        <v>44629</v>
      </c>
      <c r="D680" s="4" t="s">
        <v>23</v>
      </c>
      <c r="E680" s="4" t="s">
        <v>24</v>
      </c>
      <c r="F680" s="4" t="s">
        <v>40</v>
      </c>
      <c r="G680" s="4" t="s">
        <v>99</v>
      </c>
      <c r="H680" s="4" t="s">
        <v>2237</v>
      </c>
      <c r="I680" s="4" t="s">
        <v>28</v>
      </c>
      <c r="J680" s="4" t="s">
        <v>29</v>
      </c>
      <c r="K680" s="4" t="s">
        <v>63</v>
      </c>
      <c r="L680" s="4" t="s">
        <v>574</v>
      </c>
      <c r="M680" s="4" t="s">
        <v>73</v>
      </c>
      <c r="N680" s="4" t="s">
        <v>54</v>
      </c>
      <c r="O680" s="4" t="s">
        <v>34</v>
      </c>
      <c r="P680" s="4" t="s">
        <v>47</v>
      </c>
      <c r="Q680" s="4">
        <v>10</v>
      </c>
      <c r="R680" s="4">
        <v>2986</v>
      </c>
      <c r="S680" s="5">
        <v>15</v>
      </c>
      <c r="T680" s="6">
        <f t="shared" si="30"/>
        <v>25381</v>
      </c>
      <c r="U680" s="4">
        <v>-1268.92</v>
      </c>
      <c r="V680" t="str">
        <f t="shared" si="31"/>
        <v>Mar</v>
      </c>
      <c r="W680">
        <f t="shared" si="32"/>
        <v>-4.9994878058390139E-2</v>
      </c>
    </row>
    <row r="681" spans="1:23" x14ac:dyDescent="0.4">
      <c r="A681" s="4" t="s">
        <v>2238</v>
      </c>
      <c r="B681" s="4" t="s">
        <v>2239</v>
      </c>
      <c r="C681" s="11">
        <v>44840</v>
      </c>
      <c r="D681" s="4" t="s">
        <v>124</v>
      </c>
      <c r="E681" s="4" t="s">
        <v>24</v>
      </c>
      <c r="F681" s="4" t="s">
        <v>58</v>
      </c>
      <c r="G681" s="4" t="s">
        <v>26</v>
      </c>
      <c r="H681" s="4" t="s">
        <v>2240</v>
      </c>
      <c r="I681" s="4" t="s">
        <v>61</v>
      </c>
      <c r="J681" s="4" t="s">
        <v>79</v>
      </c>
      <c r="K681" s="4" t="s">
        <v>86</v>
      </c>
      <c r="L681" s="4" t="s">
        <v>1453</v>
      </c>
      <c r="M681" s="4" t="s">
        <v>53</v>
      </c>
      <c r="N681" s="4" t="s">
        <v>33</v>
      </c>
      <c r="O681" s="4" t="s">
        <v>34</v>
      </c>
      <c r="P681" s="4" t="s">
        <v>47</v>
      </c>
      <c r="Q681" s="4">
        <v>1</v>
      </c>
      <c r="R681" s="4">
        <v>40004</v>
      </c>
      <c r="S681" s="5">
        <v>15</v>
      </c>
      <c r="T681" s="6">
        <f t="shared" si="30"/>
        <v>34003.4</v>
      </c>
      <c r="U681" s="4">
        <v>2084.75</v>
      </c>
      <c r="V681" t="str">
        <f t="shared" si="31"/>
        <v>Oct</v>
      </c>
      <c r="W681">
        <f t="shared" si="32"/>
        <v>6.1310045466041629E-2</v>
      </c>
    </row>
    <row r="682" spans="1:23" x14ac:dyDescent="0.4">
      <c r="A682" s="4" t="s">
        <v>2241</v>
      </c>
      <c r="B682" s="4" t="s">
        <v>2242</v>
      </c>
      <c r="C682" s="11">
        <v>44652</v>
      </c>
      <c r="D682" s="4" t="s">
        <v>39</v>
      </c>
      <c r="E682" s="4" t="s">
        <v>24</v>
      </c>
      <c r="F682" s="4" t="s">
        <v>40</v>
      </c>
      <c r="G682" s="4" t="s">
        <v>41</v>
      </c>
      <c r="H682" s="4" t="s">
        <v>2244</v>
      </c>
      <c r="I682" s="4" t="s">
        <v>28</v>
      </c>
      <c r="J682" s="4" t="s">
        <v>79</v>
      </c>
      <c r="K682" s="4" t="s">
        <v>86</v>
      </c>
      <c r="L682" s="4" t="s">
        <v>867</v>
      </c>
      <c r="M682" s="4" t="s">
        <v>53</v>
      </c>
      <c r="N682" s="4" t="s">
        <v>54</v>
      </c>
      <c r="O682" s="4" t="s">
        <v>34</v>
      </c>
      <c r="P682" s="4" t="s">
        <v>47</v>
      </c>
      <c r="Q682" s="4">
        <v>10</v>
      </c>
      <c r="R682" s="4">
        <v>39198</v>
      </c>
      <c r="S682" s="5">
        <v>0</v>
      </c>
      <c r="T682" s="6">
        <f t="shared" si="30"/>
        <v>391980</v>
      </c>
      <c r="U682" s="4">
        <v>35568.76</v>
      </c>
      <c r="V682" t="str">
        <f t="shared" si="31"/>
        <v>Mar</v>
      </c>
      <c r="W682">
        <f t="shared" si="32"/>
        <v>9.0741262309301504E-2</v>
      </c>
    </row>
    <row r="683" spans="1:23" x14ac:dyDescent="0.4">
      <c r="A683" s="4" t="s">
        <v>2245</v>
      </c>
      <c r="B683" s="4" t="s">
        <v>2223</v>
      </c>
      <c r="C683" s="11">
        <v>44897</v>
      </c>
      <c r="D683" s="4" t="s">
        <v>124</v>
      </c>
      <c r="E683" s="4" t="s">
        <v>24</v>
      </c>
      <c r="F683" s="4" t="s">
        <v>40</v>
      </c>
      <c r="G683" s="4" t="s">
        <v>99</v>
      </c>
      <c r="H683" s="4" t="s">
        <v>2246</v>
      </c>
      <c r="I683" s="4" t="s">
        <v>61</v>
      </c>
      <c r="J683" s="4" t="s">
        <v>79</v>
      </c>
      <c r="K683" s="4" t="s">
        <v>101</v>
      </c>
      <c r="L683" s="4" t="s">
        <v>1563</v>
      </c>
      <c r="M683" s="4" t="s">
        <v>73</v>
      </c>
      <c r="N683" s="4" t="s">
        <v>54</v>
      </c>
      <c r="O683" s="4" t="s">
        <v>46</v>
      </c>
      <c r="P683" s="4" t="s">
        <v>47</v>
      </c>
      <c r="Q683" s="4">
        <v>3</v>
      </c>
      <c r="R683" s="4">
        <v>23848</v>
      </c>
      <c r="S683" s="5">
        <v>20</v>
      </c>
      <c r="T683" s="6">
        <f t="shared" si="30"/>
        <v>57235.199999999997</v>
      </c>
      <c r="U683" s="4">
        <v>-2032.1</v>
      </c>
      <c r="V683" t="str">
        <f t="shared" si="31"/>
        <v>Nov</v>
      </c>
      <c r="W683">
        <f t="shared" si="32"/>
        <v>-3.5504374930112936E-2</v>
      </c>
    </row>
    <row r="684" spans="1:23" x14ac:dyDescent="0.4">
      <c r="A684" s="4" t="s">
        <v>2247</v>
      </c>
      <c r="B684" s="4" t="s">
        <v>1401</v>
      </c>
      <c r="C684" s="11">
        <v>44977</v>
      </c>
      <c r="D684" s="4" t="s">
        <v>124</v>
      </c>
      <c r="E684" s="4" t="s">
        <v>24</v>
      </c>
      <c r="F684" s="4" t="s">
        <v>70</v>
      </c>
      <c r="G684" s="4" t="s">
        <v>99</v>
      </c>
      <c r="H684" s="4" t="s">
        <v>2248</v>
      </c>
      <c r="I684" s="4" t="s">
        <v>28</v>
      </c>
      <c r="J684" s="4" t="s">
        <v>29</v>
      </c>
      <c r="K684" s="4" t="s">
        <v>101</v>
      </c>
      <c r="L684" s="4" t="s">
        <v>1415</v>
      </c>
      <c r="M684" s="4" t="s">
        <v>65</v>
      </c>
      <c r="N684" s="4" t="s">
        <v>33</v>
      </c>
      <c r="O684" s="4" t="s">
        <v>120</v>
      </c>
      <c r="P684" s="4" t="s">
        <v>47</v>
      </c>
      <c r="Q684" s="4">
        <v>9</v>
      </c>
      <c r="R684" s="4">
        <v>28929</v>
      </c>
      <c r="S684" s="5">
        <v>20</v>
      </c>
      <c r="T684" s="6">
        <f t="shared" si="30"/>
        <v>208288.8</v>
      </c>
      <c r="U684" s="4">
        <v>5930.59</v>
      </c>
      <c r="V684" t="str">
        <f t="shared" si="31"/>
        <v>Feb</v>
      </c>
      <c r="W684">
        <f t="shared" si="32"/>
        <v>2.8472918371030994E-2</v>
      </c>
    </row>
    <row r="685" spans="1:23" x14ac:dyDescent="0.4">
      <c r="A685" s="4" t="s">
        <v>2249</v>
      </c>
      <c r="B685" s="4" t="s">
        <v>874</v>
      </c>
      <c r="C685" s="11">
        <v>44929</v>
      </c>
      <c r="D685" s="4" t="s">
        <v>98</v>
      </c>
      <c r="E685" s="4" t="s">
        <v>24</v>
      </c>
      <c r="F685" s="4" t="s">
        <v>70</v>
      </c>
      <c r="G685" s="4" t="s">
        <v>59</v>
      </c>
      <c r="H685" s="4" t="s">
        <v>2251</v>
      </c>
      <c r="I685" s="4" t="s">
        <v>28</v>
      </c>
      <c r="J685" s="4" t="s">
        <v>62</v>
      </c>
      <c r="K685" s="4" t="s">
        <v>153</v>
      </c>
      <c r="L685" s="4" t="s">
        <v>2252</v>
      </c>
      <c r="M685" s="4" t="s">
        <v>81</v>
      </c>
      <c r="N685" s="4" t="s">
        <v>54</v>
      </c>
      <c r="O685" s="4" t="s">
        <v>66</v>
      </c>
      <c r="P685" s="4" t="s">
        <v>47</v>
      </c>
      <c r="Q685" s="4">
        <v>7</v>
      </c>
      <c r="R685" s="4">
        <v>25184</v>
      </c>
      <c r="S685" s="5">
        <v>0</v>
      </c>
      <c r="T685" s="6">
        <f t="shared" si="30"/>
        <v>176288</v>
      </c>
      <c r="U685" s="4">
        <v>14780.51</v>
      </c>
      <c r="V685" t="str">
        <f t="shared" si="31"/>
        <v>Jan</v>
      </c>
      <c r="W685">
        <f t="shared" si="32"/>
        <v>8.3842972862588488E-2</v>
      </c>
    </row>
    <row r="686" spans="1:23" x14ac:dyDescent="0.4">
      <c r="A686" s="4" t="s">
        <v>2253</v>
      </c>
      <c r="B686" s="4" t="s">
        <v>2254</v>
      </c>
      <c r="C686" s="11">
        <v>44858</v>
      </c>
      <c r="D686" s="4" t="s">
        <v>23</v>
      </c>
      <c r="E686" s="4" t="s">
        <v>24</v>
      </c>
      <c r="F686" s="4" t="s">
        <v>40</v>
      </c>
      <c r="G686" s="4" t="s">
        <v>59</v>
      </c>
      <c r="H686" s="4" t="s">
        <v>2255</v>
      </c>
      <c r="I686" s="4" t="s">
        <v>43</v>
      </c>
      <c r="J686" s="4" t="s">
        <v>79</v>
      </c>
      <c r="K686" s="4" t="s">
        <v>30</v>
      </c>
      <c r="L686" s="4" t="s">
        <v>1254</v>
      </c>
      <c r="M686" s="4" t="s">
        <v>53</v>
      </c>
      <c r="N686" s="4" t="s">
        <v>54</v>
      </c>
      <c r="O686" s="4" t="s">
        <v>66</v>
      </c>
      <c r="P686" s="4" t="s">
        <v>47</v>
      </c>
      <c r="Q686" s="4">
        <v>2</v>
      </c>
      <c r="R686" s="4">
        <v>29319</v>
      </c>
      <c r="S686" s="5">
        <v>15</v>
      </c>
      <c r="T686" s="6">
        <f t="shared" si="30"/>
        <v>49842.3</v>
      </c>
      <c r="U686" s="4">
        <v>6461.6</v>
      </c>
      <c r="V686" t="str">
        <f t="shared" si="31"/>
        <v>Oct</v>
      </c>
      <c r="W686">
        <f t="shared" si="32"/>
        <v>0.12964088735872945</v>
      </c>
    </row>
    <row r="687" spans="1:23" x14ac:dyDescent="0.4">
      <c r="A687" s="4" t="s">
        <v>2256</v>
      </c>
      <c r="B687" s="4" t="s">
        <v>1827</v>
      </c>
      <c r="C687" s="11">
        <v>45537</v>
      </c>
      <c r="D687" s="4" t="s">
        <v>98</v>
      </c>
      <c r="E687" s="4" t="s">
        <v>24</v>
      </c>
      <c r="F687" s="4" t="s">
        <v>58</v>
      </c>
      <c r="G687" s="4" t="s">
        <v>41</v>
      </c>
      <c r="H687" s="4" t="s">
        <v>2257</v>
      </c>
      <c r="I687" s="4" t="s">
        <v>61</v>
      </c>
      <c r="J687" s="4" t="s">
        <v>29</v>
      </c>
      <c r="K687" s="4" t="s">
        <v>153</v>
      </c>
      <c r="L687" s="4" t="s">
        <v>382</v>
      </c>
      <c r="M687" s="4" t="s">
        <v>32</v>
      </c>
      <c r="N687" s="4" t="s">
        <v>33</v>
      </c>
      <c r="O687" s="4" t="s">
        <v>46</v>
      </c>
      <c r="P687" s="4" t="s">
        <v>74</v>
      </c>
      <c r="Q687" s="4">
        <v>8</v>
      </c>
      <c r="R687" s="4">
        <v>22229</v>
      </c>
      <c r="S687" s="5">
        <v>20</v>
      </c>
      <c r="T687" s="6">
        <f t="shared" si="30"/>
        <v>142265.60000000001</v>
      </c>
      <c r="U687" s="4">
        <v>-25283.4</v>
      </c>
      <c r="V687" t="str">
        <f t="shared" si="31"/>
        <v>Aug</v>
      </c>
      <c r="W687">
        <f t="shared" si="32"/>
        <v>-0.17771970174096902</v>
      </c>
    </row>
    <row r="688" spans="1:23" x14ac:dyDescent="0.4">
      <c r="A688" s="4" t="s">
        <v>2258</v>
      </c>
      <c r="B688" s="4" t="s">
        <v>2259</v>
      </c>
      <c r="C688" s="11">
        <v>45334</v>
      </c>
      <c r="D688" s="4" t="s">
        <v>39</v>
      </c>
      <c r="E688" s="4" t="s">
        <v>24</v>
      </c>
      <c r="F688" s="4" t="s">
        <v>26</v>
      </c>
      <c r="G688" s="4" t="s">
        <v>26</v>
      </c>
      <c r="H688" s="4" t="s">
        <v>2260</v>
      </c>
      <c r="I688" s="4" t="s">
        <v>43</v>
      </c>
      <c r="J688" s="4" t="s">
        <v>62</v>
      </c>
      <c r="K688" s="4" t="s">
        <v>63</v>
      </c>
      <c r="L688" s="4" t="s">
        <v>441</v>
      </c>
      <c r="M688" s="4" t="s">
        <v>95</v>
      </c>
      <c r="N688" s="4" t="s">
        <v>33</v>
      </c>
      <c r="O688" s="4" t="s">
        <v>120</v>
      </c>
      <c r="P688" s="4" t="s">
        <v>74</v>
      </c>
      <c r="Q688" s="4">
        <v>5</v>
      </c>
      <c r="R688" s="4">
        <v>24533</v>
      </c>
      <c r="S688" s="5">
        <v>5</v>
      </c>
      <c r="T688" s="6">
        <f t="shared" si="30"/>
        <v>116531.75</v>
      </c>
      <c r="U688" s="4">
        <v>3740.26</v>
      </c>
      <c r="V688" t="str">
        <f t="shared" si="31"/>
        <v>Feb</v>
      </c>
      <c r="W688">
        <f t="shared" si="32"/>
        <v>3.2096488725175759E-2</v>
      </c>
    </row>
    <row r="689" spans="1:23" x14ac:dyDescent="0.4">
      <c r="A689" s="4" t="s">
        <v>2261</v>
      </c>
      <c r="B689" s="4" t="s">
        <v>416</v>
      </c>
      <c r="C689" s="11">
        <v>45121</v>
      </c>
      <c r="D689" s="4" t="s">
        <v>98</v>
      </c>
      <c r="E689" s="4" t="s">
        <v>24</v>
      </c>
      <c r="F689" s="4" t="s">
        <v>70</v>
      </c>
      <c r="G689" s="4" t="s">
        <v>99</v>
      </c>
      <c r="H689" s="4" t="s">
        <v>2262</v>
      </c>
      <c r="I689" s="4" t="s">
        <v>43</v>
      </c>
      <c r="J689" s="4" t="s">
        <v>62</v>
      </c>
      <c r="K689" s="4" t="s">
        <v>63</v>
      </c>
      <c r="L689" s="4" t="s">
        <v>423</v>
      </c>
      <c r="M689" s="4" t="s">
        <v>73</v>
      </c>
      <c r="N689" s="4" t="s">
        <v>54</v>
      </c>
      <c r="O689" s="4" t="s">
        <v>82</v>
      </c>
      <c r="P689" s="4" t="s">
        <v>74</v>
      </c>
      <c r="Q689" s="4">
        <v>6</v>
      </c>
      <c r="R689" s="4">
        <v>5554</v>
      </c>
      <c r="S689" s="5">
        <v>15</v>
      </c>
      <c r="T689" s="6">
        <f t="shared" si="30"/>
        <v>28325.4</v>
      </c>
      <c r="U689" s="4">
        <v>1487.08</v>
      </c>
      <c r="V689" t="str">
        <f t="shared" si="31"/>
        <v>Jul</v>
      </c>
      <c r="W689">
        <f t="shared" si="32"/>
        <v>5.2499876435990307E-2</v>
      </c>
    </row>
    <row r="690" spans="1:23" x14ac:dyDescent="0.4">
      <c r="A690" s="4" t="s">
        <v>2263</v>
      </c>
      <c r="B690" s="4" t="s">
        <v>1810</v>
      </c>
      <c r="C690" s="11">
        <v>45515</v>
      </c>
      <c r="D690" s="4" t="s">
        <v>98</v>
      </c>
      <c r="E690" s="4" t="s">
        <v>24</v>
      </c>
      <c r="F690" s="4" t="s">
        <v>58</v>
      </c>
      <c r="G690" s="4" t="s">
        <v>59</v>
      </c>
      <c r="H690" s="4" t="s">
        <v>2265</v>
      </c>
      <c r="I690" s="4" t="s">
        <v>43</v>
      </c>
      <c r="J690" s="4" t="s">
        <v>79</v>
      </c>
      <c r="K690" s="4" t="s">
        <v>44</v>
      </c>
      <c r="L690" s="4" t="s">
        <v>296</v>
      </c>
      <c r="M690" s="4" t="s">
        <v>53</v>
      </c>
      <c r="N690" s="4" t="s">
        <v>54</v>
      </c>
      <c r="O690" s="4" t="s">
        <v>82</v>
      </c>
      <c r="P690" s="4" t="s">
        <v>47</v>
      </c>
      <c r="Q690" s="4">
        <v>5</v>
      </c>
      <c r="R690" s="4">
        <v>44931</v>
      </c>
      <c r="S690" s="5">
        <v>5</v>
      </c>
      <c r="T690" s="6">
        <f t="shared" si="30"/>
        <v>213422.25</v>
      </c>
      <c r="U690" s="4">
        <v>18425.150000000001</v>
      </c>
      <c r="V690" t="str">
        <f t="shared" si="31"/>
        <v>Aug</v>
      </c>
      <c r="W690">
        <f t="shared" si="32"/>
        <v>8.6331907755634665E-2</v>
      </c>
    </row>
    <row r="691" spans="1:23" x14ac:dyDescent="0.4">
      <c r="A691" s="4" t="s">
        <v>2266</v>
      </c>
      <c r="B691" s="4" t="s">
        <v>483</v>
      </c>
      <c r="C691" s="11">
        <v>44591</v>
      </c>
      <c r="D691" s="4" t="s">
        <v>98</v>
      </c>
      <c r="E691" s="4" t="s">
        <v>24</v>
      </c>
      <c r="F691" s="4" t="s">
        <v>40</v>
      </c>
      <c r="G691" s="4" t="s">
        <v>26</v>
      </c>
      <c r="H691" s="4" t="s">
        <v>2267</v>
      </c>
      <c r="I691" s="4" t="s">
        <v>61</v>
      </c>
      <c r="J691" s="4" t="s">
        <v>29</v>
      </c>
      <c r="K691" s="4" t="s">
        <v>63</v>
      </c>
      <c r="L691" s="4" t="s">
        <v>167</v>
      </c>
      <c r="M691" s="4" t="s">
        <v>53</v>
      </c>
      <c r="N691" s="4" t="s">
        <v>33</v>
      </c>
      <c r="O691" s="4" t="s">
        <v>46</v>
      </c>
      <c r="P691" s="4" t="s">
        <v>74</v>
      </c>
      <c r="Q691" s="4">
        <v>1</v>
      </c>
      <c r="R691" s="4">
        <v>24697</v>
      </c>
      <c r="S691" s="5">
        <v>5</v>
      </c>
      <c r="T691" s="6">
        <f t="shared" si="30"/>
        <v>23462.15</v>
      </c>
      <c r="U691" s="4">
        <v>30.38</v>
      </c>
      <c r="V691" t="str">
        <f t="shared" si="31"/>
        <v>Jan</v>
      </c>
      <c r="W691">
        <f t="shared" si="32"/>
        <v>1.2948514948544782E-3</v>
      </c>
    </row>
    <row r="692" spans="1:23" x14ac:dyDescent="0.4">
      <c r="A692" s="4" t="s">
        <v>2268</v>
      </c>
      <c r="B692" s="4" t="s">
        <v>2036</v>
      </c>
      <c r="C692" s="11">
        <v>44849</v>
      </c>
      <c r="D692" s="4" t="s">
        <v>39</v>
      </c>
      <c r="E692" s="4" t="s">
        <v>24</v>
      </c>
      <c r="F692" s="4" t="s">
        <v>26</v>
      </c>
      <c r="G692" s="4" t="s">
        <v>26</v>
      </c>
      <c r="H692" s="4" t="s">
        <v>2269</v>
      </c>
      <c r="I692" s="4" t="s">
        <v>28</v>
      </c>
      <c r="J692" s="4" t="s">
        <v>62</v>
      </c>
      <c r="K692" s="4" t="s">
        <v>63</v>
      </c>
      <c r="L692" s="4" t="s">
        <v>1089</v>
      </c>
      <c r="M692" s="4" t="s">
        <v>95</v>
      </c>
      <c r="N692" s="4" t="s">
        <v>54</v>
      </c>
      <c r="O692" s="4" t="s">
        <v>34</v>
      </c>
      <c r="P692" s="4" t="s">
        <v>47</v>
      </c>
      <c r="Q692" s="4">
        <v>4</v>
      </c>
      <c r="R692" s="4">
        <v>48573</v>
      </c>
      <c r="S692" s="5">
        <v>20</v>
      </c>
      <c r="T692" s="6">
        <f t="shared" si="30"/>
        <v>155433.60000000001</v>
      </c>
      <c r="U692" s="4">
        <v>-8097.56</v>
      </c>
      <c r="V692" t="str">
        <f t="shared" si="31"/>
        <v>Oct</v>
      </c>
      <c r="W692">
        <f t="shared" si="32"/>
        <v>-5.2096586581022376E-2</v>
      </c>
    </row>
    <row r="693" spans="1:23" x14ac:dyDescent="0.4">
      <c r="A693" s="4" t="s">
        <v>2270</v>
      </c>
      <c r="B693" s="4" t="s">
        <v>527</v>
      </c>
      <c r="C693" s="11">
        <v>45178</v>
      </c>
      <c r="D693" s="4" t="s">
        <v>23</v>
      </c>
      <c r="E693" s="4" t="s">
        <v>24</v>
      </c>
      <c r="F693" s="4" t="s">
        <v>40</v>
      </c>
      <c r="G693" s="4" t="s">
        <v>26</v>
      </c>
      <c r="H693" s="4" t="s">
        <v>2272</v>
      </c>
      <c r="I693" s="4" t="s">
        <v>28</v>
      </c>
      <c r="J693" s="4" t="s">
        <v>62</v>
      </c>
      <c r="K693" s="4" t="s">
        <v>30</v>
      </c>
      <c r="L693" s="4" t="s">
        <v>1590</v>
      </c>
      <c r="M693" s="4" t="s">
        <v>32</v>
      </c>
      <c r="N693" s="4" t="s">
        <v>54</v>
      </c>
      <c r="O693" s="4" t="s">
        <v>66</v>
      </c>
      <c r="P693" s="4" t="s">
        <v>74</v>
      </c>
      <c r="Q693" s="4">
        <v>8</v>
      </c>
      <c r="R693" s="4">
        <v>17602</v>
      </c>
      <c r="S693" s="5">
        <v>15</v>
      </c>
      <c r="T693" s="6">
        <f t="shared" si="30"/>
        <v>119693.6</v>
      </c>
      <c r="U693" s="4">
        <v>-10804.5</v>
      </c>
      <c r="V693" t="str">
        <f t="shared" si="31"/>
        <v>Sep</v>
      </c>
      <c r="W693">
        <f t="shared" si="32"/>
        <v>-9.0267984253126307E-2</v>
      </c>
    </row>
    <row r="694" spans="1:23" x14ac:dyDescent="0.4">
      <c r="A694" s="4" t="s">
        <v>2273</v>
      </c>
      <c r="B694" s="4" t="s">
        <v>936</v>
      </c>
      <c r="C694" s="11">
        <v>45077</v>
      </c>
      <c r="D694" s="4" t="s">
        <v>124</v>
      </c>
      <c r="E694" s="4" t="s">
        <v>24</v>
      </c>
      <c r="F694" s="4" t="s">
        <v>58</v>
      </c>
      <c r="G694" s="4" t="s">
        <v>26</v>
      </c>
      <c r="H694" s="4" t="s">
        <v>2275</v>
      </c>
      <c r="I694" s="4" t="s">
        <v>61</v>
      </c>
      <c r="J694" s="4" t="s">
        <v>29</v>
      </c>
      <c r="K694" s="4" t="s">
        <v>101</v>
      </c>
      <c r="L694" s="4" t="s">
        <v>287</v>
      </c>
      <c r="M694" s="4" t="s">
        <v>53</v>
      </c>
      <c r="N694" s="4" t="s">
        <v>33</v>
      </c>
      <c r="O694" s="4" t="s">
        <v>82</v>
      </c>
      <c r="P694" s="4" t="s">
        <v>74</v>
      </c>
      <c r="Q694" s="4">
        <v>8</v>
      </c>
      <c r="R694" s="4">
        <v>41423</v>
      </c>
      <c r="S694" s="5">
        <v>10</v>
      </c>
      <c r="T694" s="6">
        <f t="shared" si="30"/>
        <v>298245.59999999998</v>
      </c>
      <c r="U694" s="4">
        <v>-13761.71</v>
      </c>
      <c r="V694" t="str">
        <f t="shared" si="31"/>
        <v>May</v>
      </c>
      <c r="W694">
        <f t="shared" si="32"/>
        <v>-4.6142206289045001E-2</v>
      </c>
    </row>
    <row r="695" spans="1:23" x14ac:dyDescent="0.4">
      <c r="A695" s="4" t="s">
        <v>2276</v>
      </c>
      <c r="B695" s="4" t="s">
        <v>122</v>
      </c>
      <c r="C695" s="11">
        <v>44605</v>
      </c>
      <c r="D695" s="4" t="s">
        <v>124</v>
      </c>
      <c r="E695" s="4" t="s">
        <v>24</v>
      </c>
      <c r="F695" s="4" t="s">
        <v>40</v>
      </c>
      <c r="G695" s="4" t="s">
        <v>92</v>
      </c>
      <c r="H695" s="4" t="s">
        <v>2277</v>
      </c>
      <c r="I695" s="4" t="s">
        <v>28</v>
      </c>
      <c r="J695" s="4" t="s">
        <v>29</v>
      </c>
      <c r="K695" s="4" t="s">
        <v>86</v>
      </c>
      <c r="L695" s="4" t="s">
        <v>1829</v>
      </c>
      <c r="M695" s="4" t="s">
        <v>73</v>
      </c>
      <c r="N695" s="4" t="s">
        <v>33</v>
      </c>
      <c r="O695" s="4" t="s">
        <v>82</v>
      </c>
      <c r="P695" s="4" t="s">
        <v>88</v>
      </c>
      <c r="Q695" s="4">
        <v>6</v>
      </c>
      <c r="R695" s="4">
        <v>35465</v>
      </c>
      <c r="S695" s="5">
        <v>10</v>
      </c>
      <c r="T695" s="6">
        <f t="shared" si="30"/>
        <v>191511</v>
      </c>
      <c r="U695" s="4">
        <v>35600.910000000003</v>
      </c>
      <c r="V695" t="str">
        <f t="shared" si="31"/>
        <v>Feb</v>
      </c>
      <c r="W695">
        <f t="shared" si="32"/>
        <v>0.18589485721446811</v>
      </c>
    </row>
    <row r="696" spans="1:23" x14ac:dyDescent="0.4">
      <c r="A696" s="4" t="s">
        <v>2278</v>
      </c>
      <c r="B696" s="4" t="s">
        <v>1084</v>
      </c>
      <c r="C696" s="11">
        <v>44719</v>
      </c>
      <c r="D696" s="4" t="s">
        <v>124</v>
      </c>
      <c r="E696" s="4" t="s">
        <v>24</v>
      </c>
      <c r="F696" s="4" t="s">
        <v>25</v>
      </c>
      <c r="G696" s="4" t="s">
        <v>99</v>
      </c>
      <c r="H696" s="4" t="s">
        <v>2279</v>
      </c>
      <c r="I696" s="4" t="s">
        <v>28</v>
      </c>
      <c r="J696" s="4" t="s">
        <v>29</v>
      </c>
      <c r="K696" s="4" t="s">
        <v>63</v>
      </c>
      <c r="L696" s="4" t="s">
        <v>808</v>
      </c>
      <c r="M696" s="4" t="s">
        <v>32</v>
      </c>
      <c r="N696" s="4" t="s">
        <v>54</v>
      </c>
      <c r="O696" s="4" t="s">
        <v>46</v>
      </c>
      <c r="P696" s="4" t="s">
        <v>88</v>
      </c>
      <c r="Q696" s="4">
        <v>4</v>
      </c>
      <c r="R696" s="4">
        <v>31069</v>
      </c>
      <c r="S696" s="5">
        <v>10</v>
      </c>
      <c r="T696" s="6">
        <f t="shared" si="30"/>
        <v>111848.4</v>
      </c>
      <c r="U696" s="4">
        <v>6020.19</v>
      </c>
      <c r="V696" t="str">
        <f t="shared" si="31"/>
        <v>Jun</v>
      </c>
      <c r="W696">
        <f t="shared" si="32"/>
        <v>5.3824551804049055E-2</v>
      </c>
    </row>
    <row r="697" spans="1:23" x14ac:dyDescent="0.4">
      <c r="A697" s="4" t="s">
        <v>2280</v>
      </c>
      <c r="B697" s="4" t="s">
        <v>1091</v>
      </c>
      <c r="C697" s="11">
        <v>45530</v>
      </c>
      <c r="D697" s="4" t="s">
        <v>98</v>
      </c>
      <c r="E697" s="4" t="s">
        <v>24</v>
      </c>
      <c r="F697" s="4" t="s">
        <v>58</v>
      </c>
      <c r="G697" s="4" t="s">
        <v>99</v>
      </c>
      <c r="H697" s="4" t="s">
        <v>2281</v>
      </c>
      <c r="I697" s="4" t="s">
        <v>28</v>
      </c>
      <c r="J697" s="4" t="s">
        <v>62</v>
      </c>
      <c r="K697" s="4" t="s">
        <v>101</v>
      </c>
      <c r="L697" s="4" t="s">
        <v>507</v>
      </c>
      <c r="M697" s="4" t="s">
        <v>65</v>
      </c>
      <c r="N697" s="4" t="s">
        <v>33</v>
      </c>
      <c r="O697" s="4" t="s">
        <v>82</v>
      </c>
      <c r="P697" s="4" t="s">
        <v>47</v>
      </c>
      <c r="Q697" s="4">
        <v>4</v>
      </c>
      <c r="R697" s="4">
        <v>966</v>
      </c>
      <c r="S697" s="5">
        <v>0</v>
      </c>
      <c r="T697" s="6">
        <f t="shared" si="30"/>
        <v>3864</v>
      </c>
      <c r="U697" s="4">
        <v>1018.17</v>
      </c>
      <c r="V697" t="str">
        <f t="shared" si="31"/>
        <v>Aug</v>
      </c>
      <c r="W697">
        <f t="shared" si="32"/>
        <v>0.26350155279503107</v>
      </c>
    </row>
    <row r="698" spans="1:23" x14ac:dyDescent="0.4">
      <c r="A698" s="4" t="s">
        <v>2282</v>
      </c>
      <c r="B698" s="4" t="s">
        <v>2283</v>
      </c>
      <c r="C698" s="11">
        <v>45450</v>
      </c>
      <c r="D698" s="4" t="s">
        <v>98</v>
      </c>
      <c r="E698" s="4" t="s">
        <v>24</v>
      </c>
      <c r="F698" s="4" t="s">
        <v>26</v>
      </c>
      <c r="G698" s="4" t="s">
        <v>41</v>
      </c>
      <c r="H698" s="4" t="s">
        <v>2284</v>
      </c>
      <c r="I698" s="4" t="s">
        <v>61</v>
      </c>
      <c r="J698" s="4" t="s">
        <v>29</v>
      </c>
      <c r="K698" s="4" t="s">
        <v>101</v>
      </c>
      <c r="L698" s="4" t="s">
        <v>45</v>
      </c>
      <c r="M698" s="4" t="s">
        <v>53</v>
      </c>
      <c r="N698" s="4" t="s">
        <v>54</v>
      </c>
      <c r="O698" s="4" t="s">
        <v>46</v>
      </c>
      <c r="P698" s="4" t="s">
        <v>88</v>
      </c>
      <c r="Q698" s="4">
        <v>3</v>
      </c>
      <c r="R698" s="4">
        <v>46948</v>
      </c>
      <c r="S698" s="5">
        <v>0</v>
      </c>
      <c r="T698" s="6">
        <f t="shared" si="30"/>
        <v>140844</v>
      </c>
      <c r="U698" s="4">
        <v>38244.9</v>
      </c>
      <c r="V698" t="str">
        <f t="shared" si="31"/>
        <v>Jun</v>
      </c>
      <c r="W698">
        <f t="shared" si="32"/>
        <v>0.27154085371048819</v>
      </c>
    </row>
    <row r="699" spans="1:23" x14ac:dyDescent="0.4">
      <c r="A699" s="4" t="s">
        <v>2285</v>
      </c>
      <c r="B699" s="4" t="s">
        <v>205</v>
      </c>
      <c r="C699" s="11">
        <v>44947</v>
      </c>
      <c r="D699" s="4" t="s">
        <v>98</v>
      </c>
      <c r="E699" s="4" t="s">
        <v>24</v>
      </c>
      <c r="F699" s="4" t="s">
        <v>70</v>
      </c>
      <c r="G699" s="4" t="s">
        <v>99</v>
      </c>
      <c r="H699" s="4" t="s">
        <v>2286</v>
      </c>
      <c r="I699" s="4" t="s">
        <v>28</v>
      </c>
      <c r="J699" s="4" t="s">
        <v>29</v>
      </c>
      <c r="K699" s="4" t="s">
        <v>30</v>
      </c>
      <c r="L699" s="4" t="s">
        <v>1031</v>
      </c>
      <c r="M699" s="4" t="s">
        <v>81</v>
      </c>
      <c r="N699" s="4" t="s">
        <v>54</v>
      </c>
      <c r="O699" s="4" t="s">
        <v>34</v>
      </c>
      <c r="P699" s="4" t="s">
        <v>35</v>
      </c>
      <c r="Q699" s="4">
        <v>1</v>
      </c>
      <c r="R699" s="4">
        <v>39101</v>
      </c>
      <c r="S699" s="5">
        <v>20</v>
      </c>
      <c r="T699" s="6">
        <f t="shared" si="30"/>
        <v>31280.799999999999</v>
      </c>
      <c r="U699" s="4">
        <v>2340.5700000000002</v>
      </c>
      <c r="V699" t="str">
        <f t="shared" si="31"/>
        <v>Jan</v>
      </c>
      <c r="W699">
        <f t="shared" si="32"/>
        <v>7.4824492979719201E-2</v>
      </c>
    </row>
    <row r="700" spans="1:23" x14ac:dyDescent="0.4">
      <c r="A700" s="4" t="s">
        <v>2287</v>
      </c>
      <c r="B700" s="4" t="s">
        <v>2288</v>
      </c>
      <c r="C700" s="11">
        <v>45471</v>
      </c>
      <c r="D700" s="4" t="s">
        <v>23</v>
      </c>
      <c r="E700" s="4" t="s">
        <v>24</v>
      </c>
      <c r="F700" s="4" t="s">
        <v>25</v>
      </c>
      <c r="G700" s="4" t="s">
        <v>41</v>
      </c>
      <c r="H700" s="4" t="s">
        <v>2289</v>
      </c>
      <c r="I700" s="4" t="s">
        <v>28</v>
      </c>
      <c r="J700" s="4" t="s">
        <v>62</v>
      </c>
      <c r="K700" s="4" t="s">
        <v>30</v>
      </c>
      <c r="L700" s="4" t="s">
        <v>631</v>
      </c>
      <c r="M700" s="4" t="s">
        <v>73</v>
      </c>
      <c r="N700" s="4" t="s">
        <v>33</v>
      </c>
      <c r="O700" s="4" t="s">
        <v>46</v>
      </c>
      <c r="P700" s="4" t="s">
        <v>35</v>
      </c>
      <c r="Q700" s="4">
        <v>7</v>
      </c>
      <c r="R700" s="4">
        <v>17218</v>
      </c>
      <c r="S700" s="5">
        <v>20</v>
      </c>
      <c r="T700" s="6">
        <f t="shared" si="30"/>
        <v>96420.800000000003</v>
      </c>
      <c r="U700" s="4">
        <v>-17305.48</v>
      </c>
      <c r="V700" t="str">
        <f t="shared" si="31"/>
        <v>Jun</v>
      </c>
      <c r="W700">
        <f t="shared" si="32"/>
        <v>-0.17947870169092145</v>
      </c>
    </row>
    <row r="701" spans="1:23" x14ac:dyDescent="0.4">
      <c r="A701" s="4" t="s">
        <v>2290</v>
      </c>
      <c r="B701" s="4" t="s">
        <v>1703</v>
      </c>
      <c r="C701" s="11">
        <v>44829</v>
      </c>
      <c r="D701" s="4" t="s">
        <v>124</v>
      </c>
      <c r="E701" s="4" t="s">
        <v>24</v>
      </c>
      <c r="F701" s="4" t="s">
        <v>70</v>
      </c>
      <c r="G701" s="4" t="s">
        <v>92</v>
      </c>
      <c r="H701" s="4" t="s">
        <v>2291</v>
      </c>
      <c r="I701" s="4" t="s">
        <v>43</v>
      </c>
      <c r="J701" s="4" t="s">
        <v>62</v>
      </c>
      <c r="K701" s="4" t="s">
        <v>44</v>
      </c>
      <c r="L701" s="4" t="s">
        <v>72</v>
      </c>
      <c r="M701" s="4" t="s">
        <v>95</v>
      </c>
      <c r="N701" s="4" t="s">
        <v>54</v>
      </c>
      <c r="O701" s="4" t="s">
        <v>34</v>
      </c>
      <c r="P701" s="4" t="s">
        <v>47</v>
      </c>
      <c r="Q701" s="4">
        <v>10</v>
      </c>
      <c r="R701" s="4">
        <v>4062</v>
      </c>
      <c r="S701" s="5">
        <v>0</v>
      </c>
      <c r="T701" s="6">
        <f t="shared" si="30"/>
        <v>40620</v>
      </c>
      <c r="U701" s="4">
        <v>6779.39</v>
      </c>
      <c r="V701" t="str">
        <f t="shared" si="31"/>
        <v>Sep</v>
      </c>
      <c r="W701">
        <f t="shared" si="32"/>
        <v>0.16689783357951748</v>
      </c>
    </row>
    <row r="702" spans="1:23" x14ac:dyDescent="0.4">
      <c r="A702" s="4" t="s">
        <v>2292</v>
      </c>
      <c r="B702" s="4" t="s">
        <v>2293</v>
      </c>
      <c r="C702" s="11">
        <v>45360</v>
      </c>
      <c r="D702" s="4" t="s">
        <v>98</v>
      </c>
      <c r="E702" s="4" t="s">
        <v>24</v>
      </c>
      <c r="F702" s="4" t="s">
        <v>26</v>
      </c>
      <c r="G702" s="4" t="s">
        <v>41</v>
      </c>
      <c r="H702" s="4" t="s">
        <v>2294</v>
      </c>
      <c r="I702" s="4" t="s">
        <v>43</v>
      </c>
      <c r="J702" s="4" t="s">
        <v>62</v>
      </c>
      <c r="K702" s="4" t="s">
        <v>63</v>
      </c>
      <c r="L702" s="4" t="s">
        <v>552</v>
      </c>
      <c r="M702" s="4" t="s">
        <v>73</v>
      </c>
      <c r="N702" s="4" t="s">
        <v>54</v>
      </c>
      <c r="O702" s="4" t="s">
        <v>120</v>
      </c>
      <c r="P702" s="4" t="s">
        <v>88</v>
      </c>
      <c r="Q702" s="4">
        <v>6</v>
      </c>
      <c r="R702" s="4">
        <v>29082</v>
      </c>
      <c r="S702" s="5">
        <v>15</v>
      </c>
      <c r="T702" s="6">
        <f t="shared" si="30"/>
        <v>148318.20000000001</v>
      </c>
      <c r="U702" s="4">
        <v>16837.419999999998</v>
      </c>
      <c r="V702" t="str">
        <f t="shared" si="31"/>
        <v>Mar</v>
      </c>
      <c r="W702">
        <f t="shared" si="32"/>
        <v>0.11352227845267807</v>
      </c>
    </row>
    <row r="703" spans="1:23" x14ac:dyDescent="0.4">
      <c r="A703" s="4" t="s">
        <v>2295</v>
      </c>
      <c r="B703" s="4" t="s">
        <v>116</v>
      </c>
      <c r="C703" s="11">
        <v>44700</v>
      </c>
      <c r="D703" s="4" t="s">
        <v>124</v>
      </c>
      <c r="E703" s="4" t="s">
        <v>24</v>
      </c>
      <c r="F703" s="4" t="s">
        <v>40</v>
      </c>
      <c r="G703" s="4" t="s">
        <v>99</v>
      </c>
      <c r="H703" s="4" t="s">
        <v>2296</v>
      </c>
      <c r="I703" s="4" t="s">
        <v>28</v>
      </c>
      <c r="J703" s="4" t="s">
        <v>29</v>
      </c>
      <c r="K703" s="4" t="s">
        <v>86</v>
      </c>
      <c r="L703" s="4" t="s">
        <v>949</v>
      </c>
      <c r="M703" s="4" t="s">
        <v>81</v>
      </c>
      <c r="N703" s="4" t="s">
        <v>33</v>
      </c>
      <c r="O703" s="4" t="s">
        <v>82</v>
      </c>
      <c r="P703" s="4" t="s">
        <v>88</v>
      </c>
      <c r="Q703" s="4">
        <v>2</v>
      </c>
      <c r="R703" s="4">
        <v>882</v>
      </c>
      <c r="S703" s="5">
        <v>20</v>
      </c>
      <c r="T703" s="6">
        <f t="shared" si="30"/>
        <v>1411.2</v>
      </c>
      <c r="U703" s="4">
        <v>-76.209999999999994</v>
      </c>
      <c r="V703" t="str">
        <f t="shared" si="31"/>
        <v>May</v>
      </c>
      <c r="W703">
        <f t="shared" si="32"/>
        <v>-5.400368480725623E-2</v>
      </c>
    </row>
    <row r="704" spans="1:23" x14ac:dyDescent="0.4">
      <c r="A704" s="4" t="s">
        <v>2297</v>
      </c>
      <c r="B704" s="4" t="s">
        <v>1130</v>
      </c>
      <c r="C704" s="11">
        <v>44840</v>
      </c>
      <c r="D704" s="4" t="s">
        <v>23</v>
      </c>
      <c r="E704" s="4" t="s">
        <v>24</v>
      </c>
      <c r="F704" s="4" t="s">
        <v>58</v>
      </c>
      <c r="G704" s="4" t="s">
        <v>59</v>
      </c>
      <c r="H704" s="4" t="s">
        <v>2298</v>
      </c>
      <c r="I704" s="4" t="s">
        <v>61</v>
      </c>
      <c r="J704" s="4" t="s">
        <v>29</v>
      </c>
      <c r="K704" s="4" t="s">
        <v>101</v>
      </c>
      <c r="L704" s="4" t="s">
        <v>329</v>
      </c>
      <c r="M704" s="4" t="s">
        <v>53</v>
      </c>
      <c r="N704" s="4" t="s">
        <v>54</v>
      </c>
      <c r="O704" s="4" t="s">
        <v>82</v>
      </c>
      <c r="P704" s="4" t="s">
        <v>47</v>
      </c>
      <c r="Q704" s="4">
        <v>2</v>
      </c>
      <c r="R704" s="4">
        <v>1332</v>
      </c>
      <c r="S704" s="5">
        <v>10</v>
      </c>
      <c r="T704" s="6">
        <f t="shared" si="30"/>
        <v>2397.6</v>
      </c>
      <c r="U704" s="4">
        <v>82.14</v>
      </c>
      <c r="V704" t="str">
        <f t="shared" si="31"/>
        <v>Oct</v>
      </c>
      <c r="W704">
        <f t="shared" si="32"/>
        <v>3.425925925925926E-2</v>
      </c>
    </row>
    <row r="705" spans="1:23" x14ac:dyDescent="0.4">
      <c r="A705" s="4" t="s">
        <v>2299</v>
      </c>
      <c r="B705" s="4" t="s">
        <v>406</v>
      </c>
      <c r="C705" s="11">
        <v>44651</v>
      </c>
      <c r="D705" s="4" t="s">
        <v>98</v>
      </c>
      <c r="E705" s="4" t="s">
        <v>24</v>
      </c>
      <c r="F705" s="4" t="s">
        <v>70</v>
      </c>
      <c r="G705" s="4" t="s">
        <v>59</v>
      </c>
      <c r="H705" s="4" t="s">
        <v>2301</v>
      </c>
      <c r="I705" s="4" t="s">
        <v>61</v>
      </c>
      <c r="J705" s="4" t="s">
        <v>29</v>
      </c>
      <c r="K705" s="4" t="s">
        <v>86</v>
      </c>
      <c r="L705" s="4" t="s">
        <v>862</v>
      </c>
      <c r="M705" s="4" t="s">
        <v>65</v>
      </c>
      <c r="N705" s="4" t="s">
        <v>54</v>
      </c>
      <c r="O705" s="4" t="s">
        <v>34</v>
      </c>
      <c r="P705" s="4" t="s">
        <v>74</v>
      </c>
      <c r="Q705" s="4">
        <v>7</v>
      </c>
      <c r="R705" s="4">
        <v>3025</v>
      </c>
      <c r="S705" s="5">
        <v>5</v>
      </c>
      <c r="T705" s="6">
        <f t="shared" si="30"/>
        <v>20116.25</v>
      </c>
      <c r="U705" s="4">
        <v>775.97</v>
      </c>
      <c r="V705" t="str">
        <f t="shared" si="31"/>
        <v>Mar</v>
      </c>
      <c r="W705">
        <f t="shared" si="32"/>
        <v>3.8574286957062075E-2</v>
      </c>
    </row>
    <row r="706" spans="1:23" x14ac:dyDescent="0.4">
      <c r="A706" s="4" t="s">
        <v>2302</v>
      </c>
      <c r="B706" s="4" t="s">
        <v>309</v>
      </c>
      <c r="C706" s="11">
        <v>44596</v>
      </c>
      <c r="D706" s="4" t="s">
        <v>124</v>
      </c>
      <c r="E706" s="4" t="s">
        <v>24</v>
      </c>
      <c r="F706" s="4" t="s">
        <v>26</v>
      </c>
      <c r="G706" s="4" t="s">
        <v>26</v>
      </c>
      <c r="H706" s="4" t="s">
        <v>2303</v>
      </c>
      <c r="I706" s="4" t="s">
        <v>61</v>
      </c>
      <c r="J706" s="4" t="s">
        <v>29</v>
      </c>
      <c r="K706" s="4" t="s">
        <v>30</v>
      </c>
      <c r="L706" s="4" t="s">
        <v>826</v>
      </c>
      <c r="M706" s="4" t="s">
        <v>95</v>
      </c>
      <c r="N706" s="4" t="s">
        <v>54</v>
      </c>
      <c r="O706" s="4" t="s">
        <v>82</v>
      </c>
      <c r="P706" s="4" t="s">
        <v>47</v>
      </c>
      <c r="Q706" s="4">
        <v>9</v>
      </c>
      <c r="R706" s="4">
        <v>24804</v>
      </c>
      <c r="S706" s="5">
        <v>10</v>
      </c>
      <c r="T706" s="6">
        <f t="shared" si="30"/>
        <v>200912.4</v>
      </c>
      <c r="U706" s="4">
        <v>35171.129999999997</v>
      </c>
      <c r="V706" t="str">
        <f t="shared" si="31"/>
        <v>Jan</v>
      </c>
      <c r="W706">
        <f t="shared" si="32"/>
        <v>0.1750570397845031</v>
      </c>
    </row>
    <row r="707" spans="1:23" x14ac:dyDescent="0.4">
      <c r="A707" s="4" t="s">
        <v>2304</v>
      </c>
      <c r="B707" s="4" t="s">
        <v>38</v>
      </c>
      <c r="C707" s="11">
        <v>45365</v>
      </c>
      <c r="D707" s="4" t="s">
        <v>23</v>
      </c>
      <c r="E707" s="4" t="s">
        <v>24</v>
      </c>
      <c r="F707" s="4" t="s">
        <v>70</v>
      </c>
      <c r="G707" s="4" t="s">
        <v>92</v>
      </c>
      <c r="H707" s="4" t="s">
        <v>2305</v>
      </c>
      <c r="I707" s="4" t="s">
        <v>28</v>
      </c>
      <c r="J707" s="4" t="s">
        <v>62</v>
      </c>
      <c r="K707" s="4" t="s">
        <v>101</v>
      </c>
      <c r="L707" s="4" t="s">
        <v>980</v>
      </c>
      <c r="M707" s="4" t="s">
        <v>95</v>
      </c>
      <c r="N707" s="4" t="s">
        <v>33</v>
      </c>
      <c r="O707" s="4" t="s">
        <v>34</v>
      </c>
      <c r="P707" s="4" t="s">
        <v>35</v>
      </c>
      <c r="Q707" s="4">
        <v>10</v>
      </c>
      <c r="R707" s="4">
        <v>16290</v>
      </c>
      <c r="S707" s="5">
        <v>20</v>
      </c>
      <c r="T707" s="6">
        <f t="shared" ref="T707:T770" si="33">Q707*R707*(100-S707)/100</f>
        <v>130320</v>
      </c>
      <c r="U707" s="4">
        <v>-17427.43</v>
      </c>
      <c r="V707" t="str">
        <f t="shared" ref="V707:V770" si="34">TEXT(B707,"MMM")</f>
        <v>Mar</v>
      </c>
      <c r="W707">
        <f t="shared" ref="W707:W770" si="35">U707/T707</f>
        <v>-0.13372797728667896</v>
      </c>
    </row>
    <row r="708" spans="1:23" x14ac:dyDescent="0.4">
      <c r="A708" s="4" t="s">
        <v>2306</v>
      </c>
      <c r="B708" s="4" t="s">
        <v>447</v>
      </c>
      <c r="C708" s="11">
        <v>45117</v>
      </c>
      <c r="D708" s="4" t="s">
        <v>98</v>
      </c>
      <c r="E708" s="4" t="s">
        <v>24</v>
      </c>
      <c r="F708" s="4" t="s">
        <v>26</v>
      </c>
      <c r="G708" s="4" t="s">
        <v>26</v>
      </c>
      <c r="H708" s="4" t="s">
        <v>2307</v>
      </c>
      <c r="I708" s="4" t="s">
        <v>43</v>
      </c>
      <c r="J708" s="4" t="s">
        <v>79</v>
      </c>
      <c r="K708" s="4" t="s">
        <v>63</v>
      </c>
      <c r="L708" s="4" t="s">
        <v>72</v>
      </c>
      <c r="M708" s="4" t="s">
        <v>73</v>
      </c>
      <c r="N708" s="4" t="s">
        <v>33</v>
      </c>
      <c r="O708" s="4" t="s">
        <v>66</v>
      </c>
      <c r="P708" s="4" t="s">
        <v>35</v>
      </c>
      <c r="Q708" s="4">
        <v>2</v>
      </c>
      <c r="R708" s="4">
        <v>45128</v>
      </c>
      <c r="S708" s="5">
        <v>15</v>
      </c>
      <c r="T708" s="6">
        <f t="shared" si="33"/>
        <v>76717.600000000006</v>
      </c>
      <c r="U708" s="4">
        <v>4911.1899999999996</v>
      </c>
      <c r="V708" t="str">
        <f t="shared" si="34"/>
        <v>Jul</v>
      </c>
      <c r="W708">
        <f t="shared" si="35"/>
        <v>6.4016470796792388E-2</v>
      </c>
    </row>
    <row r="709" spans="1:23" x14ac:dyDescent="0.4">
      <c r="A709" s="4" t="s">
        <v>2308</v>
      </c>
      <c r="B709" s="4" t="s">
        <v>1880</v>
      </c>
      <c r="C709" s="11">
        <v>45324</v>
      </c>
      <c r="D709" s="4" t="s">
        <v>23</v>
      </c>
      <c r="E709" s="4" t="s">
        <v>24</v>
      </c>
      <c r="F709" s="4" t="s">
        <v>26</v>
      </c>
      <c r="G709" s="4" t="s">
        <v>41</v>
      </c>
      <c r="H709" s="4" t="s">
        <v>2309</v>
      </c>
      <c r="I709" s="4" t="s">
        <v>61</v>
      </c>
      <c r="J709" s="4" t="s">
        <v>29</v>
      </c>
      <c r="K709" s="4" t="s">
        <v>44</v>
      </c>
      <c r="L709" s="4" t="s">
        <v>213</v>
      </c>
      <c r="M709" s="4" t="s">
        <v>95</v>
      </c>
      <c r="N709" s="4" t="s">
        <v>33</v>
      </c>
      <c r="O709" s="4" t="s">
        <v>66</v>
      </c>
      <c r="P709" s="4" t="s">
        <v>88</v>
      </c>
      <c r="Q709" s="4">
        <v>4</v>
      </c>
      <c r="R709" s="4">
        <v>47756</v>
      </c>
      <c r="S709" s="5">
        <v>20</v>
      </c>
      <c r="T709" s="6">
        <f t="shared" si="33"/>
        <v>152819.20000000001</v>
      </c>
      <c r="U709" s="4">
        <v>9077.89</v>
      </c>
      <c r="V709" t="str">
        <f t="shared" si="34"/>
        <v>Jan</v>
      </c>
      <c r="W709">
        <f t="shared" si="35"/>
        <v>5.9402810641594764E-2</v>
      </c>
    </row>
    <row r="710" spans="1:23" x14ac:dyDescent="0.4">
      <c r="A710" s="4" t="s">
        <v>2310</v>
      </c>
      <c r="B710" s="4" t="s">
        <v>855</v>
      </c>
      <c r="C710" s="11">
        <v>44576</v>
      </c>
      <c r="D710" s="4" t="s">
        <v>23</v>
      </c>
      <c r="E710" s="4" t="s">
        <v>24</v>
      </c>
      <c r="F710" s="4" t="s">
        <v>26</v>
      </c>
      <c r="G710" s="4" t="s">
        <v>41</v>
      </c>
      <c r="H710" s="4" t="s">
        <v>2311</v>
      </c>
      <c r="I710" s="4" t="s">
        <v>43</v>
      </c>
      <c r="J710" s="4" t="s">
        <v>79</v>
      </c>
      <c r="K710" s="4" t="s">
        <v>44</v>
      </c>
      <c r="L710" s="4" t="s">
        <v>1311</v>
      </c>
      <c r="M710" s="4" t="s">
        <v>53</v>
      </c>
      <c r="N710" s="4" t="s">
        <v>33</v>
      </c>
      <c r="O710" s="4" t="s">
        <v>34</v>
      </c>
      <c r="P710" s="4" t="s">
        <v>35</v>
      </c>
      <c r="Q710" s="4">
        <v>3</v>
      </c>
      <c r="R710" s="4">
        <v>11032</v>
      </c>
      <c r="S710" s="5">
        <v>15</v>
      </c>
      <c r="T710" s="6">
        <f t="shared" si="33"/>
        <v>28131.599999999999</v>
      </c>
      <c r="U710" s="4">
        <v>1186.8900000000001</v>
      </c>
      <c r="V710" t="str">
        <f t="shared" si="34"/>
        <v>Jan</v>
      </c>
      <c r="W710">
        <f t="shared" si="35"/>
        <v>4.2190632598216961E-2</v>
      </c>
    </row>
    <row r="711" spans="1:23" x14ac:dyDescent="0.4">
      <c r="A711" s="4" t="s">
        <v>2312</v>
      </c>
      <c r="B711" s="4" t="s">
        <v>1768</v>
      </c>
      <c r="C711" s="11">
        <v>44937</v>
      </c>
      <c r="D711" s="4" t="s">
        <v>23</v>
      </c>
      <c r="E711" s="4" t="s">
        <v>24</v>
      </c>
      <c r="F711" s="4" t="s">
        <v>25</v>
      </c>
      <c r="G711" s="4" t="s">
        <v>41</v>
      </c>
      <c r="H711" s="4" t="s">
        <v>728</v>
      </c>
      <c r="I711" s="4" t="s">
        <v>61</v>
      </c>
      <c r="J711" s="4" t="s">
        <v>62</v>
      </c>
      <c r="K711" s="4" t="s">
        <v>86</v>
      </c>
      <c r="L711" s="4" t="s">
        <v>218</v>
      </c>
      <c r="M711" s="4" t="s">
        <v>95</v>
      </c>
      <c r="N711" s="4" t="s">
        <v>33</v>
      </c>
      <c r="O711" s="4" t="s">
        <v>46</v>
      </c>
      <c r="P711" s="4" t="s">
        <v>35</v>
      </c>
      <c r="Q711" s="4">
        <v>9</v>
      </c>
      <c r="R711" s="4">
        <v>13302</v>
      </c>
      <c r="S711" s="5">
        <v>0</v>
      </c>
      <c r="T711" s="6">
        <f t="shared" si="33"/>
        <v>119718</v>
      </c>
      <c r="U711" s="4">
        <v>31368.93</v>
      </c>
      <c r="V711" t="str">
        <f t="shared" si="34"/>
        <v>Jan</v>
      </c>
      <c r="W711">
        <f t="shared" si="35"/>
        <v>0.26202350523730766</v>
      </c>
    </row>
    <row r="712" spans="1:23" x14ac:dyDescent="0.4">
      <c r="A712" s="4" t="s">
        <v>2313</v>
      </c>
      <c r="B712" s="4" t="s">
        <v>693</v>
      </c>
      <c r="C712" s="11">
        <v>44861</v>
      </c>
      <c r="D712" s="4" t="s">
        <v>124</v>
      </c>
      <c r="E712" s="4" t="s">
        <v>24</v>
      </c>
      <c r="F712" s="4" t="s">
        <v>25</v>
      </c>
      <c r="G712" s="4" t="s">
        <v>92</v>
      </c>
      <c r="H712" s="4" t="s">
        <v>2128</v>
      </c>
      <c r="I712" s="4" t="s">
        <v>61</v>
      </c>
      <c r="J712" s="4" t="s">
        <v>62</v>
      </c>
      <c r="K712" s="4" t="s">
        <v>86</v>
      </c>
      <c r="L712" s="4" t="s">
        <v>491</v>
      </c>
      <c r="M712" s="4" t="s">
        <v>81</v>
      </c>
      <c r="N712" s="4" t="s">
        <v>33</v>
      </c>
      <c r="O712" s="4" t="s">
        <v>120</v>
      </c>
      <c r="P712" s="4" t="s">
        <v>74</v>
      </c>
      <c r="Q712" s="4">
        <v>3</v>
      </c>
      <c r="R712" s="4">
        <v>47791</v>
      </c>
      <c r="S712" s="5">
        <v>15</v>
      </c>
      <c r="T712" s="6">
        <f t="shared" si="33"/>
        <v>121867.05</v>
      </c>
      <c r="U712" s="4">
        <v>15542.81</v>
      </c>
      <c r="V712" t="str">
        <f t="shared" si="34"/>
        <v>Oct</v>
      </c>
      <c r="W712">
        <f t="shared" si="35"/>
        <v>0.12753906818947369</v>
      </c>
    </row>
    <row r="713" spans="1:23" x14ac:dyDescent="0.4">
      <c r="A713" s="4" t="s">
        <v>2314</v>
      </c>
      <c r="B713" s="4" t="s">
        <v>1951</v>
      </c>
      <c r="C713" s="11">
        <v>44951</v>
      </c>
      <c r="D713" s="4" t="s">
        <v>23</v>
      </c>
      <c r="E713" s="4" t="s">
        <v>24</v>
      </c>
      <c r="F713" s="4" t="s">
        <v>58</v>
      </c>
      <c r="G713" s="4" t="s">
        <v>92</v>
      </c>
      <c r="H713" s="4" t="s">
        <v>2315</v>
      </c>
      <c r="I713" s="4" t="s">
        <v>28</v>
      </c>
      <c r="J713" s="4" t="s">
        <v>79</v>
      </c>
      <c r="K713" s="4" t="s">
        <v>101</v>
      </c>
      <c r="L713" s="4" t="s">
        <v>583</v>
      </c>
      <c r="M713" s="4" t="s">
        <v>81</v>
      </c>
      <c r="N713" s="4" t="s">
        <v>33</v>
      </c>
      <c r="O713" s="4" t="s">
        <v>82</v>
      </c>
      <c r="P713" s="4" t="s">
        <v>88</v>
      </c>
      <c r="Q713" s="4">
        <v>1</v>
      </c>
      <c r="R713" s="4">
        <v>7425</v>
      </c>
      <c r="S713" s="5">
        <v>5</v>
      </c>
      <c r="T713" s="6">
        <f t="shared" si="33"/>
        <v>7053.75</v>
      </c>
      <c r="U713" s="4">
        <v>818.19</v>
      </c>
      <c r="V713" t="str">
        <f t="shared" si="34"/>
        <v>Jan</v>
      </c>
      <c r="W713">
        <f t="shared" si="35"/>
        <v>0.11599362041467305</v>
      </c>
    </row>
    <row r="714" spans="1:23" x14ac:dyDescent="0.4">
      <c r="A714" s="4" t="s">
        <v>2316</v>
      </c>
      <c r="B714" s="4" t="s">
        <v>2317</v>
      </c>
      <c r="C714" s="11">
        <v>44625</v>
      </c>
      <c r="D714" s="4" t="s">
        <v>98</v>
      </c>
      <c r="E714" s="4" t="s">
        <v>24</v>
      </c>
      <c r="F714" s="4" t="s">
        <v>25</v>
      </c>
      <c r="G714" s="4" t="s">
        <v>26</v>
      </c>
      <c r="H714" s="4" t="s">
        <v>2318</v>
      </c>
      <c r="I714" s="4" t="s">
        <v>61</v>
      </c>
      <c r="J714" s="4" t="s">
        <v>79</v>
      </c>
      <c r="K714" s="4" t="s">
        <v>44</v>
      </c>
      <c r="L714" s="4" t="s">
        <v>675</v>
      </c>
      <c r="M714" s="4" t="s">
        <v>53</v>
      </c>
      <c r="N714" s="4" t="s">
        <v>33</v>
      </c>
      <c r="O714" s="4" t="s">
        <v>34</v>
      </c>
      <c r="P714" s="4" t="s">
        <v>74</v>
      </c>
      <c r="Q714" s="4">
        <v>9</v>
      </c>
      <c r="R714" s="4">
        <v>36090</v>
      </c>
      <c r="S714" s="5">
        <v>20</v>
      </c>
      <c r="T714" s="6">
        <f t="shared" si="33"/>
        <v>259848</v>
      </c>
      <c r="U714" s="4">
        <v>27375.86</v>
      </c>
      <c r="V714" t="str">
        <f t="shared" si="34"/>
        <v>Mar</v>
      </c>
      <c r="W714">
        <f t="shared" si="35"/>
        <v>0.10535336042609526</v>
      </c>
    </row>
    <row r="715" spans="1:23" x14ac:dyDescent="0.4">
      <c r="A715" s="4" t="s">
        <v>2319</v>
      </c>
      <c r="B715" s="4" t="s">
        <v>412</v>
      </c>
      <c r="C715" s="11">
        <v>45035</v>
      </c>
      <c r="D715" s="4" t="s">
        <v>39</v>
      </c>
      <c r="E715" s="4" t="s">
        <v>24</v>
      </c>
      <c r="F715" s="4" t="s">
        <v>70</v>
      </c>
      <c r="G715" s="4" t="s">
        <v>26</v>
      </c>
      <c r="H715" s="4" t="s">
        <v>2320</v>
      </c>
      <c r="I715" s="4" t="s">
        <v>43</v>
      </c>
      <c r="J715" s="4" t="s">
        <v>62</v>
      </c>
      <c r="K715" s="4" t="s">
        <v>101</v>
      </c>
      <c r="L715" s="4" t="s">
        <v>661</v>
      </c>
      <c r="M715" s="4" t="s">
        <v>65</v>
      </c>
      <c r="N715" s="4" t="s">
        <v>33</v>
      </c>
      <c r="O715" s="4" t="s">
        <v>120</v>
      </c>
      <c r="P715" s="4" t="s">
        <v>88</v>
      </c>
      <c r="Q715" s="4">
        <v>9</v>
      </c>
      <c r="R715" s="4">
        <v>14568</v>
      </c>
      <c r="S715" s="5">
        <v>5</v>
      </c>
      <c r="T715" s="6">
        <f t="shared" si="33"/>
        <v>124556.4</v>
      </c>
      <c r="U715" s="4">
        <v>18054.509999999998</v>
      </c>
      <c r="V715" t="str">
        <f t="shared" si="34"/>
        <v>Apr</v>
      </c>
      <c r="W715">
        <f t="shared" si="35"/>
        <v>0.14495048026436216</v>
      </c>
    </row>
    <row r="716" spans="1:23" x14ac:dyDescent="0.4">
      <c r="A716" s="4" t="s">
        <v>2321</v>
      </c>
      <c r="B716" s="4" t="s">
        <v>1174</v>
      </c>
      <c r="C716" s="11">
        <v>45408</v>
      </c>
      <c r="D716" s="4" t="s">
        <v>39</v>
      </c>
      <c r="E716" s="4" t="s">
        <v>24</v>
      </c>
      <c r="F716" s="4" t="s">
        <v>70</v>
      </c>
      <c r="G716" s="4" t="s">
        <v>99</v>
      </c>
      <c r="H716" s="4" t="s">
        <v>2322</v>
      </c>
      <c r="I716" s="4" t="s">
        <v>43</v>
      </c>
      <c r="J716" s="4" t="s">
        <v>79</v>
      </c>
      <c r="K716" s="4" t="s">
        <v>44</v>
      </c>
      <c r="L716" s="4" t="s">
        <v>704</v>
      </c>
      <c r="M716" s="4" t="s">
        <v>65</v>
      </c>
      <c r="N716" s="4" t="s">
        <v>33</v>
      </c>
      <c r="O716" s="4" t="s">
        <v>120</v>
      </c>
      <c r="P716" s="4" t="s">
        <v>35</v>
      </c>
      <c r="Q716" s="4">
        <v>8</v>
      </c>
      <c r="R716" s="4">
        <v>21341</v>
      </c>
      <c r="S716" s="5">
        <v>15</v>
      </c>
      <c r="T716" s="6">
        <f t="shared" si="33"/>
        <v>145118.79999999999</v>
      </c>
      <c r="U716" s="4">
        <v>10351.56</v>
      </c>
      <c r="V716" t="str">
        <f t="shared" si="34"/>
        <v>Apr</v>
      </c>
      <c r="W716">
        <f t="shared" si="35"/>
        <v>7.1331626226236719E-2</v>
      </c>
    </row>
    <row r="717" spans="1:23" x14ac:dyDescent="0.4">
      <c r="A717" s="4" t="s">
        <v>2323</v>
      </c>
      <c r="B717" s="4" t="s">
        <v>912</v>
      </c>
      <c r="C717" s="11">
        <v>45381</v>
      </c>
      <c r="D717" s="4" t="s">
        <v>124</v>
      </c>
      <c r="E717" s="4" t="s">
        <v>24</v>
      </c>
      <c r="F717" s="4" t="s">
        <v>26</v>
      </c>
      <c r="G717" s="4" t="s">
        <v>59</v>
      </c>
      <c r="H717" s="4" t="s">
        <v>2324</v>
      </c>
      <c r="I717" s="4" t="s">
        <v>28</v>
      </c>
      <c r="J717" s="4" t="s">
        <v>29</v>
      </c>
      <c r="K717" s="4" t="s">
        <v>44</v>
      </c>
      <c r="L717" s="4" t="s">
        <v>1254</v>
      </c>
      <c r="M717" s="4" t="s">
        <v>32</v>
      </c>
      <c r="N717" s="4" t="s">
        <v>33</v>
      </c>
      <c r="O717" s="4" t="s">
        <v>46</v>
      </c>
      <c r="P717" s="4" t="s">
        <v>88</v>
      </c>
      <c r="Q717" s="4">
        <v>3</v>
      </c>
      <c r="R717" s="4">
        <v>22244</v>
      </c>
      <c r="S717" s="5">
        <v>15</v>
      </c>
      <c r="T717" s="6">
        <f t="shared" si="33"/>
        <v>56722.2</v>
      </c>
      <c r="U717" s="4">
        <v>5801.69</v>
      </c>
      <c r="V717" t="str">
        <f t="shared" si="34"/>
        <v>Mar</v>
      </c>
      <c r="W717">
        <f t="shared" si="35"/>
        <v>0.10228252782861032</v>
      </c>
    </row>
    <row r="718" spans="1:23" x14ac:dyDescent="0.4">
      <c r="A718" s="4" t="s">
        <v>2325</v>
      </c>
      <c r="B718" s="4" t="s">
        <v>1015</v>
      </c>
      <c r="C718" s="11">
        <v>45003</v>
      </c>
      <c r="D718" s="4" t="s">
        <v>39</v>
      </c>
      <c r="E718" s="4" t="s">
        <v>24</v>
      </c>
      <c r="F718" s="4" t="s">
        <v>58</v>
      </c>
      <c r="G718" s="4" t="s">
        <v>26</v>
      </c>
      <c r="H718" s="4" t="s">
        <v>2326</v>
      </c>
      <c r="I718" s="4" t="s">
        <v>28</v>
      </c>
      <c r="J718" s="4" t="s">
        <v>79</v>
      </c>
      <c r="K718" s="4" t="s">
        <v>30</v>
      </c>
      <c r="L718" s="4" t="s">
        <v>452</v>
      </c>
      <c r="M718" s="4" t="s">
        <v>81</v>
      </c>
      <c r="N718" s="4" t="s">
        <v>54</v>
      </c>
      <c r="O718" s="4" t="s">
        <v>120</v>
      </c>
      <c r="P718" s="4" t="s">
        <v>88</v>
      </c>
      <c r="Q718" s="4">
        <v>2</v>
      </c>
      <c r="R718" s="4">
        <v>23630</v>
      </c>
      <c r="S718" s="5">
        <v>20</v>
      </c>
      <c r="T718" s="6">
        <f t="shared" si="33"/>
        <v>37808</v>
      </c>
      <c r="U718" s="4">
        <v>1929.77</v>
      </c>
      <c r="V718" t="str">
        <f t="shared" si="34"/>
        <v>Mar</v>
      </c>
      <c r="W718">
        <f t="shared" si="35"/>
        <v>5.1041314007617432E-2</v>
      </c>
    </row>
    <row r="719" spans="1:23" x14ac:dyDescent="0.4">
      <c r="A719" s="4" t="s">
        <v>2327</v>
      </c>
      <c r="B719" s="4" t="s">
        <v>2328</v>
      </c>
      <c r="C719" s="11">
        <v>44918</v>
      </c>
      <c r="D719" s="4" t="s">
        <v>23</v>
      </c>
      <c r="E719" s="4" t="s">
        <v>24</v>
      </c>
      <c r="F719" s="4" t="s">
        <v>25</v>
      </c>
      <c r="G719" s="4" t="s">
        <v>59</v>
      </c>
      <c r="H719" s="4" t="s">
        <v>2329</v>
      </c>
      <c r="I719" s="4" t="s">
        <v>61</v>
      </c>
      <c r="J719" s="4" t="s">
        <v>29</v>
      </c>
      <c r="K719" s="4" t="s">
        <v>86</v>
      </c>
      <c r="L719" s="4" t="s">
        <v>1122</v>
      </c>
      <c r="M719" s="4" t="s">
        <v>81</v>
      </c>
      <c r="N719" s="4" t="s">
        <v>54</v>
      </c>
      <c r="O719" s="4" t="s">
        <v>46</v>
      </c>
      <c r="P719" s="4" t="s">
        <v>74</v>
      </c>
      <c r="Q719" s="4">
        <v>3</v>
      </c>
      <c r="R719" s="4">
        <v>27854</v>
      </c>
      <c r="S719" s="5">
        <v>20</v>
      </c>
      <c r="T719" s="6">
        <f t="shared" si="33"/>
        <v>66849.600000000006</v>
      </c>
      <c r="U719" s="4">
        <v>-8665.02</v>
      </c>
      <c r="V719" t="str">
        <f t="shared" si="34"/>
        <v>Dec</v>
      </c>
      <c r="W719">
        <f t="shared" si="35"/>
        <v>-0.12961962375242334</v>
      </c>
    </row>
    <row r="720" spans="1:23" x14ac:dyDescent="0.4">
      <c r="A720" s="4" t="s">
        <v>2330</v>
      </c>
      <c r="B720" s="4" t="s">
        <v>184</v>
      </c>
      <c r="C720" s="11">
        <v>45274</v>
      </c>
      <c r="D720" s="4" t="s">
        <v>124</v>
      </c>
      <c r="E720" s="4" t="s">
        <v>24</v>
      </c>
      <c r="F720" s="4" t="s">
        <v>25</v>
      </c>
      <c r="G720" s="4" t="s">
        <v>92</v>
      </c>
      <c r="H720" s="4" t="s">
        <v>2331</v>
      </c>
      <c r="I720" s="4" t="s">
        <v>43</v>
      </c>
      <c r="J720" s="4" t="s">
        <v>79</v>
      </c>
      <c r="K720" s="4" t="s">
        <v>30</v>
      </c>
      <c r="L720" s="4" t="s">
        <v>900</v>
      </c>
      <c r="M720" s="4" t="s">
        <v>73</v>
      </c>
      <c r="N720" s="4" t="s">
        <v>33</v>
      </c>
      <c r="O720" s="4" t="s">
        <v>82</v>
      </c>
      <c r="P720" s="4" t="s">
        <v>47</v>
      </c>
      <c r="Q720" s="4">
        <v>10</v>
      </c>
      <c r="R720" s="4">
        <v>45023</v>
      </c>
      <c r="S720" s="5">
        <v>15</v>
      </c>
      <c r="T720" s="6">
        <f t="shared" si="33"/>
        <v>382695.5</v>
      </c>
      <c r="U720" s="4">
        <v>41614.61</v>
      </c>
      <c r="V720" t="str">
        <f t="shared" si="34"/>
        <v>Dec</v>
      </c>
      <c r="W720">
        <f t="shared" si="35"/>
        <v>0.10874078738840671</v>
      </c>
    </row>
    <row r="721" spans="1:23" x14ac:dyDescent="0.4">
      <c r="A721" s="4" t="s">
        <v>2332</v>
      </c>
      <c r="B721" s="4" t="s">
        <v>1435</v>
      </c>
      <c r="C721" s="11">
        <v>45489</v>
      </c>
      <c r="D721" s="4" t="s">
        <v>23</v>
      </c>
      <c r="E721" s="4" t="s">
        <v>24</v>
      </c>
      <c r="F721" s="4" t="s">
        <v>58</v>
      </c>
      <c r="G721" s="4" t="s">
        <v>41</v>
      </c>
      <c r="H721" s="4" t="s">
        <v>2333</v>
      </c>
      <c r="I721" s="4" t="s">
        <v>43</v>
      </c>
      <c r="J721" s="4" t="s">
        <v>29</v>
      </c>
      <c r="K721" s="4" t="s">
        <v>86</v>
      </c>
      <c r="L721" s="4" t="s">
        <v>131</v>
      </c>
      <c r="M721" s="4" t="s">
        <v>81</v>
      </c>
      <c r="N721" s="4" t="s">
        <v>54</v>
      </c>
      <c r="O721" s="4" t="s">
        <v>34</v>
      </c>
      <c r="P721" s="4" t="s">
        <v>88</v>
      </c>
      <c r="Q721" s="4">
        <v>6</v>
      </c>
      <c r="R721" s="4">
        <v>8706</v>
      </c>
      <c r="S721" s="5">
        <v>20</v>
      </c>
      <c r="T721" s="6">
        <f t="shared" si="33"/>
        <v>41788.800000000003</v>
      </c>
      <c r="U721" s="4">
        <v>-2086.65</v>
      </c>
      <c r="V721" t="str">
        <f t="shared" si="34"/>
        <v>Jul</v>
      </c>
      <c r="W721">
        <f t="shared" si="35"/>
        <v>-4.9933235699517575E-2</v>
      </c>
    </row>
    <row r="722" spans="1:23" x14ac:dyDescent="0.4">
      <c r="A722" s="4" t="s">
        <v>2334</v>
      </c>
      <c r="B722" s="4" t="s">
        <v>2095</v>
      </c>
      <c r="C722" s="11">
        <v>45294</v>
      </c>
      <c r="D722" s="4" t="s">
        <v>39</v>
      </c>
      <c r="E722" s="4" t="s">
        <v>24</v>
      </c>
      <c r="F722" s="4" t="s">
        <v>58</v>
      </c>
      <c r="G722" s="4" t="s">
        <v>26</v>
      </c>
      <c r="H722" s="4" t="s">
        <v>2335</v>
      </c>
      <c r="I722" s="4" t="s">
        <v>61</v>
      </c>
      <c r="J722" s="4" t="s">
        <v>62</v>
      </c>
      <c r="K722" s="4" t="s">
        <v>44</v>
      </c>
      <c r="L722" s="4" t="s">
        <v>208</v>
      </c>
      <c r="M722" s="4" t="s">
        <v>53</v>
      </c>
      <c r="N722" s="4" t="s">
        <v>54</v>
      </c>
      <c r="O722" s="4" t="s">
        <v>66</v>
      </c>
      <c r="P722" s="4" t="s">
        <v>35</v>
      </c>
      <c r="Q722" s="4">
        <v>10</v>
      </c>
      <c r="R722" s="4">
        <v>36510</v>
      </c>
      <c r="S722" s="5">
        <v>20</v>
      </c>
      <c r="T722" s="6">
        <f t="shared" si="33"/>
        <v>292080</v>
      </c>
      <c r="U722" s="4">
        <v>-9651.84</v>
      </c>
      <c r="V722" t="str">
        <f t="shared" si="34"/>
        <v>Jan</v>
      </c>
      <c r="W722">
        <f t="shared" si="35"/>
        <v>-3.3045193097781429E-2</v>
      </c>
    </row>
    <row r="723" spans="1:23" x14ac:dyDescent="0.4">
      <c r="A723" s="4" t="s">
        <v>2336</v>
      </c>
      <c r="B723" s="4" t="s">
        <v>122</v>
      </c>
      <c r="C723" s="11">
        <v>44609</v>
      </c>
      <c r="D723" s="4" t="s">
        <v>23</v>
      </c>
      <c r="E723" s="4" t="s">
        <v>24</v>
      </c>
      <c r="F723" s="4" t="s">
        <v>58</v>
      </c>
      <c r="G723" s="4" t="s">
        <v>41</v>
      </c>
      <c r="H723" s="4" t="s">
        <v>2337</v>
      </c>
      <c r="I723" s="4" t="s">
        <v>28</v>
      </c>
      <c r="J723" s="4" t="s">
        <v>79</v>
      </c>
      <c r="K723" s="4" t="s">
        <v>44</v>
      </c>
      <c r="L723" s="4" t="s">
        <v>87</v>
      </c>
      <c r="M723" s="4" t="s">
        <v>81</v>
      </c>
      <c r="N723" s="4" t="s">
        <v>33</v>
      </c>
      <c r="O723" s="4" t="s">
        <v>46</v>
      </c>
      <c r="P723" s="4" t="s">
        <v>88</v>
      </c>
      <c r="Q723" s="4">
        <v>4</v>
      </c>
      <c r="R723" s="4">
        <v>21037</v>
      </c>
      <c r="S723" s="5">
        <v>5</v>
      </c>
      <c r="T723" s="6">
        <f t="shared" si="33"/>
        <v>79940.600000000006</v>
      </c>
      <c r="U723" s="4">
        <v>7961.23</v>
      </c>
      <c r="V723" t="str">
        <f t="shared" si="34"/>
        <v>Feb</v>
      </c>
      <c r="W723">
        <f t="shared" si="35"/>
        <v>9.9589320070152074E-2</v>
      </c>
    </row>
    <row r="724" spans="1:23" x14ac:dyDescent="0.4">
      <c r="A724" s="4" t="s">
        <v>2338</v>
      </c>
      <c r="B724" s="4" t="s">
        <v>1309</v>
      </c>
      <c r="C724" s="11">
        <v>45125</v>
      </c>
      <c r="D724" s="4" t="s">
        <v>23</v>
      </c>
      <c r="E724" s="4" t="s">
        <v>24</v>
      </c>
      <c r="F724" s="4" t="s">
        <v>70</v>
      </c>
      <c r="G724" s="4" t="s">
        <v>99</v>
      </c>
      <c r="H724" s="4" t="s">
        <v>2339</v>
      </c>
      <c r="I724" s="4" t="s">
        <v>61</v>
      </c>
      <c r="J724" s="4" t="s">
        <v>29</v>
      </c>
      <c r="K724" s="4" t="s">
        <v>30</v>
      </c>
      <c r="L724" s="4" t="s">
        <v>476</v>
      </c>
      <c r="M724" s="4" t="s">
        <v>32</v>
      </c>
      <c r="N724" s="4" t="s">
        <v>54</v>
      </c>
      <c r="O724" s="4" t="s">
        <v>120</v>
      </c>
      <c r="P724" s="4" t="s">
        <v>74</v>
      </c>
      <c r="Q724" s="4">
        <v>5</v>
      </c>
      <c r="R724" s="4">
        <v>13739</v>
      </c>
      <c r="S724" s="5">
        <v>10</v>
      </c>
      <c r="T724" s="6">
        <f t="shared" si="33"/>
        <v>61825.5</v>
      </c>
      <c r="U724" s="4">
        <v>3515.93</v>
      </c>
      <c r="V724" t="str">
        <f t="shared" si="34"/>
        <v>Jul</v>
      </c>
      <c r="W724">
        <f t="shared" si="35"/>
        <v>5.6868605995907838E-2</v>
      </c>
    </row>
    <row r="725" spans="1:23" x14ac:dyDescent="0.4">
      <c r="A725" s="4" t="s">
        <v>2340</v>
      </c>
      <c r="B725" s="4" t="s">
        <v>1467</v>
      </c>
      <c r="C725" s="11">
        <v>44630</v>
      </c>
      <c r="D725" s="4" t="s">
        <v>98</v>
      </c>
      <c r="E725" s="4" t="s">
        <v>24</v>
      </c>
      <c r="F725" s="4" t="s">
        <v>58</v>
      </c>
      <c r="G725" s="4" t="s">
        <v>59</v>
      </c>
      <c r="H725" s="4" t="s">
        <v>2341</v>
      </c>
      <c r="I725" s="4" t="s">
        <v>28</v>
      </c>
      <c r="J725" s="4" t="s">
        <v>62</v>
      </c>
      <c r="K725" s="4" t="s">
        <v>153</v>
      </c>
      <c r="L725" s="4" t="s">
        <v>277</v>
      </c>
      <c r="M725" s="4" t="s">
        <v>81</v>
      </c>
      <c r="N725" s="4" t="s">
        <v>33</v>
      </c>
      <c r="O725" s="4" t="s">
        <v>34</v>
      </c>
      <c r="P725" s="4" t="s">
        <v>35</v>
      </c>
      <c r="Q725" s="4">
        <v>6</v>
      </c>
      <c r="R725" s="4">
        <v>30068</v>
      </c>
      <c r="S725" s="5">
        <v>15</v>
      </c>
      <c r="T725" s="6">
        <f t="shared" si="33"/>
        <v>153346.79999999999</v>
      </c>
      <c r="U725" s="4">
        <v>-11804.18</v>
      </c>
      <c r="V725" t="str">
        <f t="shared" si="34"/>
        <v>Feb</v>
      </c>
      <c r="W725">
        <f t="shared" si="35"/>
        <v>-7.6977022018066249E-2</v>
      </c>
    </row>
    <row r="726" spans="1:23" x14ac:dyDescent="0.4">
      <c r="A726" s="4" t="s">
        <v>2342</v>
      </c>
      <c r="B726" s="4" t="s">
        <v>1248</v>
      </c>
      <c r="C726" s="11">
        <v>44945</v>
      </c>
      <c r="D726" s="4" t="s">
        <v>39</v>
      </c>
      <c r="E726" s="4" t="s">
        <v>24</v>
      </c>
      <c r="F726" s="4" t="s">
        <v>26</v>
      </c>
      <c r="G726" s="4" t="s">
        <v>92</v>
      </c>
      <c r="H726" s="4" t="s">
        <v>2343</v>
      </c>
      <c r="I726" s="4" t="s">
        <v>61</v>
      </c>
      <c r="J726" s="4" t="s">
        <v>79</v>
      </c>
      <c r="K726" s="4" t="s">
        <v>63</v>
      </c>
      <c r="L726" s="4" t="s">
        <v>588</v>
      </c>
      <c r="M726" s="4" t="s">
        <v>73</v>
      </c>
      <c r="N726" s="4" t="s">
        <v>33</v>
      </c>
      <c r="O726" s="4" t="s">
        <v>82</v>
      </c>
      <c r="P726" s="4" t="s">
        <v>74</v>
      </c>
      <c r="Q726" s="4">
        <v>2</v>
      </c>
      <c r="R726" s="4">
        <v>40584</v>
      </c>
      <c r="S726" s="5">
        <v>5</v>
      </c>
      <c r="T726" s="6">
        <f t="shared" si="33"/>
        <v>77109.600000000006</v>
      </c>
      <c r="U726" s="4">
        <v>259.55</v>
      </c>
      <c r="V726" t="str">
        <f t="shared" si="34"/>
        <v>Jan</v>
      </c>
      <c r="W726">
        <f t="shared" si="35"/>
        <v>3.3659881519292022E-3</v>
      </c>
    </row>
    <row r="727" spans="1:23" x14ac:dyDescent="0.4">
      <c r="A727" s="4" t="s">
        <v>2344</v>
      </c>
      <c r="B727" s="4" t="s">
        <v>2157</v>
      </c>
      <c r="C727" s="11">
        <v>45372</v>
      </c>
      <c r="D727" s="4" t="s">
        <v>124</v>
      </c>
      <c r="E727" s="4" t="s">
        <v>24</v>
      </c>
      <c r="F727" s="4" t="s">
        <v>40</v>
      </c>
      <c r="G727" s="4" t="s">
        <v>92</v>
      </c>
      <c r="H727" s="4" t="s">
        <v>2345</v>
      </c>
      <c r="I727" s="4" t="s">
        <v>43</v>
      </c>
      <c r="J727" s="4" t="s">
        <v>79</v>
      </c>
      <c r="K727" s="4" t="s">
        <v>63</v>
      </c>
      <c r="L727" s="4" t="s">
        <v>296</v>
      </c>
      <c r="M727" s="4" t="s">
        <v>73</v>
      </c>
      <c r="N727" s="4" t="s">
        <v>33</v>
      </c>
      <c r="O727" s="4" t="s">
        <v>82</v>
      </c>
      <c r="P727" s="4" t="s">
        <v>47</v>
      </c>
      <c r="Q727" s="4">
        <v>4</v>
      </c>
      <c r="R727" s="4">
        <v>22292</v>
      </c>
      <c r="S727" s="5">
        <v>10</v>
      </c>
      <c r="T727" s="6">
        <f t="shared" si="33"/>
        <v>80251.199999999997</v>
      </c>
      <c r="U727" s="4">
        <v>6688.86</v>
      </c>
      <c r="V727" t="str">
        <f t="shared" si="34"/>
        <v>Mar</v>
      </c>
      <c r="W727">
        <f t="shared" si="35"/>
        <v>8.3349034033135955E-2</v>
      </c>
    </row>
    <row r="728" spans="1:23" x14ac:dyDescent="0.4">
      <c r="A728" s="4" t="s">
        <v>2346</v>
      </c>
      <c r="B728" s="4" t="s">
        <v>1153</v>
      </c>
      <c r="C728" s="11">
        <v>44812</v>
      </c>
      <c r="D728" s="4" t="s">
        <v>124</v>
      </c>
      <c r="E728" s="4" t="s">
        <v>24</v>
      </c>
      <c r="F728" s="4" t="s">
        <v>25</v>
      </c>
      <c r="G728" s="4" t="s">
        <v>41</v>
      </c>
      <c r="H728" s="4" t="s">
        <v>2347</v>
      </c>
      <c r="I728" s="4" t="s">
        <v>61</v>
      </c>
      <c r="J728" s="4" t="s">
        <v>79</v>
      </c>
      <c r="K728" s="4" t="s">
        <v>153</v>
      </c>
      <c r="L728" s="4" t="s">
        <v>753</v>
      </c>
      <c r="M728" s="4" t="s">
        <v>95</v>
      </c>
      <c r="N728" s="4" t="s">
        <v>33</v>
      </c>
      <c r="O728" s="4" t="s">
        <v>66</v>
      </c>
      <c r="P728" s="4" t="s">
        <v>88</v>
      </c>
      <c r="Q728" s="4">
        <v>5</v>
      </c>
      <c r="R728" s="4">
        <v>28614</v>
      </c>
      <c r="S728" s="5">
        <v>5</v>
      </c>
      <c r="T728" s="6">
        <f t="shared" si="33"/>
        <v>135916.5</v>
      </c>
      <c r="U728" s="4">
        <v>875.89</v>
      </c>
      <c r="V728" t="str">
        <f t="shared" si="34"/>
        <v>Aug</v>
      </c>
      <c r="W728">
        <f t="shared" si="35"/>
        <v>6.4443242726232646E-3</v>
      </c>
    </row>
    <row r="729" spans="1:23" x14ac:dyDescent="0.4">
      <c r="A729" s="4" t="s">
        <v>2348</v>
      </c>
      <c r="B729" s="4" t="s">
        <v>689</v>
      </c>
      <c r="C729" s="11">
        <v>45226</v>
      </c>
      <c r="D729" s="4" t="s">
        <v>98</v>
      </c>
      <c r="E729" s="4" t="s">
        <v>24</v>
      </c>
      <c r="F729" s="4" t="s">
        <v>25</v>
      </c>
      <c r="G729" s="4" t="s">
        <v>41</v>
      </c>
      <c r="H729" s="4" t="s">
        <v>2349</v>
      </c>
      <c r="I729" s="4" t="s">
        <v>43</v>
      </c>
      <c r="J729" s="4" t="s">
        <v>79</v>
      </c>
      <c r="K729" s="4" t="s">
        <v>30</v>
      </c>
      <c r="L729" s="4" t="s">
        <v>319</v>
      </c>
      <c r="M729" s="4" t="s">
        <v>53</v>
      </c>
      <c r="N729" s="4" t="s">
        <v>54</v>
      </c>
      <c r="O729" s="4" t="s">
        <v>66</v>
      </c>
      <c r="P729" s="4" t="s">
        <v>35</v>
      </c>
      <c r="Q729" s="4">
        <v>10</v>
      </c>
      <c r="R729" s="4">
        <v>42388</v>
      </c>
      <c r="S729" s="5">
        <v>10</v>
      </c>
      <c r="T729" s="6">
        <f t="shared" si="33"/>
        <v>381492</v>
      </c>
      <c r="U729" s="4">
        <v>78030.58</v>
      </c>
      <c r="V729" t="str">
        <f t="shared" si="34"/>
        <v>Oct</v>
      </c>
      <c r="W729">
        <f t="shared" si="35"/>
        <v>0.20454054082392292</v>
      </c>
    </row>
    <row r="730" spans="1:23" x14ac:dyDescent="0.4">
      <c r="A730" s="4" t="s">
        <v>2350</v>
      </c>
      <c r="B730" s="4" t="s">
        <v>2351</v>
      </c>
      <c r="C730" s="11">
        <v>45294</v>
      </c>
      <c r="D730" s="4" t="s">
        <v>39</v>
      </c>
      <c r="E730" s="4" t="s">
        <v>24</v>
      </c>
      <c r="F730" s="4" t="s">
        <v>25</v>
      </c>
      <c r="G730" s="4" t="s">
        <v>26</v>
      </c>
      <c r="H730" s="4" t="s">
        <v>2352</v>
      </c>
      <c r="I730" s="4" t="s">
        <v>61</v>
      </c>
      <c r="J730" s="4" t="s">
        <v>62</v>
      </c>
      <c r="K730" s="4" t="s">
        <v>101</v>
      </c>
      <c r="L730" s="4" t="s">
        <v>339</v>
      </c>
      <c r="M730" s="4" t="s">
        <v>65</v>
      </c>
      <c r="N730" s="4" t="s">
        <v>54</v>
      </c>
      <c r="O730" s="4" t="s">
        <v>34</v>
      </c>
      <c r="P730" s="4" t="s">
        <v>47</v>
      </c>
      <c r="Q730" s="4">
        <v>8</v>
      </c>
      <c r="R730" s="4">
        <v>16214</v>
      </c>
      <c r="S730" s="5">
        <v>20</v>
      </c>
      <c r="T730" s="6">
        <f t="shared" si="33"/>
        <v>103769.60000000001</v>
      </c>
      <c r="U730" s="4">
        <v>-6683</v>
      </c>
      <c r="V730" t="str">
        <f t="shared" si="34"/>
        <v>Dec</v>
      </c>
      <c r="W730">
        <f t="shared" si="35"/>
        <v>-6.4402291229801401E-2</v>
      </c>
    </row>
    <row r="731" spans="1:23" x14ac:dyDescent="0.4">
      <c r="A731" s="4" t="s">
        <v>2353</v>
      </c>
      <c r="B731" s="4" t="s">
        <v>690</v>
      </c>
      <c r="C731" s="11">
        <v>45229</v>
      </c>
      <c r="D731" s="4" t="s">
        <v>23</v>
      </c>
      <c r="E731" s="4" t="s">
        <v>24</v>
      </c>
      <c r="F731" s="4" t="s">
        <v>40</v>
      </c>
      <c r="G731" s="4" t="s">
        <v>99</v>
      </c>
      <c r="H731" s="4" t="s">
        <v>1514</v>
      </c>
      <c r="I731" s="4" t="s">
        <v>61</v>
      </c>
      <c r="J731" s="4" t="s">
        <v>29</v>
      </c>
      <c r="K731" s="4" t="s">
        <v>30</v>
      </c>
      <c r="L731" s="4" t="s">
        <v>956</v>
      </c>
      <c r="M731" s="4" t="s">
        <v>95</v>
      </c>
      <c r="N731" s="4" t="s">
        <v>54</v>
      </c>
      <c r="O731" s="4" t="s">
        <v>120</v>
      </c>
      <c r="P731" s="4" t="s">
        <v>35</v>
      </c>
      <c r="Q731" s="4">
        <v>9</v>
      </c>
      <c r="R731" s="4">
        <v>22961</v>
      </c>
      <c r="S731" s="5">
        <v>10</v>
      </c>
      <c r="T731" s="6">
        <f t="shared" si="33"/>
        <v>185984.1</v>
      </c>
      <c r="U731" s="4">
        <v>26669.07</v>
      </c>
      <c r="V731" t="str">
        <f t="shared" si="34"/>
        <v>Oct</v>
      </c>
      <c r="W731">
        <f t="shared" si="35"/>
        <v>0.1433943546787064</v>
      </c>
    </row>
    <row r="732" spans="1:23" x14ac:dyDescent="0.4">
      <c r="A732" s="4" t="s">
        <v>2354</v>
      </c>
      <c r="B732" s="4" t="s">
        <v>542</v>
      </c>
      <c r="C732" s="11">
        <v>45202</v>
      </c>
      <c r="D732" s="4" t="s">
        <v>98</v>
      </c>
      <c r="E732" s="4" t="s">
        <v>24</v>
      </c>
      <c r="F732" s="4" t="s">
        <v>25</v>
      </c>
      <c r="G732" s="4" t="s">
        <v>41</v>
      </c>
      <c r="H732" s="4" t="s">
        <v>2355</v>
      </c>
      <c r="I732" s="4" t="s">
        <v>43</v>
      </c>
      <c r="J732" s="4" t="s">
        <v>79</v>
      </c>
      <c r="K732" s="4" t="s">
        <v>44</v>
      </c>
      <c r="L732" s="4" t="s">
        <v>149</v>
      </c>
      <c r="M732" s="4" t="s">
        <v>95</v>
      </c>
      <c r="N732" s="4" t="s">
        <v>54</v>
      </c>
      <c r="O732" s="4" t="s">
        <v>82</v>
      </c>
      <c r="P732" s="4" t="s">
        <v>74</v>
      </c>
      <c r="Q732" s="4">
        <v>10</v>
      </c>
      <c r="R732" s="4">
        <v>31904</v>
      </c>
      <c r="S732" s="5">
        <v>0</v>
      </c>
      <c r="T732" s="6">
        <f t="shared" si="33"/>
        <v>319040</v>
      </c>
      <c r="U732" s="4">
        <v>93540</v>
      </c>
      <c r="V732" t="str">
        <f t="shared" si="34"/>
        <v>Sep</v>
      </c>
      <c r="W732">
        <f t="shared" si="35"/>
        <v>0.29319207622868604</v>
      </c>
    </row>
    <row r="733" spans="1:23" x14ac:dyDescent="0.4">
      <c r="A733" s="4" t="s">
        <v>2356</v>
      </c>
      <c r="B733" s="4" t="s">
        <v>1178</v>
      </c>
      <c r="C733" s="11">
        <v>45081</v>
      </c>
      <c r="D733" s="4" t="s">
        <v>98</v>
      </c>
      <c r="E733" s="4" t="s">
        <v>24</v>
      </c>
      <c r="F733" s="4" t="s">
        <v>70</v>
      </c>
      <c r="G733" s="4" t="s">
        <v>41</v>
      </c>
      <c r="H733" s="4" t="s">
        <v>2357</v>
      </c>
      <c r="I733" s="4" t="s">
        <v>43</v>
      </c>
      <c r="J733" s="4" t="s">
        <v>29</v>
      </c>
      <c r="K733" s="4" t="s">
        <v>86</v>
      </c>
      <c r="L733" s="4" t="s">
        <v>181</v>
      </c>
      <c r="M733" s="4" t="s">
        <v>81</v>
      </c>
      <c r="N733" s="4" t="s">
        <v>33</v>
      </c>
      <c r="O733" s="4" t="s">
        <v>34</v>
      </c>
      <c r="P733" s="4" t="s">
        <v>35</v>
      </c>
      <c r="Q733" s="4">
        <v>2</v>
      </c>
      <c r="R733" s="4">
        <v>48862</v>
      </c>
      <c r="S733" s="5">
        <v>0</v>
      </c>
      <c r="T733" s="6">
        <f t="shared" si="33"/>
        <v>97724</v>
      </c>
      <c r="U733" s="4">
        <v>7752.42</v>
      </c>
      <c r="V733" t="str">
        <f t="shared" si="34"/>
        <v>Jun</v>
      </c>
      <c r="W733">
        <f t="shared" si="35"/>
        <v>7.9329744996111493E-2</v>
      </c>
    </row>
    <row r="734" spans="1:23" x14ac:dyDescent="0.4">
      <c r="A734" s="4" t="s">
        <v>2358</v>
      </c>
      <c r="B734" s="4" t="s">
        <v>1339</v>
      </c>
      <c r="C734" s="11">
        <v>45478</v>
      </c>
      <c r="D734" s="4" t="s">
        <v>124</v>
      </c>
      <c r="E734" s="4" t="s">
        <v>24</v>
      </c>
      <c r="F734" s="4" t="s">
        <v>25</v>
      </c>
      <c r="G734" s="4" t="s">
        <v>41</v>
      </c>
      <c r="H734" s="4" t="s">
        <v>2359</v>
      </c>
      <c r="I734" s="4" t="s">
        <v>61</v>
      </c>
      <c r="J734" s="4" t="s">
        <v>79</v>
      </c>
      <c r="K734" s="4" t="s">
        <v>86</v>
      </c>
      <c r="L734" s="4" t="s">
        <v>1453</v>
      </c>
      <c r="M734" s="4" t="s">
        <v>95</v>
      </c>
      <c r="N734" s="4" t="s">
        <v>33</v>
      </c>
      <c r="O734" s="4" t="s">
        <v>46</v>
      </c>
      <c r="P734" s="4" t="s">
        <v>47</v>
      </c>
      <c r="Q734" s="4">
        <v>6</v>
      </c>
      <c r="R734" s="4">
        <v>10541</v>
      </c>
      <c r="S734" s="5">
        <v>15</v>
      </c>
      <c r="T734" s="6">
        <f t="shared" si="33"/>
        <v>53759.1</v>
      </c>
      <c r="U734" s="4">
        <v>9248.6</v>
      </c>
      <c r="V734" t="str">
        <f t="shared" si="34"/>
        <v>Jul</v>
      </c>
      <c r="W734">
        <f t="shared" si="35"/>
        <v>0.17203785033603614</v>
      </c>
    </row>
    <row r="735" spans="1:23" x14ac:dyDescent="0.4">
      <c r="A735" s="4" t="s">
        <v>2360</v>
      </c>
      <c r="B735" s="4" t="s">
        <v>2361</v>
      </c>
      <c r="C735" s="11">
        <v>44970</v>
      </c>
      <c r="D735" s="4" t="s">
        <v>23</v>
      </c>
      <c r="E735" s="4" t="s">
        <v>24</v>
      </c>
      <c r="F735" s="4" t="s">
        <v>40</v>
      </c>
      <c r="G735" s="4" t="s">
        <v>92</v>
      </c>
      <c r="H735" s="4" t="s">
        <v>2362</v>
      </c>
      <c r="I735" s="4" t="s">
        <v>28</v>
      </c>
      <c r="J735" s="4" t="s">
        <v>29</v>
      </c>
      <c r="K735" s="4" t="s">
        <v>30</v>
      </c>
      <c r="L735" s="4" t="s">
        <v>723</v>
      </c>
      <c r="M735" s="4" t="s">
        <v>65</v>
      </c>
      <c r="N735" s="4" t="s">
        <v>33</v>
      </c>
      <c r="O735" s="4" t="s">
        <v>66</v>
      </c>
      <c r="P735" s="4" t="s">
        <v>35</v>
      </c>
      <c r="Q735" s="4">
        <v>3</v>
      </c>
      <c r="R735" s="4">
        <v>38728</v>
      </c>
      <c r="S735" s="5">
        <v>10</v>
      </c>
      <c r="T735" s="6">
        <f t="shared" si="33"/>
        <v>104565.6</v>
      </c>
      <c r="U735" s="4">
        <v>4196.07</v>
      </c>
      <c r="V735" t="str">
        <f t="shared" si="34"/>
        <v>Feb</v>
      </c>
      <c r="W735">
        <f t="shared" si="35"/>
        <v>4.0128589134476346E-2</v>
      </c>
    </row>
    <row r="736" spans="1:23" x14ac:dyDescent="0.4">
      <c r="A736" s="4" t="s">
        <v>2363</v>
      </c>
      <c r="B736" s="4" t="s">
        <v>446</v>
      </c>
      <c r="C736" s="11">
        <v>45124</v>
      </c>
      <c r="D736" s="4" t="s">
        <v>98</v>
      </c>
      <c r="E736" s="4" t="s">
        <v>24</v>
      </c>
      <c r="F736" s="4" t="s">
        <v>26</v>
      </c>
      <c r="G736" s="4" t="s">
        <v>59</v>
      </c>
      <c r="H736" s="4" t="s">
        <v>2364</v>
      </c>
      <c r="I736" s="4" t="s">
        <v>61</v>
      </c>
      <c r="J736" s="4" t="s">
        <v>79</v>
      </c>
      <c r="K736" s="4" t="s">
        <v>101</v>
      </c>
      <c r="L736" s="4" t="s">
        <v>114</v>
      </c>
      <c r="M736" s="4" t="s">
        <v>53</v>
      </c>
      <c r="N736" s="4" t="s">
        <v>54</v>
      </c>
      <c r="O736" s="4" t="s">
        <v>120</v>
      </c>
      <c r="P736" s="4" t="s">
        <v>47</v>
      </c>
      <c r="Q736" s="4">
        <v>9</v>
      </c>
      <c r="R736" s="4">
        <v>41426</v>
      </c>
      <c r="S736" s="5">
        <v>0</v>
      </c>
      <c r="T736" s="6">
        <f t="shared" si="33"/>
        <v>372834</v>
      </c>
      <c r="U736" s="4">
        <v>72573.929999999993</v>
      </c>
      <c r="V736" t="str">
        <f t="shared" si="34"/>
        <v>Jul</v>
      </c>
      <c r="W736">
        <f t="shared" si="35"/>
        <v>0.19465480616038236</v>
      </c>
    </row>
    <row r="737" spans="1:23" x14ac:dyDescent="0.4">
      <c r="A737" s="4" t="s">
        <v>2365</v>
      </c>
      <c r="B737" s="4" t="s">
        <v>689</v>
      </c>
      <c r="C737" s="11">
        <v>45224</v>
      </c>
      <c r="D737" s="4" t="s">
        <v>98</v>
      </c>
      <c r="E737" s="4" t="s">
        <v>24</v>
      </c>
      <c r="F737" s="4" t="s">
        <v>70</v>
      </c>
      <c r="G737" s="4" t="s">
        <v>26</v>
      </c>
      <c r="H737" s="4" t="s">
        <v>2366</v>
      </c>
      <c r="I737" s="4" t="s">
        <v>28</v>
      </c>
      <c r="J737" s="4" t="s">
        <v>79</v>
      </c>
      <c r="K737" s="4" t="s">
        <v>86</v>
      </c>
      <c r="L737" s="4" t="s">
        <v>753</v>
      </c>
      <c r="M737" s="4" t="s">
        <v>95</v>
      </c>
      <c r="N737" s="4" t="s">
        <v>33</v>
      </c>
      <c r="O737" s="4" t="s">
        <v>66</v>
      </c>
      <c r="P737" s="4" t="s">
        <v>47</v>
      </c>
      <c r="Q737" s="4">
        <v>7</v>
      </c>
      <c r="R737" s="4">
        <v>22871</v>
      </c>
      <c r="S737" s="5">
        <v>5</v>
      </c>
      <c r="T737" s="6">
        <f t="shared" si="33"/>
        <v>152092.15</v>
      </c>
      <c r="U737" s="4">
        <v>16313.11</v>
      </c>
      <c r="V737" t="str">
        <f t="shared" si="34"/>
        <v>Oct</v>
      </c>
      <c r="W737">
        <f t="shared" si="35"/>
        <v>0.1072580669022037</v>
      </c>
    </row>
    <row r="738" spans="1:23" x14ac:dyDescent="0.4">
      <c r="A738" s="4" t="s">
        <v>2367</v>
      </c>
      <c r="B738" s="4" t="s">
        <v>406</v>
      </c>
      <c r="C738" s="11">
        <v>44651</v>
      </c>
      <c r="D738" s="4" t="s">
        <v>23</v>
      </c>
      <c r="E738" s="4" t="s">
        <v>24</v>
      </c>
      <c r="F738" s="4" t="s">
        <v>70</v>
      </c>
      <c r="G738" s="4" t="s">
        <v>41</v>
      </c>
      <c r="H738" s="4" t="s">
        <v>2368</v>
      </c>
      <c r="I738" s="4" t="s">
        <v>43</v>
      </c>
      <c r="J738" s="4" t="s">
        <v>62</v>
      </c>
      <c r="K738" s="4" t="s">
        <v>44</v>
      </c>
      <c r="L738" s="4" t="s">
        <v>494</v>
      </c>
      <c r="M738" s="4" t="s">
        <v>32</v>
      </c>
      <c r="N738" s="4" t="s">
        <v>54</v>
      </c>
      <c r="O738" s="4" t="s">
        <v>66</v>
      </c>
      <c r="P738" s="4" t="s">
        <v>74</v>
      </c>
      <c r="Q738" s="4">
        <v>3</v>
      </c>
      <c r="R738" s="4">
        <v>24018</v>
      </c>
      <c r="S738" s="5">
        <v>15</v>
      </c>
      <c r="T738" s="6">
        <f t="shared" si="33"/>
        <v>61245.9</v>
      </c>
      <c r="U738" s="4">
        <v>6276.05</v>
      </c>
      <c r="V738" t="str">
        <f t="shared" si="34"/>
        <v>Mar</v>
      </c>
      <c r="W738">
        <f t="shared" si="35"/>
        <v>0.10247298186490851</v>
      </c>
    </row>
    <row r="739" spans="1:23" x14ac:dyDescent="0.4">
      <c r="A739" s="4" t="s">
        <v>2369</v>
      </c>
      <c r="B739" s="4" t="s">
        <v>1895</v>
      </c>
      <c r="C739" s="11">
        <v>45472</v>
      </c>
      <c r="D739" s="4" t="s">
        <v>23</v>
      </c>
      <c r="E739" s="4" t="s">
        <v>24</v>
      </c>
      <c r="F739" s="4" t="s">
        <v>40</v>
      </c>
      <c r="G739" s="4" t="s">
        <v>26</v>
      </c>
      <c r="H739" s="4" t="s">
        <v>2370</v>
      </c>
      <c r="I739" s="4" t="s">
        <v>28</v>
      </c>
      <c r="J739" s="4" t="s">
        <v>79</v>
      </c>
      <c r="K739" s="4" t="s">
        <v>101</v>
      </c>
      <c r="L739" s="4" t="s">
        <v>900</v>
      </c>
      <c r="M739" s="4" t="s">
        <v>32</v>
      </c>
      <c r="N739" s="4" t="s">
        <v>33</v>
      </c>
      <c r="O739" s="4" t="s">
        <v>66</v>
      </c>
      <c r="P739" s="4" t="s">
        <v>47</v>
      </c>
      <c r="Q739" s="4">
        <v>7</v>
      </c>
      <c r="R739" s="4">
        <v>10526</v>
      </c>
      <c r="S739" s="5">
        <v>5</v>
      </c>
      <c r="T739" s="6">
        <f t="shared" si="33"/>
        <v>69997.899999999994</v>
      </c>
      <c r="U739" s="4">
        <v>15948.42</v>
      </c>
      <c r="V739" t="str">
        <f t="shared" si="34"/>
        <v>Jun</v>
      </c>
      <c r="W739">
        <f t="shared" si="35"/>
        <v>0.22784140667077157</v>
      </c>
    </row>
    <row r="740" spans="1:23" x14ac:dyDescent="0.4">
      <c r="A740" s="4" t="s">
        <v>2371</v>
      </c>
      <c r="B740" s="4" t="s">
        <v>1658</v>
      </c>
      <c r="C740" s="11">
        <v>44666</v>
      </c>
      <c r="D740" s="4" t="s">
        <v>124</v>
      </c>
      <c r="E740" s="4" t="s">
        <v>24</v>
      </c>
      <c r="F740" s="4" t="s">
        <v>70</v>
      </c>
      <c r="G740" s="4" t="s">
        <v>99</v>
      </c>
      <c r="H740" s="4" t="s">
        <v>2372</v>
      </c>
      <c r="I740" s="4" t="s">
        <v>43</v>
      </c>
      <c r="J740" s="4" t="s">
        <v>79</v>
      </c>
      <c r="K740" s="4" t="s">
        <v>101</v>
      </c>
      <c r="L740" s="4" t="s">
        <v>2373</v>
      </c>
      <c r="M740" s="4" t="s">
        <v>53</v>
      </c>
      <c r="N740" s="4" t="s">
        <v>33</v>
      </c>
      <c r="O740" s="4" t="s">
        <v>120</v>
      </c>
      <c r="P740" s="4" t="s">
        <v>35</v>
      </c>
      <c r="Q740" s="4">
        <v>2</v>
      </c>
      <c r="R740" s="4">
        <v>22803</v>
      </c>
      <c r="S740" s="5">
        <v>0</v>
      </c>
      <c r="T740" s="6">
        <f t="shared" si="33"/>
        <v>45606</v>
      </c>
      <c r="U740" s="4">
        <v>12683.03</v>
      </c>
      <c r="V740" t="str">
        <f t="shared" si="34"/>
        <v>Apr</v>
      </c>
      <c r="W740">
        <f t="shared" si="35"/>
        <v>0.27810003069771522</v>
      </c>
    </row>
    <row r="741" spans="1:23" x14ac:dyDescent="0.4">
      <c r="A741" s="4" t="s">
        <v>2374</v>
      </c>
      <c r="B741" s="4" t="s">
        <v>2375</v>
      </c>
      <c r="C741" s="11">
        <v>44935</v>
      </c>
      <c r="D741" s="4" t="s">
        <v>124</v>
      </c>
      <c r="E741" s="4" t="s">
        <v>24</v>
      </c>
      <c r="F741" s="4" t="s">
        <v>58</v>
      </c>
      <c r="G741" s="4" t="s">
        <v>99</v>
      </c>
      <c r="H741" s="4" t="s">
        <v>2376</v>
      </c>
      <c r="I741" s="4" t="s">
        <v>43</v>
      </c>
      <c r="J741" s="4" t="s">
        <v>79</v>
      </c>
      <c r="K741" s="4" t="s">
        <v>86</v>
      </c>
      <c r="L741" s="4" t="s">
        <v>1777</v>
      </c>
      <c r="M741" s="4" t="s">
        <v>95</v>
      </c>
      <c r="N741" s="4" t="s">
        <v>33</v>
      </c>
      <c r="O741" s="4" t="s">
        <v>120</v>
      </c>
      <c r="P741" s="4" t="s">
        <v>88</v>
      </c>
      <c r="Q741" s="4">
        <v>9</v>
      </c>
      <c r="R741" s="4">
        <v>6278</v>
      </c>
      <c r="S741" s="5">
        <v>0</v>
      </c>
      <c r="T741" s="6">
        <f t="shared" si="33"/>
        <v>56502</v>
      </c>
      <c r="U741" s="4">
        <v>16620.38</v>
      </c>
      <c r="V741" t="str">
        <f t="shared" si="34"/>
        <v>Jan</v>
      </c>
      <c r="W741">
        <f t="shared" si="35"/>
        <v>0.29415560511132349</v>
      </c>
    </row>
    <row r="742" spans="1:23" x14ac:dyDescent="0.4">
      <c r="A742" s="4" t="s">
        <v>2377</v>
      </c>
      <c r="B742" s="4" t="s">
        <v>2378</v>
      </c>
      <c r="C742" s="11">
        <v>45333</v>
      </c>
      <c r="D742" s="4" t="s">
        <v>39</v>
      </c>
      <c r="E742" s="4" t="s">
        <v>24</v>
      </c>
      <c r="F742" s="4" t="s">
        <v>25</v>
      </c>
      <c r="G742" s="4" t="s">
        <v>41</v>
      </c>
      <c r="H742" s="4" t="s">
        <v>2379</v>
      </c>
      <c r="I742" s="4" t="s">
        <v>28</v>
      </c>
      <c r="J742" s="4" t="s">
        <v>29</v>
      </c>
      <c r="K742" s="4" t="s">
        <v>30</v>
      </c>
      <c r="L742" s="4" t="s">
        <v>2380</v>
      </c>
      <c r="M742" s="4" t="s">
        <v>73</v>
      </c>
      <c r="N742" s="4" t="s">
        <v>33</v>
      </c>
      <c r="O742" s="4" t="s">
        <v>82</v>
      </c>
      <c r="P742" s="4" t="s">
        <v>88</v>
      </c>
      <c r="Q742" s="4">
        <v>9</v>
      </c>
      <c r="R742" s="4">
        <v>25121</v>
      </c>
      <c r="S742" s="5">
        <v>5</v>
      </c>
      <c r="T742" s="6">
        <f t="shared" si="33"/>
        <v>214784.55</v>
      </c>
      <c r="U742" s="4">
        <v>42170.96</v>
      </c>
      <c r="V742" t="str">
        <f t="shared" si="34"/>
        <v>Feb</v>
      </c>
      <c r="W742">
        <f t="shared" si="35"/>
        <v>0.19634075169745682</v>
      </c>
    </row>
    <row r="743" spans="1:23" x14ac:dyDescent="0.4">
      <c r="A743" s="4" t="s">
        <v>2381</v>
      </c>
      <c r="B743" s="4" t="s">
        <v>643</v>
      </c>
      <c r="C743" s="11">
        <v>44996</v>
      </c>
      <c r="D743" s="4" t="s">
        <v>124</v>
      </c>
      <c r="E743" s="4" t="s">
        <v>24</v>
      </c>
      <c r="F743" s="4" t="s">
        <v>26</v>
      </c>
      <c r="G743" s="4" t="s">
        <v>41</v>
      </c>
      <c r="H743" s="4" t="s">
        <v>711</v>
      </c>
      <c r="I743" s="4" t="s">
        <v>61</v>
      </c>
      <c r="J743" s="4" t="s">
        <v>79</v>
      </c>
      <c r="K743" s="4" t="s">
        <v>30</v>
      </c>
      <c r="L743" s="4" t="s">
        <v>1701</v>
      </c>
      <c r="M743" s="4" t="s">
        <v>81</v>
      </c>
      <c r="N743" s="4" t="s">
        <v>33</v>
      </c>
      <c r="O743" s="4" t="s">
        <v>66</v>
      </c>
      <c r="P743" s="4" t="s">
        <v>88</v>
      </c>
      <c r="Q743" s="4">
        <v>6</v>
      </c>
      <c r="R743" s="4">
        <v>35933</v>
      </c>
      <c r="S743" s="5">
        <v>20</v>
      </c>
      <c r="T743" s="6">
        <f t="shared" si="33"/>
        <v>172478.4</v>
      </c>
      <c r="U743" s="4">
        <v>-11492.72</v>
      </c>
      <c r="V743" t="str">
        <f t="shared" si="34"/>
        <v>Mar</v>
      </c>
      <c r="W743">
        <f t="shared" si="35"/>
        <v>-6.6632807354428142E-2</v>
      </c>
    </row>
    <row r="744" spans="1:23" x14ac:dyDescent="0.4">
      <c r="A744" s="4" t="s">
        <v>2382</v>
      </c>
      <c r="B744" s="4" t="s">
        <v>1119</v>
      </c>
      <c r="C744" s="11">
        <v>45294</v>
      </c>
      <c r="D744" s="4" t="s">
        <v>98</v>
      </c>
      <c r="E744" s="4" t="s">
        <v>24</v>
      </c>
      <c r="F744" s="4" t="s">
        <v>25</v>
      </c>
      <c r="G744" s="4" t="s">
        <v>99</v>
      </c>
      <c r="H744" s="4" t="s">
        <v>2383</v>
      </c>
      <c r="I744" s="4" t="s">
        <v>61</v>
      </c>
      <c r="J744" s="4" t="s">
        <v>62</v>
      </c>
      <c r="K744" s="4" t="s">
        <v>63</v>
      </c>
      <c r="L744" s="4" t="s">
        <v>1322</v>
      </c>
      <c r="M744" s="4" t="s">
        <v>53</v>
      </c>
      <c r="N744" s="4" t="s">
        <v>54</v>
      </c>
      <c r="O744" s="4" t="s">
        <v>82</v>
      </c>
      <c r="P744" s="4" t="s">
        <v>74</v>
      </c>
      <c r="Q744" s="4">
        <v>4</v>
      </c>
      <c r="R744" s="4">
        <v>14610</v>
      </c>
      <c r="S744" s="5">
        <v>15</v>
      </c>
      <c r="T744" s="6">
        <f t="shared" si="33"/>
        <v>49674</v>
      </c>
      <c r="U744" s="4">
        <v>701.1</v>
      </c>
      <c r="V744" t="str">
        <f t="shared" si="34"/>
        <v>Dec</v>
      </c>
      <c r="W744">
        <f t="shared" si="35"/>
        <v>1.4114023432781737E-2</v>
      </c>
    </row>
    <row r="745" spans="1:23" x14ac:dyDescent="0.4">
      <c r="A745" s="4" t="s">
        <v>2384</v>
      </c>
      <c r="B745" s="4" t="s">
        <v>1015</v>
      </c>
      <c r="C745" s="11">
        <v>45006</v>
      </c>
      <c r="D745" s="4" t="s">
        <v>23</v>
      </c>
      <c r="E745" s="4" t="s">
        <v>24</v>
      </c>
      <c r="F745" s="4" t="s">
        <v>70</v>
      </c>
      <c r="G745" s="4" t="s">
        <v>59</v>
      </c>
      <c r="H745" s="4" t="s">
        <v>2385</v>
      </c>
      <c r="I745" s="4" t="s">
        <v>43</v>
      </c>
      <c r="J745" s="4" t="s">
        <v>79</v>
      </c>
      <c r="K745" s="4" t="s">
        <v>63</v>
      </c>
      <c r="L745" s="4" t="s">
        <v>605</v>
      </c>
      <c r="M745" s="4" t="s">
        <v>53</v>
      </c>
      <c r="N745" s="4" t="s">
        <v>33</v>
      </c>
      <c r="O745" s="4" t="s">
        <v>46</v>
      </c>
      <c r="P745" s="4" t="s">
        <v>88</v>
      </c>
      <c r="Q745" s="4">
        <v>5</v>
      </c>
      <c r="R745" s="4">
        <v>16092</v>
      </c>
      <c r="S745" s="5">
        <v>15</v>
      </c>
      <c r="T745" s="6">
        <f t="shared" si="33"/>
        <v>68391</v>
      </c>
      <c r="U745" s="4">
        <v>-6700.27</v>
      </c>
      <c r="V745" t="str">
        <f t="shared" si="34"/>
        <v>Mar</v>
      </c>
      <c r="W745">
        <f t="shared" si="35"/>
        <v>-9.7970054539339976E-2</v>
      </c>
    </row>
    <row r="746" spans="1:23" x14ac:dyDescent="0.4">
      <c r="A746" s="4" t="s">
        <v>2386</v>
      </c>
      <c r="B746" s="4" t="s">
        <v>1552</v>
      </c>
      <c r="C746" s="11">
        <v>44780</v>
      </c>
      <c r="D746" s="4" t="s">
        <v>98</v>
      </c>
      <c r="E746" s="4" t="s">
        <v>24</v>
      </c>
      <c r="F746" s="4" t="s">
        <v>58</v>
      </c>
      <c r="G746" s="4" t="s">
        <v>99</v>
      </c>
      <c r="H746" s="4" t="s">
        <v>2387</v>
      </c>
      <c r="I746" s="4" t="s">
        <v>61</v>
      </c>
      <c r="J746" s="4" t="s">
        <v>29</v>
      </c>
      <c r="K746" s="4" t="s">
        <v>101</v>
      </c>
      <c r="L746" s="4" t="s">
        <v>687</v>
      </c>
      <c r="M746" s="4" t="s">
        <v>73</v>
      </c>
      <c r="N746" s="4" t="s">
        <v>54</v>
      </c>
      <c r="O746" s="4" t="s">
        <v>66</v>
      </c>
      <c r="P746" s="4" t="s">
        <v>74</v>
      </c>
      <c r="Q746" s="4">
        <v>5</v>
      </c>
      <c r="R746" s="4">
        <v>42313</v>
      </c>
      <c r="S746" s="5">
        <v>5</v>
      </c>
      <c r="T746" s="6">
        <f t="shared" si="33"/>
        <v>200986.75</v>
      </c>
      <c r="U746" s="4">
        <v>1939.43</v>
      </c>
      <c r="V746" t="str">
        <f t="shared" si="34"/>
        <v>Aug</v>
      </c>
      <c r="W746">
        <f t="shared" si="35"/>
        <v>9.6495415742580051E-3</v>
      </c>
    </row>
    <row r="747" spans="1:23" x14ac:dyDescent="0.4">
      <c r="A747" s="4" t="s">
        <v>2388</v>
      </c>
      <c r="B747" s="4" t="s">
        <v>1473</v>
      </c>
      <c r="C747" s="11">
        <v>45258</v>
      </c>
      <c r="D747" s="4" t="s">
        <v>98</v>
      </c>
      <c r="E747" s="4" t="s">
        <v>24</v>
      </c>
      <c r="F747" s="4" t="s">
        <v>58</v>
      </c>
      <c r="G747" s="4" t="s">
        <v>99</v>
      </c>
      <c r="H747" s="4" t="s">
        <v>2389</v>
      </c>
      <c r="I747" s="4" t="s">
        <v>61</v>
      </c>
      <c r="J747" s="4" t="s">
        <v>29</v>
      </c>
      <c r="K747" s="4" t="s">
        <v>101</v>
      </c>
      <c r="L747" s="4" t="s">
        <v>610</v>
      </c>
      <c r="M747" s="4" t="s">
        <v>95</v>
      </c>
      <c r="N747" s="4" t="s">
        <v>54</v>
      </c>
      <c r="O747" s="4" t="s">
        <v>120</v>
      </c>
      <c r="P747" s="4" t="s">
        <v>47</v>
      </c>
      <c r="Q747" s="4">
        <v>9</v>
      </c>
      <c r="R747" s="4">
        <v>31019</v>
      </c>
      <c r="S747" s="5">
        <v>10</v>
      </c>
      <c r="T747" s="6">
        <f t="shared" si="33"/>
        <v>251253.9</v>
      </c>
      <c r="U747" s="4">
        <v>16028.63</v>
      </c>
      <c r="V747" t="str">
        <f t="shared" si="34"/>
        <v>Nov</v>
      </c>
      <c r="W747">
        <f t="shared" si="35"/>
        <v>6.379455204476428E-2</v>
      </c>
    </row>
    <row r="748" spans="1:23" x14ac:dyDescent="0.4">
      <c r="A748" s="4" t="s">
        <v>2390</v>
      </c>
      <c r="B748" s="4" t="s">
        <v>1396</v>
      </c>
      <c r="C748" s="11">
        <v>45239</v>
      </c>
      <c r="D748" s="4" t="s">
        <v>124</v>
      </c>
      <c r="E748" s="4" t="s">
        <v>24</v>
      </c>
      <c r="F748" s="4" t="s">
        <v>70</v>
      </c>
      <c r="G748" s="4" t="s">
        <v>59</v>
      </c>
      <c r="H748" s="4" t="s">
        <v>2391</v>
      </c>
      <c r="I748" s="4" t="s">
        <v>61</v>
      </c>
      <c r="J748" s="4" t="s">
        <v>79</v>
      </c>
      <c r="K748" s="4" t="s">
        <v>30</v>
      </c>
      <c r="L748" s="4" t="s">
        <v>956</v>
      </c>
      <c r="M748" s="4" t="s">
        <v>32</v>
      </c>
      <c r="N748" s="4" t="s">
        <v>33</v>
      </c>
      <c r="O748" s="4" t="s">
        <v>34</v>
      </c>
      <c r="P748" s="4" t="s">
        <v>74</v>
      </c>
      <c r="Q748" s="4">
        <v>9</v>
      </c>
      <c r="R748" s="4">
        <v>28938</v>
      </c>
      <c r="S748" s="5">
        <v>5</v>
      </c>
      <c r="T748" s="6">
        <f t="shared" si="33"/>
        <v>247419.9</v>
      </c>
      <c r="U748" s="4">
        <v>59294.63</v>
      </c>
      <c r="V748" t="str">
        <f t="shared" si="34"/>
        <v>Nov</v>
      </c>
      <c r="W748">
        <f t="shared" si="35"/>
        <v>0.2396518226706906</v>
      </c>
    </row>
    <row r="749" spans="1:23" x14ac:dyDescent="0.4">
      <c r="A749" s="4" t="s">
        <v>2392</v>
      </c>
      <c r="B749" s="4" t="s">
        <v>2393</v>
      </c>
      <c r="C749" s="11">
        <v>44697</v>
      </c>
      <c r="D749" s="4" t="s">
        <v>124</v>
      </c>
      <c r="E749" s="4" t="s">
        <v>24</v>
      </c>
      <c r="F749" s="4" t="s">
        <v>25</v>
      </c>
      <c r="G749" s="4" t="s">
        <v>41</v>
      </c>
      <c r="H749" s="4" t="s">
        <v>2394</v>
      </c>
      <c r="I749" s="4" t="s">
        <v>61</v>
      </c>
      <c r="J749" s="4" t="s">
        <v>62</v>
      </c>
      <c r="K749" s="4" t="s">
        <v>86</v>
      </c>
      <c r="L749" s="4" t="s">
        <v>491</v>
      </c>
      <c r="M749" s="4" t="s">
        <v>73</v>
      </c>
      <c r="N749" s="4" t="s">
        <v>33</v>
      </c>
      <c r="O749" s="4" t="s">
        <v>66</v>
      </c>
      <c r="P749" s="4" t="s">
        <v>88</v>
      </c>
      <c r="Q749" s="4">
        <v>10</v>
      </c>
      <c r="R749" s="4">
        <v>10193</v>
      </c>
      <c r="S749" s="5">
        <v>20</v>
      </c>
      <c r="T749" s="6">
        <f t="shared" si="33"/>
        <v>81544</v>
      </c>
      <c r="U749" s="4">
        <v>9009.08</v>
      </c>
      <c r="V749" t="str">
        <f t="shared" si="34"/>
        <v>May</v>
      </c>
      <c r="W749">
        <f t="shared" si="35"/>
        <v>0.11048121259688021</v>
      </c>
    </row>
    <row r="750" spans="1:23" x14ac:dyDescent="0.4">
      <c r="A750" s="4" t="s">
        <v>2395</v>
      </c>
      <c r="B750" s="4" t="s">
        <v>629</v>
      </c>
      <c r="C750" s="11">
        <v>45542</v>
      </c>
      <c r="D750" s="4" t="s">
        <v>23</v>
      </c>
      <c r="E750" s="4" t="s">
        <v>24</v>
      </c>
      <c r="F750" s="4" t="s">
        <v>40</v>
      </c>
      <c r="G750" s="4" t="s">
        <v>59</v>
      </c>
      <c r="H750" s="4" t="s">
        <v>785</v>
      </c>
      <c r="I750" s="4" t="s">
        <v>28</v>
      </c>
      <c r="J750" s="4" t="s">
        <v>62</v>
      </c>
      <c r="K750" s="4" t="s">
        <v>101</v>
      </c>
      <c r="L750" s="4" t="s">
        <v>181</v>
      </c>
      <c r="M750" s="4" t="s">
        <v>73</v>
      </c>
      <c r="N750" s="4" t="s">
        <v>33</v>
      </c>
      <c r="O750" s="4" t="s">
        <v>82</v>
      </c>
      <c r="P750" s="4" t="s">
        <v>35</v>
      </c>
      <c r="Q750" s="4">
        <v>5</v>
      </c>
      <c r="R750" s="4">
        <v>28585</v>
      </c>
      <c r="S750" s="5">
        <v>20</v>
      </c>
      <c r="T750" s="6">
        <f t="shared" si="33"/>
        <v>114340</v>
      </c>
      <c r="U750" s="4">
        <v>1273.44</v>
      </c>
      <c r="V750" t="str">
        <f t="shared" si="34"/>
        <v>Sep</v>
      </c>
      <c r="W750">
        <f t="shared" si="35"/>
        <v>1.1137309777855519E-2</v>
      </c>
    </row>
    <row r="751" spans="1:23" x14ac:dyDescent="0.4">
      <c r="A751" s="4" t="s">
        <v>2396</v>
      </c>
      <c r="B751" s="4" t="s">
        <v>1296</v>
      </c>
      <c r="C751" s="11">
        <v>44674</v>
      </c>
      <c r="D751" s="4" t="s">
        <v>39</v>
      </c>
      <c r="E751" s="4" t="s">
        <v>24</v>
      </c>
      <c r="F751" s="4" t="s">
        <v>26</v>
      </c>
      <c r="G751" s="4" t="s">
        <v>92</v>
      </c>
      <c r="H751" s="4" t="s">
        <v>2397</v>
      </c>
      <c r="I751" s="4" t="s">
        <v>43</v>
      </c>
      <c r="J751" s="4" t="s">
        <v>62</v>
      </c>
      <c r="K751" s="4" t="s">
        <v>30</v>
      </c>
      <c r="L751" s="4" t="s">
        <v>636</v>
      </c>
      <c r="M751" s="4" t="s">
        <v>53</v>
      </c>
      <c r="N751" s="4" t="s">
        <v>54</v>
      </c>
      <c r="O751" s="4" t="s">
        <v>120</v>
      </c>
      <c r="P751" s="4" t="s">
        <v>47</v>
      </c>
      <c r="Q751" s="4">
        <v>3</v>
      </c>
      <c r="R751" s="4">
        <v>3014</v>
      </c>
      <c r="S751" s="5">
        <v>5</v>
      </c>
      <c r="T751" s="6">
        <f t="shared" si="33"/>
        <v>8589.9</v>
      </c>
      <c r="U751" s="4">
        <v>1445.76</v>
      </c>
      <c r="V751" t="str">
        <f t="shared" si="34"/>
        <v>Apr</v>
      </c>
      <c r="W751">
        <f t="shared" si="35"/>
        <v>0.16830929347256662</v>
      </c>
    </row>
    <row r="752" spans="1:23" x14ac:dyDescent="0.4">
      <c r="A752" s="4" t="s">
        <v>2398</v>
      </c>
      <c r="B752" s="4" t="s">
        <v>1216</v>
      </c>
      <c r="C752" s="11">
        <v>45061</v>
      </c>
      <c r="D752" s="4" t="s">
        <v>98</v>
      </c>
      <c r="E752" s="4" t="s">
        <v>24</v>
      </c>
      <c r="F752" s="4" t="s">
        <v>25</v>
      </c>
      <c r="G752" s="4" t="s">
        <v>99</v>
      </c>
      <c r="H752" s="4" t="s">
        <v>2399</v>
      </c>
      <c r="I752" s="4" t="s">
        <v>61</v>
      </c>
      <c r="J752" s="4" t="s">
        <v>79</v>
      </c>
      <c r="K752" s="4" t="s">
        <v>101</v>
      </c>
      <c r="L752" s="4" t="s">
        <v>631</v>
      </c>
      <c r="M752" s="4" t="s">
        <v>95</v>
      </c>
      <c r="N752" s="4" t="s">
        <v>33</v>
      </c>
      <c r="O752" s="4" t="s">
        <v>34</v>
      </c>
      <c r="P752" s="4" t="s">
        <v>35</v>
      </c>
      <c r="Q752" s="4">
        <v>10</v>
      </c>
      <c r="R752" s="4">
        <v>28166</v>
      </c>
      <c r="S752" s="5">
        <v>20</v>
      </c>
      <c r="T752" s="6">
        <f t="shared" si="33"/>
        <v>225328</v>
      </c>
      <c r="U752" s="4">
        <v>889.41</v>
      </c>
      <c r="V752" t="str">
        <f t="shared" si="34"/>
        <v>May</v>
      </c>
      <c r="W752">
        <f t="shared" si="35"/>
        <v>3.9471792231768801E-3</v>
      </c>
    </row>
    <row r="753" spans="1:23" x14ac:dyDescent="0.4">
      <c r="A753" s="4" t="s">
        <v>2400</v>
      </c>
      <c r="B753" s="4" t="s">
        <v>1836</v>
      </c>
      <c r="C753" s="11">
        <v>44637</v>
      </c>
      <c r="D753" s="4" t="s">
        <v>98</v>
      </c>
      <c r="E753" s="4" t="s">
        <v>24</v>
      </c>
      <c r="F753" s="4" t="s">
        <v>70</v>
      </c>
      <c r="G753" s="4" t="s">
        <v>99</v>
      </c>
      <c r="H753" s="4" t="s">
        <v>1151</v>
      </c>
      <c r="I753" s="4" t="s">
        <v>28</v>
      </c>
      <c r="J753" s="4" t="s">
        <v>79</v>
      </c>
      <c r="K753" s="4" t="s">
        <v>101</v>
      </c>
      <c r="L753" s="4" t="s">
        <v>87</v>
      </c>
      <c r="M753" s="4" t="s">
        <v>95</v>
      </c>
      <c r="N753" s="4" t="s">
        <v>33</v>
      </c>
      <c r="O753" s="4" t="s">
        <v>82</v>
      </c>
      <c r="P753" s="4" t="s">
        <v>88</v>
      </c>
      <c r="Q753" s="4">
        <v>10</v>
      </c>
      <c r="R753" s="4">
        <v>24964</v>
      </c>
      <c r="S753" s="5">
        <v>20</v>
      </c>
      <c r="T753" s="6">
        <f t="shared" si="33"/>
        <v>199712</v>
      </c>
      <c r="U753" s="4">
        <v>-10838.69</v>
      </c>
      <c r="V753" t="str">
        <f t="shared" si="34"/>
        <v>Mar</v>
      </c>
      <c r="W753">
        <f t="shared" si="35"/>
        <v>-5.4271601105592052E-2</v>
      </c>
    </row>
    <row r="754" spans="1:23" x14ac:dyDescent="0.4">
      <c r="A754" s="4" t="s">
        <v>2401</v>
      </c>
      <c r="B754" s="4" t="s">
        <v>2402</v>
      </c>
      <c r="C754" s="11">
        <v>44597</v>
      </c>
      <c r="D754" s="4" t="s">
        <v>124</v>
      </c>
      <c r="E754" s="4" t="s">
        <v>24</v>
      </c>
      <c r="F754" s="4" t="s">
        <v>70</v>
      </c>
      <c r="G754" s="4" t="s">
        <v>92</v>
      </c>
      <c r="H754" s="4" t="s">
        <v>2403</v>
      </c>
      <c r="I754" s="4" t="s">
        <v>61</v>
      </c>
      <c r="J754" s="4" t="s">
        <v>79</v>
      </c>
      <c r="K754" s="4" t="s">
        <v>153</v>
      </c>
      <c r="L754" s="4" t="s">
        <v>2034</v>
      </c>
      <c r="M754" s="4" t="s">
        <v>53</v>
      </c>
      <c r="N754" s="4" t="s">
        <v>33</v>
      </c>
      <c r="O754" s="4" t="s">
        <v>82</v>
      </c>
      <c r="P754" s="4" t="s">
        <v>35</v>
      </c>
      <c r="Q754" s="4">
        <v>9</v>
      </c>
      <c r="R754" s="4">
        <v>45071</v>
      </c>
      <c r="S754" s="5">
        <v>0</v>
      </c>
      <c r="T754" s="6">
        <f t="shared" si="33"/>
        <v>405639</v>
      </c>
      <c r="U754" s="4">
        <v>58220.11</v>
      </c>
      <c r="V754" t="str">
        <f t="shared" si="34"/>
        <v>Jan</v>
      </c>
      <c r="W754">
        <f t="shared" si="35"/>
        <v>0.14352690446431432</v>
      </c>
    </row>
    <row r="755" spans="1:23" x14ac:dyDescent="0.4">
      <c r="A755" s="4" t="s">
        <v>2404</v>
      </c>
      <c r="B755" s="4" t="s">
        <v>2111</v>
      </c>
      <c r="C755" s="11">
        <v>45179</v>
      </c>
      <c r="D755" s="4" t="s">
        <v>23</v>
      </c>
      <c r="E755" s="4" t="s">
        <v>24</v>
      </c>
      <c r="F755" s="4" t="s">
        <v>40</v>
      </c>
      <c r="G755" s="4" t="s">
        <v>99</v>
      </c>
      <c r="H755" s="4" t="s">
        <v>2405</v>
      </c>
      <c r="I755" s="4" t="s">
        <v>43</v>
      </c>
      <c r="J755" s="4" t="s">
        <v>29</v>
      </c>
      <c r="K755" s="4" t="s">
        <v>30</v>
      </c>
      <c r="L755" s="4" t="s">
        <v>1829</v>
      </c>
      <c r="M755" s="4" t="s">
        <v>73</v>
      </c>
      <c r="N755" s="4" t="s">
        <v>33</v>
      </c>
      <c r="O755" s="4" t="s">
        <v>66</v>
      </c>
      <c r="P755" s="4" t="s">
        <v>74</v>
      </c>
      <c r="Q755" s="4">
        <v>3</v>
      </c>
      <c r="R755" s="4">
        <v>20583</v>
      </c>
      <c r="S755" s="5">
        <v>10</v>
      </c>
      <c r="T755" s="6">
        <f t="shared" si="33"/>
        <v>55574.1</v>
      </c>
      <c r="U755" s="4">
        <v>-107.03</v>
      </c>
      <c r="V755" t="str">
        <f t="shared" si="34"/>
        <v>Sep</v>
      </c>
      <c r="W755">
        <f t="shared" si="35"/>
        <v>-1.925897135536158E-3</v>
      </c>
    </row>
    <row r="756" spans="1:23" x14ac:dyDescent="0.4">
      <c r="A756" s="4" t="s">
        <v>2406</v>
      </c>
      <c r="B756" s="4" t="s">
        <v>1201</v>
      </c>
      <c r="C756" s="11">
        <v>45091</v>
      </c>
      <c r="D756" s="4" t="s">
        <v>98</v>
      </c>
      <c r="E756" s="4" t="s">
        <v>24</v>
      </c>
      <c r="F756" s="4" t="s">
        <v>70</v>
      </c>
      <c r="G756" s="4" t="s">
        <v>41</v>
      </c>
      <c r="H756" s="4" t="s">
        <v>2407</v>
      </c>
      <c r="I756" s="4" t="s">
        <v>43</v>
      </c>
      <c r="J756" s="4" t="s">
        <v>29</v>
      </c>
      <c r="K756" s="4" t="s">
        <v>153</v>
      </c>
      <c r="L756" s="4" t="s">
        <v>319</v>
      </c>
      <c r="M756" s="4" t="s">
        <v>95</v>
      </c>
      <c r="N756" s="4" t="s">
        <v>33</v>
      </c>
      <c r="O756" s="4" t="s">
        <v>46</v>
      </c>
      <c r="P756" s="4" t="s">
        <v>74</v>
      </c>
      <c r="Q756" s="4">
        <v>6</v>
      </c>
      <c r="R756" s="4">
        <v>16601</v>
      </c>
      <c r="S756" s="5">
        <v>0</v>
      </c>
      <c r="T756" s="6">
        <f t="shared" si="33"/>
        <v>99606</v>
      </c>
      <c r="U756" s="4">
        <v>11402.31</v>
      </c>
      <c r="V756" t="str">
        <f t="shared" si="34"/>
        <v>Jun</v>
      </c>
      <c r="W756">
        <f t="shared" si="35"/>
        <v>0.11447412806457442</v>
      </c>
    </row>
    <row r="757" spans="1:23" x14ac:dyDescent="0.4">
      <c r="A757" s="4" t="s">
        <v>2408</v>
      </c>
      <c r="B757" s="4" t="s">
        <v>1735</v>
      </c>
      <c r="C757" s="11">
        <v>45133</v>
      </c>
      <c r="D757" s="4" t="s">
        <v>23</v>
      </c>
      <c r="E757" s="4" t="s">
        <v>24</v>
      </c>
      <c r="F757" s="4" t="s">
        <v>40</v>
      </c>
      <c r="G757" s="4" t="s">
        <v>99</v>
      </c>
      <c r="H757" s="4" t="s">
        <v>2409</v>
      </c>
      <c r="I757" s="4" t="s">
        <v>61</v>
      </c>
      <c r="J757" s="4" t="s">
        <v>62</v>
      </c>
      <c r="K757" s="4" t="s">
        <v>30</v>
      </c>
      <c r="L757" s="4" t="s">
        <v>218</v>
      </c>
      <c r="M757" s="4" t="s">
        <v>53</v>
      </c>
      <c r="N757" s="4" t="s">
        <v>54</v>
      </c>
      <c r="O757" s="4" t="s">
        <v>66</v>
      </c>
      <c r="P757" s="4" t="s">
        <v>74</v>
      </c>
      <c r="Q757" s="4">
        <v>4</v>
      </c>
      <c r="R757" s="4">
        <v>26968</v>
      </c>
      <c r="S757" s="5">
        <v>15</v>
      </c>
      <c r="T757" s="6">
        <f t="shared" si="33"/>
        <v>91691.199999999997</v>
      </c>
      <c r="U757" s="4">
        <v>-4210.83</v>
      </c>
      <c r="V757" t="str">
        <f t="shared" si="34"/>
        <v>Jul</v>
      </c>
      <c r="W757">
        <f t="shared" si="35"/>
        <v>-4.5924036330640239E-2</v>
      </c>
    </row>
    <row r="758" spans="1:23" x14ac:dyDescent="0.4">
      <c r="A758" s="4" t="s">
        <v>2410</v>
      </c>
      <c r="B758" s="4" t="s">
        <v>2411</v>
      </c>
      <c r="C758" s="11">
        <v>44564</v>
      </c>
      <c r="D758" s="4" t="s">
        <v>124</v>
      </c>
      <c r="E758" s="4" t="s">
        <v>24</v>
      </c>
      <c r="F758" s="4" t="s">
        <v>40</v>
      </c>
      <c r="G758" s="4" t="s">
        <v>41</v>
      </c>
      <c r="H758" s="4" t="s">
        <v>2412</v>
      </c>
      <c r="I758" s="4" t="s">
        <v>28</v>
      </c>
      <c r="J758" s="4" t="s">
        <v>29</v>
      </c>
      <c r="K758" s="4" t="s">
        <v>63</v>
      </c>
      <c r="L758" s="4" t="s">
        <v>826</v>
      </c>
      <c r="M758" s="4" t="s">
        <v>53</v>
      </c>
      <c r="N758" s="4" t="s">
        <v>54</v>
      </c>
      <c r="O758" s="4" t="s">
        <v>46</v>
      </c>
      <c r="P758" s="4" t="s">
        <v>47</v>
      </c>
      <c r="Q758" s="4">
        <v>6</v>
      </c>
      <c r="R758" s="4">
        <v>26855</v>
      </c>
      <c r="S758" s="5">
        <v>15</v>
      </c>
      <c r="T758" s="6">
        <f t="shared" si="33"/>
        <v>136960.5</v>
      </c>
      <c r="U758" s="4">
        <v>15422.39</v>
      </c>
      <c r="V758" t="str">
        <f t="shared" si="34"/>
        <v>Jan</v>
      </c>
      <c r="W758">
        <f t="shared" si="35"/>
        <v>0.11260465608697398</v>
      </c>
    </row>
    <row r="759" spans="1:23" x14ac:dyDescent="0.4">
      <c r="A759" s="4" t="s">
        <v>2413</v>
      </c>
      <c r="B759" s="4" t="s">
        <v>234</v>
      </c>
      <c r="C759" s="11">
        <v>45058</v>
      </c>
      <c r="D759" s="4" t="s">
        <v>23</v>
      </c>
      <c r="E759" s="4" t="s">
        <v>24</v>
      </c>
      <c r="F759" s="4" t="s">
        <v>40</v>
      </c>
      <c r="G759" s="4" t="s">
        <v>92</v>
      </c>
      <c r="H759" s="4" t="s">
        <v>2414</v>
      </c>
      <c r="I759" s="4" t="s">
        <v>28</v>
      </c>
      <c r="J759" s="4" t="s">
        <v>62</v>
      </c>
      <c r="K759" s="4" t="s">
        <v>86</v>
      </c>
      <c r="L759" s="4" t="s">
        <v>452</v>
      </c>
      <c r="M759" s="4" t="s">
        <v>32</v>
      </c>
      <c r="N759" s="4" t="s">
        <v>33</v>
      </c>
      <c r="O759" s="4" t="s">
        <v>46</v>
      </c>
      <c r="P759" s="4" t="s">
        <v>74</v>
      </c>
      <c r="Q759" s="4">
        <v>4</v>
      </c>
      <c r="R759" s="4">
        <v>34414</v>
      </c>
      <c r="S759" s="5">
        <v>5</v>
      </c>
      <c r="T759" s="6">
        <f t="shared" si="33"/>
        <v>130773.2</v>
      </c>
      <c r="U759" s="4">
        <v>3350.43</v>
      </c>
      <c r="V759" t="str">
        <f t="shared" si="34"/>
        <v>May</v>
      </c>
      <c r="W759">
        <f t="shared" si="35"/>
        <v>2.5620157646979655E-2</v>
      </c>
    </row>
    <row r="760" spans="1:23" x14ac:dyDescent="0.4">
      <c r="A760" s="4" t="s">
        <v>2415</v>
      </c>
      <c r="B760" s="4" t="s">
        <v>634</v>
      </c>
      <c r="C760" s="11">
        <v>45094</v>
      </c>
      <c r="D760" s="4" t="s">
        <v>98</v>
      </c>
      <c r="E760" s="4" t="s">
        <v>24</v>
      </c>
      <c r="F760" s="4" t="s">
        <v>25</v>
      </c>
      <c r="G760" s="4" t="s">
        <v>26</v>
      </c>
      <c r="H760" s="4" t="s">
        <v>2416</v>
      </c>
      <c r="I760" s="4" t="s">
        <v>28</v>
      </c>
      <c r="J760" s="4" t="s">
        <v>29</v>
      </c>
      <c r="K760" s="4" t="s">
        <v>63</v>
      </c>
      <c r="L760" s="4" t="s">
        <v>1184</v>
      </c>
      <c r="M760" s="4" t="s">
        <v>32</v>
      </c>
      <c r="N760" s="4" t="s">
        <v>54</v>
      </c>
      <c r="O760" s="4" t="s">
        <v>46</v>
      </c>
      <c r="P760" s="4" t="s">
        <v>88</v>
      </c>
      <c r="Q760" s="4">
        <v>3</v>
      </c>
      <c r="R760" s="4">
        <v>7784</v>
      </c>
      <c r="S760" s="5">
        <v>20</v>
      </c>
      <c r="T760" s="6">
        <f t="shared" si="33"/>
        <v>18681.599999999999</v>
      </c>
      <c r="U760" s="4">
        <v>1412.62</v>
      </c>
      <c r="V760" t="str">
        <f t="shared" si="34"/>
        <v>Jun</v>
      </c>
      <c r="W760">
        <f t="shared" si="35"/>
        <v>7.5615578965399111E-2</v>
      </c>
    </row>
    <row r="761" spans="1:23" x14ac:dyDescent="0.4">
      <c r="A761" s="4" t="s">
        <v>2417</v>
      </c>
      <c r="B761" s="4" t="s">
        <v>1120</v>
      </c>
      <c r="C761" s="11">
        <v>45292</v>
      </c>
      <c r="D761" s="4" t="s">
        <v>23</v>
      </c>
      <c r="E761" s="4" t="s">
        <v>24</v>
      </c>
      <c r="F761" s="4" t="s">
        <v>40</v>
      </c>
      <c r="G761" s="4" t="s">
        <v>99</v>
      </c>
      <c r="H761" s="4" t="s">
        <v>2418</v>
      </c>
      <c r="I761" s="4" t="s">
        <v>61</v>
      </c>
      <c r="J761" s="4" t="s">
        <v>79</v>
      </c>
      <c r="K761" s="4" t="s">
        <v>44</v>
      </c>
      <c r="L761" s="4" t="s">
        <v>2252</v>
      </c>
      <c r="M761" s="4" t="s">
        <v>95</v>
      </c>
      <c r="N761" s="4" t="s">
        <v>33</v>
      </c>
      <c r="O761" s="4" t="s">
        <v>82</v>
      </c>
      <c r="P761" s="4" t="s">
        <v>35</v>
      </c>
      <c r="Q761" s="4">
        <v>6</v>
      </c>
      <c r="R761" s="4">
        <v>10294</v>
      </c>
      <c r="S761" s="5">
        <v>0</v>
      </c>
      <c r="T761" s="6">
        <f t="shared" si="33"/>
        <v>61764</v>
      </c>
      <c r="U761" s="4">
        <v>4546.63</v>
      </c>
      <c r="V761" t="str">
        <f t="shared" si="34"/>
        <v>Dec</v>
      </c>
      <c r="W761">
        <f t="shared" si="35"/>
        <v>7.3612946052716788E-2</v>
      </c>
    </row>
    <row r="762" spans="1:23" x14ac:dyDescent="0.4">
      <c r="A762" s="4" t="s">
        <v>2419</v>
      </c>
      <c r="B762" s="4" t="s">
        <v>1729</v>
      </c>
      <c r="C762" s="11">
        <v>45050</v>
      </c>
      <c r="D762" s="4" t="s">
        <v>39</v>
      </c>
      <c r="E762" s="4" t="s">
        <v>24</v>
      </c>
      <c r="F762" s="4" t="s">
        <v>70</v>
      </c>
      <c r="G762" s="4" t="s">
        <v>59</v>
      </c>
      <c r="H762" s="4" t="s">
        <v>2420</v>
      </c>
      <c r="I762" s="4" t="s">
        <v>61</v>
      </c>
      <c r="J762" s="4" t="s">
        <v>79</v>
      </c>
      <c r="K762" s="4" t="s">
        <v>30</v>
      </c>
      <c r="L762" s="4" t="s">
        <v>775</v>
      </c>
      <c r="M762" s="4" t="s">
        <v>95</v>
      </c>
      <c r="N762" s="4" t="s">
        <v>33</v>
      </c>
      <c r="O762" s="4" t="s">
        <v>46</v>
      </c>
      <c r="P762" s="4" t="s">
        <v>88</v>
      </c>
      <c r="Q762" s="4">
        <v>4</v>
      </c>
      <c r="R762" s="4">
        <v>39823</v>
      </c>
      <c r="S762" s="5">
        <v>10</v>
      </c>
      <c r="T762" s="6">
        <f t="shared" si="33"/>
        <v>143362.79999999999</v>
      </c>
      <c r="U762" s="4">
        <v>26096.59</v>
      </c>
      <c r="V762" t="str">
        <f t="shared" si="34"/>
        <v>Apr</v>
      </c>
      <c r="W762">
        <f t="shared" si="35"/>
        <v>0.18203181020459983</v>
      </c>
    </row>
    <row r="763" spans="1:23" x14ac:dyDescent="0.4">
      <c r="A763" s="4" t="s">
        <v>2421</v>
      </c>
      <c r="B763" s="4" t="s">
        <v>2422</v>
      </c>
      <c r="C763" s="11">
        <v>45064</v>
      </c>
      <c r="D763" s="4" t="s">
        <v>23</v>
      </c>
      <c r="E763" s="4" t="s">
        <v>24</v>
      </c>
      <c r="F763" s="4" t="s">
        <v>25</v>
      </c>
      <c r="G763" s="4" t="s">
        <v>26</v>
      </c>
      <c r="H763" s="4" t="s">
        <v>2423</v>
      </c>
      <c r="I763" s="4" t="s">
        <v>61</v>
      </c>
      <c r="J763" s="4" t="s">
        <v>62</v>
      </c>
      <c r="K763" s="4" t="s">
        <v>153</v>
      </c>
      <c r="L763" s="4" t="s">
        <v>1270</v>
      </c>
      <c r="M763" s="4" t="s">
        <v>81</v>
      </c>
      <c r="N763" s="4" t="s">
        <v>33</v>
      </c>
      <c r="O763" s="4" t="s">
        <v>46</v>
      </c>
      <c r="P763" s="4" t="s">
        <v>74</v>
      </c>
      <c r="Q763" s="4">
        <v>3</v>
      </c>
      <c r="R763" s="4">
        <v>48787</v>
      </c>
      <c r="S763" s="5">
        <v>5</v>
      </c>
      <c r="T763" s="6">
        <f t="shared" si="33"/>
        <v>139042.95000000001</v>
      </c>
      <c r="U763" s="4">
        <v>10259.07</v>
      </c>
      <c r="V763" t="str">
        <f t="shared" si="34"/>
        <v>May</v>
      </c>
      <c r="W763">
        <f t="shared" si="35"/>
        <v>7.3783460434347789E-2</v>
      </c>
    </row>
    <row r="764" spans="1:23" x14ac:dyDescent="0.4">
      <c r="A764" s="4" t="s">
        <v>2424</v>
      </c>
      <c r="B764" s="4" t="s">
        <v>2425</v>
      </c>
      <c r="C764" s="11">
        <v>45353</v>
      </c>
      <c r="D764" s="4" t="s">
        <v>124</v>
      </c>
      <c r="E764" s="4" t="s">
        <v>24</v>
      </c>
      <c r="F764" s="4" t="s">
        <v>58</v>
      </c>
      <c r="G764" s="4" t="s">
        <v>26</v>
      </c>
      <c r="H764" s="4" t="s">
        <v>1105</v>
      </c>
      <c r="I764" s="4" t="s">
        <v>28</v>
      </c>
      <c r="J764" s="4" t="s">
        <v>79</v>
      </c>
      <c r="K764" s="4" t="s">
        <v>30</v>
      </c>
      <c r="L764" s="4" t="s">
        <v>871</v>
      </c>
      <c r="M764" s="4" t="s">
        <v>73</v>
      </c>
      <c r="N764" s="4" t="s">
        <v>54</v>
      </c>
      <c r="O764" s="4" t="s">
        <v>82</v>
      </c>
      <c r="P764" s="4" t="s">
        <v>35</v>
      </c>
      <c r="Q764" s="4">
        <v>4</v>
      </c>
      <c r="R764" s="4">
        <v>24477</v>
      </c>
      <c r="S764" s="5">
        <v>15</v>
      </c>
      <c r="T764" s="6">
        <f t="shared" si="33"/>
        <v>83221.8</v>
      </c>
      <c r="U764" s="4">
        <v>11044.1</v>
      </c>
      <c r="V764" t="str">
        <f t="shared" si="34"/>
        <v>Feb</v>
      </c>
      <c r="W764">
        <f t="shared" si="35"/>
        <v>0.13270681480092955</v>
      </c>
    </row>
    <row r="765" spans="1:23" x14ac:dyDescent="0.4">
      <c r="A765" s="4" t="s">
        <v>2427</v>
      </c>
      <c r="B765" s="4" t="s">
        <v>1434</v>
      </c>
      <c r="C765" s="11">
        <v>45476</v>
      </c>
      <c r="D765" s="4" t="s">
        <v>39</v>
      </c>
      <c r="E765" s="4" t="s">
        <v>24</v>
      </c>
      <c r="F765" s="4" t="s">
        <v>40</v>
      </c>
      <c r="G765" s="4" t="s">
        <v>41</v>
      </c>
      <c r="H765" s="4" t="s">
        <v>2428</v>
      </c>
      <c r="I765" s="4" t="s">
        <v>43</v>
      </c>
      <c r="J765" s="4" t="s">
        <v>62</v>
      </c>
      <c r="K765" s="4" t="s">
        <v>153</v>
      </c>
      <c r="L765" s="4" t="s">
        <v>102</v>
      </c>
      <c r="M765" s="4" t="s">
        <v>32</v>
      </c>
      <c r="N765" s="4" t="s">
        <v>54</v>
      </c>
      <c r="O765" s="4" t="s">
        <v>82</v>
      </c>
      <c r="P765" s="4" t="s">
        <v>88</v>
      </c>
      <c r="Q765" s="4">
        <v>5</v>
      </c>
      <c r="R765" s="4">
        <v>21949</v>
      </c>
      <c r="S765" s="5">
        <v>10</v>
      </c>
      <c r="T765" s="6">
        <f t="shared" si="33"/>
        <v>98770.5</v>
      </c>
      <c r="U765" s="4">
        <v>17128.009999999998</v>
      </c>
      <c r="V765" t="str">
        <f t="shared" si="34"/>
        <v>Jul</v>
      </c>
      <c r="W765">
        <f t="shared" si="35"/>
        <v>0.17341220303633167</v>
      </c>
    </row>
    <row r="766" spans="1:23" x14ac:dyDescent="0.4">
      <c r="A766" s="4" t="s">
        <v>2429</v>
      </c>
      <c r="B766" s="4" t="s">
        <v>1507</v>
      </c>
      <c r="C766" s="11">
        <v>45232</v>
      </c>
      <c r="D766" s="4" t="s">
        <v>98</v>
      </c>
      <c r="E766" s="4" t="s">
        <v>24</v>
      </c>
      <c r="F766" s="4" t="s">
        <v>40</v>
      </c>
      <c r="G766" s="4" t="s">
        <v>41</v>
      </c>
      <c r="H766" s="4" t="s">
        <v>2431</v>
      </c>
      <c r="I766" s="4" t="s">
        <v>43</v>
      </c>
      <c r="J766" s="4" t="s">
        <v>29</v>
      </c>
      <c r="K766" s="4" t="s">
        <v>153</v>
      </c>
      <c r="L766" s="4" t="s">
        <v>1040</v>
      </c>
      <c r="M766" s="4" t="s">
        <v>81</v>
      </c>
      <c r="N766" s="4" t="s">
        <v>33</v>
      </c>
      <c r="O766" s="4" t="s">
        <v>66</v>
      </c>
      <c r="P766" s="4" t="s">
        <v>35</v>
      </c>
      <c r="Q766" s="4">
        <v>6</v>
      </c>
      <c r="R766" s="4">
        <v>14443</v>
      </c>
      <c r="S766" s="5">
        <v>15</v>
      </c>
      <c r="T766" s="6">
        <f t="shared" si="33"/>
        <v>73659.3</v>
      </c>
      <c r="U766" s="4">
        <v>7248.26</v>
      </c>
      <c r="V766" t="str">
        <f t="shared" si="34"/>
        <v>Oct</v>
      </c>
      <c r="W766">
        <f t="shared" si="35"/>
        <v>9.8402509934251342E-2</v>
      </c>
    </row>
    <row r="767" spans="1:23" x14ac:dyDescent="0.4">
      <c r="A767" s="4" t="s">
        <v>2432</v>
      </c>
      <c r="B767" s="4" t="s">
        <v>49</v>
      </c>
      <c r="C767" s="11">
        <v>44585</v>
      </c>
      <c r="D767" s="4" t="s">
        <v>98</v>
      </c>
      <c r="E767" s="4" t="s">
        <v>24</v>
      </c>
      <c r="F767" s="4" t="s">
        <v>25</v>
      </c>
      <c r="G767" s="4" t="s">
        <v>92</v>
      </c>
      <c r="H767" s="4" t="s">
        <v>760</v>
      </c>
      <c r="I767" s="4" t="s">
        <v>61</v>
      </c>
      <c r="J767" s="4" t="s">
        <v>79</v>
      </c>
      <c r="K767" s="4" t="s">
        <v>63</v>
      </c>
      <c r="L767" s="4" t="s">
        <v>2433</v>
      </c>
      <c r="M767" s="4" t="s">
        <v>95</v>
      </c>
      <c r="N767" s="4" t="s">
        <v>33</v>
      </c>
      <c r="O767" s="4" t="s">
        <v>46</v>
      </c>
      <c r="P767" s="4" t="s">
        <v>47</v>
      </c>
      <c r="Q767" s="4">
        <v>1</v>
      </c>
      <c r="R767" s="4">
        <v>23624</v>
      </c>
      <c r="S767" s="5">
        <v>10</v>
      </c>
      <c r="T767" s="6">
        <f t="shared" si="33"/>
        <v>21261.599999999999</v>
      </c>
      <c r="U767" s="4">
        <v>1935.82</v>
      </c>
      <c r="V767" t="str">
        <f t="shared" si="34"/>
        <v>Jan</v>
      </c>
      <c r="W767">
        <f t="shared" si="35"/>
        <v>9.1047710426308465E-2</v>
      </c>
    </row>
    <row r="768" spans="1:23" x14ac:dyDescent="0.4">
      <c r="A768" s="4" t="s">
        <v>2434</v>
      </c>
      <c r="B768" s="4" t="s">
        <v>2435</v>
      </c>
      <c r="C768" s="11">
        <v>44692</v>
      </c>
      <c r="D768" s="4" t="s">
        <v>23</v>
      </c>
      <c r="E768" s="4" t="s">
        <v>24</v>
      </c>
      <c r="F768" s="4" t="s">
        <v>58</v>
      </c>
      <c r="G768" s="4" t="s">
        <v>92</v>
      </c>
      <c r="H768" s="4" t="s">
        <v>2436</v>
      </c>
      <c r="I768" s="4" t="s">
        <v>43</v>
      </c>
      <c r="J768" s="4" t="s">
        <v>29</v>
      </c>
      <c r="K768" s="4" t="s">
        <v>153</v>
      </c>
      <c r="L768" s="4" t="s">
        <v>960</v>
      </c>
      <c r="M768" s="4" t="s">
        <v>81</v>
      </c>
      <c r="N768" s="4" t="s">
        <v>54</v>
      </c>
      <c r="O768" s="4" t="s">
        <v>82</v>
      </c>
      <c r="P768" s="4" t="s">
        <v>88</v>
      </c>
      <c r="Q768" s="4">
        <v>8</v>
      </c>
      <c r="R768" s="4">
        <v>45867</v>
      </c>
      <c r="S768" s="5">
        <v>15</v>
      </c>
      <c r="T768" s="6">
        <f t="shared" si="33"/>
        <v>311895.59999999998</v>
      </c>
      <c r="U768" s="4">
        <v>42904.37</v>
      </c>
      <c r="V768" t="str">
        <f t="shared" si="34"/>
        <v>May</v>
      </c>
      <c r="W768">
        <f t="shared" si="35"/>
        <v>0.13756003611464865</v>
      </c>
    </row>
    <row r="769" spans="1:23" x14ac:dyDescent="0.4">
      <c r="A769" s="4" t="s">
        <v>2437</v>
      </c>
      <c r="B769" s="4" t="s">
        <v>2438</v>
      </c>
      <c r="C769" s="11">
        <v>44953</v>
      </c>
      <c r="D769" s="4" t="s">
        <v>39</v>
      </c>
      <c r="E769" s="4" t="s">
        <v>24</v>
      </c>
      <c r="F769" s="4" t="s">
        <v>40</v>
      </c>
      <c r="G769" s="4" t="s">
        <v>59</v>
      </c>
      <c r="H769" s="4" t="s">
        <v>2439</v>
      </c>
      <c r="I769" s="4" t="s">
        <v>61</v>
      </c>
      <c r="J769" s="4" t="s">
        <v>62</v>
      </c>
      <c r="K769" s="4" t="s">
        <v>153</v>
      </c>
      <c r="L769" s="4" t="s">
        <v>472</v>
      </c>
      <c r="M769" s="4" t="s">
        <v>81</v>
      </c>
      <c r="N769" s="4" t="s">
        <v>33</v>
      </c>
      <c r="O769" s="4" t="s">
        <v>120</v>
      </c>
      <c r="P769" s="4" t="s">
        <v>35</v>
      </c>
      <c r="Q769" s="4">
        <v>8</v>
      </c>
      <c r="R769" s="4">
        <v>37128</v>
      </c>
      <c r="S769" s="5">
        <v>0</v>
      </c>
      <c r="T769" s="6">
        <f t="shared" si="33"/>
        <v>297024</v>
      </c>
      <c r="U769" s="4">
        <v>52257.7</v>
      </c>
      <c r="V769" t="str">
        <f t="shared" si="34"/>
        <v>Jan</v>
      </c>
      <c r="W769">
        <f t="shared" si="35"/>
        <v>0.1759376346692523</v>
      </c>
    </row>
    <row r="770" spans="1:23" x14ac:dyDescent="0.4">
      <c r="A770" s="4" t="s">
        <v>2440</v>
      </c>
      <c r="B770" s="4" t="s">
        <v>972</v>
      </c>
      <c r="C770" s="11">
        <v>45473</v>
      </c>
      <c r="D770" s="4" t="s">
        <v>23</v>
      </c>
      <c r="E770" s="4" t="s">
        <v>24</v>
      </c>
      <c r="F770" s="4" t="s">
        <v>25</v>
      </c>
      <c r="G770" s="4" t="s">
        <v>41</v>
      </c>
      <c r="H770" s="4" t="s">
        <v>2441</v>
      </c>
      <c r="I770" s="4" t="s">
        <v>28</v>
      </c>
      <c r="J770" s="4" t="s">
        <v>29</v>
      </c>
      <c r="K770" s="4" t="s">
        <v>101</v>
      </c>
      <c r="L770" s="4" t="s">
        <v>329</v>
      </c>
      <c r="M770" s="4" t="s">
        <v>32</v>
      </c>
      <c r="N770" s="4" t="s">
        <v>54</v>
      </c>
      <c r="O770" s="4" t="s">
        <v>120</v>
      </c>
      <c r="P770" s="4" t="s">
        <v>88</v>
      </c>
      <c r="Q770" s="4">
        <v>8</v>
      </c>
      <c r="R770" s="4">
        <v>49829</v>
      </c>
      <c r="S770" s="5">
        <v>20</v>
      </c>
      <c r="T770" s="6">
        <f t="shared" si="33"/>
        <v>318905.59999999998</v>
      </c>
      <c r="U770" s="4">
        <v>-1879.08</v>
      </c>
      <c r="V770" t="str">
        <f t="shared" si="34"/>
        <v>Jun</v>
      </c>
      <c r="W770">
        <f t="shared" si="35"/>
        <v>-5.8922765859238599E-3</v>
      </c>
    </row>
    <row r="771" spans="1:23" x14ac:dyDescent="0.4">
      <c r="A771" s="4" t="s">
        <v>2442</v>
      </c>
      <c r="B771" s="4" t="s">
        <v>1874</v>
      </c>
      <c r="C771" s="11">
        <v>44870</v>
      </c>
      <c r="D771" s="4" t="s">
        <v>98</v>
      </c>
      <c r="E771" s="4" t="s">
        <v>24</v>
      </c>
      <c r="F771" s="4" t="s">
        <v>25</v>
      </c>
      <c r="G771" s="4" t="s">
        <v>26</v>
      </c>
      <c r="H771" s="4" t="s">
        <v>2443</v>
      </c>
      <c r="I771" s="4" t="s">
        <v>43</v>
      </c>
      <c r="J771" s="4" t="s">
        <v>29</v>
      </c>
      <c r="K771" s="4" t="s">
        <v>153</v>
      </c>
      <c r="L771" s="4" t="s">
        <v>808</v>
      </c>
      <c r="M771" s="4" t="s">
        <v>65</v>
      </c>
      <c r="N771" s="4" t="s">
        <v>33</v>
      </c>
      <c r="O771" s="4" t="s">
        <v>120</v>
      </c>
      <c r="P771" s="4" t="s">
        <v>35</v>
      </c>
      <c r="Q771" s="4">
        <v>1</v>
      </c>
      <c r="R771" s="4">
        <v>49318</v>
      </c>
      <c r="S771" s="5">
        <v>20</v>
      </c>
      <c r="T771" s="6">
        <f t="shared" ref="T771:T834" si="36">Q771*R771*(100-S771)/100</f>
        <v>39454.400000000001</v>
      </c>
      <c r="U771" s="4">
        <v>854.52</v>
      </c>
      <c r="V771" t="str">
        <f t="shared" ref="V771:V834" si="37">TEXT(B771,"MMM")</f>
        <v>Nov</v>
      </c>
      <c r="W771">
        <f t="shared" ref="W771:W834" si="38">U771/T771</f>
        <v>2.1658420860537732E-2</v>
      </c>
    </row>
    <row r="772" spans="1:23" x14ac:dyDescent="0.4">
      <c r="A772" s="4" t="s">
        <v>2444</v>
      </c>
      <c r="B772" s="4" t="s">
        <v>1683</v>
      </c>
      <c r="C772" s="11">
        <v>44921</v>
      </c>
      <c r="D772" s="4" t="s">
        <v>23</v>
      </c>
      <c r="E772" s="4" t="s">
        <v>24</v>
      </c>
      <c r="F772" s="4" t="s">
        <v>25</v>
      </c>
      <c r="G772" s="4" t="s">
        <v>92</v>
      </c>
      <c r="H772" s="4" t="s">
        <v>2445</v>
      </c>
      <c r="I772" s="4" t="s">
        <v>28</v>
      </c>
      <c r="J772" s="4" t="s">
        <v>29</v>
      </c>
      <c r="K772" s="4" t="s">
        <v>101</v>
      </c>
      <c r="L772" s="4" t="s">
        <v>530</v>
      </c>
      <c r="M772" s="4" t="s">
        <v>32</v>
      </c>
      <c r="N772" s="4" t="s">
        <v>33</v>
      </c>
      <c r="O772" s="4" t="s">
        <v>66</v>
      </c>
      <c r="P772" s="4" t="s">
        <v>35</v>
      </c>
      <c r="Q772" s="4">
        <v>1</v>
      </c>
      <c r="R772" s="4">
        <v>11092</v>
      </c>
      <c r="S772" s="5">
        <v>20</v>
      </c>
      <c r="T772" s="6">
        <f t="shared" si="36"/>
        <v>8873.6</v>
      </c>
      <c r="U772" s="4">
        <v>-1553.66</v>
      </c>
      <c r="V772" t="str">
        <f t="shared" si="37"/>
        <v>Dec</v>
      </c>
      <c r="W772">
        <f t="shared" si="38"/>
        <v>-0.17508790119004689</v>
      </c>
    </row>
    <row r="773" spans="1:23" x14ac:dyDescent="0.4">
      <c r="A773" s="4" t="s">
        <v>2446</v>
      </c>
      <c r="B773" s="4" t="s">
        <v>1551</v>
      </c>
      <c r="C773" s="11">
        <v>44777</v>
      </c>
      <c r="D773" s="4" t="s">
        <v>124</v>
      </c>
      <c r="E773" s="4" t="s">
        <v>24</v>
      </c>
      <c r="F773" s="4" t="s">
        <v>70</v>
      </c>
      <c r="G773" s="4" t="s">
        <v>41</v>
      </c>
      <c r="H773" s="4" t="s">
        <v>2447</v>
      </c>
      <c r="I773" s="4" t="s">
        <v>43</v>
      </c>
      <c r="J773" s="4" t="s">
        <v>29</v>
      </c>
      <c r="K773" s="4" t="s">
        <v>63</v>
      </c>
      <c r="L773" s="4" t="s">
        <v>348</v>
      </c>
      <c r="M773" s="4" t="s">
        <v>73</v>
      </c>
      <c r="N773" s="4" t="s">
        <v>33</v>
      </c>
      <c r="O773" s="4" t="s">
        <v>82</v>
      </c>
      <c r="P773" s="4" t="s">
        <v>35</v>
      </c>
      <c r="Q773" s="4">
        <v>4</v>
      </c>
      <c r="R773" s="4">
        <v>6249</v>
      </c>
      <c r="S773" s="5">
        <v>15</v>
      </c>
      <c r="T773" s="6">
        <f t="shared" si="36"/>
        <v>21246.6</v>
      </c>
      <c r="U773" s="4">
        <v>1508.51</v>
      </c>
      <c r="V773" t="str">
        <f t="shared" si="37"/>
        <v>Jul</v>
      </c>
      <c r="W773">
        <f t="shared" si="38"/>
        <v>7.1000065892895814E-2</v>
      </c>
    </row>
    <row r="774" spans="1:23" x14ac:dyDescent="0.4">
      <c r="A774" s="4" t="s">
        <v>2448</v>
      </c>
      <c r="B774" s="4" t="s">
        <v>1739</v>
      </c>
      <c r="C774" s="11">
        <v>44858</v>
      </c>
      <c r="D774" s="4" t="s">
        <v>39</v>
      </c>
      <c r="E774" s="4" t="s">
        <v>24</v>
      </c>
      <c r="F774" s="4" t="s">
        <v>70</v>
      </c>
      <c r="G774" s="4" t="s">
        <v>41</v>
      </c>
      <c r="H774" s="4" t="s">
        <v>2449</v>
      </c>
      <c r="I774" s="4" t="s">
        <v>61</v>
      </c>
      <c r="J774" s="4" t="s">
        <v>79</v>
      </c>
      <c r="K774" s="4" t="s">
        <v>63</v>
      </c>
      <c r="L774" s="4" t="s">
        <v>729</v>
      </c>
      <c r="M774" s="4" t="s">
        <v>53</v>
      </c>
      <c r="N774" s="4" t="s">
        <v>33</v>
      </c>
      <c r="O774" s="4" t="s">
        <v>34</v>
      </c>
      <c r="P774" s="4" t="s">
        <v>74</v>
      </c>
      <c r="Q774" s="4">
        <v>7</v>
      </c>
      <c r="R774" s="4">
        <v>32992</v>
      </c>
      <c r="S774" s="5">
        <v>15</v>
      </c>
      <c r="T774" s="6">
        <f t="shared" si="36"/>
        <v>196302.4</v>
      </c>
      <c r="U774" s="4">
        <v>-6314.16</v>
      </c>
      <c r="V774" t="str">
        <f t="shared" si="37"/>
        <v>Oct</v>
      </c>
      <c r="W774">
        <f t="shared" si="38"/>
        <v>-3.216547530748478E-2</v>
      </c>
    </row>
    <row r="775" spans="1:23" x14ac:dyDescent="0.4">
      <c r="A775" s="4" t="s">
        <v>2450</v>
      </c>
      <c r="B775" s="4" t="s">
        <v>2125</v>
      </c>
      <c r="C775" s="11">
        <v>44572</v>
      </c>
      <c r="D775" s="4" t="s">
        <v>98</v>
      </c>
      <c r="E775" s="4" t="s">
        <v>24</v>
      </c>
      <c r="F775" s="4" t="s">
        <v>70</v>
      </c>
      <c r="G775" s="4" t="s">
        <v>26</v>
      </c>
      <c r="H775" s="4" t="s">
        <v>2451</v>
      </c>
      <c r="I775" s="4" t="s">
        <v>28</v>
      </c>
      <c r="J775" s="4" t="s">
        <v>29</v>
      </c>
      <c r="K775" s="4" t="s">
        <v>44</v>
      </c>
      <c r="L775" s="4" t="s">
        <v>1214</v>
      </c>
      <c r="M775" s="4" t="s">
        <v>81</v>
      </c>
      <c r="N775" s="4" t="s">
        <v>33</v>
      </c>
      <c r="O775" s="4" t="s">
        <v>82</v>
      </c>
      <c r="P775" s="4" t="s">
        <v>88</v>
      </c>
      <c r="Q775" s="4">
        <v>2</v>
      </c>
      <c r="R775" s="4">
        <v>29310</v>
      </c>
      <c r="S775" s="5">
        <v>0</v>
      </c>
      <c r="T775" s="6">
        <f t="shared" si="36"/>
        <v>58620</v>
      </c>
      <c r="U775" s="4">
        <v>15190.76</v>
      </c>
      <c r="V775" t="str">
        <f t="shared" si="37"/>
        <v>Jan</v>
      </c>
      <c r="W775">
        <f t="shared" si="38"/>
        <v>0.25913954281815083</v>
      </c>
    </row>
    <row r="776" spans="1:23" x14ac:dyDescent="0.4">
      <c r="A776" s="4" t="s">
        <v>2452</v>
      </c>
      <c r="B776" s="4" t="s">
        <v>537</v>
      </c>
      <c r="C776" s="11">
        <v>45096</v>
      </c>
      <c r="D776" s="4" t="s">
        <v>124</v>
      </c>
      <c r="E776" s="4" t="s">
        <v>24</v>
      </c>
      <c r="F776" s="4" t="s">
        <v>40</v>
      </c>
      <c r="G776" s="4" t="s">
        <v>41</v>
      </c>
      <c r="H776" s="4" t="s">
        <v>2453</v>
      </c>
      <c r="I776" s="4" t="s">
        <v>43</v>
      </c>
      <c r="J776" s="4" t="s">
        <v>79</v>
      </c>
      <c r="K776" s="4" t="s">
        <v>63</v>
      </c>
      <c r="L776" s="4" t="s">
        <v>110</v>
      </c>
      <c r="M776" s="4" t="s">
        <v>53</v>
      </c>
      <c r="N776" s="4" t="s">
        <v>54</v>
      </c>
      <c r="O776" s="4" t="s">
        <v>46</v>
      </c>
      <c r="P776" s="4" t="s">
        <v>35</v>
      </c>
      <c r="Q776" s="4">
        <v>10</v>
      </c>
      <c r="R776" s="4">
        <v>43388</v>
      </c>
      <c r="S776" s="5">
        <v>5</v>
      </c>
      <c r="T776" s="6">
        <f t="shared" si="36"/>
        <v>412186</v>
      </c>
      <c r="U776" s="4">
        <v>98742.1</v>
      </c>
      <c r="V776" t="str">
        <f t="shared" si="37"/>
        <v>Jun</v>
      </c>
      <c r="W776">
        <f t="shared" si="38"/>
        <v>0.23955714167875669</v>
      </c>
    </row>
    <row r="777" spans="1:23" x14ac:dyDescent="0.4">
      <c r="A777" s="4" t="s">
        <v>2454</v>
      </c>
      <c r="B777" s="4" t="s">
        <v>1664</v>
      </c>
      <c r="C777" s="11">
        <v>44959</v>
      </c>
      <c r="D777" s="4" t="s">
        <v>124</v>
      </c>
      <c r="E777" s="4" t="s">
        <v>24</v>
      </c>
      <c r="F777" s="4" t="s">
        <v>40</v>
      </c>
      <c r="G777" s="4" t="s">
        <v>41</v>
      </c>
      <c r="H777" s="4" t="s">
        <v>2455</v>
      </c>
      <c r="I777" s="4" t="s">
        <v>43</v>
      </c>
      <c r="J777" s="4" t="s">
        <v>62</v>
      </c>
      <c r="K777" s="4" t="s">
        <v>44</v>
      </c>
      <c r="L777" s="4" t="s">
        <v>757</v>
      </c>
      <c r="M777" s="4" t="s">
        <v>95</v>
      </c>
      <c r="N777" s="4" t="s">
        <v>54</v>
      </c>
      <c r="O777" s="4" t="s">
        <v>46</v>
      </c>
      <c r="P777" s="4" t="s">
        <v>47</v>
      </c>
      <c r="Q777" s="4">
        <v>5</v>
      </c>
      <c r="R777" s="4">
        <v>46777</v>
      </c>
      <c r="S777" s="5">
        <v>20</v>
      </c>
      <c r="T777" s="6">
        <f t="shared" si="36"/>
        <v>187108</v>
      </c>
      <c r="U777" s="4">
        <v>-14114.09</v>
      </c>
      <c r="V777" t="str">
        <f t="shared" si="37"/>
        <v>Jan</v>
      </c>
      <c r="W777">
        <f t="shared" si="38"/>
        <v>-7.5432851615109986E-2</v>
      </c>
    </row>
    <row r="778" spans="1:23" x14ac:dyDescent="0.4">
      <c r="A778" s="4" t="s">
        <v>2456</v>
      </c>
      <c r="B778" s="4" t="s">
        <v>205</v>
      </c>
      <c r="C778" s="11">
        <v>44947</v>
      </c>
      <c r="D778" s="4" t="s">
        <v>23</v>
      </c>
      <c r="E778" s="4" t="s">
        <v>24</v>
      </c>
      <c r="F778" s="4" t="s">
        <v>70</v>
      </c>
      <c r="G778" s="4" t="s">
        <v>26</v>
      </c>
      <c r="H778" s="4" t="s">
        <v>2457</v>
      </c>
      <c r="I778" s="4" t="s">
        <v>61</v>
      </c>
      <c r="J778" s="4" t="s">
        <v>29</v>
      </c>
      <c r="K778" s="4" t="s">
        <v>63</v>
      </c>
      <c r="L778" s="4" t="s">
        <v>610</v>
      </c>
      <c r="M778" s="4" t="s">
        <v>73</v>
      </c>
      <c r="N778" s="4" t="s">
        <v>33</v>
      </c>
      <c r="O778" s="4" t="s">
        <v>120</v>
      </c>
      <c r="P778" s="4" t="s">
        <v>88</v>
      </c>
      <c r="Q778" s="4">
        <v>4</v>
      </c>
      <c r="R778" s="4">
        <v>45129</v>
      </c>
      <c r="S778" s="5">
        <v>20</v>
      </c>
      <c r="T778" s="6">
        <f t="shared" si="36"/>
        <v>144412.79999999999</v>
      </c>
      <c r="U778" s="4">
        <v>8527.2099999999991</v>
      </c>
      <c r="V778" t="str">
        <f t="shared" si="37"/>
        <v>Jan</v>
      </c>
      <c r="W778">
        <f t="shared" si="38"/>
        <v>5.9047466706552323E-2</v>
      </c>
    </row>
    <row r="779" spans="1:23" x14ac:dyDescent="0.4">
      <c r="A779" s="4" t="s">
        <v>2458</v>
      </c>
      <c r="B779" s="4" t="s">
        <v>2459</v>
      </c>
      <c r="C779" s="11">
        <v>45417</v>
      </c>
      <c r="D779" s="4" t="s">
        <v>98</v>
      </c>
      <c r="E779" s="4" t="s">
        <v>24</v>
      </c>
      <c r="F779" s="4" t="s">
        <v>70</v>
      </c>
      <c r="G779" s="4" t="s">
        <v>41</v>
      </c>
      <c r="H779" s="4" t="s">
        <v>2460</v>
      </c>
      <c r="I779" s="4" t="s">
        <v>28</v>
      </c>
      <c r="J779" s="4" t="s">
        <v>62</v>
      </c>
      <c r="K779" s="4" t="s">
        <v>63</v>
      </c>
      <c r="L779" s="4" t="s">
        <v>414</v>
      </c>
      <c r="M779" s="4" t="s">
        <v>95</v>
      </c>
      <c r="N779" s="4" t="s">
        <v>33</v>
      </c>
      <c r="O779" s="4" t="s">
        <v>66</v>
      </c>
      <c r="P779" s="4" t="s">
        <v>35</v>
      </c>
      <c r="Q779" s="4">
        <v>6</v>
      </c>
      <c r="R779" s="4">
        <v>48505</v>
      </c>
      <c r="S779" s="5">
        <v>10</v>
      </c>
      <c r="T779" s="6">
        <f t="shared" si="36"/>
        <v>261927</v>
      </c>
      <c r="U779" s="4">
        <v>611.70000000000005</v>
      </c>
      <c r="V779" t="str">
        <f t="shared" si="37"/>
        <v>May</v>
      </c>
      <c r="W779">
        <f t="shared" si="38"/>
        <v>2.3353835228899656E-3</v>
      </c>
    </row>
    <row r="780" spans="1:23" x14ac:dyDescent="0.4">
      <c r="A780" s="4" t="s">
        <v>2461</v>
      </c>
      <c r="B780" s="4" t="s">
        <v>2016</v>
      </c>
      <c r="C780" s="11">
        <v>44899</v>
      </c>
      <c r="D780" s="4" t="s">
        <v>98</v>
      </c>
      <c r="E780" s="4" t="s">
        <v>24</v>
      </c>
      <c r="F780" s="4" t="s">
        <v>26</v>
      </c>
      <c r="G780" s="4" t="s">
        <v>41</v>
      </c>
      <c r="H780" s="4" t="s">
        <v>2462</v>
      </c>
      <c r="I780" s="4" t="s">
        <v>61</v>
      </c>
      <c r="J780" s="4" t="s">
        <v>79</v>
      </c>
      <c r="K780" s="4" t="s">
        <v>63</v>
      </c>
      <c r="L780" s="4" t="s">
        <v>352</v>
      </c>
      <c r="M780" s="4" t="s">
        <v>65</v>
      </c>
      <c r="N780" s="4" t="s">
        <v>54</v>
      </c>
      <c r="O780" s="4" t="s">
        <v>120</v>
      </c>
      <c r="P780" s="4" t="s">
        <v>47</v>
      </c>
      <c r="Q780" s="4">
        <v>3</v>
      </c>
      <c r="R780" s="4">
        <v>31382</v>
      </c>
      <c r="S780" s="5">
        <v>5</v>
      </c>
      <c r="T780" s="6">
        <f t="shared" si="36"/>
        <v>89438.7</v>
      </c>
      <c r="U780" s="4">
        <v>17027.72</v>
      </c>
      <c r="V780" t="str">
        <f t="shared" si="37"/>
        <v>Dec</v>
      </c>
      <c r="W780">
        <f t="shared" si="38"/>
        <v>0.19038425200724074</v>
      </c>
    </row>
    <row r="781" spans="1:23" x14ac:dyDescent="0.4">
      <c r="A781" s="4" t="s">
        <v>2463</v>
      </c>
      <c r="B781" s="4" t="s">
        <v>2195</v>
      </c>
      <c r="C781" s="11">
        <v>45557</v>
      </c>
      <c r="D781" s="4" t="s">
        <v>39</v>
      </c>
      <c r="E781" s="4" t="s">
        <v>24</v>
      </c>
      <c r="F781" s="4" t="s">
        <v>25</v>
      </c>
      <c r="G781" s="4" t="s">
        <v>26</v>
      </c>
      <c r="H781" s="4" t="s">
        <v>2464</v>
      </c>
      <c r="I781" s="4" t="s">
        <v>43</v>
      </c>
      <c r="J781" s="4" t="s">
        <v>62</v>
      </c>
      <c r="K781" s="4" t="s">
        <v>44</v>
      </c>
      <c r="L781" s="4" t="s">
        <v>960</v>
      </c>
      <c r="M781" s="4" t="s">
        <v>73</v>
      </c>
      <c r="N781" s="4" t="s">
        <v>54</v>
      </c>
      <c r="O781" s="4" t="s">
        <v>82</v>
      </c>
      <c r="P781" s="4" t="s">
        <v>47</v>
      </c>
      <c r="Q781" s="4">
        <v>7</v>
      </c>
      <c r="R781" s="4">
        <v>31851</v>
      </c>
      <c r="S781" s="5">
        <v>5</v>
      </c>
      <c r="T781" s="6">
        <f t="shared" si="36"/>
        <v>211809.15</v>
      </c>
      <c r="U781" s="4">
        <v>17499.37</v>
      </c>
      <c r="V781" t="str">
        <f t="shared" si="37"/>
        <v>Sep</v>
      </c>
      <c r="W781">
        <f t="shared" si="38"/>
        <v>8.2618574315604404E-2</v>
      </c>
    </row>
    <row r="782" spans="1:23" x14ac:dyDescent="0.4">
      <c r="A782" s="4" t="s">
        <v>2465</v>
      </c>
      <c r="B782" s="4" t="s">
        <v>1198</v>
      </c>
      <c r="C782" s="11">
        <v>45568</v>
      </c>
      <c r="D782" s="4" t="s">
        <v>124</v>
      </c>
      <c r="E782" s="4" t="s">
        <v>24</v>
      </c>
      <c r="F782" s="4" t="s">
        <v>26</v>
      </c>
      <c r="G782" s="4" t="s">
        <v>99</v>
      </c>
      <c r="H782" s="4" t="s">
        <v>2466</v>
      </c>
      <c r="I782" s="4" t="s">
        <v>61</v>
      </c>
      <c r="J782" s="4" t="s">
        <v>29</v>
      </c>
      <c r="K782" s="4" t="s">
        <v>44</v>
      </c>
      <c r="L782" s="4" t="s">
        <v>627</v>
      </c>
      <c r="M782" s="4" t="s">
        <v>53</v>
      </c>
      <c r="N782" s="4" t="s">
        <v>54</v>
      </c>
      <c r="O782" s="4" t="s">
        <v>66</v>
      </c>
      <c r="P782" s="4" t="s">
        <v>88</v>
      </c>
      <c r="Q782" s="4">
        <v>10</v>
      </c>
      <c r="R782" s="4">
        <v>21577</v>
      </c>
      <c r="S782" s="5">
        <v>5</v>
      </c>
      <c r="T782" s="6">
        <f t="shared" si="36"/>
        <v>204981.5</v>
      </c>
      <c r="U782" s="4">
        <v>48433.37</v>
      </c>
      <c r="V782" t="str">
        <f t="shared" si="37"/>
        <v>Sep</v>
      </c>
      <c r="W782">
        <f t="shared" si="38"/>
        <v>0.23628166444288876</v>
      </c>
    </row>
    <row r="783" spans="1:23" x14ac:dyDescent="0.4">
      <c r="A783" s="4" t="s">
        <v>2467</v>
      </c>
      <c r="B783" s="4" t="s">
        <v>2468</v>
      </c>
      <c r="C783" s="11">
        <v>45519</v>
      </c>
      <c r="D783" s="4" t="s">
        <v>124</v>
      </c>
      <c r="E783" s="4" t="s">
        <v>24</v>
      </c>
      <c r="F783" s="4" t="s">
        <v>26</v>
      </c>
      <c r="G783" s="4" t="s">
        <v>99</v>
      </c>
      <c r="H783" s="4" t="s">
        <v>2469</v>
      </c>
      <c r="I783" s="4" t="s">
        <v>28</v>
      </c>
      <c r="J783" s="4" t="s">
        <v>79</v>
      </c>
      <c r="K783" s="4" t="s">
        <v>30</v>
      </c>
      <c r="L783" s="4" t="s">
        <v>2470</v>
      </c>
      <c r="M783" s="4" t="s">
        <v>53</v>
      </c>
      <c r="N783" s="4" t="s">
        <v>54</v>
      </c>
      <c r="O783" s="4" t="s">
        <v>66</v>
      </c>
      <c r="P783" s="4" t="s">
        <v>47</v>
      </c>
      <c r="Q783" s="4">
        <v>9</v>
      </c>
      <c r="R783" s="4">
        <v>5562</v>
      </c>
      <c r="S783" s="5">
        <v>5</v>
      </c>
      <c r="T783" s="6">
        <f t="shared" si="36"/>
        <v>47555.1</v>
      </c>
      <c r="U783" s="4">
        <v>417.57</v>
      </c>
      <c r="V783" t="str">
        <f t="shared" si="37"/>
        <v>Aug</v>
      </c>
      <c r="W783">
        <f t="shared" si="38"/>
        <v>8.7807616848666076E-3</v>
      </c>
    </row>
    <row r="784" spans="1:23" x14ac:dyDescent="0.4">
      <c r="A784" s="4" t="s">
        <v>2471</v>
      </c>
      <c r="B784" s="4" t="s">
        <v>650</v>
      </c>
      <c r="C784" s="11">
        <v>45047</v>
      </c>
      <c r="D784" s="4" t="s">
        <v>23</v>
      </c>
      <c r="E784" s="4" t="s">
        <v>24</v>
      </c>
      <c r="F784" s="4" t="s">
        <v>25</v>
      </c>
      <c r="G784" s="4" t="s">
        <v>59</v>
      </c>
      <c r="H784" s="4" t="s">
        <v>1054</v>
      </c>
      <c r="I784" s="4" t="s">
        <v>28</v>
      </c>
      <c r="J784" s="4" t="s">
        <v>62</v>
      </c>
      <c r="K784" s="4" t="s">
        <v>44</v>
      </c>
      <c r="L784" s="4" t="s">
        <v>237</v>
      </c>
      <c r="M784" s="4" t="s">
        <v>65</v>
      </c>
      <c r="N784" s="4" t="s">
        <v>54</v>
      </c>
      <c r="O784" s="4" t="s">
        <v>120</v>
      </c>
      <c r="P784" s="4" t="s">
        <v>74</v>
      </c>
      <c r="Q784" s="4">
        <v>6</v>
      </c>
      <c r="R784" s="4">
        <v>3630</v>
      </c>
      <c r="S784" s="5">
        <v>20</v>
      </c>
      <c r="T784" s="6">
        <f t="shared" si="36"/>
        <v>17424</v>
      </c>
      <c r="U784" s="4">
        <v>1235.46</v>
      </c>
      <c r="V784" t="str">
        <f t="shared" si="37"/>
        <v>Apr</v>
      </c>
      <c r="W784">
        <f t="shared" si="38"/>
        <v>7.0905647382920114E-2</v>
      </c>
    </row>
    <row r="785" spans="1:23" x14ac:dyDescent="0.4">
      <c r="A785" s="4" t="s">
        <v>2472</v>
      </c>
      <c r="B785" s="4" t="s">
        <v>1548</v>
      </c>
      <c r="C785" s="11">
        <v>44655</v>
      </c>
      <c r="D785" s="4" t="s">
        <v>23</v>
      </c>
      <c r="E785" s="4" t="s">
        <v>24</v>
      </c>
      <c r="F785" s="4" t="s">
        <v>40</v>
      </c>
      <c r="G785" s="4" t="s">
        <v>41</v>
      </c>
      <c r="H785" s="4" t="s">
        <v>2473</v>
      </c>
      <c r="I785" s="4" t="s">
        <v>61</v>
      </c>
      <c r="J785" s="4" t="s">
        <v>79</v>
      </c>
      <c r="K785" s="4" t="s">
        <v>153</v>
      </c>
      <c r="L785" s="4" t="s">
        <v>119</v>
      </c>
      <c r="M785" s="4" t="s">
        <v>81</v>
      </c>
      <c r="N785" s="4" t="s">
        <v>54</v>
      </c>
      <c r="O785" s="4" t="s">
        <v>120</v>
      </c>
      <c r="P785" s="4" t="s">
        <v>47</v>
      </c>
      <c r="Q785" s="4">
        <v>3</v>
      </c>
      <c r="R785" s="4">
        <v>45847</v>
      </c>
      <c r="S785" s="5">
        <v>10</v>
      </c>
      <c r="T785" s="6">
        <f t="shared" si="36"/>
        <v>123786.9</v>
      </c>
      <c r="U785" s="4">
        <v>10711.55</v>
      </c>
      <c r="V785" t="str">
        <f t="shared" si="37"/>
        <v>Mar</v>
      </c>
      <c r="W785">
        <f t="shared" si="38"/>
        <v>8.653217747596878E-2</v>
      </c>
    </row>
    <row r="786" spans="1:23" x14ac:dyDescent="0.4">
      <c r="A786" s="4" t="s">
        <v>2474</v>
      </c>
      <c r="B786" s="4" t="s">
        <v>854</v>
      </c>
      <c r="C786" s="11">
        <v>44569</v>
      </c>
      <c r="D786" s="4" t="s">
        <v>124</v>
      </c>
      <c r="E786" s="4" t="s">
        <v>24</v>
      </c>
      <c r="F786" s="4" t="s">
        <v>70</v>
      </c>
      <c r="G786" s="4" t="s">
        <v>99</v>
      </c>
      <c r="H786" s="4" t="s">
        <v>2475</v>
      </c>
      <c r="I786" s="4" t="s">
        <v>43</v>
      </c>
      <c r="J786" s="4" t="s">
        <v>62</v>
      </c>
      <c r="K786" s="4" t="s">
        <v>153</v>
      </c>
      <c r="L786" s="4" t="s">
        <v>52</v>
      </c>
      <c r="M786" s="4" t="s">
        <v>73</v>
      </c>
      <c r="N786" s="4" t="s">
        <v>54</v>
      </c>
      <c r="O786" s="4" t="s">
        <v>120</v>
      </c>
      <c r="P786" s="4" t="s">
        <v>88</v>
      </c>
      <c r="Q786" s="4">
        <v>3</v>
      </c>
      <c r="R786" s="4">
        <v>47511</v>
      </c>
      <c r="S786" s="5">
        <v>15</v>
      </c>
      <c r="T786" s="6">
        <f t="shared" si="36"/>
        <v>121153.05</v>
      </c>
      <c r="U786" s="4">
        <v>-12807.91</v>
      </c>
      <c r="V786" t="str">
        <f t="shared" si="37"/>
        <v>Jan</v>
      </c>
      <c r="W786">
        <f t="shared" si="38"/>
        <v>-0.10571677724993303</v>
      </c>
    </row>
    <row r="787" spans="1:23" x14ac:dyDescent="0.4">
      <c r="A787" s="4" t="s">
        <v>2476</v>
      </c>
      <c r="B787" s="4" t="s">
        <v>2430</v>
      </c>
      <c r="C787" s="11">
        <v>45234</v>
      </c>
      <c r="D787" s="4" t="s">
        <v>23</v>
      </c>
      <c r="E787" s="4" t="s">
        <v>24</v>
      </c>
      <c r="F787" s="4" t="s">
        <v>70</v>
      </c>
      <c r="G787" s="4" t="s">
        <v>92</v>
      </c>
      <c r="H787" s="4" t="s">
        <v>2477</v>
      </c>
      <c r="I787" s="4" t="s">
        <v>43</v>
      </c>
      <c r="J787" s="4" t="s">
        <v>29</v>
      </c>
      <c r="K787" s="4" t="s">
        <v>44</v>
      </c>
      <c r="L787" s="4" t="s">
        <v>287</v>
      </c>
      <c r="M787" s="4" t="s">
        <v>73</v>
      </c>
      <c r="N787" s="4" t="s">
        <v>33</v>
      </c>
      <c r="O787" s="4" t="s">
        <v>66</v>
      </c>
      <c r="P787" s="4" t="s">
        <v>47</v>
      </c>
      <c r="Q787" s="4">
        <v>2</v>
      </c>
      <c r="R787" s="4">
        <v>23482</v>
      </c>
      <c r="S787" s="5">
        <v>20</v>
      </c>
      <c r="T787" s="6">
        <f t="shared" si="36"/>
        <v>37571.199999999997</v>
      </c>
      <c r="U787" s="4">
        <v>2267.65</v>
      </c>
      <c r="V787" t="str">
        <f t="shared" si="37"/>
        <v>Nov</v>
      </c>
      <c r="W787">
        <f t="shared" si="38"/>
        <v>6.0356070607273667E-2</v>
      </c>
    </row>
    <row r="788" spans="1:23" x14ac:dyDescent="0.4">
      <c r="A788" s="4" t="s">
        <v>2478</v>
      </c>
      <c r="B788" s="4" t="s">
        <v>463</v>
      </c>
      <c r="C788" s="11">
        <v>45009</v>
      </c>
      <c r="D788" s="4" t="s">
        <v>124</v>
      </c>
      <c r="E788" s="4" t="s">
        <v>24</v>
      </c>
      <c r="F788" s="4" t="s">
        <v>58</v>
      </c>
      <c r="G788" s="4" t="s">
        <v>41</v>
      </c>
      <c r="H788" s="4" t="s">
        <v>2479</v>
      </c>
      <c r="I788" s="4" t="s">
        <v>28</v>
      </c>
      <c r="J788" s="4" t="s">
        <v>79</v>
      </c>
      <c r="K788" s="4" t="s">
        <v>86</v>
      </c>
      <c r="L788" s="4" t="s">
        <v>1701</v>
      </c>
      <c r="M788" s="4" t="s">
        <v>73</v>
      </c>
      <c r="N788" s="4" t="s">
        <v>54</v>
      </c>
      <c r="O788" s="4" t="s">
        <v>120</v>
      </c>
      <c r="P788" s="4" t="s">
        <v>35</v>
      </c>
      <c r="Q788" s="4">
        <v>10</v>
      </c>
      <c r="R788" s="4">
        <v>46043</v>
      </c>
      <c r="S788" s="5">
        <v>5</v>
      </c>
      <c r="T788" s="6">
        <f t="shared" si="36"/>
        <v>437408.5</v>
      </c>
      <c r="U788" s="4">
        <v>573.63</v>
      </c>
      <c r="V788" t="str">
        <f t="shared" si="37"/>
        <v>Mar</v>
      </c>
      <c r="W788">
        <f t="shared" si="38"/>
        <v>1.3114285616306039E-3</v>
      </c>
    </row>
    <row r="789" spans="1:23" x14ac:dyDescent="0.4">
      <c r="A789" s="4" t="s">
        <v>2480</v>
      </c>
      <c r="B789" s="4" t="s">
        <v>446</v>
      </c>
      <c r="C789" s="11">
        <v>45122</v>
      </c>
      <c r="D789" s="4" t="s">
        <v>39</v>
      </c>
      <c r="E789" s="4" t="s">
        <v>24</v>
      </c>
      <c r="F789" s="4" t="s">
        <v>58</v>
      </c>
      <c r="G789" s="4" t="s">
        <v>59</v>
      </c>
      <c r="H789" s="4" t="s">
        <v>2481</v>
      </c>
      <c r="I789" s="4" t="s">
        <v>28</v>
      </c>
      <c r="J789" s="4" t="s">
        <v>62</v>
      </c>
      <c r="K789" s="4" t="s">
        <v>153</v>
      </c>
      <c r="L789" s="4" t="s">
        <v>2433</v>
      </c>
      <c r="M789" s="4" t="s">
        <v>73</v>
      </c>
      <c r="N789" s="4" t="s">
        <v>33</v>
      </c>
      <c r="O789" s="4" t="s">
        <v>46</v>
      </c>
      <c r="P789" s="4" t="s">
        <v>35</v>
      </c>
      <c r="Q789" s="4">
        <v>4</v>
      </c>
      <c r="R789" s="4">
        <v>8364</v>
      </c>
      <c r="S789" s="5">
        <v>5</v>
      </c>
      <c r="T789" s="6">
        <f t="shared" si="36"/>
        <v>31783.200000000001</v>
      </c>
      <c r="U789" s="4">
        <v>4949.0600000000004</v>
      </c>
      <c r="V789" t="str">
        <f t="shared" si="37"/>
        <v>Jul</v>
      </c>
      <c r="W789">
        <f t="shared" si="38"/>
        <v>0.15571308112461932</v>
      </c>
    </row>
    <row r="790" spans="1:23" x14ac:dyDescent="0.4">
      <c r="A790" s="4" t="s">
        <v>2482</v>
      </c>
      <c r="B790" s="4" t="s">
        <v>1732</v>
      </c>
      <c r="C790" s="11">
        <v>44683</v>
      </c>
      <c r="D790" s="4" t="s">
        <v>124</v>
      </c>
      <c r="E790" s="4" t="s">
        <v>24</v>
      </c>
      <c r="F790" s="4" t="s">
        <v>25</v>
      </c>
      <c r="G790" s="4" t="s">
        <v>99</v>
      </c>
      <c r="H790" s="4" t="s">
        <v>2483</v>
      </c>
      <c r="I790" s="4" t="s">
        <v>43</v>
      </c>
      <c r="J790" s="4" t="s">
        <v>79</v>
      </c>
      <c r="K790" s="4" t="s">
        <v>63</v>
      </c>
      <c r="L790" s="4" t="s">
        <v>636</v>
      </c>
      <c r="M790" s="4" t="s">
        <v>65</v>
      </c>
      <c r="N790" s="4" t="s">
        <v>54</v>
      </c>
      <c r="O790" s="4" t="s">
        <v>34</v>
      </c>
      <c r="P790" s="4" t="s">
        <v>47</v>
      </c>
      <c r="Q790" s="4">
        <v>8</v>
      </c>
      <c r="R790" s="4">
        <v>48482</v>
      </c>
      <c r="S790" s="5">
        <v>10</v>
      </c>
      <c r="T790" s="6">
        <f t="shared" si="36"/>
        <v>349070.4</v>
      </c>
      <c r="U790" s="4">
        <v>13784.33</v>
      </c>
      <c r="V790" t="str">
        <f t="shared" si="37"/>
        <v>Apr</v>
      </c>
      <c r="W790">
        <f t="shared" si="38"/>
        <v>3.9488681939230594E-2</v>
      </c>
    </row>
    <row r="791" spans="1:23" x14ac:dyDescent="0.4">
      <c r="A791" s="4" t="s">
        <v>2484</v>
      </c>
      <c r="B791" s="4" t="s">
        <v>1276</v>
      </c>
      <c r="C791" s="11">
        <v>44829</v>
      </c>
      <c r="D791" s="4" t="s">
        <v>23</v>
      </c>
      <c r="E791" s="4" t="s">
        <v>24</v>
      </c>
      <c r="F791" s="4" t="s">
        <v>25</v>
      </c>
      <c r="G791" s="4" t="s">
        <v>26</v>
      </c>
      <c r="H791" s="4" t="s">
        <v>2485</v>
      </c>
      <c r="I791" s="4" t="s">
        <v>43</v>
      </c>
      <c r="J791" s="4" t="s">
        <v>29</v>
      </c>
      <c r="K791" s="4" t="s">
        <v>101</v>
      </c>
      <c r="L791" s="4" t="s">
        <v>2433</v>
      </c>
      <c r="M791" s="4" t="s">
        <v>73</v>
      </c>
      <c r="N791" s="4" t="s">
        <v>33</v>
      </c>
      <c r="O791" s="4" t="s">
        <v>46</v>
      </c>
      <c r="P791" s="4" t="s">
        <v>88</v>
      </c>
      <c r="Q791" s="4">
        <v>8</v>
      </c>
      <c r="R791" s="4">
        <v>11811</v>
      </c>
      <c r="S791" s="5">
        <v>5</v>
      </c>
      <c r="T791" s="6">
        <f t="shared" si="36"/>
        <v>89763.6</v>
      </c>
      <c r="U791" s="4">
        <v>8958.1299999999992</v>
      </c>
      <c r="V791" t="str">
        <f t="shared" si="37"/>
        <v>Sep</v>
      </c>
      <c r="W791">
        <f t="shared" si="38"/>
        <v>9.9796910997330748E-2</v>
      </c>
    </row>
    <row r="792" spans="1:23" x14ac:dyDescent="0.4">
      <c r="A792" s="4" t="s">
        <v>2486</v>
      </c>
      <c r="B792" s="4" t="s">
        <v>165</v>
      </c>
      <c r="C792" s="11">
        <v>45390</v>
      </c>
      <c r="D792" s="4" t="s">
        <v>23</v>
      </c>
      <c r="E792" s="4" t="s">
        <v>24</v>
      </c>
      <c r="F792" s="4" t="s">
        <v>70</v>
      </c>
      <c r="G792" s="4" t="s">
        <v>99</v>
      </c>
      <c r="H792" s="4" t="s">
        <v>2487</v>
      </c>
      <c r="I792" s="4" t="s">
        <v>43</v>
      </c>
      <c r="J792" s="4" t="s">
        <v>29</v>
      </c>
      <c r="K792" s="4" t="s">
        <v>101</v>
      </c>
      <c r="L792" s="4" t="s">
        <v>805</v>
      </c>
      <c r="M792" s="4" t="s">
        <v>53</v>
      </c>
      <c r="N792" s="4" t="s">
        <v>54</v>
      </c>
      <c r="O792" s="4" t="s">
        <v>34</v>
      </c>
      <c r="P792" s="4" t="s">
        <v>47</v>
      </c>
      <c r="Q792" s="4">
        <v>8</v>
      </c>
      <c r="R792" s="4">
        <v>41890</v>
      </c>
      <c r="S792" s="5">
        <v>5</v>
      </c>
      <c r="T792" s="6">
        <f t="shared" si="36"/>
        <v>318364</v>
      </c>
      <c r="U792" s="4">
        <v>61704.77</v>
      </c>
      <c r="V792" t="str">
        <f t="shared" si="37"/>
        <v>Apr</v>
      </c>
      <c r="W792">
        <f t="shared" si="38"/>
        <v>0.19381830232061412</v>
      </c>
    </row>
    <row r="793" spans="1:23" x14ac:dyDescent="0.4">
      <c r="A793" s="4" t="s">
        <v>2488</v>
      </c>
      <c r="B793" s="4" t="s">
        <v>895</v>
      </c>
      <c r="C793" s="11">
        <v>44712</v>
      </c>
      <c r="D793" s="4" t="s">
        <v>98</v>
      </c>
      <c r="E793" s="4" t="s">
        <v>24</v>
      </c>
      <c r="F793" s="4" t="s">
        <v>25</v>
      </c>
      <c r="G793" s="4" t="s">
        <v>99</v>
      </c>
      <c r="H793" s="4" t="s">
        <v>2490</v>
      </c>
      <c r="I793" s="4" t="s">
        <v>28</v>
      </c>
      <c r="J793" s="4" t="s">
        <v>62</v>
      </c>
      <c r="K793" s="4" t="s">
        <v>86</v>
      </c>
      <c r="L793" s="4" t="s">
        <v>708</v>
      </c>
      <c r="M793" s="4" t="s">
        <v>95</v>
      </c>
      <c r="N793" s="4" t="s">
        <v>33</v>
      </c>
      <c r="O793" s="4" t="s">
        <v>66</v>
      </c>
      <c r="P793" s="4" t="s">
        <v>35</v>
      </c>
      <c r="Q793" s="4">
        <v>3</v>
      </c>
      <c r="R793" s="4">
        <v>47798</v>
      </c>
      <c r="S793" s="5">
        <v>20</v>
      </c>
      <c r="T793" s="6">
        <f t="shared" si="36"/>
        <v>114715.2</v>
      </c>
      <c r="U793" s="4">
        <v>-12009.49</v>
      </c>
      <c r="V793" t="str">
        <f t="shared" si="37"/>
        <v>May</v>
      </c>
      <c r="W793">
        <f t="shared" si="38"/>
        <v>-0.10468961393084787</v>
      </c>
    </row>
    <row r="794" spans="1:23" x14ac:dyDescent="0.4">
      <c r="A794" s="4" t="s">
        <v>2491</v>
      </c>
      <c r="B794" s="4" t="s">
        <v>1100</v>
      </c>
      <c r="C794" s="11">
        <v>45194</v>
      </c>
      <c r="D794" s="4" t="s">
        <v>39</v>
      </c>
      <c r="E794" s="4" t="s">
        <v>24</v>
      </c>
      <c r="F794" s="4" t="s">
        <v>58</v>
      </c>
      <c r="G794" s="4" t="s">
        <v>59</v>
      </c>
      <c r="H794" s="4" t="s">
        <v>2469</v>
      </c>
      <c r="I794" s="4" t="s">
        <v>28</v>
      </c>
      <c r="J794" s="4" t="s">
        <v>62</v>
      </c>
      <c r="K794" s="4" t="s">
        <v>153</v>
      </c>
      <c r="L794" s="4" t="s">
        <v>190</v>
      </c>
      <c r="M794" s="4" t="s">
        <v>32</v>
      </c>
      <c r="N794" s="4" t="s">
        <v>54</v>
      </c>
      <c r="O794" s="4" t="s">
        <v>82</v>
      </c>
      <c r="P794" s="4" t="s">
        <v>47</v>
      </c>
      <c r="Q794" s="4">
        <v>8</v>
      </c>
      <c r="R794" s="4">
        <v>20657</v>
      </c>
      <c r="S794" s="5">
        <v>20</v>
      </c>
      <c r="T794" s="6">
        <f t="shared" si="36"/>
        <v>132204.79999999999</v>
      </c>
      <c r="U794" s="4">
        <v>-18034.3</v>
      </c>
      <c r="V794" t="str">
        <f t="shared" si="37"/>
        <v>Sep</v>
      </c>
      <c r="W794">
        <f t="shared" si="38"/>
        <v>-0.13641183981217023</v>
      </c>
    </row>
    <row r="795" spans="1:23" x14ac:dyDescent="0.4">
      <c r="A795" s="4" t="s">
        <v>2492</v>
      </c>
      <c r="B795" s="4" t="s">
        <v>2130</v>
      </c>
      <c r="C795" s="11">
        <v>45418</v>
      </c>
      <c r="D795" s="4" t="s">
        <v>23</v>
      </c>
      <c r="E795" s="4" t="s">
        <v>24</v>
      </c>
      <c r="F795" s="4" t="s">
        <v>26</v>
      </c>
      <c r="G795" s="4" t="s">
        <v>26</v>
      </c>
      <c r="H795" s="4" t="s">
        <v>2493</v>
      </c>
      <c r="I795" s="4" t="s">
        <v>28</v>
      </c>
      <c r="J795" s="4" t="s">
        <v>79</v>
      </c>
      <c r="K795" s="4" t="s">
        <v>63</v>
      </c>
      <c r="L795" s="4" t="s">
        <v>1822</v>
      </c>
      <c r="M795" s="4" t="s">
        <v>73</v>
      </c>
      <c r="N795" s="4" t="s">
        <v>33</v>
      </c>
      <c r="O795" s="4" t="s">
        <v>46</v>
      </c>
      <c r="P795" s="4" t="s">
        <v>88</v>
      </c>
      <c r="Q795" s="4">
        <v>6</v>
      </c>
      <c r="R795" s="4">
        <v>35170</v>
      </c>
      <c r="S795" s="5">
        <v>10</v>
      </c>
      <c r="T795" s="6">
        <f t="shared" si="36"/>
        <v>189918</v>
      </c>
      <c r="U795" s="4">
        <v>32481.64</v>
      </c>
      <c r="V795" t="str">
        <f t="shared" si="37"/>
        <v>Apr</v>
      </c>
      <c r="W795">
        <f t="shared" si="38"/>
        <v>0.1710298128666056</v>
      </c>
    </row>
    <row r="796" spans="1:23" x14ac:dyDescent="0.4">
      <c r="A796" s="4" t="s">
        <v>2494</v>
      </c>
      <c r="B796" s="4" t="s">
        <v>394</v>
      </c>
      <c r="C796" s="11">
        <v>45004</v>
      </c>
      <c r="D796" s="4" t="s">
        <v>23</v>
      </c>
      <c r="E796" s="4" t="s">
        <v>24</v>
      </c>
      <c r="F796" s="4" t="s">
        <v>58</v>
      </c>
      <c r="G796" s="4" t="s">
        <v>92</v>
      </c>
      <c r="H796" s="4" t="s">
        <v>1494</v>
      </c>
      <c r="I796" s="4" t="s">
        <v>28</v>
      </c>
      <c r="J796" s="4" t="s">
        <v>62</v>
      </c>
      <c r="K796" s="4" t="s">
        <v>86</v>
      </c>
      <c r="L796" s="4" t="s">
        <v>396</v>
      </c>
      <c r="M796" s="4" t="s">
        <v>32</v>
      </c>
      <c r="N796" s="4" t="s">
        <v>33</v>
      </c>
      <c r="O796" s="4" t="s">
        <v>120</v>
      </c>
      <c r="P796" s="4" t="s">
        <v>35</v>
      </c>
      <c r="Q796" s="4">
        <v>5</v>
      </c>
      <c r="R796" s="4">
        <v>26708</v>
      </c>
      <c r="S796" s="5">
        <v>20</v>
      </c>
      <c r="T796" s="6">
        <f t="shared" si="36"/>
        <v>106832</v>
      </c>
      <c r="U796" s="4">
        <v>3994.05</v>
      </c>
      <c r="V796" t="str">
        <f t="shared" si="37"/>
        <v>Mar</v>
      </c>
      <c r="W796">
        <f t="shared" si="38"/>
        <v>3.7386270031451251E-2</v>
      </c>
    </row>
    <row r="797" spans="1:23" x14ac:dyDescent="0.4">
      <c r="A797" s="4" t="s">
        <v>2495</v>
      </c>
      <c r="B797" s="4" t="s">
        <v>2496</v>
      </c>
      <c r="C797" s="11">
        <v>45096</v>
      </c>
      <c r="D797" s="4" t="s">
        <v>39</v>
      </c>
      <c r="E797" s="4" t="s">
        <v>24</v>
      </c>
      <c r="F797" s="4" t="s">
        <v>25</v>
      </c>
      <c r="G797" s="4" t="s">
        <v>92</v>
      </c>
      <c r="H797" s="4" t="s">
        <v>2497</v>
      </c>
      <c r="I797" s="4" t="s">
        <v>61</v>
      </c>
      <c r="J797" s="4" t="s">
        <v>79</v>
      </c>
      <c r="K797" s="4" t="s">
        <v>44</v>
      </c>
      <c r="L797" s="4" t="s">
        <v>618</v>
      </c>
      <c r="M797" s="4" t="s">
        <v>95</v>
      </c>
      <c r="N797" s="4" t="s">
        <v>33</v>
      </c>
      <c r="O797" s="4" t="s">
        <v>120</v>
      </c>
      <c r="P797" s="4" t="s">
        <v>35</v>
      </c>
      <c r="Q797" s="4">
        <v>2</v>
      </c>
      <c r="R797" s="4">
        <v>11872</v>
      </c>
      <c r="S797" s="5">
        <v>5</v>
      </c>
      <c r="T797" s="6">
        <f t="shared" si="36"/>
        <v>22556.799999999999</v>
      </c>
      <c r="U797" s="4">
        <v>2756.84</v>
      </c>
      <c r="V797" t="str">
        <f t="shared" si="37"/>
        <v>Jun</v>
      </c>
      <c r="W797">
        <f t="shared" si="38"/>
        <v>0.12221769045254648</v>
      </c>
    </row>
    <row r="798" spans="1:23" x14ac:dyDescent="0.4">
      <c r="A798" s="4" t="s">
        <v>2498</v>
      </c>
      <c r="B798" s="4" t="s">
        <v>590</v>
      </c>
      <c r="C798" s="11">
        <v>44660</v>
      </c>
      <c r="D798" s="4" t="s">
        <v>124</v>
      </c>
      <c r="E798" s="4" t="s">
        <v>24</v>
      </c>
      <c r="F798" s="4" t="s">
        <v>25</v>
      </c>
      <c r="G798" s="4" t="s">
        <v>41</v>
      </c>
      <c r="H798" s="4" t="s">
        <v>2499</v>
      </c>
      <c r="I798" s="4" t="s">
        <v>43</v>
      </c>
      <c r="J798" s="4" t="s">
        <v>29</v>
      </c>
      <c r="K798" s="4" t="s">
        <v>153</v>
      </c>
      <c r="L798" s="4" t="s">
        <v>1270</v>
      </c>
      <c r="M798" s="4" t="s">
        <v>81</v>
      </c>
      <c r="N798" s="4" t="s">
        <v>33</v>
      </c>
      <c r="O798" s="4" t="s">
        <v>46</v>
      </c>
      <c r="P798" s="4" t="s">
        <v>35</v>
      </c>
      <c r="Q798" s="4">
        <v>5</v>
      </c>
      <c r="R798" s="4">
        <v>48341</v>
      </c>
      <c r="S798" s="5">
        <v>0</v>
      </c>
      <c r="T798" s="6">
        <f t="shared" si="36"/>
        <v>241705</v>
      </c>
      <c r="U798" s="4">
        <v>62751.54</v>
      </c>
      <c r="V798" t="str">
        <f t="shared" si="37"/>
        <v>Apr</v>
      </c>
      <c r="W798">
        <f t="shared" si="38"/>
        <v>0.25962036366645291</v>
      </c>
    </row>
    <row r="799" spans="1:23" x14ac:dyDescent="0.4">
      <c r="A799" s="4" t="s">
        <v>2500</v>
      </c>
      <c r="B799" s="4" t="s">
        <v>2501</v>
      </c>
      <c r="C799" s="11">
        <v>44867</v>
      </c>
      <c r="D799" s="4" t="s">
        <v>124</v>
      </c>
      <c r="E799" s="4" t="s">
        <v>24</v>
      </c>
      <c r="F799" s="4" t="s">
        <v>58</v>
      </c>
      <c r="G799" s="4" t="s">
        <v>41</v>
      </c>
      <c r="H799" s="4" t="s">
        <v>2502</v>
      </c>
      <c r="I799" s="4" t="s">
        <v>61</v>
      </c>
      <c r="J799" s="4" t="s">
        <v>29</v>
      </c>
      <c r="K799" s="4" t="s">
        <v>101</v>
      </c>
      <c r="L799" s="4" t="s">
        <v>241</v>
      </c>
      <c r="M799" s="4" t="s">
        <v>53</v>
      </c>
      <c r="N799" s="4" t="s">
        <v>33</v>
      </c>
      <c r="O799" s="4" t="s">
        <v>34</v>
      </c>
      <c r="P799" s="4" t="s">
        <v>35</v>
      </c>
      <c r="Q799" s="4">
        <v>6</v>
      </c>
      <c r="R799" s="4">
        <v>29796</v>
      </c>
      <c r="S799" s="5">
        <v>20</v>
      </c>
      <c r="T799" s="6">
        <f t="shared" si="36"/>
        <v>143020.79999999999</v>
      </c>
      <c r="U799" s="4">
        <v>-21158.49</v>
      </c>
      <c r="V799" t="str">
        <f t="shared" si="37"/>
        <v>Oct</v>
      </c>
      <c r="W799">
        <f t="shared" si="38"/>
        <v>-0.14793994999328772</v>
      </c>
    </row>
    <row r="800" spans="1:23" x14ac:dyDescent="0.4">
      <c r="A800" s="4" t="s">
        <v>2503</v>
      </c>
      <c r="B800" s="4" t="s">
        <v>151</v>
      </c>
      <c r="C800" s="11">
        <v>45188</v>
      </c>
      <c r="D800" s="4" t="s">
        <v>23</v>
      </c>
      <c r="E800" s="4" t="s">
        <v>24</v>
      </c>
      <c r="F800" s="4" t="s">
        <v>58</v>
      </c>
      <c r="G800" s="4" t="s">
        <v>59</v>
      </c>
      <c r="H800" s="4" t="s">
        <v>2504</v>
      </c>
      <c r="I800" s="4" t="s">
        <v>61</v>
      </c>
      <c r="J800" s="4" t="s">
        <v>79</v>
      </c>
      <c r="K800" s="4" t="s">
        <v>86</v>
      </c>
      <c r="L800" s="4" t="s">
        <v>306</v>
      </c>
      <c r="M800" s="4" t="s">
        <v>95</v>
      </c>
      <c r="N800" s="4" t="s">
        <v>33</v>
      </c>
      <c r="O800" s="4" t="s">
        <v>82</v>
      </c>
      <c r="P800" s="4" t="s">
        <v>74</v>
      </c>
      <c r="Q800" s="4">
        <v>6</v>
      </c>
      <c r="R800" s="4">
        <v>8924</v>
      </c>
      <c r="S800" s="5">
        <v>0</v>
      </c>
      <c r="T800" s="6">
        <f t="shared" si="36"/>
        <v>53544</v>
      </c>
      <c r="U800" s="4">
        <v>5877.73</v>
      </c>
      <c r="V800" t="str">
        <f t="shared" si="37"/>
        <v>Sep</v>
      </c>
      <c r="W800">
        <f t="shared" si="38"/>
        <v>0.10977383086807112</v>
      </c>
    </row>
    <row r="801" spans="1:23" x14ac:dyDescent="0.4">
      <c r="A801" s="4" t="s">
        <v>2505</v>
      </c>
      <c r="B801" s="4" t="s">
        <v>2506</v>
      </c>
      <c r="C801" s="11">
        <v>45546</v>
      </c>
      <c r="D801" s="4" t="s">
        <v>124</v>
      </c>
      <c r="E801" s="4" t="s">
        <v>24</v>
      </c>
      <c r="F801" s="4" t="s">
        <v>25</v>
      </c>
      <c r="G801" s="4" t="s">
        <v>99</v>
      </c>
      <c r="H801" s="4" t="s">
        <v>1004</v>
      </c>
      <c r="I801" s="4" t="s">
        <v>61</v>
      </c>
      <c r="J801" s="4" t="s">
        <v>79</v>
      </c>
      <c r="K801" s="4" t="s">
        <v>153</v>
      </c>
      <c r="L801" s="4" t="s">
        <v>511</v>
      </c>
      <c r="M801" s="4" t="s">
        <v>65</v>
      </c>
      <c r="N801" s="4" t="s">
        <v>54</v>
      </c>
      <c r="O801" s="4" t="s">
        <v>82</v>
      </c>
      <c r="P801" s="4" t="s">
        <v>35</v>
      </c>
      <c r="Q801" s="4">
        <v>10</v>
      </c>
      <c r="R801" s="4">
        <v>18518</v>
      </c>
      <c r="S801" s="5">
        <v>0</v>
      </c>
      <c r="T801" s="6">
        <f t="shared" si="36"/>
        <v>185180</v>
      </c>
      <c r="U801" s="4">
        <v>42884.07</v>
      </c>
      <c r="V801" t="str">
        <f t="shared" si="37"/>
        <v>Sep</v>
      </c>
      <c r="W801">
        <f t="shared" si="38"/>
        <v>0.23158046225294307</v>
      </c>
    </row>
    <row r="802" spans="1:23" x14ac:dyDescent="0.4">
      <c r="A802" s="4" t="s">
        <v>2507</v>
      </c>
      <c r="B802" s="4" t="s">
        <v>579</v>
      </c>
      <c r="C802" s="11">
        <v>44756</v>
      </c>
      <c r="D802" s="4" t="s">
        <v>23</v>
      </c>
      <c r="E802" s="4" t="s">
        <v>24</v>
      </c>
      <c r="F802" s="4" t="s">
        <v>58</v>
      </c>
      <c r="G802" s="4" t="s">
        <v>41</v>
      </c>
      <c r="H802" s="4" t="s">
        <v>2508</v>
      </c>
      <c r="I802" s="4" t="s">
        <v>43</v>
      </c>
      <c r="J802" s="4" t="s">
        <v>29</v>
      </c>
      <c r="K802" s="4" t="s">
        <v>153</v>
      </c>
      <c r="L802" s="4" t="s">
        <v>418</v>
      </c>
      <c r="M802" s="4" t="s">
        <v>81</v>
      </c>
      <c r="N802" s="4" t="s">
        <v>54</v>
      </c>
      <c r="O802" s="4" t="s">
        <v>120</v>
      </c>
      <c r="P802" s="4" t="s">
        <v>88</v>
      </c>
      <c r="Q802" s="4">
        <v>6</v>
      </c>
      <c r="R802" s="4">
        <v>33720</v>
      </c>
      <c r="S802" s="5">
        <v>5</v>
      </c>
      <c r="T802" s="6">
        <f t="shared" si="36"/>
        <v>192204</v>
      </c>
      <c r="U802" s="4">
        <v>31715.61</v>
      </c>
      <c r="V802" t="str">
        <f t="shared" si="37"/>
        <v>Jul</v>
      </c>
      <c r="W802">
        <f t="shared" si="38"/>
        <v>0.16501014547043766</v>
      </c>
    </row>
    <row r="803" spans="1:23" x14ac:dyDescent="0.4">
      <c r="A803" s="4" t="s">
        <v>2509</v>
      </c>
      <c r="B803" s="4" t="s">
        <v>1655</v>
      </c>
      <c r="C803" s="11">
        <v>44974</v>
      </c>
      <c r="D803" s="4" t="s">
        <v>39</v>
      </c>
      <c r="E803" s="4" t="s">
        <v>24</v>
      </c>
      <c r="F803" s="4" t="s">
        <v>70</v>
      </c>
      <c r="G803" s="4" t="s">
        <v>99</v>
      </c>
      <c r="H803" s="4" t="s">
        <v>2510</v>
      </c>
      <c r="I803" s="4" t="s">
        <v>43</v>
      </c>
      <c r="J803" s="4" t="s">
        <v>79</v>
      </c>
      <c r="K803" s="4" t="s">
        <v>86</v>
      </c>
      <c r="L803" s="4" t="s">
        <v>592</v>
      </c>
      <c r="M803" s="4" t="s">
        <v>32</v>
      </c>
      <c r="N803" s="4" t="s">
        <v>54</v>
      </c>
      <c r="O803" s="4" t="s">
        <v>120</v>
      </c>
      <c r="P803" s="4" t="s">
        <v>35</v>
      </c>
      <c r="Q803" s="4">
        <v>8</v>
      </c>
      <c r="R803" s="4">
        <v>49815</v>
      </c>
      <c r="S803" s="5">
        <v>5</v>
      </c>
      <c r="T803" s="6">
        <f t="shared" si="36"/>
        <v>378594</v>
      </c>
      <c r="U803" s="4">
        <v>56525.79</v>
      </c>
      <c r="V803" t="str">
        <f t="shared" si="37"/>
        <v>Feb</v>
      </c>
      <c r="W803">
        <f t="shared" si="38"/>
        <v>0.14930450561815559</v>
      </c>
    </row>
    <row r="804" spans="1:23" x14ac:dyDescent="0.4">
      <c r="A804" s="4" t="s">
        <v>2511</v>
      </c>
      <c r="B804" s="4" t="s">
        <v>909</v>
      </c>
      <c r="C804" s="11">
        <v>44945</v>
      </c>
      <c r="D804" s="4" t="s">
        <v>124</v>
      </c>
      <c r="E804" s="4" t="s">
        <v>24</v>
      </c>
      <c r="F804" s="4" t="s">
        <v>26</v>
      </c>
      <c r="G804" s="4" t="s">
        <v>41</v>
      </c>
      <c r="H804" s="4" t="s">
        <v>2512</v>
      </c>
      <c r="I804" s="4" t="s">
        <v>43</v>
      </c>
      <c r="J804" s="4" t="s">
        <v>29</v>
      </c>
      <c r="K804" s="4" t="s">
        <v>86</v>
      </c>
      <c r="L804" s="4" t="s">
        <v>203</v>
      </c>
      <c r="M804" s="4" t="s">
        <v>32</v>
      </c>
      <c r="N804" s="4" t="s">
        <v>33</v>
      </c>
      <c r="O804" s="4" t="s">
        <v>34</v>
      </c>
      <c r="P804" s="4" t="s">
        <v>74</v>
      </c>
      <c r="Q804" s="4">
        <v>10</v>
      </c>
      <c r="R804" s="4">
        <v>31721</v>
      </c>
      <c r="S804" s="5">
        <v>20</v>
      </c>
      <c r="T804" s="6">
        <f t="shared" si="36"/>
        <v>253768</v>
      </c>
      <c r="U804" s="4">
        <v>-45391.99</v>
      </c>
      <c r="V804" t="str">
        <f t="shared" si="37"/>
        <v>Jan</v>
      </c>
      <c r="W804">
        <f t="shared" si="38"/>
        <v>-0.17887200119794458</v>
      </c>
    </row>
    <row r="805" spans="1:23" x14ac:dyDescent="0.4">
      <c r="A805" s="4" t="s">
        <v>2513</v>
      </c>
      <c r="B805" s="4" t="s">
        <v>745</v>
      </c>
      <c r="C805" s="11">
        <v>44718</v>
      </c>
      <c r="D805" s="4" t="s">
        <v>39</v>
      </c>
      <c r="E805" s="4" t="s">
        <v>24</v>
      </c>
      <c r="F805" s="4" t="s">
        <v>70</v>
      </c>
      <c r="G805" s="4" t="s">
        <v>92</v>
      </c>
      <c r="H805" s="4" t="s">
        <v>2514</v>
      </c>
      <c r="I805" s="4" t="s">
        <v>28</v>
      </c>
      <c r="J805" s="4" t="s">
        <v>62</v>
      </c>
      <c r="K805" s="4" t="s">
        <v>30</v>
      </c>
      <c r="L805" s="4" t="s">
        <v>1667</v>
      </c>
      <c r="M805" s="4" t="s">
        <v>32</v>
      </c>
      <c r="N805" s="4" t="s">
        <v>54</v>
      </c>
      <c r="O805" s="4" t="s">
        <v>34</v>
      </c>
      <c r="P805" s="4" t="s">
        <v>35</v>
      </c>
      <c r="Q805" s="4">
        <v>3</v>
      </c>
      <c r="R805" s="4">
        <v>1080</v>
      </c>
      <c r="S805" s="5">
        <v>20</v>
      </c>
      <c r="T805" s="6">
        <f t="shared" si="36"/>
        <v>2592</v>
      </c>
      <c r="U805" s="4">
        <v>33.369999999999997</v>
      </c>
      <c r="V805" t="str">
        <f t="shared" si="37"/>
        <v>Jun</v>
      </c>
      <c r="W805">
        <f t="shared" si="38"/>
        <v>1.2874228395061728E-2</v>
      </c>
    </row>
    <row r="806" spans="1:23" x14ac:dyDescent="0.4">
      <c r="A806" s="4" t="s">
        <v>2515</v>
      </c>
      <c r="B806" s="4" t="s">
        <v>1951</v>
      </c>
      <c r="C806" s="11">
        <v>44951</v>
      </c>
      <c r="D806" s="4" t="s">
        <v>23</v>
      </c>
      <c r="E806" s="4" t="s">
        <v>24</v>
      </c>
      <c r="F806" s="4" t="s">
        <v>40</v>
      </c>
      <c r="G806" s="4" t="s">
        <v>26</v>
      </c>
      <c r="H806" s="4" t="s">
        <v>263</v>
      </c>
      <c r="I806" s="4" t="s">
        <v>28</v>
      </c>
      <c r="J806" s="4" t="s">
        <v>79</v>
      </c>
      <c r="K806" s="4" t="s">
        <v>86</v>
      </c>
      <c r="L806" s="4" t="s">
        <v>45</v>
      </c>
      <c r="M806" s="4" t="s">
        <v>95</v>
      </c>
      <c r="N806" s="4" t="s">
        <v>33</v>
      </c>
      <c r="O806" s="4" t="s">
        <v>46</v>
      </c>
      <c r="P806" s="4" t="s">
        <v>47</v>
      </c>
      <c r="Q806" s="4">
        <v>6</v>
      </c>
      <c r="R806" s="4">
        <v>12208</v>
      </c>
      <c r="S806" s="5">
        <v>20</v>
      </c>
      <c r="T806" s="6">
        <f t="shared" si="36"/>
        <v>58598.400000000001</v>
      </c>
      <c r="U806" s="4">
        <v>-2578.42</v>
      </c>
      <c r="V806" t="str">
        <f t="shared" si="37"/>
        <v>Jan</v>
      </c>
      <c r="W806">
        <f t="shared" si="38"/>
        <v>-4.4001542704237659E-2</v>
      </c>
    </row>
    <row r="807" spans="1:23" x14ac:dyDescent="0.4">
      <c r="A807" s="4" t="s">
        <v>2516</v>
      </c>
      <c r="B807" s="4" t="s">
        <v>834</v>
      </c>
      <c r="C807" s="11">
        <v>45323</v>
      </c>
      <c r="D807" s="4" t="s">
        <v>23</v>
      </c>
      <c r="E807" s="4" t="s">
        <v>24</v>
      </c>
      <c r="F807" s="4" t="s">
        <v>58</v>
      </c>
      <c r="G807" s="4" t="s">
        <v>41</v>
      </c>
      <c r="H807" s="4" t="s">
        <v>2517</v>
      </c>
      <c r="I807" s="4" t="s">
        <v>28</v>
      </c>
      <c r="J807" s="4" t="s">
        <v>79</v>
      </c>
      <c r="K807" s="4" t="s">
        <v>101</v>
      </c>
      <c r="L807" s="4" t="s">
        <v>452</v>
      </c>
      <c r="M807" s="4" t="s">
        <v>81</v>
      </c>
      <c r="N807" s="4" t="s">
        <v>54</v>
      </c>
      <c r="O807" s="4" t="s">
        <v>34</v>
      </c>
      <c r="P807" s="4" t="s">
        <v>35</v>
      </c>
      <c r="Q807" s="4">
        <v>5</v>
      </c>
      <c r="R807" s="4">
        <v>26191</v>
      </c>
      <c r="S807" s="5">
        <v>5</v>
      </c>
      <c r="T807" s="6">
        <f t="shared" si="36"/>
        <v>124407.25</v>
      </c>
      <c r="U807" s="4">
        <v>118.08</v>
      </c>
      <c r="V807" t="str">
        <f t="shared" si="37"/>
        <v>Jan</v>
      </c>
      <c r="W807">
        <f t="shared" si="38"/>
        <v>9.4914082579592427E-4</v>
      </c>
    </row>
    <row r="808" spans="1:23" x14ac:dyDescent="0.4">
      <c r="A808" s="4" t="s">
        <v>2518</v>
      </c>
      <c r="B808" s="4" t="s">
        <v>2519</v>
      </c>
      <c r="C808" s="11">
        <v>44751</v>
      </c>
      <c r="D808" s="4" t="s">
        <v>39</v>
      </c>
      <c r="E808" s="4" t="s">
        <v>24</v>
      </c>
      <c r="F808" s="4" t="s">
        <v>25</v>
      </c>
      <c r="G808" s="4" t="s">
        <v>41</v>
      </c>
      <c r="H808" s="4" t="s">
        <v>2520</v>
      </c>
      <c r="I808" s="4" t="s">
        <v>61</v>
      </c>
      <c r="J808" s="4" t="s">
        <v>62</v>
      </c>
      <c r="K808" s="4" t="s">
        <v>86</v>
      </c>
      <c r="L808" s="4" t="s">
        <v>1040</v>
      </c>
      <c r="M808" s="4" t="s">
        <v>53</v>
      </c>
      <c r="N808" s="4" t="s">
        <v>33</v>
      </c>
      <c r="O808" s="4" t="s">
        <v>66</v>
      </c>
      <c r="P808" s="4" t="s">
        <v>88</v>
      </c>
      <c r="Q808" s="4">
        <v>7</v>
      </c>
      <c r="R808" s="4">
        <v>16823</v>
      </c>
      <c r="S808" s="5">
        <v>10</v>
      </c>
      <c r="T808" s="6">
        <f t="shared" si="36"/>
        <v>105984.9</v>
      </c>
      <c r="U808" s="4">
        <v>7512.03</v>
      </c>
      <c r="V808" t="str">
        <f t="shared" si="37"/>
        <v>Jul</v>
      </c>
      <c r="W808">
        <f t="shared" si="38"/>
        <v>7.0878304362225183E-2</v>
      </c>
    </row>
    <row r="809" spans="1:23" x14ac:dyDescent="0.4">
      <c r="A809" s="4" t="s">
        <v>2521</v>
      </c>
      <c r="B809" s="4" t="s">
        <v>2111</v>
      </c>
      <c r="C809" s="11">
        <v>45177</v>
      </c>
      <c r="D809" s="4" t="s">
        <v>39</v>
      </c>
      <c r="E809" s="4" t="s">
        <v>24</v>
      </c>
      <c r="F809" s="4" t="s">
        <v>70</v>
      </c>
      <c r="G809" s="4" t="s">
        <v>99</v>
      </c>
      <c r="H809" s="4" t="s">
        <v>1904</v>
      </c>
      <c r="I809" s="4" t="s">
        <v>61</v>
      </c>
      <c r="J809" s="4" t="s">
        <v>62</v>
      </c>
      <c r="K809" s="4" t="s">
        <v>63</v>
      </c>
      <c r="L809" s="4" t="s">
        <v>503</v>
      </c>
      <c r="M809" s="4" t="s">
        <v>81</v>
      </c>
      <c r="N809" s="4" t="s">
        <v>54</v>
      </c>
      <c r="O809" s="4" t="s">
        <v>46</v>
      </c>
      <c r="P809" s="4" t="s">
        <v>47</v>
      </c>
      <c r="Q809" s="4">
        <v>6</v>
      </c>
      <c r="R809" s="4">
        <v>47663</v>
      </c>
      <c r="S809" s="5">
        <v>10</v>
      </c>
      <c r="T809" s="6">
        <f t="shared" si="36"/>
        <v>257380.2</v>
      </c>
      <c r="U809" s="4">
        <v>24388.36</v>
      </c>
      <c r="V809" t="str">
        <f t="shared" si="37"/>
        <v>Sep</v>
      </c>
      <c r="W809">
        <f t="shared" si="38"/>
        <v>9.475616228443369E-2</v>
      </c>
    </row>
    <row r="810" spans="1:23" x14ac:dyDescent="0.4">
      <c r="A810" s="4" t="s">
        <v>2522</v>
      </c>
      <c r="B810" s="4" t="s">
        <v>2523</v>
      </c>
      <c r="C810" s="11">
        <v>45328</v>
      </c>
      <c r="D810" s="4" t="s">
        <v>124</v>
      </c>
      <c r="E810" s="4" t="s">
        <v>24</v>
      </c>
      <c r="F810" s="4" t="s">
        <v>58</v>
      </c>
      <c r="G810" s="4" t="s">
        <v>99</v>
      </c>
      <c r="H810" s="4" t="s">
        <v>2524</v>
      </c>
      <c r="I810" s="4" t="s">
        <v>28</v>
      </c>
      <c r="J810" s="4" t="s">
        <v>62</v>
      </c>
      <c r="K810" s="4" t="s">
        <v>86</v>
      </c>
      <c r="L810" s="4" t="s">
        <v>1709</v>
      </c>
      <c r="M810" s="4" t="s">
        <v>53</v>
      </c>
      <c r="N810" s="4" t="s">
        <v>54</v>
      </c>
      <c r="O810" s="4" t="s">
        <v>46</v>
      </c>
      <c r="P810" s="4" t="s">
        <v>35</v>
      </c>
      <c r="Q810" s="4">
        <v>10</v>
      </c>
      <c r="R810" s="4">
        <v>37732</v>
      </c>
      <c r="S810" s="5">
        <v>10</v>
      </c>
      <c r="T810" s="6">
        <f t="shared" si="36"/>
        <v>339588</v>
      </c>
      <c r="U810" s="4">
        <v>13062.88</v>
      </c>
      <c r="V810" t="str">
        <f t="shared" si="37"/>
        <v>Jan</v>
      </c>
      <c r="W810">
        <f t="shared" si="38"/>
        <v>3.8466848062946861E-2</v>
      </c>
    </row>
    <row r="811" spans="1:23" x14ac:dyDescent="0.4">
      <c r="A811" s="4" t="s">
        <v>2525</v>
      </c>
      <c r="B811" s="4" t="s">
        <v>854</v>
      </c>
      <c r="C811" s="11">
        <v>44573</v>
      </c>
      <c r="D811" s="4" t="s">
        <v>39</v>
      </c>
      <c r="E811" s="4" t="s">
        <v>24</v>
      </c>
      <c r="F811" s="4" t="s">
        <v>40</v>
      </c>
      <c r="G811" s="4" t="s">
        <v>99</v>
      </c>
      <c r="H811" s="4" t="s">
        <v>2526</v>
      </c>
      <c r="I811" s="4" t="s">
        <v>28</v>
      </c>
      <c r="J811" s="4" t="s">
        <v>29</v>
      </c>
      <c r="K811" s="4" t="s">
        <v>101</v>
      </c>
      <c r="L811" s="4" t="s">
        <v>2203</v>
      </c>
      <c r="M811" s="4" t="s">
        <v>53</v>
      </c>
      <c r="N811" s="4" t="s">
        <v>33</v>
      </c>
      <c r="O811" s="4" t="s">
        <v>120</v>
      </c>
      <c r="P811" s="4" t="s">
        <v>88</v>
      </c>
      <c r="Q811" s="4">
        <v>5</v>
      </c>
      <c r="R811" s="4">
        <v>38160</v>
      </c>
      <c r="S811" s="5">
        <v>15</v>
      </c>
      <c r="T811" s="6">
        <f t="shared" si="36"/>
        <v>162180</v>
      </c>
      <c r="U811" s="4">
        <v>-16213.38</v>
      </c>
      <c r="V811" t="str">
        <f t="shared" si="37"/>
        <v>Jan</v>
      </c>
      <c r="W811">
        <f t="shared" si="38"/>
        <v>-9.9971513133555304E-2</v>
      </c>
    </row>
    <row r="812" spans="1:23" x14ac:dyDescent="0.4">
      <c r="A812" s="4" t="s">
        <v>2527</v>
      </c>
      <c r="B812" s="4" t="s">
        <v>1613</v>
      </c>
      <c r="C812" s="11">
        <v>44730</v>
      </c>
      <c r="D812" s="4" t="s">
        <v>39</v>
      </c>
      <c r="E812" s="4" t="s">
        <v>24</v>
      </c>
      <c r="F812" s="4" t="s">
        <v>40</v>
      </c>
      <c r="G812" s="4" t="s">
        <v>41</v>
      </c>
      <c r="H812" s="4" t="s">
        <v>2528</v>
      </c>
      <c r="I812" s="4" t="s">
        <v>43</v>
      </c>
      <c r="J812" s="4" t="s">
        <v>29</v>
      </c>
      <c r="K812" s="4" t="s">
        <v>63</v>
      </c>
      <c r="L812" s="4" t="s">
        <v>699</v>
      </c>
      <c r="M812" s="4" t="s">
        <v>95</v>
      </c>
      <c r="N812" s="4" t="s">
        <v>54</v>
      </c>
      <c r="O812" s="4" t="s">
        <v>34</v>
      </c>
      <c r="P812" s="4" t="s">
        <v>88</v>
      </c>
      <c r="Q812" s="4">
        <v>4</v>
      </c>
      <c r="R812" s="4">
        <v>46277</v>
      </c>
      <c r="S812" s="5">
        <v>0</v>
      </c>
      <c r="T812" s="6">
        <f t="shared" si="36"/>
        <v>185108</v>
      </c>
      <c r="U812" s="4">
        <v>43880.08</v>
      </c>
      <c r="V812" t="str">
        <f t="shared" si="37"/>
        <v>Jun</v>
      </c>
      <c r="W812">
        <f t="shared" si="38"/>
        <v>0.23705123495472913</v>
      </c>
    </row>
    <row r="813" spans="1:23" x14ac:dyDescent="0.4">
      <c r="A813" s="4" t="s">
        <v>2529</v>
      </c>
      <c r="B813" s="4" t="s">
        <v>1084</v>
      </c>
      <c r="C813" s="11">
        <v>44716</v>
      </c>
      <c r="D813" s="4" t="s">
        <v>23</v>
      </c>
      <c r="E813" s="4" t="s">
        <v>24</v>
      </c>
      <c r="F813" s="4" t="s">
        <v>25</v>
      </c>
      <c r="G813" s="4" t="s">
        <v>92</v>
      </c>
      <c r="H813" s="4" t="s">
        <v>2530</v>
      </c>
      <c r="I813" s="4" t="s">
        <v>43</v>
      </c>
      <c r="J813" s="4" t="s">
        <v>79</v>
      </c>
      <c r="K813" s="4" t="s">
        <v>153</v>
      </c>
      <c r="L813" s="4" t="s">
        <v>131</v>
      </c>
      <c r="M813" s="4" t="s">
        <v>81</v>
      </c>
      <c r="N813" s="4" t="s">
        <v>33</v>
      </c>
      <c r="O813" s="4" t="s">
        <v>82</v>
      </c>
      <c r="P813" s="4" t="s">
        <v>74</v>
      </c>
      <c r="Q813" s="4">
        <v>9</v>
      </c>
      <c r="R813" s="4">
        <v>770</v>
      </c>
      <c r="S813" s="5">
        <v>10</v>
      </c>
      <c r="T813" s="6">
        <f t="shared" si="36"/>
        <v>6237</v>
      </c>
      <c r="U813" s="4">
        <v>580.92999999999995</v>
      </c>
      <c r="V813" t="str">
        <f t="shared" si="37"/>
        <v>Jun</v>
      </c>
      <c r="W813">
        <f t="shared" si="38"/>
        <v>9.31425364758698E-2</v>
      </c>
    </row>
    <row r="814" spans="1:23" x14ac:dyDescent="0.4">
      <c r="A814" s="4" t="s">
        <v>2531</v>
      </c>
      <c r="B814" s="4" t="s">
        <v>567</v>
      </c>
      <c r="C814" s="11">
        <v>45047</v>
      </c>
      <c r="D814" s="4" t="s">
        <v>98</v>
      </c>
      <c r="E814" s="4" t="s">
        <v>24</v>
      </c>
      <c r="F814" s="4" t="s">
        <v>70</v>
      </c>
      <c r="G814" s="4" t="s">
        <v>59</v>
      </c>
      <c r="H814" s="4" t="s">
        <v>2532</v>
      </c>
      <c r="I814" s="4" t="s">
        <v>28</v>
      </c>
      <c r="J814" s="4" t="s">
        <v>79</v>
      </c>
      <c r="K814" s="4" t="s">
        <v>101</v>
      </c>
      <c r="L814" s="4" t="s">
        <v>2533</v>
      </c>
      <c r="M814" s="4" t="s">
        <v>81</v>
      </c>
      <c r="N814" s="4" t="s">
        <v>54</v>
      </c>
      <c r="O814" s="4" t="s">
        <v>66</v>
      </c>
      <c r="P814" s="4" t="s">
        <v>35</v>
      </c>
      <c r="Q814" s="4">
        <v>8</v>
      </c>
      <c r="R814" s="4">
        <v>44883</v>
      </c>
      <c r="S814" s="5">
        <v>10</v>
      </c>
      <c r="T814" s="6">
        <f t="shared" si="36"/>
        <v>323157.59999999998</v>
      </c>
      <c r="U814" s="4">
        <v>35110.68</v>
      </c>
      <c r="V814" t="str">
        <f t="shared" si="37"/>
        <v>Apr</v>
      </c>
      <c r="W814">
        <f t="shared" si="38"/>
        <v>0.10864878313244065</v>
      </c>
    </row>
    <row r="815" spans="1:23" x14ac:dyDescent="0.4">
      <c r="A815" s="4" t="s">
        <v>2534</v>
      </c>
      <c r="B815" s="4" t="s">
        <v>1015</v>
      </c>
      <c r="C815" s="11">
        <v>45006</v>
      </c>
      <c r="D815" s="4" t="s">
        <v>98</v>
      </c>
      <c r="E815" s="4" t="s">
        <v>24</v>
      </c>
      <c r="F815" s="4" t="s">
        <v>26</v>
      </c>
      <c r="G815" s="4" t="s">
        <v>26</v>
      </c>
      <c r="H815" s="4" t="s">
        <v>2535</v>
      </c>
      <c r="I815" s="4" t="s">
        <v>43</v>
      </c>
      <c r="J815" s="4" t="s">
        <v>29</v>
      </c>
      <c r="K815" s="4" t="s">
        <v>101</v>
      </c>
      <c r="L815" s="4" t="s">
        <v>213</v>
      </c>
      <c r="M815" s="4" t="s">
        <v>73</v>
      </c>
      <c r="N815" s="4" t="s">
        <v>33</v>
      </c>
      <c r="O815" s="4" t="s">
        <v>120</v>
      </c>
      <c r="P815" s="4" t="s">
        <v>35</v>
      </c>
      <c r="Q815" s="4">
        <v>6</v>
      </c>
      <c r="R815" s="4">
        <v>44868</v>
      </c>
      <c r="S815" s="5">
        <v>0</v>
      </c>
      <c r="T815" s="6">
        <f t="shared" si="36"/>
        <v>269208</v>
      </c>
      <c r="U815" s="4">
        <v>34938.29</v>
      </c>
      <c r="V815" t="str">
        <f t="shared" si="37"/>
        <v>Mar</v>
      </c>
      <c r="W815">
        <f t="shared" si="38"/>
        <v>0.12978176725803098</v>
      </c>
    </row>
    <row r="816" spans="1:23" x14ac:dyDescent="0.4">
      <c r="A816" s="4" t="s">
        <v>2536</v>
      </c>
      <c r="B816" s="4" t="s">
        <v>766</v>
      </c>
      <c r="C816" s="11">
        <v>45088</v>
      </c>
      <c r="D816" s="4" t="s">
        <v>39</v>
      </c>
      <c r="E816" s="4" t="s">
        <v>24</v>
      </c>
      <c r="F816" s="4" t="s">
        <v>40</v>
      </c>
      <c r="G816" s="4" t="s">
        <v>92</v>
      </c>
      <c r="H816" s="4" t="s">
        <v>2537</v>
      </c>
      <c r="I816" s="4" t="s">
        <v>61</v>
      </c>
      <c r="J816" s="4" t="s">
        <v>62</v>
      </c>
      <c r="K816" s="4" t="s">
        <v>153</v>
      </c>
      <c r="L816" s="4" t="s">
        <v>631</v>
      </c>
      <c r="M816" s="4" t="s">
        <v>65</v>
      </c>
      <c r="N816" s="4" t="s">
        <v>33</v>
      </c>
      <c r="O816" s="4" t="s">
        <v>34</v>
      </c>
      <c r="P816" s="4" t="s">
        <v>88</v>
      </c>
      <c r="Q816" s="4">
        <v>8</v>
      </c>
      <c r="R816" s="4">
        <v>4238</v>
      </c>
      <c r="S816" s="5">
        <v>0</v>
      </c>
      <c r="T816" s="6">
        <f t="shared" si="36"/>
        <v>33904</v>
      </c>
      <c r="U816" s="4">
        <v>2583.21</v>
      </c>
      <c r="V816" t="str">
        <f t="shared" si="37"/>
        <v>Jun</v>
      </c>
      <c r="W816">
        <f t="shared" si="38"/>
        <v>7.6191894761680035E-2</v>
      </c>
    </row>
    <row r="817" spans="1:23" x14ac:dyDescent="0.4">
      <c r="A817" s="4" t="s">
        <v>2538</v>
      </c>
      <c r="B817" s="4" t="s">
        <v>546</v>
      </c>
      <c r="C817" s="11">
        <v>45390</v>
      </c>
      <c r="D817" s="4" t="s">
        <v>39</v>
      </c>
      <c r="E817" s="4" t="s">
        <v>24</v>
      </c>
      <c r="F817" s="4" t="s">
        <v>25</v>
      </c>
      <c r="G817" s="4" t="s">
        <v>92</v>
      </c>
      <c r="H817" s="4" t="s">
        <v>2539</v>
      </c>
      <c r="I817" s="4" t="s">
        <v>61</v>
      </c>
      <c r="J817" s="4" t="s">
        <v>29</v>
      </c>
      <c r="K817" s="4" t="s">
        <v>86</v>
      </c>
      <c r="L817" s="4" t="s">
        <v>287</v>
      </c>
      <c r="M817" s="4" t="s">
        <v>65</v>
      </c>
      <c r="N817" s="4" t="s">
        <v>54</v>
      </c>
      <c r="O817" s="4" t="s">
        <v>82</v>
      </c>
      <c r="P817" s="4" t="s">
        <v>74</v>
      </c>
      <c r="Q817" s="4">
        <v>6</v>
      </c>
      <c r="R817" s="4">
        <v>8860</v>
      </c>
      <c r="S817" s="5">
        <v>15</v>
      </c>
      <c r="T817" s="6">
        <f t="shared" si="36"/>
        <v>45186</v>
      </c>
      <c r="U817" s="4">
        <v>4981.58</v>
      </c>
      <c r="V817" t="str">
        <f t="shared" si="37"/>
        <v>Apr</v>
      </c>
      <c r="W817">
        <f t="shared" si="38"/>
        <v>0.11024609392289647</v>
      </c>
    </row>
    <row r="818" spans="1:23" x14ac:dyDescent="0.4">
      <c r="A818" s="4" t="s">
        <v>2540</v>
      </c>
      <c r="B818" s="4" t="s">
        <v>1895</v>
      </c>
      <c r="C818" s="11">
        <v>45463</v>
      </c>
      <c r="D818" s="4" t="s">
        <v>39</v>
      </c>
      <c r="E818" s="4" t="s">
        <v>24</v>
      </c>
      <c r="F818" s="4" t="s">
        <v>58</v>
      </c>
      <c r="G818" s="4" t="s">
        <v>99</v>
      </c>
      <c r="H818" s="4" t="s">
        <v>2541</v>
      </c>
      <c r="I818" s="4" t="s">
        <v>43</v>
      </c>
      <c r="J818" s="4" t="s">
        <v>62</v>
      </c>
      <c r="K818" s="4" t="s">
        <v>63</v>
      </c>
      <c r="L818" s="4" t="s">
        <v>287</v>
      </c>
      <c r="M818" s="4" t="s">
        <v>32</v>
      </c>
      <c r="N818" s="4" t="s">
        <v>54</v>
      </c>
      <c r="O818" s="4" t="s">
        <v>34</v>
      </c>
      <c r="P818" s="4" t="s">
        <v>74</v>
      </c>
      <c r="Q818" s="4">
        <v>4</v>
      </c>
      <c r="R818" s="4">
        <v>9631</v>
      </c>
      <c r="S818" s="5">
        <v>20</v>
      </c>
      <c r="T818" s="6">
        <f t="shared" si="36"/>
        <v>30819.200000000001</v>
      </c>
      <c r="U818" s="4">
        <v>-4075.9</v>
      </c>
      <c r="V818" t="str">
        <f t="shared" si="37"/>
        <v>Jun</v>
      </c>
      <c r="W818">
        <f t="shared" si="38"/>
        <v>-0.13225197279617901</v>
      </c>
    </row>
    <row r="819" spans="1:23" x14ac:dyDescent="0.4">
      <c r="A819" s="4" t="s">
        <v>2542</v>
      </c>
      <c r="B819" s="4" t="s">
        <v>123</v>
      </c>
      <c r="C819" s="11">
        <v>44621</v>
      </c>
      <c r="D819" s="4" t="s">
        <v>23</v>
      </c>
      <c r="E819" s="4" t="s">
        <v>24</v>
      </c>
      <c r="F819" s="4" t="s">
        <v>26</v>
      </c>
      <c r="G819" s="4" t="s">
        <v>26</v>
      </c>
      <c r="H819" s="4" t="s">
        <v>2543</v>
      </c>
      <c r="I819" s="4" t="s">
        <v>43</v>
      </c>
      <c r="J819" s="4" t="s">
        <v>62</v>
      </c>
      <c r="K819" s="4" t="s">
        <v>101</v>
      </c>
      <c r="L819" s="4" t="s">
        <v>296</v>
      </c>
      <c r="M819" s="4" t="s">
        <v>73</v>
      </c>
      <c r="N819" s="4" t="s">
        <v>54</v>
      </c>
      <c r="O819" s="4" t="s">
        <v>66</v>
      </c>
      <c r="P819" s="4" t="s">
        <v>47</v>
      </c>
      <c r="Q819" s="4">
        <v>8</v>
      </c>
      <c r="R819" s="4">
        <v>14900</v>
      </c>
      <c r="S819" s="5">
        <v>5</v>
      </c>
      <c r="T819" s="6">
        <f t="shared" si="36"/>
        <v>113240</v>
      </c>
      <c r="U819" s="4">
        <v>12741.86</v>
      </c>
      <c r="V819" t="str">
        <f t="shared" si="37"/>
        <v>Feb</v>
      </c>
      <c r="W819">
        <f t="shared" si="38"/>
        <v>0.11252084069233487</v>
      </c>
    </row>
    <row r="820" spans="1:23" x14ac:dyDescent="0.4">
      <c r="A820" s="4" t="s">
        <v>2544</v>
      </c>
      <c r="B820" s="4" t="s">
        <v>1850</v>
      </c>
      <c r="C820" s="11">
        <v>45035</v>
      </c>
      <c r="D820" s="4" t="s">
        <v>23</v>
      </c>
      <c r="E820" s="4" t="s">
        <v>24</v>
      </c>
      <c r="F820" s="4" t="s">
        <v>58</v>
      </c>
      <c r="G820" s="4" t="s">
        <v>99</v>
      </c>
      <c r="H820" s="4" t="s">
        <v>2545</v>
      </c>
      <c r="I820" s="4" t="s">
        <v>28</v>
      </c>
      <c r="J820" s="4" t="s">
        <v>62</v>
      </c>
      <c r="K820" s="4" t="s">
        <v>63</v>
      </c>
      <c r="L820" s="4" t="s">
        <v>993</v>
      </c>
      <c r="M820" s="4" t="s">
        <v>32</v>
      </c>
      <c r="N820" s="4" t="s">
        <v>33</v>
      </c>
      <c r="O820" s="4" t="s">
        <v>82</v>
      </c>
      <c r="P820" s="4" t="s">
        <v>35</v>
      </c>
      <c r="Q820" s="4">
        <v>6</v>
      </c>
      <c r="R820" s="4">
        <v>29830</v>
      </c>
      <c r="S820" s="5">
        <v>10</v>
      </c>
      <c r="T820" s="6">
        <f t="shared" si="36"/>
        <v>161082</v>
      </c>
      <c r="U820" s="4">
        <v>31707.77</v>
      </c>
      <c r="V820" t="str">
        <f t="shared" si="37"/>
        <v>Apr</v>
      </c>
      <c r="W820">
        <f t="shared" si="38"/>
        <v>0.19684241566407171</v>
      </c>
    </row>
    <row r="821" spans="1:23" x14ac:dyDescent="0.4">
      <c r="A821" s="4" t="s">
        <v>2546</v>
      </c>
      <c r="B821" s="4" t="s">
        <v>819</v>
      </c>
      <c r="C821" s="11">
        <v>44762</v>
      </c>
      <c r="D821" s="4" t="s">
        <v>39</v>
      </c>
      <c r="E821" s="4" t="s">
        <v>24</v>
      </c>
      <c r="F821" s="4" t="s">
        <v>40</v>
      </c>
      <c r="G821" s="4" t="s">
        <v>92</v>
      </c>
      <c r="H821" s="4" t="s">
        <v>2547</v>
      </c>
      <c r="I821" s="4" t="s">
        <v>28</v>
      </c>
      <c r="J821" s="4" t="s">
        <v>79</v>
      </c>
      <c r="K821" s="4" t="s">
        <v>153</v>
      </c>
      <c r="L821" s="4" t="s">
        <v>135</v>
      </c>
      <c r="M821" s="4" t="s">
        <v>53</v>
      </c>
      <c r="N821" s="4" t="s">
        <v>54</v>
      </c>
      <c r="O821" s="4" t="s">
        <v>34</v>
      </c>
      <c r="P821" s="4" t="s">
        <v>74</v>
      </c>
      <c r="Q821" s="4">
        <v>4</v>
      </c>
      <c r="R821" s="4">
        <v>4512</v>
      </c>
      <c r="S821" s="5">
        <v>5</v>
      </c>
      <c r="T821" s="6">
        <f t="shared" si="36"/>
        <v>17145.599999999999</v>
      </c>
      <c r="U821" s="4">
        <v>556.9</v>
      </c>
      <c r="V821" t="str">
        <f t="shared" si="37"/>
        <v>Jul</v>
      </c>
      <c r="W821">
        <f t="shared" si="38"/>
        <v>3.2480636431504291E-2</v>
      </c>
    </row>
    <row r="822" spans="1:23" x14ac:dyDescent="0.4">
      <c r="A822" s="4" t="s">
        <v>2548</v>
      </c>
      <c r="B822" s="4" t="s">
        <v>1596</v>
      </c>
      <c r="C822" s="11">
        <v>45137</v>
      </c>
      <c r="D822" s="4" t="s">
        <v>98</v>
      </c>
      <c r="E822" s="4" t="s">
        <v>24</v>
      </c>
      <c r="F822" s="4" t="s">
        <v>40</v>
      </c>
      <c r="G822" s="4" t="s">
        <v>99</v>
      </c>
      <c r="H822" s="4" t="s">
        <v>2549</v>
      </c>
      <c r="I822" s="4" t="s">
        <v>43</v>
      </c>
      <c r="J822" s="4" t="s">
        <v>79</v>
      </c>
      <c r="K822" s="4" t="s">
        <v>101</v>
      </c>
      <c r="L822" s="4" t="s">
        <v>45</v>
      </c>
      <c r="M822" s="4" t="s">
        <v>65</v>
      </c>
      <c r="N822" s="4" t="s">
        <v>33</v>
      </c>
      <c r="O822" s="4" t="s">
        <v>120</v>
      </c>
      <c r="P822" s="4" t="s">
        <v>47</v>
      </c>
      <c r="Q822" s="4">
        <v>6</v>
      </c>
      <c r="R822" s="4">
        <v>6467</v>
      </c>
      <c r="S822" s="5">
        <v>10</v>
      </c>
      <c r="T822" s="6">
        <f t="shared" si="36"/>
        <v>34921.800000000003</v>
      </c>
      <c r="U822" s="4">
        <v>-1828.11</v>
      </c>
      <c r="V822" t="str">
        <f t="shared" si="37"/>
        <v>Jul</v>
      </c>
      <c r="W822">
        <f t="shared" si="38"/>
        <v>-5.2348676185076361E-2</v>
      </c>
    </row>
    <row r="823" spans="1:23" x14ac:dyDescent="0.4">
      <c r="A823" s="4" t="s">
        <v>2550</v>
      </c>
      <c r="B823" s="4" t="s">
        <v>2551</v>
      </c>
      <c r="C823" s="11">
        <v>45430</v>
      </c>
      <c r="D823" s="4" t="s">
        <v>39</v>
      </c>
      <c r="E823" s="4" t="s">
        <v>24</v>
      </c>
      <c r="F823" s="4" t="s">
        <v>70</v>
      </c>
      <c r="G823" s="4" t="s">
        <v>92</v>
      </c>
      <c r="H823" s="4" t="s">
        <v>2553</v>
      </c>
      <c r="I823" s="4" t="s">
        <v>43</v>
      </c>
      <c r="J823" s="4" t="s">
        <v>79</v>
      </c>
      <c r="K823" s="4" t="s">
        <v>30</v>
      </c>
      <c r="L823" s="4" t="s">
        <v>126</v>
      </c>
      <c r="M823" s="4" t="s">
        <v>81</v>
      </c>
      <c r="N823" s="4" t="s">
        <v>33</v>
      </c>
      <c r="O823" s="4" t="s">
        <v>82</v>
      </c>
      <c r="P823" s="4" t="s">
        <v>35</v>
      </c>
      <c r="Q823" s="4">
        <v>4</v>
      </c>
      <c r="R823" s="4">
        <v>33784</v>
      </c>
      <c r="S823" s="5">
        <v>0</v>
      </c>
      <c r="T823" s="6">
        <f t="shared" si="36"/>
        <v>135136</v>
      </c>
      <c r="U823" s="4">
        <v>27993.34</v>
      </c>
      <c r="V823" t="str">
        <f t="shared" si="37"/>
        <v>May</v>
      </c>
      <c r="W823">
        <f t="shared" si="38"/>
        <v>0.20714939024390244</v>
      </c>
    </row>
    <row r="824" spans="1:23" x14ac:dyDescent="0.4">
      <c r="A824" s="4" t="s">
        <v>2554</v>
      </c>
      <c r="B824" s="4" t="s">
        <v>612</v>
      </c>
      <c r="C824" s="11">
        <v>44667</v>
      </c>
      <c r="D824" s="4" t="s">
        <v>39</v>
      </c>
      <c r="E824" s="4" t="s">
        <v>24</v>
      </c>
      <c r="F824" s="4" t="s">
        <v>25</v>
      </c>
      <c r="G824" s="4" t="s">
        <v>59</v>
      </c>
      <c r="H824" s="4" t="s">
        <v>2556</v>
      </c>
      <c r="I824" s="4" t="s">
        <v>28</v>
      </c>
      <c r="J824" s="4" t="s">
        <v>29</v>
      </c>
      <c r="K824" s="4" t="s">
        <v>153</v>
      </c>
      <c r="L824" s="4" t="s">
        <v>569</v>
      </c>
      <c r="M824" s="4" t="s">
        <v>95</v>
      </c>
      <c r="N824" s="4" t="s">
        <v>54</v>
      </c>
      <c r="O824" s="4" t="s">
        <v>66</v>
      </c>
      <c r="P824" s="4" t="s">
        <v>35</v>
      </c>
      <c r="Q824" s="4">
        <v>1</v>
      </c>
      <c r="R824" s="4">
        <v>25657</v>
      </c>
      <c r="S824" s="5">
        <v>15</v>
      </c>
      <c r="T824" s="6">
        <f t="shared" si="36"/>
        <v>21808.45</v>
      </c>
      <c r="U824" s="4">
        <v>978.45</v>
      </c>
      <c r="V824" t="str">
        <f t="shared" si="37"/>
        <v>Apr</v>
      </c>
      <c r="W824">
        <f t="shared" si="38"/>
        <v>4.4865636943478331E-2</v>
      </c>
    </row>
    <row r="825" spans="1:23" x14ac:dyDescent="0.4">
      <c r="A825" s="4" t="s">
        <v>2557</v>
      </c>
      <c r="B825" s="4" t="s">
        <v>594</v>
      </c>
      <c r="C825" s="11">
        <v>45288</v>
      </c>
      <c r="D825" s="4" t="s">
        <v>39</v>
      </c>
      <c r="E825" s="4" t="s">
        <v>24</v>
      </c>
      <c r="F825" s="4" t="s">
        <v>25</v>
      </c>
      <c r="G825" s="4" t="s">
        <v>92</v>
      </c>
      <c r="H825" s="4" t="s">
        <v>2558</v>
      </c>
      <c r="I825" s="4" t="s">
        <v>61</v>
      </c>
      <c r="J825" s="4" t="s">
        <v>62</v>
      </c>
      <c r="K825" s="4" t="s">
        <v>63</v>
      </c>
      <c r="L825" s="4" t="s">
        <v>1453</v>
      </c>
      <c r="M825" s="4" t="s">
        <v>53</v>
      </c>
      <c r="N825" s="4" t="s">
        <v>33</v>
      </c>
      <c r="O825" s="4" t="s">
        <v>66</v>
      </c>
      <c r="P825" s="4" t="s">
        <v>88</v>
      </c>
      <c r="Q825" s="4">
        <v>4</v>
      </c>
      <c r="R825" s="4">
        <v>42451</v>
      </c>
      <c r="S825" s="5">
        <v>15</v>
      </c>
      <c r="T825" s="6">
        <f t="shared" si="36"/>
        <v>144333.4</v>
      </c>
      <c r="U825" s="4">
        <v>5287.75</v>
      </c>
      <c r="V825" t="str">
        <f t="shared" si="37"/>
        <v>Dec</v>
      </c>
      <c r="W825">
        <f t="shared" si="38"/>
        <v>3.6635664371517614E-2</v>
      </c>
    </row>
    <row r="826" spans="1:23" x14ac:dyDescent="0.4">
      <c r="A826" s="4" t="s">
        <v>2559</v>
      </c>
      <c r="B826" s="4" t="s">
        <v>1963</v>
      </c>
      <c r="C826" s="11">
        <v>44917</v>
      </c>
      <c r="D826" s="4" t="s">
        <v>23</v>
      </c>
      <c r="E826" s="4" t="s">
        <v>24</v>
      </c>
      <c r="F826" s="4" t="s">
        <v>58</v>
      </c>
      <c r="G826" s="4" t="s">
        <v>59</v>
      </c>
      <c r="H826" s="4" t="s">
        <v>2561</v>
      </c>
      <c r="I826" s="4" t="s">
        <v>61</v>
      </c>
      <c r="J826" s="4" t="s">
        <v>79</v>
      </c>
      <c r="K826" s="4" t="s">
        <v>101</v>
      </c>
      <c r="L826" s="4" t="s">
        <v>661</v>
      </c>
      <c r="M826" s="4" t="s">
        <v>53</v>
      </c>
      <c r="N826" s="4" t="s">
        <v>54</v>
      </c>
      <c r="O826" s="4" t="s">
        <v>46</v>
      </c>
      <c r="P826" s="4" t="s">
        <v>88</v>
      </c>
      <c r="Q826" s="4">
        <v>7</v>
      </c>
      <c r="R826" s="4">
        <v>6463</v>
      </c>
      <c r="S826" s="5">
        <v>5</v>
      </c>
      <c r="T826" s="6">
        <f t="shared" si="36"/>
        <v>42978.95</v>
      </c>
      <c r="U826" s="4">
        <v>6510.35</v>
      </c>
      <c r="V826" t="str">
        <f t="shared" si="37"/>
        <v>Dec</v>
      </c>
      <c r="W826">
        <f t="shared" si="38"/>
        <v>0.15147764196193719</v>
      </c>
    </row>
    <row r="827" spans="1:23" x14ac:dyDescent="0.4">
      <c r="A827" s="4" t="s">
        <v>2562</v>
      </c>
      <c r="B827" s="4" t="s">
        <v>341</v>
      </c>
      <c r="C827" s="11">
        <v>45511</v>
      </c>
      <c r="D827" s="4" t="s">
        <v>39</v>
      </c>
      <c r="E827" s="4" t="s">
        <v>24</v>
      </c>
      <c r="F827" s="4" t="s">
        <v>70</v>
      </c>
      <c r="G827" s="4" t="s">
        <v>26</v>
      </c>
      <c r="H827" s="4" t="s">
        <v>2563</v>
      </c>
      <c r="I827" s="4" t="s">
        <v>43</v>
      </c>
      <c r="J827" s="4" t="s">
        <v>79</v>
      </c>
      <c r="K827" s="4" t="s">
        <v>86</v>
      </c>
      <c r="L827" s="4" t="s">
        <v>102</v>
      </c>
      <c r="M827" s="4" t="s">
        <v>53</v>
      </c>
      <c r="N827" s="4" t="s">
        <v>54</v>
      </c>
      <c r="O827" s="4" t="s">
        <v>46</v>
      </c>
      <c r="P827" s="4" t="s">
        <v>88</v>
      </c>
      <c r="Q827" s="4">
        <v>6</v>
      </c>
      <c r="R827" s="4">
        <v>9134</v>
      </c>
      <c r="S827" s="5">
        <v>15</v>
      </c>
      <c r="T827" s="6">
        <f t="shared" si="36"/>
        <v>46583.4</v>
      </c>
      <c r="U827" s="4">
        <v>-4740.59</v>
      </c>
      <c r="V827" t="str">
        <f t="shared" si="37"/>
        <v>Aug</v>
      </c>
      <c r="W827">
        <f t="shared" si="38"/>
        <v>-0.10176565042482945</v>
      </c>
    </row>
    <row r="828" spans="1:23" x14ac:dyDescent="0.4">
      <c r="A828" s="4" t="s">
        <v>2564</v>
      </c>
      <c r="B828" s="4" t="s">
        <v>375</v>
      </c>
      <c r="C828" s="11">
        <v>44855</v>
      </c>
      <c r="D828" s="4" t="s">
        <v>23</v>
      </c>
      <c r="E828" s="4" t="s">
        <v>24</v>
      </c>
      <c r="F828" s="4" t="s">
        <v>26</v>
      </c>
      <c r="G828" s="4" t="s">
        <v>99</v>
      </c>
      <c r="H828" s="4" t="s">
        <v>2565</v>
      </c>
      <c r="I828" s="4" t="s">
        <v>43</v>
      </c>
      <c r="J828" s="4" t="s">
        <v>29</v>
      </c>
      <c r="K828" s="4" t="s">
        <v>153</v>
      </c>
      <c r="L828" s="4" t="s">
        <v>530</v>
      </c>
      <c r="M828" s="4" t="s">
        <v>32</v>
      </c>
      <c r="N828" s="4" t="s">
        <v>33</v>
      </c>
      <c r="O828" s="4" t="s">
        <v>120</v>
      </c>
      <c r="P828" s="4" t="s">
        <v>88</v>
      </c>
      <c r="Q828" s="4">
        <v>10</v>
      </c>
      <c r="R828" s="4">
        <v>3332</v>
      </c>
      <c r="S828" s="5">
        <v>15</v>
      </c>
      <c r="T828" s="6">
        <f t="shared" si="36"/>
        <v>28322</v>
      </c>
      <c r="U828" s="4">
        <v>-3082.61</v>
      </c>
      <c r="V828" t="str">
        <f t="shared" si="37"/>
        <v>Oct</v>
      </c>
      <c r="W828">
        <f t="shared" si="38"/>
        <v>-0.10884153661464586</v>
      </c>
    </row>
    <row r="829" spans="1:23" x14ac:dyDescent="0.4">
      <c r="A829" s="4" t="s">
        <v>2566</v>
      </c>
      <c r="B829" s="4" t="s">
        <v>146</v>
      </c>
      <c r="C829" s="11">
        <v>44689</v>
      </c>
      <c r="D829" s="4" t="s">
        <v>23</v>
      </c>
      <c r="E829" s="4" t="s">
        <v>24</v>
      </c>
      <c r="F829" s="4" t="s">
        <v>40</v>
      </c>
      <c r="G829" s="4" t="s">
        <v>26</v>
      </c>
      <c r="H829" s="4" t="s">
        <v>2567</v>
      </c>
      <c r="I829" s="4" t="s">
        <v>43</v>
      </c>
      <c r="J829" s="4" t="s">
        <v>62</v>
      </c>
      <c r="K829" s="4" t="s">
        <v>44</v>
      </c>
      <c r="L829" s="4" t="s">
        <v>812</v>
      </c>
      <c r="M829" s="4" t="s">
        <v>81</v>
      </c>
      <c r="N829" s="4" t="s">
        <v>54</v>
      </c>
      <c r="O829" s="4" t="s">
        <v>34</v>
      </c>
      <c r="P829" s="4" t="s">
        <v>74</v>
      </c>
      <c r="Q829" s="4">
        <v>2</v>
      </c>
      <c r="R829" s="4">
        <v>15195</v>
      </c>
      <c r="S829" s="5">
        <v>5</v>
      </c>
      <c r="T829" s="6">
        <f t="shared" si="36"/>
        <v>28870.5</v>
      </c>
      <c r="U829" s="4">
        <v>3911.2</v>
      </c>
      <c r="V829" t="str">
        <f t="shared" si="37"/>
        <v>May</v>
      </c>
      <c r="W829">
        <f t="shared" si="38"/>
        <v>0.13547392667255503</v>
      </c>
    </row>
    <row r="830" spans="1:23" x14ac:dyDescent="0.4">
      <c r="A830" s="4" t="s">
        <v>2568</v>
      </c>
      <c r="B830" s="4" t="s">
        <v>2569</v>
      </c>
      <c r="C830" s="11">
        <v>44666</v>
      </c>
      <c r="D830" s="4" t="s">
        <v>39</v>
      </c>
      <c r="E830" s="4" t="s">
        <v>24</v>
      </c>
      <c r="F830" s="4" t="s">
        <v>26</v>
      </c>
      <c r="G830" s="4" t="s">
        <v>92</v>
      </c>
      <c r="H830" s="4" t="s">
        <v>2570</v>
      </c>
      <c r="I830" s="4" t="s">
        <v>43</v>
      </c>
      <c r="J830" s="4" t="s">
        <v>29</v>
      </c>
      <c r="K830" s="4" t="s">
        <v>86</v>
      </c>
      <c r="L830" s="4" t="s">
        <v>826</v>
      </c>
      <c r="M830" s="4" t="s">
        <v>73</v>
      </c>
      <c r="N830" s="4" t="s">
        <v>54</v>
      </c>
      <c r="O830" s="4" t="s">
        <v>34</v>
      </c>
      <c r="P830" s="4" t="s">
        <v>88</v>
      </c>
      <c r="Q830" s="4">
        <v>3</v>
      </c>
      <c r="R830" s="4">
        <v>11576</v>
      </c>
      <c r="S830" s="5">
        <v>0</v>
      </c>
      <c r="T830" s="6">
        <f t="shared" si="36"/>
        <v>34728</v>
      </c>
      <c r="U830" s="4">
        <v>2169.8200000000002</v>
      </c>
      <c r="V830" t="str">
        <f t="shared" si="37"/>
        <v>Apr</v>
      </c>
      <c r="W830">
        <f t="shared" si="38"/>
        <v>6.2480419258235435E-2</v>
      </c>
    </row>
    <row r="831" spans="1:23" x14ac:dyDescent="0.4">
      <c r="A831" s="4" t="s">
        <v>2571</v>
      </c>
      <c r="B831" s="4" t="s">
        <v>1015</v>
      </c>
      <c r="C831" s="11">
        <v>45003</v>
      </c>
      <c r="D831" s="4" t="s">
        <v>124</v>
      </c>
      <c r="E831" s="4" t="s">
        <v>24</v>
      </c>
      <c r="F831" s="4" t="s">
        <v>25</v>
      </c>
      <c r="G831" s="4" t="s">
        <v>92</v>
      </c>
      <c r="H831" s="4" t="s">
        <v>2572</v>
      </c>
      <c r="I831" s="4" t="s">
        <v>28</v>
      </c>
      <c r="J831" s="4" t="s">
        <v>79</v>
      </c>
      <c r="K831" s="4" t="s">
        <v>44</v>
      </c>
      <c r="L831" s="4" t="s">
        <v>324</v>
      </c>
      <c r="M831" s="4" t="s">
        <v>95</v>
      </c>
      <c r="N831" s="4" t="s">
        <v>54</v>
      </c>
      <c r="O831" s="4" t="s">
        <v>120</v>
      </c>
      <c r="P831" s="4" t="s">
        <v>47</v>
      </c>
      <c r="Q831" s="4">
        <v>7</v>
      </c>
      <c r="R831" s="4">
        <v>48837</v>
      </c>
      <c r="S831" s="5">
        <v>10</v>
      </c>
      <c r="T831" s="6">
        <f t="shared" si="36"/>
        <v>307673.09999999998</v>
      </c>
      <c r="U831" s="4">
        <v>58343.9</v>
      </c>
      <c r="V831" t="str">
        <f t="shared" si="37"/>
        <v>Mar</v>
      </c>
      <c r="W831">
        <f t="shared" si="38"/>
        <v>0.18962951262232547</v>
      </c>
    </row>
    <row r="832" spans="1:23" x14ac:dyDescent="0.4">
      <c r="A832" s="4" t="s">
        <v>2573</v>
      </c>
      <c r="B832" s="4" t="s">
        <v>2574</v>
      </c>
      <c r="C832" s="11">
        <v>44568</v>
      </c>
      <c r="D832" s="4" t="s">
        <v>23</v>
      </c>
      <c r="E832" s="4" t="s">
        <v>24</v>
      </c>
      <c r="F832" s="4" t="s">
        <v>40</v>
      </c>
      <c r="G832" s="4" t="s">
        <v>59</v>
      </c>
      <c r="H832" s="4" t="s">
        <v>2575</v>
      </c>
      <c r="I832" s="4" t="s">
        <v>43</v>
      </c>
      <c r="J832" s="4" t="s">
        <v>62</v>
      </c>
      <c r="K832" s="4" t="s">
        <v>63</v>
      </c>
      <c r="L832" s="4" t="s">
        <v>839</v>
      </c>
      <c r="M832" s="4" t="s">
        <v>73</v>
      </c>
      <c r="N832" s="4" t="s">
        <v>33</v>
      </c>
      <c r="O832" s="4" t="s">
        <v>120</v>
      </c>
      <c r="P832" s="4" t="s">
        <v>88</v>
      </c>
      <c r="Q832" s="4">
        <v>10</v>
      </c>
      <c r="R832" s="4">
        <v>34149</v>
      </c>
      <c r="S832" s="5">
        <v>0</v>
      </c>
      <c r="T832" s="6">
        <f t="shared" si="36"/>
        <v>341490</v>
      </c>
      <c r="U832" s="4">
        <v>57508.12</v>
      </c>
      <c r="V832" t="str">
        <f t="shared" si="37"/>
        <v>Jan</v>
      </c>
      <c r="W832">
        <f t="shared" si="38"/>
        <v>0.16840352572549711</v>
      </c>
    </row>
    <row r="833" spans="1:23" x14ac:dyDescent="0.4">
      <c r="A833" s="4" t="s">
        <v>2576</v>
      </c>
      <c r="B833" s="4" t="s">
        <v>123</v>
      </c>
      <c r="C833" s="11">
        <v>44623</v>
      </c>
      <c r="D833" s="4" t="s">
        <v>124</v>
      </c>
      <c r="E833" s="4" t="s">
        <v>24</v>
      </c>
      <c r="F833" s="4" t="s">
        <v>40</v>
      </c>
      <c r="G833" s="4" t="s">
        <v>92</v>
      </c>
      <c r="H833" s="4" t="s">
        <v>2577</v>
      </c>
      <c r="I833" s="4" t="s">
        <v>61</v>
      </c>
      <c r="J833" s="4" t="s">
        <v>79</v>
      </c>
      <c r="K833" s="4" t="s">
        <v>63</v>
      </c>
      <c r="L833" s="4" t="s">
        <v>1812</v>
      </c>
      <c r="M833" s="4" t="s">
        <v>32</v>
      </c>
      <c r="N833" s="4" t="s">
        <v>33</v>
      </c>
      <c r="O833" s="4" t="s">
        <v>120</v>
      </c>
      <c r="P833" s="4" t="s">
        <v>35</v>
      </c>
      <c r="Q833" s="4">
        <v>1</v>
      </c>
      <c r="R833" s="4">
        <v>40688</v>
      </c>
      <c r="S833" s="5">
        <v>0</v>
      </c>
      <c r="T833" s="6">
        <f t="shared" si="36"/>
        <v>40688</v>
      </c>
      <c r="U833" s="4">
        <v>4313.7700000000004</v>
      </c>
      <c r="V833" t="str">
        <f t="shared" si="37"/>
        <v>Feb</v>
      </c>
      <c r="W833">
        <f t="shared" si="38"/>
        <v>0.10602069406213135</v>
      </c>
    </row>
    <row r="834" spans="1:23" x14ac:dyDescent="0.4">
      <c r="A834" s="4" t="s">
        <v>2578</v>
      </c>
      <c r="B834" s="4" t="s">
        <v>790</v>
      </c>
      <c r="C834" s="11">
        <v>45197</v>
      </c>
      <c r="D834" s="4" t="s">
        <v>124</v>
      </c>
      <c r="E834" s="4" t="s">
        <v>24</v>
      </c>
      <c r="F834" s="4" t="s">
        <v>70</v>
      </c>
      <c r="G834" s="4" t="s">
        <v>59</v>
      </c>
      <c r="H834" s="4" t="s">
        <v>2579</v>
      </c>
      <c r="I834" s="4" t="s">
        <v>43</v>
      </c>
      <c r="J834" s="4" t="s">
        <v>79</v>
      </c>
      <c r="K834" s="4" t="s">
        <v>86</v>
      </c>
      <c r="L834" s="4" t="s">
        <v>500</v>
      </c>
      <c r="M834" s="4" t="s">
        <v>95</v>
      </c>
      <c r="N834" s="4" t="s">
        <v>33</v>
      </c>
      <c r="O834" s="4" t="s">
        <v>120</v>
      </c>
      <c r="P834" s="4" t="s">
        <v>88</v>
      </c>
      <c r="Q834" s="4">
        <v>7</v>
      </c>
      <c r="R834" s="4">
        <v>16789</v>
      </c>
      <c r="S834" s="5">
        <v>0</v>
      </c>
      <c r="T834" s="6">
        <f t="shared" si="36"/>
        <v>117523</v>
      </c>
      <c r="U834" s="4">
        <v>28994.240000000002</v>
      </c>
      <c r="V834" t="str">
        <f t="shared" si="37"/>
        <v>Sep</v>
      </c>
      <c r="W834">
        <f t="shared" si="38"/>
        <v>0.24671119695719138</v>
      </c>
    </row>
    <row r="835" spans="1:23" x14ac:dyDescent="0.4">
      <c r="A835" s="4" t="s">
        <v>2580</v>
      </c>
      <c r="B835" s="4" t="s">
        <v>211</v>
      </c>
      <c r="C835" s="11">
        <v>45450</v>
      </c>
      <c r="D835" s="4" t="s">
        <v>39</v>
      </c>
      <c r="E835" s="4" t="s">
        <v>24</v>
      </c>
      <c r="F835" s="4" t="s">
        <v>58</v>
      </c>
      <c r="G835" s="4" t="s">
        <v>41</v>
      </c>
      <c r="H835" s="4" t="s">
        <v>2581</v>
      </c>
      <c r="I835" s="4" t="s">
        <v>61</v>
      </c>
      <c r="J835" s="4" t="s">
        <v>62</v>
      </c>
      <c r="K835" s="4" t="s">
        <v>153</v>
      </c>
      <c r="L835" s="4" t="s">
        <v>723</v>
      </c>
      <c r="M835" s="4" t="s">
        <v>73</v>
      </c>
      <c r="N835" s="4" t="s">
        <v>33</v>
      </c>
      <c r="O835" s="4" t="s">
        <v>82</v>
      </c>
      <c r="P835" s="4" t="s">
        <v>88</v>
      </c>
      <c r="Q835" s="4">
        <v>9</v>
      </c>
      <c r="R835" s="4">
        <v>5435</v>
      </c>
      <c r="S835" s="5">
        <v>20</v>
      </c>
      <c r="T835" s="6">
        <f t="shared" ref="T835:T898" si="39">Q835*R835*(100-S835)/100</f>
        <v>39132</v>
      </c>
      <c r="U835" s="4">
        <v>2583.94</v>
      </c>
      <c r="V835" t="str">
        <f t="shared" ref="V835:V898" si="40">TEXT(B835,"MMM")</f>
        <v>Jun</v>
      </c>
      <c r="W835">
        <f t="shared" ref="W835:W898" si="41">U835/T835</f>
        <v>6.6031380966983549E-2</v>
      </c>
    </row>
    <row r="836" spans="1:23" x14ac:dyDescent="0.4">
      <c r="A836" s="4" t="s">
        <v>2582</v>
      </c>
      <c r="B836" s="4" t="s">
        <v>1286</v>
      </c>
      <c r="C836" s="11">
        <v>45328</v>
      </c>
      <c r="D836" s="4" t="s">
        <v>98</v>
      </c>
      <c r="E836" s="4" t="s">
        <v>24</v>
      </c>
      <c r="F836" s="4" t="s">
        <v>58</v>
      </c>
      <c r="G836" s="4" t="s">
        <v>59</v>
      </c>
      <c r="H836" s="4" t="s">
        <v>2583</v>
      </c>
      <c r="I836" s="4" t="s">
        <v>28</v>
      </c>
      <c r="J836" s="4" t="s">
        <v>29</v>
      </c>
      <c r="K836" s="4" t="s">
        <v>63</v>
      </c>
      <c r="L836" s="4" t="s">
        <v>500</v>
      </c>
      <c r="M836" s="4" t="s">
        <v>32</v>
      </c>
      <c r="N836" s="4" t="s">
        <v>54</v>
      </c>
      <c r="O836" s="4" t="s">
        <v>46</v>
      </c>
      <c r="P836" s="4" t="s">
        <v>47</v>
      </c>
      <c r="Q836" s="4">
        <v>7</v>
      </c>
      <c r="R836" s="4">
        <v>10459</v>
      </c>
      <c r="S836" s="5">
        <v>20</v>
      </c>
      <c r="T836" s="6">
        <f t="shared" si="39"/>
        <v>58570.400000000001</v>
      </c>
      <c r="U836" s="4">
        <v>419.58</v>
      </c>
      <c r="V836" t="str">
        <f t="shared" si="40"/>
        <v>Feb</v>
      </c>
      <c r="W836">
        <f t="shared" si="41"/>
        <v>7.1636867769385212E-3</v>
      </c>
    </row>
    <row r="837" spans="1:23" x14ac:dyDescent="0.4">
      <c r="A837" s="4" t="s">
        <v>2584</v>
      </c>
      <c r="B837" s="4" t="s">
        <v>562</v>
      </c>
      <c r="C837" s="11">
        <v>45433</v>
      </c>
      <c r="D837" s="4" t="s">
        <v>124</v>
      </c>
      <c r="E837" s="4" t="s">
        <v>24</v>
      </c>
      <c r="F837" s="4" t="s">
        <v>58</v>
      </c>
      <c r="G837" s="4" t="s">
        <v>92</v>
      </c>
      <c r="H837" s="4" t="s">
        <v>2585</v>
      </c>
      <c r="I837" s="4" t="s">
        <v>43</v>
      </c>
      <c r="J837" s="4" t="s">
        <v>62</v>
      </c>
      <c r="K837" s="4" t="s">
        <v>30</v>
      </c>
      <c r="L837" s="4" t="s">
        <v>2203</v>
      </c>
      <c r="M837" s="4" t="s">
        <v>65</v>
      </c>
      <c r="N837" s="4" t="s">
        <v>54</v>
      </c>
      <c r="O837" s="4" t="s">
        <v>120</v>
      </c>
      <c r="P837" s="4" t="s">
        <v>35</v>
      </c>
      <c r="Q837" s="4">
        <v>3</v>
      </c>
      <c r="R837" s="4">
        <v>9369</v>
      </c>
      <c r="S837" s="5">
        <v>0</v>
      </c>
      <c r="T837" s="6">
        <f t="shared" si="39"/>
        <v>28107</v>
      </c>
      <c r="U837" s="4">
        <v>3193.16</v>
      </c>
      <c r="V837" t="str">
        <f t="shared" si="40"/>
        <v>May</v>
      </c>
      <c r="W837">
        <f t="shared" si="41"/>
        <v>0.11360728644110007</v>
      </c>
    </row>
    <row r="838" spans="1:23" x14ac:dyDescent="0.4">
      <c r="A838" s="4" t="s">
        <v>2586</v>
      </c>
      <c r="B838" s="4" t="s">
        <v>1670</v>
      </c>
      <c r="C838" s="11">
        <v>45097</v>
      </c>
      <c r="D838" s="4" t="s">
        <v>124</v>
      </c>
      <c r="E838" s="4" t="s">
        <v>24</v>
      </c>
      <c r="F838" s="4" t="s">
        <v>40</v>
      </c>
      <c r="G838" s="4" t="s">
        <v>92</v>
      </c>
      <c r="H838" s="4" t="s">
        <v>2587</v>
      </c>
      <c r="I838" s="4" t="s">
        <v>28</v>
      </c>
      <c r="J838" s="4" t="s">
        <v>62</v>
      </c>
      <c r="K838" s="4" t="s">
        <v>101</v>
      </c>
      <c r="L838" s="4" t="s">
        <v>2084</v>
      </c>
      <c r="M838" s="4" t="s">
        <v>95</v>
      </c>
      <c r="N838" s="4" t="s">
        <v>54</v>
      </c>
      <c r="O838" s="4" t="s">
        <v>34</v>
      </c>
      <c r="P838" s="4" t="s">
        <v>47</v>
      </c>
      <c r="Q838" s="4">
        <v>10</v>
      </c>
      <c r="R838" s="4">
        <v>19012</v>
      </c>
      <c r="S838" s="5">
        <v>10</v>
      </c>
      <c r="T838" s="6">
        <f t="shared" si="39"/>
        <v>171108</v>
      </c>
      <c r="U838" s="4">
        <v>29633.8</v>
      </c>
      <c r="V838" t="str">
        <f t="shared" si="40"/>
        <v>Jun</v>
      </c>
      <c r="W838">
        <f t="shared" si="41"/>
        <v>0.17318769432171494</v>
      </c>
    </row>
    <row r="839" spans="1:23" x14ac:dyDescent="0.4">
      <c r="A839" s="4" t="s">
        <v>2588</v>
      </c>
      <c r="B839" s="4" t="s">
        <v>321</v>
      </c>
      <c r="C839" s="11">
        <v>45420</v>
      </c>
      <c r="D839" s="4" t="s">
        <v>124</v>
      </c>
      <c r="E839" s="4" t="s">
        <v>24</v>
      </c>
      <c r="F839" s="4" t="s">
        <v>25</v>
      </c>
      <c r="G839" s="4" t="s">
        <v>92</v>
      </c>
      <c r="H839" s="4" t="s">
        <v>2589</v>
      </c>
      <c r="I839" s="4" t="s">
        <v>43</v>
      </c>
      <c r="J839" s="4" t="s">
        <v>29</v>
      </c>
      <c r="K839" s="4" t="s">
        <v>63</v>
      </c>
      <c r="L839" s="4" t="s">
        <v>1353</v>
      </c>
      <c r="M839" s="4" t="s">
        <v>73</v>
      </c>
      <c r="N839" s="4" t="s">
        <v>33</v>
      </c>
      <c r="O839" s="4" t="s">
        <v>46</v>
      </c>
      <c r="P839" s="4" t="s">
        <v>88</v>
      </c>
      <c r="Q839" s="4">
        <v>8</v>
      </c>
      <c r="R839" s="4">
        <v>21129</v>
      </c>
      <c r="S839" s="5">
        <v>10</v>
      </c>
      <c r="T839" s="6">
        <f t="shared" si="39"/>
        <v>152128.79999999999</v>
      </c>
      <c r="U839" s="4">
        <v>33555.25</v>
      </c>
      <c r="V839" t="str">
        <f t="shared" si="40"/>
        <v>May</v>
      </c>
      <c r="W839">
        <f t="shared" si="41"/>
        <v>0.22057131851431158</v>
      </c>
    </row>
    <row r="840" spans="1:23" x14ac:dyDescent="0.4">
      <c r="A840" s="4" t="s">
        <v>2590</v>
      </c>
      <c r="B840" s="4" t="s">
        <v>1561</v>
      </c>
      <c r="C840" s="11">
        <v>44956</v>
      </c>
      <c r="D840" s="4" t="s">
        <v>124</v>
      </c>
      <c r="E840" s="4" t="s">
        <v>24</v>
      </c>
      <c r="F840" s="4" t="s">
        <v>25</v>
      </c>
      <c r="G840" s="4" t="s">
        <v>59</v>
      </c>
      <c r="H840" s="4" t="s">
        <v>2591</v>
      </c>
      <c r="I840" s="4" t="s">
        <v>61</v>
      </c>
      <c r="J840" s="4" t="s">
        <v>62</v>
      </c>
      <c r="K840" s="4" t="s">
        <v>153</v>
      </c>
      <c r="L840" s="4" t="s">
        <v>2533</v>
      </c>
      <c r="M840" s="4" t="s">
        <v>81</v>
      </c>
      <c r="N840" s="4" t="s">
        <v>33</v>
      </c>
      <c r="O840" s="4" t="s">
        <v>120</v>
      </c>
      <c r="P840" s="4" t="s">
        <v>35</v>
      </c>
      <c r="Q840" s="4">
        <v>7</v>
      </c>
      <c r="R840" s="4">
        <v>40663</v>
      </c>
      <c r="S840" s="5">
        <v>0</v>
      </c>
      <c r="T840" s="6">
        <f t="shared" si="39"/>
        <v>284641</v>
      </c>
      <c r="U840" s="4">
        <v>52727.34</v>
      </c>
      <c r="V840" t="str">
        <f t="shared" si="40"/>
        <v>Jan</v>
      </c>
      <c r="W840">
        <f t="shared" si="41"/>
        <v>0.18524154988213221</v>
      </c>
    </row>
    <row r="841" spans="1:23" x14ac:dyDescent="0.4">
      <c r="A841" s="4" t="s">
        <v>2592</v>
      </c>
      <c r="B841" s="4" t="s">
        <v>2593</v>
      </c>
      <c r="C841" s="11">
        <v>45499</v>
      </c>
      <c r="D841" s="4" t="s">
        <v>124</v>
      </c>
      <c r="E841" s="4" t="s">
        <v>24</v>
      </c>
      <c r="F841" s="4" t="s">
        <v>70</v>
      </c>
      <c r="G841" s="4" t="s">
        <v>41</v>
      </c>
      <c r="H841" s="4" t="s">
        <v>2594</v>
      </c>
      <c r="I841" s="4" t="s">
        <v>61</v>
      </c>
      <c r="J841" s="4" t="s">
        <v>62</v>
      </c>
      <c r="K841" s="4" t="s">
        <v>101</v>
      </c>
      <c r="L841" s="4" t="s">
        <v>552</v>
      </c>
      <c r="M841" s="4" t="s">
        <v>32</v>
      </c>
      <c r="N841" s="4" t="s">
        <v>33</v>
      </c>
      <c r="O841" s="4" t="s">
        <v>66</v>
      </c>
      <c r="P841" s="4" t="s">
        <v>35</v>
      </c>
      <c r="Q841" s="4">
        <v>6</v>
      </c>
      <c r="R841" s="4">
        <v>30475</v>
      </c>
      <c r="S841" s="5">
        <v>15</v>
      </c>
      <c r="T841" s="6">
        <f t="shared" si="39"/>
        <v>155422.5</v>
      </c>
      <c r="U841" s="4">
        <v>23889.15</v>
      </c>
      <c r="V841" t="str">
        <f t="shared" si="40"/>
        <v>Jul</v>
      </c>
      <c r="W841">
        <f t="shared" si="41"/>
        <v>0.15370457945278193</v>
      </c>
    </row>
    <row r="842" spans="1:23" x14ac:dyDescent="0.4">
      <c r="A842" s="4" t="s">
        <v>2595</v>
      </c>
      <c r="B842" s="4" t="s">
        <v>455</v>
      </c>
      <c r="C842" s="11">
        <v>45503</v>
      </c>
      <c r="D842" s="4" t="s">
        <v>124</v>
      </c>
      <c r="E842" s="4" t="s">
        <v>24</v>
      </c>
      <c r="F842" s="4" t="s">
        <v>40</v>
      </c>
      <c r="G842" s="4" t="s">
        <v>59</v>
      </c>
      <c r="H842" s="4" t="s">
        <v>2596</v>
      </c>
      <c r="I842" s="4" t="s">
        <v>28</v>
      </c>
      <c r="J842" s="4" t="s">
        <v>79</v>
      </c>
      <c r="K842" s="4" t="s">
        <v>153</v>
      </c>
      <c r="L842" s="4" t="s">
        <v>1701</v>
      </c>
      <c r="M842" s="4" t="s">
        <v>65</v>
      </c>
      <c r="N842" s="4" t="s">
        <v>33</v>
      </c>
      <c r="O842" s="4" t="s">
        <v>46</v>
      </c>
      <c r="P842" s="4" t="s">
        <v>74</v>
      </c>
      <c r="Q842" s="4">
        <v>4</v>
      </c>
      <c r="R842" s="4">
        <v>8507</v>
      </c>
      <c r="S842" s="5">
        <v>20</v>
      </c>
      <c r="T842" s="6">
        <f t="shared" si="39"/>
        <v>27222.400000000001</v>
      </c>
      <c r="U842" s="4">
        <v>-2803.07</v>
      </c>
      <c r="V842" t="str">
        <f t="shared" si="40"/>
        <v>Jul</v>
      </c>
      <c r="W842">
        <f t="shared" si="41"/>
        <v>-0.10296924591512872</v>
      </c>
    </row>
    <row r="843" spans="1:23" x14ac:dyDescent="0.4">
      <c r="A843" s="4" t="s">
        <v>2597</v>
      </c>
      <c r="B843" s="4" t="s">
        <v>37</v>
      </c>
      <c r="C843" s="11">
        <v>45357</v>
      </c>
      <c r="D843" s="4" t="s">
        <v>124</v>
      </c>
      <c r="E843" s="4" t="s">
        <v>24</v>
      </c>
      <c r="F843" s="4" t="s">
        <v>40</v>
      </c>
      <c r="G843" s="4" t="s">
        <v>41</v>
      </c>
      <c r="H843" s="4" t="s">
        <v>2598</v>
      </c>
      <c r="I843" s="4" t="s">
        <v>43</v>
      </c>
      <c r="J843" s="4" t="s">
        <v>62</v>
      </c>
      <c r="K843" s="4" t="s">
        <v>101</v>
      </c>
      <c r="L843" s="4" t="s">
        <v>500</v>
      </c>
      <c r="M843" s="4" t="s">
        <v>81</v>
      </c>
      <c r="N843" s="4" t="s">
        <v>54</v>
      </c>
      <c r="O843" s="4" t="s">
        <v>120</v>
      </c>
      <c r="P843" s="4" t="s">
        <v>88</v>
      </c>
      <c r="Q843" s="4">
        <v>1</v>
      </c>
      <c r="R843" s="4">
        <v>18781</v>
      </c>
      <c r="S843" s="5">
        <v>5</v>
      </c>
      <c r="T843" s="6">
        <f t="shared" si="39"/>
        <v>17841.95</v>
      </c>
      <c r="U843" s="4">
        <v>3167.79</v>
      </c>
      <c r="V843" t="str">
        <f t="shared" si="40"/>
        <v>Mar</v>
      </c>
      <c r="W843">
        <f t="shared" si="41"/>
        <v>0.1775472972404922</v>
      </c>
    </row>
    <row r="844" spans="1:23" x14ac:dyDescent="0.4">
      <c r="A844" s="4" t="s">
        <v>2599</v>
      </c>
      <c r="B844" s="4" t="s">
        <v>2600</v>
      </c>
      <c r="C844" s="11">
        <v>45099</v>
      </c>
      <c r="D844" s="4" t="s">
        <v>23</v>
      </c>
      <c r="E844" s="4" t="s">
        <v>24</v>
      </c>
      <c r="F844" s="4" t="s">
        <v>40</v>
      </c>
      <c r="G844" s="4" t="s">
        <v>92</v>
      </c>
      <c r="H844" s="4" t="s">
        <v>2601</v>
      </c>
      <c r="I844" s="4" t="s">
        <v>28</v>
      </c>
      <c r="J844" s="4" t="s">
        <v>79</v>
      </c>
      <c r="K844" s="4" t="s">
        <v>30</v>
      </c>
      <c r="L844" s="4" t="s">
        <v>976</v>
      </c>
      <c r="M844" s="4" t="s">
        <v>95</v>
      </c>
      <c r="N844" s="4" t="s">
        <v>54</v>
      </c>
      <c r="O844" s="4" t="s">
        <v>46</v>
      </c>
      <c r="P844" s="4" t="s">
        <v>88</v>
      </c>
      <c r="Q844" s="4">
        <v>4</v>
      </c>
      <c r="R844" s="4">
        <v>29595</v>
      </c>
      <c r="S844" s="5">
        <v>15</v>
      </c>
      <c r="T844" s="6">
        <f t="shared" si="39"/>
        <v>100623</v>
      </c>
      <c r="U844" s="4">
        <v>5757.13</v>
      </c>
      <c r="V844" t="str">
        <f t="shared" si="40"/>
        <v>Jun</v>
      </c>
      <c r="W844">
        <f t="shared" si="41"/>
        <v>5.7214851475308824E-2</v>
      </c>
    </row>
    <row r="845" spans="1:23" x14ac:dyDescent="0.4">
      <c r="A845" s="4" t="s">
        <v>2602</v>
      </c>
      <c r="B845" s="4" t="s">
        <v>2274</v>
      </c>
      <c r="C845" s="11">
        <v>45081</v>
      </c>
      <c r="D845" s="4" t="s">
        <v>98</v>
      </c>
      <c r="E845" s="4" t="s">
        <v>24</v>
      </c>
      <c r="F845" s="4" t="s">
        <v>25</v>
      </c>
      <c r="G845" s="4" t="s">
        <v>41</v>
      </c>
      <c r="H845" s="4" t="s">
        <v>2603</v>
      </c>
      <c r="I845" s="4" t="s">
        <v>28</v>
      </c>
      <c r="J845" s="4" t="s">
        <v>29</v>
      </c>
      <c r="K845" s="4" t="s">
        <v>30</v>
      </c>
      <c r="L845" s="4" t="s">
        <v>64</v>
      </c>
      <c r="M845" s="4" t="s">
        <v>53</v>
      </c>
      <c r="N845" s="4" t="s">
        <v>33</v>
      </c>
      <c r="O845" s="4" t="s">
        <v>34</v>
      </c>
      <c r="P845" s="4" t="s">
        <v>88</v>
      </c>
      <c r="Q845" s="4">
        <v>2</v>
      </c>
      <c r="R845" s="4">
        <v>34321</v>
      </c>
      <c r="S845" s="5">
        <v>20</v>
      </c>
      <c r="T845" s="6">
        <f t="shared" si="39"/>
        <v>54913.599999999999</v>
      </c>
      <c r="U845" s="4">
        <v>-7551.93</v>
      </c>
      <c r="V845" t="str">
        <f t="shared" si="40"/>
        <v>May</v>
      </c>
      <c r="W845">
        <f t="shared" si="41"/>
        <v>-0.13752385565688646</v>
      </c>
    </row>
    <row r="846" spans="1:23" x14ac:dyDescent="0.4">
      <c r="A846" s="4" t="s">
        <v>2604</v>
      </c>
      <c r="B846" s="4" t="s">
        <v>2605</v>
      </c>
      <c r="C846" s="11">
        <v>44794</v>
      </c>
      <c r="D846" s="4" t="s">
        <v>98</v>
      </c>
      <c r="E846" s="4" t="s">
        <v>24</v>
      </c>
      <c r="F846" s="4" t="s">
        <v>70</v>
      </c>
      <c r="G846" s="4" t="s">
        <v>26</v>
      </c>
      <c r="H846" s="4" t="s">
        <v>2606</v>
      </c>
      <c r="I846" s="4" t="s">
        <v>61</v>
      </c>
      <c r="J846" s="4" t="s">
        <v>79</v>
      </c>
      <c r="K846" s="4" t="s">
        <v>44</v>
      </c>
      <c r="L846" s="4" t="s">
        <v>980</v>
      </c>
      <c r="M846" s="4" t="s">
        <v>32</v>
      </c>
      <c r="N846" s="4" t="s">
        <v>54</v>
      </c>
      <c r="O846" s="4" t="s">
        <v>46</v>
      </c>
      <c r="P846" s="4" t="s">
        <v>88</v>
      </c>
      <c r="Q846" s="4">
        <v>1</v>
      </c>
      <c r="R846" s="4">
        <v>8219</v>
      </c>
      <c r="S846" s="5">
        <v>10</v>
      </c>
      <c r="T846" s="6">
        <f t="shared" si="39"/>
        <v>7397.1</v>
      </c>
      <c r="U846" s="4">
        <v>638.41999999999996</v>
      </c>
      <c r="V846" t="str">
        <f t="shared" si="40"/>
        <v>Aug</v>
      </c>
      <c r="W846">
        <f t="shared" si="41"/>
        <v>8.6306795906503891E-2</v>
      </c>
    </row>
    <row r="847" spans="1:23" x14ac:dyDescent="0.4">
      <c r="A847" s="4" t="s">
        <v>2607</v>
      </c>
      <c r="B847" s="4" t="s">
        <v>2608</v>
      </c>
      <c r="C847" s="11">
        <v>45106</v>
      </c>
      <c r="D847" s="4" t="s">
        <v>124</v>
      </c>
      <c r="E847" s="4" t="s">
        <v>24</v>
      </c>
      <c r="F847" s="4" t="s">
        <v>25</v>
      </c>
      <c r="G847" s="4" t="s">
        <v>92</v>
      </c>
      <c r="H847" s="4" t="s">
        <v>2609</v>
      </c>
      <c r="I847" s="4" t="s">
        <v>61</v>
      </c>
      <c r="J847" s="4" t="s">
        <v>79</v>
      </c>
      <c r="K847" s="4" t="s">
        <v>153</v>
      </c>
      <c r="L847" s="4" t="s">
        <v>72</v>
      </c>
      <c r="M847" s="4" t="s">
        <v>32</v>
      </c>
      <c r="N847" s="4" t="s">
        <v>54</v>
      </c>
      <c r="O847" s="4" t="s">
        <v>66</v>
      </c>
      <c r="P847" s="4" t="s">
        <v>74</v>
      </c>
      <c r="Q847" s="4">
        <v>6</v>
      </c>
      <c r="R847" s="4">
        <v>2897</v>
      </c>
      <c r="S847" s="5">
        <v>20</v>
      </c>
      <c r="T847" s="6">
        <f t="shared" si="39"/>
        <v>13905.6</v>
      </c>
      <c r="U847" s="4">
        <v>-553.65</v>
      </c>
      <c r="V847" t="str">
        <f t="shared" si="40"/>
        <v>Jun</v>
      </c>
      <c r="W847">
        <f t="shared" si="41"/>
        <v>-3.9814894718674491E-2</v>
      </c>
    </row>
    <row r="848" spans="1:23" x14ac:dyDescent="0.4">
      <c r="A848" s="4" t="s">
        <v>2610</v>
      </c>
      <c r="B848" s="4" t="s">
        <v>1292</v>
      </c>
      <c r="C848" s="11">
        <v>45549</v>
      </c>
      <c r="D848" s="4" t="s">
        <v>23</v>
      </c>
      <c r="E848" s="4" t="s">
        <v>24</v>
      </c>
      <c r="F848" s="4" t="s">
        <v>70</v>
      </c>
      <c r="G848" s="4" t="s">
        <v>26</v>
      </c>
      <c r="H848" s="4" t="s">
        <v>2611</v>
      </c>
      <c r="I848" s="4" t="s">
        <v>43</v>
      </c>
      <c r="J848" s="4" t="s">
        <v>79</v>
      </c>
      <c r="K848" s="4" t="s">
        <v>63</v>
      </c>
      <c r="L848" s="4" t="s">
        <v>486</v>
      </c>
      <c r="M848" s="4" t="s">
        <v>73</v>
      </c>
      <c r="N848" s="4" t="s">
        <v>54</v>
      </c>
      <c r="O848" s="4" t="s">
        <v>82</v>
      </c>
      <c r="P848" s="4" t="s">
        <v>88</v>
      </c>
      <c r="Q848" s="4">
        <v>7</v>
      </c>
      <c r="R848" s="4">
        <v>23889</v>
      </c>
      <c r="S848" s="5">
        <v>5</v>
      </c>
      <c r="T848" s="6">
        <f t="shared" si="39"/>
        <v>158861.85</v>
      </c>
      <c r="U848" s="4">
        <v>32659.91</v>
      </c>
      <c r="V848" t="str">
        <f t="shared" si="40"/>
        <v>Sep</v>
      </c>
      <c r="W848">
        <f t="shared" si="41"/>
        <v>0.20558686682800181</v>
      </c>
    </row>
    <row r="849" spans="1:23" x14ac:dyDescent="0.4">
      <c r="A849" s="4" t="s">
        <v>2612</v>
      </c>
      <c r="B849" s="4" t="s">
        <v>2027</v>
      </c>
      <c r="C849" s="11">
        <v>45229</v>
      </c>
      <c r="D849" s="4" t="s">
        <v>98</v>
      </c>
      <c r="E849" s="4" t="s">
        <v>24</v>
      </c>
      <c r="F849" s="4" t="s">
        <v>70</v>
      </c>
      <c r="G849" s="4" t="s">
        <v>41</v>
      </c>
      <c r="H849" s="4" t="s">
        <v>2613</v>
      </c>
      <c r="I849" s="4" t="s">
        <v>43</v>
      </c>
      <c r="J849" s="4" t="s">
        <v>29</v>
      </c>
      <c r="K849" s="4" t="s">
        <v>153</v>
      </c>
      <c r="L849" s="4" t="s">
        <v>481</v>
      </c>
      <c r="M849" s="4" t="s">
        <v>65</v>
      </c>
      <c r="N849" s="4" t="s">
        <v>54</v>
      </c>
      <c r="O849" s="4" t="s">
        <v>120</v>
      </c>
      <c r="P849" s="4" t="s">
        <v>74</v>
      </c>
      <c r="Q849" s="4">
        <v>10</v>
      </c>
      <c r="R849" s="4">
        <v>25835</v>
      </c>
      <c r="S849" s="5">
        <v>10</v>
      </c>
      <c r="T849" s="6">
        <f t="shared" si="39"/>
        <v>232515</v>
      </c>
      <c r="U849" s="4">
        <v>35613.74</v>
      </c>
      <c r="V849" t="str">
        <f t="shared" si="40"/>
        <v>Oct</v>
      </c>
      <c r="W849">
        <f t="shared" si="41"/>
        <v>0.15316749457024278</v>
      </c>
    </row>
    <row r="850" spans="1:23" x14ac:dyDescent="0.4">
      <c r="A850" s="4" t="s">
        <v>2614</v>
      </c>
      <c r="B850" s="4" t="s">
        <v>834</v>
      </c>
      <c r="C850" s="11">
        <v>45316</v>
      </c>
      <c r="D850" s="4" t="s">
        <v>39</v>
      </c>
      <c r="E850" s="4" t="s">
        <v>24</v>
      </c>
      <c r="F850" s="4" t="s">
        <v>70</v>
      </c>
      <c r="G850" s="4" t="s">
        <v>41</v>
      </c>
      <c r="H850" s="4" t="s">
        <v>2615</v>
      </c>
      <c r="I850" s="4" t="s">
        <v>43</v>
      </c>
      <c r="J850" s="4" t="s">
        <v>79</v>
      </c>
      <c r="K850" s="4" t="s">
        <v>63</v>
      </c>
      <c r="L850" s="4" t="s">
        <v>636</v>
      </c>
      <c r="M850" s="4" t="s">
        <v>32</v>
      </c>
      <c r="N850" s="4" t="s">
        <v>33</v>
      </c>
      <c r="O850" s="4" t="s">
        <v>120</v>
      </c>
      <c r="P850" s="4" t="s">
        <v>35</v>
      </c>
      <c r="Q850" s="4">
        <v>7</v>
      </c>
      <c r="R850" s="4">
        <v>30268</v>
      </c>
      <c r="S850" s="5">
        <v>0</v>
      </c>
      <c r="T850" s="6">
        <f t="shared" si="39"/>
        <v>211876</v>
      </c>
      <c r="U850" s="4">
        <v>31430.69</v>
      </c>
      <c r="V850" t="str">
        <f t="shared" si="40"/>
        <v>Jan</v>
      </c>
      <c r="W850">
        <f t="shared" si="41"/>
        <v>0.14834473937586135</v>
      </c>
    </row>
    <row r="851" spans="1:23" x14ac:dyDescent="0.4">
      <c r="A851" s="4" t="s">
        <v>2616</v>
      </c>
      <c r="B851" s="4" t="s">
        <v>912</v>
      </c>
      <c r="C851" s="11">
        <v>45376</v>
      </c>
      <c r="D851" s="4" t="s">
        <v>98</v>
      </c>
      <c r="E851" s="4" t="s">
        <v>24</v>
      </c>
      <c r="F851" s="4" t="s">
        <v>70</v>
      </c>
      <c r="G851" s="4" t="s">
        <v>99</v>
      </c>
      <c r="H851" s="4" t="s">
        <v>2617</v>
      </c>
      <c r="I851" s="4" t="s">
        <v>28</v>
      </c>
      <c r="J851" s="4" t="s">
        <v>79</v>
      </c>
      <c r="K851" s="4" t="s">
        <v>30</v>
      </c>
      <c r="L851" s="4" t="s">
        <v>1605</v>
      </c>
      <c r="M851" s="4" t="s">
        <v>95</v>
      </c>
      <c r="N851" s="4" t="s">
        <v>33</v>
      </c>
      <c r="O851" s="4" t="s">
        <v>66</v>
      </c>
      <c r="P851" s="4" t="s">
        <v>88</v>
      </c>
      <c r="Q851" s="4">
        <v>5</v>
      </c>
      <c r="R851" s="4">
        <v>5797</v>
      </c>
      <c r="S851" s="5">
        <v>5</v>
      </c>
      <c r="T851" s="6">
        <f t="shared" si="39"/>
        <v>27535.75</v>
      </c>
      <c r="U851" s="4">
        <v>2965.41</v>
      </c>
      <c r="V851" t="str">
        <f t="shared" si="40"/>
        <v>Mar</v>
      </c>
      <c r="W851">
        <f t="shared" si="41"/>
        <v>0.107693089892231</v>
      </c>
    </row>
    <row r="852" spans="1:23" x14ac:dyDescent="0.4">
      <c r="A852" s="4" t="s">
        <v>2618</v>
      </c>
      <c r="B852" s="4" t="s">
        <v>803</v>
      </c>
      <c r="C852" s="11">
        <v>45221</v>
      </c>
      <c r="D852" s="4" t="s">
        <v>98</v>
      </c>
      <c r="E852" s="4" t="s">
        <v>24</v>
      </c>
      <c r="F852" s="4" t="s">
        <v>70</v>
      </c>
      <c r="G852" s="4" t="s">
        <v>59</v>
      </c>
      <c r="H852" s="4" t="s">
        <v>2619</v>
      </c>
      <c r="I852" s="4" t="s">
        <v>61</v>
      </c>
      <c r="J852" s="4" t="s">
        <v>79</v>
      </c>
      <c r="K852" s="4" t="s">
        <v>30</v>
      </c>
      <c r="L852" s="4" t="s">
        <v>2373</v>
      </c>
      <c r="M852" s="4" t="s">
        <v>73</v>
      </c>
      <c r="N852" s="4" t="s">
        <v>33</v>
      </c>
      <c r="O852" s="4" t="s">
        <v>46</v>
      </c>
      <c r="P852" s="4" t="s">
        <v>35</v>
      </c>
      <c r="Q852" s="4">
        <v>8</v>
      </c>
      <c r="R852" s="4">
        <v>11975</v>
      </c>
      <c r="S852" s="5">
        <v>15</v>
      </c>
      <c r="T852" s="6">
        <f t="shared" si="39"/>
        <v>81430</v>
      </c>
      <c r="U852" s="4">
        <v>3351.31</v>
      </c>
      <c r="V852" t="str">
        <f t="shared" si="40"/>
        <v>Oct</v>
      </c>
      <c r="W852">
        <f t="shared" si="41"/>
        <v>4.1155716566376024E-2</v>
      </c>
    </row>
    <row r="853" spans="1:23" x14ac:dyDescent="0.4">
      <c r="A853" s="4" t="s">
        <v>2620</v>
      </c>
      <c r="B853" s="4" t="s">
        <v>2621</v>
      </c>
      <c r="C853" s="11">
        <v>44665</v>
      </c>
      <c r="D853" s="4" t="s">
        <v>124</v>
      </c>
      <c r="E853" s="4" t="s">
        <v>24</v>
      </c>
      <c r="F853" s="4" t="s">
        <v>26</v>
      </c>
      <c r="G853" s="4" t="s">
        <v>26</v>
      </c>
      <c r="H853" s="4" t="s">
        <v>2622</v>
      </c>
      <c r="I853" s="4" t="s">
        <v>43</v>
      </c>
      <c r="J853" s="4" t="s">
        <v>62</v>
      </c>
      <c r="K853" s="4" t="s">
        <v>86</v>
      </c>
      <c r="L853" s="4" t="s">
        <v>1633</v>
      </c>
      <c r="M853" s="4" t="s">
        <v>32</v>
      </c>
      <c r="N853" s="4" t="s">
        <v>54</v>
      </c>
      <c r="O853" s="4" t="s">
        <v>46</v>
      </c>
      <c r="P853" s="4" t="s">
        <v>88</v>
      </c>
      <c r="Q853" s="4">
        <v>8</v>
      </c>
      <c r="R853" s="4">
        <v>17739</v>
      </c>
      <c r="S853" s="5">
        <v>15</v>
      </c>
      <c r="T853" s="6">
        <f t="shared" si="39"/>
        <v>120625.2</v>
      </c>
      <c r="U853" s="4">
        <v>13710.5</v>
      </c>
      <c r="V853" t="str">
        <f t="shared" si="40"/>
        <v>Apr</v>
      </c>
      <c r="W853">
        <f t="shared" si="41"/>
        <v>0.11366198771069395</v>
      </c>
    </row>
    <row r="854" spans="1:23" x14ac:dyDescent="0.4">
      <c r="A854" s="4" t="s">
        <v>2623</v>
      </c>
      <c r="B854" s="4" t="s">
        <v>547</v>
      </c>
      <c r="C854" s="11">
        <v>45392</v>
      </c>
      <c r="D854" s="4" t="s">
        <v>124</v>
      </c>
      <c r="E854" s="4" t="s">
        <v>24</v>
      </c>
      <c r="F854" s="4" t="s">
        <v>70</v>
      </c>
      <c r="G854" s="4" t="s">
        <v>26</v>
      </c>
      <c r="H854" s="4" t="s">
        <v>2625</v>
      </c>
      <c r="I854" s="4" t="s">
        <v>28</v>
      </c>
      <c r="J854" s="4" t="s">
        <v>79</v>
      </c>
      <c r="K854" s="4" t="s">
        <v>101</v>
      </c>
      <c r="L854" s="4" t="s">
        <v>181</v>
      </c>
      <c r="M854" s="4" t="s">
        <v>95</v>
      </c>
      <c r="N854" s="4" t="s">
        <v>54</v>
      </c>
      <c r="O854" s="4" t="s">
        <v>82</v>
      </c>
      <c r="P854" s="4" t="s">
        <v>47</v>
      </c>
      <c r="Q854" s="4">
        <v>6</v>
      </c>
      <c r="R854" s="4">
        <v>17849</v>
      </c>
      <c r="S854" s="5">
        <v>15</v>
      </c>
      <c r="T854" s="6">
        <f t="shared" si="39"/>
        <v>91029.9</v>
      </c>
      <c r="U854" s="4">
        <v>-9224.2900000000009</v>
      </c>
      <c r="V854" t="str">
        <f t="shared" si="40"/>
        <v>Apr</v>
      </c>
      <c r="W854">
        <f t="shared" si="41"/>
        <v>-0.10133252920194355</v>
      </c>
    </row>
    <row r="855" spans="1:23" x14ac:dyDescent="0.4">
      <c r="A855" s="4" t="s">
        <v>2626</v>
      </c>
      <c r="B855" s="4" t="s">
        <v>1156</v>
      </c>
      <c r="C855" s="11">
        <v>44905</v>
      </c>
      <c r="D855" s="4" t="s">
        <v>23</v>
      </c>
      <c r="E855" s="4" t="s">
        <v>24</v>
      </c>
      <c r="F855" s="4" t="s">
        <v>25</v>
      </c>
      <c r="G855" s="4" t="s">
        <v>59</v>
      </c>
      <c r="H855" s="4" t="s">
        <v>2627</v>
      </c>
      <c r="I855" s="4" t="s">
        <v>61</v>
      </c>
      <c r="J855" s="4" t="s">
        <v>29</v>
      </c>
      <c r="K855" s="4" t="s">
        <v>44</v>
      </c>
      <c r="L855" s="4" t="s">
        <v>491</v>
      </c>
      <c r="M855" s="4" t="s">
        <v>95</v>
      </c>
      <c r="N855" s="4" t="s">
        <v>54</v>
      </c>
      <c r="O855" s="4" t="s">
        <v>34</v>
      </c>
      <c r="P855" s="4" t="s">
        <v>35</v>
      </c>
      <c r="Q855" s="4">
        <v>7</v>
      </c>
      <c r="R855" s="4">
        <v>34532</v>
      </c>
      <c r="S855" s="5">
        <v>10</v>
      </c>
      <c r="T855" s="6">
        <f t="shared" si="39"/>
        <v>217551.6</v>
      </c>
      <c r="U855" s="4">
        <v>30580.34</v>
      </c>
      <c r="V855" t="str">
        <f t="shared" si="40"/>
        <v>Dec</v>
      </c>
      <c r="W855">
        <f t="shared" si="41"/>
        <v>0.14056591631594528</v>
      </c>
    </row>
    <row r="856" spans="1:23" x14ac:dyDescent="0.4">
      <c r="A856" s="4" t="s">
        <v>2628</v>
      </c>
      <c r="B856" s="4" t="s">
        <v>1359</v>
      </c>
      <c r="C856" s="11">
        <v>44699</v>
      </c>
      <c r="D856" s="4" t="s">
        <v>124</v>
      </c>
      <c r="E856" s="4" t="s">
        <v>24</v>
      </c>
      <c r="F856" s="4" t="s">
        <v>58</v>
      </c>
      <c r="G856" s="4" t="s">
        <v>99</v>
      </c>
      <c r="H856" s="4" t="s">
        <v>2629</v>
      </c>
      <c r="I856" s="4" t="s">
        <v>43</v>
      </c>
      <c r="J856" s="4" t="s">
        <v>62</v>
      </c>
      <c r="K856" s="4" t="s">
        <v>30</v>
      </c>
      <c r="L856" s="4" t="s">
        <v>1065</v>
      </c>
      <c r="M856" s="4" t="s">
        <v>81</v>
      </c>
      <c r="N856" s="4" t="s">
        <v>54</v>
      </c>
      <c r="O856" s="4" t="s">
        <v>34</v>
      </c>
      <c r="P856" s="4" t="s">
        <v>88</v>
      </c>
      <c r="Q856" s="4">
        <v>9</v>
      </c>
      <c r="R856" s="4">
        <v>2889</v>
      </c>
      <c r="S856" s="5">
        <v>10</v>
      </c>
      <c r="T856" s="6">
        <f t="shared" si="39"/>
        <v>23400.9</v>
      </c>
      <c r="U856" s="4">
        <v>-1055.69</v>
      </c>
      <c r="V856" t="str">
        <f t="shared" si="40"/>
        <v>May</v>
      </c>
      <c r="W856">
        <f t="shared" si="41"/>
        <v>-4.5113222141028766E-2</v>
      </c>
    </row>
    <row r="857" spans="1:23" x14ac:dyDescent="0.4">
      <c r="A857" s="4" t="s">
        <v>2630</v>
      </c>
      <c r="B857" s="4" t="s">
        <v>1013</v>
      </c>
      <c r="C857" s="11">
        <v>45561</v>
      </c>
      <c r="D857" s="4" t="s">
        <v>39</v>
      </c>
      <c r="E857" s="4" t="s">
        <v>24</v>
      </c>
      <c r="F857" s="4" t="s">
        <v>58</v>
      </c>
      <c r="G857" s="4" t="s">
        <v>99</v>
      </c>
      <c r="H857" s="4" t="s">
        <v>2631</v>
      </c>
      <c r="I857" s="4" t="s">
        <v>43</v>
      </c>
      <c r="J857" s="4" t="s">
        <v>62</v>
      </c>
      <c r="K857" s="4" t="s">
        <v>44</v>
      </c>
      <c r="L857" s="4" t="s">
        <v>1226</v>
      </c>
      <c r="M857" s="4" t="s">
        <v>65</v>
      </c>
      <c r="N857" s="4" t="s">
        <v>54</v>
      </c>
      <c r="O857" s="4" t="s">
        <v>82</v>
      </c>
      <c r="P857" s="4" t="s">
        <v>47</v>
      </c>
      <c r="Q857" s="4">
        <v>4</v>
      </c>
      <c r="R857" s="4">
        <v>27960</v>
      </c>
      <c r="S857" s="5">
        <v>5</v>
      </c>
      <c r="T857" s="6">
        <f t="shared" si="39"/>
        <v>106248</v>
      </c>
      <c r="U857" s="4">
        <v>14299.42</v>
      </c>
      <c r="V857" t="str">
        <f t="shared" si="40"/>
        <v>Sep</v>
      </c>
      <c r="W857">
        <f t="shared" si="41"/>
        <v>0.13458530984112643</v>
      </c>
    </row>
    <row r="858" spans="1:23" x14ac:dyDescent="0.4">
      <c r="A858" s="4" t="s">
        <v>2632</v>
      </c>
      <c r="B858" s="4" t="s">
        <v>571</v>
      </c>
      <c r="C858" s="11">
        <v>45339</v>
      </c>
      <c r="D858" s="4" t="s">
        <v>98</v>
      </c>
      <c r="E858" s="4" t="s">
        <v>24</v>
      </c>
      <c r="F858" s="4" t="s">
        <v>58</v>
      </c>
      <c r="G858" s="4" t="s">
        <v>41</v>
      </c>
      <c r="H858" s="4" t="s">
        <v>2633</v>
      </c>
      <c r="I858" s="4" t="s">
        <v>43</v>
      </c>
      <c r="J858" s="4" t="s">
        <v>29</v>
      </c>
      <c r="K858" s="4" t="s">
        <v>101</v>
      </c>
      <c r="L858" s="4" t="s">
        <v>2203</v>
      </c>
      <c r="M858" s="4" t="s">
        <v>81</v>
      </c>
      <c r="N858" s="4" t="s">
        <v>54</v>
      </c>
      <c r="O858" s="4" t="s">
        <v>46</v>
      </c>
      <c r="P858" s="4" t="s">
        <v>88</v>
      </c>
      <c r="Q858" s="4">
        <v>5</v>
      </c>
      <c r="R858" s="4">
        <v>47045</v>
      </c>
      <c r="S858" s="5">
        <v>0</v>
      </c>
      <c r="T858" s="6">
        <f t="shared" si="39"/>
        <v>235225</v>
      </c>
      <c r="U858" s="4">
        <v>50814.2</v>
      </c>
      <c r="V858" t="str">
        <f t="shared" si="40"/>
        <v>Feb</v>
      </c>
      <c r="W858">
        <f t="shared" si="41"/>
        <v>0.21602380699330426</v>
      </c>
    </row>
    <row r="859" spans="1:23" x14ac:dyDescent="0.4">
      <c r="A859" s="4" t="s">
        <v>2634</v>
      </c>
      <c r="B859" s="4" t="s">
        <v>2489</v>
      </c>
      <c r="C859" s="11">
        <v>44719</v>
      </c>
      <c r="D859" s="4" t="s">
        <v>98</v>
      </c>
      <c r="E859" s="4" t="s">
        <v>24</v>
      </c>
      <c r="F859" s="4" t="s">
        <v>58</v>
      </c>
      <c r="G859" s="4" t="s">
        <v>99</v>
      </c>
      <c r="H859" s="4" t="s">
        <v>2635</v>
      </c>
      <c r="I859" s="4" t="s">
        <v>28</v>
      </c>
      <c r="J859" s="4" t="s">
        <v>79</v>
      </c>
      <c r="K859" s="4" t="s">
        <v>44</v>
      </c>
      <c r="L859" s="4" t="s">
        <v>723</v>
      </c>
      <c r="M859" s="4" t="s">
        <v>95</v>
      </c>
      <c r="N859" s="4" t="s">
        <v>33</v>
      </c>
      <c r="O859" s="4" t="s">
        <v>66</v>
      </c>
      <c r="P859" s="4" t="s">
        <v>88</v>
      </c>
      <c r="Q859" s="4">
        <v>5</v>
      </c>
      <c r="R859" s="4">
        <v>46983</v>
      </c>
      <c r="S859" s="5">
        <v>0</v>
      </c>
      <c r="T859" s="6">
        <f t="shared" si="39"/>
        <v>234915</v>
      </c>
      <c r="U859" s="4">
        <v>26271.49</v>
      </c>
      <c r="V859" t="str">
        <f t="shared" si="40"/>
        <v>May</v>
      </c>
      <c r="W859">
        <f t="shared" si="41"/>
        <v>0.11183402507289872</v>
      </c>
    </row>
    <row r="860" spans="1:23" x14ac:dyDescent="0.4">
      <c r="A860" s="4" t="s">
        <v>2636</v>
      </c>
      <c r="B860" s="4" t="s">
        <v>781</v>
      </c>
      <c r="C860" s="11">
        <v>45109</v>
      </c>
      <c r="D860" s="4" t="s">
        <v>98</v>
      </c>
      <c r="E860" s="4" t="s">
        <v>24</v>
      </c>
      <c r="F860" s="4" t="s">
        <v>40</v>
      </c>
      <c r="G860" s="4" t="s">
        <v>26</v>
      </c>
      <c r="H860" s="4" t="s">
        <v>2637</v>
      </c>
      <c r="I860" s="4" t="s">
        <v>61</v>
      </c>
      <c r="J860" s="4" t="s">
        <v>79</v>
      </c>
      <c r="K860" s="4" t="s">
        <v>30</v>
      </c>
      <c r="L860" s="4" t="s">
        <v>486</v>
      </c>
      <c r="M860" s="4" t="s">
        <v>73</v>
      </c>
      <c r="N860" s="4" t="s">
        <v>33</v>
      </c>
      <c r="O860" s="4" t="s">
        <v>34</v>
      </c>
      <c r="P860" s="4" t="s">
        <v>47</v>
      </c>
      <c r="Q860" s="4">
        <v>4</v>
      </c>
      <c r="R860" s="4">
        <v>3147</v>
      </c>
      <c r="S860" s="5">
        <v>5</v>
      </c>
      <c r="T860" s="6">
        <f t="shared" si="39"/>
        <v>11958.6</v>
      </c>
      <c r="U860" s="4">
        <v>2586.86</v>
      </c>
      <c r="V860" t="str">
        <f t="shared" si="40"/>
        <v>Jun</v>
      </c>
      <c r="W860">
        <f t="shared" si="41"/>
        <v>0.21631796364122891</v>
      </c>
    </row>
    <row r="861" spans="1:23" x14ac:dyDescent="0.4">
      <c r="A861" s="4" t="s">
        <v>2638</v>
      </c>
      <c r="B861" s="4" t="s">
        <v>1523</v>
      </c>
      <c r="C861" s="11">
        <v>45437</v>
      </c>
      <c r="D861" s="4" t="s">
        <v>98</v>
      </c>
      <c r="E861" s="4" t="s">
        <v>24</v>
      </c>
      <c r="F861" s="4" t="s">
        <v>26</v>
      </c>
      <c r="G861" s="4" t="s">
        <v>99</v>
      </c>
      <c r="H861" s="4" t="s">
        <v>2639</v>
      </c>
      <c r="I861" s="4" t="s">
        <v>28</v>
      </c>
      <c r="J861" s="4" t="s">
        <v>29</v>
      </c>
      <c r="K861" s="4" t="s">
        <v>86</v>
      </c>
      <c r="L861" s="4" t="s">
        <v>1605</v>
      </c>
      <c r="M861" s="4" t="s">
        <v>95</v>
      </c>
      <c r="N861" s="4" t="s">
        <v>54</v>
      </c>
      <c r="O861" s="4" t="s">
        <v>120</v>
      </c>
      <c r="P861" s="4" t="s">
        <v>35</v>
      </c>
      <c r="Q861" s="4">
        <v>8</v>
      </c>
      <c r="R861" s="4">
        <v>1274</v>
      </c>
      <c r="S861" s="5">
        <v>10</v>
      </c>
      <c r="T861" s="6">
        <f t="shared" si="39"/>
        <v>9172.7999999999993</v>
      </c>
      <c r="U861" s="4">
        <v>422.09</v>
      </c>
      <c r="V861" t="str">
        <f t="shared" si="40"/>
        <v>May</v>
      </c>
      <c r="W861">
        <f t="shared" si="41"/>
        <v>4.6015393336821912E-2</v>
      </c>
    </row>
    <row r="862" spans="1:23" x14ac:dyDescent="0.4">
      <c r="A862" s="4" t="s">
        <v>2640</v>
      </c>
      <c r="B862" s="4" t="s">
        <v>142</v>
      </c>
      <c r="C862" s="11">
        <v>44672</v>
      </c>
      <c r="D862" s="4" t="s">
        <v>124</v>
      </c>
      <c r="E862" s="4" t="s">
        <v>24</v>
      </c>
      <c r="F862" s="4" t="s">
        <v>26</v>
      </c>
      <c r="G862" s="4" t="s">
        <v>41</v>
      </c>
      <c r="H862" s="4" t="s">
        <v>2641</v>
      </c>
      <c r="I862" s="4" t="s">
        <v>43</v>
      </c>
      <c r="J862" s="4" t="s">
        <v>79</v>
      </c>
      <c r="K862" s="4" t="s">
        <v>44</v>
      </c>
      <c r="L862" s="4" t="s">
        <v>1709</v>
      </c>
      <c r="M862" s="4" t="s">
        <v>73</v>
      </c>
      <c r="N862" s="4" t="s">
        <v>54</v>
      </c>
      <c r="O862" s="4" t="s">
        <v>120</v>
      </c>
      <c r="P862" s="4" t="s">
        <v>88</v>
      </c>
      <c r="Q862" s="4">
        <v>4</v>
      </c>
      <c r="R862" s="4">
        <v>34102</v>
      </c>
      <c r="S862" s="5">
        <v>10</v>
      </c>
      <c r="T862" s="6">
        <f t="shared" si="39"/>
        <v>122767.2</v>
      </c>
      <c r="U862" s="4">
        <v>22931.57</v>
      </c>
      <c r="V862" t="str">
        <f t="shared" si="40"/>
        <v>Apr</v>
      </c>
      <c r="W862">
        <f t="shared" si="41"/>
        <v>0.18678906092180975</v>
      </c>
    </row>
    <row r="863" spans="1:23" x14ac:dyDescent="0.4">
      <c r="A863" s="4" t="s">
        <v>2642</v>
      </c>
      <c r="B863" s="4" t="s">
        <v>1642</v>
      </c>
      <c r="C863" s="11">
        <v>44908</v>
      </c>
      <c r="D863" s="4" t="s">
        <v>98</v>
      </c>
      <c r="E863" s="4" t="s">
        <v>24</v>
      </c>
      <c r="F863" s="4" t="s">
        <v>58</v>
      </c>
      <c r="G863" s="4" t="s">
        <v>59</v>
      </c>
      <c r="H863" s="4" t="s">
        <v>2643</v>
      </c>
      <c r="I863" s="4" t="s">
        <v>43</v>
      </c>
      <c r="J863" s="4" t="s">
        <v>62</v>
      </c>
      <c r="K863" s="4" t="s">
        <v>153</v>
      </c>
      <c r="L863" s="4" t="s">
        <v>315</v>
      </c>
      <c r="M863" s="4" t="s">
        <v>65</v>
      </c>
      <c r="N863" s="4" t="s">
        <v>54</v>
      </c>
      <c r="O863" s="4" t="s">
        <v>66</v>
      </c>
      <c r="P863" s="4" t="s">
        <v>47</v>
      </c>
      <c r="Q863" s="4">
        <v>9</v>
      </c>
      <c r="R863" s="4">
        <v>21528</v>
      </c>
      <c r="S863" s="5">
        <v>0</v>
      </c>
      <c r="T863" s="6">
        <f t="shared" si="39"/>
        <v>193752</v>
      </c>
      <c r="U863" s="4">
        <v>46477.53</v>
      </c>
      <c r="V863" t="str">
        <f t="shared" si="40"/>
        <v>Dec</v>
      </c>
      <c r="W863">
        <f t="shared" si="41"/>
        <v>0.23988154960981048</v>
      </c>
    </row>
    <row r="864" spans="1:23" x14ac:dyDescent="0.4">
      <c r="A864" s="4" t="s">
        <v>2644</v>
      </c>
      <c r="B864" s="4" t="s">
        <v>929</v>
      </c>
      <c r="C864" s="11">
        <v>44969</v>
      </c>
      <c r="D864" s="4" t="s">
        <v>23</v>
      </c>
      <c r="E864" s="4" t="s">
        <v>24</v>
      </c>
      <c r="F864" s="4" t="s">
        <v>40</v>
      </c>
      <c r="G864" s="4" t="s">
        <v>41</v>
      </c>
      <c r="H864" s="4" t="s">
        <v>2645</v>
      </c>
      <c r="I864" s="4" t="s">
        <v>43</v>
      </c>
      <c r="J864" s="4" t="s">
        <v>79</v>
      </c>
      <c r="K864" s="4" t="s">
        <v>101</v>
      </c>
      <c r="L864" s="4" t="s">
        <v>246</v>
      </c>
      <c r="M864" s="4" t="s">
        <v>81</v>
      </c>
      <c r="N864" s="4" t="s">
        <v>54</v>
      </c>
      <c r="O864" s="4" t="s">
        <v>82</v>
      </c>
      <c r="P864" s="4" t="s">
        <v>74</v>
      </c>
      <c r="Q864" s="4">
        <v>5</v>
      </c>
      <c r="R864" s="4">
        <v>22997</v>
      </c>
      <c r="S864" s="5">
        <v>5</v>
      </c>
      <c r="T864" s="6">
        <f t="shared" si="39"/>
        <v>109235.75</v>
      </c>
      <c r="U864" s="4">
        <v>20821.13</v>
      </c>
      <c r="V864" t="str">
        <f t="shared" si="40"/>
        <v>Feb</v>
      </c>
      <c r="W864">
        <f t="shared" si="41"/>
        <v>0.19060728744939273</v>
      </c>
    </row>
    <row r="865" spans="1:23" x14ac:dyDescent="0.4">
      <c r="A865" s="4" t="s">
        <v>2646</v>
      </c>
      <c r="B865" s="4" t="s">
        <v>146</v>
      </c>
      <c r="C865" s="11">
        <v>44687</v>
      </c>
      <c r="D865" s="4" t="s">
        <v>98</v>
      </c>
      <c r="E865" s="4" t="s">
        <v>24</v>
      </c>
      <c r="F865" s="4" t="s">
        <v>25</v>
      </c>
      <c r="G865" s="4" t="s">
        <v>92</v>
      </c>
      <c r="H865" s="4" t="s">
        <v>2647</v>
      </c>
      <c r="I865" s="4" t="s">
        <v>43</v>
      </c>
      <c r="J865" s="4" t="s">
        <v>79</v>
      </c>
      <c r="K865" s="4" t="s">
        <v>86</v>
      </c>
      <c r="L865" s="4" t="s">
        <v>1486</v>
      </c>
      <c r="M865" s="4" t="s">
        <v>32</v>
      </c>
      <c r="N865" s="4" t="s">
        <v>33</v>
      </c>
      <c r="O865" s="4" t="s">
        <v>34</v>
      </c>
      <c r="P865" s="4" t="s">
        <v>74</v>
      </c>
      <c r="Q865" s="4">
        <v>1</v>
      </c>
      <c r="R865" s="4">
        <v>27285</v>
      </c>
      <c r="S865" s="5">
        <v>20</v>
      </c>
      <c r="T865" s="6">
        <f t="shared" si="39"/>
        <v>21828</v>
      </c>
      <c r="U865" s="4">
        <v>-1549.71</v>
      </c>
      <c r="V865" t="str">
        <f t="shared" si="40"/>
        <v>May</v>
      </c>
      <c r="W865">
        <f t="shared" si="41"/>
        <v>-7.0996426608026394E-2</v>
      </c>
    </row>
    <row r="866" spans="1:23" x14ac:dyDescent="0.4">
      <c r="A866" s="4" t="s">
        <v>2648</v>
      </c>
      <c r="B866" s="4" t="s">
        <v>421</v>
      </c>
      <c r="C866" s="11">
        <v>45487</v>
      </c>
      <c r="D866" s="4" t="s">
        <v>98</v>
      </c>
      <c r="E866" s="4" t="s">
        <v>24</v>
      </c>
      <c r="F866" s="4" t="s">
        <v>70</v>
      </c>
      <c r="G866" s="4" t="s">
        <v>99</v>
      </c>
      <c r="H866" s="4" t="s">
        <v>2649</v>
      </c>
      <c r="I866" s="4" t="s">
        <v>28</v>
      </c>
      <c r="J866" s="4" t="s">
        <v>79</v>
      </c>
      <c r="K866" s="4" t="s">
        <v>30</v>
      </c>
      <c r="L866" s="4" t="s">
        <v>171</v>
      </c>
      <c r="M866" s="4" t="s">
        <v>95</v>
      </c>
      <c r="N866" s="4" t="s">
        <v>33</v>
      </c>
      <c r="O866" s="4" t="s">
        <v>46</v>
      </c>
      <c r="P866" s="4" t="s">
        <v>35</v>
      </c>
      <c r="Q866" s="4">
        <v>1</v>
      </c>
      <c r="R866" s="4">
        <v>3787</v>
      </c>
      <c r="S866" s="5">
        <v>5</v>
      </c>
      <c r="T866" s="6">
        <f t="shared" si="39"/>
        <v>3597.65</v>
      </c>
      <c r="U866" s="4">
        <v>645.21</v>
      </c>
      <c r="V866" t="str">
        <f t="shared" si="40"/>
        <v>Jul</v>
      </c>
      <c r="W866">
        <f t="shared" si="41"/>
        <v>0.17934207051825499</v>
      </c>
    </row>
    <row r="867" spans="1:23" x14ac:dyDescent="0.4">
      <c r="A867" s="4" t="s">
        <v>2650</v>
      </c>
      <c r="B867" s="4" t="s">
        <v>1865</v>
      </c>
      <c r="C867" s="11">
        <v>44727</v>
      </c>
      <c r="D867" s="4" t="s">
        <v>98</v>
      </c>
      <c r="E867" s="4" t="s">
        <v>24</v>
      </c>
      <c r="F867" s="4" t="s">
        <v>40</v>
      </c>
      <c r="G867" s="4" t="s">
        <v>92</v>
      </c>
      <c r="H867" s="4" t="s">
        <v>2651</v>
      </c>
      <c r="I867" s="4" t="s">
        <v>28</v>
      </c>
      <c r="J867" s="4" t="s">
        <v>62</v>
      </c>
      <c r="K867" s="4" t="s">
        <v>153</v>
      </c>
      <c r="L867" s="4" t="s">
        <v>1322</v>
      </c>
      <c r="M867" s="4" t="s">
        <v>53</v>
      </c>
      <c r="N867" s="4" t="s">
        <v>54</v>
      </c>
      <c r="O867" s="4" t="s">
        <v>120</v>
      </c>
      <c r="P867" s="4" t="s">
        <v>35</v>
      </c>
      <c r="Q867" s="4">
        <v>5</v>
      </c>
      <c r="R867" s="4">
        <v>10252</v>
      </c>
      <c r="S867" s="5">
        <v>10</v>
      </c>
      <c r="T867" s="6">
        <f t="shared" si="39"/>
        <v>46134</v>
      </c>
      <c r="U867" s="4">
        <v>-981.1</v>
      </c>
      <c r="V867" t="str">
        <f t="shared" si="40"/>
        <v>Jun</v>
      </c>
      <c r="W867">
        <f t="shared" si="41"/>
        <v>-2.126631118047427E-2</v>
      </c>
    </row>
    <row r="868" spans="1:23" x14ac:dyDescent="0.4">
      <c r="A868" s="4" t="s">
        <v>2652</v>
      </c>
      <c r="B868" s="4" t="s">
        <v>2223</v>
      </c>
      <c r="C868" s="11">
        <v>44890</v>
      </c>
      <c r="D868" s="4" t="s">
        <v>124</v>
      </c>
      <c r="E868" s="4" t="s">
        <v>24</v>
      </c>
      <c r="F868" s="4" t="s">
        <v>40</v>
      </c>
      <c r="G868" s="4" t="s">
        <v>92</v>
      </c>
      <c r="H868" s="4" t="s">
        <v>2653</v>
      </c>
      <c r="I868" s="4" t="s">
        <v>43</v>
      </c>
      <c r="J868" s="4" t="s">
        <v>62</v>
      </c>
      <c r="K868" s="4" t="s">
        <v>44</v>
      </c>
      <c r="L868" s="4" t="s">
        <v>259</v>
      </c>
      <c r="M868" s="4" t="s">
        <v>73</v>
      </c>
      <c r="N868" s="4" t="s">
        <v>54</v>
      </c>
      <c r="O868" s="4" t="s">
        <v>82</v>
      </c>
      <c r="P868" s="4" t="s">
        <v>88</v>
      </c>
      <c r="Q868" s="4">
        <v>3</v>
      </c>
      <c r="R868" s="4">
        <v>15097</v>
      </c>
      <c r="S868" s="5">
        <v>5</v>
      </c>
      <c r="T868" s="6">
        <f t="shared" si="39"/>
        <v>43026.45</v>
      </c>
      <c r="U868" s="4">
        <v>29.51</v>
      </c>
      <c r="V868" t="str">
        <f t="shared" si="40"/>
        <v>Nov</v>
      </c>
      <c r="W868">
        <f t="shared" si="41"/>
        <v>6.8585718784608082E-4</v>
      </c>
    </row>
    <row r="869" spans="1:23" x14ac:dyDescent="0.4">
      <c r="A869" s="4" t="s">
        <v>2654</v>
      </c>
      <c r="B869" s="4" t="s">
        <v>56</v>
      </c>
      <c r="C869" s="11">
        <v>44959</v>
      </c>
      <c r="D869" s="4" t="s">
        <v>98</v>
      </c>
      <c r="E869" s="4" t="s">
        <v>24</v>
      </c>
      <c r="F869" s="4" t="s">
        <v>25</v>
      </c>
      <c r="G869" s="4" t="s">
        <v>41</v>
      </c>
      <c r="H869" s="4" t="s">
        <v>2655</v>
      </c>
      <c r="I869" s="4" t="s">
        <v>61</v>
      </c>
      <c r="J869" s="4" t="s">
        <v>79</v>
      </c>
      <c r="K869" s="4" t="s">
        <v>30</v>
      </c>
      <c r="L869" s="4" t="s">
        <v>917</v>
      </c>
      <c r="M869" s="4" t="s">
        <v>65</v>
      </c>
      <c r="N869" s="4" t="s">
        <v>33</v>
      </c>
      <c r="O869" s="4" t="s">
        <v>120</v>
      </c>
      <c r="P869" s="4" t="s">
        <v>47</v>
      </c>
      <c r="Q869" s="4">
        <v>8</v>
      </c>
      <c r="R869" s="4">
        <v>39770</v>
      </c>
      <c r="S869" s="5">
        <v>20</v>
      </c>
      <c r="T869" s="6">
        <f t="shared" si="39"/>
        <v>254528</v>
      </c>
      <c r="U869" s="4">
        <v>-44619.07</v>
      </c>
      <c r="V869" t="str">
        <f t="shared" si="40"/>
        <v>Jan</v>
      </c>
      <c r="W869">
        <f t="shared" si="41"/>
        <v>-0.17530122422680411</v>
      </c>
    </row>
    <row r="870" spans="1:23" x14ac:dyDescent="0.4">
      <c r="A870" s="4" t="s">
        <v>2656</v>
      </c>
      <c r="B870" s="4" t="s">
        <v>2122</v>
      </c>
      <c r="C870" s="11">
        <v>45111</v>
      </c>
      <c r="D870" s="4" t="s">
        <v>23</v>
      </c>
      <c r="E870" s="4" t="s">
        <v>24</v>
      </c>
      <c r="F870" s="4" t="s">
        <v>26</v>
      </c>
      <c r="G870" s="4" t="s">
        <v>99</v>
      </c>
      <c r="H870" s="4" t="s">
        <v>2657</v>
      </c>
      <c r="I870" s="4" t="s">
        <v>28</v>
      </c>
      <c r="J870" s="4" t="s">
        <v>29</v>
      </c>
      <c r="K870" s="4" t="s">
        <v>30</v>
      </c>
      <c r="L870" s="4" t="s">
        <v>889</v>
      </c>
      <c r="M870" s="4" t="s">
        <v>53</v>
      </c>
      <c r="N870" s="4" t="s">
        <v>33</v>
      </c>
      <c r="O870" s="4" t="s">
        <v>82</v>
      </c>
      <c r="P870" s="4" t="s">
        <v>35</v>
      </c>
      <c r="Q870" s="4">
        <v>3</v>
      </c>
      <c r="R870" s="4">
        <v>6917</v>
      </c>
      <c r="S870" s="5">
        <v>5</v>
      </c>
      <c r="T870" s="6">
        <f t="shared" si="39"/>
        <v>19713.45</v>
      </c>
      <c r="U870" s="4">
        <v>4304.2299999999996</v>
      </c>
      <c r="V870" t="str">
        <f t="shared" si="40"/>
        <v>Jul</v>
      </c>
      <c r="W870">
        <f t="shared" si="41"/>
        <v>0.21833976295371937</v>
      </c>
    </row>
    <row r="871" spans="1:23" x14ac:dyDescent="0.4">
      <c r="A871" s="4" t="s">
        <v>2658</v>
      </c>
      <c r="B871" s="4" t="s">
        <v>1104</v>
      </c>
      <c r="C871" s="11">
        <v>44819</v>
      </c>
      <c r="D871" s="4" t="s">
        <v>23</v>
      </c>
      <c r="E871" s="4" t="s">
        <v>24</v>
      </c>
      <c r="F871" s="4" t="s">
        <v>26</v>
      </c>
      <c r="G871" s="4" t="s">
        <v>41</v>
      </c>
      <c r="H871" s="4" t="s">
        <v>2659</v>
      </c>
      <c r="I871" s="4" t="s">
        <v>61</v>
      </c>
      <c r="J871" s="4" t="s">
        <v>62</v>
      </c>
      <c r="K871" s="4" t="s">
        <v>44</v>
      </c>
      <c r="L871" s="4" t="s">
        <v>194</v>
      </c>
      <c r="M871" s="4" t="s">
        <v>95</v>
      </c>
      <c r="N871" s="4" t="s">
        <v>54</v>
      </c>
      <c r="O871" s="4" t="s">
        <v>120</v>
      </c>
      <c r="P871" s="4" t="s">
        <v>88</v>
      </c>
      <c r="Q871" s="4">
        <v>5</v>
      </c>
      <c r="R871" s="4">
        <v>26918</v>
      </c>
      <c r="S871" s="5">
        <v>0</v>
      </c>
      <c r="T871" s="6">
        <f t="shared" si="39"/>
        <v>134590</v>
      </c>
      <c r="U871" s="4">
        <v>13723.48</v>
      </c>
      <c r="V871" t="str">
        <f t="shared" si="40"/>
        <v>Sep</v>
      </c>
      <c r="W871">
        <f t="shared" si="41"/>
        <v>0.10196507912920721</v>
      </c>
    </row>
    <row r="872" spans="1:23" x14ac:dyDescent="0.4">
      <c r="A872" s="4" t="s">
        <v>2660</v>
      </c>
      <c r="B872" s="4" t="s">
        <v>547</v>
      </c>
      <c r="C872" s="11">
        <v>45395</v>
      </c>
      <c r="D872" s="4" t="s">
        <v>23</v>
      </c>
      <c r="E872" s="4" t="s">
        <v>24</v>
      </c>
      <c r="F872" s="4" t="s">
        <v>25</v>
      </c>
      <c r="G872" s="4" t="s">
        <v>26</v>
      </c>
      <c r="H872" s="4" t="s">
        <v>310</v>
      </c>
      <c r="I872" s="4" t="s">
        <v>43</v>
      </c>
      <c r="J872" s="4" t="s">
        <v>79</v>
      </c>
      <c r="K872" s="4" t="s">
        <v>63</v>
      </c>
      <c r="L872" s="4" t="s">
        <v>552</v>
      </c>
      <c r="M872" s="4" t="s">
        <v>73</v>
      </c>
      <c r="N872" s="4" t="s">
        <v>33</v>
      </c>
      <c r="O872" s="4" t="s">
        <v>120</v>
      </c>
      <c r="P872" s="4" t="s">
        <v>47</v>
      </c>
      <c r="Q872" s="4">
        <v>9</v>
      </c>
      <c r="R872" s="4">
        <v>7801</v>
      </c>
      <c r="S872" s="5">
        <v>10</v>
      </c>
      <c r="T872" s="6">
        <f t="shared" si="39"/>
        <v>63188.1</v>
      </c>
      <c r="U872" s="4">
        <v>9426.82</v>
      </c>
      <c r="V872" t="str">
        <f t="shared" si="40"/>
        <v>Apr</v>
      </c>
      <c r="W872">
        <f t="shared" si="41"/>
        <v>0.14918663482522818</v>
      </c>
    </row>
    <row r="873" spans="1:23" x14ac:dyDescent="0.4">
      <c r="A873" s="4" t="s">
        <v>2662</v>
      </c>
      <c r="B873" s="4" t="s">
        <v>2158</v>
      </c>
      <c r="C873" s="11">
        <v>45382</v>
      </c>
      <c r="D873" s="4" t="s">
        <v>98</v>
      </c>
      <c r="E873" s="4" t="s">
        <v>24</v>
      </c>
      <c r="F873" s="4" t="s">
        <v>58</v>
      </c>
      <c r="G873" s="4" t="s">
        <v>99</v>
      </c>
      <c r="H873" s="4" t="s">
        <v>2663</v>
      </c>
      <c r="I873" s="4" t="s">
        <v>43</v>
      </c>
      <c r="J873" s="4" t="s">
        <v>79</v>
      </c>
      <c r="K873" s="4" t="s">
        <v>86</v>
      </c>
      <c r="L873" s="4" t="s">
        <v>2203</v>
      </c>
      <c r="M873" s="4" t="s">
        <v>73</v>
      </c>
      <c r="N873" s="4" t="s">
        <v>33</v>
      </c>
      <c r="O873" s="4" t="s">
        <v>46</v>
      </c>
      <c r="P873" s="4" t="s">
        <v>88</v>
      </c>
      <c r="Q873" s="4">
        <v>2</v>
      </c>
      <c r="R873" s="4">
        <v>9735</v>
      </c>
      <c r="S873" s="5">
        <v>5</v>
      </c>
      <c r="T873" s="6">
        <f t="shared" si="39"/>
        <v>18496.5</v>
      </c>
      <c r="U873" s="4">
        <v>1050.51</v>
      </c>
      <c r="V873" t="str">
        <f t="shared" si="40"/>
        <v>Mar</v>
      </c>
      <c r="W873">
        <f t="shared" si="41"/>
        <v>5.6795069337442217E-2</v>
      </c>
    </row>
    <row r="874" spans="1:23" x14ac:dyDescent="0.4">
      <c r="A874" s="4" t="s">
        <v>2664</v>
      </c>
      <c r="B874" s="4" t="s">
        <v>37</v>
      </c>
      <c r="C874" s="11">
        <v>45362</v>
      </c>
      <c r="D874" s="4" t="s">
        <v>23</v>
      </c>
      <c r="E874" s="4" t="s">
        <v>24</v>
      </c>
      <c r="F874" s="4" t="s">
        <v>25</v>
      </c>
      <c r="G874" s="4" t="s">
        <v>59</v>
      </c>
      <c r="H874" s="4" t="s">
        <v>323</v>
      </c>
      <c r="I874" s="4" t="s">
        <v>28</v>
      </c>
      <c r="J874" s="4" t="s">
        <v>62</v>
      </c>
      <c r="K874" s="4" t="s">
        <v>63</v>
      </c>
      <c r="L874" s="4" t="s">
        <v>687</v>
      </c>
      <c r="M874" s="4" t="s">
        <v>32</v>
      </c>
      <c r="N874" s="4" t="s">
        <v>54</v>
      </c>
      <c r="O874" s="4" t="s">
        <v>66</v>
      </c>
      <c r="P874" s="4" t="s">
        <v>88</v>
      </c>
      <c r="Q874" s="4">
        <v>10</v>
      </c>
      <c r="R874" s="4">
        <v>45942</v>
      </c>
      <c r="S874" s="5">
        <v>5</v>
      </c>
      <c r="T874" s="6">
        <f t="shared" si="39"/>
        <v>436449</v>
      </c>
      <c r="U874" s="4">
        <v>303.67</v>
      </c>
      <c r="V874" t="str">
        <f t="shared" si="40"/>
        <v>Mar</v>
      </c>
      <c r="W874">
        <f t="shared" si="41"/>
        <v>6.9577430581809104E-4</v>
      </c>
    </row>
    <row r="875" spans="1:23" x14ac:dyDescent="0.4">
      <c r="A875" s="4" t="s">
        <v>2665</v>
      </c>
      <c r="B875" s="4" t="s">
        <v>1107</v>
      </c>
      <c r="C875" s="11">
        <v>44581</v>
      </c>
      <c r="D875" s="4" t="s">
        <v>98</v>
      </c>
      <c r="E875" s="4" t="s">
        <v>24</v>
      </c>
      <c r="F875" s="4" t="s">
        <v>40</v>
      </c>
      <c r="G875" s="4" t="s">
        <v>99</v>
      </c>
      <c r="H875" s="4" t="s">
        <v>2666</v>
      </c>
      <c r="I875" s="4" t="s">
        <v>61</v>
      </c>
      <c r="J875" s="4" t="s">
        <v>79</v>
      </c>
      <c r="K875" s="4" t="s">
        <v>86</v>
      </c>
      <c r="L875" s="4" t="s">
        <v>1482</v>
      </c>
      <c r="M875" s="4" t="s">
        <v>73</v>
      </c>
      <c r="N875" s="4" t="s">
        <v>33</v>
      </c>
      <c r="O875" s="4" t="s">
        <v>34</v>
      </c>
      <c r="P875" s="4" t="s">
        <v>88</v>
      </c>
      <c r="Q875" s="4">
        <v>6</v>
      </c>
      <c r="R875" s="4">
        <v>1671</v>
      </c>
      <c r="S875" s="5">
        <v>20</v>
      </c>
      <c r="T875" s="6">
        <f t="shared" si="39"/>
        <v>8020.8</v>
      </c>
      <c r="U875" s="4">
        <v>938.9</v>
      </c>
      <c r="V875" t="str">
        <f t="shared" si="40"/>
        <v>Jan</v>
      </c>
      <c r="W875">
        <f t="shared" si="41"/>
        <v>0.11705814881308597</v>
      </c>
    </row>
    <row r="876" spans="1:23" x14ac:dyDescent="0.4">
      <c r="A876" s="4" t="s">
        <v>2667</v>
      </c>
      <c r="B876" s="4" t="s">
        <v>1015</v>
      </c>
      <c r="C876" s="11">
        <v>45004</v>
      </c>
      <c r="D876" s="4" t="s">
        <v>39</v>
      </c>
      <c r="E876" s="4" t="s">
        <v>24</v>
      </c>
      <c r="F876" s="4" t="s">
        <v>40</v>
      </c>
      <c r="G876" s="4" t="s">
        <v>59</v>
      </c>
      <c r="H876" s="4" t="s">
        <v>268</v>
      </c>
      <c r="I876" s="4" t="s">
        <v>28</v>
      </c>
      <c r="J876" s="4" t="s">
        <v>79</v>
      </c>
      <c r="K876" s="4" t="s">
        <v>44</v>
      </c>
      <c r="L876" s="4" t="s">
        <v>264</v>
      </c>
      <c r="M876" s="4" t="s">
        <v>73</v>
      </c>
      <c r="N876" s="4" t="s">
        <v>33</v>
      </c>
      <c r="O876" s="4" t="s">
        <v>46</v>
      </c>
      <c r="P876" s="4" t="s">
        <v>47</v>
      </c>
      <c r="Q876" s="4">
        <v>10</v>
      </c>
      <c r="R876" s="4">
        <v>26083</v>
      </c>
      <c r="S876" s="5">
        <v>20</v>
      </c>
      <c r="T876" s="6">
        <f t="shared" si="39"/>
        <v>208664</v>
      </c>
      <c r="U876" s="4">
        <v>4627.3599999999997</v>
      </c>
      <c r="V876" t="str">
        <f t="shared" si="40"/>
        <v>Mar</v>
      </c>
      <c r="W876">
        <f t="shared" si="41"/>
        <v>2.2176130046390366E-2</v>
      </c>
    </row>
    <row r="877" spans="1:23" x14ac:dyDescent="0.4">
      <c r="A877" s="4" t="s">
        <v>2668</v>
      </c>
      <c r="B877" s="4" t="s">
        <v>2669</v>
      </c>
      <c r="C877" s="11">
        <v>45322</v>
      </c>
      <c r="D877" s="4" t="s">
        <v>124</v>
      </c>
      <c r="E877" s="4" t="s">
        <v>24</v>
      </c>
      <c r="F877" s="4" t="s">
        <v>25</v>
      </c>
      <c r="G877" s="4" t="s">
        <v>59</v>
      </c>
      <c r="H877" s="4" t="s">
        <v>2670</v>
      </c>
      <c r="I877" s="4" t="s">
        <v>43</v>
      </c>
      <c r="J877" s="4" t="s">
        <v>62</v>
      </c>
      <c r="K877" s="4" t="s">
        <v>86</v>
      </c>
      <c r="L877" s="4" t="s">
        <v>1065</v>
      </c>
      <c r="M877" s="4" t="s">
        <v>53</v>
      </c>
      <c r="N877" s="4" t="s">
        <v>54</v>
      </c>
      <c r="O877" s="4" t="s">
        <v>82</v>
      </c>
      <c r="P877" s="4" t="s">
        <v>35</v>
      </c>
      <c r="Q877" s="4">
        <v>6</v>
      </c>
      <c r="R877" s="4">
        <v>15279</v>
      </c>
      <c r="S877" s="5">
        <v>10</v>
      </c>
      <c r="T877" s="6">
        <f t="shared" si="39"/>
        <v>82506.600000000006</v>
      </c>
      <c r="U877" s="4">
        <v>2261.14</v>
      </c>
      <c r="V877" t="str">
        <f t="shared" si="40"/>
        <v>Jan</v>
      </c>
      <c r="W877">
        <f t="shared" si="41"/>
        <v>2.7405565130547128E-2</v>
      </c>
    </row>
    <row r="878" spans="1:23" x14ac:dyDescent="0.4">
      <c r="A878" s="4" t="s">
        <v>2671</v>
      </c>
      <c r="B878" s="4" t="s">
        <v>2523</v>
      </c>
      <c r="C878" s="11">
        <v>45325</v>
      </c>
      <c r="D878" s="4" t="s">
        <v>98</v>
      </c>
      <c r="E878" s="4" t="s">
        <v>24</v>
      </c>
      <c r="F878" s="4" t="s">
        <v>70</v>
      </c>
      <c r="G878" s="4" t="s">
        <v>41</v>
      </c>
      <c r="H878" s="4" t="s">
        <v>2672</v>
      </c>
      <c r="I878" s="4" t="s">
        <v>28</v>
      </c>
      <c r="J878" s="4" t="s">
        <v>79</v>
      </c>
      <c r="K878" s="4" t="s">
        <v>153</v>
      </c>
      <c r="L878" s="4" t="s">
        <v>277</v>
      </c>
      <c r="M878" s="4" t="s">
        <v>73</v>
      </c>
      <c r="N878" s="4" t="s">
        <v>54</v>
      </c>
      <c r="O878" s="4" t="s">
        <v>46</v>
      </c>
      <c r="P878" s="4" t="s">
        <v>47</v>
      </c>
      <c r="Q878" s="4">
        <v>3</v>
      </c>
      <c r="R878" s="4">
        <v>25762</v>
      </c>
      <c r="S878" s="5">
        <v>20</v>
      </c>
      <c r="T878" s="6">
        <f t="shared" si="39"/>
        <v>61828.800000000003</v>
      </c>
      <c r="U878" s="4">
        <v>2896.54</v>
      </c>
      <c r="V878" t="str">
        <f t="shared" si="40"/>
        <v>Jan</v>
      </c>
      <c r="W878">
        <f t="shared" si="41"/>
        <v>4.6847747328105996E-2</v>
      </c>
    </row>
    <row r="879" spans="1:23" x14ac:dyDescent="0.4">
      <c r="A879" s="4" t="s">
        <v>2673</v>
      </c>
      <c r="B879" s="4" t="s">
        <v>1935</v>
      </c>
      <c r="C879" s="11">
        <v>45232</v>
      </c>
      <c r="D879" s="4" t="s">
        <v>23</v>
      </c>
      <c r="E879" s="4" t="s">
        <v>24</v>
      </c>
      <c r="F879" s="4" t="s">
        <v>40</v>
      </c>
      <c r="G879" s="4" t="s">
        <v>59</v>
      </c>
      <c r="H879" s="4" t="s">
        <v>2674</v>
      </c>
      <c r="I879" s="4" t="s">
        <v>61</v>
      </c>
      <c r="J879" s="4" t="s">
        <v>79</v>
      </c>
      <c r="K879" s="4" t="s">
        <v>63</v>
      </c>
      <c r="L879" s="4" t="s">
        <v>753</v>
      </c>
      <c r="M879" s="4" t="s">
        <v>32</v>
      </c>
      <c r="N879" s="4" t="s">
        <v>54</v>
      </c>
      <c r="O879" s="4" t="s">
        <v>34</v>
      </c>
      <c r="P879" s="4" t="s">
        <v>74</v>
      </c>
      <c r="Q879" s="4">
        <v>7</v>
      </c>
      <c r="R879" s="4">
        <v>17882</v>
      </c>
      <c r="S879" s="5">
        <v>10</v>
      </c>
      <c r="T879" s="6">
        <f t="shared" si="39"/>
        <v>112656.6</v>
      </c>
      <c r="U879" s="4">
        <v>-2698.42</v>
      </c>
      <c r="V879" t="str">
        <f t="shared" si="40"/>
        <v>Oct</v>
      </c>
      <c r="W879">
        <f t="shared" si="41"/>
        <v>-2.3952613517539141E-2</v>
      </c>
    </row>
    <row r="880" spans="1:23" x14ac:dyDescent="0.4">
      <c r="A880" s="4" t="s">
        <v>2675</v>
      </c>
      <c r="B880" s="4" t="s">
        <v>355</v>
      </c>
      <c r="C880" s="11">
        <v>44881</v>
      </c>
      <c r="D880" s="4" t="s">
        <v>98</v>
      </c>
      <c r="E880" s="4" t="s">
        <v>24</v>
      </c>
      <c r="F880" s="4" t="s">
        <v>25</v>
      </c>
      <c r="G880" s="4" t="s">
        <v>59</v>
      </c>
      <c r="H880" s="4" t="s">
        <v>2676</v>
      </c>
      <c r="I880" s="4" t="s">
        <v>28</v>
      </c>
      <c r="J880" s="4" t="s">
        <v>79</v>
      </c>
      <c r="K880" s="4" t="s">
        <v>101</v>
      </c>
      <c r="L880" s="4" t="s">
        <v>377</v>
      </c>
      <c r="M880" s="4" t="s">
        <v>32</v>
      </c>
      <c r="N880" s="4" t="s">
        <v>33</v>
      </c>
      <c r="O880" s="4" t="s">
        <v>34</v>
      </c>
      <c r="P880" s="4" t="s">
        <v>35</v>
      </c>
      <c r="Q880" s="4">
        <v>6</v>
      </c>
      <c r="R880" s="4">
        <v>42496</v>
      </c>
      <c r="S880" s="5">
        <v>5</v>
      </c>
      <c r="T880" s="6">
        <f t="shared" si="39"/>
        <v>242227.20000000001</v>
      </c>
      <c r="U880" s="4">
        <v>52208.83</v>
      </c>
      <c r="V880" t="str">
        <f t="shared" si="40"/>
        <v>Nov</v>
      </c>
      <c r="W880">
        <f t="shared" si="41"/>
        <v>0.21553661190815895</v>
      </c>
    </row>
    <row r="881" spans="1:23" x14ac:dyDescent="0.4">
      <c r="A881" s="4" t="s">
        <v>2677</v>
      </c>
      <c r="B881" s="4" t="s">
        <v>1758</v>
      </c>
      <c r="C881" s="11">
        <v>45459</v>
      </c>
      <c r="D881" s="4" t="s">
        <v>39</v>
      </c>
      <c r="E881" s="4" t="s">
        <v>24</v>
      </c>
      <c r="F881" s="4" t="s">
        <v>26</v>
      </c>
      <c r="G881" s="4" t="s">
        <v>92</v>
      </c>
      <c r="H881" s="4" t="s">
        <v>2678</v>
      </c>
      <c r="I881" s="4" t="s">
        <v>61</v>
      </c>
      <c r="J881" s="4" t="s">
        <v>62</v>
      </c>
      <c r="K881" s="4" t="s">
        <v>86</v>
      </c>
      <c r="L881" s="4" t="s">
        <v>808</v>
      </c>
      <c r="M881" s="4" t="s">
        <v>32</v>
      </c>
      <c r="N881" s="4" t="s">
        <v>54</v>
      </c>
      <c r="O881" s="4" t="s">
        <v>66</v>
      </c>
      <c r="P881" s="4" t="s">
        <v>35</v>
      </c>
      <c r="Q881" s="4">
        <v>9</v>
      </c>
      <c r="R881" s="4">
        <v>24923</v>
      </c>
      <c r="S881" s="5">
        <v>10</v>
      </c>
      <c r="T881" s="6">
        <f t="shared" si="39"/>
        <v>201876.3</v>
      </c>
      <c r="U881" s="4">
        <v>40196.35</v>
      </c>
      <c r="V881" t="str">
        <f t="shared" si="40"/>
        <v>Jun</v>
      </c>
      <c r="W881">
        <f t="shared" si="41"/>
        <v>0.19911376422096105</v>
      </c>
    </row>
    <row r="882" spans="1:23" x14ac:dyDescent="0.4">
      <c r="A882" s="4" t="s">
        <v>2679</v>
      </c>
      <c r="B882" s="4" t="s">
        <v>460</v>
      </c>
      <c r="C882" s="11">
        <v>45300</v>
      </c>
      <c r="D882" s="4" t="s">
        <v>39</v>
      </c>
      <c r="E882" s="4" t="s">
        <v>24</v>
      </c>
      <c r="F882" s="4" t="s">
        <v>40</v>
      </c>
      <c r="G882" s="4" t="s">
        <v>41</v>
      </c>
      <c r="H882" s="4" t="s">
        <v>2680</v>
      </c>
      <c r="I882" s="4" t="s">
        <v>28</v>
      </c>
      <c r="J882" s="4" t="s">
        <v>29</v>
      </c>
      <c r="K882" s="4" t="s">
        <v>86</v>
      </c>
      <c r="L882" s="4" t="s">
        <v>805</v>
      </c>
      <c r="M882" s="4" t="s">
        <v>53</v>
      </c>
      <c r="N882" s="4" t="s">
        <v>33</v>
      </c>
      <c r="O882" s="4" t="s">
        <v>120</v>
      </c>
      <c r="P882" s="4" t="s">
        <v>88</v>
      </c>
      <c r="Q882" s="4">
        <v>9</v>
      </c>
      <c r="R882" s="4">
        <v>10293</v>
      </c>
      <c r="S882" s="5">
        <v>5</v>
      </c>
      <c r="T882" s="6">
        <f t="shared" si="39"/>
        <v>88005.15</v>
      </c>
      <c r="U882" s="4">
        <v>22763.16</v>
      </c>
      <c r="V882" t="str">
        <f t="shared" si="40"/>
        <v>Jan</v>
      </c>
      <c r="W882">
        <f t="shared" si="41"/>
        <v>0.25865713540628021</v>
      </c>
    </row>
    <row r="883" spans="1:23" x14ac:dyDescent="0.4">
      <c r="A883" s="4" t="s">
        <v>2681</v>
      </c>
      <c r="B883" s="4" t="s">
        <v>855</v>
      </c>
      <c r="C883" s="11">
        <v>44576</v>
      </c>
      <c r="D883" s="4" t="s">
        <v>39</v>
      </c>
      <c r="E883" s="4" t="s">
        <v>24</v>
      </c>
      <c r="F883" s="4" t="s">
        <v>40</v>
      </c>
      <c r="G883" s="4" t="s">
        <v>41</v>
      </c>
      <c r="H883" s="4" t="s">
        <v>2682</v>
      </c>
      <c r="I883" s="4" t="s">
        <v>43</v>
      </c>
      <c r="J883" s="4" t="s">
        <v>79</v>
      </c>
      <c r="K883" s="4" t="s">
        <v>30</v>
      </c>
      <c r="L883" s="4" t="s">
        <v>2139</v>
      </c>
      <c r="M883" s="4" t="s">
        <v>95</v>
      </c>
      <c r="N883" s="4" t="s">
        <v>33</v>
      </c>
      <c r="O883" s="4" t="s">
        <v>46</v>
      </c>
      <c r="P883" s="4" t="s">
        <v>47</v>
      </c>
      <c r="Q883" s="4">
        <v>8</v>
      </c>
      <c r="R883" s="4">
        <v>46402</v>
      </c>
      <c r="S883" s="5">
        <v>5</v>
      </c>
      <c r="T883" s="6">
        <f t="shared" si="39"/>
        <v>352655.2</v>
      </c>
      <c r="U883" s="4">
        <v>50444.56</v>
      </c>
      <c r="V883" t="str">
        <f t="shared" si="40"/>
        <v>Jan</v>
      </c>
      <c r="W883">
        <f t="shared" si="41"/>
        <v>0.14304215562396358</v>
      </c>
    </row>
    <row r="884" spans="1:23" x14ac:dyDescent="0.4">
      <c r="A884" s="4" t="s">
        <v>2683</v>
      </c>
      <c r="B884" s="4" t="s">
        <v>1877</v>
      </c>
      <c r="C884" s="11">
        <v>44661</v>
      </c>
      <c r="D884" s="4" t="s">
        <v>98</v>
      </c>
      <c r="E884" s="4" t="s">
        <v>24</v>
      </c>
      <c r="F884" s="4" t="s">
        <v>70</v>
      </c>
      <c r="G884" s="4" t="s">
        <v>99</v>
      </c>
      <c r="H884" s="4" t="s">
        <v>2684</v>
      </c>
      <c r="I884" s="4" t="s">
        <v>43</v>
      </c>
      <c r="J884" s="4" t="s">
        <v>62</v>
      </c>
      <c r="K884" s="4" t="s">
        <v>153</v>
      </c>
      <c r="L884" s="4" t="s">
        <v>843</v>
      </c>
      <c r="M884" s="4" t="s">
        <v>53</v>
      </c>
      <c r="N884" s="4" t="s">
        <v>33</v>
      </c>
      <c r="O884" s="4" t="s">
        <v>120</v>
      </c>
      <c r="P884" s="4" t="s">
        <v>88</v>
      </c>
      <c r="Q884" s="4">
        <v>1</v>
      </c>
      <c r="R884" s="4">
        <v>37539</v>
      </c>
      <c r="S884" s="5">
        <v>15</v>
      </c>
      <c r="T884" s="6">
        <f t="shared" si="39"/>
        <v>31908.15</v>
      </c>
      <c r="U884" s="4">
        <v>902.15</v>
      </c>
      <c r="V884" t="str">
        <f t="shared" si="40"/>
        <v>Apr</v>
      </c>
      <c r="W884">
        <f t="shared" si="41"/>
        <v>2.8273340823582689E-2</v>
      </c>
    </row>
    <row r="885" spans="1:23" x14ac:dyDescent="0.4">
      <c r="A885" s="4" t="s">
        <v>2685</v>
      </c>
      <c r="B885" s="4" t="s">
        <v>2686</v>
      </c>
      <c r="C885" s="11">
        <v>45256</v>
      </c>
      <c r="D885" s="4" t="s">
        <v>39</v>
      </c>
      <c r="E885" s="4" t="s">
        <v>24</v>
      </c>
      <c r="F885" s="4" t="s">
        <v>25</v>
      </c>
      <c r="G885" s="4" t="s">
        <v>92</v>
      </c>
      <c r="H885" s="4" t="s">
        <v>263</v>
      </c>
      <c r="I885" s="4" t="s">
        <v>61</v>
      </c>
      <c r="J885" s="4" t="s">
        <v>62</v>
      </c>
      <c r="K885" s="4" t="s">
        <v>86</v>
      </c>
      <c r="L885" s="4" t="s">
        <v>530</v>
      </c>
      <c r="M885" s="4" t="s">
        <v>73</v>
      </c>
      <c r="N885" s="4" t="s">
        <v>33</v>
      </c>
      <c r="O885" s="4" t="s">
        <v>46</v>
      </c>
      <c r="P885" s="4" t="s">
        <v>47</v>
      </c>
      <c r="Q885" s="4">
        <v>1</v>
      </c>
      <c r="R885" s="4">
        <v>45952</v>
      </c>
      <c r="S885" s="5">
        <v>10</v>
      </c>
      <c r="T885" s="6">
        <f t="shared" si="39"/>
        <v>41356.800000000003</v>
      </c>
      <c r="U885" s="4">
        <v>752.3</v>
      </c>
      <c r="V885" t="str">
        <f t="shared" si="40"/>
        <v>Nov</v>
      </c>
      <c r="W885">
        <f t="shared" si="41"/>
        <v>1.8190478953884245E-2</v>
      </c>
    </row>
    <row r="886" spans="1:23" x14ac:dyDescent="0.4">
      <c r="A886" s="4" t="s">
        <v>2688</v>
      </c>
      <c r="B886" s="4" t="s">
        <v>454</v>
      </c>
      <c r="C886" s="11">
        <v>45497</v>
      </c>
      <c r="D886" s="4" t="s">
        <v>124</v>
      </c>
      <c r="E886" s="4" t="s">
        <v>24</v>
      </c>
      <c r="F886" s="4" t="s">
        <v>26</v>
      </c>
      <c r="G886" s="4" t="s">
        <v>26</v>
      </c>
      <c r="H886" s="4" t="s">
        <v>2689</v>
      </c>
      <c r="I886" s="4" t="s">
        <v>28</v>
      </c>
      <c r="J886" s="4" t="s">
        <v>79</v>
      </c>
      <c r="K886" s="4" t="s">
        <v>153</v>
      </c>
      <c r="L886" s="4" t="s">
        <v>1725</v>
      </c>
      <c r="M886" s="4" t="s">
        <v>32</v>
      </c>
      <c r="N886" s="4" t="s">
        <v>33</v>
      </c>
      <c r="O886" s="4" t="s">
        <v>46</v>
      </c>
      <c r="P886" s="4" t="s">
        <v>74</v>
      </c>
      <c r="Q886" s="4">
        <v>8</v>
      </c>
      <c r="R886" s="4">
        <v>48742</v>
      </c>
      <c r="S886" s="5">
        <v>5</v>
      </c>
      <c r="T886" s="6">
        <f t="shared" si="39"/>
        <v>370439.2</v>
      </c>
      <c r="U886" s="4">
        <v>17981.46</v>
      </c>
      <c r="V886" t="str">
        <f t="shared" si="40"/>
        <v>Jul</v>
      </c>
      <c r="W886">
        <f t="shared" si="41"/>
        <v>4.854092115521251E-2</v>
      </c>
    </row>
    <row r="887" spans="1:23" x14ac:dyDescent="0.4">
      <c r="A887" s="4" t="s">
        <v>2690</v>
      </c>
      <c r="B887" s="4" t="s">
        <v>1935</v>
      </c>
      <c r="C887" s="11">
        <v>45233</v>
      </c>
      <c r="D887" s="4" t="s">
        <v>39</v>
      </c>
      <c r="E887" s="4" t="s">
        <v>24</v>
      </c>
      <c r="F887" s="4" t="s">
        <v>58</v>
      </c>
      <c r="G887" s="4" t="s">
        <v>92</v>
      </c>
      <c r="H887" s="4" t="s">
        <v>2692</v>
      </c>
      <c r="I887" s="4" t="s">
        <v>61</v>
      </c>
      <c r="J887" s="4" t="s">
        <v>79</v>
      </c>
      <c r="K887" s="4" t="s">
        <v>44</v>
      </c>
      <c r="L887" s="4" t="s">
        <v>770</v>
      </c>
      <c r="M887" s="4" t="s">
        <v>32</v>
      </c>
      <c r="N887" s="4" t="s">
        <v>33</v>
      </c>
      <c r="O887" s="4" t="s">
        <v>82</v>
      </c>
      <c r="P887" s="4" t="s">
        <v>35</v>
      </c>
      <c r="Q887" s="4">
        <v>7</v>
      </c>
      <c r="R887" s="4">
        <v>10543</v>
      </c>
      <c r="S887" s="5">
        <v>5</v>
      </c>
      <c r="T887" s="6">
        <f t="shared" si="39"/>
        <v>70110.95</v>
      </c>
      <c r="U887" s="4">
        <v>9097.68</v>
      </c>
      <c r="V887" t="str">
        <f t="shared" si="40"/>
        <v>Oct</v>
      </c>
      <c r="W887">
        <f t="shared" si="41"/>
        <v>0.12976118566358039</v>
      </c>
    </row>
    <row r="888" spans="1:23" x14ac:dyDescent="0.4">
      <c r="A888" s="4" t="s">
        <v>2693</v>
      </c>
      <c r="B888" s="4" t="s">
        <v>1945</v>
      </c>
      <c r="C888" s="11">
        <v>44973</v>
      </c>
      <c r="D888" s="4" t="s">
        <v>39</v>
      </c>
      <c r="E888" s="4" t="s">
        <v>24</v>
      </c>
      <c r="F888" s="4" t="s">
        <v>40</v>
      </c>
      <c r="G888" s="4" t="s">
        <v>99</v>
      </c>
      <c r="H888" s="4" t="s">
        <v>1179</v>
      </c>
      <c r="I888" s="4" t="s">
        <v>28</v>
      </c>
      <c r="J888" s="4" t="s">
        <v>29</v>
      </c>
      <c r="K888" s="4" t="s">
        <v>30</v>
      </c>
      <c r="L888" s="4" t="s">
        <v>228</v>
      </c>
      <c r="M888" s="4" t="s">
        <v>32</v>
      </c>
      <c r="N888" s="4" t="s">
        <v>54</v>
      </c>
      <c r="O888" s="4" t="s">
        <v>120</v>
      </c>
      <c r="P888" s="4" t="s">
        <v>88</v>
      </c>
      <c r="Q888" s="4">
        <v>6</v>
      </c>
      <c r="R888" s="4">
        <v>2119</v>
      </c>
      <c r="S888" s="5">
        <v>10</v>
      </c>
      <c r="T888" s="6">
        <f t="shared" si="39"/>
        <v>11442.6</v>
      </c>
      <c r="U888" s="4">
        <v>-62.51</v>
      </c>
      <c r="V888" t="str">
        <f t="shared" si="40"/>
        <v>Feb</v>
      </c>
      <c r="W888">
        <f t="shared" si="41"/>
        <v>-5.4629192666002481E-3</v>
      </c>
    </row>
    <row r="889" spans="1:23" x14ac:dyDescent="0.4">
      <c r="A889" s="4" t="s">
        <v>2694</v>
      </c>
      <c r="B889" s="4" t="s">
        <v>2501</v>
      </c>
      <c r="C889" s="11">
        <v>44864</v>
      </c>
      <c r="D889" s="4" t="s">
        <v>39</v>
      </c>
      <c r="E889" s="4" t="s">
        <v>24</v>
      </c>
      <c r="F889" s="4" t="s">
        <v>25</v>
      </c>
      <c r="G889" s="4" t="s">
        <v>26</v>
      </c>
      <c r="H889" s="4" t="s">
        <v>2695</v>
      </c>
      <c r="I889" s="4" t="s">
        <v>61</v>
      </c>
      <c r="J889" s="4" t="s">
        <v>62</v>
      </c>
      <c r="K889" s="4" t="s">
        <v>30</v>
      </c>
      <c r="L889" s="4" t="s">
        <v>980</v>
      </c>
      <c r="M889" s="4" t="s">
        <v>32</v>
      </c>
      <c r="N889" s="4" t="s">
        <v>33</v>
      </c>
      <c r="O889" s="4" t="s">
        <v>46</v>
      </c>
      <c r="P889" s="4" t="s">
        <v>47</v>
      </c>
      <c r="Q889" s="4">
        <v>1</v>
      </c>
      <c r="R889" s="4">
        <v>4164</v>
      </c>
      <c r="S889" s="5">
        <v>10</v>
      </c>
      <c r="T889" s="6">
        <f t="shared" si="39"/>
        <v>3747.6</v>
      </c>
      <c r="U889" s="4">
        <v>-99.14</v>
      </c>
      <c r="V889" t="str">
        <f t="shared" si="40"/>
        <v>Oct</v>
      </c>
      <c r="W889">
        <f t="shared" si="41"/>
        <v>-2.6454264062333227E-2</v>
      </c>
    </row>
    <row r="890" spans="1:23" x14ac:dyDescent="0.4">
      <c r="A890" s="4" t="s">
        <v>2696</v>
      </c>
      <c r="B890" s="4" t="s">
        <v>2351</v>
      </c>
      <c r="C890" s="11">
        <v>45291</v>
      </c>
      <c r="D890" s="4" t="s">
        <v>23</v>
      </c>
      <c r="E890" s="4" t="s">
        <v>24</v>
      </c>
      <c r="F890" s="4" t="s">
        <v>25</v>
      </c>
      <c r="G890" s="4" t="s">
        <v>59</v>
      </c>
      <c r="H890" s="4" t="s">
        <v>2697</v>
      </c>
      <c r="I890" s="4" t="s">
        <v>43</v>
      </c>
      <c r="J890" s="4" t="s">
        <v>79</v>
      </c>
      <c r="K890" s="4" t="s">
        <v>101</v>
      </c>
      <c r="L890" s="4" t="s">
        <v>1089</v>
      </c>
      <c r="M890" s="4" t="s">
        <v>53</v>
      </c>
      <c r="N890" s="4" t="s">
        <v>54</v>
      </c>
      <c r="O890" s="4" t="s">
        <v>46</v>
      </c>
      <c r="P890" s="4" t="s">
        <v>88</v>
      </c>
      <c r="Q890" s="4">
        <v>6</v>
      </c>
      <c r="R890" s="4">
        <v>16965</v>
      </c>
      <c r="S890" s="5">
        <v>20</v>
      </c>
      <c r="T890" s="6">
        <f t="shared" si="39"/>
        <v>81432</v>
      </c>
      <c r="U890" s="4">
        <v>1051.17</v>
      </c>
      <c r="V890" t="str">
        <f t="shared" si="40"/>
        <v>Dec</v>
      </c>
      <c r="W890">
        <f t="shared" si="41"/>
        <v>1.2908561744768642E-2</v>
      </c>
    </row>
    <row r="891" spans="1:23" x14ac:dyDescent="0.4">
      <c r="A891" s="4" t="s">
        <v>2698</v>
      </c>
      <c r="B891" s="4" t="s">
        <v>915</v>
      </c>
      <c r="C891" s="11">
        <v>45404</v>
      </c>
      <c r="D891" s="4" t="s">
        <v>23</v>
      </c>
      <c r="E891" s="4" t="s">
        <v>24</v>
      </c>
      <c r="F891" s="4" t="s">
        <v>58</v>
      </c>
      <c r="G891" s="4" t="s">
        <v>92</v>
      </c>
      <c r="H891" s="4" t="s">
        <v>2699</v>
      </c>
      <c r="I891" s="4" t="s">
        <v>28</v>
      </c>
      <c r="J891" s="4" t="s">
        <v>79</v>
      </c>
      <c r="K891" s="4" t="s">
        <v>44</v>
      </c>
      <c r="L891" s="4" t="s">
        <v>223</v>
      </c>
      <c r="M891" s="4" t="s">
        <v>53</v>
      </c>
      <c r="N891" s="4" t="s">
        <v>54</v>
      </c>
      <c r="O891" s="4" t="s">
        <v>120</v>
      </c>
      <c r="P891" s="4" t="s">
        <v>88</v>
      </c>
      <c r="Q891" s="4">
        <v>7</v>
      </c>
      <c r="R891" s="4">
        <v>40731</v>
      </c>
      <c r="S891" s="5">
        <v>15</v>
      </c>
      <c r="T891" s="6">
        <f t="shared" si="39"/>
        <v>242349.45</v>
      </c>
      <c r="U891" s="4">
        <v>-21642.35</v>
      </c>
      <c r="V891" t="str">
        <f t="shared" si="40"/>
        <v>Apr</v>
      </c>
      <c r="W891">
        <f t="shared" si="41"/>
        <v>-8.9302245167051125E-2</v>
      </c>
    </row>
    <row r="892" spans="1:23" x14ac:dyDescent="0.4">
      <c r="A892" s="4" t="s">
        <v>2700</v>
      </c>
      <c r="B892" s="4" t="s">
        <v>2701</v>
      </c>
      <c r="C892" s="11">
        <v>44833</v>
      </c>
      <c r="D892" s="4" t="s">
        <v>23</v>
      </c>
      <c r="E892" s="4" t="s">
        <v>24</v>
      </c>
      <c r="F892" s="4" t="s">
        <v>70</v>
      </c>
      <c r="G892" s="4" t="s">
        <v>59</v>
      </c>
      <c r="H892" s="4" t="s">
        <v>2703</v>
      </c>
      <c r="I892" s="4" t="s">
        <v>43</v>
      </c>
      <c r="J892" s="4" t="s">
        <v>29</v>
      </c>
      <c r="K892" s="4" t="s">
        <v>44</v>
      </c>
      <c r="L892" s="4" t="s">
        <v>740</v>
      </c>
      <c r="M892" s="4" t="s">
        <v>81</v>
      </c>
      <c r="N892" s="4" t="s">
        <v>54</v>
      </c>
      <c r="O892" s="4" t="s">
        <v>46</v>
      </c>
      <c r="P892" s="4" t="s">
        <v>88</v>
      </c>
      <c r="Q892" s="4">
        <v>8</v>
      </c>
      <c r="R892" s="4">
        <v>17346</v>
      </c>
      <c r="S892" s="5">
        <v>20</v>
      </c>
      <c r="T892" s="6">
        <f t="shared" si="39"/>
        <v>111014.39999999999</v>
      </c>
      <c r="U892" s="4">
        <v>-15948.87</v>
      </c>
      <c r="V892" t="str">
        <f t="shared" si="40"/>
        <v>Sep</v>
      </c>
      <c r="W892">
        <f t="shared" si="41"/>
        <v>-0.14366487590799032</v>
      </c>
    </row>
    <row r="893" spans="1:23" x14ac:dyDescent="0.4">
      <c r="A893" s="4" t="s">
        <v>2704</v>
      </c>
      <c r="B893" s="4" t="s">
        <v>69</v>
      </c>
      <c r="C893" s="11">
        <v>44652</v>
      </c>
      <c r="D893" s="4" t="s">
        <v>124</v>
      </c>
      <c r="E893" s="4" t="s">
        <v>24</v>
      </c>
      <c r="F893" s="4" t="s">
        <v>25</v>
      </c>
      <c r="G893" s="4" t="s">
        <v>99</v>
      </c>
      <c r="H893" s="4" t="s">
        <v>2705</v>
      </c>
      <c r="I893" s="4" t="s">
        <v>43</v>
      </c>
      <c r="J893" s="4" t="s">
        <v>79</v>
      </c>
      <c r="K893" s="4" t="s">
        <v>153</v>
      </c>
      <c r="L893" s="4" t="s">
        <v>588</v>
      </c>
      <c r="M893" s="4" t="s">
        <v>95</v>
      </c>
      <c r="N893" s="4" t="s">
        <v>33</v>
      </c>
      <c r="O893" s="4" t="s">
        <v>120</v>
      </c>
      <c r="P893" s="4" t="s">
        <v>88</v>
      </c>
      <c r="Q893" s="4">
        <v>6</v>
      </c>
      <c r="R893" s="4">
        <v>10620</v>
      </c>
      <c r="S893" s="5">
        <v>0</v>
      </c>
      <c r="T893" s="6">
        <f t="shared" si="39"/>
        <v>63720</v>
      </c>
      <c r="U893" s="4">
        <v>17766.96</v>
      </c>
      <c r="V893" t="str">
        <f t="shared" si="40"/>
        <v>Mar</v>
      </c>
      <c r="W893">
        <f t="shared" si="41"/>
        <v>0.27882862523540486</v>
      </c>
    </row>
    <row r="894" spans="1:23" x14ac:dyDescent="0.4">
      <c r="A894" s="4" t="s">
        <v>2706</v>
      </c>
      <c r="B894" s="4" t="s">
        <v>1187</v>
      </c>
      <c r="C894" s="11">
        <v>44961</v>
      </c>
      <c r="D894" s="4" t="s">
        <v>124</v>
      </c>
      <c r="E894" s="4" t="s">
        <v>24</v>
      </c>
      <c r="F894" s="4" t="s">
        <v>58</v>
      </c>
      <c r="G894" s="4" t="s">
        <v>26</v>
      </c>
      <c r="H894" s="4" t="s">
        <v>1592</v>
      </c>
      <c r="I894" s="4" t="s">
        <v>28</v>
      </c>
      <c r="J894" s="4" t="s">
        <v>29</v>
      </c>
      <c r="K894" s="4" t="s">
        <v>153</v>
      </c>
      <c r="L894" s="4" t="s">
        <v>2203</v>
      </c>
      <c r="M894" s="4" t="s">
        <v>53</v>
      </c>
      <c r="N894" s="4" t="s">
        <v>54</v>
      </c>
      <c r="O894" s="4" t="s">
        <v>120</v>
      </c>
      <c r="P894" s="4" t="s">
        <v>47</v>
      </c>
      <c r="Q894" s="4">
        <v>3</v>
      </c>
      <c r="R894" s="4">
        <v>1143</v>
      </c>
      <c r="S894" s="5">
        <v>10</v>
      </c>
      <c r="T894" s="6">
        <f t="shared" si="39"/>
        <v>3086.1</v>
      </c>
      <c r="U894" s="4">
        <v>-153.51</v>
      </c>
      <c r="V894" t="str">
        <f t="shared" si="40"/>
        <v>Jan</v>
      </c>
      <c r="W894">
        <f t="shared" si="41"/>
        <v>-4.9742393311947117E-2</v>
      </c>
    </row>
    <row r="895" spans="1:23" x14ac:dyDescent="0.4">
      <c r="A895" s="4" t="s">
        <v>2707</v>
      </c>
      <c r="B895" s="4" t="s">
        <v>1046</v>
      </c>
      <c r="C895" s="11">
        <v>45173</v>
      </c>
      <c r="D895" s="4" t="s">
        <v>23</v>
      </c>
      <c r="E895" s="4" t="s">
        <v>24</v>
      </c>
      <c r="F895" s="4" t="s">
        <v>70</v>
      </c>
      <c r="G895" s="4" t="s">
        <v>41</v>
      </c>
      <c r="H895" s="4" t="s">
        <v>2708</v>
      </c>
      <c r="I895" s="4" t="s">
        <v>61</v>
      </c>
      <c r="J895" s="4" t="s">
        <v>79</v>
      </c>
      <c r="K895" s="4" t="s">
        <v>153</v>
      </c>
      <c r="L895" s="4" t="s">
        <v>1590</v>
      </c>
      <c r="M895" s="4" t="s">
        <v>65</v>
      </c>
      <c r="N895" s="4" t="s">
        <v>54</v>
      </c>
      <c r="O895" s="4" t="s">
        <v>82</v>
      </c>
      <c r="P895" s="4" t="s">
        <v>88</v>
      </c>
      <c r="Q895" s="4">
        <v>4</v>
      </c>
      <c r="R895" s="4">
        <v>46429</v>
      </c>
      <c r="S895" s="5">
        <v>20</v>
      </c>
      <c r="T895" s="6">
        <f t="shared" si="39"/>
        <v>148572.79999999999</v>
      </c>
      <c r="U895" s="4">
        <v>10733.9</v>
      </c>
      <c r="V895" t="str">
        <f t="shared" si="40"/>
        <v>Aug</v>
      </c>
      <c r="W895">
        <f t="shared" si="41"/>
        <v>7.224673695319736E-2</v>
      </c>
    </row>
    <row r="896" spans="1:23" x14ac:dyDescent="0.4">
      <c r="A896" s="4" t="s">
        <v>2709</v>
      </c>
      <c r="B896" s="4" t="s">
        <v>426</v>
      </c>
      <c r="C896" s="11">
        <v>45000</v>
      </c>
      <c r="D896" s="4" t="s">
        <v>124</v>
      </c>
      <c r="E896" s="4" t="s">
        <v>24</v>
      </c>
      <c r="F896" s="4" t="s">
        <v>40</v>
      </c>
      <c r="G896" s="4" t="s">
        <v>92</v>
      </c>
      <c r="H896" s="4" t="s">
        <v>2710</v>
      </c>
      <c r="I896" s="4" t="s">
        <v>43</v>
      </c>
      <c r="J896" s="4" t="s">
        <v>29</v>
      </c>
      <c r="K896" s="4" t="s">
        <v>63</v>
      </c>
      <c r="L896" s="4" t="s">
        <v>232</v>
      </c>
      <c r="M896" s="4" t="s">
        <v>81</v>
      </c>
      <c r="N896" s="4" t="s">
        <v>33</v>
      </c>
      <c r="O896" s="4" t="s">
        <v>82</v>
      </c>
      <c r="P896" s="4" t="s">
        <v>88</v>
      </c>
      <c r="Q896" s="4">
        <v>7</v>
      </c>
      <c r="R896" s="4">
        <v>7781</v>
      </c>
      <c r="S896" s="5">
        <v>0</v>
      </c>
      <c r="T896" s="6">
        <f t="shared" si="39"/>
        <v>54467</v>
      </c>
      <c r="U896" s="4">
        <v>7379.19</v>
      </c>
      <c r="V896" t="str">
        <f t="shared" si="40"/>
        <v>Mar</v>
      </c>
      <c r="W896">
        <f t="shared" si="41"/>
        <v>0.13548001542218224</v>
      </c>
    </row>
    <row r="897" spans="1:23" x14ac:dyDescent="0.4">
      <c r="A897" s="4" t="s">
        <v>2711</v>
      </c>
      <c r="B897" s="4" t="s">
        <v>1530</v>
      </c>
      <c r="C897" s="11">
        <v>44722</v>
      </c>
      <c r="D897" s="4" t="s">
        <v>39</v>
      </c>
      <c r="E897" s="4" t="s">
        <v>24</v>
      </c>
      <c r="F897" s="4" t="s">
        <v>70</v>
      </c>
      <c r="G897" s="4" t="s">
        <v>41</v>
      </c>
      <c r="H897" s="4" t="s">
        <v>2712</v>
      </c>
      <c r="I897" s="4" t="s">
        <v>61</v>
      </c>
      <c r="J897" s="4" t="s">
        <v>79</v>
      </c>
      <c r="K897" s="4" t="s">
        <v>101</v>
      </c>
      <c r="L897" s="4" t="s">
        <v>805</v>
      </c>
      <c r="M897" s="4" t="s">
        <v>81</v>
      </c>
      <c r="N897" s="4" t="s">
        <v>54</v>
      </c>
      <c r="O897" s="4" t="s">
        <v>34</v>
      </c>
      <c r="P897" s="4" t="s">
        <v>88</v>
      </c>
      <c r="Q897" s="4">
        <v>6</v>
      </c>
      <c r="R897" s="4">
        <v>10196</v>
      </c>
      <c r="S897" s="5">
        <v>0</v>
      </c>
      <c r="T897" s="6">
        <f t="shared" si="39"/>
        <v>61176</v>
      </c>
      <c r="U897" s="4">
        <v>11740.46</v>
      </c>
      <c r="V897" t="str">
        <f t="shared" si="40"/>
        <v>Jun</v>
      </c>
      <c r="W897">
        <f t="shared" si="41"/>
        <v>0.19191284163724334</v>
      </c>
    </row>
    <row r="898" spans="1:23" x14ac:dyDescent="0.4">
      <c r="A898" s="4" t="s">
        <v>2713</v>
      </c>
      <c r="B898" s="4" t="s">
        <v>489</v>
      </c>
      <c r="C898" s="11">
        <v>44996</v>
      </c>
      <c r="D898" s="4" t="s">
        <v>124</v>
      </c>
      <c r="E898" s="4" t="s">
        <v>24</v>
      </c>
      <c r="F898" s="4" t="s">
        <v>26</v>
      </c>
      <c r="G898" s="4" t="s">
        <v>26</v>
      </c>
      <c r="H898" s="4" t="s">
        <v>2714</v>
      </c>
      <c r="I898" s="4" t="s">
        <v>61</v>
      </c>
      <c r="J898" s="4" t="s">
        <v>62</v>
      </c>
      <c r="K898" s="4" t="s">
        <v>30</v>
      </c>
      <c r="L898" s="4" t="s">
        <v>2139</v>
      </c>
      <c r="M898" s="4" t="s">
        <v>53</v>
      </c>
      <c r="N898" s="4" t="s">
        <v>33</v>
      </c>
      <c r="O898" s="4" t="s">
        <v>34</v>
      </c>
      <c r="P898" s="4" t="s">
        <v>88</v>
      </c>
      <c r="Q898" s="4">
        <v>5</v>
      </c>
      <c r="R898" s="4">
        <v>30834</v>
      </c>
      <c r="S898" s="5">
        <v>20</v>
      </c>
      <c r="T898" s="6">
        <f t="shared" si="39"/>
        <v>123336</v>
      </c>
      <c r="U898" s="4">
        <v>3935.76</v>
      </c>
      <c r="V898" t="str">
        <f t="shared" si="40"/>
        <v>Mar</v>
      </c>
      <c r="W898">
        <f t="shared" si="41"/>
        <v>3.191087760264643E-2</v>
      </c>
    </row>
    <row r="899" spans="1:23" x14ac:dyDescent="0.4">
      <c r="A899" s="4" t="s">
        <v>2715</v>
      </c>
      <c r="B899" s="4" t="s">
        <v>748</v>
      </c>
      <c r="C899" s="11">
        <v>45263</v>
      </c>
      <c r="D899" s="4" t="s">
        <v>39</v>
      </c>
      <c r="E899" s="4" t="s">
        <v>24</v>
      </c>
      <c r="F899" s="4" t="s">
        <v>26</v>
      </c>
      <c r="G899" s="4" t="s">
        <v>41</v>
      </c>
      <c r="H899" s="4" t="s">
        <v>2716</v>
      </c>
      <c r="I899" s="4" t="s">
        <v>28</v>
      </c>
      <c r="J899" s="4" t="s">
        <v>79</v>
      </c>
      <c r="K899" s="4" t="s">
        <v>86</v>
      </c>
      <c r="L899" s="4" t="s">
        <v>881</v>
      </c>
      <c r="M899" s="4" t="s">
        <v>65</v>
      </c>
      <c r="N899" s="4" t="s">
        <v>33</v>
      </c>
      <c r="O899" s="4" t="s">
        <v>120</v>
      </c>
      <c r="P899" s="4" t="s">
        <v>74</v>
      </c>
      <c r="Q899" s="4">
        <v>1</v>
      </c>
      <c r="R899" s="4">
        <v>29169</v>
      </c>
      <c r="S899" s="5">
        <v>20</v>
      </c>
      <c r="T899" s="6">
        <f t="shared" ref="T899:T962" si="42">Q899*R899*(100-S899)/100</f>
        <v>23335.200000000001</v>
      </c>
      <c r="U899" s="4">
        <v>-3308.69</v>
      </c>
      <c r="V899" t="str">
        <f t="shared" ref="V899:V962" si="43">TEXT(B899,"MMM")</f>
        <v>Nov</v>
      </c>
      <c r="W899">
        <f t="shared" ref="W899:W962" si="44">U899/T899</f>
        <v>-0.14178965682745381</v>
      </c>
    </row>
    <row r="900" spans="1:23" x14ac:dyDescent="0.4">
      <c r="A900" s="4" t="s">
        <v>2717</v>
      </c>
      <c r="B900" s="4" t="s">
        <v>1293</v>
      </c>
      <c r="C900" s="11">
        <v>45549</v>
      </c>
      <c r="D900" s="4" t="s">
        <v>98</v>
      </c>
      <c r="E900" s="4" t="s">
        <v>24</v>
      </c>
      <c r="F900" s="4" t="s">
        <v>40</v>
      </c>
      <c r="G900" s="4" t="s">
        <v>59</v>
      </c>
      <c r="H900" s="4" t="s">
        <v>2718</v>
      </c>
      <c r="I900" s="4" t="s">
        <v>43</v>
      </c>
      <c r="J900" s="4" t="s">
        <v>62</v>
      </c>
      <c r="K900" s="4" t="s">
        <v>153</v>
      </c>
      <c r="L900" s="4" t="s">
        <v>1709</v>
      </c>
      <c r="M900" s="4" t="s">
        <v>81</v>
      </c>
      <c r="N900" s="4" t="s">
        <v>33</v>
      </c>
      <c r="O900" s="4" t="s">
        <v>46</v>
      </c>
      <c r="P900" s="4" t="s">
        <v>88</v>
      </c>
      <c r="Q900" s="4">
        <v>1</v>
      </c>
      <c r="R900" s="4">
        <v>34113</v>
      </c>
      <c r="S900" s="5">
        <v>20</v>
      </c>
      <c r="T900" s="6">
        <f t="shared" si="42"/>
        <v>27290.400000000001</v>
      </c>
      <c r="U900" s="4">
        <v>-3083.32</v>
      </c>
      <c r="V900" t="str">
        <f t="shared" si="43"/>
        <v>Sep</v>
      </c>
      <c r="W900">
        <f t="shared" si="44"/>
        <v>-0.11298185442499926</v>
      </c>
    </row>
    <row r="901" spans="1:23" x14ac:dyDescent="0.4">
      <c r="A901" s="4" t="s">
        <v>2719</v>
      </c>
      <c r="B901" s="4" t="s">
        <v>1336</v>
      </c>
      <c r="C901" s="11">
        <v>44897</v>
      </c>
      <c r="D901" s="4" t="s">
        <v>98</v>
      </c>
      <c r="E901" s="4" t="s">
        <v>24</v>
      </c>
      <c r="F901" s="4" t="s">
        <v>25</v>
      </c>
      <c r="G901" s="4" t="s">
        <v>41</v>
      </c>
      <c r="H901" s="4" t="s">
        <v>2720</v>
      </c>
      <c r="I901" s="4" t="s">
        <v>61</v>
      </c>
      <c r="J901" s="4" t="s">
        <v>62</v>
      </c>
      <c r="K901" s="4" t="s">
        <v>101</v>
      </c>
      <c r="L901" s="4" t="s">
        <v>1812</v>
      </c>
      <c r="M901" s="4" t="s">
        <v>53</v>
      </c>
      <c r="N901" s="4" t="s">
        <v>33</v>
      </c>
      <c r="O901" s="4" t="s">
        <v>66</v>
      </c>
      <c r="P901" s="4" t="s">
        <v>88</v>
      </c>
      <c r="Q901" s="4">
        <v>10</v>
      </c>
      <c r="R901" s="4">
        <v>3437</v>
      </c>
      <c r="S901" s="5">
        <v>20</v>
      </c>
      <c r="T901" s="6">
        <f t="shared" si="42"/>
        <v>27496</v>
      </c>
      <c r="U901" s="4">
        <v>-211.73</v>
      </c>
      <c r="V901" t="str">
        <f t="shared" si="43"/>
        <v>Nov</v>
      </c>
      <c r="W901">
        <f t="shared" si="44"/>
        <v>-7.700392784405004E-3</v>
      </c>
    </row>
    <row r="902" spans="1:23" x14ac:dyDescent="0.4">
      <c r="A902" s="4" t="s">
        <v>2721</v>
      </c>
      <c r="B902" s="4" t="s">
        <v>1150</v>
      </c>
      <c r="C902" s="11">
        <v>45467</v>
      </c>
      <c r="D902" s="4" t="s">
        <v>39</v>
      </c>
      <c r="E902" s="4" t="s">
        <v>24</v>
      </c>
      <c r="F902" s="4" t="s">
        <v>58</v>
      </c>
      <c r="G902" s="4" t="s">
        <v>59</v>
      </c>
      <c r="H902" s="4" t="s">
        <v>422</v>
      </c>
      <c r="I902" s="4" t="s">
        <v>43</v>
      </c>
      <c r="J902" s="4" t="s">
        <v>29</v>
      </c>
      <c r="K902" s="4" t="s">
        <v>101</v>
      </c>
      <c r="L902" s="4" t="s">
        <v>486</v>
      </c>
      <c r="M902" s="4" t="s">
        <v>95</v>
      </c>
      <c r="N902" s="4" t="s">
        <v>54</v>
      </c>
      <c r="O902" s="4" t="s">
        <v>46</v>
      </c>
      <c r="P902" s="4" t="s">
        <v>35</v>
      </c>
      <c r="Q902" s="4">
        <v>7</v>
      </c>
      <c r="R902" s="4">
        <v>21100</v>
      </c>
      <c r="S902" s="5">
        <v>20</v>
      </c>
      <c r="T902" s="6">
        <f t="shared" si="42"/>
        <v>118160</v>
      </c>
      <c r="U902" s="4">
        <v>-18846.28</v>
      </c>
      <c r="V902" t="str">
        <f t="shared" si="43"/>
        <v>Jun</v>
      </c>
      <c r="W902">
        <f t="shared" si="44"/>
        <v>-0.15949796885578876</v>
      </c>
    </row>
    <row r="903" spans="1:23" x14ac:dyDescent="0.4">
      <c r="A903" s="4" t="s">
        <v>2722</v>
      </c>
      <c r="B903" s="4" t="s">
        <v>2045</v>
      </c>
      <c r="C903" s="11">
        <v>45057</v>
      </c>
      <c r="D903" s="4" t="s">
        <v>98</v>
      </c>
      <c r="E903" s="4" t="s">
        <v>24</v>
      </c>
      <c r="F903" s="4" t="s">
        <v>26</v>
      </c>
      <c r="G903" s="4" t="s">
        <v>99</v>
      </c>
      <c r="H903" s="4" t="s">
        <v>2723</v>
      </c>
      <c r="I903" s="4" t="s">
        <v>61</v>
      </c>
      <c r="J903" s="4" t="s">
        <v>79</v>
      </c>
      <c r="K903" s="4" t="s">
        <v>30</v>
      </c>
      <c r="L903" s="4" t="s">
        <v>186</v>
      </c>
      <c r="M903" s="4" t="s">
        <v>65</v>
      </c>
      <c r="N903" s="4" t="s">
        <v>33</v>
      </c>
      <c r="O903" s="4" t="s">
        <v>34</v>
      </c>
      <c r="P903" s="4" t="s">
        <v>88</v>
      </c>
      <c r="Q903" s="4">
        <v>6</v>
      </c>
      <c r="R903" s="4">
        <v>38036</v>
      </c>
      <c r="S903" s="5">
        <v>0</v>
      </c>
      <c r="T903" s="6">
        <f t="shared" si="42"/>
        <v>228216</v>
      </c>
      <c r="U903" s="4">
        <v>32758.23</v>
      </c>
      <c r="V903" t="str">
        <f t="shared" si="43"/>
        <v>May</v>
      </c>
      <c r="W903">
        <f t="shared" si="44"/>
        <v>0.14354046166789358</v>
      </c>
    </row>
    <row r="904" spans="1:23" x14ac:dyDescent="0.4">
      <c r="A904" s="4" t="s">
        <v>2724</v>
      </c>
      <c r="B904" s="4" t="s">
        <v>1950</v>
      </c>
      <c r="C904" s="11">
        <v>44946</v>
      </c>
      <c r="D904" s="4" t="s">
        <v>124</v>
      </c>
      <c r="E904" s="4" t="s">
        <v>24</v>
      </c>
      <c r="F904" s="4" t="s">
        <v>40</v>
      </c>
      <c r="G904" s="4" t="s">
        <v>59</v>
      </c>
      <c r="H904" s="4" t="s">
        <v>2725</v>
      </c>
      <c r="I904" s="4" t="s">
        <v>43</v>
      </c>
      <c r="J904" s="4" t="s">
        <v>62</v>
      </c>
      <c r="K904" s="4" t="s">
        <v>44</v>
      </c>
      <c r="L904" s="4" t="s">
        <v>1509</v>
      </c>
      <c r="M904" s="4" t="s">
        <v>95</v>
      </c>
      <c r="N904" s="4" t="s">
        <v>54</v>
      </c>
      <c r="O904" s="4" t="s">
        <v>46</v>
      </c>
      <c r="P904" s="4" t="s">
        <v>74</v>
      </c>
      <c r="Q904" s="4">
        <v>9</v>
      </c>
      <c r="R904" s="4">
        <v>45208</v>
      </c>
      <c r="S904" s="5">
        <v>20</v>
      </c>
      <c r="T904" s="6">
        <f t="shared" si="42"/>
        <v>325497.59999999998</v>
      </c>
      <c r="U904" s="4">
        <v>-3687.44</v>
      </c>
      <c r="V904" t="str">
        <f t="shared" si="43"/>
        <v>Jan</v>
      </c>
      <c r="W904">
        <f t="shared" si="44"/>
        <v>-1.1328624235631846E-2</v>
      </c>
    </row>
    <row r="905" spans="1:23" x14ac:dyDescent="0.4">
      <c r="A905" s="4" t="s">
        <v>2726</v>
      </c>
      <c r="B905" s="4" t="s">
        <v>2727</v>
      </c>
      <c r="C905" s="11">
        <v>44848</v>
      </c>
      <c r="D905" s="4" t="s">
        <v>98</v>
      </c>
      <c r="E905" s="4" t="s">
        <v>24</v>
      </c>
      <c r="F905" s="4" t="s">
        <v>40</v>
      </c>
      <c r="G905" s="4" t="s">
        <v>26</v>
      </c>
      <c r="H905" s="4" t="s">
        <v>2728</v>
      </c>
      <c r="I905" s="4" t="s">
        <v>28</v>
      </c>
      <c r="J905" s="4" t="s">
        <v>79</v>
      </c>
      <c r="K905" s="4" t="s">
        <v>44</v>
      </c>
      <c r="L905" s="4" t="s">
        <v>334</v>
      </c>
      <c r="M905" s="4" t="s">
        <v>32</v>
      </c>
      <c r="N905" s="4" t="s">
        <v>54</v>
      </c>
      <c r="O905" s="4" t="s">
        <v>120</v>
      </c>
      <c r="P905" s="4" t="s">
        <v>35</v>
      </c>
      <c r="Q905" s="4">
        <v>8</v>
      </c>
      <c r="R905" s="4">
        <v>8787</v>
      </c>
      <c r="S905" s="5">
        <v>20</v>
      </c>
      <c r="T905" s="6">
        <f t="shared" si="42"/>
        <v>56236.800000000003</v>
      </c>
      <c r="U905" s="4">
        <v>-4278.79</v>
      </c>
      <c r="V905" t="str">
        <f t="shared" si="43"/>
        <v>Oct</v>
      </c>
      <c r="W905">
        <f t="shared" si="44"/>
        <v>-7.608523244565836E-2</v>
      </c>
    </row>
    <row r="906" spans="1:23" x14ac:dyDescent="0.4">
      <c r="A906" s="4" t="s">
        <v>2729</v>
      </c>
      <c r="B906" s="4" t="s">
        <v>787</v>
      </c>
      <c r="C906" s="11">
        <v>44929</v>
      </c>
      <c r="D906" s="4" t="s">
        <v>23</v>
      </c>
      <c r="E906" s="4" t="s">
        <v>24</v>
      </c>
      <c r="F906" s="4" t="s">
        <v>58</v>
      </c>
      <c r="G906" s="4" t="s">
        <v>26</v>
      </c>
      <c r="H906" s="4" t="s">
        <v>2730</v>
      </c>
      <c r="I906" s="4" t="s">
        <v>61</v>
      </c>
      <c r="J906" s="4" t="s">
        <v>29</v>
      </c>
      <c r="K906" s="4" t="s">
        <v>86</v>
      </c>
      <c r="L906" s="4" t="s">
        <v>622</v>
      </c>
      <c r="M906" s="4" t="s">
        <v>73</v>
      </c>
      <c r="N906" s="4" t="s">
        <v>54</v>
      </c>
      <c r="O906" s="4" t="s">
        <v>66</v>
      </c>
      <c r="P906" s="4" t="s">
        <v>47</v>
      </c>
      <c r="Q906" s="4">
        <v>4</v>
      </c>
      <c r="R906" s="4">
        <v>32837</v>
      </c>
      <c r="S906" s="5">
        <v>20</v>
      </c>
      <c r="T906" s="6">
        <f t="shared" si="42"/>
        <v>105078.39999999999</v>
      </c>
      <c r="U906" s="4">
        <v>5451.43</v>
      </c>
      <c r="V906" t="str">
        <f t="shared" si="43"/>
        <v>Dec</v>
      </c>
      <c r="W906">
        <f t="shared" si="44"/>
        <v>5.1879644151414571E-2</v>
      </c>
    </row>
    <row r="907" spans="1:23" x14ac:dyDescent="0.4">
      <c r="A907" s="4" t="s">
        <v>2731</v>
      </c>
      <c r="B907" s="4" t="s">
        <v>2732</v>
      </c>
      <c r="C907" s="11">
        <v>45036</v>
      </c>
      <c r="D907" s="4" t="s">
        <v>39</v>
      </c>
      <c r="E907" s="4" t="s">
        <v>24</v>
      </c>
      <c r="F907" s="4" t="s">
        <v>40</v>
      </c>
      <c r="G907" s="4" t="s">
        <v>92</v>
      </c>
      <c r="H907" s="4" t="s">
        <v>2733</v>
      </c>
      <c r="I907" s="4" t="s">
        <v>43</v>
      </c>
      <c r="J907" s="4" t="s">
        <v>79</v>
      </c>
      <c r="K907" s="4" t="s">
        <v>30</v>
      </c>
      <c r="L907" s="4" t="s">
        <v>319</v>
      </c>
      <c r="M907" s="4" t="s">
        <v>32</v>
      </c>
      <c r="N907" s="4" t="s">
        <v>54</v>
      </c>
      <c r="O907" s="4" t="s">
        <v>82</v>
      </c>
      <c r="P907" s="4" t="s">
        <v>88</v>
      </c>
      <c r="Q907" s="4">
        <v>1</v>
      </c>
      <c r="R907" s="4">
        <v>7007</v>
      </c>
      <c r="S907" s="5">
        <v>0</v>
      </c>
      <c r="T907" s="6">
        <f t="shared" si="42"/>
        <v>7007</v>
      </c>
      <c r="U907" s="4">
        <v>944.43</v>
      </c>
      <c r="V907" t="str">
        <f t="shared" si="43"/>
        <v>Apr</v>
      </c>
      <c r="W907">
        <f t="shared" si="44"/>
        <v>0.13478378764093049</v>
      </c>
    </row>
    <row r="908" spans="1:23" x14ac:dyDescent="0.4">
      <c r="A908" s="4" t="s">
        <v>2734</v>
      </c>
      <c r="B908" s="4" t="s">
        <v>954</v>
      </c>
      <c r="C908" s="11">
        <v>45343</v>
      </c>
      <c r="D908" s="4" t="s">
        <v>124</v>
      </c>
      <c r="E908" s="4" t="s">
        <v>24</v>
      </c>
      <c r="F908" s="4" t="s">
        <v>70</v>
      </c>
      <c r="G908" s="4" t="s">
        <v>99</v>
      </c>
      <c r="H908" s="4" t="s">
        <v>2735</v>
      </c>
      <c r="I908" s="4" t="s">
        <v>61</v>
      </c>
      <c r="J908" s="4" t="s">
        <v>29</v>
      </c>
      <c r="K908" s="4" t="s">
        <v>153</v>
      </c>
      <c r="L908" s="4" t="s">
        <v>418</v>
      </c>
      <c r="M908" s="4" t="s">
        <v>95</v>
      </c>
      <c r="N908" s="4" t="s">
        <v>33</v>
      </c>
      <c r="O908" s="4" t="s">
        <v>46</v>
      </c>
      <c r="P908" s="4" t="s">
        <v>88</v>
      </c>
      <c r="Q908" s="4">
        <v>10</v>
      </c>
      <c r="R908" s="4">
        <v>24093</v>
      </c>
      <c r="S908" s="5">
        <v>0</v>
      </c>
      <c r="T908" s="6">
        <f t="shared" si="42"/>
        <v>240930</v>
      </c>
      <c r="U908" s="4">
        <v>33640.370000000003</v>
      </c>
      <c r="V908" t="str">
        <f t="shared" si="43"/>
        <v>Feb</v>
      </c>
      <c r="W908">
        <f t="shared" si="44"/>
        <v>0.13962715311501267</v>
      </c>
    </row>
    <row r="909" spans="1:23" x14ac:dyDescent="0.4">
      <c r="A909" s="4" t="s">
        <v>2736</v>
      </c>
      <c r="B909" s="4" t="s">
        <v>1673</v>
      </c>
      <c r="C909" s="11">
        <v>44785</v>
      </c>
      <c r="D909" s="4" t="s">
        <v>23</v>
      </c>
      <c r="E909" s="4" t="s">
        <v>24</v>
      </c>
      <c r="F909" s="4" t="s">
        <v>25</v>
      </c>
      <c r="G909" s="4" t="s">
        <v>41</v>
      </c>
      <c r="H909" s="4" t="s">
        <v>2737</v>
      </c>
      <c r="I909" s="4" t="s">
        <v>43</v>
      </c>
      <c r="J909" s="4" t="s">
        <v>79</v>
      </c>
      <c r="K909" s="4" t="s">
        <v>63</v>
      </c>
      <c r="L909" s="4" t="s">
        <v>237</v>
      </c>
      <c r="M909" s="4" t="s">
        <v>65</v>
      </c>
      <c r="N909" s="4" t="s">
        <v>33</v>
      </c>
      <c r="O909" s="4" t="s">
        <v>66</v>
      </c>
      <c r="P909" s="4" t="s">
        <v>88</v>
      </c>
      <c r="Q909" s="4">
        <v>9</v>
      </c>
      <c r="R909" s="4">
        <v>49599</v>
      </c>
      <c r="S909" s="5">
        <v>10</v>
      </c>
      <c r="T909" s="6">
        <f t="shared" si="42"/>
        <v>401751.9</v>
      </c>
      <c r="U909" s="4">
        <v>-13220.61</v>
      </c>
      <c r="V909" t="str">
        <f t="shared" si="43"/>
        <v>Aug</v>
      </c>
      <c r="W909">
        <f t="shared" si="44"/>
        <v>-3.2907398820018023E-2</v>
      </c>
    </row>
    <row r="910" spans="1:23" x14ac:dyDescent="0.4">
      <c r="A910" s="4" t="s">
        <v>2738</v>
      </c>
      <c r="B910" s="4" t="s">
        <v>922</v>
      </c>
      <c r="C910" s="11">
        <v>44926</v>
      </c>
      <c r="D910" s="4" t="s">
        <v>23</v>
      </c>
      <c r="E910" s="4" t="s">
        <v>24</v>
      </c>
      <c r="F910" s="4" t="s">
        <v>26</v>
      </c>
      <c r="G910" s="4" t="s">
        <v>99</v>
      </c>
      <c r="H910" s="4" t="s">
        <v>2739</v>
      </c>
      <c r="I910" s="4" t="s">
        <v>43</v>
      </c>
      <c r="J910" s="4" t="s">
        <v>29</v>
      </c>
      <c r="K910" s="4" t="s">
        <v>44</v>
      </c>
      <c r="L910" s="4" t="s">
        <v>311</v>
      </c>
      <c r="M910" s="4" t="s">
        <v>81</v>
      </c>
      <c r="N910" s="4" t="s">
        <v>33</v>
      </c>
      <c r="O910" s="4" t="s">
        <v>66</v>
      </c>
      <c r="P910" s="4" t="s">
        <v>74</v>
      </c>
      <c r="Q910" s="4">
        <v>5</v>
      </c>
      <c r="R910" s="4">
        <v>12528</v>
      </c>
      <c r="S910" s="5">
        <v>20</v>
      </c>
      <c r="T910" s="6">
        <f t="shared" si="42"/>
        <v>50112</v>
      </c>
      <c r="U910" s="4">
        <v>-5420.92</v>
      </c>
      <c r="V910" t="str">
        <f t="shared" si="43"/>
        <v>Dec</v>
      </c>
      <c r="W910">
        <f t="shared" si="44"/>
        <v>-0.10817608556832695</v>
      </c>
    </row>
    <row r="911" spans="1:23" x14ac:dyDescent="0.4">
      <c r="A911" s="4" t="s">
        <v>2740</v>
      </c>
      <c r="B911" s="4" t="s">
        <v>1156</v>
      </c>
      <c r="C911" s="11">
        <v>44904</v>
      </c>
      <c r="D911" s="4" t="s">
        <v>23</v>
      </c>
      <c r="E911" s="4" t="s">
        <v>24</v>
      </c>
      <c r="F911" s="4" t="s">
        <v>58</v>
      </c>
      <c r="G911" s="4" t="s">
        <v>41</v>
      </c>
      <c r="H911" s="4" t="s">
        <v>2741</v>
      </c>
      <c r="I911" s="4" t="s">
        <v>61</v>
      </c>
      <c r="J911" s="4" t="s">
        <v>79</v>
      </c>
      <c r="K911" s="4" t="s">
        <v>44</v>
      </c>
      <c r="L911" s="4" t="s">
        <v>792</v>
      </c>
      <c r="M911" s="4" t="s">
        <v>53</v>
      </c>
      <c r="N911" s="4" t="s">
        <v>33</v>
      </c>
      <c r="O911" s="4" t="s">
        <v>82</v>
      </c>
      <c r="P911" s="4" t="s">
        <v>74</v>
      </c>
      <c r="Q911" s="4">
        <v>6</v>
      </c>
      <c r="R911" s="4">
        <v>39336</v>
      </c>
      <c r="S911" s="5">
        <v>0</v>
      </c>
      <c r="T911" s="6">
        <f t="shared" si="42"/>
        <v>236016</v>
      </c>
      <c r="U911" s="4">
        <v>48838.25</v>
      </c>
      <c r="V911" t="str">
        <f t="shared" si="43"/>
        <v>Dec</v>
      </c>
      <c r="W911">
        <f t="shared" si="44"/>
        <v>0.20692770829096332</v>
      </c>
    </row>
    <row r="912" spans="1:23" x14ac:dyDescent="0.4">
      <c r="A912" s="4" t="s">
        <v>2742</v>
      </c>
      <c r="B912" s="4" t="s">
        <v>2300</v>
      </c>
      <c r="C912" s="11">
        <v>44659</v>
      </c>
      <c r="D912" s="4" t="s">
        <v>23</v>
      </c>
      <c r="E912" s="4" t="s">
        <v>24</v>
      </c>
      <c r="F912" s="4" t="s">
        <v>40</v>
      </c>
      <c r="G912" s="4" t="s">
        <v>99</v>
      </c>
      <c r="H912" s="4" t="s">
        <v>2613</v>
      </c>
      <c r="I912" s="4" t="s">
        <v>28</v>
      </c>
      <c r="J912" s="4" t="s">
        <v>62</v>
      </c>
      <c r="K912" s="4" t="s">
        <v>153</v>
      </c>
      <c r="L912" s="4" t="s">
        <v>552</v>
      </c>
      <c r="M912" s="4" t="s">
        <v>95</v>
      </c>
      <c r="N912" s="4" t="s">
        <v>54</v>
      </c>
      <c r="O912" s="4" t="s">
        <v>120</v>
      </c>
      <c r="P912" s="4" t="s">
        <v>35</v>
      </c>
      <c r="Q912" s="4">
        <v>8</v>
      </c>
      <c r="R912" s="4">
        <v>2781</v>
      </c>
      <c r="S912" s="5">
        <v>15</v>
      </c>
      <c r="T912" s="6">
        <f t="shared" si="42"/>
        <v>18910.8</v>
      </c>
      <c r="U912" s="4">
        <v>834.27</v>
      </c>
      <c r="V912" t="str">
        <f t="shared" si="43"/>
        <v>Mar</v>
      </c>
      <c r="W912">
        <f t="shared" si="44"/>
        <v>4.4116060663747701E-2</v>
      </c>
    </row>
    <row r="913" spans="1:23" x14ac:dyDescent="0.4">
      <c r="A913" s="4" t="s">
        <v>2743</v>
      </c>
      <c r="B913" s="4" t="s">
        <v>963</v>
      </c>
      <c r="C913" s="11">
        <v>45069</v>
      </c>
      <c r="D913" s="4" t="s">
        <v>124</v>
      </c>
      <c r="E913" s="4" t="s">
        <v>24</v>
      </c>
      <c r="F913" s="4" t="s">
        <v>26</v>
      </c>
      <c r="G913" s="4" t="s">
        <v>26</v>
      </c>
      <c r="H913" s="4" t="s">
        <v>2744</v>
      </c>
      <c r="I913" s="4" t="s">
        <v>61</v>
      </c>
      <c r="J913" s="4" t="s">
        <v>62</v>
      </c>
      <c r="K913" s="4" t="s">
        <v>63</v>
      </c>
      <c r="L913" s="4" t="s">
        <v>1031</v>
      </c>
      <c r="M913" s="4" t="s">
        <v>65</v>
      </c>
      <c r="N913" s="4" t="s">
        <v>54</v>
      </c>
      <c r="O913" s="4" t="s">
        <v>120</v>
      </c>
      <c r="P913" s="4" t="s">
        <v>47</v>
      </c>
      <c r="Q913" s="4">
        <v>4</v>
      </c>
      <c r="R913" s="4">
        <v>49190</v>
      </c>
      <c r="S913" s="5">
        <v>5</v>
      </c>
      <c r="T913" s="6">
        <f t="shared" si="42"/>
        <v>186922</v>
      </c>
      <c r="U913" s="4">
        <v>26565.43</v>
      </c>
      <c r="V913" t="str">
        <f t="shared" si="43"/>
        <v>May</v>
      </c>
      <c r="W913">
        <f t="shared" si="44"/>
        <v>0.14212040316281657</v>
      </c>
    </row>
    <row r="914" spans="1:23" x14ac:dyDescent="0.4">
      <c r="A914" s="4" t="s">
        <v>2745</v>
      </c>
      <c r="B914" s="4" t="s">
        <v>1800</v>
      </c>
      <c r="C914" s="11">
        <v>44964</v>
      </c>
      <c r="D914" s="4" t="s">
        <v>39</v>
      </c>
      <c r="E914" s="4" t="s">
        <v>24</v>
      </c>
      <c r="F914" s="4" t="s">
        <v>25</v>
      </c>
      <c r="G914" s="4" t="s">
        <v>59</v>
      </c>
      <c r="H914" s="4" t="s">
        <v>2746</v>
      </c>
      <c r="I914" s="4" t="s">
        <v>43</v>
      </c>
      <c r="J914" s="4" t="s">
        <v>79</v>
      </c>
      <c r="K914" s="4" t="s">
        <v>63</v>
      </c>
      <c r="L914" s="4" t="s">
        <v>1633</v>
      </c>
      <c r="M914" s="4" t="s">
        <v>65</v>
      </c>
      <c r="N914" s="4" t="s">
        <v>54</v>
      </c>
      <c r="O914" s="4" t="s">
        <v>66</v>
      </c>
      <c r="P914" s="4" t="s">
        <v>47</v>
      </c>
      <c r="Q914" s="4">
        <v>1</v>
      </c>
      <c r="R914" s="4">
        <v>39390</v>
      </c>
      <c r="S914" s="5">
        <v>20</v>
      </c>
      <c r="T914" s="6">
        <f t="shared" si="42"/>
        <v>31512</v>
      </c>
      <c r="U914" s="4">
        <v>-5795.73</v>
      </c>
      <c r="V914" t="str">
        <f t="shared" si="43"/>
        <v>Jan</v>
      </c>
      <c r="W914">
        <f t="shared" si="44"/>
        <v>-0.18392136329017517</v>
      </c>
    </row>
    <row r="915" spans="1:23" x14ac:dyDescent="0.4">
      <c r="A915" s="4" t="s">
        <v>2747</v>
      </c>
      <c r="B915" s="4" t="s">
        <v>1309</v>
      </c>
      <c r="C915" s="11">
        <v>45124</v>
      </c>
      <c r="D915" s="4" t="s">
        <v>23</v>
      </c>
      <c r="E915" s="4" t="s">
        <v>24</v>
      </c>
      <c r="F915" s="4" t="s">
        <v>70</v>
      </c>
      <c r="G915" s="4" t="s">
        <v>59</v>
      </c>
      <c r="H915" s="4" t="s">
        <v>2748</v>
      </c>
      <c r="I915" s="4" t="s">
        <v>28</v>
      </c>
      <c r="J915" s="4" t="s">
        <v>79</v>
      </c>
      <c r="K915" s="4" t="s">
        <v>101</v>
      </c>
      <c r="L915" s="4" t="s">
        <v>583</v>
      </c>
      <c r="M915" s="4" t="s">
        <v>81</v>
      </c>
      <c r="N915" s="4" t="s">
        <v>33</v>
      </c>
      <c r="O915" s="4" t="s">
        <v>120</v>
      </c>
      <c r="P915" s="4" t="s">
        <v>88</v>
      </c>
      <c r="Q915" s="4">
        <v>8</v>
      </c>
      <c r="R915" s="4">
        <v>29019</v>
      </c>
      <c r="S915" s="5">
        <v>0</v>
      </c>
      <c r="T915" s="6">
        <f t="shared" si="42"/>
        <v>232152</v>
      </c>
      <c r="U915" s="4">
        <v>22830.73</v>
      </c>
      <c r="V915" t="str">
        <f t="shared" si="43"/>
        <v>Jul</v>
      </c>
      <c r="W915">
        <f t="shared" si="44"/>
        <v>9.8343886763844382E-2</v>
      </c>
    </row>
    <row r="916" spans="1:23" x14ac:dyDescent="0.4">
      <c r="A916" s="4" t="s">
        <v>2749</v>
      </c>
      <c r="B916" s="4" t="s">
        <v>1053</v>
      </c>
      <c r="C916" s="11">
        <v>45076</v>
      </c>
      <c r="D916" s="4" t="s">
        <v>98</v>
      </c>
      <c r="E916" s="4" t="s">
        <v>24</v>
      </c>
      <c r="F916" s="4" t="s">
        <v>70</v>
      </c>
      <c r="G916" s="4" t="s">
        <v>92</v>
      </c>
      <c r="H916" s="4" t="s">
        <v>2750</v>
      </c>
      <c r="I916" s="4" t="s">
        <v>43</v>
      </c>
      <c r="J916" s="4" t="s">
        <v>29</v>
      </c>
      <c r="K916" s="4" t="s">
        <v>86</v>
      </c>
      <c r="L916" s="4" t="s">
        <v>1065</v>
      </c>
      <c r="M916" s="4" t="s">
        <v>73</v>
      </c>
      <c r="N916" s="4" t="s">
        <v>33</v>
      </c>
      <c r="O916" s="4" t="s">
        <v>46</v>
      </c>
      <c r="P916" s="4" t="s">
        <v>88</v>
      </c>
      <c r="Q916" s="4">
        <v>3</v>
      </c>
      <c r="R916" s="4">
        <v>31086</v>
      </c>
      <c r="S916" s="5">
        <v>10</v>
      </c>
      <c r="T916" s="6">
        <f t="shared" si="42"/>
        <v>83932.2</v>
      </c>
      <c r="U916" s="4">
        <v>575.46</v>
      </c>
      <c r="V916" t="str">
        <f t="shared" si="43"/>
        <v>May</v>
      </c>
      <c r="W916">
        <f t="shared" si="44"/>
        <v>6.8562482575221439E-3</v>
      </c>
    </row>
    <row r="917" spans="1:23" x14ac:dyDescent="0.4">
      <c r="A917" s="4" t="s">
        <v>2751</v>
      </c>
      <c r="B917" s="4" t="s">
        <v>2752</v>
      </c>
      <c r="C917" s="11">
        <v>45246</v>
      </c>
      <c r="D917" s="4" t="s">
        <v>124</v>
      </c>
      <c r="E917" s="4" t="s">
        <v>24</v>
      </c>
      <c r="F917" s="4" t="s">
        <v>70</v>
      </c>
      <c r="G917" s="4" t="s">
        <v>92</v>
      </c>
      <c r="H917" s="4" t="s">
        <v>2753</v>
      </c>
      <c r="I917" s="4" t="s">
        <v>28</v>
      </c>
      <c r="J917" s="4" t="s">
        <v>62</v>
      </c>
      <c r="K917" s="4" t="s">
        <v>101</v>
      </c>
      <c r="L917" s="4" t="s">
        <v>159</v>
      </c>
      <c r="M917" s="4" t="s">
        <v>32</v>
      </c>
      <c r="N917" s="4" t="s">
        <v>54</v>
      </c>
      <c r="O917" s="4" t="s">
        <v>120</v>
      </c>
      <c r="P917" s="4" t="s">
        <v>74</v>
      </c>
      <c r="Q917" s="4">
        <v>9</v>
      </c>
      <c r="R917" s="4">
        <v>27088</v>
      </c>
      <c r="S917" s="5">
        <v>5</v>
      </c>
      <c r="T917" s="6">
        <f t="shared" si="42"/>
        <v>231602.4</v>
      </c>
      <c r="U917" s="4">
        <v>47880.01</v>
      </c>
      <c r="V917" t="str">
        <f t="shared" si="43"/>
        <v>Nov</v>
      </c>
      <c r="W917">
        <f t="shared" si="44"/>
        <v>0.20673365215559081</v>
      </c>
    </row>
    <row r="918" spans="1:23" x14ac:dyDescent="0.4">
      <c r="A918" s="4" t="s">
        <v>2754</v>
      </c>
      <c r="B918" s="4" t="s">
        <v>1972</v>
      </c>
      <c r="C918" s="11">
        <v>45257</v>
      </c>
      <c r="D918" s="4" t="s">
        <v>39</v>
      </c>
      <c r="E918" s="4" t="s">
        <v>24</v>
      </c>
      <c r="F918" s="4" t="s">
        <v>26</v>
      </c>
      <c r="G918" s="4" t="s">
        <v>41</v>
      </c>
      <c r="H918" s="4" t="s">
        <v>2755</v>
      </c>
      <c r="I918" s="4" t="s">
        <v>61</v>
      </c>
      <c r="J918" s="4" t="s">
        <v>79</v>
      </c>
      <c r="K918" s="4" t="s">
        <v>86</v>
      </c>
      <c r="L918" s="4" t="s">
        <v>605</v>
      </c>
      <c r="M918" s="4" t="s">
        <v>73</v>
      </c>
      <c r="N918" s="4" t="s">
        <v>33</v>
      </c>
      <c r="O918" s="4" t="s">
        <v>66</v>
      </c>
      <c r="P918" s="4" t="s">
        <v>74</v>
      </c>
      <c r="Q918" s="4">
        <v>4</v>
      </c>
      <c r="R918" s="4">
        <v>18042</v>
      </c>
      <c r="S918" s="5">
        <v>0</v>
      </c>
      <c r="T918" s="6">
        <f t="shared" si="42"/>
        <v>72168</v>
      </c>
      <c r="U918" s="4">
        <v>15319.36</v>
      </c>
      <c r="V918" t="str">
        <f t="shared" si="43"/>
        <v>Nov</v>
      </c>
      <c r="W918">
        <f t="shared" si="44"/>
        <v>0.21227358385988251</v>
      </c>
    </row>
    <row r="919" spans="1:23" x14ac:dyDescent="0.4">
      <c r="A919" s="4" t="s">
        <v>2756</v>
      </c>
      <c r="B919" s="4" t="s">
        <v>613</v>
      </c>
      <c r="C919" s="11">
        <v>44674</v>
      </c>
      <c r="D919" s="4" t="s">
        <v>23</v>
      </c>
      <c r="E919" s="4" t="s">
        <v>24</v>
      </c>
      <c r="F919" s="4" t="s">
        <v>26</v>
      </c>
      <c r="G919" s="4" t="s">
        <v>99</v>
      </c>
      <c r="H919" s="4" t="s">
        <v>2757</v>
      </c>
      <c r="I919" s="4" t="s">
        <v>43</v>
      </c>
      <c r="J919" s="4" t="s">
        <v>62</v>
      </c>
      <c r="K919" s="4" t="s">
        <v>101</v>
      </c>
      <c r="L919" s="4" t="s">
        <v>2203</v>
      </c>
      <c r="M919" s="4" t="s">
        <v>81</v>
      </c>
      <c r="N919" s="4" t="s">
        <v>33</v>
      </c>
      <c r="O919" s="4" t="s">
        <v>46</v>
      </c>
      <c r="P919" s="4" t="s">
        <v>88</v>
      </c>
      <c r="Q919" s="4">
        <v>2</v>
      </c>
      <c r="R919" s="4">
        <v>35700</v>
      </c>
      <c r="S919" s="5">
        <v>20</v>
      </c>
      <c r="T919" s="6">
        <f t="shared" si="42"/>
        <v>57120</v>
      </c>
      <c r="U919" s="4">
        <v>5841.08</v>
      </c>
      <c r="V919" t="str">
        <f t="shared" si="43"/>
        <v>Apr</v>
      </c>
      <c r="W919">
        <f t="shared" si="44"/>
        <v>0.10225980392156862</v>
      </c>
    </row>
    <row r="920" spans="1:23" x14ac:dyDescent="0.4">
      <c r="A920" s="4" t="s">
        <v>2758</v>
      </c>
      <c r="B920" s="4" t="s">
        <v>1816</v>
      </c>
      <c r="C920" s="11">
        <v>45329</v>
      </c>
      <c r="D920" s="4" t="s">
        <v>98</v>
      </c>
      <c r="E920" s="4" t="s">
        <v>24</v>
      </c>
      <c r="F920" s="4" t="s">
        <v>40</v>
      </c>
      <c r="G920" s="4" t="s">
        <v>26</v>
      </c>
      <c r="H920" s="4" t="s">
        <v>2759</v>
      </c>
      <c r="I920" s="4" t="s">
        <v>28</v>
      </c>
      <c r="J920" s="4" t="s">
        <v>29</v>
      </c>
      <c r="K920" s="4" t="s">
        <v>44</v>
      </c>
      <c r="L920" s="4" t="s">
        <v>764</v>
      </c>
      <c r="M920" s="4" t="s">
        <v>73</v>
      </c>
      <c r="N920" s="4" t="s">
        <v>54</v>
      </c>
      <c r="O920" s="4" t="s">
        <v>82</v>
      </c>
      <c r="P920" s="4" t="s">
        <v>47</v>
      </c>
      <c r="Q920" s="4">
        <v>9</v>
      </c>
      <c r="R920" s="4">
        <v>15337</v>
      </c>
      <c r="S920" s="5">
        <v>5</v>
      </c>
      <c r="T920" s="6">
        <f t="shared" si="42"/>
        <v>131131.35</v>
      </c>
      <c r="U920" s="4">
        <v>15633.69</v>
      </c>
      <c r="V920" t="str">
        <f t="shared" si="43"/>
        <v>Feb</v>
      </c>
      <c r="W920">
        <f t="shared" si="44"/>
        <v>0.11922160490226022</v>
      </c>
    </row>
    <row r="921" spans="1:23" x14ac:dyDescent="0.4">
      <c r="A921" s="4" t="s">
        <v>2760</v>
      </c>
      <c r="B921" s="4" t="s">
        <v>1178</v>
      </c>
      <c r="C921" s="11">
        <v>45083</v>
      </c>
      <c r="D921" s="4" t="s">
        <v>124</v>
      </c>
      <c r="E921" s="4" t="s">
        <v>24</v>
      </c>
      <c r="F921" s="4" t="s">
        <v>70</v>
      </c>
      <c r="G921" s="4" t="s">
        <v>92</v>
      </c>
      <c r="H921" s="4" t="s">
        <v>2761</v>
      </c>
      <c r="I921" s="4" t="s">
        <v>28</v>
      </c>
      <c r="J921" s="4" t="s">
        <v>62</v>
      </c>
      <c r="K921" s="4" t="s">
        <v>101</v>
      </c>
      <c r="L921" s="4" t="s">
        <v>194</v>
      </c>
      <c r="M921" s="4" t="s">
        <v>73</v>
      </c>
      <c r="N921" s="4" t="s">
        <v>54</v>
      </c>
      <c r="O921" s="4" t="s">
        <v>66</v>
      </c>
      <c r="P921" s="4" t="s">
        <v>74</v>
      </c>
      <c r="Q921" s="4">
        <v>7</v>
      </c>
      <c r="R921" s="4">
        <v>19106</v>
      </c>
      <c r="S921" s="5">
        <v>20</v>
      </c>
      <c r="T921" s="6">
        <f t="shared" si="42"/>
        <v>106993.60000000001</v>
      </c>
      <c r="U921" s="4">
        <v>4172.76</v>
      </c>
      <c r="V921" t="str">
        <f t="shared" si="43"/>
        <v>Jun</v>
      </c>
      <c r="W921">
        <f t="shared" si="44"/>
        <v>3.9000089724992894E-2</v>
      </c>
    </row>
    <row r="922" spans="1:23" x14ac:dyDescent="0.4">
      <c r="A922" s="4" t="s">
        <v>2762</v>
      </c>
      <c r="B922" s="4" t="s">
        <v>1434</v>
      </c>
      <c r="C922" s="11">
        <v>45479</v>
      </c>
      <c r="D922" s="4" t="s">
        <v>98</v>
      </c>
      <c r="E922" s="4" t="s">
        <v>24</v>
      </c>
      <c r="F922" s="4" t="s">
        <v>40</v>
      </c>
      <c r="G922" s="4" t="s">
        <v>41</v>
      </c>
      <c r="H922" s="4" t="s">
        <v>2763</v>
      </c>
      <c r="I922" s="4" t="s">
        <v>43</v>
      </c>
      <c r="J922" s="4" t="s">
        <v>29</v>
      </c>
      <c r="K922" s="4" t="s">
        <v>86</v>
      </c>
      <c r="L922" s="4" t="s">
        <v>1254</v>
      </c>
      <c r="M922" s="4" t="s">
        <v>73</v>
      </c>
      <c r="N922" s="4" t="s">
        <v>54</v>
      </c>
      <c r="O922" s="4" t="s">
        <v>120</v>
      </c>
      <c r="P922" s="4" t="s">
        <v>74</v>
      </c>
      <c r="Q922" s="4">
        <v>6</v>
      </c>
      <c r="R922" s="4">
        <v>13787</v>
      </c>
      <c r="S922" s="5">
        <v>15</v>
      </c>
      <c r="T922" s="6">
        <f t="shared" si="42"/>
        <v>70313.7</v>
      </c>
      <c r="U922" s="4">
        <v>-1160.3900000000001</v>
      </c>
      <c r="V922" t="str">
        <f t="shared" si="43"/>
        <v>Jul</v>
      </c>
      <c r="W922">
        <f t="shared" si="44"/>
        <v>-1.6503042792514119E-2</v>
      </c>
    </row>
    <row r="923" spans="1:23" x14ac:dyDescent="0.4">
      <c r="A923" s="4" t="s">
        <v>2764</v>
      </c>
      <c r="B923" s="4" t="s">
        <v>201</v>
      </c>
      <c r="C923" s="11">
        <v>45460</v>
      </c>
      <c r="D923" s="4" t="s">
        <v>23</v>
      </c>
      <c r="E923" s="4" t="s">
        <v>24</v>
      </c>
      <c r="F923" s="4" t="s">
        <v>26</v>
      </c>
      <c r="G923" s="4" t="s">
        <v>92</v>
      </c>
      <c r="H923" s="4" t="s">
        <v>2765</v>
      </c>
      <c r="I923" s="4" t="s">
        <v>28</v>
      </c>
      <c r="J923" s="4" t="s">
        <v>79</v>
      </c>
      <c r="K923" s="4" t="s">
        <v>30</v>
      </c>
      <c r="L923" s="4" t="s">
        <v>31</v>
      </c>
      <c r="M923" s="4" t="s">
        <v>65</v>
      </c>
      <c r="N923" s="4" t="s">
        <v>54</v>
      </c>
      <c r="O923" s="4" t="s">
        <v>120</v>
      </c>
      <c r="P923" s="4" t="s">
        <v>35</v>
      </c>
      <c r="Q923" s="4">
        <v>3</v>
      </c>
      <c r="R923" s="4">
        <v>1055</v>
      </c>
      <c r="S923" s="5">
        <v>5</v>
      </c>
      <c r="T923" s="6">
        <f t="shared" si="42"/>
        <v>3006.75</v>
      </c>
      <c r="U923" s="4">
        <v>128.91999999999999</v>
      </c>
      <c r="V923" t="str">
        <f t="shared" si="43"/>
        <v>Jun</v>
      </c>
      <c r="W923">
        <f t="shared" si="44"/>
        <v>4.2876860397439091E-2</v>
      </c>
    </row>
    <row r="924" spans="1:23" x14ac:dyDescent="0.4">
      <c r="A924" s="4" t="s">
        <v>2766</v>
      </c>
      <c r="B924" s="4" t="s">
        <v>702</v>
      </c>
      <c r="C924" s="11">
        <v>45397</v>
      </c>
      <c r="D924" s="4" t="s">
        <v>39</v>
      </c>
      <c r="E924" s="4" t="s">
        <v>24</v>
      </c>
      <c r="F924" s="4" t="s">
        <v>26</v>
      </c>
      <c r="G924" s="4" t="s">
        <v>41</v>
      </c>
      <c r="H924" s="4" t="s">
        <v>2767</v>
      </c>
      <c r="I924" s="4" t="s">
        <v>43</v>
      </c>
      <c r="J924" s="4" t="s">
        <v>29</v>
      </c>
      <c r="K924" s="4" t="s">
        <v>44</v>
      </c>
      <c r="L924" s="4" t="s">
        <v>885</v>
      </c>
      <c r="M924" s="4" t="s">
        <v>95</v>
      </c>
      <c r="N924" s="4" t="s">
        <v>33</v>
      </c>
      <c r="O924" s="4" t="s">
        <v>120</v>
      </c>
      <c r="P924" s="4" t="s">
        <v>47</v>
      </c>
      <c r="Q924" s="4">
        <v>8</v>
      </c>
      <c r="R924" s="4">
        <v>1560</v>
      </c>
      <c r="S924" s="5">
        <v>5</v>
      </c>
      <c r="T924" s="6">
        <f t="shared" si="42"/>
        <v>11856</v>
      </c>
      <c r="U924" s="4">
        <v>478.43</v>
      </c>
      <c r="V924" t="str">
        <f t="shared" si="43"/>
        <v>Apr</v>
      </c>
      <c r="W924">
        <f t="shared" si="44"/>
        <v>4.0353407557354927E-2</v>
      </c>
    </row>
    <row r="925" spans="1:23" x14ac:dyDescent="0.4">
      <c r="A925" s="4" t="s">
        <v>2768</v>
      </c>
      <c r="B925" s="4" t="s">
        <v>2210</v>
      </c>
      <c r="C925" s="11">
        <v>45136</v>
      </c>
      <c r="D925" s="4" t="s">
        <v>39</v>
      </c>
      <c r="E925" s="4" t="s">
        <v>24</v>
      </c>
      <c r="F925" s="4" t="s">
        <v>70</v>
      </c>
      <c r="G925" s="4" t="s">
        <v>26</v>
      </c>
      <c r="H925" s="4" t="s">
        <v>2769</v>
      </c>
      <c r="I925" s="4" t="s">
        <v>43</v>
      </c>
      <c r="J925" s="4" t="s">
        <v>62</v>
      </c>
      <c r="K925" s="4" t="s">
        <v>30</v>
      </c>
      <c r="L925" s="4" t="s">
        <v>618</v>
      </c>
      <c r="M925" s="4" t="s">
        <v>73</v>
      </c>
      <c r="N925" s="4" t="s">
        <v>54</v>
      </c>
      <c r="O925" s="4" t="s">
        <v>66</v>
      </c>
      <c r="P925" s="4" t="s">
        <v>74</v>
      </c>
      <c r="Q925" s="4">
        <v>4</v>
      </c>
      <c r="R925" s="4">
        <v>10221</v>
      </c>
      <c r="S925" s="5">
        <v>0</v>
      </c>
      <c r="T925" s="6">
        <f t="shared" si="42"/>
        <v>40884</v>
      </c>
      <c r="U925" s="4">
        <v>7530.25</v>
      </c>
      <c r="V925" t="str">
        <f t="shared" si="43"/>
        <v>Jul</v>
      </c>
      <c r="W925">
        <f t="shared" si="44"/>
        <v>0.18418574503473242</v>
      </c>
    </row>
    <row r="926" spans="1:23" x14ac:dyDescent="0.4">
      <c r="A926" s="4" t="s">
        <v>2770</v>
      </c>
      <c r="B926" s="4" t="s">
        <v>2687</v>
      </c>
      <c r="C926" s="11">
        <v>45266</v>
      </c>
      <c r="D926" s="4" t="s">
        <v>39</v>
      </c>
      <c r="E926" s="4" t="s">
        <v>24</v>
      </c>
      <c r="F926" s="4" t="s">
        <v>40</v>
      </c>
      <c r="G926" s="4" t="s">
        <v>92</v>
      </c>
      <c r="H926" s="4" t="s">
        <v>2771</v>
      </c>
      <c r="I926" s="4" t="s">
        <v>28</v>
      </c>
      <c r="J926" s="4" t="s">
        <v>62</v>
      </c>
      <c r="K926" s="4" t="s">
        <v>63</v>
      </c>
      <c r="L926" s="4" t="s">
        <v>131</v>
      </c>
      <c r="M926" s="4" t="s">
        <v>53</v>
      </c>
      <c r="N926" s="4" t="s">
        <v>33</v>
      </c>
      <c r="O926" s="4" t="s">
        <v>34</v>
      </c>
      <c r="P926" s="4" t="s">
        <v>74</v>
      </c>
      <c r="Q926" s="4">
        <v>2</v>
      </c>
      <c r="R926" s="4">
        <v>45349</v>
      </c>
      <c r="S926" s="5">
        <v>0</v>
      </c>
      <c r="T926" s="6">
        <f t="shared" si="42"/>
        <v>90698</v>
      </c>
      <c r="U926" s="4">
        <v>14339.64</v>
      </c>
      <c r="V926" t="str">
        <f t="shared" si="43"/>
        <v>Nov</v>
      </c>
      <c r="W926">
        <f t="shared" si="44"/>
        <v>0.158103155527134</v>
      </c>
    </row>
    <row r="927" spans="1:23" x14ac:dyDescent="0.4">
      <c r="A927" s="4" t="s">
        <v>2772</v>
      </c>
      <c r="B927" s="4" t="s">
        <v>684</v>
      </c>
      <c r="C927" s="11">
        <v>45153</v>
      </c>
      <c r="D927" s="4" t="s">
        <v>39</v>
      </c>
      <c r="E927" s="4" t="s">
        <v>24</v>
      </c>
      <c r="F927" s="4" t="s">
        <v>25</v>
      </c>
      <c r="G927" s="4" t="s">
        <v>92</v>
      </c>
      <c r="H927" s="4" t="s">
        <v>2333</v>
      </c>
      <c r="I927" s="4" t="s">
        <v>28</v>
      </c>
      <c r="J927" s="4" t="s">
        <v>79</v>
      </c>
      <c r="K927" s="4" t="s">
        <v>30</v>
      </c>
      <c r="L927" s="4" t="s">
        <v>792</v>
      </c>
      <c r="M927" s="4" t="s">
        <v>53</v>
      </c>
      <c r="N927" s="4" t="s">
        <v>33</v>
      </c>
      <c r="O927" s="4" t="s">
        <v>82</v>
      </c>
      <c r="P927" s="4" t="s">
        <v>88</v>
      </c>
      <c r="Q927" s="4">
        <v>2</v>
      </c>
      <c r="R927" s="4">
        <v>10912</v>
      </c>
      <c r="S927" s="5">
        <v>20</v>
      </c>
      <c r="T927" s="6">
        <f t="shared" si="42"/>
        <v>17459.2</v>
      </c>
      <c r="U927" s="4">
        <v>793.66</v>
      </c>
      <c r="V927" t="str">
        <f t="shared" si="43"/>
        <v>Aug</v>
      </c>
      <c r="W927">
        <f t="shared" si="44"/>
        <v>4.5457982038123165E-2</v>
      </c>
    </row>
    <row r="928" spans="1:23" x14ac:dyDescent="0.4">
      <c r="A928" s="4" t="s">
        <v>2773</v>
      </c>
      <c r="B928" s="4" t="s">
        <v>1696</v>
      </c>
      <c r="C928" s="11">
        <v>44594</v>
      </c>
      <c r="D928" s="4" t="s">
        <v>98</v>
      </c>
      <c r="E928" s="4" t="s">
        <v>24</v>
      </c>
      <c r="F928" s="4" t="s">
        <v>40</v>
      </c>
      <c r="G928" s="4" t="s">
        <v>26</v>
      </c>
      <c r="H928" s="4" t="s">
        <v>1814</v>
      </c>
      <c r="I928" s="4" t="s">
        <v>43</v>
      </c>
      <c r="J928" s="4" t="s">
        <v>29</v>
      </c>
      <c r="K928" s="4" t="s">
        <v>153</v>
      </c>
      <c r="L928" s="4" t="s">
        <v>126</v>
      </c>
      <c r="M928" s="4" t="s">
        <v>53</v>
      </c>
      <c r="N928" s="4" t="s">
        <v>33</v>
      </c>
      <c r="O928" s="4" t="s">
        <v>46</v>
      </c>
      <c r="P928" s="4" t="s">
        <v>88</v>
      </c>
      <c r="Q928" s="4">
        <v>2</v>
      </c>
      <c r="R928" s="4">
        <v>48860</v>
      </c>
      <c r="S928" s="5">
        <v>5</v>
      </c>
      <c r="T928" s="6">
        <f t="shared" si="42"/>
        <v>92834</v>
      </c>
      <c r="U928" s="4">
        <v>2936.75</v>
      </c>
      <c r="V928" t="str">
        <f t="shared" si="43"/>
        <v>Feb</v>
      </c>
      <c r="W928">
        <f t="shared" si="44"/>
        <v>3.1634422733050394E-2</v>
      </c>
    </row>
    <row r="929" spans="1:23" x14ac:dyDescent="0.4">
      <c r="A929" s="4" t="s">
        <v>2775</v>
      </c>
      <c r="B929" s="4" t="s">
        <v>571</v>
      </c>
      <c r="C929" s="11">
        <v>45336</v>
      </c>
      <c r="D929" s="4" t="s">
        <v>23</v>
      </c>
      <c r="E929" s="4" t="s">
        <v>24</v>
      </c>
      <c r="F929" s="4" t="s">
        <v>70</v>
      </c>
      <c r="G929" s="4" t="s">
        <v>26</v>
      </c>
      <c r="H929" s="4" t="s">
        <v>2776</v>
      </c>
      <c r="I929" s="4" t="s">
        <v>28</v>
      </c>
      <c r="J929" s="4" t="s">
        <v>79</v>
      </c>
      <c r="K929" s="4" t="s">
        <v>86</v>
      </c>
      <c r="L929" s="4" t="s">
        <v>491</v>
      </c>
      <c r="M929" s="4" t="s">
        <v>95</v>
      </c>
      <c r="N929" s="4" t="s">
        <v>54</v>
      </c>
      <c r="O929" s="4" t="s">
        <v>82</v>
      </c>
      <c r="P929" s="4" t="s">
        <v>35</v>
      </c>
      <c r="Q929" s="4">
        <v>5</v>
      </c>
      <c r="R929" s="4">
        <v>26519</v>
      </c>
      <c r="S929" s="5">
        <v>0</v>
      </c>
      <c r="T929" s="6">
        <f t="shared" si="42"/>
        <v>132595</v>
      </c>
      <c r="U929" s="4">
        <v>27586.86</v>
      </c>
      <c r="V929" t="str">
        <f t="shared" si="43"/>
        <v>Feb</v>
      </c>
      <c r="W929">
        <f t="shared" si="44"/>
        <v>0.2080535465138203</v>
      </c>
    </row>
    <row r="930" spans="1:23" x14ac:dyDescent="0.4">
      <c r="A930" s="4" t="s">
        <v>2777</v>
      </c>
      <c r="B930" s="4" t="s">
        <v>122</v>
      </c>
      <c r="C930" s="11">
        <v>44606</v>
      </c>
      <c r="D930" s="4" t="s">
        <v>39</v>
      </c>
      <c r="E930" s="4" t="s">
        <v>24</v>
      </c>
      <c r="F930" s="4" t="s">
        <v>40</v>
      </c>
      <c r="G930" s="4" t="s">
        <v>26</v>
      </c>
      <c r="H930" s="4" t="s">
        <v>2778</v>
      </c>
      <c r="I930" s="4" t="s">
        <v>61</v>
      </c>
      <c r="J930" s="4" t="s">
        <v>79</v>
      </c>
      <c r="K930" s="4" t="s">
        <v>44</v>
      </c>
      <c r="L930" s="4" t="s">
        <v>695</v>
      </c>
      <c r="M930" s="4" t="s">
        <v>73</v>
      </c>
      <c r="N930" s="4" t="s">
        <v>33</v>
      </c>
      <c r="O930" s="4" t="s">
        <v>34</v>
      </c>
      <c r="P930" s="4" t="s">
        <v>88</v>
      </c>
      <c r="Q930" s="4">
        <v>10</v>
      </c>
      <c r="R930" s="4">
        <v>44619</v>
      </c>
      <c r="S930" s="5">
        <v>15</v>
      </c>
      <c r="T930" s="6">
        <f t="shared" si="42"/>
        <v>379261.5</v>
      </c>
      <c r="U930" s="4">
        <v>333.13</v>
      </c>
      <c r="V930" t="str">
        <f t="shared" si="43"/>
        <v>Feb</v>
      </c>
      <c r="W930">
        <f t="shared" si="44"/>
        <v>8.7836492762908972E-4</v>
      </c>
    </row>
    <row r="931" spans="1:23" x14ac:dyDescent="0.4">
      <c r="A931" s="4" t="s">
        <v>2779</v>
      </c>
      <c r="B931" s="4" t="s">
        <v>2780</v>
      </c>
      <c r="C931" s="11">
        <v>44792</v>
      </c>
      <c r="D931" s="4" t="s">
        <v>124</v>
      </c>
      <c r="E931" s="4" t="s">
        <v>24</v>
      </c>
      <c r="F931" s="4" t="s">
        <v>25</v>
      </c>
      <c r="G931" s="4" t="s">
        <v>59</v>
      </c>
      <c r="H931" s="4" t="s">
        <v>2781</v>
      </c>
      <c r="I931" s="4" t="s">
        <v>43</v>
      </c>
      <c r="J931" s="4" t="s">
        <v>29</v>
      </c>
      <c r="K931" s="4" t="s">
        <v>153</v>
      </c>
      <c r="L931" s="4" t="s">
        <v>704</v>
      </c>
      <c r="M931" s="4" t="s">
        <v>95</v>
      </c>
      <c r="N931" s="4" t="s">
        <v>54</v>
      </c>
      <c r="O931" s="4" t="s">
        <v>34</v>
      </c>
      <c r="P931" s="4" t="s">
        <v>88</v>
      </c>
      <c r="Q931" s="4">
        <v>6</v>
      </c>
      <c r="R931" s="4">
        <v>7564</v>
      </c>
      <c r="S931" s="5">
        <v>10</v>
      </c>
      <c r="T931" s="6">
        <f t="shared" si="42"/>
        <v>40845.599999999999</v>
      </c>
      <c r="U931" s="4">
        <v>4365.88</v>
      </c>
      <c r="V931" t="str">
        <f t="shared" si="43"/>
        <v>Aug</v>
      </c>
      <c r="W931">
        <f t="shared" si="44"/>
        <v>0.10688740035646435</v>
      </c>
    </row>
    <row r="932" spans="1:23" x14ac:dyDescent="0.4">
      <c r="A932" s="4" t="s">
        <v>2782</v>
      </c>
      <c r="B932" s="4" t="s">
        <v>781</v>
      </c>
      <c r="C932" s="11">
        <v>45112</v>
      </c>
      <c r="D932" s="4" t="s">
        <v>98</v>
      </c>
      <c r="E932" s="4" t="s">
        <v>24</v>
      </c>
      <c r="F932" s="4" t="s">
        <v>58</v>
      </c>
      <c r="G932" s="4" t="s">
        <v>59</v>
      </c>
      <c r="H932" s="4" t="s">
        <v>2783</v>
      </c>
      <c r="I932" s="4" t="s">
        <v>28</v>
      </c>
      <c r="J932" s="4" t="s">
        <v>29</v>
      </c>
      <c r="K932" s="4" t="s">
        <v>153</v>
      </c>
      <c r="L932" s="4" t="s">
        <v>404</v>
      </c>
      <c r="M932" s="4" t="s">
        <v>53</v>
      </c>
      <c r="N932" s="4" t="s">
        <v>33</v>
      </c>
      <c r="O932" s="4" t="s">
        <v>46</v>
      </c>
      <c r="P932" s="4" t="s">
        <v>74</v>
      </c>
      <c r="Q932" s="4">
        <v>5</v>
      </c>
      <c r="R932" s="4">
        <v>28872</v>
      </c>
      <c r="S932" s="5">
        <v>10</v>
      </c>
      <c r="T932" s="6">
        <f t="shared" si="42"/>
        <v>129924</v>
      </c>
      <c r="U932" s="4">
        <v>4155.6000000000004</v>
      </c>
      <c r="V932" t="str">
        <f t="shared" si="43"/>
        <v>Jun</v>
      </c>
      <c r="W932">
        <f t="shared" si="44"/>
        <v>3.1984852683107051E-2</v>
      </c>
    </row>
    <row r="933" spans="1:23" x14ac:dyDescent="0.4">
      <c r="A933" s="4" t="s">
        <v>2784</v>
      </c>
      <c r="B933" s="4" t="s">
        <v>963</v>
      </c>
      <c r="C933" s="11">
        <v>45068</v>
      </c>
      <c r="D933" s="4" t="s">
        <v>98</v>
      </c>
      <c r="E933" s="4" t="s">
        <v>24</v>
      </c>
      <c r="F933" s="4" t="s">
        <v>25</v>
      </c>
      <c r="G933" s="4" t="s">
        <v>92</v>
      </c>
      <c r="H933" s="4" t="s">
        <v>2785</v>
      </c>
      <c r="I933" s="4" t="s">
        <v>43</v>
      </c>
      <c r="J933" s="4" t="s">
        <v>79</v>
      </c>
      <c r="K933" s="4" t="s">
        <v>153</v>
      </c>
      <c r="L933" s="4" t="s">
        <v>1921</v>
      </c>
      <c r="M933" s="4" t="s">
        <v>73</v>
      </c>
      <c r="N933" s="4" t="s">
        <v>33</v>
      </c>
      <c r="O933" s="4" t="s">
        <v>82</v>
      </c>
      <c r="P933" s="4" t="s">
        <v>47</v>
      </c>
      <c r="Q933" s="4">
        <v>10</v>
      </c>
      <c r="R933" s="4">
        <v>18360</v>
      </c>
      <c r="S933" s="5">
        <v>5</v>
      </c>
      <c r="T933" s="6">
        <f t="shared" si="42"/>
        <v>174420</v>
      </c>
      <c r="U933" s="4">
        <v>21286.61</v>
      </c>
      <c r="V933" t="str">
        <f t="shared" si="43"/>
        <v>May</v>
      </c>
      <c r="W933">
        <f t="shared" si="44"/>
        <v>0.12204225432863204</v>
      </c>
    </row>
    <row r="934" spans="1:23" x14ac:dyDescent="0.4">
      <c r="A934" s="4" t="s">
        <v>2786</v>
      </c>
      <c r="B934" s="4" t="s">
        <v>2787</v>
      </c>
      <c r="C934" s="11">
        <v>44808</v>
      </c>
      <c r="D934" s="4" t="s">
        <v>98</v>
      </c>
      <c r="E934" s="4" t="s">
        <v>24</v>
      </c>
      <c r="F934" s="4" t="s">
        <v>26</v>
      </c>
      <c r="G934" s="4" t="s">
        <v>26</v>
      </c>
      <c r="H934" s="4" t="s">
        <v>858</v>
      </c>
      <c r="I934" s="4" t="s">
        <v>61</v>
      </c>
      <c r="J934" s="4" t="s">
        <v>62</v>
      </c>
      <c r="K934" s="4" t="s">
        <v>101</v>
      </c>
      <c r="L934" s="4" t="s">
        <v>251</v>
      </c>
      <c r="M934" s="4" t="s">
        <v>53</v>
      </c>
      <c r="N934" s="4" t="s">
        <v>54</v>
      </c>
      <c r="O934" s="4" t="s">
        <v>82</v>
      </c>
      <c r="P934" s="4" t="s">
        <v>88</v>
      </c>
      <c r="Q934" s="4">
        <v>6</v>
      </c>
      <c r="R934" s="4">
        <v>8352</v>
      </c>
      <c r="S934" s="5">
        <v>0</v>
      </c>
      <c r="T934" s="6">
        <f t="shared" si="42"/>
        <v>50112</v>
      </c>
      <c r="U934" s="4">
        <v>4363.09</v>
      </c>
      <c r="V934" t="str">
        <f t="shared" si="43"/>
        <v>Sep</v>
      </c>
      <c r="W934">
        <f t="shared" si="44"/>
        <v>8.7066770434227336E-2</v>
      </c>
    </row>
    <row r="935" spans="1:23" x14ac:dyDescent="0.4">
      <c r="A935" s="4" t="s">
        <v>2788</v>
      </c>
      <c r="B935" s="4" t="s">
        <v>1150</v>
      </c>
      <c r="C935" s="11">
        <v>45474</v>
      </c>
      <c r="D935" s="4" t="s">
        <v>98</v>
      </c>
      <c r="E935" s="4" t="s">
        <v>24</v>
      </c>
      <c r="F935" s="4" t="s">
        <v>58</v>
      </c>
      <c r="G935" s="4" t="s">
        <v>99</v>
      </c>
      <c r="H935" s="4" t="s">
        <v>2789</v>
      </c>
      <c r="I935" s="4" t="s">
        <v>61</v>
      </c>
      <c r="J935" s="4" t="s">
        <v>62</v>
      </c>
      <c r="K935" s="4" t="s">
        <v>101</v>
      </c>
      <c r="L935" s="4" t="s">
        <v>441</v>
      </c>
      <c r="M935" s="4" t="s">
        <v>95</v>
      </c>
      <c r="N935" s="4" t="s">
        <v>54</v>
      </c>
      <c r="O935" s="4" t="s">
        <v>82</v>
      </c>
      <c r="P935" s="4" t="s">
        <v>35</v>
      </c>
      <c r="Q935" s="4">
        <v>8</v>
      </c>
      <c r="R935" s="4">
        <v>4668</v>
      </c>
      <c r="S935" s="5">
        <v>15</v>
      </c>
      <c r="T935" s="6">
        <f t="shared" si="42"/>
        <v>31742.400000000001</v>
      </c>
      <c r="U935" s="4">
        <v>4798.18</v>
      </c>
      <c r="V935" t="str">
        <f t="shared" si="43"/>
        <v>Jun</v>
      </c>
      <c r="W935">
        <f t="shared" si="44"/>
        <v>0.15115996269973286</v>
      </c>
    </row>
    <row r="936" spans="1:23" x14ac:dyDescent="0.4">
      <c r="A936" s="4" t="s">
        <v>2790</v>
      </c>
      <c r="B936" s="4" t="s">
        <v>1613</v>
      </c>
      <c r="C936" s="11">
        <v>44727</v>
      </c>
      <c r="D936" s="4" t="s">
        <v>23</v>
      </c>
      <c r="E936" s="4" t="s">
        <v>24</v>
      </c>
      <c r="F936" s="4" t="s">
        <v>26</v>
      </c>
      <c r="G936" s="4" t="s">
        <v>92</v>
      </c>
      <c r="H936" s="4" t="s">
        <v>2791</v>
      </c>
      <c r="I936" s="4" t="s">
        <v>61</v>
      </c>
      <c r="J936" s="4" t="s">
        <v>29</v>
      </c>
      <c r="K936" s="4" t="s">
        <v>153</v>
      </c>
      <c r="L936" s="4" t="s">
        <v>382</v>
      </c>
      <c r="M936" s="4" t="s">
        <v>53</v>
      </c>
      <c r="N936" s="4" t="s">
        <v>54</v>
      </c>
      <c r="O936" s="4" t="s">
        <v>82</v>
      </c>
      <c r="P936" s="4" t="s">
        <v>88</v>
      </c>
      <c r="Q936" s="4">
        <v>2</v>
      </c>
      <c r="R936" s="4">
        <v>38482</v>
      </c>
      <c r="S936" s="5">
        <v>15</v>
      </c>
      <c r="T936" s="6">
        <f t="shared" si="42"/>
        <v>65419.4</v>
      </c>
      <c r="U936" s="4">
        <v>-787.62</v>
      </c>
      <c r="V936" t="str">
        <f t="shared" si="43"/>
        <v>Jun</v>
      </c>
      <c r="W936">
        <f t="shared" si="44"/>
        <v>-1.203954790169277E-2</v>
      </c>
    </row>
    <row r="937" spans="1:23" x14ac:dyDescent="0.4">
      <c r="A937" s="4" t="s">
        <v>2792</v>
      </c>
      <c r="B937" s="4" t="s">
        <v>1732</v>
      </c>
      <c r="C937" s="11">
        <v>44679</v>
      </c>
      <c r="D937" s="4" t="s">
        <v>98</v>
      </c>
      <c r="E937" s="4" t="s">
        <v>24</v>
      </c>
      <c r="F937" s="4" t="s">
        <v>40</v>
      </c>
      <c r="G937" s="4" t="s">
        <v>99</v>
      </c>
      <c r="H937" s="4" t="s">
        <v>2793</v>
      </c>
      <c r="I937" s="4" t="s">
        <v>43</v>
      </c>
      <c r="J937" s="4" t="s">
        <v>29</v>
      </c>
      <c r="K937" s="4" t="s">
        <v>153</v>
      </c>
      <c r="L937" s="4" t="s">
        <v>564</v>
      </c>
      <c r="M937" s="4" t="s">
        <v>65</v>
      </c>
      <c r="N937" s="4" t="s">
        <v>33</v>
      </c>
      <c r="O937" s="4" t="s">
        <v>120</v>
      </c>
      <c r="P937" s="4" t="s">
        <v>35</v>
      </c>
      <c r="Q937" s="4">
        <v>7</v>
      </c>
      <c r="R937" s="4">
        <v>12133</v>
      </c>
      <c r="S937" s="5">
        <v>15</v>
      </c>
      <c r="T937" s="6">
        <f t="shared" si="42"/>
        <v>72191.350000000006</v>
      </c>
      <c r="U937" s="4">
        <v>-2126.4299999999998</v>
      </c>
      <c r="V937" t="str">
        <f t="shared" si="43"/>
        <v>Apr</v>
      </c>
      <c r="W937">
        <f t="shared" si="44"/>
        <v>-2.9455468002745476E-2</v>
      </c>
    </row>
    <row r="938" spans="1:23" x14ac:dyDescent="0.4">
      <c r="A938" s="4" t="s">
        <v>2794</v>
      </c>
      <c r="B938" s="4" t="s">
        <v>814</v>
      </c>
      <c r="C938" s="11">
        <v>45545</v>
      </c>
      <c r="D938" s="4" t="s">
        <v>39</v>
      </c>
      <c r="E938" s="4" t="s">
        <v>24</v>
      </c>
      <c r="F938" s="4" t="s">
        <v>70</v>
      </c>
      <c r="G938" s="4" t="s">
        <v>59</v>
      </c>
      <c r="H938" s="4" t="s">
        <v>2795</v>
      </c>
      <c r="I938" s="4" t="s">
        <v>43</v>
      </c>
      <c r="J938" s="4" t="s">
        <v>79</v>
      </c>
      <c r="K938" s="4" t="s">
        <v>63</v>
      </c>
      <c r="L938" s="4" t="s">
        <v>441</v>
      </c>
      <c r="M938" s="4" t="s">
        <v>53</v>
      </c>
      <c r="N938" s="4" t="s">
        <v>54</v>
      </c>
      <c r="O938" s="4" t="s">
        <v>66</v>
      </c>
      <c r="P938" s="4" t="s">
        <v>35</v>
      </c>
      <c r="Q938" s="4">
        <v>1</v>
      </c>
      <c r="R938" s="4">
        <v>24075</v>
      </c>
      <c r="S938" s="5">
        <v>0</v>
      </c>
      <c r="T938" s="6">
        <f t="shared" si="42"/>
        <v>24075</v>
      </c>
      <c r="U938" s="4">
        <v>1459.45</v>
      </c>
      <c r="V938" t="str">
        <f t="shared" si="43"/>
        <v>Sep</v>
      </c>
      <c r="W938">
        <f t="shared" si="44"/>
        <v>6.0620976116303224E-2</v>
      </c>
    </row>
    <row r="939" spans="1:23" x14ac:dyDescent="0.4">
      <c r="A939" s="4" t="s">
        <v>2796</v>
      </c>
      <c r="B939" s="4" t="s">
        <v>1243</v>
      </c>
      <c r="C939" s="11">
        <v>44762</v>
      </c>
      <c r="D939" s="4" t="s">
        <v>124</v>
      </c>
      <c r="E939" s="4" t="s">
        <v>24</v>
      </c>
      <c r="F939" s="4" t="s">
        <v>26</v>
      </c>
      <c r="G939" s="4" t="s">
        <v>59</v>
      </c>
      <c r="H939" s="4" t="s">
        <v>2797</v>
      </c>
      <c r="I939" s="4" t="s">
        <v>28</v>
      </c>
      <c r="J939" s="4" t="s">
        <v>29</v>
      </c>
      <c r="K939" s="4" t="s">
        <v>30</v>
      </c>
      <c r="L939" s="4" t="s">
        <v>264</v>
      </c>
      <c r="M939" s="4" t="s">
        <v>73</v>
      </c>
      <c r="N939" s="4" t="s">
        <v>54</v>
      </c>
      <c r="O939" s="4" t="s">
        <v>46</v>
      </c>
      <c r="P939" s="4" t="s">
        <v>35</v>
      </c>
      <c r="Q939" s="4">
        <v>8</v>
      </c>
      <c r="R939" s="4">
        <v>41346</v>
      </c>
      <c r="S939" s="5">
        <v>0</v>
      </c>
      <c r="T939" s="6">
        <f t="shared" si="42"/>
        <v>330768</v>
      </c>
      <c r="U939" s="4">
        <v>20407.97</v>
      </c>
      <c r="V939" t="str">
        <f t="shared" si="43"/>
        <v>Jul</v>
      </c>
      <c r="W939">
        <f t="shared" si="44"/>
        <v>6.1698743530208489E-2</v>
      </c>
    </row>
    <row r="940" spans="1:23" x14ac:dyDescent="0.4">
      <c r="A940" s="4" t="s">
        <v>2798</v>
      </c>
      <c r="B940" s="4" t="s">
        <v>1201</v>
      </c>
      <c r="C940" s="11">
        <v>45083</v>
      </c>
      <c r="D940" s="4" t="s">
        <v>124</v>
      </c>
      <c r="E940" s="4" t="s">
        <v>24</v>
      </c>
      <c r="F940" s="4" t="s">
        <v>40</v>
      </c>
      <c r="G940" s="4" t="s">
        <v>26</v>
      </c>
      <c r="H940" s="4" t="s">
        <v>2799</v>
      </c>
      <c r="I940" s="4" t="s">
        <v>28</v>
      </c>
      <c r="J940" s="4" t="s">
        <v>62</v>
      </c>
      <c r="K940" s="4" t="s">
        <v>30</v>
      </c>
      <c r="L940" s="4" t="s">
        <v>2084</v>
      </c>
      <c r="M940" s="4" t="s">
        <v>53</v>
      </c>
      <c r="N940" s="4" t="s">
        <v>33</v>
      </c>
      <c r="O940" s="4" t="s">
        <v>34</v>
      </c>
      <c r="P940" s="4" t="s">
        <v>35</v>
      </c>
      <c r="Q940" s="4">
        <v>3</v>
      </c>
      <c r="R940" s="4">
        <v>15441</v>
      </c>
      <c r="S940" s="5">
        <v>5</v>
      </c>
      <c r="T940" s="6">
        <f t="shared" si="42"/>
        <v>44006.85</v>
      </c>
      <c r="U940" s="4">
        <v>3297.46</v>
      </c>
      <c r="V940" t="str">
        <f t="shared" si="43"/>
        <v>Jun</v>
      </c>
      <c r="W940">
        <f t="shared" si="44"/>
        <v>7.4930607394076157E-2</v>
      </c>
    </row>
    <row r="941" spans="1:23" x14ac:dyDescent="0.4">
      <c r="A941" s="4" t="s">
        <v>2800</v>
      </c>
      <c r="B941" s="4" t="s">
        <v>1387</v>
      </c>
      <c r="C941" s="11">
        <v>44994</v>
      </c>
      <c r="D941" s="4" t="s">
        <v>39</v>
      </c>
      <c r="E941" s="4" t="s">
        <v>24</v>
      </c>
      <c r="F941" s="4" t="s">
        <v>25</v>
      </c>
      <c r="G941" s="4" t="s">
        <v>59</v>
      </c>
      <c r="H941" s="4" t="s">
        <v>2801</v>
      </c>
      <c r="I941" s="4" t="s">
        <v>28</v>
      </c>
      <c r="J941" s="4" t="s">
        <v>79</v>
      </c>
      <c r="K941" s="4" t="s">
        <v>44</v>
      </c>
      <c r="L941" s="4" t="s">
        <v>1667</v>
      </c>
      <c r="M941" s="4" t="s">
        <v>32</v>
      </c>
      <c r="N941" s="4" t="s">
        <v>33</v>
      </c>
      <c r="O941" s="4" t="s">
        <v>34</v>
      </c>
      <c r="P941" s="4" t="s">
        <v>88</v>
      </c>
      <c r="Q941" s="4">
        <v>5</v>
      </c>
      <c r="R941" s="4">
        <v>3795</v>
      </c>
      <c r="S941" s="5">
        <v>5</v>
      </c>
      <c r="T941" s="6">
        <f t="shared" si="42"/>
        <v>18026.25</v>
      </c>
      <c r="U941" s="4">
        <v>1652.25</v>
      </c>
      <c r="V941" t="str">
        <f t="shared" si="43"/>
        <v>Mar</v>
      </c>
      <c r="W941">
        <f t="shared" si="44"/>
        <v>9.1657998751820263E-2</v>
      </c>
    </row>
    <row r="942" spans="1:23" x14ac:dyDescent="0.4">
      <c r="A942" s="4" t="s">
        <v>2802</v>
      </c>
      <c r="B942" s="4" t="s">
        <v>1651</v>
      </c>
      <c r="C942" s="11">
        <v>44624</v>
      </c>
      <c r="D942" s="4" t="s">
        <v>23</v>
      </c>
      <c r="E942" s="4" t="s">
        <v>24</v>
      </c>
      <c r="F942" s="4" t="s">
        <v>58</v>
      </c>
      <c r="G942" s="4" t="s">
        <v>26</v>
      </c>
      <c r="H942" s="4" t="s">
        <v>2803</v>
      </c>
      <c r="I942" s="4" t="s">
        <v>61</v>
      </c>
      <c r="J942" s="4" t="s">
        <v>79</v>
      </c>
      <c r="K942" s="4" t="s">
        <v>63</v>
      </c>
      <c r="L942" s="4" t="s">
        <v>503</v>
      </c>
      <c r="M942" s="4" t="s">
        <v>73</v>
      </c>
      <c r="N942" s="4" t="s">
        <v>54</v>
      </c>
      <c r="O942" s="4" t="s">
        <v>34</v>
      </c>
      <c r="P942" s="4" t="s">
        <v>35</v>
      </c>
      <c r="Q942" s="4">
        <v>6</v>
      </c>
      <c r="R942" s="4">
        <v>15504</v>
      </c>
      <c r="S942" s="5">
        <v>20</v>
      </c>
      <c r="T942" s="6">
        <f t="shared" si="42"/>
        <v>74419.199999999997</v>
      </c>
      <c r="U942" s="4">
        <v>-11498.17</v>
      </c>
      <c r="V942" t="str">
        <f t="shared" si="43"/>
        <v>Feb</v>
      </c>
      <c r="W942">
        <f t="shared" si="44"/>
        <v>-0.15450542333161335</v>
      </c>
    </row>
    <row r="943" spans="1:23" x14ac:dyDescent="0.4">
      <c r="A943" s="4" t="s">
        <v>2804</v>
      </c>
      <c r="B943" s="4" t="s">
        <v>235</v>
      </c>
      <c r="C943" s="11">
        <v>45068</v>
      </c>
      <c r="D943" s="4" t="s">
        <v>124</v>
      </c>
      <c r="E943" s="4" t="s">
        <v>24</v>
      </c>
      <c r="F943" s="4" t="s">
        <v>26</v>
      </c>
      <c r="G943" s="4" t="s">
        <v>92</v>
      </c>
      <c r="H943" s="4" t="s">
        <v>2805</v>
      </c>
      <c r="I943" s="4" t="s">
        <v>43</v>
      </c>
      <c r="J943" s="4" t="s">
        <v>62</v>
      </c>
      <c r="K943" s="4" t="s">
        <v>63</v>
      </c>
      <c r="L943" s="4" t="s">
        <v>993</v>
      </c>
      <c r="M943" s="4" t="s">
        <v>73</v>
      </c>
      <c r="N943" s="4" t="s">
        <v>54</v>
      </c>
      <c r="O943" s="4" t="s">
        <v>120</v>
      </c>
      <c r="P943" s="4" t="s">
        <v>88</v>
      </c>
      <c r="Q943" s="4">
        <v>9</v>
      </c>
      <c r="R943" s="4">
        <v>43754</v>
      </c>
      <c r="S943" s="5">
        <v>0</v>
      </c>
      <c r="T943" s="6">
        <f t="shared" si="42"/>
        <v>393786</v>
      </c>
      <c r="U943" s="4">
        <v>97518.94</v>
      </c>
      <c r="V943" t="str">
        <f t="shared" si="43"/>
        <v>May</v>
      </c>
      <c r="W943">
        <f t="shared" si="44"/>
        <v>0.24764450742281341</v>
      </c>
    </row>
    <row r="944" spans="1:23" x14ac:dyDescent="0.4">
      <c r="A944" s="4" t="s">
        <v>2806</v>
      </c>
      <c r="B944" s="4" t="s">
        <v>262</v>
      </c>
      <c r="C944" s="11">
        <v>44801</v>
      </c>
      <c r="D944" s="4" t="s">
        <v>39</v>
      </c>
      <c r="E944" s="4" t="s">
        <v>24</v>
      </c>
      <c r="F944" s="4" t="s">
        <v>25</v>
      </c>
      <c r="G944" s="4" t="s">
        <v>41</v>
      </c>
      <c r="H944" s="4" t="s">
        <v>2808</v>
      </c>
      <c r="I944" s="4" t="s">
        <v>61</v>
      </c>
      <c r="J944" s="4" t="s">
        <v>29</v>
      </c>
      <c r="K944" s="4" t="s">
        <v>44</v>
      </c>
      <c r="L944" s="4" t="s">
        <v>329</v>
      </c>
      <c r="M944" s="4" t="s">
        <v>81</v>
      </c>
      <c r="N944" s="4" t="s">
        <v>54</v>
      </c>
      <c r="O944" s="4" t="s">
        <v>66</v>
      </c>
      <c r="P944" s="4" t="s">
        <v>35</v>
      </c>
      <c r="Q944" s="4">
        <v>2</v>
      </c>
      <c r="R944" s="4">
        <v>543</v>
      </c>
      <c r="S944" s="5">
        <v>5</v>
      </c>
      <c r="T944" s="6">
        <f t="shared" si="42"/>
        <v>1031.7</v>
      </c>
      <c r="U944" s="4">
        <v>127.6</v>
      </c>
      <c r="V944" t="str">
        <f t="shared" si="43"/>
        <v>Aug</v>
      </c>
      <c r="W944">
        <f t="shared" si="44"/>
        <v>0.12367936415624696</v>
      </c>
    </row>
    <row r="945" spans="1:23" x14ac:dyDescent="0.4">
      <c r="A945" s="4" t="s">
        <v>2809</v>
      </c>
      <c r="B945" s="4" t="s">
        <v>430</v>
      </c>
      <c r="C945" s="11">
        <v>44952</v>
      </c>
      <c r="D945" s="4" t="s">
        <v>39</v>
      </c>
      <c r="E945" s="4" t="s">
        <v>24</v>
      </c>
      <c r="F945" s="4" t="s">
        <v>58</v>
      </c>
      <c r="G945" s="4" t="s">
        <v>59</v>
      </c>
      <c r="H945" s="4" t="s">
        <v>2810</v>
      </c>
      <c r="I945" s="4" t="s">
        <v>28</v>
      </c>
      <c r="J945" s="4" t="s">
        <v>62</v>
      </c>
      <c r="K945" s="4" t="s">
        <v>30</v>
      </c>
      <c r="L945" s="4" t="s">
        <v>1590</v>
      </c>
      <c r="M945" s="4" t="s">
        <v>81</v>
      </c>
      <c r="N945" s="4" t="s">
        <v>33</v>
      </c>
      <c r="O945" s="4" t="s">
        <v>120</v>
      </c>
      <c r="P945" s="4" t="s">
        <v>47</v>
      </c>
      <c r="Q945" s="4">
        <v>5</v>
      </c>
      <c r="R945" s="4">
        <v>15609</v>
      </c>
      <c r="S945" s="5">
        <v>20</v>
      </c>
      <c r="T945" s="6">
        <f t="shared" si="42"/>
        <v>62436</v>
      </c>
      <c r="U945" s="4">
        <v>6593.97</v>
      </c>
      <c r="V945" t="str">
        <f t="shared" si="43"/>
        <v>Jan</v>
      </c>
      <c r="W945">
        <f t="shared" si="44"/>
        <v>0.10561166634633866</v>
      </c>
    </row>
    <row r="946" spans="1:23" x14ac:dyDescent="0.4">
      <c r="A946" s="4" t="s">
        <v>2811</v>
      </c>
      <c r="B946" s="4" t="s">
        <v>38</v>
      </c>
      <c r="C946" s="11">
        <v>45370</v>
      </c>
      <c r="D946" s="4" t="s">
        <v>23</v>
      </c>
      <c r="E946" s="4" t="s">
        <v>24</v>
      </c>
      <c r="F946" s="4" t="s">
        <v>40</v>
      </c>
      <c r="G946" s="4" t="s">
        <v>41</v>
      </c>
      <c r="H946" s="4" t="s">
        <v>2812</v>
      </c>
      <c r="I946" s="4" t="s">
        <v>43</v>
      </c>
      <c r="J946" s="4" t="s">
        <v>79</v>
      </c>
      <c r="K946" s="4" t="s">
        <v>101</v>
      </c>
      <c r="L946" s="4" t="s">
        <v>476</v>
      </c>
      <c r="M946" s="4" t="s">
        <v>95</v>
      </c>
      <c r="N946" s="4" t="s">
        <v>33</v>
      </c>
      <c r="O946" s="4" t="s">
        <v>82</v>
      </c>
      <c r="P946" s="4" t="s">
        <v>35</v>
      </c>
      <c r="Q946" s="4">
        <v>9</v>
      </c>
      <c r="R946" s="4">
        <v>23527</v>
      </c>
      <c r="S946" s="5">
        <v>5</v>
      </c>
      <c r="T946" s="6">
        <f t="shared" si="42"/>
        <v>201155.85</v>
      </c>
      <c r="U946" s="4">
        <v>33348.67</v>
      </c>
      <c r="V946" t="str">
        <f t="shared" si="43"/>
        <v>Mar</v>
      </c>
      <c r="W946">
        <f t="shared" si="44"/>
        <v>0.16578523567671533</v>
      </c>
    </row>
    <row r="947" spans="1:23" x14ac:dyDescent="0.4">
      <c r="A947" s="4" t="s">
        <v>2813</v>
      </c>
      <c r="B947" s="4" t="s">
        <v>1038</v>
      </c>
      <c r="C947" s="11">
        <v>44778</v>
      </c>
      <c r="D947" s="4" t="s">
        <v>124</v>
      </c>
      <c r="E947" s="4" t="s">
        <v>24</v>
      </c>
      <c r="F947" s="4" t="s">
        <v>40</v>
      </c>
      <c r="G947" s="4" t="s">
        <v>99</v>
      </c>
      <c r="H947" s="4" t="s">
        <v>2814</v>
      </c>
      <c r="I947" s="4" t="s">
        <v>61</v>
      </c>
      <c r="J947" s="4" t="s">
        <v>29</v>
      </c>
      <c r="K947" s="4" t="s">
        <v>86</v>
      </c>
      <c r="L947" s="4" t="s">
        <v>906</v>
      </c>
      <c r="M947" s="4" t="s">
        <v>53</v>
      </c>
      <c r="N947" s="4" t="s">
        <v>54</v>
      </c>
      <c r="O947" s="4" t="s">
        <v>34</v>
      </c>
      <c r="P947" s="4" t="s">
        <v>35</v>
      </c>
      <c r="Q947" s="4">
        <v>8</v>
      </c>
      <c r="R947" s="4">
        <v>19391</v>
      </c>
      <c r="S947" s="5">
        <v>0</v>
      </c>
      <c r="T947" s="6">
        <f t="shared" si="42"/>
        <v>155128</v>
      </c>
      <c r="U947" s="4">
        <v>12668.86</v>
      </c>
      <c r="V947" t="str">
        <f t="shared" si="43"/>
        <v>Aug</v>
      </c>
      <c r="W947">
        <f t="shared" si="44"/>
        <v>8.1667139394564492E-2</v>
      </c>
    </row>
    <row r="948" spans="1:23" x14ac:dyDescent="0.4">
      <c r="A948" s="4" t="s">
        <v>2815</v>
      </c>
      <c r="B948" s="4" t="s">
        <v>1087</v>
      </c>
      <c r="C948" s="11">
        <v>44989</v>
      </c>
      <c r="D948" s="4" t="s">
        <v>39</v>
      </c>
      <c r="E948" s="4" t="s">
        <v>24</v>
      </c>
      <c r="F948" s="4" t="s">
        <v>70</v>
      </c>
      <c r="G948" s="4" t="s">
        <v>99</v>
      </c>
      <c r="H948" s="4" t="s">
        <v>2816</v>
      </c>
      <c r="I948" s="4" t="s">
        <v>28</v>
      </c>
      <c r="J948" s="4" t="s">
        <v>79</v>
      </c>
      <c r="K948" s="4" t="s">
        <v>153</v>
      </c>
      <c r="L948" s="4" t="s">
        <v>494</v>
      </c>
      <c r="M948" s="4" t="s">
        <v>53</v>
      </c>
      <c r="N948" s="4" t="s">
        <v>54</v>
      </c>
      <c r="O948" s="4" t="s">
        <v>34</v>
      </c>
      <c r="P948" s="4" t="s">
        <v>47</v>
      </c>
      <c r="Q948" s="4">
        <v>6</v>
      </c>
      <c r="R948" s="4">
        <v>46202</v>
      </c>
      <c r="S948" s="5">
        <v>5</v>
      </c>
      <c r="T948" s="6">
        <f t="shared" si="42"/>
        <v>263351.40000000002</v>
      </c>
      <c r="U948" s="4">
        <v>9853.27</v>
      </c>
      <c r="V948" t="str">
        <f t="shared" si="43"/>
        <v>Feb</v>
      </c>
      <c r="W948">
        <f t="shared" si="44"/>
        <v>3.7414914065389437E-2</v>
      </c>
    </row>
    <row r="949" spans="1:23" x14ac:dyDescent="0.4">
      <c r="A949" s="4" t="s">
        <v>2817</v>
      </c>
      <c r="B949" s="4" t="s">
        <v>2818</v>
      </c>
      <c r="C949" s="11">
        <v>45427</v>
      </c>
      <c r="D949" s="4" t="s">
        <v>98</v>
      </c>
      <c r="E949" s="4" t="s">
        <v>24</v>
      </c>
      <c r="F949" s="4" t="s">
        <v>58</v>
      </c>
      <c r="G949" s="4" t="s">
        <v>92</v>
      </c>
      <c r="H949" s="4" t="s">
        <v>2819</v>
      </c>
      <c r="I949" s="4" t="s">
        <v>28</v>
      </c>
      <c r="J949" s="4" t="s">
        <v>79</v>
      </c>
      <c r="K949" s="4" t="s">
        <v>30</v>
      </c>
      <c r="L949" s="4" t="s">
        <v>500</v>
      </c>
      <c r="M949" s="4" t="s">
        <v>73</v>
      </c>
      <c r="N949" s="4" t="s">
        <v>54</v>
      </c>
      <c r="O949" s="4" t="s">
        <v>46</v>
      </c>
      <c r="P949" s="4" t="s">
        <v>88</v>
      </c>
      <c r="Q949" s="4">
        <v>8</v>
      </c>
      <c r="R949" s="4">
        <v>10311</v>
      </c>
      <c r="S949" s="5">
        <v>10</v>
      </c>
      <c r="T949" s="6">
        <f t="shared" si="42"/>
        <v>74239.199999999997</v>
      </c>
      <c r="U949" s="4">
        <v>-549.71</v>
      </c>
      <c r="V949" t="str">
        <f t="shared" si="43"/>
        <v>May</v>
      </c>
      <c r="W949">
        <f t="shared" si="44"/>
        <v>-7.404578713132685E-3</v>
      </c>
    </row>
    <row r="950" spans="1:23" x14ac:dyDescent="0.4">
      <c r="A950" s="4" t="s">
        <v>2820</v>
      </c>
      <c r="B950" s="4" t="s">
        <v>579</v>
      </c>
      <c r="C950" s="11">
        <v>44752</v>
      </c>
      <c r="D950" s="4" t="s">
        <v>23</v>
      </c>
      <c r="E950" s="4" t="s">
        <v>24</v>
      </c>
      <c r="F950" s="4" t="s">
        <v>58</v>
      </c>
      <c r="G950" s="4" t="s">
        <v>26</v>
      </c>
      <c r="H950" s="4" t="s">
        <v>2821</v>
      </c>
      <c r="I950" s="4" t="s">
        <v>43</v>
      </c>
      <c r="J950" s="4" t="s">
        <v>29</v>
      </c>
      <c r="K950" s="4" t="s">
        <v>101</v>
      </c>
      <c r="L950" s="4" t="s">
        <v>2822</v>
      </c>
      <c r="M950" s="4" t="s">
        <v>65</v>
      </c>
      <c r="N950" s="4" t="s">
        <v>33</v>
      </c>
      <c r="O950" s="4" t="s">
        <v>120</v>
      </c>
      <c r="P950" s="4" t="s">
        <v>47</v>
      </c>
      <c r="Q950" s="4">
        <v>8</v>
      </c>
      <c r="R950" s="4">
        <v>30606</v>
      </c>
      <c r="S950" s="5">
        <v>20</v>
      </c>
      <c r="T950" s="6">
        <f t="shared" si="42"/>
        <v>195878.39999999999</v>
      </c>
      <c r="U950" s="4">
        <v>7836.53</v>
      </c>
      <c r="V950" t="str">
        <f t="shared" si="43"/>
        <v>Jul</v>
      </c>
      <c r="W950">
        <f t="shared" si="44"/>
        <v>4.0007116660132E-2</v>
      </c>
    </row>
    <row r="951" spans="1:23" x14ac:dyDescent="0.4">
      <c r="A951" s="4" t="s">
        <v>2823</v>
      </c>
      <c r="B951" s="4" t="s">
        <v>2807</v>
      </c>
      <c r="C951" s="11">
        <v>44804</v>
      </c>
      <c r="D951" s="4" t="s">
        <v>39</v>
      </c>
      <c r="E951" s="4" t="s">
        <v>24</v>
      </c>
      <c r="F951" s="4" t="s">
        <v>70</v>
      </c>
      <c r="G951" s="4" t="s">
        <v>26</v>
      </c>
      <c r="H951" s="4" t="s">
        <v>2824</v>
      </c>
      <c r="I951" s="4" t="s">
        <v>61</v>
      </c>
      <c r="J951" s="4" t="s">
        <v>62</v>
      </c>
      <c r="K951" s="4" t="s">
        <v>86</v>
      </c>
      <c r="L951" s="4" t="s">
        <v>597</v>
      </c>
      <c r="M951" s="4" t="s">
        <v>73</v>
      </c>
      <c r="N951" s="4" t="s">
        <v>33</v>
      </c>
      <c r="O951" s="4" t="s">
        <v>34</v>
      </c>
      <c r="P951" s="4" t="s">
        <v>88</v>
      </c>
      <c r="Q951" s="4">
        <v>4</v>
      </c>
      <c r="R951" s="4">
        <v>37260</v>
      </c>
      <c r="S951" s="5">
        <v>0</v>
      </c>
      <c r="T951" s="6">
        <f t="shared" si="42"/>
        <v>149040</v>
      </c>
      <c r="U951" s="4">
        <v>28470.45</v>
      </c>
      <c r="V951" t="str">
        <f t="shared" si="43"/>
        <v>Aug</v>
      </c>
      <c r="W951">
        <f t="shared" si="44"/>
        <v>0.19102556360708536</v>
      </c>
    </row>
    <row r="952" spans="1:23" x14ac:dyDescent="0.4">
      <c r="A952" s="4" t="s">
        <v>2825</v>
      </c>
      <c r="B952" s="4" t="s">
        <v>1320</v>
      </c>
      <c r="C952" s="11">
        <v>45478</v>
      </c>
      <c r="D952" s="4" t="s">
        <v>98</v>
      </c>
      <c r="E952" s="4" t="s">
        <v>24</v>
      </c>
      <c r="F952" s="4" t="s">
        <v>40</v>
      </c>
      <c r="G952" s="4" t="s">
        <v>41</v>
      </c>
      <c r="H952" s="4" t="s">
        <v>2826</v>
      </c>
      <c r="I952" s="4" t="s">
        <v>28</v>
      </c>
      <c r="J952" s="4" t="s">
        <v>62</v>
      </c>
      <c r="K952" s="4" t="s">
        <v>86</v>
      </c>
      <c r="L952" s="4" t="s">
        <v>481</v>
      </c>
      <c r="M952" s="4" t="s">
        <v>53</v>
      </c>
      <c r="N952" s="4" t="s">
        <v>54</v>
      </c>
      <c r="O952" s="4" t="s">
        <v>66</v>
      </c>
      <c r="P952" s="4" t="s">
        <v>74</v>
      </c>
      <c r="Q952" s="4">
        <v>5</v>
      </c>
      <c r="R952" s="4">
        <v>7217</v>
      </c>
      <c r="S952" s="5">
        <v>10</v>
      </c>
      <c r="T952" s="6">
        <f t="shared" si="42"/>
        <v>32476.5</v>
      </c>
      <c r="U952" s="4">
        <v>6547.77</v>
      </c>
      <c r="V952" t="str">
        <f t="shared" si="43"/>
        <v>Jun</v>
      </c>
      <c r="W952">
        <f t="shared" si="44"/>
        <v>0.20161562976305947</v>
      </c>
    </row>
    <row r="953" spans="1:23" x14ac:dyDescent="0.4">
      <c r="A953" s="4" t="s">
        <v>2827</v>
      </c>
      <c r="B953" s="4" t="s">
        <v>2828</v>
      </c>
      <c r="C953" s="11">
        <v>44932</v>
      </c>
      <c r="D953" s="4" t="s">
        <v>39</v>
      </c>
      <c r="E953" s="4" t="s">
        <v>24</v>
      </c>
      <c r="F953" s="4" t="s">
        <v>58</v>
      </c>
      <c r="G953" s="4" t="s">
        <v>92</v>
      </c>
      <c r="H953" s="4" t="s">
        <v>2829</v>
      </c>
      <c r="I953" s="4" t="s">
        <v>61</v>
      </c>
      <c r="J953" s="4" t="s">
        <v>79</v>
      </c>
      <c r="K953" s="4" t="s">
        <v>101</v>
      </c>
      <c r="L953" s="4" t="s">
        <v>597</v>
      </c>
      <c r="M953" s="4" t="s">
        <v>95</v>
      </c>
      <c r="N953" s="4" t="s">
        <v>33</v>
      </c>
      <c r="O953" s="4" t="s">
        <v>34</v>
      </c>
      <c r="P953" s="4" t="s">
        <v>88</v>
      </c>
      <c r="Q953" s="4">
        <v>4</v>
      </c>
      <c r="R953" s="4">
        <v>41923</v>
      </c>
      <c r="S953" s="5">
        <v>15</v>
      </c>
      <c r="T953" s="6">
        <f t="shared" si="42"/>
        <v>142538.20000000001</v>
      </c>
      <c r="U953" s="4">
        <v>15145.85</v>
      </c>
      <c r="V953" t="str">
        <f t="shared" si="43"/>
        <v>Dec</v>
      </c>
      <c r="W953">
        <f t="shared" si="44"/>
        <v>0.10625818201717153</v>
      </c>
    </row>
    <row r="954" spans="1:23" x14ac:dyDescent="0.4">
      <c r="A954" s="4" t="s">
        <v>2830</v>
      </c>
      <c r="B954" s="4" t="s">
        <v>1153</v>
      </c>
      <c r="C954" s="11">
        <v>44812</v>
      </c>
      <c r="D954" s="4" t="s">
        <v>98</v>
      </c>
      <c r="E954" s="4" t="s">
        <v>24</v>
      </c>
      <c r="F954" s="4" t="s">
        <v>40</v>
      </c>
      <c r="G954" s="4" t="s">
        <v>59</v>
      </c>
      <c r="H954" s="4" t="s">
        <v>2831</v>
      </c>
      <c r="I954" s="4" t="s">
        <v>28</v>
      </c>
      <c r="J954" s="4" t="s">
        <v>29</v>
      </c>
      <c r="K954" s="4" t="s">
        <v>63</v>
      </c>
      <c r="L954" s="4" t="s">
        <v>822</v>
      </c>
      <c r="M954" s="4" t="s">
        <v>65</v>
      </c>
      <c r="N954" s="4" t="s">
        <v>54</v>
      </c>
      <c r="O954" s="4" t="s">
        <v>34</v>
      </c>
      <c r="P954" s="4" t="s">
        <v>35</v>
      </c>
      <c r="Q954" s="4">
        <v>3</v>
      </c>
      <c r="R954" s="4">
        <v>44217</v>
      </c>
      <c r="S954" s="5">
        <v>15</v>
      </c>
      <c r="T954" s="6">
        <f t="shared" si="42"/>
        <v>112753.35</v>
      </c>
      <c r="U954" s="4">
        <v>10914.68</v>
      </c>
      <c r="V954" t="str">
        <f t="shared" si="43"/>
        <v>Aug</v>
      </c>
      <c r="W954">
        <f t="shared" si="44"/>
        <v>9.6801381067613504E-2</v>
      </c>
    </row>
    <row r="955" spans="1:23" x14ac:dyDescent="0.4">
      <c r="A955" s="4" t="s">
        <v>2832</v>
      </c>
      <c r="B955" s="4" t="s">
        <v>1193</v>
      </c>
      <c r="C955" s="11">
        <v>44624</v>
      </c>
      <c r="D955" s="4" t="s">
        <v>39</v>
      </c>
      <c r="E955" s="4" t="s">
        <v>24</v>
      </c>
      <c r="F955" s="4" t="s">
        <v>25</v>
      </c>
      <c r="G955" s="4" t="s">
        <v>92</v>
      </c>
      <c r="H955" s="4" t="s">
        <v>2833</v>
      </c>
      <c r="I955" s="4" t="s">
        <v>28</v>
      </c>
      <c r="J955" s="4" t="s">
        <v>62</v>
      </c>
      <c r="K955" s="4" t="s">
        <v>101</v>
      </c>
      <c r="L955" s="4" t="s">
        <v>812</v>
      </c>
      <c r="M955" s="4" t="s">
        <v>73</v>
      </c>
      <c r="N955" s="4" t="s">
        <v>54</v>
      </c>
      <c r="O955" s="4" t="s">
        <v>120</v>
      </c>
      <c r="P955" s="4" t="s">
        <v>47</v>
      </c>
      <c r="Q955" s="4">
        <v>1</v>
      </c>
      <c r="R955" s="4">
        <v>33160</v>
      </c>
      <c r="S955" s="5">
        <v>0</v>
      </c>
      <c r="T955" s="6">
        <f t="shared" si="42"/>
        <v>33160</v>
      </c>
      <c r="U955" s="4">
        <v>3729.13</v>
      </c>
      <c r="V955" t="str">
        <f t="shared" si="43"/>
        <v>Feb</v>
      </c>
      <c r="W955">
        <f t="shared" si="44"/>
        <v>0.11245868516284681</v>
      </c>
    </row>
    <row r="956" spans="1:23" x14ac:dyDescent="0.4">
      <c r="A956" s="4" t="s">
        <v>2834</v>
      </c>
      <c r="B956" s="4" t="s">
        <v>346</v>
      </c>
      <c r="C956" s="11">
        <v>44984</v>
      </c>
      <c r="D956" s="4" t="s">
        <v>98</v>
      </c>
      <c r="E956" s="4" t="s">
        <v>24</v>
      </c>
      <c r="F956" s="4" t="s">
        <v>26</v>
      </c>
      <c r="G956" s="4" t="s">
        <v>92</v>
      </c>
      <c r="H956" s="4" t="s">
        <v>2835</v>
      </c>
      <c r="I956" s="4" t="s">
        <v>61</v>
      </c>
      <c r="J956" s="4" t="s">
        <v>29</v>
      </c>
      <c r="K956" s="4" t="s">
        <v>63</v>
      </c>
      <c r="L956" s="4" t="s">
        <v>452</v>
      </c>
      <c r="M956" s="4" t="s">
        <v>53</v>
      </c>
      <c r="N956" s="4" t="s">
        <v>33</v>
      </c>
      <c r="O956" s="4" t="s">
        <v>82</v>
      </c>
      <c r="P956" s="4" t="s">
        <v>74</v>
      </c>
      <c r="Q956" s="4">
        <v>5</v>
      </c>
      <c r="R956" s="4">
        <v>49212</v>
      </c>
      <c r="S956" s="5">
        <v>0</v>
      </c>
      <c r="T956" s="6">
        <f t="shared" si="42"/>
        <v>246060</v>
      </c>
      <c r="U956" s="4">
        <v>52858.9</v>
      </c>
      <c r="V956" t="str">
        <f t="shared" si="43"/>
        <v>Feb</v>
      </c>
      <c r="W956">
        <f t="shared" si="44"/>
        <v>0.214821181825571</v>
      </c>
    </row>
    <row r="957" spans="1:23" x14ac:dyDescent="0.4">
      <c r="A957" s="4" t="s">
        <v>2836</v>
      </c>
      <c r="B957" s="4" t="s">
        <v>834</v>
      </c>
      <c r="C957" s="11">
        <v>45317</v>
      </c>
      <c r="D957" s="4" t="s">
        <v>98</v>
      </c>
      <c r="E957" s="4" t="s">
        <v>24</v>
      </c>
      <c r="F957" s="4" t="s">
        <v>58</v>
      </c>
      <c r="G957" s="4" t="s">
        <v>26</v>
      </c>
      <c r="H957" s="4" t="s">
        <v>2837</v>
      </c>
      <c r="I957" s="4" t="s">
        <v>28</v>
      </c>
      <c r="J957" s="4" t="s">
        <v>62</v>
      </c>
      <c r="K957" s="4" t="s">
        <v>44</v>
      </c>
      <c r="L957" s="4" t="s">
        <v>976</v>
      </c>
      <c r="M957" s="4" t="s">
        <v>65</v>
      </c>
      <c r="N957" s="4" t="s">
        <v>54</v>
      </c>
      <c r="O957" s="4" t="s">
        <v>34</v>
      </c>
      <c r="P957" s="4" t="s">
        <v>88</v>
      </c>
      <c r="Q957" s="4">
        <v>9</v>
      </c>
      <c r="R957" s="4">
        <v>18212</v>
      </c>
      <c r="S957" s="5">
        <v>0</v>
      </c>
      <c r="T957" s="6">
        <f t="shared" si="42"/>
        <v>163908</v>
      </c>
      <c r="U957" s="4">
        <v>32947.019999999997</v>
      </c>
      <c r="V957" t="str">
        <f t="shared" si="43"/>
        <v>Jan</v>
      </c>
      <c r="W957">
        <f t="shared" si="44"/>
        <v>0.20100922468701954</v>
      </c>
    </row>
    <row r="958" spans="1:23" x14ac:dyDescent="0.4">
      <c r="A958" s="4" t="s">
        <v>2838</v>
      </c>
      <c r="B958" s="4" t="s">
        <v>629</v>
      </c>
      <c r="C958" s="11">
        <v>45544</v>
      </c>
      <c r="D958" s="4" t="s">
        <v>124</v>
      </c>
      <c r="E958" s="4" t="s">
        <v>24</v>
      </c>
      <c r="F958" s="4" t="s">
        <v>25</v>
      </c>
      <c r="G958" s="4" t="s">
        <v>59</v>
      </c>
      <c r="H958" s="4" t="s">
        <v>2839</v>
      </c>
      <c r="I958" s="4" t="s">
        <v>28</v>
      </c>
      <c r="J958" s="4" t="s">
        <v>29</v>
      </c>
      <c r="K958" s="4" t="s">
        <v>153</v>
      </c>
      <c r="L958" s="4" t="s">
        <v>149</v>
      </c>
      <c r="M958" s="4" t="s">
        <v>81</v>
      </c>
      <c r="N958" s="4" t="s">
        <v>33</v>
      </c>
      <c r="O958" s="4" t="s">
        <v>34</v>
      </c>
      <c r="P958" s="4" t="s">
        <v>47</v>
      </c>
      <c r="Q958" s="4">
        <v>6</v>
      </c>
      <c r="R958" s="4">
        <v>6698</v>
      </c>
      <c r="S958" s="5">
        <v>15</v>
      </c>
      <c r="T958" s="6">
        <f t="shared" si="42"/>
        <v>34159.800000000003</v>
      </c>
      <c r="U958" s="4">
        <v>581.6</v>
      </c>
      <c r="V958" t="str">
        <f t="shared" si="43"/>
        <v>Sep</v>
      </c>
      <c r="W958">
        <f t="shared" si="44"/>
        <v>1.7025860807147582E-2</v>
      </c>
    </row>
    <row r="959" spans="1:23" x14ac:dyDescent="0.4">
      <c r="A959" s="4" t="s">
        <v>2840</v>
      </c>
      <c r="B959" s="4" t="s">
        <v>1174</v>
      </c>
      <c r="C959" s="11">
        <v>45409</v>
      </c>
      <c r="D959" s="4" t="s">
        <v>39</v>
      </c>
      <c r="E959" s="4" t="s">
        <v>24</v>
      </c>
      <c r="F959" s="4" t="s">
        <v>26</v>
      </c>
      <c r="G959" s="4" t="s">
        <v>41</v>
      </c>
      <c r="H959" s="4" t="s">
        <v>2841</v>
      </c>
      <c r="I959" s="4" t="s">
        <v>43</v>
      </c>
      <c r="J959" s="4" t="s">
        <v>29</v>
      </c>
      <c r="K959" s="4" t="s">
        <v>44</v>
      </c>
      <c r="L959" s="4" t="s">
        <v>949</v>
      </c>
      <c r="M959" s="4" t="s">
        <v>95</v>
      </c>
      <c r="N959" s="4" t="s">
        <v>54</v>
      </c>
      <c r="O959" s="4" t="s">
        <v>82</v>
      </c>
      <c r="P959" s="4" t="s">
        <v>35</v>
      </c>
      <c r="Q959" s="4">
        <v>10</v>
      </c>
      <c r="R959" s="4">
        <v>42129</v>
      </c>
      <c r="S959" s="5">
        <v>15</v>
      </c>
      <c r="T959" s="6">
        <f t="shared" si="42"/>
        <v>358096.5</v>
      </c>
      <c r="U959" s="4">
        <v>42620.639999999999</v>
      </c>
      <c r="V959" t="str">
        <f t="shared" si="43"/>
        <v>Apr</v>
      </c>
      <c r="W959">
        <f t="shared" si="44"/>
        <v>0.11901998483648961</v>
      </c>
    </row>
    <row r="960" spans="1:23" x14ac:dyDescent="0.4">
      <c r="A960" s="4" t="s">
        <v>2842</v>
      </c>
      <c r="B960" s="4" t="s">
        <v>1153</v>
      </c>
      <c r="C960" s="11">
        <v>44811</v>
      </c>
      <c r="D960" s="4" t="s">
        <v>98</v>
      </c>
      <c r="E960" s="4" t="s">
        <v>24</v>
      </c>
      <c r="F960" s="4" t="s">
        <v>58</v>
      </c>
      <c r="G960" s="4" t="s">
        <v>41</v>
      </c>
      <c r="H960" s="4" t="s">
        <v>2843</v>
      </c>
      <c r="I960" s="4" t="s">
        <v>61</v>
      </c>
      <c r="J960" s="4" t="s">
        <v>62</v>
      </c>
      <c r="K960" s="4" t="s">
        <v>86</v>
      </c>
      <c r="L960" s="4" t="s">
        <v>2470</v>
      </c>
      <c r="M960" s="4" t="s">
        <v>73</v>
      </c>
      <c r="N960" s="4" t="s">
        <v>33</v>
      </c>
      <c r="O960" s="4" t="s">
        <v>120</v>
      </c>
      <c r="P960" s="4" t="s">
        <v>74</v>
      </c>
      <c r="Q960" s="4">
        <v>7</v>
      </c>
      <c r="R960" s="4">
        <v>31150</v>
      </c>
      <c r="S960" s="5">
        <v>20</v>
      </c>
      <c r="T960" s="6">
        <f t="shared" si="42"/>
        <v>174440</v>
      </c>
      <c r="U960" s="4">
        <v>2520.2199999999998</v>
      </c>
      <c r="V960" t="str">
        <f t="shared" si="43"/>
        <v>Aug</v>
      </c>
      <c r="W960">
        <f t="shared" si="44"/>
        <v>1.444748910800275E-2</v>
      </c>
    </row>
    <row r="961" spans="1:23" x14ac:dyDescent="0.4">
      <c r="A961" s="4" t="s">
        <v>2844</v>
      </c>
      <c r="B961" s="4" t="s">
        <v>2845</v>
      </c>
      <c r="C961" s="11">
        <v>45444</v>
      </c>
      <c r="D961" s="4" t="s">
        <v>23</v>
      </c>
      <c r="E961" s="4" t="s">
        <v>24</v>
      </c>
      <c r="F961" s="4" t="s">
        <v>70</v>
      </c>
      <c r="G961" s="4" t="s">
        <v>26</v>
      </c>
      <c r="H961" s="4" t="s">
        <v>2846</v>
      </c>
      <c r="I961" s="4" t="s">
        <v>28</v>
      </c>
      <c r="J961" s="4" t="s">
        <v>62</v>
      </c>
      <c r="K961" s="4" t="s">
        <v>63</v>
      </c>
      <c r="L961" s="4" t="s">
        <v>144</v>
      </c>
      <c r="M961" s="4" t="s">
        <v>53</v>
      </c>
      <c r="N961" s="4" t="s">
        <v>33</v>
      </c>
      <c r="O961" s="4" t="s">
        <v>34</v>
      </c>
      <c r="P961" s="4" t="s">
        <v>35</v>
      </c>
      <c r="Q961" s="4">
        <v>6</v>
      </c>
      <c r="R961" s="4">
        <v>31781</v>
      </c>
      <c r="S961" s="5">
        <v>20</v>
      </c>
      <c r="T961" s="6">
        <f t="shared" si="42"/>
        <v>152548.79999999999</v>
      </c>
      <c r="U961" s="4">
        <v>-26593.03</v>
      </c>
      <c r="V961" t="str">
        <f t="shared" si="43"/>
        <v>May</v>
      </c>
      <c r="W961">
        <f t="shared" si="44"/>
        <v>-0.17432474067314854</v>
      </c>
    </row>
    <row r="962" spans="1:23" x14ac:dyDescent="0.4">
      <c r="A962" s="4" t="s">
        <v>2847</v>
      </c>
      <c r="B962" s="4" t="s">
        <v>2032</v>
      </c>
      <c r="C962" s="11">
        <v>44743</v>
      </c>
      <c r="D962" s="4" t="s">
        <v>98</v>
      </c>
      <c r="E962" s="4" t="s">
        <v>24</v>
      </c>
      <c r="F962" s="4" t="s">
        <v>40</v>
      </c>
      <c r="G962" s="4" t="s">
        <v>26</v>
      </c>
      <c r="H962" s="4" t="s">
        <v>2848</v>
      </c>
      <c r="I962" s="4" t="s">
        <v>61</v>
      </c>
      <c r="J962" s="4" t="s">
        <v>79</v>
      </c>
      <c r="K962" s="4" t="s">
        <v>101</v>
      </c>
      <c r="L962" s="4" t="s">
        <v>544</v>
      </c>
      <c r="M962" s="4" t="s">
        <v>95</v>
      </c>
      <c r="N962" s="4" t="s">
        <v>33</v>
      </c>
      <c r="O962" s="4" t="s">
        <v>46</v>
      </c>
      <c r="P962" s="4" t="s">
        <v>35</v>
      </c>
      <c r="Q962" s="4">
        <v>4</v>
      </c>
      <c r="R962" s="4">
        <v>16282</v>
      </c>
      <c r="S962" s="5">
        <v>20</v>
      </c>
      <c r="T962" s="6">
        <f t="shared" si="42"/>
        <v>52102.400000000001</v>
      </c>
      <c r="U962" s="4">
        <v>2998.78</v>
      </c>
      <c r="V962" t="str">
        <f t="shared" si="43"/>
        <v>Jun</v>
      </c>
      <c r="W962">
        <f t="shared" si="44"/>
        <v>5.7555506080334114E-2</v>
      </c>
    </row>
    <row r="963" spans="1:23" x14ac:dyDescent="0.4">
      <c r="A963" s="4" t="s">
        <v>2849</v>
      </c>
      <c r="B963" s="4" t="s">
        <v>513</v>
      </c>
      <c r="C963" s="11">
        <v>44812</v>
      </c>
      <c r="D963" s="4" t="s">
        <v>124</v>
      </c>
      <c r="E963" s="4" t="s">
        <v>24</v>
      </c>
      <c r="F963" s="4" t="s">
        <v>40</v>
      </c>
      <c r="G963" s="4" t="s">
        <v>59</v>
      </c>
      <c r="H963" s="4" t="s">
        <v>2850</v>
      </c>
      <c r="I963" s="4" t="s">
        <v>28</v>
      </c>
      <c r="J963" s="4" t="s">
        <v>79</v>
      </c>
      <c r="K963" s="4" t="s">
        <v>101</v>
      </c>
      <c r="L963" s="4" t="s">
        <v>102</v>
      </c>
      <c r="M963" s="4" t="s">
        <v>53</v>
      </c>
      <c r="N963" s="4" t="s">
        <v>54</v>
      </c>
      <c r="O963" s="4" t="s">
        <v>120</v>
      </c>
      <c r="P963" s="4" t="s">
        <v>35</v>
      </c>
      <c r="Q963" s="4">
        <v>10</v>
      </c>
      <c r="R963" s="4">
        <v>19621</v>
      </c>
      <c r="S963" s="5">
        <v>10</v>
      </c>
      <c r="T963" s="6">
        <f t="shared" ref="T963:T1026" si="45">Q963*R963*(100-S963)/100</f>
        <v>176589</v>
      </c>
      <c r="U963" s="4">
        <v>29930.02</v>
      </c>
      <c r="V963" t="str">
        <f t="shared" ref="V963:V1026" si="46">TEXT(B963,"MMM")</f>
        <v>Sep</v>
      </c>
      <c r="W963">
        <f t="shared" ref="W963:W1026" si="47">U963/T963</f>
        <v>0.16948971906517393</v>
      </c>
    </row>
    <row r="964" spans="1:23" x14ac:dyDescent="0.4">
      <c r="A964" s="4" t="s">
        <v>2851</v>
      </c>
      <c r="B964" s="4" t="s">
        <v>1422</v>
      </c>
      <c r="C964" s="11">
        <v>45527</v>
      </c>
      <c r="D964" s="4" t="s">
        <v>98</v>
      </c>
      <c r="E964" s="4" t="s">
        <v>24</v>
      </c>
      <c r="F964" s="4" t="s">
        <v>26</v>
      </c>
      <c r="G964" s="4" t="s">
        <v>59</v>
      </c>
      <c r="H964" s="4" t="s">
        <v>2852</v>
      </c>
      <c r="I964" s="4" t="s">
        <v>61</v>
      </c>
      <c r="J964" s="4" t="s">
        <v>79</v>
      </c>
      <c r="K964" s="4" t="s">
        <v>86</v>
      </c>
      <c r="L964" s="4" t="s">
        <v>154</v>
      </c>
      <c r="M964" s="4" t="s">
        <v>53</v>
      </c>
      <c r="N964" s="4" t="s">
        <v>54</v>
      </c>
      <c r="O964" s="4" t="s">
        <v>34</v>
      </c>
      <c r="P964" s="4" t="s">
        <v>35</v>
      </c>
      <c r="Q964" s="4">
        <v>3</v>
      </c>
      <c r="R964" s="4">
        <v>18731</v>
      </c>
      <c r="S964" s="5">
        <v>0</v>
      </c>
      <c r="T964" s="6">
        <f t="shared" si="45"/>
        <v>56193</v>
      </c>
      <c r="U964" s="4">
        <v>10521.23</v>
      </c>
      <c r="V964" t="str">
        <f t="shared" si="46"/>
        <v>Aug</v>
      </c>
      <c r="W964">
        <f t="shared" si="47"/>
        <v>0.18723381915896997</v>
      </c>
    </row>
    <row r="965" spans="1:23" x14ac:dyDescent="0.4">
      <c r="A965" s="4" t="s">
        <v>2853</v>
      </c>
      <c r="B965" s="4" t="s">
        <v>146</v>
      </c>
      <c r="C965" s="11">
        <v>44691</v>
      </c>
      <c r="D965" s="4" t="s">
        <v>124</v>
      </c>
      <c r="E965" s="4" t="s">
        <v>24</v>
      </c>
      <c r="F965" s="4" t="s">
        <v>26</v>
      </c>
      <c r="G965" s="4" t="s">
        <v>92</v>
      </c>
      <c r="H965" s="4" t="s">
        <v>1199</v>
      </c>
      <c r="I965" s="4" t="s">
        <v>61</v>
      </c>
      <c r="J965" s="4" t="s">
        <v>29</v>
      </c>
      <c r="K965" s="4" t="s">
        <v>153</v>
      </c>
      <c r="L965" s="4" t="s">
        <v>597</v>
      </c>
      <c r="M965" s="4" t="s">
        <v>95</v>
      </c>
      <c r="N965" s="4" t="s">
        <v>54</v>
      </c>
      <c r="O965" s="4" t="s">
        <v>34</v>
      </c>
      <c r="P965" s="4" t="s">
        <v>35</v>
      </c>
      <c r="Q965" s="4">
        <v>6</v>
      </c>
      <c r="R965" s="4">
        <v>26531</v>
      </c>
      <c r="S965" s="5">
        <v>0</v>
      </c>
      <c r="T965" s="6">
        <f t="shared" si="45"/>
        <v>159186</v>
      </c>
      <c r="U965" s="4">
        <v>31687.56</v>
      </c>
      <c r="V965" t="str">
        <f t="shared" si="46"/>
        <v>May</v>
      </c>
      <c r="W965">
        <f t="shared" si="47"/>
        <v>0.19905996758508915</v>
      </c>
    </row>
    <row r="966" spans="1:23" x14ac:dyDescent="0.4">
      <c r="A966" s="4" t="s">
        <v>2854</v>
      </c>
      <c r="B966" s="4" t="s">
        <v>1641</v>
      </c>
      <c r="C966" s="11">
        <v>44906</v>
      </c>
      <c r="D966" s="4" t="s">
        <v>98</v>
      </c>
      <c r="E966" s="4" t="s">
        <v>24</v>
      </c>
      <c r="F966" s="4" t="s">
        <v>70</v>
      </c>
      <c r="G966" s="4" t="s">
        <v>59</v>
      </c>
      <c r="H966" s="4" t="s">
        <v>2855</v>
      </c>
      <c r="I966" s="4" t="s">
        <v>43</v>
      </c>
      <c r="J966" s="4" t="s">
        <v>62</v>
      </c>
      <c r="K966" s="4" t="s">
        <v>63</v>
      </c>
      <c r="L966" s="4" t="s">
        <v>2203</v>
      </c>
      <c r="M966" s="4" t="s">
        <v>65</v>
      </c>
      <c r="N966" s="4" t="s">
        <v>33</v>
      </c>
      <c r="O966" s="4" t="s">
        <v>34</v>
      </c>
      <c r="P966" s="4" t="s">
        <v>35</v>
      </c>
      <c r="Q966" s="4">
        <v>9</v>
      </c>
      <c r="R966" s="4">
        <v>17216</v>
      </c>
      <c r="S966" s="5">
        <v>10</v>
      </c>
      <c r="T966" s="6">
        <f t="shared" si="45"/>
        <v>139449.60000000001</v>
      </c>
      <c r="U966" s="4">
        <v>5640.81</v>
      </c>
      <c r="V966" t="str">
        <f t="shared" si="46"/>
        <v>Dec</v>
      </c>
      <c r="W966">
        <f t="shared" si="47"/>
        <v>4.0450528362935424E-2</v>
      </c>
    </row>
    <row r="967" spans="1:23" x14ac:dyDescent="0.4">
      <c r="A967" s="4" t="s">
        <v>2856</v>
      </c>
      <c r="B967" s="4" t="s">
        <v>1558</v>
      </c>
      <c r="C967" s="11">
        <v>45368</v>
      </c>
      <c r="D967" s="4" t="s">
        <v>124</v>
      </c>
      <c r="E967" s="4" t="s">
        <v>24</v>
      </c>
      <c r="F967" s="4" t="s">
        <v>70</v>
      </c>
      <c r="G967" s="4" t="s">
        <v>59</v>
      </c>
      <c r="H967" s="4" t="s">
        <v>2857</v>
      </c>
      <c r="I967" s="4" t="s">
        <v>61</v>
      </c>
      <c r="J967" s="4" t="s">
        <v>79</v>
      </c>
      <c r="K967" s="4" t="s">
        <v>63</v>
      </c>
      <c r="L967" s="4" t="s">
        <v>2084</v>
      </c>
      <c r="M967" s="4" t="s">
        <v>81</v>
      </c>
      <c r="N967" s="4" t="s">
        <v>33</v>
      </c>
      <c r="O967" s="4" t="s">
        <v>120</v>
      </c>
      <c r="P967" s="4" t="s">
        <v>47</v>
      </c>
      <c r="Q967" s="4">
        <v>1</v>
      </c>
      <c r="R967" s="4">
        <v>1661</v>
      </c>
      <c r="S967" s="5">
        <v>10</v>
      </c>
      <c r="T967" s="6">
        <f t="shared" si="45"/>
        <v>1494.9</v>
      </c>
      <c r="U967" s="4">
        <v>-57.31</v>
      </c>
      <c r="V967" t="str">
        <f t="shared" si="46"/>
        <v>Mar</v>
      </c>
      <c r="W967">
        <f t="shared" si="47"/>
        <v>-3.8337012509197937E-2</v>
      </c>
    </row>
    <row r="968" spans="1:23" x14ac:dyDescent="0.4">
      <c r="A968" s="4" t="s">
        <v>2858</v>
      </c>
      <c r="B968" s="4" t="s">
        <v>517</v>
      </c>
      <c r="C968" s="11">
        <v>45001</v>
      </c>
      <c r="D968" s="4" t="s">
        <v>124</v>
      </c>
      <c r="E968" s="4" t="s">
        <v>24</v>
      </c>
      <c r="F968" s="4" t="s">
        <v>58</v>
      </c>
      <c r="G968" s="4" t="s">
        <v>99</v>
      </c>
      <c r="H968" s="4" t="s">
        <v>2859</v>
      </c>
      <c r="I968" s="4" t="s">
        <v>61</v>
      </c>
      <c r="J968" s="4" t="s">
        <v>29</v>
      </c>
      <c r="K968" s="4" t="s">
        <v>86</v>
      </c>
      <c r="L968" s="4" t="s">
        <v>718</v>
      </c>
      <c r="M968" s="4" t="s">
        <v>65</v>
      </c>
      <c r="N968" s="4" t="s">
        <v>54</v>
      </c>
      <c r="O968" s="4" t="s">
        <v>34</v>
      </c>
      <c r="P968" s="4" t="s">
        <v>74</v>
      </c>
      <c r="Q968" s="4">
        <v>10</v>
      </c>
      <c r="R968" s="4">
        <v>22861</v>
      </c>
      <c r="S968" s="5">
        <v>0</v>
      </c>
      <c r="T968" s="6">
        <f t="shared" si="45"/>
        <v>228610</v>
      </c>
      <c r="U968" s="4">
        <v>45761.41</v>
      </c>
      <c r="V968" t="str">
        <f t="shared" si="46"/>
        <v>Mar</v>
      </c>
      <c r="W968">
        <f t="shared" si="47"/>
        <v>0.20017238965924503</v>
      </c>
    </row>
    <row r="969" spans="1:23" x14ac:dyDescent="0.4">
      <c r="A969" s="4" t="s">
        <v>2860</v>
      </c>
      <c r="B969" s="4" t="s">
        <v>249</v>
      </c>
      <c r="C969" s="11">
        <v>45422</v>
      </c>
      <c r="D969" s="4" t="s">
        <v>124</v>
      </c>
      <c r="E969" s="4" t="s">
        <v>24</v>
      </c>
      <c r="F969" s="4" t="s">
        <v>25</v>
      </c>
      <c r="G969" s="4" t="s">
        <v>59</v>
      </c>
      <c r="H969" s="4" t="s">
        <v>2861</v>
      </c>
      <c r="I969" s="4" t="s">
        <v>61</v>
      </c>
      <c r="J969" s="4" t="s">
        <v>29</v>
      </c>
      <c r="K969" s="4" t="s">
        <v>153</v>
      </c>
      <c r="L969" s="4" t="s">
        <v>432</v>
      </c>
      <c r="M969" s="4" t="s">
        <v>32</v>
      </c>
      <c r="N969" s="4" t="s">
        <v>33</v>
      </c>
      <c r="O969" s="4" t="s">
        <v>82</v>
      </c>
      <c r="P969" s="4" t="s">
        <v>74</v>
      </c>
      <c r="Q969" s="4">
        <v>1</v>
      </c>
      <c r="R969" s="4">
        <v>33656</v>
      </c>
      <c r="S969" s="5">
        <v>10</v>
      </c>
      <c r="T969" s="6">
        <f t="shared" si="45"/>
        <v>30290.400000000001</v>
      </c>
      <c r="U969" s="4">
        <v>4737.78</v>
      </c>
      <c r="V969" t="str">
        <f t="shared" si="46"/>
        <v>May</v>
      </c>
      <c r="W969">
        <f t="shared" si="47"/>
        <v>0.15641193249346325</v>
      </c>
    </row>
    <row r="970" spans="1:23" x14ac:dyDescent="0.4">
      <c r="A970" s="4" t="s">
        <v>2862</v>
      </c>
      <c r="B970" s="4" t="s">
        <v>151</v>
      </c>
      <c r="C970" s="11">
        <v>45196</v>
      </c>
      <c r="D970" s="4" t="s">
        <v>124</v>
      </c>
      <c r="E970" s="4" t="s">
        <v>24</v>
      </c>
      <c r="F970" s="4" t="s">
        <v>40</v>
      </c>
      <c r="G970" s="4" t="s">
        <v>92</v>
      </c>
      <c r="H970" s="4" t="s">
        <v>2863</v>
      </c>
      <c r="I970" s="4" t="s">
        <v>61</v>
      </c>
      <c r="J970" s="4" t="s">
        <v>79</v>
      </c>
      <c r="K970" s="4" t="s">
        <v>44</v>
      </c>
      <c r="L970" s="4" t="s">
        <v>1457</v>
      </c>
      <c r="M970" s="4" t="s">
        <v>65</v>
      </c>
      <c r="N970" s="4" t="s">
        <v>54</v>
      </c>
      <c r="O970" s="4" t="s">
        <v>120</v>
      </c>
      <c r="P970" s="4" t="s">
        <v>35</v>
      </c>
      <c r="Q970" s="4">
        <v>3</v>
      </c>
      <c r="R970" s="4">
        <v>37201</v>
      </c>
      <c r="S970" s="5">
        <v>20</v>
      </c>
      <c r="T970" s="6">
        <f t="shared" si="45"/>
        <v>89282.4</v>
      </c>
      <c r="U970" s="4">
        <v>-1333.48</v>
      </c>
      <c r="V970" t="str">
        <f t="shared" si="46"/>
        <v>Sep</v>
      </c>
      <c r="W970">
        <f t="shared" si="47"/>
        <v>-1.4935530406888706E-2</v>
      </c>
    </row>
    <row r="971" spans="1:23" x14ac:dyDescent="0.4">
      <c r="A971" s="4" t="s">
        <v>2864</v>
      </c>
      <c r="B971" s="4" t="s">
        <v>1895</v>
      </c>
      <c r="C971" s="11">
        <v>45468</v>
      </c>
      <c r="D971" s="4" t="s">
        <v>124</v>
      </c>
      <c r="E971" s="4" t="s">
        <v>24</v>
      </c>
      <c r="F971" s="4" t="s">
        <v>40</v>
      </c>
      <c r="G971" s="4" t="s">
        <v>99</v>
      </c>
      <c r="H971" s="4" t="s">
        <v>2865</v>
      </c>
      <c r="I971" s="4" t="s">
        <v>61</v>
      </c>
      <c r="J971" s="4" t="s">
        <v>62</v>
      </c>
      <c r="K971" s="4" t="s">
        <v>44</v>
      </c>
      <c r="L971" s="4" t="s">
        <v>476</v>
      </c>
      <c r="M971" s="4" t="s">
        <v>73</v>
      </c>
      <c r="N971" s="4" t="s">
        <v>33</v>
      </c>
      <c r="O971" s="4" t="s">
        <v>120</v>
      </c>
      <c r="P971" s="4" t="s">
        <v>74</v>
      </c>
      <c r="Q971" s="4">
        <v>4</v>
      </c>
      <c r="R971" s="4">
        <v>43165</v>
      </c>
      <c r="S971" s="5">
        <v>20</v>
      </c>
      <c r="T971" s="6">
        <f t="shared" si="45"/>
        <v>138128</v>
      </c>
      <c r="U971" s="4">
        <v>-25213.65</v>
      </c>
      <c r="V971" t="str">
        <f t="shared" si="46"/>
        <v>Jun</v>
      </c>
      <c r="W971">
        <f t="shared" si="47"/>
        <v>-0.18253829781072628</v>
      </c>
    </row>
    <row r="972" spans="1:23" x14ac:dyDescent="0.4">
      <c r="A972" s="4" t="s">
        <v>2866</v>
      </c>
      <c r="B972" s="4" t="s">
        <v>1096</v>
      </c>
      <c r="C972" s="11">
        <v>45124</v>
      </c>
      <c r="D972" s="4" t="s">
        <v>39</v>
      </c>
      <c r="E972" s="4" t="s">
        <v>24</v>
      </c>
      <c r="F972" s="4" t="s">
        <v>40</v>
      </c>
      <c r="G972" s="4" t="s">
        <v>26</v>
      </c>
      <c r="H972" s="4" t="s">
        <v>2867</v>
      </c>
      <c r="I972" s="4" t="s">
        <v>28</v>
      </c>
      <c r="J972" s="4" t="s">
        <v>79</v>
      </c>
      <c r="K972" s="4" t="s">
        <v>44</v>
      </c>
      <c r="L972" s="4" t="s">
        <v>72</v>
      </c>
      <c r="M972" s="4" t="s">
        <v>32</v>
      </c>
      <c r="N972" s="4" t="s">
        <v>33</v>
      </c>
      <c r="O972" s="4" t="s">
        <v>46</v>
      </c>
      <c r="P972" s="4" t="s">
        <v>35</v>
      </c>
      <c r="Q972" s="4">
        <v>8</v>
      </c>
      <c r="R972" s="4">
        <v>34064</v>
      </c>
      <c r="S972" s="5">
        <v>5</v>
      </c>
      <c r="T972" s="6">
        <f t="shared" si="45"/>
        <v>258886.39999999999</v>
      </c>
      <c r="U972" s="4">
        <v>21463.9</v>
      </c>
      <c r="V972" t="str">
        <f t="shared" si="46"/>
        <v>Jul</v>
      </c>
      <c r="W972">
        <f t="shared" si="47"/>
        <v>8.2908565301228657E-2</v>
      </c>
    </row>
    <row r="973" spans="1:23" x14ac:dyDescent="0.4">
      <c r="A973" s="4" t="s">
        <v>2868</v>
      </c>
      <c r="B973" s="4" t="s">
        <v>128</v>
      </c>
      <c r="C973" s="11">
        <v>44641</v>
      </c>
      <c r="D973" s="4" t="s">
        <v>39</v>
      </c>
      <c r="E973" s="4" t="s">
        <v>24</v>
      </c>
      <c r="F973" s="4" t="s">
        <v>25</v>
      </c>
      <c r="G973" s="4" t="s">
        <v>41</v>
      </c>
      <c r="H973" s="4" t="s">
        <v>2869</v>
      </c>
      <c r="I973" s="4" t="s">
        <v>61</v>
      </c>
      <c r="J973" s="4" t="s">
        <v>29</v>
      </c>
      <c r="K973" s="4" t="s">
        <v>44</v>
      </c>
      <c r="L973" s="4" t="s">
        <v>126</v>
      </c>
      <c r="M973" s="4" t="s">
        <v>73</v>
      </c>
      <c r="N973" s="4" t="s">
        <v>54</v>
      </c>
      <c r="O973" s="4" t="s">
        <v>82</v>
      </c>
      <c r="P973" s="4" t="s">
        <v>47</v>
      </c>
      <c r="Q973" s="4">
        <v>10</v>
      </c>
      <c r="R973" s="4">
        <v>18603</v>
      </c>
      <c r="S973" s="5">
        <v>10</v>
      </c>
      <c r="T973" s="6">
        <f t="shared" si="45"/>
        <v>167427</v>
      </c>
      <c r="U973" s="4">
        <v>17841.23</v>
      </c>
      <c r="V973" t="str">
        <f t="shared" si="46"/>
        <v>Mar</v>
      </c>
      <c r="W973">
        <f t="shared" si="47"/>
        <v>0.10656124758850126</v>
      </c>
    </row>
    <row r="974" spans="1:23" x14ac:dyDescent="0.4">
      <c r="A974" s="4" t="s">
        <v>2870</v>
      </c>
      <c r="B974" s="4" t="s">
        <v>554</v>
      </c>
      <c r="C974" s="11">
        <v>45487</v>
      </c>
      <c r="D974" s="4" t="s">
        <v>23</v>
      </c>
      <c r="E974" s="4" t="s">
        <v>24</v>
      </c>
      <c r="F974" s="4" t="s">
        <v>25</v>
      </c>
      <c r="G974" s="4" t="s">
        <v>59</v>
      </c>
      <c r="H974" s="4" t="s">
        <v>2871</v>
      </c>
      <c r="I974" s="4" t="s">
        <v>28</v>
      </c>
      <c r="J974" s="4" t="s">
        <v>62</v>
      </c>
      <c r="K974" s="4" t="s">
        <v>153</v>
      </c>
      <c r="L974" s="4" t="s">
        <v>764</v>
      </c>
      <c r="M974" s="4" t="s">
        <v>32</v>
      </c>
      <c r="N974" s="4" t="s">
        <v>54</v>
      </c>
      <c r="O974" s="4" t="s">
        <v>82</v>
      </c>
      <c r="P974" s="4" t="s">
        <v>47</v>
      </c>
      <c r="Q974" s="4">
        <v>8</v>
      </c>
      <c r="R974" s="4">
        <v>36498</v>
      </c>
      <c r="S974" s="5">
        <v>10</v>
      </c>
      <c r="T974" s="6">
        <f t="shared" si="45"/>
        <v>262785.59999999998</v>
      </c>
      <c r="U974" s="4">
        <v>25270.46</v>
      </c>
      <c r="V974" t="str">
        <f t="shared" si="46"/>
        <v>Jul</v>
      </c>
      <c r="W974">
        <f t="shared" si="47"/>
        <v>9.6163792841008039E-2</v>
      </c>
    </row>
    <row r="975" spans="1:23" x14ac:dyDescent="0.4">
      <c r="A975" s="4" t="s">
        <v>2872</v>
      </c>
      <c r="B975" s="4" t="s">
        <v>2195</v>
      </c>
      <c r="C975" s="11">
        <v>45563</v>
      </c>
      <c r="D975" s="4" t="s">
        <v>23</v>
      </c>
      <c r="E975" s="4" t="s">
        <v>24</v>
      </c>
      <c r="F975" s="4" t="s">
        <v>26</v>
      </c>
      <c r="G975" s="4" t="s">
        <v>41</v>
      </c>
      <c r="H975" s="4" t="s">
        <v>2873</v>
      </c>
      <c r="I975" s="4" t="s">
        <v>28</v>
      </c>
      <c r="J975" s="4" t="s">
        <v>29</v>
      </c>
      <c r="K975" s="4" t="s">
        <v>30</v>
      </c>
      <c r="L975" s="4" t="s">
        <v>500</v>
      </c>
      <c r="M975" s="4" t="s">
        <v>81</v>
      </c>
      <c r="N975" s="4" t="s">
        <v>33</v>
      </c>
      <c r="O975" s="4" t="s">
        <v>66</v>
      </c>
      <c r="P975" s="4" t="s">
        <v>47</v>
      </c>
      <c r="Q975" s="4">
        <v>9</v>
      </c>
      <c r="R975" s="4">
        <v>11853</v>
      </c>
      <c r="S975" s="5">
        <v>0</v>
      </c>
      <c r="T975" s="6">
        <f t="shared" si="45"/>
        <v>106677</v>
      </c>
      <c r="U975" s="4">
        <v>16721.68</v>
      </c>
      <c r="V975" t="str">
        <f t="shared" si="46"/>
        <v>Sep</v>
      </c>
      <c r="W975">
        <f t="shared" si="47"/>
        <v>0.15675056478903607</v>
      </c>
    </row>
    <row r="976" spans="1:23" x14ac:dyDescent="0.4">
      <c r="A976" s="4" t="s">
        <v>2874</v>
      </c>
      <c r="B976" s="4" t="s">
        <v>766</v>
      </c>
      <c r="C976" s="11">
        <v>45092</v>
      </c>
      <c r="D976" s="4" t="s">
        <v>23</v>
      </c>
      <c r="E976" s="4" t="s">
        <v>24</v>
      </c>
      <c r="F976" s="4" t="s">
        <v>70</v>
      </c>
      <c r="G976" s="4" t="s">
        <v>59</v>
      </c>
      <c r="H976" s="4" t="s">
        <v>2875</v>
      </c>
      <c r="I976" s="4" t="s">
        <v>28</v>
      </c>
      <c r="J976" s="4" t="s">
        <v>62</v>
      </c>
      <c r="K976" s="4" t="s">
        <v>63</v>
      </c>
      <c r="L976" s="4" t="s">
        <v>511</v>
      </c>
      <c r="M976" s="4" t="s">
        <v>32</v>
      </c>
      <c r="N976" s="4" t="s">
        <v>33</v>
      </c>
      <c r="O976" s="4" t="s">
        <v>46</v>
      </c>
      <c r="P976" s="4" t="s">
        <v>74</v>
      </c>
      <c r="Q976" s="4">
        <v>3</v>
      </c>
      <c r="R976" s="4">
        <v>46767</v>
      </c>
      <c r="S976" s="5">
        <v>0</v>
      </c>
      <c r="T976" s="6">
        <f t="shared" si="45"/>
        <v>140301</v>
      </c>
      <c r="U976" s="4">
        <v>13642.01</v>
      </c>
      <c r="V976" t="str">
        <f t="shared" si="46"/>
        <v>Jun</v>
      </c>
      <c r="W976">
        <f t="shared" si="47"/>
        <v>9.7233875738590603E-2</v>
      </c>
    </row>
    <row r="977" spans="1:23" x14ac:dyDescent="0.4">
      <c r="A977" s="4" t="s">
        <v>2876</v>
      </c>
      <c r="B977" s="4" t="s">
        <v>2877</v>
      </c>
      <c r="C977" s="11">
        <v>44800</v>
      </c>
      <c r="D977" s="4" t="s">
        <v>98</v>
      </c>
      <c r="E977" s="4" t="s">
        <v>24</v>
      </c>
      <c r="F977" s="4" t="s">
        <v>58</v>
      </c>
      <c r="G977" s="4" t="s">
        <v>26</v>
      </c>
      <c r="H977" s="4" t="s">
        <v>2878</v>
      </c>
      <c r="I977" s="4" t="s">
        <v>61</v>
      </c>
      <c r="J977" s="4" t="s">
        <v>29</v>
      </c>
      <c r="K977" s="4" t="s">
        <v>63</v>
      </c>
      <c r="L977" s="4" t="s">
        <v>377</v>
      </c>
      <c r="M977" s="4" t="s">
        <v>81</v>
      </c>
      <c r="N977" s="4" t="s">
        <v>54</v>
      </c>
      <c r="O977" s="4" t="s">
        <v>66</v>
      </c>
      <c r="P977" s="4" t="s">
        <v>74</v>
      </c>
      <c r="Q977" s="4">
        <v>9</v>
      </c>
      <c r="R977" s="4">
        <v>11140</v>
      </c>
      <c r="S977" s="5">
        <v>15</v>
      </c>
      <c r="T977" s="6">
        <f t="shared" si="45"/>
        <v>85221</v>
      </c>
      <c r="U977" s="4">
        <v>9645.19</v>
      </c>
      <c r="V977" t="str">
        <f t="shared" si="46"/>
        <v>Aug</v>
      </c>
      <c r="W977">
        <f t="shared" si="47"/>
        <v>0.11317855927529601</v>
      </c>
    </row>
    <row r="978" spans="1:23" x14ac:dyDescent="0.4">
      <c r="A978" s="4" t="s">
        <v>2879</v>
      </c>
      <c r="B978" s="4" t="s">
        <v>1751</v>
      </c>
      <c r="C978" s="11">
        <v>45241</v>
      </c>
      <c r="D978" s="4" t="s">
        <v>98</v>
      </c>
      <c r="E978" s="4" t="s">
        <v>24</v>
      </c>
      <c r="F978" s="4" t="s">
        <v>26</v>
      </c>
      <c r="G978" s="4" t="s">
        <v>59</v>
      </c>
      <c r="H978" s="4" t="s">
        <v>2881</v>
      </c>
      <c r="I978" s="4" t="s">
        <v>28</v>
      </c>
      <c r="J978" s="4" t="s">
        <v>29</v>
      </c>
      <c r="K978" s="4" t="s">
        <v>86</v>
      </c>
      <c r="L978" s="4" t="s">
        <v>2470</v>
      </c>
      <c r="M978" s="4" t="s">
        <v>32</v>
      </c>
      <c r="N978" s="4" t="s">
        <v>33</v>
      </c>
      <c r="O978" s="4" t="s">
        <v>34</v>
      </c>
      <c r="P978" s="4" t="s">
        <v>47</v>
      </c>
      <c r="Q978" s="4">
        <v>1</v>
      </c>
      <c r="R978" s="4">
        <v>45603</v>
      </c>
      <c r="S978" s="5">
        <v>20</v>
      </c>
      <c r="T978" s="6">
        <f t="shared" si="45"/>
        <v>36482.400000000001</v>
      </c>
      <c r="U978" s="4">
        <v>-4944.74</v>
      </c>
      <c r="V978" t="str">
        <f t="shared" si="46"/>
        <v>Nov</v>
      </c>
      <c r="W978">
        <f t="shared" si="47"/>
        <v>-0.13553768392430321</v>
      </c>
    </row>
    <row r="979" spans="1:23" x14ac:dyDescent="0.4">
      <c r="A979" s="4" t="s">
        <v>2882</v>
      </c>
      <c r="B979" s="4" t="s">
        <v>651</v>
      </c>
      <c r="C979" s="11">
        <v>45062</v>
      </c>
      <c r="D979" s="4" t="s">
        <v>23</v>
      </c>
      <c r="E979" s="4" t="s">
        <v>24</v>
      </c>
      <c r="F979" s="4" t="s">
        <v>70</v>
      </c>
      <c r="G979" s="4" t="s">
        <v>41</v>
      </c>
      <c r="H979" s="4" t="s">
        <v>2343</v>
      </c>
      <c r="I979" s="4" t="s">
        <v>61</v>
      </c>
      <c r="J979" s="4" t="s">
        <v>79</v>
      </c>
      <c r="K979" s="4" t="s">
        <v>153</v>
      </c>
      <c r="L979" s="4" t="s">
        <v>223</v>
      </c>
      <c r="M979" s="4" t="s">
        <v>73</v>
      </c>
      <c r="N979" s="4" t="s">
        <v>54</v>
      </c>
      <c r="O979" s="4" t="s">
        <v>46</v>
      </c>
      <c r="P979" s="4" t="s">
        <v>47</v>
      </c>
      <c r="Q979" s="4">
        <v>6</v>
      </c>
      <c r="R979" s="4">
        <v>38235</v>
      </c>
      <c r="S979" s="5">
        <v>0</v>
      </c>
      <c r="T979" s="6">
        <f t="shared" si="45"/>
        <v>229410</v>
      </c>
      <c r="U979" s="4">
        <v>24151.279999999999</v>
      </c>
      <c r="V979" t="str">
        <f t="shared" si="46"/>
        <v>May</v>
      </c>
      <c r="W979">
        <f t="shared" si="47"/>
        <v>0.10527562006887232</v>
      </c>
    </row>
    <row r="980" spans="1:23" x14ac:dyDescent="0.4">
      <c r="A980" s="4" t="s">
        <v>2883</v>
      </c>
      <c r="B980" s="4" t="s">
        <v>2884</v>
      </c>
      <c r="C980" s="11">
        <v>44773</v>
      </c>
      <c r="D980" s="4" t="s">
        <v>98</v>
      </c>
      <c r="E980" s="4" t="s">
        <v>24</v>
      </c>
      <c r="F980" s="4" t="s">
        <v>70</v>
      </c>
      <c r="G980" s="4" t="s">
        <v>59</v>
      </c>
      <c r="H980" s="4" t="s">
        <v>2885</v>
      </c>
      <c r="I980" s="4" t="s">
        <v>43</v>
      </c>
      <c r="J980" s="4" t="s">
        <v>79</v>
      </c>
      <c r="K980" s="4" t="s">
        <v>101</v>
      </c>
      <c r="L980" s="4" t="s">
        <v>1590</v>
      </c>
      <c r="M980" s="4" t="s">
        <v>53</v>
      </c>
      <c r="N980" s="4" t="s">
        <v>33</v>
      </c>
      <c r="O980" s="4" t="s">
        <v>120</v>
      </c>
      <c r="P980" s="4" t="s">
        <v>88</v>
      </c>
      <c r="Q980" s="4">
        <v>9</v>
      </c>
      <c r="R980" s="4">
        <v>37173</v>
      </c>
      <c r="S980" s="5">
        <v>10</v>
      </c>
      <c r="T980" s="6">
        <f t="shared" si="45"/>
        <v>301101.3</v>
      </c>
      <c r="U980" s="4">
        <v>19452.62</v>
      </c>
      <c r="V980" t="str">
        <f t="shared" si="46"/>
        <v>Jul</v>
      </c>
      <c r="W980">
        <f t="shared" si="47"/>
        <v>6.4604902071163428E-2</v>
      </c>
    </row>
    <row r="981" spans="1:23" x14ac:dyDescent="0.4">
      <c r="A981" s="4" t="s">
        <v>2886</v>
      </c>
      <c r="B981" s="4" t="s">
        <v>1111</v>
      </c>
      <c r="C981" s="11">
        <v>44824</v>
      </c>
      <c r="D981" s="4" t="s">
        <v>124</v>
      </c>
      <c r="E981" s="4" t="s">
        <v>24</v>
      </c>
      <c r="F981" s="4" t="s">
        <v>70</v>
      </c>
      <c r="G981" s="4" t="s">
        <v>26</v>
      </c>
      <c r="H981" s="4" t="s">
        <v>2887</v>
      </c>
      <c r="I981" s="4" t="s">
        <v>43</v>
      </c>
      <c r="J981" s="4" t="s">
        <v>29</v>
      </c>
      <c r="K981" s="4" t="s">
        <v>86</v>
      </c>
      <c r="L981" s="4" t="s">
        <v>72</v>
      </c>
      <c r="M981" s="4" t="s">
        <v>65</v>
      </c>
      <c r="N981" s="4" t="s">
        <v>33</v>
      </c>
      <c r="O981" s="4" t="s">
        <v>34</v>
      </c>
      <c r="P981" s="4" t="s">
        <v>88</v>
      </c>
      <c r="Q981" s="4">
        <v>7</v>
      </c>
      <c r="R981" s="4">
        <v>5147</v>
      </c>
      <c r="S981" s="5">
        <v>10</v>
      </c>
      <c r="T981" s="6">
        <f t="shared" si="45"/>
        <v>32426.1</v>
      </c>
      <c r="U981" s="4">
        <v>1993.23</v>
      </c>
      <c r="V981" t="str">
        <f t="shared" si="46"/>
        <v>Sep</v>
      </c>
      <c r="W981">
        <f t="shared" si="47"/>
        <v>6.1469927003247389E-2</v>
      </c>
    </row>
    <row r="982" spans="1:23" x14ac:dyDescent="0.4">
      <c r="A982" s="4" t="s">
        <v>2888</v>
      </c>
      <c r="B982" s="4" t="s">
        <v>1783</v>
      </c>
      <c r="C982" s="11">
        <v>44788</v>
      </c>
      <c r="D982" s="4" t="s">
        <v>124</v>
      </c>
      <c r="E982" s="4" t="s">
        <v>24</v>
      </c>
      <c r="F982" s="4" t="s">
        <v>25</v>
      </c>
      <c r="G982" s="4" t="s">
        <v>92</v>
      </c>
      <c r="H982" s="4" t="s">
        <v>2889</v>
      </c>
      <c r="I982" s="4" t="s">
        <v>28</v>
      </c>
      <c r="J982" s="4" t="s">
        <v>79</v>
      </c>
      <c r="K982" s="4" t="s">
        <v>101</v>
      </c>
      <c r="L982" s="4" t="s">
        <v>45</v>
      </c>
      <c r="M982" s="4" t="s">
        <v>32</v>
      </c>
      <c r="N982" s="4" t="s">
        <v>33</v>
      </c>
      <c r="O982" s="4" t="s">
        <v>66</v>
      </c>
      <c r="P982" s="4" t="s">
        <v>74</v>
      </c>
      <c r="Q982" s="4">
        <v>6</v>
      </c>
      <c r="R982" s="4">
        <v>25771</v>
      </c>
      <c r="S982" s="5">
        <v>15</v>
      </c>
      <c r="T982" s="6">
        <f t="shared" si="45"/>
        <v>131432.1</v>
      </c>
      <c r="U982" s="4">
        <v>13899.77</v>
      </c>
      <c r="V982" t="str">
        <f t="shared" si="46"/>
        <v>Aug</v>
      </c>
      <c r="W982">
        <f t="shared" si="47"/>
        <v>0.10575628023899793</v>
      </c>
    </row>
    <row r="983" spans="1:23" x14ac:dyDescent="0.4">
      <c r="A983" s="4" t="s">
        <v>2890</v>
      </c>
      <c r="B983" s="4" t="s">
        <v>2077</v>
      </c>
      <c r="C983" s="11">
        <v>45497</v>
      </c>
      <c r="D983" s="4" t="s">
        <v>39</v>
      </c>
      <c r="E983" s="4" t="s">
        <v>24</v>
      </c>
      <c r="F983" s="4" t="s">
        <v>70</v>
      </c>
      <c r="G983" s="4" t="s">
        <v>59</v>
      </c>
      <c r="H983" s="4" t="s">
        <v>2891</v>
      </c>
      <c r="I983" s="4" t="s">
        <v>43</v>
      </c>
      <c r="J983" s="4" t="s">
        <v>62</v>
      </c>
      <c r="K983" s="4" t="s">
        <v>101</v>
      </c>
      <c r="L983" s="4" t="s">
        <v>186</v>
      </c>
      <c r="M983" s="4" t="s">
        <v>53</v>
      </c>
      <c r="N983" s="4" t="s">
        <v>54</v>
      </c>
      <c r="O983" s="4" t="s">
        <v>46</v>
      </c>
      <c r="P983" s="4" t="s">
        <v>74</v>
      </c>
      <c r="Q983" s="4">
        <v>5</v>
      </c>
      <c r="R983" s="4">
        <v>33814</v>
      </c>
      <c r="S983" s="5">
        <v>10</v>
      </c>
      <c r="T983" s="6">
        <f t="shared" si="45"/>
        <v>152163</v>
      </c>
      <c r="U983" s="4">
        <v>13066.38</v>
      </c>
      <c r="V983" t="str">
        <f t="shared" si="46"/>
        <v>Jul</v>
      </c>
      <c r="W983">
        <f t="shared" si="47"/>
        <v>8.5870941030342457E-2</v>
      </c>
    </row>
    <row r="984" spans="1:23" x14ac:dyDescent="0.4">
      <c r="A984" s="4" t="s">
        <v>2892</v>
      </c>
      <c r="B984" s="4" t="s">
        <v>1561</v>
      </c>
      <c r="C984" s="11">
        <v>44953</v>
      </c>
      <c r="D984" s="4" t="s">
        <v>98</v>
      </c>
      <c r="E984" s="4" t="s">
        <v>24</v>
      </c>
      <c r="F984" s="4" t="s">
        <v>26</v>
      </c>
      <c r="G984" s="4" t="s">
        <v>59</v>
      </c>
      <c r="H984" s="4" t="s">
        <v>2893</v>
      </c>
      <c r="I984" s="4" t="s">
        <v>28</v>
      </c>
      <c r="J984" s="4" t="s">
        <v>79</v>
      </c>
      <c r="K984" s="4" t="s">
        <v>86</v>
      </c>
      <c r="L984" s="4" t="s">
        <v>641</v>
      </c>
      <c r="M984" s="4" t="s">
        <v>81</v>
      </c>
      <c r="N984" s="4" t="s">
        <v>33</v>
      </c>
      <c r="O984" s="4" t="s">
        <v>46</v>
      </c>
      <c r="P984" s="4" t="s">
        <v>74</v>
      </c>
      <c r="Q984" s="4">
        <v>3</v>
      </c>
      <c r="R984" s="4">
        <v>9584</v>
      </c>
      <c r="S984" s="5">
        <v>0</v>
      </c>
      <c r="T984" s="6">
        <f t="shared" si="45"/>
        <v>28752</v>
      </c>
      <c r="U984" s="4">
        <v>7083.37</v>
      </c>
      <c r="V984" t="str">
        <f t="shared" si="46"/>
        <v>Jan</v>
      </c>
      <c r="W984">
        <f t="shared" si="47"/>
        <v>0.24636094880356149</v>
      </c>
    </row>
    <row r="985" spans="1:23" x14ac:dyDescent="0.4">
      <c r="A985" s="4" t="s">
        <v>2894</v>
      </c>
      <c r="B985" s="4" t="s">
        <v>2895</v>
      </c>
      <c r="C985" s="11">
        <v>45529</v>
      </c>
      <c r="D985" s="4" t="s">
        <v>23</v>
      </c>
      <c r="E985" s="4" t="s">
        <v>24</v>
      </c>
      <c r="F985" s="4" t="s">
        <v>70</v>
      </c>
      <c r="G985" s="4" t="s">
        <v>99</v>
      </c>
      <c r="H985" s="4" t="s">
        <v>2897</v>
      </c>
      <c r="I985" s="4" t="s">
        <v>43</v>
      </c>
      <c r="J985" s="4" t="s">
        <v>62</v>
      </c>
      <c r="K985" s="4" t="s">
        <v>44</v>
      </c>
      <c r="L985" s="4" t="s">
        <v>1001</v>
      </c>
      <c r="M985" s="4" t="s">
        <v>81</v>
      </c>
      <c r="N985" s="4" t="s">
        <v>33</v>
      </c>
      <c r="O985" s="4" t="s">
        <v>34</v>
      </c>
      <c r="P985" s="4" t="s">
        <v>35</v>
      </c>
      <c r="Q985" s="4">
        <v>5</v>
      </c>
      <c r="R985" s="4">
        <v>24455</v>
      </c>
      <c r="S985" s="5">
        <v>20</v>
      </c>
      <c r="T985" s="6">
        <f t="shared" si="45"/>
        <v>97820</v>
      </c>
      <c r="U985" s="4">
        <v>-16037.51</v>
      </c>
      <c r="V985" t="str">
        <f t="shared" si="46"/>
        <v>Aug</v>
      </c>
      <c r="W985">
        <f t="shared" si="47"/>
        <v>-0.16394919239419342</v>
      </c>
    </row>
    <row r="986" spans="1:23" x14ac:dyDescent="0.4">
      <c r="A986" s="4" t="s">
        <v>2898</v>
      </c>
      <c r="B986" s="4" t="s">
        <v>257</v>
      </c>
      <c r="C986" s="11">
        <v>45105</v>
      </c>
      <c r="D986" s="4" t="s">
        <v>124</v>
      </c>
      <c r="E986" s="4" t="s">
        <v>24</v>
      </c>
      <c r="F986" s="4" t="s">
        <v>58</v>
      </c>
      <c r="G986" s="4" t="s">
        <v>41</v>
      </c>
      <c r="H986" s="4" t="s">
        <v>2899</v>
      </c>
      <c r="I986" s="4" t="s">
        <v>43</v>
      </c>
      <c r="J986" s="4" t="s">
        <v>62</v>
      </c>
      <c r="K986" s="4" t="s">
        <v>63</v>
      </c>
      <c r="L986" s="4" t="s">
        <v>2470</v>
      </c>
      <c r="M986" s="4" t="s">
        <v>65</v>
      </c>
      <c r="N986" s="4" t="s">
        <v>33</v>
      </c>
      <c r="O986" s="4" t="s">
        <v>120</v>
      </c>
      <c r="P986" s="4" t="s">
        <v>35</v>
      </c>
      <c r="Q986" s="4">
        <v>9</v>
      </c>
      <c r="R986" s="4">
        <v>33362</v>
      </c>
      <c r="S986" s="5">
        <v>10</v>
      </c>
      <c r="T986" s="6">
        <f t="shared" si="45"/>
        <v>270232.2</v>
      </c>
      <c r="U986" s="4">
        <v>54541.41</v>
      </c>
      <c r="V986" t="str">
        <f t="shared" si="46"/>
        <v>Jun</v>
      </c>
      <c r="W986">
        <f t="shared" si="47"/>
        <v>0.20183164700579725</v>
      </c>
    </row>
    <row r="987" spans="1:23" x14ac:dyDescent="0.4">
      <c r="A987" s="4" t="s">
        <v>2900</v>
      </c>
      <c r="B987" s="4" t="s">
        <v>206</v>
      </c>
      <c r="C987" s="11">
        <v>44944</v>
      </c>
      <c r="D987" s="4" t="s">
        <v>23</v>
      </c>
      <c r="E987" s="4" t="s">
        <v>24</v>
      </c>
      <c r="F987" s="4" t="s">
        <v>26</v>
      </c>
      <c r="G987" s="4" t="s">
        <v>92</v>
      </c>
      <c r="H987" s="4" t="s">
        <v>2901</v>
      </c>
      <c r="I987" s="4" t="s">
        <v>61</v>
      </c>
      <c r="J987" s="4" t="s">
        <v>79</v>
      </c>
      <c r="K987" s="4" t="s">
        <v>153</v>
      </c>
      <c r="L987" s="4" t="s">
        <v>569</v>
      </c>
      <c r="M987" s="4" t="s">
        <v>81</v>
      </c>
      <c r="N987" s="4" t="s">
        <v>54</v>
      </c>
      <c r="O987" s="4" t="s">
        <v>120</v>
      </c>
      <c r="P987" s="4" t="s">
        <v>74</v>
      </c>
      <c r="Q987" s="4">
        <v>5</v>
      </c>
      <c r="R987" s="4">
        <v>27131</v>
      </c>
      <c r="S987" s="5">
        <v>5</v>
      </c>
      <c r="T987" s="6">
        <f t="shared" si="45"/>
        <v>128872.25</v>
      </c>
      <c r="U987" s="4">
        <v>6277.42</v>
      </c>
      <c r="V987" t="str">
        <f t="shared" si="46"/>
        <v>Jan</v>
      </c>
      <c r="W987">
        <f t="shared" si="47"/>
        <v>4.8710408951500424E-2</v>
      </c>
    </row>
    <row r="988" spans="1:23" x14ac:dyDescent="0.4">
      <c r="A988" s="4" t="s">
        <v>2902</v>
      </c>
      <c r="B988" s="4" t="s">
        <v>2176</v>
      </c>
      <c r="C988" s="11">
        <v>44680</v>
      </c>
      <c r="D988" s="4" t="s">
        <v>23</v>
      </c>
      <c r="E988" s="4" t="s">
        <v>24</v>
      </c>
      <c r="F988" s="4" t="s">
        <v>25</v>
      </c>
      <c r="G988" s="4" t="s">
        <v>99</v>
      </c>
      <c r="H988" s="4" t="s">
        <v>2903</v>
      </c>
      <c r="I988" s="4" t="s">
        <v>43</v>
      </c>
      <c r="J988" s="4" t="s">
        <v>79</v>
      </c>
      <c r="K988" s="4" t="s">
        <v>44</v>
      </c>
      <c r="L988" s="4" t="s">
        <v>319</v>
      </c>
      <c r="M988" s="4" t="s">
        <v>53</v>
      </c>
      <c r="N988" s="4" t="s">
        <v>54</v>
      </c>
      <c r="O988" s="4" t="s">
        <v>82</v>
      </c>
      <c r="P988" s="4" t="s">
        <v>35</v>
      </c>
      <c r="Q988" s="4">
        <v>9</v>
      </c>
      <c r="R988" s="4">
        <v>46711</v>
      </c>
      <c r="S988" s="5">
        <v>0</v>
      </c>
      <c r="T988" s="6">
        <f t="shared" si="45"/>
        <v>420399</v>
      </c>
      <c r="U988" s="4">
        <v>21291.31</v>
      </c>
      <c r="V988" t="str">
        <f t="shared" si="46"/>
        <v>Apr</v>
      </c>
      <c r="W988">
        <f t="shared" si="47"/>
        <v>5.0645482030166583E-2</v>
      </c>
    </row>
    <row r="989" spans="1:23" x14ac:dyDescent="0.4">
      <c r="A989" s="4" t="s">
        <v>2904</v>
      </c>
      <c r="B989" s="4" t="s">
        <v>944</v>
      </c>
      <c r="C989" s="11">
        <v>45076</v>
      </c>
      <c r="D989" s="4" t="s">
        <v>98</v>
      </c>
      <c r="E989" s="4" t="s">
        <v>24</v>
      </c>
      <c r="F989" s="4" t="s">
        <v>58</v>
      </c>
      <c r="G989" s="4" t="s">
        <v>99</v>
      </c>
      <c r="H989" s="4" t="s">
        <v>2905</v>
      </c>
      <c r="I989" s="4" t="s">
        <v>43</v>
      </c>
      <c r="J989" s="4" t="s">
        <v>62</v>
      </c>
      <c r="K989" s="4" t="s">
        <v>101</v>
      </c>
      <c r="L989" s="4" t="s">
        <v>1486</v>
      </c>
      <c r="M989" s="4" t="s">
        <v>95</v>
      </c>
      <c r="N989" s="4" t="s">
        <v>33</v>
      </c>
      <c r="O989" s="4" t="s">
        <v>120</v>
      </c>
      <c r="P989" s="4" t="s">
        <v>88</v>
      </c>
      <c r="Q989" s="4">
        <v>4</v>
      </c>
      <c r="R989" s="4">
        <v>17362</v>
      </c>
      <c r="S989" s="5">
        <v>5</v>
      </c>
      <c r="T989" s="6">
        <f t="shared" si="45"/>
        <v>65975.600000000006</v>
      </c>
      <c r="U989" s="4">
        <v>12558.32</v>
      </c>
      <c r="V989" t="str">
        <f t="shared" si="46"/>
        <v>May</v>
      </c>
      <c r="W989">
        <f t="shared" si="47"/>
        <v>0.19034794681670192</v>
      </c>
    </row>
    <row r="990" spans="1:23" x14ac:dyDescent="0.4">
      <c r="A990" s="4" t="s">
        <v>2906</v>
      </c>
      <c r="B990" s="4" t="s">
        <v>1289</v>
      </c>
      <c r="C990" s="11">
        <v>45425</v>
      </c>
      <c r="D990" s="4" t="s">
        <v>98</v>
      </c>
      <c r="E990" s="4" t="s">
        <v>24</v>
      </c>
      <c r="F990" s="4" t="s">
        <v>25</v>
      </c>
      <c r="G990" s="4" t="s">
        <v>59</v>
      </c>
      <c r="H990" s="4" t="s">
        <v>1808</v>
      </c>
      <c r="I990" s="4" t="s">
        <v>28</v>
      </c>
      <c r="J990" s="4" t="s">
        <v>79</v>
      </c>
      <c r="K990" s="4" t="s">
        <v>101</v>
      </c>
      <c r="L990" s="4" t="s">
        <v>159</v>
      </c>
      <c r="M990" s="4" t="s">
        <v>73</v>
      </c>
      <c r="N990" s="4" t="s">
        <v>54</v>
      </c>
      <c r="O990" s="4" t="s">
        <v>82</v>
      </c>
      <c r="P990" s="4" t="s">
        <v>74</v>
      </c>
      <c r="Q990" s="4">
        <v>5</v>
      </c>
      <c r="R990" s="4">
        <v>38485</v>
      </c>
      <c r="S990" s="5">
        <v>0</v>
      </c>
      <c r="T990" s="6">
        <f t="shared" si="45"/>
        <v>192425</v>
      </c>
      <c r="U990" s="4">
        <v>37359.89</v>
      </c>
      <c r="V990" t="str">
        <f t="shared" si="46"/>
        <v>May</v>
      </c>
      <c r="W990">
        <f t="shared" si="47"/>
        <v>0.19415299467324931</v>
      </c>
    </row>
    <row r="991" spans="1:23" x14ac:dyDescent="0.4">
      <c r="A991" s="4" t="s">
        <v>2907</v>
      </c>
      <c r="B991" s="4" t="s">
        <v>474</v>
      </c>
      <c r="C991" s="11">
        <v>44655</v>
      </c>
      <c r="D991" s="4" t="s">
        <v>98</v>
      </c>
      <c r="E991" s="4" t="s">
        <v>24</v>
      </c>
      <c r="F991" s="4" t="s">
        <v>70</v>
      </c>
      <c r="G991" s="4" t="s">
        <v>59</v>
      </c>
      <c r="H991" s="4" t="s">
        <v>2908</v>
      </c>
      <c r="I991" s="4" t="s">
        <v>43</v>
      </c>
      <c r="J991" s="4" t="s">
        <v>79</v>
      </c>
      <c r="K991" s="4" t="s">
        <v>86</v>
      </c>
      <c r="L991" s="4" t="s">
        <v>826</v>
      </c>
      <c r="M991" s="4" t="s">
        <v>81</v>
      </c>
      <c r="N991" s="4" t="s">
        <v>33</v>
      </c>
      <c r="O991" s="4" t="s">
        <v>120</v>
      </c>
      <c r="P991" s="4" t="s">
        <v>88</v>
      </c>
      <c r="Q991" s="4">
        <v>1</v>
      </c>
      <c r="R991" s="4">
        <v>42328</v>
      </c>
      <c r="S991" s="5">
        <v>15</v>
      </c>
      <c r="T991" s="6">
        <f t="shared" si="45"/>
        <v>35978.800000000003</v>
      </c>
      <c r="U991" s="4">
        <v>-1610.14</v>
      </c>
      <c r="V991" t="str">
        <f t="shared" si="46"/>
        <v>Apr</v>
      </c>
      <c r="W991">
        <f t="shared" si="47"/>
        <v>-4.4752465340700633E-2</v>
      </c>
    </row>
    <row r="992" spans="1:23" x14ac:dyDescent="0.4">
      <c r="A992" s="4" t="s">
        <v>2909</v>
      </c>
      <c r="B992" s="4" t="s">
        <v>1364</v>
      </c>
      <c r="C992" s="11">
        <v>45189</v>
      </c>
      <c r="D992" s="4" t="s">
        <v>98</v>
      </c>
      <c r="E992" s="4" t="s">
        <v>24</v>
      </c>
      <c r="F992" s="4" t="s">
        <v>58</v>
      </c>
      <c r="G992" s="4" t="s">
        <v>92</v>
      </c>
      <c r="H992" s="4" t="s">
        <v>2910</v>
      </c>
      <c r="I992" s="4" t="s">
        <v>28</v>
      </c>
      <c r="J992" s="4" t="s">
        <v>29</v>
      </c>
      <c r="K992" s="4" t="s">
        <v>153</v>
      </c>
      <c r="L992" s="4" t="s">
        <v>2203</v>
      </c>
      <c r="M992" s="4" t="s">
        <v>95</v>
      </c>
      <c r="N992" s="4" t="s">
        <v>33</v>
      </c>
      <c r="O992" s="4" t="s">
        <v>34</v>
      </c>
      <c r="P992" s="4" t="s">
        <v>35</v>
      </c>
      <c r="Q992" s="4">
        <v>5</v>
      </c>
      <c r="R992" s="4">
        <v>16795</v>
      </c>
      <c r="S992" s="5">
        <v>5</v>
      </c>
      <c r="T992" s="6">
        <f t="shared" si="45"/>
        <v>79776.25</v>
      </c>
      <c r="U992" s="4">
        <v>19547.810000000001</v>
      </c>
      <c r="V992" t="str">
        <f t="shared" si="46"/>
        <v>Sep</v>
      </c>
      <c r="W992">
        <f t="shared" si="47"/>
        <v>0.24503295153632818</v>
      </c>
    </row>
    <row r="993" spans="1:23" x14ac:dyDescent="0.4">
      <c r="A993" s="4" t="s">
        <v>2911</v>
      </c>
      <c r="B993" s="4" t="s">
        <v>267</v>
      </c>
      <c r="C993" s="11">
        <v>44768</v>
      </c>
      <c r="D993" s="4" t="s">
        <v>39</v>
      </c>
      <c r="E993" s="4" t="s">
        <v>24</v>
      </c>
      <c r="F993" s="4" t="s">
        <v>40</v>
      </c>
      <c r="G993" s="4" t="s">
        <v>99</v>
      </c>
      <c r="H993" s="4" t="s">
        <v>2912</v>
      </c>
      <c r="I993" s="4" t="s">
        <v>61</v>
      </c>
      <c r="J993" s="4" t="s">
        <v>62</v>
      </c>
      <c r="K993" s="4" t="s">
        <v>63</v>
      </c>
      <c r="L993" s="4" t="s">
        <v>757</v>
      </c>
      <c r="M993" s="4" t="s">
        <v>32</v>
      </c>
      <c r="N993" s="4" t="s">
        <v>33</v>
      </c>
      <c r="O993" s="4" t="s">
        <v>82</v>
      </c>
      <c r="P993" s="4" t="s">
        <v>35</v>
      </c>
      <c r="Q993" s="4">
        <v>10</v>
      </c>
      <c r="R993" s="4">
        <v>22627</v>
      </c>
      <c r="S993" s="5">
        <v>15</v>
      </c>
      <c r="T993" s="6">
        <f t="shared" si="45"/>
        <v>192329.5</v>
      </c>
      <c r="U993" s="4">
        <v>9822.59</v>
      </c>
      <c r="V993" t="str">
        <f t="shared" si="46"/>
        <v>Jul</v>
      </c>
      <c r="W993">
        <f t="shared" si="47"/>
        <v>5.1071676471888088E-2</v>
      </c>
    </row>
    <row r="994" spans="1:23" x14ac:dyDescent="0.4">
      <c r="A994" s="4" t="s">
        <v>2913</v>
      </c>
      <c r="B994" s="4" t="s">
        <v>2914</v>
      </c>
      <c r="C994" s="11">
        <v>45380</v>
      </c>
      <c r="D994" s="4" t="s">
        <v>124</v>
      </c>
      <c r="E994" s="4" t="s">
        <v>24</v>
      </c>
      <c r="F994" s="4" t="s">
        <v>70</v>
      </c>
      <c r="G994" s="4" t="s">
        <v>59</v>
      </c>
      <c r="H994" s="4" t="s">
        <v>2916</v>
      </c>
      <c r="I994" s="4" t="s">
        <v>43</v>
      </c>
      <c r="J994" s="4" t="s">
        <v>62</v>
      </c>
      <c r="K994" s="4" t="s">
        <v>101</v>
      </c>
      <c r="L994" s="4" t="s">
        <v>237</v>
      </c>
      <c r="M994" s="4" t="s">
        <v>32</v>
      </c>
      <c r="N994" s="4" t="s">
        <v>33</v>
      </c>
      <c r="O994" s="4" t="s">
        <v>34</v>
      </c>
      <c r="P994" s="4" t="s">
        <v>88</v>
      </c>
      <c r="Q994" s="4">
        <v>6</v>
      </c>
      <c r="R994" s="4">
        <v>15305</v>
      </c>
      <c r="S994" s="5">
        <v>20</v>
      </c>
      <c r="T994" s="6">
        <f t="shared" si="45"/>
        <v>73464</v>
      </c>
      <c r="U994" s="4">
        <v>6847.42</v>
      </c>
      <c r="V994" t="str">
        <f t="shared" si="46"/>
        <v>Mar</v>
      </c>
      <c r="W994">
        <f t="shared" si="47"/>
        <v>9.3207829685288027E-2</v>
      </c>
    </row>
    <row r="995" spans="1:23" x14ac:dyDescent="0.4">
      <c r="A995" s="4" t="s">
        <v>2917</v>
      </c>
      <c r="B995" s="4" t="s">
        <v>463</v>
      </c>
      <c r="C995" s="11">
        <v>45012</v>
      </c>
      <c r="D995" s="4" t="s">
        <v>23</v>
      </c>
      <c r="E995" s="4" t="s">
        <v>24</v>
      </c>
      <c r="F995" s="4" t="s">
        <v>26</v>
      </c>
      <c r="G995" s="4" t="s">
        <v>99</v>
      </c>
      <c r="H995" s="4" t="s">
        <v>2918</v>
      </c>
      <c r="I995" s="4" t="s">
        <v>28</v>
      </c>
      <c r="J995" s="4" t="s">
        <v>79</v>
      </c>
      <c r="K995" s="4" t="s">
        <v>30</v>
      </c>
      <c r="L995" s="4" t="s">
        <v>2203</v>
      </c>
      <c r="M995" s="4" t="s">
        <v>53</v>
      </c>
      <c r="N995" s="4" t="s">
        <v>54</v>
      </c>
      <c r="O995" s="4" t="s">
        <v>66</v>
      </c>
      <c r="P995" s="4" t="s">
        <v>47</v>
      </c>
      <c r="Q995" s="4">
        <v>8</v>
      </c>
      <c r="R995" s="4">
        <v>41429</v>
      </c>
      <c r="S995" s="5">
        <v>15</v>
      </c>
      <c r="T995" s="6">
        <f t="shared" si="45"/>
        <v>281717.2</v>
      </c>
      <c r="U995" s="4">
        <v>3641.66</v>
      </c>
      <c r="V995" t="str">
        <f t="shared" si="46"/>
        <v>Mar</v>
      </c>
      <c r="W995">
        <f t="shared" si="47"/>
        <v>1.2926651265879399E-2</v>
      </c>
    </row>
    <row r="996" spans="1:23" x14ac:dyDescent="0.4">
      <c r="A996" s="4" t="s">
        <v>2919</v>
      </c>
      <c r="B996" s="4" t="s">
        <v>2920</v>
      </c>
      <c r="C996" s="11">
        <v>45141</v>
      </c>
      <c r="D996" s="4" t="s">
        <v>98</v>
      </c>
      <c r="E996" s="4" t="s">
        <v>24</v>
      </c>
      <c r="F996" s="4" t="s">
        <v>58</v>
      </c>
      <c r="G996" s="4" t="s">
        <v>99</v>
      </c>
      <c r="H996" s="4" t="s">
        <v>1678</v>
      </c>
      <c r="I996" s="4" t="s">
        <v>43</v>
      </c>
      <c r="J996" s="4" t="s">
        <v>79</v>
      </c>
      <c r="K996" s="4" t="s">
        <v>30</v>
      </c>
      <c r="L996" s="4" t="s">
        <v>159</v>
      </c>
      <c r="M996" s="4" t="s">
        <v>81</v>
      </c>
      <c r="N996" s="4" t="s">
        <v>54</v>
      </c>
      <c r="O996" s="4" t="s">
        <v>46</v>
      </c>
      <c r="P996" s="4" t="s">
        <v>35</v>
      </c>
      <c r="Q996" s="4">
        <v>8</v>
      </c>
      <c r="R996" s="4">
        <v>24582</v>
      </c>
      <c r="S996" s="5">
        <v>20</v>
      </c>
      <c r="T996" s="6">
        <f t="shared" si="45"/>
        <v>157324.79999999999</v>
      </c>
      <c r="U996" s="4">
        <v>-9868.99</v>
      </c>
      <c r="V996" t="str">
        <f t="shared" si="46"/>
        <v>Aug</v>
      </c>
      <c r="W996">
        <f t="shared" si="47"/>
        <v>-6.273003366284273E-2</v>
      </c>
    </row>
    <row r="997" spans="1:23" x14ac:dyDescent="0.4">
      <c r="A997" s="4" t="s">
        <v>2921</v>
      </c>
      <c r="B997" s="4" t="s">
        <v>1396</v>
      </c>
      <c r="C997" s="11">
        <v>45233</v>
      </c>
      <c r="D997" s="4" t="s">
        <v>39</v>
      </c>
      <c r="E997" s="4" t="s">
        <v>24</v>
      </c>
      <c r="F997" s="4" t="s">
        <v>70</v>
      </c>
      <c r="G997" s="4" t="s">
        <v>59</v>
      </c>
      <c r="H997" s="4" t="s">
        <v>2345</v>
      </c>
      <c r="I997" s="4" t="s">
        <v>43</v>
      </c>
      <c r="J997" s="4" t="s">
        <v>62</v>
      </c>
      <c r="K997" s="4" t="s">
        <v>153</v>
      </c>
      <c r="L997" s="4" t="s">
        <v>198</v>
      </c>
      <c r="M997" s="4" t="s">
        <v>53</v>
      </c>
      <c r="N997" s="4" t="s">
        <v>54</v>
      </c>
      <c r="O997" s="4" t="s">
        <v>34</v>
      </c>
      <c r="P997" s="4" t="s">
        <v>35</v>
      </c>
      <c r="Q997" s="4">
        <v>4</v>
      </c>
      <c r="R997" s="4">
        <v>17965</v>
      </c>
      <c r="S997" s="5">
        <v>15</v>
      </c>
      <c r="T997" s="6">
        <f t="shared" si="45"/>
        <v>61081</v>
      </c>
      <c r="U997" s="4">
        <v>8867.0499999999993</v>
      </c>
      <c r="V997" t="str">
        <f t="shared" si="46"/>
        <v>Nov</v>
      </c>
      <c r="W997">
        <f t="shared" si="47"/>
        <v>0.14516871040094301</v>
      </c>
    </row>
    <row r="998" spans="1:23" x14ac:dyDescent="0.4">
      <c r="A998" s="4" t="s">
        <v>2922</v>
      </c>
      <c r="B998" s="4" t="s">
        <v>2923</v>
      </c>
      <c r="C998" s="11">
        <v>44771</v>
      </c>
      <c r="D998" s="4" t="s">
        <v>124</v>
      </c>
      <c r="E998" s="4" t="s">
        <v>24</v>
      </c>
      <c r="F998" s="4" t="s">
        <v>58</v>
      </c>
      <c r="G998" s="4" t="s">
        <v>59</v>
      </c>
      <c r="H998" s="4" t="s">
        <v>2477</v>
      </c>
      <c r="I998" s="4" t="s">
        <v>28</v>
      </c>
      <c r="J998" s="4" t="s">
        <v>29</v>
      </c>
      <c r="K998" s="4" t="s">
        <v>44</v>
      </c>
      <c r="L998" s="4" t="s">
        <v>1065</v>
      </c>
      <c r="M998" s="4" t="s">
        <v>73</v>
      </c>
      <c r="N998" s="4" t="s">
        <v>54</v>
      </c>
      <c r="O998" s="4" t="s">
        <v>34</v>
      </c>
      <c r="P998" s="4" t="s">
        <v>35</v>
      </c>
      <c r="Q998" s="4">
        <v>1</v>
      </c>
      <c r="R998" s="4">
        <v>19986</v>
      </c>
      <c r="S998" s="5">
        <v>10</v>
      </c>
      <c r="T998" s="6">
        <f t="shared" si="45"/>
        <v>17987.400000000001</v>
      </c>
      <c r="U998" s="4">
        <v>3552.68</v>
      </c>
      <c r="V998" t="str">
        <f t="shared" si="46"/>
        <v>Jul</v>
      </c>
      <c r="W998">
        <f t="shared" si="47"/>
        <v>0.19750936766847901</v>
      </c>
    </row>
    <row r="999" spans="1:23" x14ac:dyDescent="0.4">
      <c r="A999" s="4" t="s">
        <v>2924</v>
      </c>
      <c r="B999" s="4" t="s">
        <v>2880</v>
      </c>
      <c r="C999" s="11">
        <v>45248</v>
      </c>
      <c r="D999" s="4" t="s">
        <v>98</v>
      </c>
      <c r="E999" s="4" t="s">
        <v>24</v>
      </c>
      <c r="F999" s="4" t="s">
        <v>58</v>
      </c>
      <c r="G999" s="4" t="s">
        <v>26</v>
      </c>
      <c r="H999" s="4" t="s">
        <v>2925</v>
      </c>
      <c r="I999" s="4" t="s">
        <v>43</v>
      </c>
      <c r="J999" s="4" t="s">
        <v>62</v>
      </c>
      <c r="K999" s="4" t="s">
        <v>30</v>
      </c>
      <c r="L999" s="4" t="s">
        <v>687</v>
      </c>
      <c r="M999" s="4" t="s">
        <v>53</v>
      </c>
      <c r="N999" s="4" t="s">
        <v>33</v>
      </c>
      <c r="O999" s="4" t="s">
        <v>120</v>
      </c>
      <c r="P999" s="4" t="s">
        <v>47</v>
      </c>
      <c r="Q999" s="4">
        <v>2</v>
      </c>
      <c r="R999" s="4">
        <v>13295</v>
      </c>
      <c r="S999" s="5">
        <v>20</v>
      </c>
      <c r="T999" s="6">
        <f t="shared" si="45"/>
        <v>21272</v>
      </c>
      <c r="U999" s="4">
        <v>1675.25</v>
      </c>
      <c r="V999" t="str">
        <f t="shared" si="46"/>
        <v>Nov</v>
      </c>
      <c r="W999">
        <f t="shared" si="47"/>
        <v>7.8753760812335469E-2</v>
      </c>
    </row>
    <row r="1000" spans="1:23" x14ac:dyDescent="0.4">
      <c r="A1000" s="4" t="s">
        <v>2926</v>
      </c>
      <c r="B1000" s="4" t="s">
        <v>1441</v>
      </c>
      <c r="C1000" s="11">
        <v>45108</v>
      </c>
      <c r="D1000" s="4" t="s">
        <v>39</v>
      </c>
      <c r="E1000" s="4" t="s">
        <v>24</v>
      </c>
      <c r="F1000" s="4" t="s">
        <v>26</v>
      </c>
      <c r="G1000" s="4" t="s">
        <v>99</v>
      </c>
      <c r="H1000" s="4" t="s">
        <v>2927</v>
      </c>
      <c r="I1000" s="4" t="s">
        <v>61</v>
      </c>
      <c r="J1000" s="4" t="s">
        <v>79</v>
      </c>
      <c r="K1000" s="4" t="s">
        <v>63</v>
      </c>
      <c r="L1000" s="4" t="s">
        <v>167</v>
      </c>
      <c r="M1000" s="4" t="s">
        <v>95</v>
      </c>
      <c r="N1000" s="4" t="s">
        <v>54</v>
      </c>
      <c r="O1000" s="4" t="s">
        <v>46</v>
      </c>
      <c r="P1000" s="4" t="s">
        <v>47</v>
      </c>
      <c r="Q1000" s="4">
        <v>9</v>
      </c>
      <c r="R1000" s="4">
        <v>4235</v>
      </c>
      <c r="S1000" s="5">
        <v>5</v>
      </c>
      <c r="T1000" s="6">
        <f t="shared" si="45"/>
        <v>36209.25</v>
      </c>
      <c r="U1000" s="4">
        <v>9261.06</v>
      </c>
      <c r="V1000" t="str">
        <f t="shared" si="46"/>
        <v>Jun</v>
      </c>
      <c r="W1000">
        <f t="shared" si="47"/>
        <v>0.2557650324157501</v>
      </c>
    </row>
    <row r="1001" spans="1:23" x14ac:dyDescent="0.4">
      <c r="A1001" s="4" t="s">
        <v>2928</v>
      </c>
      <c r="B1001" s="4" t="s">
        <v>1755</v>
      </c>
      <c r="C1001" s="11">
        <v>45184</v>
      </c>
      <c r="D1001" s="4" t="s">
        <v>39</v>
      </c>
      <c r="E1001" s="4" t="s">
        <v>24</v>
      </c>
      <c r="F1001" s="4" t="s">
        <v>70</v>
      </c>
      <c r="G1001" s="4" t="s">
        <v>99</v>
      </c>
      <c r="H1001" s="4" t="s">
        <v>2929</v>
      </c>
      <c r="I1001" s="4" t="s">
        <v>28</v>
      </c>
      <c r="J1001" s="4" t="s">
        <v>79</v>
      </c>
      <c r="K1001" s="4" t="s">
        <v>86</v>
      </c>
      <c r="L1001" s="4" t="s">
        <v>723</v>
      </c>
      <c r="M1001" s="4" t="s">
        <v>53</v>
      </c>
      <c r="N1001" s="4" t="s">
        <v>54</v>
      </c>
      <c r="O1001" s="4" t="s">
        <v>46</v>
      </c>
      <c r="P1001" s="4" t="s">
        <v>88</v>
      </c>
      <c r="Q1001" s="4">
        <v>5</v>
      </c>
      <c r="R1001" s="4">
        <v>2393</v>
      </c>
      <c r="S1001" s="5">
        <v>5</v>
      </c>
      <c r="T1001" s="6">
        <f t="shared" si="45"/>
        <v>11366.75</v>
      </c>
      <c r="U1001" s="4">
        <v>1269.31</v>
      </c>
      <c r="V1001" t="str">
        <f t="shared" si="46"/>
        <v>Sep</v>
      </c>
      <c r="W1001">
        <f t="shared" si="47"/>
        <v>0.11166868278091803</v>
      </c>
    </row>
    <row r="1002" spans="1:23" x14ac:dyDescent="0.4">
      <c r="A1002" s="4" t="s">
        <v>2930</v>
      </c>
      <c r="B1002" s="4" t="s">
        <v>1228</v>
      </c>
      <c r="C1002" s="11">
        <v>44852</v>
      </c>
      <c r="D1002" s="4" t="s">
        <v>23</v>
      </c>
      <c r="E1002" s="4" t="s">
        <v>24</v>
      </c>
      <c r="F1002" s="4" t="s">
        <v>40</v>
      </c>
      <c r="G1002" s="4" t="s">
        <v>26</v>
      </c>
      <c r="H1002" s="4" t="s">
        <v>2931</v>
      </c>
      <c r="I1002" s="4" t="s">
        <v>43</v>
      </c>
      <c r="J1002" s="4" t="s">
        <v>62</v>
      </c>
      <c r="K1002" s="4" t="s">
        <v>101</v>
      </c>
      <c r="L1002" s="4" t="s">
        <v>287</v>
      </c>
      <c r="M1002" s="4" t="s">
        <v>95</v>
      </c>
      <c r="N1002" s="4" t="s">
        <v>54</v>
      </c>
      <c r="O1002" s="4" t="s">
        <v>120</v>
      </c>
      <c r="P1002" s="4" t="s">
        <v>47</v>
      </c>
      <c r="Q1002" s="4">
        <v>6</v>
      </c>
      <c r="R1002" s="4">
        <v>7130</v>
      </c>
      <c r="S1002" s="5">
        <v>0</v>
      </c>
      <c r="T1002" s="6">
        <f t="shared" si="45"/>
        <v>42780</v>
      </c>
      <c r="U1002" s="4">
        <v>12764.11</v>
      </c>
      <c r="V1002" t="str">
        <f t="shared" si="46"/>
        <v>Oct</v>
      </c>
      <c r="W1002">
        <f t="shared" si="47"/>
        <v>0.29836629266012155</v>
      </c>
    </row>
    <row r="1003" spans="1:23" x14ac:dyDescent="0.4">
      <c r="A1003" s="4" t="s">
        <v>2932</v>
      </c>
      <c r="B1003" s="4" t="s">
        <v>450</v>
      </c>
      <c r="C1003" s="11">
        <v>45006</v>
      </c>
      <c r="D1003" s="4" t="s">
        <v>39</v>
      </c>
      <c r="E1003" s="4" t="s">
        <v>24</v>
      </c>
      <c r="F1003" s="4" t="s">
        <v>58</v>
      </c>
      <c r="G1003" s="4" t="s">
        <v>41</v>
      </c>
      <c r="H1003" s="4" t="s">
        <v>2933</v>
      </c>
      <c r="I1003" s="4" t="s">
        <v>61</v>
      </c>
      <c r="J1003" s="4" t="s">
        <v>29</v>
      </c>
      <c r="K1003" s="4" t="s">
        <v>30</v>
      </c>
      <c r="L1003" s="4" t="s">
        <v>2203</v>
      </c>
      <c r="M1003" s="4" t="s">
        <v>95</v>
      </c>
      <c r="N1003" s="4" t="s">
        <v>33</v>
      </c>
      <c r="O1003" s="4" t="s">
        <v>120</v>
      </c>
      <c r="P1003" s="4" t="s">
        <v>74</v>
      </c>
      <c r="Q1003" s="4">
        <v>1</v>
      </c>
      <c r="R1003" s="4">
        <v>10353</v>
      </c>
      <c r="S1003" s="5">
        <v>10</v>
      </c>
      <c r="T1003" s="6">
        <f t="shared" si="45"/>
        <v>9317.7000000000007</v>
      </c>
      <c r="U1003" s="4">
        <v>-383.1</v>
      </c>
      <c r="V1003" t="str">
        <f t="shared" si="46"/>
        <v>Mar</v>
      </c>
      <c r="W1003">
        <f t="shared" si="47"/>
        <v>-4.1115296693390001E-2</v>
      </c>
    </row>
    <row r="1004" spans="1:23" x14ac:dyDescent="0.4">
      <c r="A1004" s="4" t="s">
        <v>2934</v>
      </c>
      <c r="B1004" s="4" t="s">
        <v>1707</v>
      </c>
      <c r="C1004" s="11">
        <v>44821</v>
      </c>
      <c r="D1004" s="4" t="s">
        <v>124</v>
      </c>
      <c r="E1004" s="4" t="s">
        <v>24</v>
      </c>
      <c r="F1004" s="4" t="s">
        <v>25</v>
      </c>
      <c r="G1004" s="4" t="s">
        <v>59</v>
      </c>
      <c r="H1004" s="4" t="s">
        <v>2935</v>
      </c>
      <c r="I1004" s="4" t="s">
        <v>43</v>
      </c>
      <c r="J1004" s="4" t="s">
        <v>29</v>
      </c>
      <c r="K1004" s="4" t="s">
        <v>44</v>
      </c>
      <c r="L1004" s="4" t="s">
        <v>559</v>
      </c>
      <c r="M1004" s="4" t="s">
        <v>95</v>
      </c>
      <c r="N1004" s="4" t="s">
        <v>54</v>
      </c>
      <c r="O1004" s="4" t="s">
        <v>120</v>
      </c>
      <c r="P1004" s="4" t="s">
        <v>88</v>
      </c>
      <c r="Q1004" s="4">
        <v>2</v>
      </c>
      <c r="R1004" s="4">
        <v>29436</v>
      </c>
      <c r="S1004" s="5">
        <v>20</v>
      </c>
      <c r="T1004" s="6">
        <f t="shared" si="45"/>
        <v>47097.599999999999</v>
      </c>
      <c r="U1004" s="4">
        <v>-3126.97</v>
      </c>
      <c r="V1004" t="str">
        <f t="shared" si="46"/>
        <v>Sep</v>
      </c>
      <c r="W1004">
        <f t="shared" si="47"/>
        <v>-6.6393404334828099E-2</v>
      </c>
    </row>
    <row r="1005" spans="1:23" x14ac:dyDescent="0.4">
      <c r="A1005" s="4" t="s">
        <v>2936</v>
      </c>
      <c r="B1005" s="4" t="s">
        <v>1865</v>
      </c>
      <c r="C1005" s="11">
        <v>44727</v>
      </c>
      <c r="D1005" s="4" t="s">
        <v>23</v>
      </c>
      <c r="E1005" s="4" t="s">
        <v>24</v>
      </c>
      <c r="F1005" s="4" t="s">
        <v>26</v>
      </c>
      <c r="G1005" s="4" t="s">
        <v>92</v>
      </c>
      <c r="H1005" s="4" t="s">
        <v>2937</v>
      </c>
      <c r="I1005" s="4" t="s">
        <v>43</v>
      </c>
      <c r="J1005" s="4" t="s">
        <v>62</v>
      </c>
      <c r="K1005" s="4" t="s">
        <v>44</v>
      </c>
      <c r="L1005" s="4" t="s">
        <v>2822</v>
      </c>
      <c r="M1005" s="4" t="s">
        <v>53</v>
      </c>
      <c r="N1005" s="4" t="s">
        <v>33</v>
      </c>
      <c r="O1005" s="4" t="s">
        <v>82</v>
      </c>
      <c r="P1005" s="4" t="s">
        <v>74</v>
      </c>
      <c r="Q1005" s="4">
        <v>7</v>
      </c>
      <c r="R1005" s="4">
        <v>32251</v>
      </c>
      <c r="S1005" s="5">
        <v>15</v>
      </c>
      <c r="T1005" s="6">
        <f t="shared" si="45"/>
        <v>191893.45</v>
      </c>
      <c r="U1005" s="4">
        <v>-11114.82</v>
      </c>
      <c r="V1005" t="str">
        <f t="shared" si="46"/>
        <v>Jun</v>
      </c>
      <c r="W1005">
        <f t="shared" si="47"/>
        <v>-5.7921831099498181E-2</v>
      </c>
    </row>
    <row r="1006" spans="1:23" x14ac:dyDescent="0.4">
      <c r="A1006" s="4" t="s">
        <v>2938</v>
      </c>
      <c r="B1006" s="4" t="s">
        <v>1669</v>
      </c>
      <c r="C1006" s="11">
        <v>45084</v>
      </c>
      <c r="D1006" s="4" t="s">
        <v>124</v>
      </c>
      <c r="E1006" s="4" t="s">
        <v>24</v>
      </c>
      <c r="F1006" s="4" t="s">
        <v>58</v>
      </c>
      <c r="G1006" s="4" t="s">
        <v>41</v>
      </c>
      <c r="H1006" s="4" t="s">
        <v>2939</v>
      </c>
      <c r="I1006" s="4" t="s">
        <v>28</v>
      </c>
      <c r="J1006" s="4" t="s">
        <v>79</v>
      </c>
      <c r="K1006" s="4" t="s">
        <v>101</v>
      </c>
      <c r="L1006" s="4" t="s">
        <v>631</v>
      </c>
      <c r="M1006" s="4" t="s">
        <v>95</v>
      </c>
      <c r="N1006" s="4" t="s">
        <v>33</v>
      </c>
      <c r="O1006" s="4" t="s">
        <v>66</v>
      </c>
      <c r="P1006" s="4" t="s">
        <v>47</v>
      </c>
      <c r="Q1006" s="4">
        <v>7</v>
      </c>
      <c r="R1006" s="4">
        <v>7905</v>
      </c>
      <c r="S1006" s="5">
        <v>10</v>
      </c>
      <c r="T1006" s="6">
        <f t="shared" si="45"/>
        <v>49801.5</v>
      </c>
      <c r="U1006" s="4">
        <v>276.52999999999997</v>
      </c>
      <c r="V1006" t="str">
        <f t="shared" si="46"/>
        <v>Jun</v>
      </c>
      <c r="W1006">
        <f t="shared" si="47"/>
        <v>5.5526439966667668E-3</v>
      </c>
    </row>
    <row r="1007" spans="1:23" x14ac:dyDescent="0.4">
      <c r="A1007" s="4" t="s">
        <v>2940</v>
      </c>
      <c r="B1007" s="4" t="s">
        <v>2941</v>
      </c>
      <c r="C1007" s="11">
        <v>44890</v>
      </c>
      <c r="D1007" s="4" t="s">
        <v>23</v>
      </c>
      <c r="E1007" s="4" t="s">
        <v>24</v>
      </c>
      <c r="F1007" s="4" t="s">
        <v>25</v>
      </c>
      <c r="G1007" s="4" t="s">
        <v>92</v>
      </c>
      <c r="H1007" s="4" t="s">
        <v>920</v>
      </c>
      <c r="I1007" s="4" t="s">
        <v>28</v>
      </c>
      <c r="J1007" s="4" t="s">
        <v>62</v>
      </c>
      <c r="K1007" s="4" t="s">
        <v>86</v>
      </c>
      <c r="L1007" s="4" t="s">
        <v>441</v>
      </c>
      <c r="M1007" s="4" t="s">
        <v>65</v>
      </c>
      <c r="N1007" s="4" t="s">
        <v>33</v>
      </c>
      <c r="O1007" s="4" t="s">
        <v>46</v>
      </c>
      <c r="P1007" s="4" t="s">
        <v>47</v>
      </c>
      <c r="Q1007" s="4">
        <v>2</v>
      </c>
      <c r="R1007" s="4">
        <v>16664</v>
      </c>
      <c r="S1007" s="5">
        <v>5</v>
      </c>
      <c r="T1007" s="6">
        <f t="shared" si="45"/>
        <v>31661.599999999999</v>
      </c>
      <c r="U1007" s="4">
        <v>5001.6099999999997</v>
      </c>
      <c r="V1007" t="str">
        <f t="shared" si="46"/>
        <v>Nov</v>
      </c>
      <c r="W1007">
        <f t="shared" si="47"/>
        <v>0.15797085428405386</v>
      </c>
    </row>
    <row r="1008" spans="1:23" x14ac:dyDescent="0.4">
      <c r="A1008" s="4" t="s">
        <v>2942</v>
      </c>
      <c r="B1008" s="4" t="s">
        <v>416</v>
      </c>
      <c r="C1008" s="11">
        <v>45121</v>
      </c>
      <c r="D1008" s="4" t="s">
        <v>124</v>
      </c>
      <c r="E1008" s="4" t="s">
        <v>24</v>
      </c>
      <c r="F1008" s="4" t="s">
        <v>70</v>
      </c>
      <c r="G1008" s="4" t="s">
        <v>92</v>
      </c>
      <c r="H1008" s="4" t="s">
        <v>2943</v>
      </c>
      <c r="I1008" s="4" t="s">
        <v>61</v>
      </c>
      <c r="J1008" s="4" t="s">
        <v>79</v>
      </c>
      <c r="K1008" s="4" t="s">
        <v>101</v>
      </c>
      <c r="L1008" s="4" t="s">
        <v>574</v>
      </c>
      <c r="M1008" s="4" t="s">
        <v>95</v>
      </c>
      <c r="N1008" s="4" t="s">
        <v>33</v>
      </c>
      <c r="O1008" s="4" t="s">
        <v>66</v>
      </c>
      <c r="P1008" s="4" t="s">
        <v>74</v>
      </c>
      <c r="Q1008" s="4">
        <v>6</v>
      </c>
      <c r="R1008" s="4">
        <v>31053</v>
      </c>
      <c r="S1008" s="5">
        <v>20</v>
      </c>
      <c r="T1008" s="6">
        <f t="shared" si="45"/>
        <v>149054.39999999999</v>
      </c>
      <c r="U1008" s="4">
        <v>7044.21</v>
      </c>
      <c r="V1008" t="str">
        <f t="shared" si="46"/>
        <v>Jul</v>
      </c>
      <c r="W1008">
        <f t="shared" si="47"/>
        <v>4.7259322770746792E-2</v>
      </c>
    </row>
    <row r="1009" spans="1:23" x14ac:dyDescent="0.4">
      <c r="A1009" s="4" t="s">
        <v>2944</v>
      </c>
      <c r="B1009" s="4" t="s">
        <v>2293</v>
      </c>
      <c r="C1009" s="11">
        <v>45360</v>
      </c>
      <c r="D1009" s="4" t="s">
        <v>23</v>
      </c>
      <c r="E1009" s="4" t="s">
        <v>24</v>
      </c>
      <c r="F1009" s="4" t="s">
        <v>25</v>
      </c>
      <c r="G1009" s="4" t="s">
        <v>99</v>
      </c>
      <c r="H1009" s="4" t="s">
        <v>2945</v>
      </c>
      <c r="I1009" s="4" t="s">
        <v>43</v>
      </c>
      <c r="J1009" s="4" t="s">
        <v>29</v>
      </c>
      <c r="K1009" s="4" t="s">
        <v>101</v>
      </c>
      <c r="L1009" s="4" t="s">
        <v>976</v>
      </c>
      <c r="M1009" s="4" t="s">
        <v>81</v>
      </c>
      <c r="N1009" s="4" t="s">
        <v>33</v>
      </c>
      <c r="O1009" s="4" t="s">
        <v>34</v>
      </c>
      <c r="P1009" s="4" t="s">
        <v>74</v>
      </c>
      <c r="Q1009" s="4">
        <v>10</v>
      </c>
      <c r="R1009" s="4">
        <v>33334</v>
      </c>
      <c r="S1009" s="5">
        <v>0</v>
      </c>
      <c r="T1009" s="6">
        <f t="shared" si="45"/>
        <v>333340</v>
      </c>
      <c r="U1009" s="4">
        <v>97377.85</v>
      </c>
      <c r="V1009" t="str">
        <f t="shared" si="46"/>
        <v>Mar</v>
      </c>
      <c r="W1009">
        <f t="shared" si="47"/>
        <v>0.29212770744585109</v>
      </c>
    </row>
    <row r="1010" spans="1:23" x14ac:dyDescent="0.4">
      <c r="A1010" s="4" t="s">
        <v>2946</v>
      </c>
      <c r="B1010" s="4" t="s">
        <v>1476</v>
      </c>
      <c r="C1010" s="11">
        <v>45224</v>
      </c>
      <c r="D1010" s="4" t="s">
        <v>39</v>
      </c>
      <c r="E1010" s="4" t="s">
        <v>24</v>
      </c>
      <c r="F1010" s="4" t="s">
        <v>40</v>
      </c>
      <c r="G1010" s="4" t="s">
        <v>41</v>
      </c>
      <c r="H1010" s="4" t="s">
        <v>2947</v>
      </c>
      <c r="I1010" s="4" t="s">
        <v>28</v>
      </c>
      <c r="J1010" s="4" t="s">
        <v>79</v>
      </c>
      <c r="K1010" s="4" t="s">
        <v>44</v>
      </c>
      <c r="L1010" s="4" t="s">
        <v>1065</v>
      </c>
      <c r="M1010" s="4" t="s">
        <v>53</v>
      </c>
      <c r="N1010" s="4" t="s">
        <v>54</v>
      </c>
      <c r="O1010" s="4" t="s">
        <v>66</v>
      </c>
      <c r="P1010" s="4" t="s">
        <v>47</v>
      </c>
      <c r="Q1010" s="4">
        <v>6</v>
      </c>
      <c r="R1010" s="4">
        <v>40497</v>
      </c>
      <c r="S1010" s="5">
        <v>15</v>
      </c>
      <c r="T1010" s="6">
        <f t="shared" si="45"/>
        <v>206534.7</v>
      </c>
      <c r="U1010" s="4">
        <v>7768.6</v>
      </c>
      <c r="V1010" t="str">
        <f t="shared" si="46"/>
        <v>Oct</v>
      </c>
      <c r="W1010">
        <f t="shared" si="47"/>
        <v>3.7614018370762878E-2</v>
      </c>
    </row>
    <row r="1011" spans="1:23" x14ac:dyDescent="0.4">
      <c r="A1011" s="4" t="s">
        <v>2948</v>
      </c>
      <c r="B1011" s="4" t="s">
        <v>651</v>
      </c>
      <c r="C1011" s="11">
        <v>45063</v>
      </c>
      <c r="D1011" s="4" t="s">
        <v>39</v>
      </c>
      <c r="E1011" s="4" t="s">
        <v>24</v>
      </c>
      <c r="F1011" s="4" t="s">
        <v>40</v>
      </c>
      <c r="G1011" s="4" t="s">
        <v>41</v>
      </c>
      <c r="H1011" s="4" t="s">
        <v>2528</v>
      </c>
      <c r="I1011" s="4" t="s">
        <v>61</v>
      </c>
      <c r="J1011" s="4" t="s">
        <v>29</v>
      </c>
      <c r="K1011" s="4" t="s">
        <v>153</v>
      </c>
      <c r="L1011" s="4" t="s">
        <v>102</v>
      </c>
      <c r="M1011" s="4" t="s">
        <v>81</v>
      </c>
      <c r="N1011" s="4" t="s">
        <v>54</v>
      </c>
      <c r="O1011" s="4" t="s">
        <v>66</v>
      </c>
      <c r="P1011" s="4" t="s">
        <v>74</v>
      </c>
      <c r="Q1011" s="4">
        <v>6</v>
      </c>
      <c r="R1011" s="4">
        <v>24166</v>
      </c>
      <c r="S1011" s="5">
        <v>15</v>
      </c>
      <c r="T1011" s="6">
        <f t="shared" si="45"/>
        <v>123246.6</v>
      </c>
      <c r="U1011" s="4">
        <v>7478.6</v>
      </c>
      <c r="V1011" t="str">
        <f t="shared" si="46"/>
        <v>May</v>
      </c>
      <c r="W1011">
        <f t="shared" si="47"/>
        <v>6.0679970076253628E-2</v>
      </c>
    </row>
    <row r="1012" spans="1:23" x14ac:dyDescent="0.4">
      <c r="A1012" s="4" t="s">
        <v>2950</v>
      </c>
      <c r="B1012" s="4" t="s">
        <v>523</v>
      </c>
      <c r="C1012" s="11">
        <v>45075</v>
      </c>
      <c r="D1012" s="4" t="s">
        <v>39</v>
      </c>
      <c r="E1012" s="4" t="s">
        <v>24</v>
      </c>
      <c r="F1012" s="4" t="s">
        <v>58</v>
      </c>
      <c r="G1012" s="4" t="s">
        <v>92</v>
      </c>
      <c r="H1012" s="4" t="s">
        <v>2951</v>
      </c>
      <c r="I1012" s="4" t="s">
        <v>61</v>
      </c>
      <c r="J1012" s="4" t="s">
        <v>62</v>
      </c>
      <c r="K1012" s="4" t="s">
        <v>63</v>
      </c>
      <c r="L1012" s="4" t="s">
        <v>601</v>
      </c>
      <c r="M1012" s="4" t="s">
        <v>81</v>
      </c>
      <c r="N1012" s="4" t="s">
        <v>54</v>
      </c>
      <c r="O1012" s="4" t="s">
        <v>34</v>
      </c>
      <c r="P1012" s="4" t="s">
        <v>74</v>
      </c>
      <c r="Q1012" s="4">
        <v>4</v>
      </c>
      <c r="R1012" s="4">
        <v>17264</v>
      </c>
      <c r="S1012" s="5">
        <v>15</v>
      </c>
      <c r="T1012" s="6">
        <f t="shared" si="45"/>
        <v>58697.599999999999</v>
      </c>
      <c r="U1012" s="4">
        <v>-4905.58</v>
      </c>
      <c r="V1012" t="str">
        <f t="shared" si="46"/>
        <v>May</v>
      </c>
      <c r="W1012">
        <f t="shared" si="47"/>
        <v>-8.3573774736956874E-2</v>
      </c>
    </row>
    <row r="1013" spans="1:23" x14ac:dyDescent="0.4">
      <c r="A1013" s="4" t="s">
        <v>2952</v>
      </c>
      <c r="B1013" s="4" t="s">
        <v>795</v>
      </c>
      <c r="C1013" s="11">
        <v>45451</v>
      </c>
      <c r="D1013" s="4" t="s">
        <v>98</v>
      </c>
      <c r="E1013" s="4" t="s">
        <v>24</v>
      </c>
      <c r="F1013" s="4" t="s">
        <v>25</v>
      </c>
      <c r="G1013" s="4" t="s">
        <v>26</v>
      </c>
      <c r="H1013" s="4" t="s">
        <v>2953</v>
      </c>
      <c r="I1013" s="4" t="s">
        <v>28</v>
      </c>
      <c r="J1013" s="4" t="s">
        <v>29</v>
      </c>
      <c r="K1013" s="4" t="s">
        <v>44</v>
      </c>
      <c r="L1013" s="4" t="s">
        <v>348</v>
      </c>
      <c r="M1013" s="4" t="s">
        <v>95</v>
      </c>
      <c r="N1013" s="4" t="s">
        <v>33</v>
      </c>
      <c r="O1013" s="4" t="s">
        <v>34</v>
      </c>
      <c r="P1013" s="4" t="s">
        <v>35</v>
      </c>
      <c r="Q1013" s="4">
        <v>9</v>
      </c>
      <c r="R1013" s="4">
        <v>12887</v>
      </c>
      <c r="S1013" s="5">
        <v>5</v>
      </c>
      <c r="T1013" s="6">
        <f t="shared" si="45"/>
        <v>110183.85</v>
      </c>
      <c r="U1013" s="4">
        <v>12948.63</v>
      </c>
      <c r="V1013" t="str">
        <f t="shared" si="46"/>
        <v>Jun</v>
      </c>
      <c r="W1013">
        <f t="shared" si="47"/>
        <v>0.11751840219778124</v>
      </c>
    </row>
    <row r="1014" spans="1:23" x14ac:dyDescent="0.4">
      <c r="A1014" s="4" t="s">
        <v>2954</v>
      </c>
      <c r="B1014" s="4" t="s">
        <v>663</v>
      </c>
      <c r="C1014" s="11">
        <v>45197</v>
      </c>
      <c r="D1014" s="4" t="s">
        <v>98</v>
      </c>
      <c r="E1014" s="4" t="s">
        <v>24</v>
      </c>
      <c r="F1014" s="4" t="s">
        <v>25</v>
      </c>
      <c r="G1014" s="4" t="s">
        <v>41</v>
      </c>
      <c r="H1014" s="4" t="s">
        <v>2955</v>
      </c>
      <c r="I1014" s="4" t="s">
        <v>61</v>
      </c>
      <c r="J1014" s="4" t="s">
        <v>29</v>
      </c>
      <c r="K1014" s="4" t="s">
        <v>101</v>
      </c>
      <c r="L1014" s="4" t="s">
        <v>163</v>
      </c>
      <c r="M1014" s="4" t="s">
        <v>65</v>
      </c>
      <c r="N1014" s="4" t="s">
        <v>54</v>
      </c>
      <c r="O1014" s="4" t="s">
        <v>82</v>
      </c>
      <c r="P1014" s="4" t="s">
        <v>88</v>
      </c>
      <c r="Q1014" s="4">
        <v>7</v>
      </c>
      <c r="R1014" s="4">
        <v>29068</v>
      </c>
      <c r="S1014" s="5">
        <v>0</v>
      </c>
      <c r="T1014" s="6">
        <f t="shared" si="45"/>
        <v>203476</v>
      </c>
      <c r="U1014" s="4">
        <v>34476.26</v>
      </c>
      <c r="V1014" t="str">
        <f t="shared" si="46"/>
        <v>Sep</v>
      </c>
      <c r="W1014">
        <f t="shared" si="47"/>
        <v>0.16943649373881933</v>
      </c>
    </row>
    <row r="1015" spans="1:23" x14ac:dyDescent="0.4">
      <c r="A1015" s="4" t="s">
        <v>2956</v>
      </c>
      <c r="B1015" s="4" t="s">
        <v>225</v>
      </c>
      <c r="C1015" s="11">
        <v>45041</v>
      </c>
      <c r="D1015" s="4" t="s">
        <v>39</v>
      </c>
      <c r="E1015" s="4" t="s">
        <v>24</v>
      </c>
      <c r="F1015" s="4" t="s">
        <v>25</v>
      </c>
      <c r="G1015" s="4" t="s">
        <v>26</v>
      </c>
      <c r="H1015" s="4" t="s">
        <v>1465</v>
      </c>
      <c r="I1015" s="4" t="s">
        <v>43</v>
      </c>
      <c r="J1015" s="4" t="s">
        <v>29</v>
      </c>
      <c r="K1015" s="4" t="s">
        <v>63</v>
      </c>
      <c r="L1015" s="4" t="s">
        <v>622</v>
      </c>
      <c r="M1015" s="4" t="s">
        <v>32</v>
      </c>
      <c r="N1015" s="4" t="s">
        <v>33</v>
      </c>
      <c r="O1015" s="4" t="s">
        <v>66</v>
      </c>
      <c r="P1015" s="4" t="s">
        <v>35</v>
      </c>
      <c r="Q1015" s="4">
        <v>6</v>
      </c>
      <c r="R1015" s="4">
        <v>13089</v>
      </c>
      <c r="S1015" s="5">
        <v>10</v>
      </c>
      <c r="T1015" s="6">
        <f t="shared" si="45"/>
        <v>70680.600000000006</v>
      </c>
      <c r="U1015" s="4">
        <v>7738.16</v>
      </c>
      <c r="V1015" t="str">
        <f t="shared" si="46"/>
        <v>Apr</v>
      </c>
      <c r="W1015">
        <f t="shared" si="47"/>
        <v>0.10948067786634522</v>
      </c>
    </row>
    <row r="1016" spans="1:23" x14ac:dyDescent="0.4">
      <c r="A1016" s="4" t="s">
        <v>2957</v>
      </c>
      <c r="B1016" s="4" t="s">
        <v>2958</v>
      </c>
      <c r="C1016" s="11">
        <v>44647</v>
      </c>
      <c r="D1016" s="4" t="s">
        <v>39</v>
      </c>
      <c r="E1016" s="4" t="s">
        <v>24</v>
      </c>
      <c r="F1016" s="4" t="s">
        <v>25</v>
      </c>
      <c r="G1016" s="4" t="s">
        <v>41</v>
      </c>
      <c r="H1016" s="4" t="s">
        <v>1566</v>
      </c>
      <c r="I1016" s="4" t="s">
        <v>28</v>
      </c>
      <c r="J1016" s="4" t="s">
        <v>29</v>
      </c>
      <c r="K1016" s="4" t="s">
        <v>86</v>
      </c>
      <c r="L1016" s="4" t="s">
        <v>675</v>
      </c>
      <c r="M1016" s="4" t="s">
        <v>53</v>
      </c>
      <c r="N1016" s="4" t="s">
        <v>33</v>
      </c>
      <c r="O1016" s="4" t="s">
        <v>46</v>
      </c>
      <c r="P1016" s="4" t="s">
        <v>47</v>
      </c>
      <c r="Q1016" s="4">
        <v>7</v>
      </c>
      <c r="R1016" s="4">
        <v>47845</v>
      </c>
      <c r="S1016" s="5">
        <v>15</v>
      </c>
      <c r="T1016" s="6">
        <f t="shared" si="45"/>
        <v>284677.75</v>
      </c>
      <c r="U1016" s="4">
        <v>-11918.94</v>
      </c>
      <c r="V1016" t="str">
        <f t="shared" si="46"/>
        <v>Mar</v>
      </c>
      <c r="W1016">
        <f t="shared" si="47"/>
        <v>-4.1868182532705842E-2</v>
      </c>
    </row>
    <row r="1017" spans="1:23" x14ac:dyDescent="0.4">
      <c r="A1017" s="4" t="s">
        <v>2959</v>
      </c>
      <c r="B1017" s="4" t="s">
        <v>1520</v>
      </c>
      <c r="C1017" s="11">
        <v>45523</v>
      </c>
      <c r="D1017" s="4" t="s">
        <v>98</v>
      </c>
      <c r="E1017" s="4" t="s">
        <v>24</v>
      </c>
      <c r="F1017" s="4" t="s">
        <v>70</v>
      </c>
      <c r="G1017" s="4" t="s">
        <v>59</v>
      </c>
      <c r="H1017" s="4" t="s">
        <v>2960</v>
      </c>
      <c r="I1017" s="4" t="s">
        <v>61</v>
      </c>
      <c r="J1017" s="4" t="s">
        <v>79</v>
      </c>
      <c r="K1017" s="4" t="s">
        <v>86</v>
      </c>
      <c r="L1017" s="4" t="s">
        <v>1829</v>
      </c>
      <c r="M1017" s="4" t="s">
        <v>53</v>
      </c>
      <c r="N1017" s="4" t="s">
        <v>33</v>
      </c>
      <c r="O1017" s="4" t="s">
        <v>34</v>
      </c>
      <c r="P1017" s="4" t="s">
        <v>74</v>
      </c>
      <c r="Q1017" s="4">
        <v>5</v>
      </c>
      <c r="R1017" s="4">
        <v>33432</v>
      </c>
      <c r="S1017" s="5">
        <v>20</v>
      </c>
      <c r="T1017" s="6">
        <f t="shared" si="45"/>
        <v>133728</v>
      </c>
      <c r="U1017" s="4">
        <v>-15993</v>
      </c>
      <c r="V1017" t="str">
        <f t="shared" si="46"/>
        <v>Aug</v>
      </c>
      <c r="W1017">
        <f t="shared" si="47"/>
        <v>-0.11959350323043791</v>
      </c>
    </row>
    <row r="1018" spans="1:23" x14ac:dyDescent="0.4">
      <c r="A1018" s="4" t="s">
        <v>2961</v>
      </c>
      <c r="B1018" s="4" t="s">
        <v>1683</v>
      </c>
      <c r="C1018" s="11">
        <v>44917</v>
      </c>
      <c r="D1018" s="4" t="s">
        <v>23</v>
      </c>
      <c r="E1018" s="4" t="s">
        <v>24</v>
      </c>
      <c r="F1018" s="4" t="s">
        <v>70</v>
      </c>
      <c r="G1018" s="4" t="s">
        <v>26</v>
      </c>
      <c r="H1018" s="4" t="s">
        <v>1618</v>
      </c>
      <c r="I1018" s="4" t="s">
        <v>61</v>
      </c>
      <c r="J1018" s="4" t="s">
        <v>29</v>
      </c>
      <c r="K1018" s="4" t="s">
        <v>30</v>
      </c>
      <c r="L1018" s="4" t="s">
        <v>939</v>
      </c>
      <c r="M1018" s="4" t="s">
        <v>65</v>
      </c>
      <c r="N1018" s="4" t="s">
        <v>54</v>
      </c>
      <c r="O1018" s="4" t="s">
        <v>66</v>
      </c>
      <c r="P1018" s="4" t="s">
        <v>47</v>
      </c>
      <c r="Q1018" s="4">
        <v>8</v>
      </c>
      <c r="R1018" s="4">
        <v>13584</v>
      </c>
      <c r="S1018" s="5">
        <v>15</v>
      </c>
      <c r="T1018" s="6">
        <f t="shared" si="45"/>
        <v>92371.199999999997</v>
      </c>
      <c r="U1018" s="4">
        <v>15788.72</v>
      </c>
      <c r="V1018" t="str">
        <f t="shared" si="46"/>
        <v>Dec</v>
      </c>
      <c r="W1018">
        <f t="shared" si="47"/>
        <v>0.17092686898080786</v>
      </c>
    </row>
    <row r="1019" spans="1:23" x14ac:dyDescent="0.4">
      <c r="A1019" s="4" t="s">
        <v>2962</v>
      </c>
      <c r="B1019" s="4" t="s">
        <v>2963</v>
      </c>
      <c r="C1019" s="11">
        <v>44684</v>
      </c>
      <c r="D1019" s="4" t="s">
        <v>124</v>
      </c>
      <c r="E1019" s="4" t="s">
        <v>24</v>
      </c>
      <c r="F1019" s="4" t="s">
        <v>58</v>
      </c>
      <c r="G1019" s="4" t="s">
        <v>99</v>
      </c>
      <c r="H1019" s="4" t="s">
        <v>2964</v>
      </c>
      <c r="I1019" s="4" t="s">
        <v>43</v>
      </c>
      <c r="J1019" s="4" t="s">
        <v>29</v>
      </c>
      <c r="K1019" s="4" t="s">
        <v>153</v>
      </c>
      <c r="L1019" s="4" t="s">
        <v>1482</v>
      </c>
      <c r="M1019" s="4" t="s">
        <v>95</v>
      </c>
      <c r="N1019" s="4" t="s">
        <v>33</v>
      </c>
      <c r="O1019" s="4" t="s">
        <v>34</v>
      </c>
      <c r="P1019" s="4" t="s">
        <v>47</v>
      </c>
      <c r="Q1019" s="4">
        <v>2</v>
      </c>
      <c r="R1019" s="4">
        <v>6352</v>
      </c>
      <c r="S1019" s="5">
        <v>20</v>
      </c>
      <c r="T1019" s="6">
        <f t="shared" si="45"/>
        <v>10163.200000000001</v>
      </c>
      <c r="U1019" s="4">
        <v>1258.77</v>
      </c>
      <c r="V1019" t="str">
        <f t="shared" si="46"/>
        <v>Apr</v>
      </c>
      <c r="W1019">
        <f t="shared" si="47"/>
        <v>0.12385567537783375</v>
      </c>
    </row>
    <row r="1020" spans="1:23" x14ac:dyDescent="0.4">
      <c r="A1020" s="4" t="s">
        <v>2965</v>
      </c>
      <c r="B1020" s="4" t="s">
        <v>221</v>
      </c>
      <c r="C1020" s="11">
        <v>45156</v>
      </c>
      <c r="D1020" s="4" t="s">
        <v>124</v>
      </c>
      <c r="E1020" s="4" t="s">
        <v>24</v>
      </c>
      <c r="F1020" s="4" t="s">
        <v>25</v>
      </c>
      <c r="G1020" s="4" t="s">
        <v>41</v>
      </c>
      <c r="H1020" s="4" t="s">
        <v>2966</v>
      </c>
      <c r="I1020" s="4" t="s">
        <v>61</v>
      </c>
      <c r="J1020" s="4" t="s">
        <v>62</v>
      </c>
      <c r="K1020" s="4" t="s">
        <v>153</v>
      </c>
      <c r="L1020" s="4" t="s">
        <v>1353</v>
      </c>
      <c r="M1020" s="4" t="s">
        <v>53</v>
      </c>
      <c r="N1020" s="4" t="s">
        <v>54</v>
      </c>
      <c r="O1020" s="4" t="s">
        <v>46</v>
      </c>
      <c r="P1020" s="4" t="s">
        <v>74</v>
      </c>
      <c r="Q1020" s="4">
        <v>8</v>
      </c>
      <c r="R1020" s="4">
        <v>2149</v>
      </c>
      <c r="S1020" s="5">
        <v>10</v>
      </c>
      <c r="T1020" s="6">
        <f t="shared" si="45"/>
        <v>15472.8</v>
      </c>
      <c r="U1020" s="4">
        <v>2028.05</v>
      </c>
      <c r="V1020" t="str">
        <f t="shared" si="46"/>
        <v>Aug</v>
      </c>
      <c r="W1020">
        <f t="shared" si="47"/>
        <v>0.13107194560777624</v>
      </c>
    </row>
    <row r="1021" spans="1:23" x14ac:dyDescent="0.4">
      <c r="A1021" s="4" t="s">
        <v>2967</v>
      </c>
      <c r="B1021" s="4" t="s">
        <v>2661</v>
      </c>
      <c r="C1021" s="11">
        <v>45401</v>
      </c>
      <c r="D1021" s="4" t="s">
        <v>39</v>
      </c>
      <c r="E1021" s="4" t="s">
        <v>24</v>
      </c>
      <c r="F1021" s="4" t="s">
        <v>26</v>
      </c>
      <c r="G1021" s="4" t="s">
        <v>59</v>
      </c>
      <c r="H1021" s="4" t="s">
        <v>1337</v>
      </c>
      <c r="I1021" s="4" t="s">
        <v>43</v>
      </c>
      <c r="J1021" s="4" t="s">
        <v>79</v>
      </c>
      <c r="K1021" s="4" t="s">
        <v>153</v>
      </c>
      <c r="L1021" s="4" t="s">
        <v>1563</v>
      </c>
      <c r="M1021" s="4" t="s">
        <v>53</v>
      </c>
      <c r="N1021" s="4" t="s">
        <v>54</v>
      </c>
      <c r="O1021" s="4" t="s">
        <v>66</v>
      </c>
      <c r="P1021" s="4" t="s">
        <v>74</v>
      </c>
      <c r="Q1021" s="4">
        <v>5</v>
      </c>
      <c r="R1021" s="4">
        <v>48968</v>
      </c>
      <c r="S1021" s="5">
        <v>20</v>
      </c>
      <c r="T1021" s="6">
        <f t="shared" si="45"/>
        <v>195872</v>
      </c>
      <c r="U1021" s="4">
        <v>15899.3</v>
      </c>
      <c r="V1021" t="str">
        <f t="shared" si="46"/>
        <v>Apr</v>
      </c>
      <c r="W1021">
        <f t="shared" si="47"/>
        <v>8.1171887763437339E-2</v>
      </c>
    </row>
    <row r="1022" spans="1:23" x14ac:dyDescent="0.4">
      <c r="A1022" s="4" t="s">
        <v>2968</v>
      </c>
      <c r="B1022" s="4" t="s">
        <v>1370</v>
      </c>
      <c r="C1022" s="11">
        <v>45022</v>
      </c>
      <c r="D1022" s="4" t="s">
        <v>39</v>
      </c>
      <c r="E1022" s="4" t="s">
        <v>24</v>
      </c>
      <c r="F1022" s="4" t="s">
        <v>70</v>
      </c>
      <c r="G1022" s="4" t="s">
        <v>99</v>
      </c>
      <c r="H1022" s="4" t="s">
        <v>2969</v>
      </c>
      <c r="I1022" s="4" t="s">
        <v>61</v>
      </c>
      <c r="J1022" s="4" t="s">
        <v>79</v>
      </c>
      <c r="K1022" s="4" t="s">
        <v>63</v>
      </c>
      <c r="L1022" s="4" t="s">
        <v>186</v>
      </c>
      <c r="M1022" s="4" t="s">
        <v>53</v>
      </c>
      <c r="N1022" s="4" t="s">
        <v>54</v>
      </c>
      <c r="O1022" s="4" t="s">
        <v>66</v>
      </c>
      <c r="P1022" s="4" t="s">
        <v>35</v>
      </c>
      <c r="Q1022" s="4">
        <v>2</v>
      </c>
      <c r="R1022" s="4">
        <v>35323</v>
      </c>
      <c r="S1022" s="5">
        <v>10</v>
      </c>
      <c r="T1022" s="6">
        <f t="shared" si="45"/>
        <v>63581.4</v>
      </c>
      <c r="U1022" s="4">
        <v>-2803.37</v>
      </c>
      <c r="V1022" t="str">
        <f t="shared" si="46"/>
        <v>Mar</v>
      </c>
      <c r="W1022">
        <f t="shared" si="47"/>
        <v>-4.4091039203289009E-2</v>
      </c>
    </row>
    <row r="1023" spans="1:23" x14ac:dyDescent="0.4">
      <c r="A1023" s="4" t="s">
        <v>2970</v>
      </c>
      <c r="B1023" s="4" t="s">
        <v>178</v>
      </c>
      <c r="C1023" s="11">
        <v>44666</v>
      </c>
      <c r="D1023" s="4" t="s">
        <v>124</v>
      </c>
      <c r="E1023" s="4" t="s">
        <v>24</v>
      </c>
      <c r="F1023" s="4" t="s">
        <v>26</v>
      </c>
      <c r="G1023" s="4" t="s">
        <v>92</v>
      </c>
      <c r="H1023" s="4" t="s">
        <v>2971</v>
      </c>
      <c r="I1023" s="4" t="s">
        <v>61</v>
      </c>
      <c r="J1023" s="4" t="s">
        <v>79</v>
      </c>
      <c r="K1023" s="4" t="s">
        <v>44</v>
      </c>
      <c r="L1023" s="4" t="s">
        <v>246</v>
      </c>
      <c r="M1023" s="4" t="s">
        <v>73</v>
      </c>
      <c r="N1023" s="4" t="s">
        <v>54</v>
      </c>
      <c r="O1023" s="4" t="s">
        <v>46</v>
      </c>
      <c r="P1023" s="4" t="s">
        <v>35</v>
      </c>
      <c r="Q1023" s="4">
        <v>3</v>
      </c>
      <c r="R1023" s="4">
        <v>45889</v>
      </c>
      <c r="S1023" s="5">
        <v>5</v>
      </c>
      <c r="T1023" s="6">
        <f t="shared" si="45"/>
        <v>130783.65</v>
      </c>
      <c r="U1023" s="4">
        <v>16446.46</v>
      </c>
      <c r="V1023" t="str">
        <f t="shared" si="46"/>
        <v>Apr</v>
      </c>
      <c r="W1023">
        <f t="shared" si="47"/>
        <v>0.12575318092131546</v>
      </c>
    </row>
    <row r="1024" spans="1:23" x14ac:dyDescent="0.4">
      <c r="A1024" s="4" t="s">
        <v>2972</v>
      </c>
      <c r="B1024" s="4" t="s">
        <v>2106</v>
      </c>
      <c r="C1024" s="11">
        <v>44938</v>
      </c>
      <c r="D1024" s="4" t="s">
        <v>39</v>
      </c>
      <c r="E1024" s="4" t="s">
        <v>24</v>
      </c>
      <c r="F1024" s="4" t="s">
        <v>58</v>
      </c>
      <c r="G1024" s="4" t="s">
        <v>92</v>
      </c>
      <c r="H1024" s="4" t="s">
        <v>2973</v>
      </c>
      <c r="I1024" s="4" t="s">
        <v>43</v>
      </c>
      <c r="J1024" s="4" t="s">
        <v>62</v>
      </c>
      <c r="K1024" s="4" t="s">
        <v>101</v>
      </c>
      <c r="L1024" s="4" t="s">
        <v>1278</v>
      </c>
      <c r="M1024" s="4" t="s">
        <v>32</v>
      </c>
      <c r="N1024" s="4" t="s">
        <v>33</v>
      </c>
      <c r="O1024" s="4" t="s">
        <v>66</v>
      </c>
      <c r="P1024" s="4" t="s">
        <v>35</v>
      </c>
      <c r="Q1024" s="4">
        <v>3</v>
      </c>
      <c r="R1024" s="4">
        <v>35595</v>
      </c>
      <c r="S1024" s="5">
        <v>5</v>
      </c>
      <c r="T1024" s="6">
        <f t="shared" si="45"/>
        <v>101445.75</v>
      </c>
      <c r="U1024" s="4">
        <v>1702.95</v>
      </c>
      <c r="V1024" t="str">
        <f t="shared" si="46"/>
        <v>Jan</v>
      </c>
      <c r="W1024">
        <f t="shared" si="47"/>
        <v>1.6786804770037189E-2</v>
      </c>
    </row>
    <row r="1025" spans="1:23" x14ac:dyDescent="0.4">
      <c r="A1025" s="4" t="s">
        <v>2974</v>
      </c>
      <c r="B1025" s="4" t="s">
        <v>1951</v>
      </c>
      <c r="C1025" s="11">
        <v>44956</v>
      </c>
      <c r="D1025" s="4" t="s">
        <v>98</v>
      </c>
      <c r="E1025" s="4" t="s">
        <v>24</v>
      </c>
      <c r="F1025" s="4" t="s">
        <v>25</v>
      </c>
      <c r="G1025" s="4" t="s">
        <v>26</v>
      </c>
      <c r="H1025" s="4" t="s">
        <v>2975</v>
      </c>
      <c r="I1025" s="4" t="s">
        <v>28</v>
      </c>
      <c r="J1025" s="4" t="s">
        <v>79</v>
      </c>
      <c r="K1025" s="4" t="s">
        <v>30</v>
      </c>
      <c r="L1025" s="4" t="s">
        <v>159</v>
      </c>
      <c r="M1025" s="4" t="s">
        <v>32</v>
      </c>
      <c r="N1025" s="4" t="s">
        <v>33</v>
      </c>
      <c r="O1025" s="4" t="s">
        <v>82</v>
      </c>
      <c r="P1025" s="4" t="s">
        <v>35</v>
      </c>
      <c r="Q1025" s="4">
        <v>8</v>
      </c>
      <c r="R1025" s="4">
        <v>43447</v>
      </c>
      <c r="S1025" s="5">
        <v>10</v>
      </c>
      <c r="T1025" s="6">
        <f t="shared" si="45"/>
        <v>312818.40000000002</v>
      </c>
      <c r="U1025" s="4">
        <v>1251.71</v>
      </c>
      <c r="V1025" t="str">
        <f t="shared" si="46"/>
        <v>Jan</v>
      </c>
      <c r="W1025">
        <f t="shared" si="47"/>
        <v>4.0013950586026909E-3</v>
      </c>
    </row>
    <row r="1026" spans="1:23" x14ac:dyDescent="0.4">
      <c r="A1026" s="4" t="s">
        <v>2976</v>
      </c>
      <c r="B1026" s="4" t="s">
        <v>1689</v>
      </c>
      <c r="C1026" s="11">
        <v>44700</v>
      </c>
      <c r="D1026" s="4" t="s">
        <v>39</v>
      </c>
      <c r="E1026" s="4" t="s">
        <v>24</v>
      </c>
      <c r="F1026" s="4" t="s">
        <v>58</v>
      </c>
      <c r="G1026" s="4" t="s">
        <v>26</v>
      </c>
      <c r="H1026" s="4" t="s">
        <v>2977</v>
      </c>
      <c r="I1026" s="4" t="s">
        <v>28</v>
      </c>
      <c r="J1026" s="4" t="s">
        <v>29</v>
      </c>
      <c r="K1026" s="4" t="s">
        <v>44</v>
      </c>
      <c r="L1026" s="4" t="s">
        <v>559</v>
      </c>
      <c r="M1026" s="4" t="s">
        <v>81</v>
      </c>
      <c r="N1026" s="4" t="s">
        <v>33</v>
      </c>
      <c r="O1026" s="4" t="s">
        <v>82</v>
      </c>
      <c r="P1026" s="4" t="s">
        <v>35</v>
      </c>
      <c r="Q1026" s="4">
        <v>1</v>
      </c>
      <c r="R1026" s="4">
        <v>43075</v>
      </c>
      <c r="S1026" s="5">
        <v>10</v>
      </c>
      <c r="T1026" s="6">
        <f t="shared" si="45"/>
        <v>38767.5</v>
      </c>
      <c r="U1026" s="4">
        <v>2676.67</v>
      </c>
      <c r="V1026" t="str">
        <f t="shared" si="46"/>
        <v>May</v>
      </c>
      <c r="W1026">
        <f t="shared" si="47"/>
        <v>6.9044173599019792E-2</v>
      </c>
    </row>
    <row r="1027" spans="1:23" x14ac:dyDescent="0.4">
      <c r="A1027" s="4" t="s">
        <v>2978</v>
      </c>
      <c r="B1027" s="4" t="s">
        <v>37</v>
      </c>
      <c r="C1027" s="11">
        <v>45363</v>
      </c>
      <c r="D1027" s="4" t="s">
        <v>39</v>
      </c>
      <c r="E1027" s="4" t="s">
        <v>24</v>
      </c>
      <c r="F1027" s="4" t="s">
        <v>58</v>
      </c>
      <c r="G1027" s="4" t="s">
        <v>26</v>
      </c>
      <c r="H1027" s="4" t="s">
        <v>2979</v>
      </c>
      <c r="I1027" s="4" t="s">
        <v>43</v>
      </c>
      <c r="J1027" s="4" t="s">
        <v>62</v>
      </c>
      <c r="K1027" s="4" t="s">
        <v>86</v>
      </c>
      <c r="L1027" s="4" t="s">
        <v>167</v>
      </c>
      <c r="M1027" s="4" t="s">
        <v>65</v>
      </c>
      <c r="N1027" s="4" t="s">
        <v>33</v>
      </c>
      <c r="O1027" s="4" t="s">
        <v>82</v>
      </c>
      <c r="P1027" s="4" t="s">
        <v>74</v>
      </c>
      <c r="Q1027" s="4">
        <v>5</v>
      </c>
      <c r="R1027" s="4">
        <v>14673</v>
      </c>
      <c r="S1027" s="5">
        <v>0</v>
      </c>
      <c r="T1027" s="6">
        <f t="shared" ref="T1027:T1090" si="48">Q1027*R1027*(100-S1027)/100</f>
        <v>73365</v>
      </c>
      <c r="U1027" s="4">
        <v>18245.16</v>
      </c>
      <c r="V1027" t="str">
        <f t="shared" ref="V1027:V1090" si="49">TEXT(B1027,"MMM")</f>
        <v>Mar</v>
      </c>
      <c r="W1027">
        <f t="shared" ref="W1027:W1090" si="50">U1027/T1027</f>
        <v>0.24869024739317114</v>
      </c>
    </row>
    <row r="1028" spans="1:23" x14ac:dyDescent="0.4">
      <c r="A1028" s="4" t="s">
        <v>2980</v>
      </c>
      <c r="B1028" s="4" t="s">
        <v>2078</v>
      </c>
      <c r="C1028" s="11">
        <v>45509</v>
      </c>
      <c r="D1028" s="4" t="s">
        <v>98</v>
      </c>
      <c r="E1028" s="4" t="s">
        <v>24</v>
      </c>
      <c r="F1028" s="4" t="s">
        <v>40</v>
      </c>
      <c r="G1028" s="4" t="s">
        <v>59</v>
      </c>
      <c r="H1028" s="4" t="s">
        <v>2981</v>
      </c>
      <c r="I1028" s="4" t="s">
        <v>43</v>
      </c>
      <c r="J1028" s="4" t="s">
        <v>29</v>
      </c>
      <c r="K1028" s="4" t="s">
        <v>30</v>
      </c>
      <c r="L1028" s="4" t="s">
        <v>190</v>
      </c>
      <c r="M1028" s="4" t="s">
        <v>65</v>
      </c>
      <c r="N1028" s="4" t="s">
        <v>33</v>
      </c>
      <c r="O1028" s="4" t="s">
        <v>66</v>
      </c>
      <c r="P1028" s="4" t="s">
        <v>74</v>
      </c>
      <c r="Q1028" s="4">
        <v>7</v>
      </c>
      <c r="R1028" s="4">
        <v>949</v>
      </c>
      <c r="S1028" s="5">
        <v>20</v>
      </c>
      <c r="T1028" s="6">
        <f t="shared" si="48"/>
        <v>5314.4</v>
      </c>
      <c r="U1028" s="4">
        <v>-390.73</v>
      </c>
      <c r="V1028" t="str">
        <f t="shared" si="49"/>
        <v>Aug</v>
      </c>
      <c r="W1028">
        <f t="shared" si="50"/>
        <v>-7.352288122836069E-2</v>
      </c>
    </row>
    <row r="1029" spans="1:23" x14ac:dyDescent="0.4">
      <c r="A1029" s="4" t="s">
        <v>2982</v>
      </c>
      <c r="B1029" s="4" t="s">
        <v>1382</v>
      </c>
      <c r="C1029" s="11">
        <v>44889</v>
      </c>
      <c r="D1029" s="4" t="s">
        <v>23</v>
      </c>
      <c r="E1029" s="4" t="s">
        <v>24</v>
      </c>
      <c r="F1029" s="4" t="s">
        <v>25</v>
      </c>
      <c r="G1029" s="4" t="s">
        <v>59</v>
      </c>
      <c r="H1029" s="4" t="s">
        <v>2983</v>
      </c>
      <c r="I1029" s="4" t="s">
        <v>61</v>
      </c>
      <c r="J1029" s="4" t="s">
        <v>29</v>
      </c>
      <c r="K1029" s="4" t="s">
        <v>63</v>
      </c>
      <c r="L1029" s="4" t="s">
        <v>1278</v>
      </c>
      <c r="M1029" s="4" t="s">
        <v>65</v>
      </c>
      <c r="N1029" s="4" t="s">
        <v>33</v>
      </c>
      <c r="O1029" s="4" t="s">
        <v>34</v>
      </c>
      <c r="P1029" s="4" t="s">
        <v>74</v>
      </c>
      <c r="Q1029" s="4">
        <v>2</v>
      </c>
      <c r="R1029" s="4">
        <v>24958</v>
      </c>
      <c r="S1029" s="5">
        <v>15</v>
      </c>
      <c r="T1029" s="6">
        <f t="shared" si="48"/>
        <v>42428.6</v>
      </c>
      <c r="U1029" s="4">
        <v>-3697.37</v>
      </c>
      <c r="V1029" t="str">
        <f t="shared" si="49"/>
        <v>Nov</v>
      </c>
      <c r="W1029">
        <f t="shared" si="50"/>
        <v>-8.7143341991015491E-2</v>
      </c>
    </row>
    <row r="1030" spans="1:23" x14ac:dyDescent="0.4">
      <c r="A1030" s="4" t="s">
        <v>2984</v>
      </c>
      <c r="B1030" s="4" t="s">
        <v>2182</v>
      </c>
      <c r="C1030" s="11">
        <v>45310</v>
      </c>
      <c r="D1030" s="4" t="s">
        <v>23</v>
      </c>
      <c r="E1030" s="4" t="s">
        <v>24</v>
      </c>
      <c r="F1030" s="4" t="s">
        <v>40</v>
      </c>
      <c r="G1030" s="4" t="s">
        <v>99</v>
      </c>
      <c r="H1030" s="4" t="s">
        <v>2985</v>
      </c>
      <c r="I1030" s="4" t="s">
        <v>43</v>
      </c>
      <c r="J1030" s="4" t="s">
        <v>62</v>
      </c>
      <c r="K1030" s="4" t="s">
        <v>44</v>
      </c>
      <c r="L1030" s="4" t="s">
        <v>805</v>
      </c>
      <c r="M1030" s="4" t="s">
        <v>32</v>
      </c>
      <c r="N1030" s="4" t="s">
        <v>33</v>
      </c>
      <c r="O1030" s="4" t="s">
        <v>120</v>
      </c>
      <c r="P1030" s="4" t="s">
        <v>74</v>
      </c>
      <c r="Q1030" s="4">
        <v>5</v>
      </c>
      <c r="R1030" s="4">
        <v>10132</v>
      </c>
      <c r="S1030" s="5">
        <v>10</v>
      </c>
      <c r="T1030" s="6">
        <f t="shared" si="48"/>
        <v>45594</v>
      </c>
      <c r="U1030" s="4">
        <v>-77.13</v>
      </c>
      <c r="V1030" t="str">
        <f t="shared" si="49"/>
        <v>Jan</v>
      </c>
      <c r="W1030">
        <f t="shared" si="50"/>
        <v>-1.6916699565732332E-3</v>
      </c>
    </row>
    <row r="1031" spans="1:23" x14ac:dyDescent="0.4">
      <c r="A1031" s="4" t="s">
        <v>2986</v>
      </c>
      <c r="B1031" s="4" t="s">
        <v>1193</v>
      </c>
      <c r="C1031" s="11">
        <v>44624</v>
      </c>
      <c r="D1031" s="4" t="s">
        <v>124</v>
      </c>
      <c r="E1031" s="4" t="s">
        <v>24</v>
      </c>
      <c r="F1031" s="4" t="s">
        <v>26</v>
      </c>
      <c r="G1031" s="4" t="s">
        <v>26</v>
      </c>
      <c r="H1031" s="4" t="s">
        <v>2987</v>
      </c>
      <c r="I1031" s="4" t="s">
        <v>28</v>
      </c>
      <c r="J1031" s="4" t="s">
        <v>79</v>
      </c>
      <c r="K1031" s="4" t="s">
        <v>86</v>
      </c>
      <c r="L1031" s="4" t="s">
        <v>228</v>
      </c>
      <c r="M1031" s="4" t="s">
        <v>32</v>
      </c>
      <c r="N1031" s="4" t="s">
        <v>33</v>
      </c>
      <c r="O1031" s="4" t="s">
        <v>66</v>
      </c>
      <c r="P1031" s="4" t="s">
        <v>88</v>
      </c>
      <c r="Q1031" s="4">
        <v>8</v>
      </c>
      <c r="R1031" s="4">
        <v>25404</v>
      </c>
      <c r="S1031" s="5">
        <v>5</v>
      </c>
      <c r="T1031" s="6">
        <f t="shared" si="48"/>
        <v>193070.4</v>
      </c>
      <c r="U1031" s="4">
        <v>33245.660000000003</v>
      </c>
      <c r="V1031" t="str">
        <f t="shared" si="49"/>
        <v>Feb</v>
      </c>
      <c r="W1031">
        <f t="shared" si="50"/>
        <v>0.17219449485783425</v>
      </c>
    </row>
    <row r="1032" spans="1:23" x14ac:dyDescent="0.4">
      <c r="A1032" s="4" t="s">
        <v>2988</v>
      </c>
      <c r="B1032" s="4" t="s">
        <v>732</v>
      </c>
      <c r="C1032" s="11">
        <v>44919</v>
      </c>
      <c r="D1032" s="4" t="s">
        <v>39</v>
      </c>
      <c r="E1032" s="4" t="s">
        <v>24</v>
      </c>
      <c r="F1032" s="4" t="s">
        <v>70</v>
      </c>
      <c r="G1032" s="4" t="s">
        <v>59</v>
      </c>
      <c r="H1032" s="4" t="s">
        <v>2989</v>
      </c>
      <c r="I1032" s="4" t="s">
        <v>61</v>
      </c>
      <c r="J1032" s="4" t="s">
        <v>79</v>
      </c>
      <c r="K1032" s="4" t="s">
        <v>101</v>
      </c>
      <c r="L1032" s="4" t="s">
        <v>237</v>
      </c>
      <c r="M1032" s="4" t="s">
        <v>81</v>
      </c>
      <c r="N1032" s="4" t="s">
        <v>54</v>
      </c>
      <c r="O1032" s="4" t="s">
        <v>82</v>
      </c>
      <c r="P1032" s="4" t="s">
        <v>35</v>
      </c>
      <c r="Q1032" s="4">
        <v>6</v>
      </c>
      <c r="R1032" s="4">
        <v>21636</v>
      </c>
      <c r="S1032" s="5">
        <v>20</v>
      </c>
      <c r="T1032" s="6">
        <f t="shared" si="48"/>
        <v>103852.8</v>
      </c>
      <c r="U1032" s="4">
        <v>-18178.560000000001</v>
      </c>
      <c r="V1032" t="str">
        <f t="shared" si="49"/>
        <v>Dec</v>
      </c>
      <c r="W1032">
        <f t="shared" si="50"/>
        <v>-0.17504159733777039</v>
      </c>
    </row>
    <row r="1033" spans="1:23" x14ac:dyDescent="0.4">
      <c r="A1033" s="4" t="s">
        <v>2990</v>
      </c>
      <c r="B1033" s="4" t="s">
        <v>2991</v>
      </c>
      <c r="C1033" s="11">
        <v>44934</v>
      </c>
      <c r="D1033" s="4" t="s">
        <v>23</v>
      </c>
      <c r="E1033" s="4" t="s">
        <v>24</v>
      </c>
      <c r="F1033" s="4" t="s">
        <v>26</v>
      </c>
      <c r="G1033" s="4" t="s">
        <v>99</v>
      </c>
      <c r="H1033" s="4" t="s">
        <v>2857</v>
      </c>
      <c r="I1033" s="4" t="s">
        <v>28</v>
      </c>
      <c r="J1033" s="4" t="s">
        <v>29</v>
      </c>
      <c r="K1033" s="4" t="s">
        <v>30</v>
      </c>
      <c r="L1033" s="4" t="s">
        <v>1482</v>
      </c>
      <c r="M1033" s="4" t="s">
        <v>65</v>
      </c>
      <c r="N1033" s="4" t="s">
        <v>54</v>
      </c>
      <c r="O1033" s="4" t="s">
        <v>82</v>
      </c>
      <c r="P1033" s="4" t="s">
        <v>88</v>
      </c>
      <c r="Q1033" s="4">
        <v>1</v>
      </c>
      <c r="R1033" s="4">
        <v>44189</v>
      </c>
      <c r="S1033" s="5">
        <v>10</v>
      </c>
      <c r="T1033" s="6">
        <f t="shared" si="48"/>
        <v>39770.1</v>
      </c>
      <c r="U1033" s="4">
        <v>-1413.6</v>
      </c>
      <c r="V1033" t="str">
        <f t="shared" si="49"/>
        <v>Jan</v>
      </c>
      <c r="W1033">
        <f t="shared" si="50"/>
        <v>-3.5544290811438742E-2</v>
      </c>
    </row>
    <row r="1034" spans="1:23" x14ac:dyDescent="0.4">
      <c r="A1034" s="4" t="s">
        <v>2992</v>
      </c>
      <c r="B1034" s="4" t="s">
        <v>659</v>
      </c>
      <c r="C1034" s="11">
        <v>44732</v>
      </c>
      <c r="D1034" s="4" t="s">
        <v>98</v>
      </c>
      <c r="E1034" s="4" t="s">
        <v>24</v>
      </c>
      <c r="F1034" s="4" t="s">
        <v>26</v>
      </c>
      <c r="G1034" s="4" t="s">
        <v>99</v>
      </c>
      <c r="H1034" s="4" t="s">
        <v>2993</v>
      </c>
      <c r="I1034" s="4" t="s">
        <v>43</v>
      </c>
      <c r="J1034" s="4" t="s">
        <v>29</v>
      </c>
      <c r="K1034" s="4" t="s">
        <v>153</v>
      </c>
      <c r="L1034" s="4" t="s">
        <v>1457</v>
      </c>
      <c r="M1034" s="4" t="s">
        <v>81</v>
      </c>
      <c r="N1034" s="4" t="s">
        <v>54</v>
      </c>
      <c r="O1034" s="4" t="s">
        <v>66</v>
      </c>
      <c r="P1034" s="4" t="s">
        <v>35</v>
      </c>
      <c r="Q1034" s="4">
        <v>3</v>
      </c>
      <c r="R1034" s="4">
        <v>47034</v>
      </c>
      <c r="S1034" s="5">
        <v>15</v>
      </c>
      <c r="T1034" s="6">
        <f t="shared" si="48"/>
        <v>119936.7</v>
      </c>
      <c r="U1034" s="4">
        <v>3802.3</v>
      </c>
      <c r="V1034" t="str">
        <f t="shared" si="49"/>
        <v>Jun</v>
      </c>
      <c r="W1034">
        <f t="shared" si="50"/>
        <v>3.1702556431851138E-2</v>
      </c>
    </row>
    <row r="1035" spans="1:23" x14ac:dyDescent="0.4">
      <c r="A1035" s="4" t="s">
        <v>2994</v>
      </c>
      <c r="B1035" s="4" t="s">
        <v>2039</v>
      </c>
      <c r="C1035" s="11">
        <v>44714</v>
      </c>
      <c r="D1035" s="4" t="s">
        <v>98</v>
      </c>
      <c r="E1035" s="4" t="s">
        <v>24</v>
      </c>
      <c r="F1035" s="4" t="s">
        <v>70</v>
      </c>
      <c r="G1035" s="4" t="s">
        <v>92</v>
      </c>
      <c r="H1035" s="4" t="s">
        <v>2995</v>
      </c>
      <c r="I1035" s="4" t="s">
        <v>61</v>
      </c>
      <c r="J1035" s="4" t="s">
        <v>29</v>
      </c>
      <c r="K1035" s="4" t="s">
        <v>63</v>
      </c>
      <c r="L1035" s="4" t="s">
        <v>186</v>
      </c>
      <c r="M1035" s="4" t="s">
        <v>81</v>
      </c>
      <c r="N1035" s="4" t="s">
        <v>33</v>
      </c>
      <c r="O1035" s="4" t="s">
        <v>34</v>
      </c>
      <c r="P1035" s="4" t="s">
        <v>47</v>
      </c>
      <c r="Q1035" s="4">
        <v>8</v>
      </c>
      <c r="R1035" s="4">
        <v>49992</v>
      </c>
      <c r="S1035" s="5">
        <v>0</v>
      </c>
      <c r="T1035" s="6">
        <f t="shared" si="48"/>
        <v>399936</v>
      </c>
      <c r="U1035" s="4">
        <v>50155.1</v>
      </c>
      <c r="V1035" t="str">
        <f t="shared" si="49"/>
        <v>May</v>
      </c>
      <c r="W1035">
        <f t="shared" si="50"/>
        <v>0.12540781525044006</v>
      </c>
    </row>
    <row r="1036" spans="1:23" x14ac:dyDescent="0.4">
      <c r="A1036" s="4" t="s">
        <v>2996</v>
      </c>
      <c r="B1036" s="4" t="s">
        <v>2997</v>
      </c>
      <c r="C1036" s="11">
        <v>45398</v>
      </c>
      <c r="D1036" s="4" t="s">
        <v>23</v>
      </c>
      <c r="E1036" s="4" t="s">
        <v>24</v>
      </c>
      <c r="F1036" s="4" t="s">
        <v>40</v>
      </c>
      <c r="G1036" s="4" t="s">
        <v>26</v>
      </c>
      <c r="H1036" s="4" t="s">
        <v>2998</v>
      </c>
      <c r="I1036" s="4" t="s">
        <v>28</v>
      </c>
      <c r="J1036" s="4" t="s">
        <v>62</v>
      </c>
      <c r="K1036" s="4" t="s">
        <v>153</v>
      </c>
      <c r="L1036" s="4" t="s">
        <v>171</v>
      </c>
      <c r="M1036" s="4" t="s">
        <v>32</v>
      </c>
      <c r="N1036" s="4" t="s">
        <v>33</v>
      </c>
      <c r="O1036" s="4" t="s">
        <v>46</v>
      </c>
      <c r="P1036" s="4" t="s">
        <v>35</v>
      </c>
      <c r="Q1036" s="4">
        <v>5</v>
      </c>
      <c r="R1036" s="4">
        <v>17287</v>
      </c>
      <c r="S1036" s="5">
        <v>20</v>
      </c>
      <c r="T1036" s="6">
        <f t="shared" si="48"/>
        <v>69148</v>
      </c>
      <c r="U1036" s="4">
        <v>-10564.52</v>
      </c>
      <c r="V1036" t="str">
        <f t="shared" si="49"/>
        <v>Apr</v>
      </c>
      <c r="W1036">
        <f t="shared" si="50"/>
        <v>-0.1527812807311853</v>
      </c>
    </row>
    <row r="1037" spans="1:23" x14ac:dyDescent="0.4">
      <c r="A1037" s="4" t="s">
        <v>2999</v>
      </c>
      <c r="B1037" s="4" t="s">
        <v>3000</v>
      </c>
      <c r="C1037" s="11">
        <v>44865</v>
      </c>
      <c r="D1037" s="4" t="s">
        <v>23</v>
      </c>
      <c r="E1037" s="4" t="s">
        <v>24</v>
      </c>
      <c r="F1037" s="4" t="s">
        <v>58</v>
      </c>
      <c r="G1037" s="4" t="s">
        <v>92</v>
      </c>
      <c r="H1037" s="4" t="s">
        <v>3002</v>
      </c>
      <c r="I1037" s="4" t="s">
        <v>43</v>
      </c>
      <c r="J1037" s="4" t="s">
        <v>29</v>
      </c>
      <c r="K1037" s="4" t="s">
        <v>63</v>
      </c>
      <c r="L1037" s="4" t="s">
        <v>544</v>
      </c>
      <c r="M1037" s="4" t="s">
        <v>32</v>
      </c>
      <c r="N1037" s="4" t="s">
        <v>54</v>
      </c>
      <c r="O1037" s="4" t="s">
        <v>46</v>
      </c>
      <c r="P1037" s="4" t="s">
        <v>74</v>
      </c>
      <c r="Q1037" s="4">
        <v>6</v>
      </c>
      <c r="R1037" s="4">
        <v>32749</v>
      </c>
      <c r="S1037" s="5">
        <v>15</v>
      </c>
      <c r="T1037" s="6">
        <f t="shared" si="48"/>
        <v>167019.9</v>
      </c>
      <c r="U1037" s="4">
        <v>27391.53</v>
      </c>
      <c r="V1037" t="str">
        <f t="shared" si="49"/>
        <v>Oct</v>
      </c>
      <c r="W1037">
        <f t="shared" si="50"/>
        <v>0.16400159501951564</v>
      </c>
    </row>
    <row r="1038" spans="1:23" x14ac:dyDescent="0.4">
      <c r="A1038" s="4" t="s">
        <v>3003</v>
      </c>
      <c r="B1038" s="4" t="s">
        <v>2022</v>
      </c>
      <c r="C1038" s="11">
        <v>45093</v>
      </c>
      <c r="D1038" s="4" t="s">
        <v>23</v>
      </c>
      <c r="E1038" s="4" t="s">
        <v>24</v>
      </c>
      <c r="F1038" s="4" t="s">
        <v>26</v>
      </c>
      <c r="G1038" s="4" t="s">
        <v>99</v>
      </c>
      <c r="H1038" s="4" t="s">
        <v>3004</v>
      </c>
      <c r="I1038" s="4" t="s">
        <v>43</v>
      </c>
      <c r="J1038" s="4" t="s">
        <v>62</v>
      </c>
      <c r="K1038" s="4" t="s">
        <v>44</v>
      </c>
      <c r="L1038" s="4" t="s">
        <v>1605</v>
      </c>
      <c r="M1038" s="4" t="s">
        <v>53</v>
      </c>
      <c r="N1038" s="4" t="s">
        <v>54</v>
      </c>
      <c r="O1038" s="4" t="s">
        <v>46</v>
      </c>
      <c r="P1038" s="4" t="s">
        <v>88</v>
      </c>
      <c r="Q1038" s="4">
        <v>5</v>
      </c>
      <c r="R1038" s="4">
        <v>27480</v>
      </c>
      <c r="S1038" s="5">
        <v>5</v>
      </c>
      <c r="T1038" s="6">
        <f t="shared" si="48"/>
        <v>130530</v>
      </c>
      <c r="U1038" s="4">
        <v>26601.5</v>
      </c>
      <c r="V1038" t="str">
        <f t="shared" si="49"/>
        <v>Jun</v>
      </c>
      <c r="W1038">
        <f t="shared" si="50"/>
        <v>0.20379606220792154</v>
      </c>
    </row>
    <row r="1039" spans="1:23" x14ac:dyDescent="0.4">
      <c r="A1039" s="4" t="s">
        <v>3005</v>
      </c>
      <c r="B1039" s="4" t="s">
        <v>479</v>
      </c>
      <c r="C1039" s="11">
        <v>45028</v>
      </c>
      <c r="D1039" s="4" t="s">
        <v>39</v>
      </c>
      <c r="E1039" s="4" t="s">
        <v>24</v>
      </c>
      <c r="F1039" s="4" t="s">
        <v>70</v>
      </c>
      <c r="G1039" s="4" t="s">
        <v>99</v>
      </c>
      <c r="H1039" s="4" t="s">
        <v>3006</v>
      </c>
      <c r="I1039" s="4" t="s">
        <v>43</v>
      </c>
      <c r="J1039" s="4" t="s">
        <v>79</v>
      </c>
      <c r="K1039" s="4" t="s">
        <v>63</v>
      </c>
      <c r="L1039" s="4" t="s">
        <v>1453</v>
      </c>
      <c r="M1039" s="4" t="s">
        <v>95</v>
      </c>
      <c r="N1039" s="4" t="s">
        <v>54</v>
      </c>
      <c r="O1039" s="4" t="s">
        <v>82</v>
      </c>
      <c r="P1039" s="4" t="s">
        <v>88</v>
      </c>
      <c r="Q1039" s="4">
        <v>5</v>
      </c>
      <c r="R1039" s="4">
        <v>34363</v>
      </c>
      <c r="S1039" s="5">
        <v>0</v>
      </c>
      <c r="T1039" s="6">
        <f t="shared" si="48"/>
        <v>171815</v>
      </c>
      <c r="U1039" s="4">
        <v>38394.18</v>
      </c>
      <c r="V1039" t="str">
        <f t="shared" si="49"/>
        <v>Apr</v>
      </c>
      <c r="W1039">
        <f t="shared" si="50"/>
        <v>0.2234623286674621</v>
      </c>
    </row>
    <row r="1040" spans="1:23" x14ac:dyDescent="0.4">
      <c r="A1040" s="4" t="s">
        <v>3007</v>
      </c>
      <c r="B1040" s="4" t="s">
        <v>290</v>
      </c>
      <c r="C1040" s="11">
        <v>45133</v>
      </c>
      <c r="D1040" s="4" t="s">
        <v>23</v>
      </c>
      <c r="E1040" s="4" t="s">
        <v>24</v>
      </c>
      <c r="F1040" s="4" t="s">
        <v>58</v>
      </c>
      <c r="G1040" s="4" t="s">
        <v>99</v>
      </c>
      <c r="H1040" s="4" t="s">
        <v>3008</v>
      </c>
      <c r="I1040" s="4" t="s">
        <v>43</v>
      </c>
      <c r="J1040" s="4" t="s">
        <v>79</v>
      </c>
      <c r="K1040" s="4" t="s">
        <v>44</v>
      </c>
      <c r="L1040" s="4" t="s">
        <v>610</v>
      </c>
      <c r="M1040" s="4" t="s">
        <v>95</v>
      </c>
      <c r="N1040" s="4" t="s">
        <v>54</v>
      </c>
      <c r="O1040" s="4" t="s">
        <v>120</v>
      </c>
      <c r="P1040" s="4" t="s">
        <v>47</v>
      </c>
      <c r="Q1040" s="4">
        <v>9</v>
      </c>
      <c r="R1040" s="4">
        <v>9021</v>
      </c>
      <c r="S1040" s="5">
        <v>10</v>
      </c>
      <c r="T1040" s="6">
        <f t="shared" si="48"/>
        <v>73070.100000000006</v>
      </c>
      <c r="U1040" s="4">
        <v>8623.57</v>
      </c>
      <c r="V1040" t="str">
        <f t="shared" si="49"/>
        <v>Jul</v>
      </c>
      <c r="W1040">
        <f t="shared" si="50"/>
        <v>0.11801776650093539</v>
      </c>
    </row>
    <row r="1041" spans="1:23" x14ac:dyDescent="0.4">
      <c r="A1041" s="4" t="s">
        <v>3009</v>
      </c>
      <c r="B1041" s="4" t="s">
        <v>612</v>
      </c>
      <c r="C1041" s="11">
        <v>44668</v>
      </c>
      <c r="D1041" s="4" t="s">
        <v>98</v>
      </c>
      <c r="E1041" s="4" t="s">
        <v>24</v>
      </c>
      <c r="F1041" s="4" t="s">
        <v>58</v>
      </c>
      <c r="G1041" s="4" t="s">
        <v>92</v>
      </c>
      <c r="H1041" s="4" t="s">
        <v>3010</v>
      </c>
      <c r="I1041" s="4" t="s">
        <v>61</v>
      </c>
      <c r="J1041" s="4" t="s">
        <v>79</v>
      </c>
      <c r="K1041" s="4" t="s">
        <v>63</v>
      </c>
      <c r="L1041" s="4" t="s">
        <v>704</v>
      </c>
      <c r="M1041" s="4" t="s">
        <v>95</v>
      </c>
      <c r="N1041" s="4" t="s">
        <v>54</v>
      </c>
      <c r="O1041" s="4" t="s">
        <v>82</v>
      </c>
      <c r="P1041" s="4" t="s">
        <v>47</v>
      </c>
      <c r="Q1041" s="4">
        <v>10</v>
      </c>
      <c r="R1041" s="4">
        <v>19742</v>
      </c>
      <c r="S1041" s="5">
        <v>10</v>
      </c>
      <c r="T1041" s="6">
        <f t="shared" si="48"/>
        <v>177678</v>
      </c>
      <c r="U1041" s="4">
        <v>-340.09</v>
      </c>
      <c r="V1041" t="str">
        <f t="shared" si="49"/>
        <v>Apr</v>
      </c>
      <c r="W1041">
        <f t="shared" si="50"/>
        <v>-1.9140805276961694E-3</v>
      </c>
    </row>
    <row r="1042" spans="1:23" x14ac:dyDescent="0.4">
      <c r="A1042" s="4" t="s">
        <v>3011</v>
      </c>
      <c r="B1042" s="4" t="s">
        <v>402</v>
      </c>
      <c r="C1042" s="11">
        <v>44886</v>
      </c>
      <c r="D1042" s="4" t="s">
        <v>124</v>
      </c>
      <c r="E1042" s="4" t="s">
        <v>24</v>
      </c>
      <c r="F1042" s="4" t="s">
        <v>40</v>
      </c>
      <c r="G1042" s="4" t="s">
        <v>41</v>
      </c>
      <c r="H1042" s="4" t="s">
        <v>576</v>
      </c>
      <c r="I1042" s="4" t="s">
        <v>61</v>
      </c>
      <c r="J1042" s="4" t="s">
        <v>29</v>
      </c>
      <c r="K1042" s="4" t="s">
        <v>44</v>
      </c>
      <c r="L1042" s="4" t="s">
        <v>306</v>
      </c>
      <c r="M1042" s="4" t="s">
        <v>95</v>
      </c>
      <c r="N1042" s="4" t="s">
        <v>54</v>
      </c>
      <c r="O1042" s="4" t="s">
        <v>34</v>
      </c>
      <c r="P1042" s="4" t="s">
        <v>74</v>
      </c>
      <c r="Q1042" s="4">
        <v>6</v>
      </c>
      <c r="R1042" s="4">
        <v>42738</v>
      </c>
      <c r="S1042" s="5">
        <v>15</v>
      </c>
      <c r="T1042" s="6">
        <f t="shared" si="48"/>
        <v>217963.8</v>
      </c>
      <c r="U1042" s="4">
        <v>17658.830000000002</v>
      </c>
      <c r="V1042" t="str">
        <f t="shared" si="49"/>
        <v>Nov</v>
      </c>
      <c r="W1042">
        <f t="shared" si="50"/>
        <v>8.1017260664385568E-2</v>
      </c>
    </row>
    <row r="1043" spans="1:23" x14ac:dyDescent="0.4">
      <c r="A1043" s="4" t="s">
        <v>3012</v>
      </c>
      <c r="B1043" s="4" t="s">
        <v>1569</v>
      </c>
      <c r="C1043" s="11">
        <v>45321</v>
      </c>
      <c r="D1043" s="4" t="s">
        <v>98</v>
      </c>
      <c r="E1043" s="4" t="s">
        <v>24</v>
      </c>
      <c r="F1043" s="4" t="s">
        <v>58</v>
      </c>
      <c r="G1043" s="4" t="s">
        <v>59</v>
      </c>
      <c r="H1043" s="4" t="s">
        <v>3013</v>
      </c>
      <c r="I1043" s="4" t="s">
        <v>28</v>
      </c>
      <c r="J1043" s="4" t="s">
        <v>79</v>
      </c>
      <c r="K1043" s="4" t="s">
        <v>153</v>
      </c>
      <c r="L1043" s="4" t="s">
        <v>1148</v>
      </c>
      <c r="M1043" s="4" t="s">
        <v>95</v>
      </c>
      <c r="N1043" s="4" t="s">
        <v>54</v>
      </c>
      <c r="O1043" s="4" t="s">
        <v>46</v>
      </c>
      <c r="P1043" s="4" t="s">
        <v>74</v>
      </c>
      <c r="Q1043" s="4">
        <v>10</v>
      </c>
      <c r="R1043" s="4">
        <v>9753</v>
      </c>
      <c r="S1043" s="5">
        <v>15</v>
      </c>
      <c r="T1043" s="6">
        <f t="shared" si="48"/>
        <v>82900.5</v>
      </c>
      <c r="U1043" s="4">
        <v>8274.6</v>
      </c>
      <c r="V1043" t="str">
        <f t="shared" si="49"/>
        <v>Jan</v>
      </c>
      <c r="W1043">
        <f t="shared" si="50"/>
        <v>9.9813632004632058E-2</v>
      </c>
    </row>
    <row r="1044" spans="1:23" x14ac:dyDescent="0.4">
      <c r="A1044" s="4" t="s">
        <v>3014</v>
      </c>
      <c r="B1044" s="4" t="s">
        <v>2691</v>
      </c>
      <c r="C1044" s="11">
        <v>45241</v>
      </c>
      <c r="D1044" s="4" t="s">
        <v>23</v>
      </c>
      <c r="E1044" s="4" t="s">
        <v>24</v>
      </c>
      <c r="F1044" s="4" t="s">
        <v>70</v>
      </c>
      <c r="G1044" s="4" t="s">
        <v>41</v>
      </c>
      <c r="H1044" s="4" t="s">
        <v>3015</v>
      </c>
      <c r="I1044" s="4" t="s">
        <v>43</v>
      </c>
      <c r="J1044" s="4" t="s">
        <v>79</v>
      </c>
      <c r="K1044" s="4" t="s">
        <v>30</v>
      </c>
      <c r="L1044" s="4" t="s">
        <v>481</v>
      </c>
      <c r="M1044" s="4" t="s">
        <v>53</v>
      </c>
      <c r="N1044" s="4" t="s">
        <v>33</v>
      </c>
      <c r="O1044" s="4" t="s">
        <v>46</v>
      </c>
      <c r="P1044" s="4" t="s">
        <v>47</v>
      </c>
      <c r="Q1044" s="4">
        <v>8</v>
      </c>
      <c r="R1044" s="4">
        <v>21408</v>
      </c>
      <c r="S1044" s="5">
        <v>10</v>
      </c>
      <c r="T1044" s="6">
        <f t="shared" si="48"/>
        <v>154137.60000000001</v>
      </c>
      <c r="U1044" s="4">
        <v>31900.15</v>
      </c>
      <c r="V1044" t="str">
        <f t="shared" si="49"/>
        <v>Nov</v>
      </c>
      <c r="W1044">
        <f t="shared" si="50"/>
        <v>0.20695891203703703</v>
      </c>
    </row>
    <row r="1045" spans="1:23" x14ac:dyDescent="0.4">
      <c r="A1045" s="4" t="s">
        <v>3016</v>
      </c>
      <c r="B1045" s="4" t="s">
        <v>3017</v>
      </c>
      <c r="C1045" s="11">
        <v>45248</v>
      </c>
      <c r="D1045" s="4" t="s">
        <v>39</v>
      </c>
      <c r="E1045" s="4" t="s">
        <v>24</v>
      </c>
      <c r="F1045" s="4" t="s">
        <v>70</v>
      </c>
      <c r="G1045" s="4" t="s">
        <v>26</v>
      </c>
      <c r="H1045" s="4" t="s">
        <v>3018</v>
      </c>
      <c r="I1045" s="4" t="s">
        <v>43</v>
      </c>
      <c r="J1045" s="4" t="s">
        <v>62</v>
      </c>
      <c r="K1045" s="4" t="s">
        <v>44</v>
      </c>
      <c r="L1045" s="4" t="s">
        <v>792</v>
      </c>
      <c r="M1045" s="4" t="s">
        <v>32</v>
      </c>
      <c r="N1045" s="4" t="s">
        <v>54</v>
      </c>
      <c r="O1045" s="4" t="s">
        <v>120</v>
      </c>
      <c r="P1045" s="4" t="s">
        <v>88</v>
      </c>
      <c r="Q1045" s="4">
        <v>3</v>
      </c>
      <c r="R1045" s="4">
        <v>40263</v>
      </c>
      <c r="S1045" s="5">
        <v>5</v>
      </c>
      <c r="T1045" s="6">
        <f t="shared" si="48"/>
        <v>114749.55</v>
      </c>
      <c r="U1045" s="4">
        <v>10827.48</v>
      </c>
      <c r="V1045" t="str">
        <f t="shared" si="49"/>
        <v>Nov</v>
      </c>
      <c r="W1045">
        <f t="shared" si="50"/>
        <v>9.4357494212395601E-2</v>
      </c>
    </row>
    <row r="1046" spans="1:23" x14ac:dyDescent="0.4">
      <c r="A1046" s="4" t="s">
        <v>3019</v>
      </c>
      <c r="B1046" s="4" t="s">
        <v>1160</v>
      </c>
      <c r="C1046" s="11">
        <v>44625</v>
      </c>
      <c r="D1046" s="4" t="s">
        <v>98</v>
      </c>
      <c r="E1046" s="4" t="s">
        <v>24</v>
      </c>
      <c r="F1046" s="4" t="s">
        <v>25</v>
      </c>
      <c r="G1046" s="4" t="s">
        <v>92</v>
      </c>
      <c r="H1046" s="4" t="s">
        <v>3020</v>
      </c>
      <c r="I1046" s="4" t="s">
        <v>61</v>
      </c>
      <c r="J1046" s="4" t="s">
        <v>29</v>
      </c>
      <c r="K1046" s="4" t="s">
        <v>63</v>
      </c>
      <c r="L1046" s="4" t="s">
        <v>900</v>
      </c>
      <c r="M1046" s="4" t="s">
        <v>65</v>
      </c>
      <c r="N1046" s="4" t="s">
        <v>33</v>
      </c>
      <c r="O1046" s="4" t="s">
        <v>66</v>
      </c>
      <c r="P1046" s="4" t="s">
        <v>35</v>
      </c>
      <c r="Q1046" s="4">
        <v>8</v>
      </c>
      <c r="R1046" s="4">
        <v>41881</v>
      </c>
      <c r="S1046" s="5">
        <v>5</v>
      </c>
      <c r="T1046" s="6">
        <f t="shared" si="48"/>
        <v>318295.59999999998</v>
      </c>
      <c r="U1046" s="4">
        <v>54537.86</v>
      </c>
      <c r="V1046" t="str">
        <f t="shared" si="49"/>
        <v>Feb</v>
      </c>
      <c r="W1046">
        <f t="shared" si="50"/>
        <v>0.17134343044641523</v>
      </c>
    </row>
    <row r="1047" spans="1:23" x14ac:dyDescent="0.4">
      <c r="A1047" s="4" t="s">
        <v>3021</v>
      </c>
      <c r="B1047" s="4" t="s">
        <v>2157</v>
      </c>
      <c r="C1047" s="11">
        <v>45368</v>
      </c>
      <c r="D1047" s="4" t="s">
        <v>124</v>
      </c>
      <c r="E1047" s="4" t="s">
        <v>24</v>
      </c>
      <c r="F1047" s="4" t="s">
        <v>40</v>
      </c>
      <c r="G1047" s="4" t="s">
        <v>26</v>
      </c>
      <c r="H1047" s="4" t="s">
        <v>2615</v>
      </c>
      <c r="I1047" s="4" t="s">
        <v>43</v>
      </c>
      <c r="J1047" s="4" t="s">
        <v>79</v>
      </c>
      <c r="K1047" s="4" t="s">
        <v>153</v>
      </c>
      <c r="L1047" s="4" t="s">
        <v>418</v>
      </c>
      <c r="M1047" s="4" t="s">
        <v>65</v>
      </c>
      <c r="N1047" s="4" t="s">
        <v>54</v>
      </c>
      <c r="O1047" s="4" t="s">
        <v>120</v>
      </c>
      <c r="P1047" s="4" t="s">
        <v>47</v>
      </c>
      <c r="Q1047" s="4">
        <v>3</v>
      </c>
      <c r="R1047" s="4">
        <v>28949</v>
      </c>
      <c r="S1047" s="5">
        <v>5</v>
      </c>
      <c r="T1047" s="6">
        <f t="shared" si="48"/>
        <v>82504.649999999994</v>
      </c>
      <c r="U1047" s="4">
        <v>15151.13</v>
      </c>
      <c r="V1047" t="str">
        <f t="shared" si="49"/>
        <v>Mar</v>
      </c>
      <c r="W1047">
        <f t="shared" si="50"/>
        <v>0.18363971000422399</v>
      </c>
    </row>
    <row r="1048" spans="1:23" x14ac:dyDescent="0.4">
      <c r="A1048" s="4" t="s">
        <v>3022</v>
      </c>
      <c r="B1048" s="4" t="s">
        <v>220</v>
      </c>
      <c r="C1048" s="11">
        <v>45156</v>
      </c>
      <c r="D1048" s="4" t="s">
        <v>124</v>
      </c>
      <c r="E1048" s="4" t="s">
        <v>24</v>
      </c>
      <c r="F1048" s="4" t="s">
        <v>70</v>
      </c>
      <c r="G1048" s="4" t="s">
        <v>99</v>
      </c>
      <c r="H1048" s="4" t="s">
        <v>3023</v>
      </c>
      <c r="I1048" s="4" t="s">
        <v>43</v>
      </c>
      <c r="J1048" s="4" t="s">
        <v>79</v>
      </c>
      <c r="K1048" s="4" t="s">
        <v>153</v>
      </c>
      <c r="L1048" s="4" t="s">
        <v>159</v>
      </c>
      <c r="M1048" s="4" t="s">
        <v>53</v>
      </c>
      <c r="N1048" s="4" t="s">
        <v>33</v>
      </c>
      <c r="O1048" s="4" t="s">
        <v>82</v>
      </c>
      <c r="P1048" s="4" t="s">
        <v>74</v>
      </c>
      <c r="Q1048" s="4">
        <v>5</v>
      </c>
      <c r="R1048" s="4">
        <v>9264</v>
      </c>
      <c r="S1048" s="5">
        <v>20</v>
      </c>
      <c r="T1048" s="6">
        <f t="shared" si="48"/>
        <v>37056</v>
      </c>
      <c r="U1048" s="4">
        <v>-6100.51</v>
      </c>
      <c r="V1048" t="str">
        <f t="shared" si="49"/>
        <v>Aug</v>
      </c>
      <c r="W1048">
        <f t="shared" si="50"/>
        <v>-0.16462947970639033</v>
      </c>
    </row>
    <row r="1049" spans="1:23" x14ac:dyDescent="0.4">
      <c r="A1049" s="4" t="s">
        <v>3024</v>
      </c>
      <c r="B1049" s="4" t="s">
        <v>2114</v>
      </c>
      <c r="C1049" s="11">
        <v>45432</v>
      </c>
      <c r="D1049" s="4" t="s">
        <v>124</v>
      </c>
      <c r="E1049" s="4" t="s">
        <v>24</v>
      </c>
      <c r="F1049" s="4" t="s">
        <v>25</v>
      </c>
      <c r="G1049" s="4" t="s">
        <v>26</v>
      </c>
      <c r="H1049" s="4" t="s">
        <v>3025</v>
      </c>
      <c r="I1049" s="4" t="s">
        <v>28</v>
      </c>
      <c r="J1049" s="4" t="s">
        <v>79</v>
      </c>
      <c r="K1049" s="4" t="s">
        <v>101</v>
      </c>
      <c r="L1049" s="4" t="s">
        <v>119</v>
      </c>
      <c r="M1049" s="4" t="s">
        <v>95</v>
      </c>
      <c r="N1049" s="4" t="s">
        <v>33</v>
      </c>
      <c r="O1049" s="4" t="s">
        <v>46</v>
      </c>
      <c r="P1049" s="4" t="s">
        <v>47</v>
      </c>
      <c r="Q1049" s="4">
        <v>5</v>
      </c>
      <c r="R1049" s="4">
        <v>18219</v>
      </c>
      <c r="S1049" s="5">
        <v>5</v>
      </c>
      <c r="T1049" s="6">
        <f t="shared" si="48"/>
        <v>86540.25</v>
      </c>
      <c r="U1049" s="4">
        <v>5099.84</v>
      </c>
      <c r="V1049" t="str">
        <f t="shared" si="49"/>
        <v>May</v>
      </c>
      <c r="W1049">
        <f t="shared" si="50"/>
        <v>5.8930266552269031E-2</v>
      </c>
    </row>
    <row r="1050" spans="1:23" x14ac:dyDescent="0.4">
      <c r="A1050" s="4" t="s">
        <v>3026</v>
      </c>
      <c r="B1050" s="4" t="s">
        <v>3027</v>
      </c>
      <c r="C1050" s="11">
        <v>44641</v>
      </c>
      <c r="D1050" s="4" t="s">
        <v>124</v>
      </c>
      <c r="E1050" s="4" t="s">
        <v>24</v>
      </c>
      <c r="F1050" s="4" t="s">
        <v>58</v>
      </c>
      <c r="G1050" s="4" t="s">
        <v>99</v>
      </c>
      <c r="H1050" s="4" t="s">
        <v>3028</v>
      </c>
      <c r="I1050" s="4" t="s">
        <v>28</v>
      </c>
      <c r="J1050" s="4" t="s">
        <v>62</v>
      </c>
      <c r="K1050" s="4" t="s">
        <v>44</v>
      </c>
      <c r="L1050" s="4" t="s">
        <v>699</v>
      </c>
      <c r="M1050" s="4" t="s">
        <v>53</v>
      </c>
      <c r="N1050" s="4" t="s">
        <v>54</v>
      </c>
      <c r="O1050" s="4" t="s">
        <v>66</v>
      </c>
      <c r="P1050" s="4" t="s">
        <v>35</v>
      </c>
      <c r="Q1050" s="4">
        <v>7</v>
      </c>
      <c r="R1050" s="4">
        <v>8255</v>
      </c>
      <c r="S1050" s="5">
        <v>20</v>
      </c>
      <c r="T1050" s="6">
        <f t="shared" si="48"/>
        <v>46228</v>
      </c>
      <c r="U1050" s="4">
        <v>-5580.98</v>
      </c>
      <c r="V1050" t="str">
        <f t="shared" si="49"/>
        <v>Mar</v>
      </c>
      <c r="W1050">
        <f t="shared" si="50"/>
        <v>-0.12072726486112312</v>
      </c>
    </row>
    <row r="1051" spans="1:23" x14ac:dyDescent="0.4">
      <c r="A1051" s="4" t="s">
        <v>3029</v>
      </c>
      <c r="B1051" s="4" t="s">
        <v>117</v>
      </c>
      <c r="C1051" s="11">
        <v>44709</v>
      </c>
      <c r="D1051" s="4" t="s">
        <v>98</v>
      </c>
      <c r="E1051" s="4" t="s">
        <v>24</v>
      </c>
      <c r="F1051" s="4" t="s">
        <v>70</v>
      </c>
      <c r="G1051" s="4" t="s">
        <v>92</v>
      </c>
      <c r="H1051" s="4" t="s">
        <v>3030</v>
      </c>
      <c r="I1051" s="4" t="s">
        <v>43</v>
      </c>
      <c r="J1051" s="4" t="s">
        <v>29</v>
      </c>
      <c r="K1051" s="4" t="s">
        <v>153</v>
      </c>
      <c r="L1051" s="4" t="s">
        <v>2139</v>
      </c>
      <c r="M1051" s="4" t="s">
        <v>73</v>
      </c>
      <c r="N1051" s="4" t="s">
        <v>33</v>
      </c>
      <c r="O1051" s="4" t="s">
        <v>34</v>
      </c>
      <c r="P1051" s="4" t="s">
        <v>74</v>
      </c>
      <c r="Q1051" s="4">
        <v>7</v>
      </c>
      <c r="R1051" s="4">
        <v>19053</v>
      </c>
      <c r="S1051" s="5">
        <v>5</v>
      </c>
      <c r="T1051" s="6">
        <f t="shared" si="48"/>
        <v>126702.45</v>
      </c>
      <c r="U1051" s="4">
        <v>32531.74</v>
      </c>
      <c r="V1051" t="str">
        <f t="shared" si="49"/>
        <v>May</v>
      </c>
      <c r="W1051">
        <f t="shared" si="50"/>
        <v>0.256756992465418</v>
      </c>
    </row>
    <row r="1052" spans="1:23" x14ac:dyDescent="0.4">
      <c r="A1052" s="4" t="s">
        <v>3031</v>
      </c>
      <c r="B1052" s="4" t="s">
        <v>1695</v>
      </c>
      <c r="C1052" s="11">
        <v>44589</v>
      </c>
      <c r="D1052" s="4" t="s">
        <v>23</v>
      </c>
      <c r="E1052" s="4" t="s">
        <v>24</v>
      </c>
      <c r="F1052" s="4" t="s">
        <v>40</v>
      </c>
      <c r="G1052" s="4" t="s">
        <v>41</v>
      </c>
      <c r="H1052" s="4" t="s">
        <v>3033</v>
      </c>
      <c r="I1052" s="4" t="s">
        <v>28</v>
      </c>
      <c r="J1052" s="4" t="s">
        <v>79</v>
      </c>
      <c r="K1052" s="4" t="s">
        <v>30</v>
      </c>
      <c r="L1052" s="4" t="s">
        <v>1270</v>
      </c>
      <c r="M1052" s="4" t="s">
        <v>95</v>
      </c>
      <c r="N1052" s="4" t="s">
        <v>33</v>
      </c>
      <c r="O1052" s="4" t="s">
        <v>46</v>
      </c>
      <c r="P1052" s="4" t="s">
        <v>35</v>
      </c>
      <c r="Q1052" s="4">
        <v>2</v>
      </c>
      <c r="R1052" s="4">
        <v>46680</v>
      </c>
      <c r="S1052" s="5">
        <v>15</v>
      </c>
      <c r="T1052" s="6">
        <f t="shared" si="48"/>
        <v>79356</v>
      </c>
      <c r="U1052" s="4">
        <v>-7525.78</v>
      </c>
      <c r="V1052" t="str">
        <f t="shared" si="49"/>
        <v>Jan</v>
      </c>
      <c r="W1052">
        <f t="shared" si="50"/>
        <v>-9.4835677201471846E-2</v>
      </c>
    </row>
    <row r="1053" spans="1:23" x14ac:dyDescent="0.4">
      <c r="A1053" s="4" t="s">
        <v>3034</v>
      </c>
      <c r="B1053" s="4" t="s">
        <v>3035</v>
      </c>
      <c r="C1053" s="11">
        <v>45174</v>
      </c>
      <c r="D1053" s="4" t="s">
        <v>98</v>
      </c>
      <c r="E1053" s="4" t="s">
        <v>24</v>
      </c>
      <c r="F1053" s="4" t="s">
        <v>25</v>
      </c>
      <c r="G1053" s="4" t="s">
        <v>92</v>
      </c>
      <c r="H1053" s="4" t="s">
        <v>3037</v>
      </c>
      <c r="I1053" s="4" t="s">
        <v>61</v>
      </c>
      <c r="J1053" s="4" t="s">
        <v>62</v>
      </c>
      <c r="K1053" s="4" t="s">
        <v>30</v>
      </c>
      <c r="L1053" s="4" t="s">
        <v>2139</v>
      </c>
      <c r="M1053" s="4" t="s">
        <v>65</v>
      </c>
      <c r="N1053" s="4" t="s">
        <v>54</v>
      </c>
      <c r="O1053" s="4" t="s">
        <v>46</v>
      </c>
      <c r="P1053" s="4" t="s">
        <v>88</v>
      </c>
      <c r="Q1053" s="4">
        <v>9</v>
      </c>
      <c r="R1053" s="4">
        <v>35634</v>
      </c>
      <c r="S1053" s="5">
        <v>10</v>
      </c>
      <c r="T1053" s="6">
        <f t="shared" si="48"/>
        <v>288635.40000000002</v>
      </c>
      <c r="U1053" s="4">
        <v>54073.85</v>
      </c>
      <c r="V1053" t="str">
        <f t="shared" si="49"/>
        <v>Aug</v>
      </c>
      <c r="W1053">
        <f t="shared" si="50"/>
        <v>0.18734309790136619</v>
      </c>
    </row>
    <row r="1054" spans="1:23" x14ac:dyDescent="0.4">
      <c r="A1054" s="4" t="s">
        <v>3038</v>
      </c>
      <c r="B1054" s="4" t="s">
        <v>1096</v>
      </c>
      <c r="C1054" s="11">
        <v>45129</v>
      </c>
      <c r="D1054" s="4" t="s">
        <v>39</v>
      </c>
      <c r="E1054" s="4" t="s">
        <v>24</v>
      </c>
      <c r="F1054" s="4" t="s">
        <v>40</v>
      </c>
      <c r="G1054" s="4" t="s">
        <v>99</v>
      </c>
      <c r="H1054" s="4" t="s">
        <v>1321</v>
      </c>
      <c r="I1054" s="4" t="s">
        <v>43</v>
      </c>
      <c r="J1054" s="4" t="s">
        <v>62</v>
      </c>
      <c r="K1054" s="4" t="s">
        <v>86</v>
      </c>
      <c r="L1054" s="4" t="s">
        <v>1031</v>
      </c>
      <c r="M1054" s="4" t="s">
        <v>53</v>
      </c>
      <c r="N1054" s="4" t="s">
        <v>54</v>
      </c>
      <c r="O1054" s="4" t="s">
        <v>120</v>
      </c>
      <c r="P1054" s="4" t="s">
        <v>35</v>
      </c>
      <c r="Q1054" s="4">
        <v>8</v>
      </c>
      <c r="R1054" s="4">
        <v>38190</v>
      </c>
      <c r="S1054" s="5">
        <v>15</v>
      </c>
      <c r="T1054" s="6">
        <f t="shared" si="48"/>
        <v>259692</v>
      </c>
      <c r="U1054" s="4">
        <v>12403.82</v>
      </c>
      <c r="V1054" t="str">
        <f t="shared" si="49"/>
        <v>Jul</v>
      </c>
      <c r="W1054">
        <f t="shared" si="50"/>
        <v>4.7763581473437761E-2</v>
      </c>
    </row>
    <row r="1055" spans="1:23" x14ac:dyDescent="0.4">
      <c r="A1055" s="4" t="s">
        <v>3039</v>
      </c>
      <c r="B1055" s="4" t="s">
        <v>375</v>
      </c>
      <c r="C1055" s="11">
        <v>44857</v>
      </c>
      <c r="D1055" s="4" t="s">
        <v>98</v>
      </c>
      <c r="E1055" s="4" t="s">
        <v>24</v>
      </c>
      <c r="F1055" s="4" t="s">
        <v>58</v>
      </c>
      <c r="G1055" s="4" t="s">
        <v>26</v>
      </c>
      <c r="H1055" s="4" t="s">
        <v>3041</v>
      </c>
      <c r="I1055" s="4" t="s">
        <v>28</v>
      </c>
      <c r="J1055" s="4" t="s">
        <v>62</v>
      </c>
      <c r="K1055" s="4" t="s">
        <v>153</v>
      </c>
      <c r="L1055" s="4" t="s">
        <v>1001</v>
      </c>
      <c r="M1055" s="4" t="s">
        <v>32</v>
      </c>
      <c r="N1055" s="4" t="s">
        <v>33</v>
      </c>
      <c r="O1055" s="4" t="s">
        <v>66</v>
      </c>
      <c r="P1055" s="4" t="s">
        <v>47</v>
      </c>
      <c r="Q1055" s="4">
        <v>3</v>
      </c>
      <c r="R1055" s="4">
        <v>19378</v>
      </c>
      <c r="S1055" s="5">
        <v>0</v>
      </c>
      <c r="T1055" s="6">
        <f t="shared" si="48"/>
        <v>58134</v>
      </c>
      <c r="U1055" s="4">
        <v>12861.62</v>
      </c>
      <c r="V1055" t="str">
        <f t="shared" si="49"/>
        <v>Oct</v>
      </c>
      <c r="W1055">
        <f t="shared" si="50"/>
        <v>0.22124092613616816</v>
      </c>
    </row>
    <row r="1056" spans="1:23" x14ac:dyDescent="0.4">
      <c r="A1056" s="4" t="s">
        <v>3042</v>
      </c>
      <c r="B1056" s="4" t="s">
        <v>919</v>
      </c>
      <c r="C1056" s="11">
        <v>44800</v>
      </c>
      <c r="D1056" s="4" t="s">
        <v>98</v>
      </c>
      <c r="E1056" s="4" t="s">
        <v>24</v>
      </c>
      <c r="F1056" s="4" t="s">
        <v>26</v>
      </c>
      <c r="G1056" s="4" t="s">
        <v>26</v>
      </c>
      <c r="H1056" s="4" t="s">
        <v>2837</v>
      </c>
      <c r="I1056" s="4" t="s">
        <v>28</v>
      </c>
      <c r="J1056" s="4" t="s">
        <v>62</v>
      </c>
      <c r="K1056" s="4" t="s">
        <v>44</v>
      </c>
      <c r="L1056" s="4" t="s">
        <v>432</v>
      </c>
      <c r="M1056" s="4" t="s">
        <v>32</v>
      </c>
      <c r="N1056" s="4" t="s">
        <v>54</v>
      </c>
      <c r="O1056" s="4" t="s">
        <v>120</v>
      </c>
      <c r="P1056" s="4" t="s">
        <v>47</v>
      </c>
      <c r="Q1056" s="4">
        <v>2</v>
      </c>
      <c r="R1056" s="4">
        <v>26734</v>
      </c>
      <c r="S1056" s="5">
        <v>0</v>
      </c>
      <c r="T1056" s="6">
        <f t="shared" si="48"/>
        <v>53468</v>
      </c>
      <c r="U1056" s="4">
        <v>13985.76</v>
      </c>
      <c r="V1056" t="str">
        <f t="shared" si="49"/>
        <v>Aug</v>
      </c>
      <c r="W1056">
        <f t="shared" si="50"/>
        <v>0.26157252936335751</v>
      </c>
    </row>
    <row r="1057" spans="1:23" x14ac:dyDescent="0.4">
      <c r="A1057" s="4" t="s">
        <v>3043</v>
      </c>
      <c r="B1057" s="4" t="s">
        <v>211</v>
      </c>
      <c r="C1057" s="11">
        <v>45454</v>
      </c>
      <c r="D1057" s="4" t="s">
        <v>23</v>
      </c>
      <c r="E1057" s="4" t="s">
        <v>24</v>
      </c>
      <c r="F1057" s="4" t="s">
        <v>70</v>
      </c>
      <c r="G1057" s="4" t="s">
        <v>59</v>
      </c>
      <c r="H1057" s="4" t="s">
        <v>1988</v>
      </c>
      <c r="I1057" s="4" t="s">
        <v>43</v>
      </c>
      <c r="J1057" s="4" t="s">
        <v>79</v>
      </c>
      <c r="K1057" s="4" t="s">
        <v>30</v>
      </c>
      <c r="L1057" s="4" t="s">
        <v>695</v>
      </c>
      <c r="M1057" s="4" t="s">
        <v>95</v>
      </c>
      <c r="N1057" s="4" t="s">
        <v>54</v>
      </c>
      <c r="O1057" s="4" t="s">
        <v>82</v>
      </c>
      <c r="P1057" s="4" t="s">
        <v>88</v>
      </c>
      <c r="Q1057" s="4">
        <v>6</v>
      </c>
      <c r="R1057" s="4">
        <v>49077</v>
      </c>
      <c r="S1057" s="5">
        <v>5</v>
      </c>
      <c r="T1057" s="6">
        <f t="shared" si="48"/>
        <v>279738.90000000002</v>
      </c>
      <c r="U1057" s="4">
        <v>6606.76</v>
      </c>
      <c r="V1057" t="str">
        <f t="shared" si="49"/>
        <v>Jun</v>
      </c>
      <c r="W1057">
        <f t="shared" si="50"/>
        <v>2.3617594835755769E-2</v>
      </c>
    </row>
    <row r="1058" spans="1:23" x14ac:dyDescent="0.4">
      <c r="A1058" s="4" t="s">
        <v>3044</v>
      </c>
      <c r="B1058" s="4" t="s">
        <v>1797</v>
      </c>
      <c r="C1058" s="11">
        <v>44578</v>
      </c>
      <c r="D1058" s="4" t="s">
        <v>98</v>
      </c>
      <c r="E1058" s="4" t="s">
        <v>24</v>
      </c>
      <c r="F1058" s="4" t="s">
        <v>40</v>
      </c>
      <c r="G1058" s="4" t="s">
        <v>41</v>
      </c>
      <c r="H1058" s="4" t="s">
        <v>3045</v>
      </c>
      <c r="I1058" s="4" t="s">
        <v>61</v>
      </c>
      <c r="J1058" s="4" t="s">
        <v>79</v>
      </c>
      <c r="K1058" s="4" t="s">
        <v>63</v>
      </c>
      <c r="L1058" s="4" t="s">
        <v>272</v>
      </c>
      <c r="M1058" s="4" t="s">
        <v>81</v>
      </c>
      <c r="N1058" s="4" t="s">
        <v>54</v>
      </c>
      <c r="O1058" s="4" t="s">
        <v>34</v>
      </c>
      <c r="P1058" s="4" t="s">
        <v>88</v>
      </c>
      <c r="Q1058" s="4">
        <v>4</v>
      </c>
      <c r="R1058" s="4">
        <v>40292</v>
      </c>
      <c r="S1058" s="5">
        <v>0</v>
      </c>
      <c r="T1058" s="6">
        <f t="shared" si="48"/>
        <v>161168</v>
      </c>
      <c r="U1058" s="4">
        <v>37459.129999999997</v>
      </c>
      <c r="V1058" t="str">
        <f t="shared" si="49"/>
        <v>Jan</v>
      </c>
      <c r="W1058">
        <f t="shared" si="50"/>
        <v>0.23242287550878585</v>
      </c>
    </row>
    <row r="1059" spans="1:23" x14ac:dyDescent="0.4">
      <c r="A1059" s="4" t="s">
        <v>3046</v>
      </c>
      <c r="B1059" s="4" t="s">
        <v>1856</v>
      </c>
      <c r="C1059" s="11">
        <v>44845</v>
      </c>
      <c r="D1059" s="4" t="s">
        <v>23</v>
      </c>
      <c r="E1059" s="4" t="s">
        <v>24</v>
      </c>
      <c r="F1059" s="4" t="s">
        <v>25</v>
      </c>
      <c r="G1059" s="4" t="s">
        <v>92</v>
      </c>
      <c r="H1059" s="4" t="s">
        <v>3047</v>
      </c>
      <c r="I1059" s="4" t="s">
        <v>28</v>
      </c>
      <c r="J1059" s="4" t="s">
        <v>79</v>
      </c>
      <c r="K1059" s="4" t="s">
        <v>63</v>
      </c>
      <c r="L1059" s="4" t="s">
        <v>627</v>
      </c>
      <c r="M1059" s="4" t="s">
        <v>73</v>
      </c>
      <c r="N1059" s="4" t="s">
        <v>33</v>
      </c>
      <c r="O1059" s="4" t="s">
        <v>66</v>
      </c>
      <c r="P1059" s="4" t="s">
        <v>74</v>
      </c>
      <c r="Q1059" s="4">
        <v>3</v>
      </c>
      <c r="R1059" s="4">
        <v>42611</v>
      </c>
      <c r="S1059" s="5">
        <v>10</v>
      </c>
      <c r="T1059" s="6">
        <f t="shared" si="48"/>
        <v>115049.7</v>
      </c>
      <c r="U1059" s="4">
        <v>18367.43</v>
      </c>
      <c r="V1059" t="str">
        <f t="shared" si="49"/>
        <v>Oct</v>
      </c>
      <c r="W1059">
        <f t="shared" si="50"/>
        <v>0.15964778699987919</v>
      </c>
    </row>
    <row r="1060" spans="1:23" x14ac:dyDescent="0.4">
      <c r="A1060" s="4" t="s">
        <v>3048</v>
      </c>
      <c r="B1060" s="4" t="s">
        <v>1442</v>
      </c>
      <c r="C1060" s="11">
        <v>45110</v>
      </c>
      <c r="D1060" s="4" t="s">
        <v>98</v>
      </c>
      <c r="E1060" s="4" t="s">
        <v>24</v>
      </c>
      <c r="F1060" s="4" t="s">
        <v>58</v>
      </c>
      <c r="G1060" s="4" t="s">
        <v>59</v>
      </c>
      <c r="H1060" s="4" t="s">
        <v>3049</v>
      </c>
      <c r="I1060" s="4" t="s">
        <v>61</v>
      </c>
      <c r="J1060" s="4" t="s">
        <v>29</v>
      </c>
      <c r="K1060" s="4" t="s">
        <v>63</v>
      </c>
      <c r="L1060" s="4" t="s">
        <v>72</v>
      </c>
      <c r="M1060" s="4" t="s">
        <v>73</v>
      </c>
      <c r="N1060" s="4" t="s">
        <v>33</v>
      </c>
      <c r="O1060" s="4" t="s">
        <v>34</v>
      </c>
      <c r="P1060" s="4" t="s">
        <v>47</v>
      </c>
      <c r="Q1060" s="4">
        <v>4</v>
      </c>
      <c r="R1060" s="4">
        <v>26058</v>
      </c>
      <c r="S1060" s="5">
        <v>0</v>
      </c>
      <c r="T1060" s="6">
        <f t="shared" si="48"/>
        <v>104232</v>
      </c>
      <c r="U1060" s="4">
        <v>15888.67</v>
      </c>
      <c r="V1060" t="str">
        <f t="shared" si="49"/>
        <v>Jun</v>
      </c>
      <c r="W1060">
        <f t="shared" si="50"/>
        <v>0.15243562437639113</v>
      </c>
    </row>
    <row r="1061" spans="1:23" x14ac:dyDescent="0.4">
      <c r="A1061" s="4" t="s">
        <v>3050</v>
      </c>
      <c r="B1061" s="4" t="s">
        <v>962</v>
      </c>
      <c r="C1061" s="11">
        <v>45068</v>
      </c>
      <c r="D1061" s="4" t="s">
        <v>39</v>
      </c>
      <c r="E1061" s="4" t="s">
        <v>24</v>
      </c>
      <c r="F1061" s="4" t="s">
        <v>25</v>
      </c>
      <c r="G1061" s="4" t="s">
        <v>92</v>
      </c>
      <c r="H1061" s="4" t="s">
        <v>3051</v>
      </c>
      <c r="I1061" s="4" t="s">
        <v>61</v>
      </c>
      <c r="J1061" s="4" t="s">
        <v>29</v>
      </c>
      <c r="K1061" s="4" t="s">
        <v>101</v>
      </c>
      <c r="L1061" s="4" t="s">
        <v>186</v>
      </c>
      <c r="M1061" s="4" t="s">
        <v>95</v>
      </c>
      <c r="N1061" s="4" t="s">
        <v>33</v>
      </c>
      <c r="O1061" s="4" t="s">
        <v>34</v>
      </c>
      <c r="P1061" s="4" t="s">
        <v>47</v>
      </c>
      <c r="Q1061" s="4">
        <v>6</v>
      </c>
      <c r="R1061" s="4">
        <v>12635</v>
      </c>
      <c r="S1061" s="5">
        <v>15</v>
      </c>
      <c r="T1061" s="6">
        <f t="shared" si="48"/>
        <v>64438.5</v>
      </c>
      <c r="U1061" s="4">
        <v>2653.28</v>
      </c>
      <c r="V1061" t="str">
        <f t="shared" si="49"/>
        <v>May</v>
      </c>
      <c r="W1061">
        <f t="shared" si="50"/>
        <v>4.1175384281136283E-2</v>
      </c>
    </row>
    <row r="1062" spans="1:23" x14ac:dyDescent="0.4">
      <c r="A1062" s="4" t="s">
        <v>3052</v>
      </c>
      <c r="B1062" s="4" t="s">
        <v>1076</v>
      </c>
      <c r="C1062" s="11">
        <v>44721</v>
      </c>
      <c r="D1062" s="4" t="s">
        <v>23</v>
      </c>
      <c r="E1062" s="4" t="s">
        <v>24</v>
      </c>
      <c r="F1062" s="4" t="s">
        <v>70</v>
      </c>
      <c r="G1062" s="4" t="s">
        <v>41</v>
      </c>
      <c r="H1062" s="4" t="s">
        <v>3053</v>
      </c>
      <c r="I1062" s="4" t="s">
        <v>43</v>
      </c>
      <c r="J1062" s="4" t="s">
        <v>29</v>
      </c>
      <c r="K1062" s="4" t="s">
        <v>153</v>
      </c>
      <c r="L1062" s="4" t="s">
        <v>1829</v>
      </c>
      <c r="M1062" s="4" t="s">
        <v>73</v>
      </c>
      <c r="N1062" s="4" t="s">
        <v>54</v>
      </c>
      <c r="O1062" s="4" t="s">
        <v>46</v>
      </c>
      <c r="P1062" s="4" t="s">
        <v>88</v>
      </c>
      <c r="Q1062" s="4">
        <v>7</v>
      </c>
      <c r="R1062" s="4">
        <v>9751</v>
      </c>
      <c r="S1062" s="5">
        <v>0</v>
      </c>
      <c r="T1062" s="6">
        <f t="shared" si="48"/>
        <v>68257</v>
      </c>
      <c r="U1062" s="4">
        <v>5233.22</v>
      </c>
      <c r="V1062" t="str">
        <f t="shared" si="49"/>
        <v>May</v>
      </c>
      <c r="W1062">
        <f t="shared" si="50"/>
        <v>7.6669352593873155E-2</v>
      </c>
    </row>
    <row r="1063" spans="1:23" x14ac:dyDescent="0.4">
      <c r="A1063" s="4" t="s">
        <v>3054</v>
      </c>
      <c r="B1063" s="4" t="s">
        <v>385</v>
      </c>
      <c r="C1063" s="11">
        <v>44757</v>
      </c>
      <c r="D1063" s="4" t="s">
        <v>98</v>
      </c>
      <c r="E1063" s="4" t="s">
        <v>24</v>
      </c>
      <c r="F1063" s="4" t="s">
        <v>26</v>
      </c>
      <c r="G1063" s="4" t="s">
        <v>41</v>
      </c>
      <c r="H1063" s="4" t="s">
        <v>3056</v>
      </c>
      <c r="I1063" s="4" t="s">
        <v>61</v>
      </c>
      <c r="J1063" s="4" t="s">
        <v>62</v>
      </c>
      <c r="K1063" s="4" t="s">
        <v>30</v>
      </c>
      <c r="L1063" s="4" t="s">
        <v>808</v>
      </c>
      <c r="M1063" s="4" t="s">
        <v>65</v>
      </c>
      <c r="N1063" s="4" t="s">
        <v>33</v>
      </c>
      <c r="O1063" s="4" t="s">
        <v>46</v>
      </c>
      <c r="P1063" s="4" t="s">
        <v>74</v>
      </c>
      <c r="Q1063" s="4">
        <v>5</v>
      </c>
      <c r="R1063" s="4">
        <v>43362</v>
      </c>
      <c r="S1063" s="5">
        <v>10</v>
      </c>
      <c r="T1063" s="6">
        <f t="shared" si="48"/>
        <v>195129</v>
      </c>
      <c r="U1063" s="4">
        <v>4245.84</v>
      </c>
      <c r="V1063" t="str">
        <f t="shared" si="49"/>
        <v>Jul</v>
      </c>
      <c r="W1063">
        <f t="shared" si="50"/>
        <v>2.1759143950924775E-2</v>
      </c>
    </row>
    <row r="1064" spans="1:23" x14ac:dyDescent="0.4">
      <c r="A1064" s="4" t="s">
        <v>3057</v>
      </c>
      <c r="B1064" s="4" t="s">
        <v>2072</v>
      </c>
      <c r="C1064" s="11">
        <v>45191</v>
      </c>
      <c r="D1064" s="4" t="s">
        <v>39</v>
      </c>
      <c r="E1064" s="4" t="s">
        <v>24</v>
      </c>
      <c r="F1064" s="4" t="s">
        <v>26</v>
      </c>
      <c r="G1064" s="4" t="s">
        <v>92</v>
      </c>
      <c r="H1064" s="4" t="s">
        <v>3058</v>
      </c>
      <c r="I1064" s="4" t="s">
        <v>28</v>
      </c>
      <c r="J1064" s="4" t="s">
        <v>79</v>
      </c>
      <c r="K1064" s="4" t="s">
        <v>153</v>
      </c>
      <c r="L1064" s="4" t="s">
        <v>1026</v>
      </c>
      <c r="M1064" s="4" t="s">
        <v>53</v>
      </c>
      <c r="N1064" s="4" t="s">
        <v>54</v>
      </c>
      <c r="O1064" s="4" t="s">
        <v>66</v>
      </c>
      <c r="P1064" s="4" t="s">
        <v>47</v>
      </c>
      <c r="Q1064" s="4">
        <v>5</v>
      </c>
      <c r="R1064" s="4">
        <v>21139</v>
      </c>
      <c r="S1064" s="5">
        <v>0</v>
      </c>
      <c r="T1064" s="6">
        <f t="shared" si="48"/>
        <v>105695</v>
      </c>
      <c r="U1064" s="4">
        <v>14762.82</v>
      </c>
      <c r="V1064" t="str">
        <f t="shared" si="49"/>
        <v>Sep</v>
      </c>
      <c r="W1064">
        <f t="shared" si="50"/>
        <v>0.13967377832442404</v>
      </c>
    </row>
    <row r="1065" spans="1:23" x14ac:dyDescent="0.4">
      <c r="A1065" s="4" t="s">
        <v>3059</v>
      </c>
      <c r="B1065" s="4" t="s">
        <v>2051</v>
      </c>
      <c r="C1065" s="11">
        <v>44729</v>
      </c>
      <c r="D1065" s="4" t="s">
        <v>23</v>
      </c>
      <c r="E1065" s="4" t="s">
        <v>24</v>
      </c>
      <c r="F1065" s="4" t="s">
        <v>58</v>
      </c>
      <c r="G1065" s="4" t="s">
        <v>41</v>
      </c>
      <c r="H1065" s="4" t="s">
        <v>3061</v>
      </c>
      <c r="I1065" s="4" t="s">
        <v>43</v>
      </c>
      <c r="J1065" s="4" t="s">
        <v>62</v>
      </c>
      <c r="K1065" s="4" t="s">
        <v>101</v>
      </c>
      <c r="L1065" s="4" t="s">
        <v>486</v>
      </c>
      <c r="M1065" s="4" t="s">
        <v>65</v>
      </c>
      <c r="N1065" s="4" t="s">
        <v>33</v>
      </c>
      <c r="O1065" s="4" t="s">
        <v>34</v>
      </c>
      <c r="P1065" s="4" t="s">
        <v>35</v>
      </c>
      <c r="Q1065" s="4">
        <v>7</v>
      </c>
      <c r="R1065" s="4">
        <v>25727</v>
      </c>
      <c r="S1065" s="5">
        <v>0</v>
      </c>
      <c r="T1065" s="6">
        <f t="shared" si="48"/>
        <v>180089</v>
      </c>
      <c r="U1065" s="4">
        <v>41366.57</v>
      </c>
      <c r="V1065" t="str">
        <f t="shared" si="49"/>
        <v>Jun</v>
      </c>
      <c r="W1065">
        <f t="shared" si="50"/>
        <v>0.22970070354102692</v>
      </c>
    </row>
    <row r="1066" spans="1:23" x14ac:dyDescent="0.4">
      <c r="A1066" s="4" t="s">
        <v>3062</v>
      </c>
      <c r="B1066" s="4" t="s">
        <v>1116</v>
      </c>
      <c r="C1066" s="11">
        <v>44997</v>
      </c>
      <c r="D1066" s="4" t="s">
        <v>23</v>
      </c>
      <c r="E1066" s="4" t="s">
        <v>24</v>
      </c>
      <c r="F1066" s="4" t="s">
        <v>25</v>
      </c>
      <c r="G1066" s="4" t="s">
        <v>26</v>
      </c>
      <c r="H1066" s="4" t="s">
        <v>3063</v>
      </c>
      <c r="I1066" s="4" t="s">
        <v>43</v>
      </c>
      <c r="J1066" s="4" t="s">
        <v>62</v>
      </c>
      <c r="K1066" s="4" t="s">
        <v>153</v>
      </c>
      <c r="L1066" s="4" t="s">
        <v>544</v>
      </c>
      <c r="M1066" s="4" t="s">
        <v>65</v>
      </c>
      <c r="N1066" s="4" t="s">
        <v>33</v>
      </c>
      <c r="O1066" s="4" t="s">
        <v>46</v>
      </c>
      <c r="P1066" s="4" t="s">
        <v>47</v>
      </c>
      <c r="Q1066" s="4">
        <v>6</v>
      </c>
      <c r="R1066" s="4">
        <v>9033</v>
      </c>
      <c r="S1066" s="5">
        <v>10</v>
      </c>
      <c r="T1066" s="6">
        <f t="shared" si="48"/>
        <v>48778.2</v>
      </c>
      <c r="U1066" s="4">
        <v>-2616.14</v>
      </c>
      <c r="V1066" t="str">
        <f t="shared" si="49"/>
        <v>Mar</v>
      </c>
      <c r="W1066">
        <f t="shared" si="50"/>
        <v>-5.363338540577553E-2</v>
      </c>
    </row>
    <row r="1067" spans="1:23" x14ac:dyDescent="0.4">
      <c r="A1067" s="4" t="s">
        <v>3064</v>
      </c>
      <c r="B1067" s="4" t="s">
        <v>2555</v>
      </c>
      <c r="C1067" s="11">
        <v>44668</v>
      </c>
      <c r="D1067" s="4" t="s">
        <v>39</v>
      </c>
      <c r="E1067" s="4" t="s">
        <v>24</v>
      </c>
      <c r="F1067" s="4" t="s">
        <v>70</v>
      </c>
      <c r="G1067" s="4" t="s">
        <v>99</v>
      </c>
      <c r="H1067" s="4" t="s">
        <v>3065</v>
      </c>
      <c r="I1067" s="4" t="s">
        <v>61</v>
      </c>
      <c r="J1067" s="4" t="s">
        <v>29</v>
      </c>
      <c r="K1067" s="4" t="s">
        <v>30</v>
      </c>
      <c r="L1067" s="4" t="s">
        <v>1605</v>
      </c>
      <c r="M1067" s="4" t="s">
        <v>32</v>
      </c>
      <c r="N1067" s="4" t="s">
        <v>54</v>
      </c>
      <c r="O1067" s="4" t="s">
        <v>34</v>
      </c>
      <c r="P1067" s="4" t="s">
        <v>35</v>
      </c>
      <c r="Q1067" s="4">
        <v>4</v>
      </c>
      <c r="R1067" s="4">
        <v>30325</v>
      </c>
      <c r="S1067" s="5">
        <v>15</v>
      </c>
      <c r="T1067" s="6">
        <f t="shared" si="48"/>
        <v>103105</v>
      </c>
      <c r="U1067" s="4">
        <v>-3420.21</v>
      </c>
      <c r="V1067" t="str">
        <f t="shared" si="49"/>
        <v>Apr</v>
      </c>
      <c r="W1067">
        <f t="shared" si="50"/>
        <v>-3.3172106105426508E-2</v>
      </c>
    </row>
    <row r="1068" spans="1:23" x14ac:dyDescent="0.4">
      <c r="A1068" s="4" t="s">
        <v>3066</v>
      </c>
      <c r="B1068" s="4" t="s">
        <v>3067</v>
      </c>
      <c r="C1068" s="11">
        <v>44751</v>
      </c>
      <c r="D1068" s="4" t="s">
        <v>23</v>
      </c>
      <c r="E1068" s="4" t="s">
        <v>24</v>
      </c>
      <c r="F1068" s="4" t="s">
        <v>58</v>
      </c>
      <c r="G1068" s="4" t="s">
        <v>59</v>
      </c>
      <c r="H1068" s="4" t="s">
        <v>236</v>
      </c>
      <c r="I1068" s="4" t="s">
        <v>61</v>
      </c>
      <c r="J1068" s="4" t="s">
        <v>62</v>
      </c>
      <c r="K1068" s="4" t="s">
        <v>30</v>
      </c>
      <c r="L1068" s="4" t="s">
        <v>503</v>
      </c>
      <c r="M1068" s="4" t="s">
        <v>81</v>
      </c>
      <c r="N1068" s="4" t="s">
        <v>54</v>
      </c>
      <c r="O1068" s="4" t="s">
        <v>82</v>
      </c>
      <c r="P1068" s="4" t="s">
        <v>74</v>
      </c>
      <c r="Q1068" s="4">
        <v>4</v>
      </c>
      <c r="R1068" s="4">
        <v>46879</v>
      </c>
      <c r="S1068" s="5">
        <v>10</v>
      </c>
      <c r="T1068" s="6">
        <f t="shared" si="48"/>
        <v>168764.4</v>
      </c>
      <c r="U1068" s="4">
        <v>37306.11</v>
      </c>
      <c r="V1068" t="str">
        <f t="shared" si="49"/>
        <v>Jul</v>
      </c>
      <c r="W1068">
        <f t="shared" si="50"/>
        <v>0.22105438113725406</v>
      </c>
    </row>
    <row r="1069" spans="1:23" x14ac:dyDescent="0.4">
      <c r="A1069" s="4" t="s">
        <v>3068</v>
      </c>
      <c r="B1069" s="4" t="s">
        <v>738</v>
      </c>
      <c r="C1069" s="11">
        <v>44593</v>
      </c>
      <c r="D1069" s="4" t="s">
        <v>23</v>
      </c>
      <c r="E1069" s="4" t="s">
        <v>24</v>
      </c>
      <c r="F1069" s="4" t="s">
        <v>26</v>
      </c>
      <c r="G1069" s="4" t="s">
        <v>59</v>
      </c>
      <c r="H1069" s="4" t="s">
        <v>3069</v>
      </c>
      <c r="I1069" s="4" t="s">
        <v>28</v>
      </c>
      <c r="J1069" s="4" t="s">
        <v>29</v>
      </c>
      <c r="K1069" s="4" t="s">
        <v>153</v>
      </c>
      <c r="L1069" s="4" t="s">
        <v>753</v>
      </c>
      <c r="M1069" s="4" t="s">
        <v>95</v>
      </c>
      <c r="N1069" s="4" t="s">
        <v>33</v>
      </c>
      <c r="O1069" s="4" t="s">
        <v>46</v>
      </c>
      <c r="P1069" s="4" t="s">
        <v>47</v>
      </c>
      <c r="Q1069" s="4">
        <v>2</v>
      </c>
      <c r="R1069" s="4">
        <v>6836</v>
      </c>
      <c r="S1069" s="5">
        <v>15</v>
      </c>
      <c r="T1069" s="6">
        <f t="shared" si="48"/>
        <v>11621.2</v>
      </c>
      <c r="U1069" s="4">
        <v>-1058.3499999999999</v>
      </c>
      <c r="V1069" t="str">
        <f t="shared" si="49"/>
        <v>Jan</v>
      </c>
      <c r="W1069">
        <f t="shared" si="50"/>
        <v>-9.1070629539118153E-2</v>
      </c>
    </row>
    <row r="1070" spans="1:23" x14ac:dyDescent="0.4">
      <c r="A1070" s="4" t="s">
        <v>3070</v>
      </c>
      <c r="B1070" s="4" t="s">
        <v>450</v>
      </c>
      <c r="C1070" s="11">
        <v>45004</v>
      </c>
      <c r="D1070" s="4" t="s">
        <v>23</v>
      </c>
      <c r="E1070" s="4" t="s">
        <v>24</v>
      </c>
      <c r="F1070" s="4" t="s">
        <v>40</v>
      </c>
      <c r="G1070" s="4" t="s">
        <v>41</v>
      </c>
      <c r="H1070" s="4" t="s">
        <v>3071</v>
      </c>
      <c r="I1070" s="4" t="s">
        <v>28</v>
      </c>
      <c r="J1070" s="4" t="s">
        <v>29</v>
      </c>
      <c r="K1070" s="4" t="s">
        <v>101</v>
      </c>
      <c r="L1070" s="4" t="s">
        <v>232</v>
      </c>
      <c r="M1070" s="4" t="s">
        <v>53</v>
      </c>
      <c r="N1070" s="4" t="s">
        <v>33</v>
      </c>
      <c r="O1070" s="4" t="s">
        <v>120</v>
      </c>
      <c r="P1070" s="4" t="s">
        <v>47</v>
      </c>
      <c r="Q1070" s="4">
        <v>4</v>
      </c>
      <c r="R1070" s="4">
        <v>28086</v>
      </c>
      <c r="S1070" s="5">
        <v>15</v>
      </c>
      <c r="T1070" s="6">
        <f t="shared" si="48"/>
        <v>95492.4</v>
      </c>
      <c r="U1070" s="4">
        <v>2507.2800000000002</v>
      </c>
      <c r="V1070" t="str">
        <f t="shared" si="49"/>
        <v>Mar</v>
      </c>
      <c r="W1070">
        <f t="shared" si="50"/>
        <v>2.6256330346708222E-2</v>
      </c>
    </row>
    <row r="1071" spans="1:23" x14ac:dyDescent="0.4">
      <c r="A1071" s="4" t="s">
        <v>3072</v>
      </c>
      <c r="B1071" s="4" t="s">
        <v>1696</v>
      </c>
      <c r="C1071" s="11">
        <v>44597</v>
      </c>
      <c r="D1071" s="4" t="s">
        <v>23</v>
      </c>
      <c r="E1071" s="4" t="s">
        <v>24</v>
      </c>
      <c r="F1071" s="4" t="s">
        <v>26</v>
      </c>
      <c r="G1071" s="4" t="s">
        <v>99</v>
      </c>
      <c r="H1071" s="4" t="s">
        <v>3073</v>
      </c>
      <c r="I1071" s="4" t="s">
        <v>43</v>
      </c>
      <c r="J1071" s="4" t="s">
        <v>29</v>
      </c>
      <c r="K1071" s="4" t="s">
        <v>44</v>
      </c>
      <c r="L1071" s="4" t="s">
        <v>1001</v>
      </c>
      <c r="M1071" s="4" t="s">
        <v>32</v>
      </c>
      <c r="N1071" s="4" t="s">
        <v>54</v>
      </c>
      <c r="O1071" s="4" t="s">
        <v>66</v>
      </c>
      <c r="P1071" s="4" t="s">
        <v>35</v>
      </c>
      <c r="Q1071" s="4">
        <v>6</v>
      </c>
      <c r="R1071" s="4">
        <v>6338</v>
      </c>
      <c r="S1071" s="5">
        <v>20</v>
      </c>
      <c r="T1071" s="6">
        <f t="shared" si="48"/>
        <v>30422.400000000001</v>
      </c>
      <c r="U1071" s="4">
        <v>3076.8</v>
      </c>
      <c r="V1071" t="str">
        <f t="shared" si="49"/>
        <v>Feb</v>
      </c>
      <c r="W1071">
        <f t="shared" si="50"/>
        <v>0.10113600504891133</v>
      </c>
    </row>
    <row r="1072" spans="1:23" x14ac:dyDescent="0.4">
      <c r="A1072" s="4" t="s">
        <v>3074</v>
      </c>
      <c r="B1072" s="4" t="s">
        <v>117</v>
      </c>
      <c r="C1072" s="11">
        <v>44704</v>
      </c>
      <c r="D1072" s="4" t="s">
        <v>124</v>
      </c>
      <c r="E1072" s="4" t="s">
        <v>24</v>
      </c>
      <c r="F1072" s="4" t="s">
        <v>25</v>
      </c>
      <c r="G1072" s="4" t="s">
        <v>26</v>
      </c>
      <c r="H1072" s="4" t="s">
        <v>3075</v>
      </c>
      <c r="I1072" s="4" t="s">
        <v>61</v>
      </c>
      <c r="J1072" s="4" t="s">
        <v>79</v>
      </c>
      <c r="K1072" s="4" t="s">
        <v>153</v>
      </c>
      <c r="L1072" s="4" t="s">
        <v>423</v>
      </c>
      <c r="M1072" s="4" t="s">
        <v>81</v>
      </c>
      <c r="N1072" s="4" t="s">
        <v>54</v>
      </c>
      <c r="O1072" s="4" t="s">
        <v>82</v>
      </c>
      <c r="P1072" s="4" t="s">
        <v>74</v>
      </c>
      <c r="Q1072" s="4">
        <v>2</v>
      </c>
      <c r="R1072" s="4">
        <v>42595</v>
      </c>
      <c r="S1072" s="5">
        <v>0</v>
      </c>
      <c r="T1072" s="6">
        <f t="shared" si="48"/>
        <v>85190</v>
      </c>
      <c r="U1072" s="4">
        <v>18488.86</v>
      </c>
      <c r="V1072" t="str">
        <f t="shared" si="49"/>
        <v>May</v>
      </c>
      <c r="W1072">
        <f t="shared" si="50"/>
        <v>0.21703087216809486</v>
      </c>
    </row>
    <row r="1073" spans="1:23" x14ac:dyDescent="0.4">
      <c r="A1073" s="4" t="s">
        <v>3076</v>
      </c>
      <c r="B1073" s="4" t="s">
        <v>1260</v>
      </c>
      <c r="C1073" s="11">
        <v>44834</v>
      </c>
      <c r="D1073" s="4" t="s">
        <v>124</v>
      </c>
      <c r="E1073" s="4" t="s">
        <v>24</v>
      </c>
      <c r="F1073" s="4" t="s">
        <v>70</v>
      </c>
      <c r="G1073" s="4" t="s">
        <v>59</v>
      </c>
      <c r="H1073" s="4" t="s">
        <v>3077</v>
      </c>
      <c r="I1073" s="4" t="s">
        <v>28</v>
      </c>
      <c r="J1073" s="4" t="s">
        <v>29</v>
      </c>
      <c r="K1073" s="4" t="s">
        <v>101</v>
      </c>
      <c r="L1073" s="4" t="s">
        <v>452</v>
      </c>
      <c r="M1073" s="4" t="s">
        <v>81</v>
      </c>
      <c r="N1073" s="4" t="s">
        <v>54</v>
      </c>
      <c r="O1073" s="4" t="s">
        <v>66</v>
      </c>
      <c r="P1073" s="4" t="s">
        <v>35</v>
      </c>
      <c r="Q1073" s="4">
        <v>5</v>
      </c>
      <c r="R1073" s="4">
        <v>7274</v>
      </c>
      <c r="S1073" s="5">
        <v>20</v>
      </c>
      <c r="T1073" s="6">
        <f t="shared" si="48"/>
        <v>29096</v>
      </c>
      <c r="U1073" s="4">
        <v>288.23</v>
      </c>
      <c r="V1073" t="str">
        <f t="shared" si="49"/>
        <v>Sep</v>
      </c>
      <c r="W1073">
        <f t="shared" si="50"/>
        <v>9.9061726697827878E-3</v>
      </c>
    </row>
    <row r="1074" spans="1:23" x14ac:dyDescent="0.4">
      <c r="A1074" s="4" t="s">
        <v>3078</v>
      </c>
      <c r="B1074" s="4" t="s">
        <v>1193</v>
      </c>
      <c r="C1074" s="11">
        <v>44629</v>
      </c>
      <c r="D1074" s="4" t="s">
        <v>124</v>
      </c>
      <c r="E1074" s="4" t="s">
        <v>24</v>
      </c>
      <c r="F1074" s="4" t="s">
        <v>40</v>
      </c>
      <c r="G1074" s="4" t="s">
        <v>99</v>
      </c>
      <c r="H1074" s="4" t="s">
        <v>3079</v>
      </c>
      <c r="I1074" s="4" t="s">
        <v>61</v>
      </c>
      <c r="J1074" s="4" t="s">
        <v>79</v>
      </c>
      <c r="K1074" s="4" t="s">
        <v>101</v>
      </c>
      <c r="L1074" s="4" t="s">
        <v>296</v>
      </c>
      <c r="M1074" s="4" t="s">
        <v>81</v>
      </c>
      <c r="N1074" s="4" t="s">
        <v>54</v>
      </c>
      <c r="O1074" s="4" t="s">
        <v>120</v>
      </c>
      <c r="P1074" s="4" t="s">
        <v>88</v>
      </c>
      <c r="Q1074" s="4">
        <v>6</v>
      </c>
      <c r="R1074" s="4">
        <v>12912</v>
      </c>
      <c r="S1074" s="5">
        <v>0</v>
      </c>
      <c r="T1074" s="6">
        <f t="shared" si="48"/>
        <v>77472</v>
      </c>
      <c r="U1074" s="4">
        <v>15520.81</v>
      </c>
      <c r="V1074" t="str">
        <f t="shared" si="49"/>
        <v>Feb</v>
      </c>
      <c r="W1074">
        <f t="shared" si="50"/>
        <v>0.20034089735646426</v>
      </c>
    </row>
    <row r="1075" spans="1:23" x14ac:dyDescent="0.4">
      <c r="A1075" s="4" t="s">
        <v>3080</v>
      </c>
      <c r="B1075" s="4" t="s">
        <v>279</v>
      </c>
      <c r="C1075" s="11">
        <v>45510</v>
      </c>
      <c r="D1075" s="4" t="s">
        <v>39</v>
      </c>
      <c r="E1075" s="4" t="s">
        <v>24</v>
      </c>
      <c r="F1075" s="4" t="s">
        <v>58</v>
      </c>
      <c r="G1075" s="4" t="s">
        <v>26</v>
      </c>
      <c r="H1075" s="4" t="s">
        <v>3081</v>
      </c>
      <c r="I1075" s="4" t="s">
        <v>43</v>
      </c>
      <c r="J1075" s="4" t="s">
        <v>29</v>
      </c>
      <c r="K1075" s="4" t="s">
        <v>30</v>
      </c>
      <c r="L1075" s="4" t="s">
        <v>237</v>
      </c>
      <c r="M1075" s="4" t="s">
        <v>73</v>
      </c>
      <c r="N1075" s="4" t="s">
        <v>54</v>
      </c>
      <c r="O1075" s="4" t="s">
        <v>82</v>
      </c>
      <c r="P1075" s="4" t="s">
        <v>35</v>
      </c>
      <c r="Q1075" s="4">
        <v>3</v>
      </c>
      <c r="R1075" s="4">
        <v>13451</v>
      </c>
      <c r="S1075" s="5">
        <v>0</v>
      </c>
      <c r="T1075" s="6">
        <f t="shared" si="48"/>
        <v>40353</v>
      </c>
      <c r="U1075" s="4">
        <v>11941.23</v>
      </c>
      <c r="V1075" t="str">
        <f t="shared" si="49"/>
        <v>Jul</v>
      </c>
      <c r="W1075">
        <f t="shared" si="50"/>
        <v>0.2959192625083637</v>
      </c>
    </row>
    <row r="1076" spans="1:23" x14ac:dyDescent="0.4">
      <c r="A1076" s="4" t="s">
        <v>3082</v>
      </c>
      <c r="B1076" s="4" t="s">
        <v>1993</v>
      </c>
      <c r="C1076" s="11">
        <v>44731</v>
      </c>
      <c r="D1076" s="4" t="s">
        <v>124</v>
      </c>
      <c r="E1076" s="4" t="s">
        <v>24</v>
      </c>
      <c r="F1076" s="4" t="s">
        <v>26</v>
      </c>
      <c r="G1076" s="4" t="s">
        <v>59</v>
      </c>
      <c r="H1076" s="4" t="s">
        <v>3083</v>
      </c>
      <c r="I1076" s="4" t="s">
        <v>61</v>
      </c>
      <c r="J1076" s="4" t="s">
        <v>29</v>
      </c>
      <c r="K1076" s="4" t="s">
        <v>63</v>
      </c>
      <c r="L1076" s="4" t="s">
        <v>176</v>
      </c>
      <c r="M1076" s="4" t="s">
        <v>73</v>
      </c>
      <c r="N1076" s="4" t="s">
        <v>33</v>
      </c>
      <c r="O1076" s="4" t="s">
        <v>34</v>
      </c>
      <c r="P1076" s="4" t="s">
        <v>35</v>
      </c>
      <c r="Q1076" s="4">
        <v>10</v>
      </c>
      <c r="R1076" s="4">
        <v>12929</v>
      </c>
      <c r="S1076" s="5">
        <v>20</v>
      </c>
      <c r="T1076" s="6">
        <f t="shared" si="48"/>
        <v>103432</v>
      </c>
      <c r="U1076" s="4">
        <v>4741.3999999999996</v>
      </c>
      <c r="V1076" t="str">
        <f t="shared" si="49"/>
        <v>Jun</v>
      </c>
      <c r="W1076">
        <f t="shared" si="50"/>
        <v>4.584074561064274E-2</v>
      </c>
    </row>
    <row r="1077" spans="1:23" x14ac:dyDescent="0.4">
      <c r="A1077" s="4" t="s">
        <v>3084</v>
      </c>
      <c r="B1077" s="4" t="s">
        <v>1178</v>
      </c>
      <c r="C1077" s="11">
        <v>45087</v>
      </c>
      <c r="D1077" s="4" t="s">
        <v>23</v>
      </c>
      <c r="E1077" s="4" t="s">
        <v>24</v>
      </c>
      <c r="F1077" s="4" t="s">
        <v>40</v>
      </c>
      <c r="G1077" s="4" t="s">
        <v>26</v>
      </c>
      <c r="H1077" s="4" t="s">
        <v>3085</v>
      </c>
      <c r="I1077" s="4" t="s">
        <v>28</v>
      </c>
      <c r="J1077" s="4" t="s">
        <v>29</v>
      </c>
      <c r="K1077" s="4" t="s">
        <v>153</v>
      </c>
      <c r="L1077" s="4" t="s">
        <v>110</v>
      </c>
      <c r="M1077" s="4" t="s">
        <v>65</v>
      </c>
      <c r="N1077" s="4" t="s">
        <v>33</v>
      </c>
      <c r="O1077" s="4" t="s">
        <v>46</v>
      </c>
      <c r="P1077" s="4" t="s">
        <v>47</v>
      </c>
      <c r="Q1077" s="4">
        <v>6</v>
      </c>
      <c r="R1077" s="4">
        <v>48934</v>
      </c>
      <c r="S1077" s="5">
        <v>0</v>
      </c>
      <c r="T1077" s="6">
        <f t="shared" si="48"/>
        <v>293604</v>
      </c>
      <c r="U1077" s="4">
        <v>48602.61</v>
      </c>
      <c r="V1077" t="str">
        <f t="shared" si="49"/>
        <v>Jun</v>
      </c>
      <c r="W1077">
        <f t="shared" si="50"/>
        <v>0.16553796950995217</v>
      </c>
    </row>
    <row r="1078" spans="1:23" x14ac:dyDescent="0.4">
      <c r="A1078" s="4" t="s">
        <v>3086</v>
      </c>
      <c r="B1078" s="4" t="s">
        <v>2300</v>
      </c>
      <c r="C1078" s="11">
        <v>44658</v>
      </c>
      <c r="D1078" s="4" t="s">
        <v>98</v>
      </c>
      <c r="E1078" s="4" t="s">
        <v>24</v>
      </c>
      <c r="F1078" s="4" t="s">
        <v>70</v>
      </c>
      <c r="G1078" s="4" t="s">
        <v>41</v>
      </c>
      <c r="H1078" s="4" t="s">
        <v>3087</v>
      </c>
      <c r="I1078" s="4" t="s">
        <v>28</v>
      </c>
      <c r="J1078" s="4" t="s">
        <v>79</v>
      </c>
      <c r="K1078" s="4" t="s">
        <v>153</v>
      </c>
      <c r="L1078" s="4" t="s">
        <v>1270</v>
      </c>
      <c r="M1078" s="4" t="s">
        <v>73</v>
      </c>
      <c r="N1078" s="4" t="s">
        <v>54</v>
      </c>
      <c r="O1078" s="4" t="s">
        <v>82</v>
      </c>
      <c r="P1078" s="4" t="s">
        <v>88</v>
      </c>
      <c r="Q1078" s="4">
        <v>1</v>
      </c>
      <c r="R1078" s="4">
        <v>10471</v>
      </c>
      <c r="S1078" s="5">
        <v>5</v>
      </c>
      <c r="T1078" s="6">
        <f t="shared" si="48"/>
        <v>9947.4500000000007</v>
      </c>
      <c r="U1078" s="4">
        <v>556.87</v>
      </c>
      <c r="V1078" t="str">
        <f t="shared" si="49"/>
        <v>Mar</v>
      </c>
      <c r="W1078">
        <f t="shared" si="50"/>
        <v>5.5981181106715787E-2</v>
      </c>
    </row>
    <row r="1079" spans="1:23" x14ac:dyDescent="0.4">
      <c r="A1079" s="4" t="s">
        <v>3088</v>
      </c>
      <c r="B1079" s="4" t="s">
        <v>919</v>
      </c>
      <c r="C1079" s="11">
        <v>44795</v>
      </c>
      <c r="D1079" s="4" t="s">
        <v>98</v>
      </c>
      <c r="E1079" s="4" t="s">
        <v>24</v>
      </c>
      <c r="F1079" s="4" t="s">
        <v>25</v>
      </c>
      <c r="G1079" s="4" t="s">
        <v>41</v>
      </c>
      <c r="H1079" s="4" t="s">
        <v>3089</v>
      </c>
      <c r="I1079" s="4" t="s">
        <v>28</v>
      </c>
      <c r="J1079" s="4" t="s">
        <v>79</v>
      </c>
      <c r="K1079" s="4" t="s">
        <v>30</v>
      </c>
      <c r="L1079" s="4" t="s">
        <v>535</v>
      </c>
      <c r="M1079" s="4" t="s">
        <v>73</v>
      </c>
      <c r="N1079" s="4" t="s">
        <v>33</v>
      </c>
      <c r="O1079" s="4" t="s">
        <v>120</v>
      </c>
      <c r="P1079" s="4" t="s">
        <v>88</v>
      </c>
      <c r="Q1079" s="4">
        <v>5</v>
      </c>
      <c r="R1079" s="4">
        <v>38552</v>
      </c>
      <c r="S1079" s="5">
        <v>10</v>
      </c>
      <c r="T1079" s="6">
        <f t="shared" si="48"/>
        <v>173484</v>
      </c>
      <c r="U1079" s="4">
        <v>26507.06</v>
      </c>
      <c r="V1079" t="str">
        <f t="shared" si="49"/>
        <v>Aug</v>
      </c>
      <c r="W1079">
        <f t="shared" si="50"/>
        <v>0.15279253418182656</v>
      </c>
    </row>
    <row r="1080" spans="1:23" x14ac:dyDescent="0.4">
      <c r="A1080" s="4" t="s">
        <v>3090</v>
      </c>
      <c r="B1080" s="4" t="s">
        <v>1968</v>
      </c>
      <c r="C1080" s="11">
        <v>44975</v>
      </c>
      <c r="D1080" s="4" t="s">
        <v>23</v>
      </c>
      <c r="E1080" s="4" t="s">
        <v>24</v>
      </c>
      <c r="F1080" s="4" t="s">
        <v>70</v>
      </c>
      <c r="G1080" s="4" t="s">
        <v>59</v>
      </c>
      <c r="H1080" s="4" t="s">
        <v>3091</v>
      </c>
      <c r="I1080" s="4" t="s">
        <v>43</v>
      </c>
      <c r="J1080" s="4" t="s">
        <v>29</v>
      </c>
      <c r="K1080" s="4" t="s">
        <v>44</v>
      </c>
      <c r="L1080" s="4" t="s">
        <v>753</v>
      </c>
      <c r="M1080" s="4" t="s">
        <v>32</v>
      </c>
      <c r="N1080" s="4" t="s">
        <v>54</v>
      </c>
      <c r="O1080" s="4" t="s">
        <v>46</v>
      </c>
      <c r="P1080" s="4" t="s">
        <v>74</v>
      </c>
      <c r="Q1080" s="4">
        <v>1</v>
      </c>
      <c r="R1080" s="4">
        <v>33206</v>
      </c>
      <c r="S1080" s="5">
        <v>10</v>
      </c>
      <c r="T1080" s="6">
        <f t="shared" si="48"/>
        <v>29885.4</v>
      </c>
      <c r="U1080" s="4">
        <v>4513.9799999999996</v>
      </c>
      <c r="V1080" t="str">
        <f t="shared" si="49"/>
        <v>Feb</v>
      </c>
      <c r="W1080">
        <f t="shared" si="50"/>
        <v>0.1510429841996426</v>
      </c>
    </row>
    <row r="1081" spans="1:23" x14ac:dyDescent="0.4">
      <c r="A1081" s="4" t="s">
        <v>3092</v>
      </c>
      <c r="B1081" s="4" t="s">
        <v>1268</v>
      </c>
      <c r="C1081" s="11">
        <v>44685</v>
      </c>
      <c r="D1081" s="4" t="s">
        <v>98</v>
      </c>
      <c r="E1081" s="4" t="s">
        <v>24</v>
      </c>
      <c r="F1081" s="4" t="s">
        <v>70</v>
      </c>
      <c r="G1081" s="4" t="s">
        <v>59</v>
      </c>
      <c r="H1081" s="4" t="s">
        <v>3093</v>
      </c>
      <c r="I1081" s="4" t="s">
        <v>28</v>
      </c>
      <c r="J1081" s="4" t="s">
        <v>62</v>
      </c>
      <c r="K1081" s="4" t="s">
        <v>30</v>
      </c>
      <c r="L1081" s="4" t="s">
        <v>2822</v>
      </c>
      <c r="M1081" s="4" t="s">
        <v>32</v>
      </c>
      <c r="N1081" s="4" t="s">
        <v>54</v>
      </c>
      <c r="O1081" s="4" t="s">
        <v>46</v>
      </c>
      <c r="P1081" s="4" t="s">
        <v>88</v>
      </c>
      <c r="Q1081" s="4">
        <v>2</v>
      </c>
      <c r="R1081" s="4">
        <v>1213</v>
      </c>
      <c r="S1081" s="5">
        <v>0</v>
      </c>
      <c r="T1081" s="6">
        <f t="shared" si="48"/>
        <v>2426</v>
      </c>
      <c r="U1081" s="4">
        <v>128.85</v>
      </c>
      <c r="V1081" t="str">
        <f t="shared" si="49"/>
        <v>Apr</v>
      </c>
      <c r="W1081">
        <f t="shared" si="50"/>
        <v>5.3112118713932399E-2</v>
      </c>
    </row>
    <row r="1082" spans="1:23" x14ac:dyDescent="0.4">
      <c r="A1082" s="4" t="s">
        <v>3094</v>
      </c>
      <c r="B1082" s="4" t="s">
        <v>317</v>
      </c>
      <c r="C1082" s="11">
        <v>44935</v>
      </c>
      <c r="D1082" s="4" t="s">
        <v>23</v>
      </c>
      <c r="E1082" s="4" t="s">
        <v>24</v>
      </c>
      <c r="F1082" s="4" t="s">
        <v>58</v>
      </c>
      <c r="G1082" s="4" t="s">
        <v>26</v>
      </c>
      <c r="H1082" s="4" t="s">
        <v>3095</v>
      </c>
      <c r="I1082" s="4" t="s">
        <v>28</v>
      </c>
      <c r="J1082" s="4" t="s">
        <v>62</v>
      </c>
      <c r="K1082" s="4" t="s">
        <v>44</v>
      </c>
      <c r="L1082" s="4" t="s">
        <v>423</v>
      </c>
      <c r="M1082" s="4" t="s">
        <v>95</v>
      </c>
      <c r="N1082" s="4" t="s">
        <v>54</v>
      </c>
      <c r="O1082" s="4" t="s">
        <v>34</v>
      </c>
      <c r="P1082" s="4" t="s">
        <v>74</v>
      </c>
      <c r="Q1082" s="4">
        <v>2</v>
      </c>
      <c r="R1082" s="4">
        <v>28496</v>
      </c>
      <c r="S1082" s="5">
        <v>10</v>
      </c>
      <c r="T1082" s="6">
        <f t="shared" si="48"/>
        <v>51292.800000000003</v>
      </c>
      <c r="U1082" s="4">
        <v>391.49</v>
      </c>
      <c r="V1082" t="str">
        <f t="shared" si="49"/>
        <v>Jan</v>
      </c>
      <c r="W1082">
        <f t="shared" si="50"/>
        <v>7.6324552373822447E-3</v>
      </c>
    </row>
    <row r="1083" spans="1:23" x14ac:dyDescent="0.4">
      <c r="A1083" s="4" t="s">
        <v>3096</v>
      </c>
      <c r="B1083" s="4" t="s">
        <v>1610</v>
      </c>
      <c r="C1083" s="11">
        <v>45293</v>
      </c>
      <c r="D1083" s="4" t="s">
        <v>39</v>
      </c>
      <c r="E1083" s="4" t="s">
        <v>24</v>
      </c>
      <c r="F1083" s="4" t="s">
        <v>58</v>
      </c>
      <c r="G1083" s="4" t="s">
        <v>92</v>
      </c>
      <c r="H1083" s="4" t="s">
        <v>3097</v>
      </c>
      <c r="I1083" s="4" t="s">
        <v>28</v>
      </c>
      <c r="J1083" s="4" t="s">
        <v>62</v>
      </c>
      <c r="K1083" s="4" t="s">
        <v>63</v>
      </c>
      <c r="L1083" s="4" t="s">
        <v>52</v>
      </c>
      <c r="M1083" s="4" t="s">
        <v>65</v>
      </c>
      <c r="N1083" s="4" t="s">
        <v>33</v>
      </c>
      <c r="O1083" s="4" t="s">
        <v>120</v>
      </c>
      <c r="P1083" s="4" t="s">
        <v>47</v>
      </c>
      <c r="Q1083" s="4">
        <v>7</v>
      </c>
      <c r="R1083" s="4">
        <v>41612</v>
      </c>
      <c r="S1083" s="5">
        <v>15</v>
      </c>
      <c r="T1083" s="6">
        <f t="shared" si="48"/>
        <v>247591.4</v>
      </c>
      <c r="U1083" s="4">
        <v>-11375.72</v>
      </c>
      <c r="V1083" t="str">
        <f t="shared" si="49"/>
        <v>Dec</v>
      </c>
      <c r="W1083">
        <f t="shared" si="50"/>
        <v>-4.5945537688304193E-2</v>
      </c>
    </row>
    <row r="1084" spans="1:23" x14ac:dyDescent="0.4">
      <c r="A1084" s="4" t="s">
        <v>3098</v>
      </c>
      <c r="B1084" s="4" t="s">
        <v>1206</v>
      </c>
      <c r="C1084" s="11">
        <v>45247</v>
      </c>
      <c r="D1084" s="4" t="s">
        <v>39</v>
      </c>
      <c r="E1084" s="4" t="s">
        <v>24</v>
      </c>
      <c r="F1084" s="4" t="s">
        <v>40</v>
      </c>
      <c r="G1084" s="4" t="s">
        <v>92</v>
      </c>
      <c r="H1084" s="4" t="s">
        <v>3099</v>
      </c>
      <c r="I1084" s="4" t="s">
        <v>28</v>
      </c>
      <c r="J1084" s="4" t="s">
        <v>62</v>
      </c>
      <c r="K1084" s="4" t="s">
        <v>153</v>
      </c>
      <c r="L1084" s="4" t="s">
        <v>382</v>
      </c>
      <c r="M1084" s="4" t="s">
        <v>65</v>
      </c>
      <c r="N1084" s="4" t="s">
        <v>33</v>
      </c>
      <c r="O1084" s="4" t="s">
        <v>66</v>
      </c>
      <c r="P1084" s="4" t="s">
        <v>47</v>
      </c>
      <c r="Q1084" s="4">
        <v>9</v>
      </c>
      <c r="R1084" s="4">
        <v>47938</v>
      </c>
      <c r="S1084" s="5">
        <v>20</v>
      </c>
      <c r="T1084" s="6">
        <f t="shared" si="48"/>
        <v>345153.6</v>
      </c>
      <c r="U1084" s="4">
        <v>-26570.12</v>
      </c>
      <c r="V1084" t="str">
        <f t="shared" si="49"/>
        <v>Nov</v>
      </c>
      <c r="W1084">
        <f t="shared" si="50"/>
        <v>-7.6980567492270113E-2</v>
      </c>
    </row>
    <row r="1085" spans="1:23" x14ac:dyDescent="0.4">
      <c r="A1085" s="4" t="s">
        <v>3100</v>
      </c>
      <c r="B1085" s="4" t="s">
        <v>1237</v>
      </c>
      <c r="C1085" s="11">
        <v>44740</v>
      </c>
      <c r="D1085" s="4" t="s">
        <v>39</v>
      </c>
      <c r="E1085" s="4" t="s">
        <v>24</v>
      </c>
      <c r="F1085" s="4" t="s">
        <v>40</v>
      </c>
      <c r="G1085" s="4" t="s">
        <v>26</v>
      </c>
      <c r="H1085" s="4" t="s">
        <v>3101</v>
      </c>
      <c r="I1085" s="4" t="s">
        <v>61</v>
      </c>
      <c r="J1085" s="4" t="s">
        <v>79</v>
      </c>
      <c r="K1085" s="4" t="s">
        <v>101</v>
      </c>
      <c r="L1085" s="4" t="s">
        <v>237</v>
      </c>
      <c r="M1085" s="4" t="s">
        <v>53</v>
      </c>
      <c r="N1085" s="4" t="s">
        <v>54</v>
      </c>
      <c r="O1085" s="4" t="s">
        <v>66</v>
      </c>
      <c r="P1085" s="4" t="s">
        <v>88</v>
      </c>
      <c r="Q1085" s="4">
        <v>10</v>
      </c>
      <c r="R1085" s="4">
        <v>12254</v>
      </c>
      <c r="S1085" s="5">
        <v>15</v>
      </c>
      <c r="T1085" s="6">
        <f t="shared" si="48"/>
        <v>104159</v>
      </c>
      <c r="U1085" s="4">
        <v>14878.41</v>
      </c>
      <c r="V1085" t="str">
        <f t="shared" si="49"/>
        <v>Jun</v>
      </c>
      <c r="W1085">
        <f t="shared" si="50"/>
        <v>0.14284324926314576</v>
      </c>
    </row>
    <row r="1086" spans="1:23" x14ac:dyDescent="0.4">
      <c r="A1086" s="4" t="s">
        <v>3102</v>
      </c>
      <c r="B1086" s="4" t="s">
        <v>523</v>
      </c>
      <c r="C1086" s="11">
        <v>45074</v>
      </c>
      <c r="D1086" s="4" t="s">
        <v>23</v>
      </c>
      <c r="E1086" s="4" t="s">
        <v>24</v>
      </c>
      <c r="F1086" s="4" t="s">
        <v>26</v>
      </c>
      <c r="G1086" s="4" t="s">
        <v>99</v>
      </c>
      <c r="H1086" s="4" t="s">
        <v>3103</v>
      </c>
      <c r="I1086" s="4" t="s">
        <v>43</v>
      </c>
      <c r="J1086" s="4" t="s">
        <v>79</v>
      </c>
      <c r="K1086" s="4" t="s">
        <v>30</v>
      </c>
      <c r="L1086" s="4" t="s">
        <v>311</v>
      </c>
      <c r="M1086" s="4" t="s">
        <v>53</v>
      </c>
      <c r="N1086" s="4" t="s">
        <v>33</v>
      </c>
      <c r="O1086" s="4" t="s">
        <v>46</v>
      </c>
      <c r="P1086" s="4" t="s">
        <v>88</v>
      </c>
      <c r="Q1086" s="4">
        <v>9</v>
      </c>
      <c r="R1086" s="4">
        <v>15097</v>
      </c>
      <c r="S1086" s="5">
        <v>0</v>
      </c>
      <c r="T1086" s="6">
        <f t="shared" si="48"/>
        <v>135873</v>
      </c>
      <c r="U1086" s="4">
        <v>22722.560000000001</v>
      </c>
      <c r="V1086" t="str">
        <f t="shared" si="49"/>
        <v>May</v>
      </c>
      <c r="W1086">
        <f t="shared" si="50"/>
        <v>0.16723381392918388</v>
      </c>
    </row>
    <row r="1087" spans="1:23" x14ac:dyDescent="0.4">
      <c r="A1087" s="4" t="s">
        <v>3104</v>
      </c>
      <c r="B1087" s="4" t="s">
        <v>1359</v>
      </c>
      <c r="C1087" s="11">
        <v>44694</v>
      </c>
      <c r="D1087" s="4" t="s">
        <v>23</v>
      </c>
      <c r="E1087" s="4" t="s">
        <v>24</v>
      </c>
      <c r="F1087" s="4" t="s">
        <v>58</v>
      </c>
      <c r="G1087" s="4" t="s">
        <v>99</v>
      </c>
      <c r="H1087" s="4" t="s">
        <v>3105</v>
      </c>
      <c r="I1087" s="4" t="s">
        <v>61</v>
      </c>
      <c r="J1087" s="4" t="s">
        <v>79</v>
      </c>
      <c r="K1087" s="4" t="s">
        <v>30</v>
      </c>
      <c r="L1087" s="4" t="s">
        <v>1822</v>
      </c>
      <c r="M1087" s="4" t="s">
        <v>65</v>
      </c>
      <c r="N1087" s="4" t="s">
        <v>54</v>
      </c>
      <c r="O1087" s="4" t="s">
        <v>66</v>
      </c>
      <c r="P1087" s="4" t="s">
        <v>47</v>
      </c>
      <c r="Q1087" s="4">
        <v>10</v>
      </c>
      <c r="R1087" s="4">
        <v>25014</v>
      </c>
      <c r="S1087" s="5">
        <v>15</v>
      </c>
      <c r="T1087" s="6">
        <f t="shared" si="48"/>
        <v>212619</v>
      </c>
      <c r="U1087" s="4">
        <v>-12761.36</v>
      </c>
      <c r="V1087" t="str">
        <f t="shared" si="49"/>
        <v>May</v>
      </c>
      <c r="W1087">
        <f t="shared" si="50"/>
        <v>-6.0019847708812482E-2</v>
      </c>
    </row>
    <row r="1088" spans="1:23" x14ac:dyDescent="0.4">
      <c r="A1088" s="4" t="s">
        <v>3106</v>
      </c>
      <c r="B1088" s="4" t="s">
        <v>1951</v>
      </c>
      <c r="C1088" s="11">
        <v>44953</v>
      </c>
      <c r="D1088" s="4" t="s">
        <v>39</v>
      </c>
      <c r="E1088" s="4" t="s">
        <v>24</v>
      </c>
      <c r="F1088" s="4" t="s">
        <v>40</v>
      </c>
      <c r="G1088" s="4" t="s">
        <v>41</v>
      </c>
      <c r="H1088" s="4" t="s">
        <v>3107</v>
      </c>
      <c r="I1088" s="4" t="s">
        <v>28</v>
      </c>
      <c r="J1088" s="4" t="s">
        <v>62</v>
      </c>
      <c r="K1088" s="4" t="s">
        <v>153</v>
      </c>
      <c r="L1088" s="4" t="s">
        <v>246</v>
      </c>
      <c r="M1088" s="4" t="s">
        <v>53</v>
      </c>
      <c r="N1088" s="4" t="s">
        <v>54</v>
      </c>
      <c r="O1088" s="4" t="s">
        <v>66</v>
      </c>
      <c r="P1088" s="4" t="s">
        <v>47</v>
      </c>
      <c r="Q1088" s="4">
        <v>6</v>
      </c>
      <c r="R1088" s="4">
        <v>2272</v>
      </c>
      <c r="S1088" s="5">
        <v>10</v>
      </c>
      <c r="T1088" s="6">
        <f t="shared" si="48"/>
        <v>12268.8</v>
      </c>
      <c r="U1088" s="4">
        <v>1840.42</v>
      </c>
      <c r="V1088" t="str">
        <f t="shared" si="49"/>
        <v>Jan</v>
      </c>
      <c r="W1088">
        <f t="shared" si="50"/>
        <v>0.15000815075639021</v>
      </c>
    </row>
    <row r="1089" spans="1:23" x14ac:dyDescent="0.4">
      <c r="A1089" s="4" t="s">
        <v>3108</v>
      </c>
      <c r="B1089" s="4" t="s">
        <v>262</v>
      </c>
      <c r="C1089" s="11">
        <v>44795</v>
      </c>
      <c r="D1089" s="4" t="s">
        <v>39</v>
      </c>
      <c r="E1089" s="4" t="s">
        <v>24</v>
      </c>
      <c r="F1089" s="4" t="s">
        <v>58</v>
      </c>
      <c r="G1089" s="4" t="s">
        <v>59</v>
      </c>
      <c r="H1089" s="4" t="s">
        <v>3109</v>
      </c>
      <c r="I1089" s="4" t="s">
        <v>61</v>
      </c>
      <c r="J1089" s="4" t="s">
        <v>79</v>
      </c>
      <c r="K1089" s="4" t="s">
        <v>86</v>
      </c>
      <c r="L1089" s="4" t="s">
        <v>980</v>
      </c>
      <c r="M1089" s="4" t="s">
        <v>53</v>
      </c>
      <c r="N1089" s="4" t="s">
        <v>33</v>
      </c>
      <c r="O1089" s="4" t="s">
        <v>82</v>
      </c>
      <c r="P1089" s="4" t="s">
        <v>35</v>
      </c>
      <c r="Q1089" s="4">
        <v>8</v>
      </c>
      <c r="R1089" s="4">
        <v>47374</v>
      </c>
      <c r="S1089" s="5">
        <v>15</v>
      </c>
      <c r="T1089" s="6">
        <f t="shared" si="48"/>
        <v>322143.2</v>
      </c>
      <c r="U1089" s="4">
        <v>48357.39</v>
      </c>
      <c r="V1089" t="str">
        <f t="shared" si="49"/>
        <v>Aug</v>
      </c>
      <c r="W1089">
        <f t="shared" si="50"/>
        <v>0.15011147216517373</v>
      </c>
    </row>
    <row r="1090" spans="1:23" x14ac:dyDescent="0.4">
      <c r="A1090" s="4" t="s">
        <v>3110</v>
      </c>
      <c r="B1090" s="4" t="s">
        <v>3111</v>
      </c>
      <c r="C1090" s="11">
        <v>45526</v>
      </c>
      <c r="D1090" s="4" t="s">
        <v>39</v>
      </c>
      <c r="E1090" s="4" t="s">
        <v>24</v>
      </c>
      <c r="F1090" s="4" t="s">
        <v>26</v>
      </c>
      <c r="G1090" s="4" t="s">
        <v>26</v>
      </c>
      <c r="H1090" s="4" t="s">
        <v>3112</v>
      </c>
      <c r="I1090" s="4" t="s">
        <v>28</v>
      </c>
      <c r="J1090" s="4" t="s">
        <v>62</v>
      </c>
      <c r="K1090" s="4" t="s">
        <v>153</v>
      </c>
      <c r="L1090" s="4" t="s">
        <v>770</v>
      </c>
      <c r="M1090" s="4" t="s">
        <v>53</v>
      </c>
      <c r="N1090" s="4" t="s">
        <v>54</v>
      </c>
      <c r="O1090" s="4" t="s">
        <v>82</v>
      </c>
      <c r="P1090" s="4" t="s">
        <v>74</v>
      </c>
      <c r="Q1090" s="4">
        <v>4</v>
      </c>
      <c r="R1090" s="4">
        <v>29666</v>
      </c>
      <c r="S1090" s="5">
        <v>0</v>
      </c>
      <c r="T1090" s="6">
        <f t="shared" si="48"/>
        <v>118664</v>
      </c>
      <c r="U1090" s="4">
        <v>13749.17</v>
      </c>
      <c r="V1090" t="str">
        <f t="shared" si="49"/>
        <v>Aug</v>
      </c>
      <c r="W1090">
        <f t="shared" si="50"/>
        <v>0.11586639587406458</v>
      </c>
    </row>
    <row r="1091" spans="1:23" x14ac:dyDescent="0.4">
      <c r="A1091" s="4" t="s">
        <v>3113</v>
      </c>
      <c r="B1091" s="4" t="s">
        <v>230</v>
      </c>
      <c r="C1091" s="11">
        <v>44842</v>
      </c>
      <c r="D1091" s="4" t="s">
        <v>98</v>
      </c>
      <c r="E1091" s="4" t="s">
        <v>24</v>
      </c>
      <c r="F1091" s="4" t="s">
        <v>40</v>
      </c>
      <c r="G1091" s="4" t="s">
        <v>99</v>
      </c>
      <c r="H1091" s="4" t="s">
        <v>3114</v>
      </c>
      <c r="I1091" s="4" t="s">
        <v>61</v>
      </c>
      <c r="J1091" s="4" t="s">
        <v>79</v>
      </c>
      <c r="K1091" s="4" t="s">
        <v>44</v>
      </c>
      <c r="L1091" s="4" t="s">
        <v>1921</v>
      </c>
      <c r="M1091" s="4" t="s">
        <v>53</v>
      </c>
      <c r="N1091" s="4" t="s">
        <v>54</v>
      </c>
      <c r="O1091" s="4" t="s">
        <v>46</v>
      </c>
      <c r="P1091" s="4" t="s">
        <v>35</v>
      </c>
      <c r="Q1091" s="4">
        <v>3</v>
      </c>
      <c r="R1091" s="4">
        <v>21429</v>
      </c>
      <c r="S1091" s="5">
        <v>20</v>
      </c>
      <c r="T1091" s="6">
        <f t="shared" ref="T1091:T1154" si="51">Q1091*R1091*(100-S1091)/100</f>
        <v>51429.599999999999</v>
      </c>
      <c r="U1091" s="4">
        <v>2605.7800000000002</v>
      </c>
      <c r="V1091" t="str">
        <f t="shared" ref="V1091:V1154" si="52">TEXT(B1091,"MMM")</f>
        <v>Sep</v>
      </c>
      <c r="W1091">
        <f t="shared" ref="W1091:W1154" si="53">U1091/T1091</f>
        <v>5.0666931105822335E-2</v>
      </c>
    </row>
    <row r="1092" spans="1:23" x14ac:dyDescent="0.4">
      <c r="A1092" s="4" t="s">
        <v>3115</v>
      </c>
      <c r="B1092" s="4" t="s">
        <v>496</v>
      </c>
      <c r="C1092" s="11">
        <v>44578</v>
      </c>
      <c r="D1092" s="4" t="s">
        <v>39</v>
      </c>
      <c r="E1092" s="4" t="s">
        <v>24</v>
      </c>
      <c r="F1092" s="4" t="s">
        <v>58</v>
      </c>
      <c r="G1092" s="4" t="s">
        <v>92</v>
      </c>
      <c r="H1092" s="4" t="s">
        <v>3116</v>
      </c>
      <c r="I1092" s="4" t="s">
        <v>43</v>
      </c>
      <c r="J1092" s="4" t="s">
        <v>62</v>
      </c>
      <c r="K1092" s="4" t="s">
        <v>86</v>
      </c>
      <c r="L1092" s="4" t="s">
        <v>956</v>
      </c>
      <c r="M1092" s="4" t="s">
        <v>53</v>
      </c>
      <c r="N1092" s="4" t="s">
        <v>33</v>
      </c>
      <c r="O1092" s="4" t="s">
        <v>66</v>
      </c>
      <c r="P1092" s="4" t="s">
        <v>74</v>
      </c>
      <c r="Q1092" s="4">
        <v>10</v>
      </c>
      <c r="R1092" s="4">
        <v>9296</v>
      </c>
      <c r="S1092" s="5">
        <v>0</v>
      </c>
      <c r="T1092" s="6">
        <f t="shared" si="51"/>
        <v>92960</v>
      </c>
      <c r="U1092" s="4">
        <v>7550.06</v>
      </c>
      <c r="V1092" t="str">
        <f t="shared" si="52"/>
        <v>Jan</v>
      </c>
      <c r="W1092">
        <f t="shared" si="53"/>
        <v>8.1218373493975912E-2</v>
      </c>
    </row>
    <row r="1093" spans="1:23" x14ac:dyDescent="0.4">
      <c r="A1093" s="4" t="s">
        <v>3117</v>
      </c>
      <c r="B1093" s="4" t="s">
        <v>478</v>
      </c>
      <c r="C1093" s="11">
        <v>45022</v>
      </c>
      <c r="D1093" s="4" t="s">
        <v>39</v>
      </c>
      <c r="E1093" s="4" t="s">
        <v>24</v>
      </c>
      <c r="F1093" s="4" t="s">
        <v>40</v>
      </c>
      <c r="G1093" s="4" t="s">
        <v>59</v>
      </c>
      <c r="H1093" s="4" t="s">
        <v>3118</v>
      </c>
      <c r="I1093" s="4" t="s">
        <v>43</v>
      </c>
      <c r="J1093" s="4" t="s">
        <v>79</v>
      </c>
      <c r="K1093" s="4" t="s">
        <v>44</v>
      </c>
      <c r="L1093" s="4" t="s">
        <v>597</v>
      </c>
      <c r="M1093" s="4" t="s">
        <v>32</v>
      </c>
      <c r="N1093" s="4" t="s">
        <v>54</v>
      </c>
      <c r="O1093" s="4" t="s">
        <v>34</v>
      </c>
      <c r="P1093" s="4" t="s">
        <v>35</v>
      </c>
      <c r="Q1093" s="4">
        <v>1</v>
      </c>
      <c r="R1093" s="4">
        <v>23834</v>
      </c>
      <c r="S1093" s="5">
        <v>10</v>
      </c>
      <c r="T1093" s="6">
        <f t="shared" si="51"/>
        <v>21450.6</v>
      </c>
      <c r="U1093" s="4">
        <v>326.16000000000003</v>
      </c>
      <c r="V1093" t="str">
        <f t="shared" si="52"/>
        <v>Mar</v>
      </c>
      <c r="W1093">
        <f t="shared" si="53"/>
        <v>1.520516908617941E-2</v>
      </c>
    </row>
    <row r="1094" spans="1:23" x14ac:dyDescent="0.4">
      <c r="A1094" s="4" t="s">
        <v>3119</v>
      </c>
      <c r="B1094" s="4" t="s">
        <v>820</v>
      </c>
      <c r="C1094" s="11">
        <v>44766</v>
      </c>
      <c r="D1094" s="4" t="s">
        <v>98</v>
      </c>
      <c r="E1094" s="4" t="s">
        <v>24</v>
      </c>
      <c r="F1094" s="4" t="s">
        <v>40</v>
      </c>
      <c r="G1094" s="4" t="s">
        <v>59</v>
      </c>
      <c r="H1094" s="4" t="s">
        <v>3120</v>
      </c>
      <c r="I1094" s="4" t="s">
        <v>61</v>
      </c>
      <c r="J1094" s="4" t="s">
        <v>79</v>
      </c>
      <c r="K1094" s="4" t="s">
        <v>86</v>
      </c>
      <c r="L1094" s="4" t="s">
        <v>1633</v>
      </c>
      <c r="M1094" s="4" t="s">
        <v>65</v>
      </c>
      <c r="N1094" s="4" t="s">
        <v>33</v>
      </c>
      <c r="O1094" s="4" t="s">
        <v>66</v>
      </c>
      <c r="P1094" s="4" t="s">
        <v>35</v>
      </c>
      <c r="Q1094" s="4">
        <v>9</v>
      </c>
      <c r="R1094" s="4">
        <v>18472</v>
      </c>
      <c r="S1094" s="5">
        <v>5</v>
      </c>
      <c r="T1094" s="6">
        <f t="shared" si="51"/>
        <v>157935.6</v>
      </c>
      <c r="U1094" s="4">
        <v>22453.35</v>
      </c>
      <c r="V1094" t="str">
        <f t="shared" si="52"/>
        <v>Jul</v>
      </c>
      <c r="W1094">
        <f t="shared" si="53"/>
        <v>0.14216775698449241</v>
      </c>
    </row>
    <row r="1095" spans="1:23" x14ac:dyDescent="0.4">
      <c r="A1095" s="4" t="s">
        <v>3121</v>
      </c>
      <c r="B1095" s="4" t="s">
        <v>1046</v>
      </c>
      <c r="C1095" s="11">
        <v>45171</v>
      </c>
      <c r="D1095" s="4" t="s">
        <v>23</v>
      </c>
      <c r="E1095" s="4" t="s">
        <v>24</v>
      </c>
      <c r="F1095" s="4" t="s">
        <v>70</v>
      </c>
      <c r="G1095" s="4" t="s">
        <v>59</v>
      </c>
      <c r="H1095" s="4" t="s">
        <v>3122</v>
      </c>
      <c r="I1095" s="4" t="s">
        <v>43</v>
      </c>
      <c r="J1095" s="4" t="s">
        <v>79</v>
      </c>
      <c r="K1095" s="4" t="s">
        <v>153</v>
      </c>
      <c r="L1095" s="4" t="s">
        <v>1214</v>
      </c>
      <c r="M1095" s="4" t="s">
        <v>95</v>
      </c>
      <c r="N1095" s="4" t="s">
        <v>33</v>
      </c>
      <c r="O1095" s="4" t="s">
        <v>120</v>
      </c>
      <c r="P1095" s="4" t="s">
        <v>35</v>
      </c>
      <c r="Q1095" s="4">
        <v>3</v>
      </c>
      <c r="R1095" s="4">
        <v>29816</v>
      </c>
      <c r="S1095" s="5">
        <v>20</v>
      </c>
      <c r="T1095" s="6">
        <f t="shared" si="51"/>
        <v>71558.399999999994</v>
      </c>
      <c r="U1095" s="4">
        <v>-11101.02</v>
      </c>
      <c r="V1095" t="str">
        <f t="shared" si="52"/>
        <v>Aug</v>
      </c>
      <c r="W1095">
        <f t="shared" si="53"/>
        <v>-0.15513231151059836</v>
      </c>
    </row>
    <row r="1096" spans="1:23" x14ac:dyDescent="0.4">
      <c r="A1096" s="4" t="s">
        <v>3123</v>
      </c>
      <c r="B1096" s="4" t="s">
        <v>1516</v>
      </c>
      <c r="C1096" s="11">
        <v>44928</v>
      </c>
      <c r="D1096" s="4" t="s">
        <v>39</v>
      </c>
      <c r="E1096" s="4" t="s">
        <v>24</v>
      </c>
      <c r="F1096" s="4" t="s">
        <v>25</v>
      </c>
      <c r="G1096" s="4" t="s">
        <v>99</v>
      </c>
      <c r="H1096" s="4" t="s">
        <v>3124</v>
      </c>
      <c r="I1096" s="4" t="s">
        <v>61</v>
      </c>
      <c r="J1096" s="4" t="s">
        <v>62</v>
      </c>
      <c r="K1096" s="4" t="s">
        <v>44</v>
      </c>
      <c r="L1096" s="4" t="s">
        <v>1453</v>
      </c>
      <c r="M1096" s="4" t="s">
        <v>95</v>
      </c>
      <c r="N1096" s="4" t="s">
        <v>54</v>
      </c>
      <c r="O1096" s="4" t="s">
        <v>66</v>
      </c>
      <c r="P1096" s="4" t="s">
        <v>74</v>
      </c>
      <c r="Q1096" s="4">
        <v>10</v>
      </c>
      <c r="R1096" s="4">
        <v>45641</v>
      </c>
      <c r="S1096" s="5">
        <v>5</v>
      </c>
      <c r="T1096" s="6">
        <f t="shared" si="51"/>
        <v>433589.5</v>
      </c>
      <c r="U1096" s="4">
        <v>47774.54</v>
      </c>
      <c r="V1096" t="str">
        <f t="shared" si="52"/>
        <v>Dec</v>
      </c>
      <c r="W1096">
        <f t="shared" si="53"/>
        <v>0.11018380288268051</v>
      </c>
    </row>
    <row r="1097" spans="1:23" x14ac:dyDescent="0.4">
      <c r="A1097" s="4" t="s">
        <v>3125</v>
      </c>
      <c r="B1097" s="4" t="s">
        <v>585</v>
      </c>
      <c r="C1097" s="11">
        <v>45204</v>
      </c>
      <c r="D1097" s="4" t="s">
        <v>124</v>
      </c>
      <c r="E1097" s="4" t="s">
        <v>24</v>
      </c>
      <c r="F1097" s="4" t="s">
        <v>25</v>
      </c>
      <c r="G1097" s="4" t="s">
        <v>99</v>
      </c>
      <c r="H1097" s="4" t="s">
        <v>3126</v>
      </c>
      <c r="I1097" s="4" t="s">
        <v>61</v>
      </c>
      <c r="J1097" s="4" t="s">
        <v>79</v>
      </c>
      <c r="K1097" s="4" t="s">
        <v>44</v>
      </c>
      <c r="L1097" s="4" t="s">
        <v>627</v>
      </c>
      <c r="M1097" s="4" t="s">
        <v>95</v>
      </c>
      <c r="N1097" s="4" t="s">
        <v>54</v>
      </c>
      <c r="O1097" s="4" t="s">
        <v>82</v>
      </c>
      <c r="P1097" s="4" t="s">
        <v>47</v>
      </c>
      <c r="Q1097" s="4">
        <v>1</v>
      </c>
      <c r="R1097" s="4">
        <v>37245</v>
      </c>
      <c r="S1097" s="5">
        <v>10</v>
      </c>
      <c r="T1097" s="6">
        <f t="shared" si="51"/>
        <v>33520.5</v>
      </c>
      <c r="U1097" s="4">
        <v>5246.74</v>
      </c>
      <c r="V1097" t="str">
        <f t="shared" si="52"/>
        <v>Sep</v>
      </c>
      <c r="W1097">
        <f t="shared" si="53"/>
        <v>0.15652332154949955</v>
      </c>
    </row>
    <row r="1098" spans="1:23" x14ac:dyDescent="0.4">
      <c r="A1098" s="4" t="s">
        <v>3127</v>
      </c>
      <c r="B1098" s="4" t="s">
        <v>450</v>
      </c>
      <c r="C1098" s="11">
        <v>45009</v>
      </c>
      <c r="D1098" s="4" t="s">
        <v>124</v>
      </c>
      <c r="E1098" s="4" t="s">
        <v>24</v>
      </c>
      <c r="F1098" s="4" t="s">
        <v>40</v>
      </c>
      <c r="G1098" s="4" t="s">
        <v>92</v>
      </c>
      <c r="H1098" s="4" t="s">
        <v>3128</v>
      </c>
      <c r="I1098" s="4" t="s">
        <v>43</v>
      </c>
      <c r="J1098" s="4" t="s">
        <v>29</v>
      </c>
      <c r="K1098" s="4" t="s">
        <v>153</v>
      </c>
      <c r="L1098" s="4" t="s">
        <v>1311</v>
      </c>
      <c r="M1098" s="4" t="s">
        <v>81</v>
      </c>
      <c r="N1098" s="4" t="s">
        <v>33</v>
      </c>
      <c r="O1098" s="4" t="s">
        <v>34</v>
      </c>
      <c r="P1098" s="4" t="s">
        <v>35</v>
      </c>
      <c r="Q1098" s="4">
        <v>5</v>
      </c>
      <c r="R1098" s="4">
        <v>34964</v>
      </c>
      <c r="S1098" s="5">
        <v>10</v>
      </c>
      <c r="T1098" s="6">
        <f t="shared" si="51"/>
        <v>157338</v>
      </c>
      <c r="U1098" s="4">
        <v>-2948.56</v>
      </c>
      <c r="V1098" t="str">
        <f t="shared" si="52"/>
        <v>Mar</v>
      </c>
      <c r="W1098">
        <f t="shared" si="53"/>
        <v>-1.8740291601520295E-2</v>
      </c>
    </row>
    <row r="1099" spans="1:23" x14ac:dyDescent="0.4">
      <c r="A1099" s="4" t="s">
        <v>3129</v>
      </c>
      <c r="B1099" s="4" t="s">
        <v>2958</v>
      </c>
      <c r="C1099" s="11">
        <v>44642</v>
      </c>
      <c r="D1099" s="4" t="s">
        <v>23</v>
      </c>
      <c r="E1099" s="4" t="s">
        <v>24</v>
      </c>
      <c r="F1099" s="4" t="s">
        <v>26</v>
      </c>
      <c r="G1099" s="4" t="s">
        <v>59</v>
      </c>
      <c r="H1099" s="4" t="s">
        <v>3130</v>
      </c>
      <c r="I1099" s="4" t="s">
        <v>28</v>
      </c>
      <c r="J1099" s="4" t="s">
        <v>62</v>
      </c>
      <c r="K1099" s="4" t="s">
        <v>153</v>
      </c>
      <c r="L1099" s="4" t="s">
        <v>900</v>
      </c>
      <c r="M1099" s="4" t="s">
        <v>65</v>
      </c>
      <c r="N1099" s="4" t="s">
        <v>54</v>
      </c>
      <c r="O1099" s="4" t="s">
        <v>66</v>
      </c>
      <c r="P1099" s="4" t="s">
        <v>35</v>
      </c>
      <c r="Q1099" s="4">
        <v>5</v>
      </c>
      <c r="R1099" s="4">
        <v>14258</v>
      </c>
      <c r="S1099" s="5">
        <v>0</v>
      </c>
      <c r="T1099" s="6">
        <f t="shared" si="51"/>
        <v>71290</v>
      </c>
      <c r="U1099" s="4">
        <v>11941.06</v>
      </c>
      <c r="V1099" t="str">
        <f t="shared" si="52"/>
        <v>Mar</v>
      </c>
      <c r="W1099">
        <f t="shared" si="53"/>
        <v>0.16749978959180811</v>
      </c>
    </row>
    <row r="1100" spans="1:23" x14ac:dyDescent="0.4">
      <c r="A1100" s="4" t="s">
        <v>3131</v>
      </c>
      <c r="B1100" s="4" t="s">
        <v>2158</v>
      </c>
      <c r="C1100" s="11">
        <v>45377</v>
      </c>
      <c r="D1100" s="4" t="s">
        <v>124</v>
      </c>
      <c r="E1100" s="4" t="s">
        <v>24</v>
      </c>
      <c r="F1100" s="4" t="s">
        <v>40</v>
      </c>
      <c r="G1100" s="4" t="s">
        <v>59</v>
      </c>
      <c r="H1100" s="4" t="s">
        <v>3133</v>
      </c>
      <c r="I1100" s="4" t="s">
        <v>61</v>
      </c>
      <c r="J1100" s="4" t="s">
        <v>79</v>
      </c>
      <c r="K1100" s="4" t="s">
        <v>86</v>
      </c>
      <c r="L1100" s="4" t="s">
        <v>1031</v>
      </c>
      <c r="M1100" s="4" t="s">
        <v>81</v>
      </c>
      <c r="N1100" s="4" t="s">
        <v>54</v>
      </c>
      <c r="O1100" s="4" t="s">
        <v>46</v>
      </c>
      <c r="P1100" s="4" t="s">
        <v>74</v>
      </c>
      <c r="Q1100" s="4">
        <v>1</v>
      </c>
      <c r="R1100" s="4">
        <v>39468</v>
      </c>
      <c r="S1100" s="5">
        <v>15</v>
      </c>
      <c r="T1100" s="6">
        <f t="shared" si="51"/>
        <v>33547.800000000003</v>
      </c>
      <c r="U1100" s="4">
        <v>3114.55</v>
      </c>
      <c r="V1100" t="str">
        <f t="shared" si="52"/>
        <v>Mar</v>
      </c>
      <c r="W1100">
        <f t="shared" si="53"/>
        <v>9.2839172762446423E-2</v>
      </c>
    </row>
    <row r="1101" spans="1:23" x14ac:dyDescent="0.4">
      <c r="A1101" s="4" t="s">
        <v>3134</v>
      </c>
      <c r="B1101" s="4" t="s">
        <v>3135</v>
      </c>
      <c r="C1101" s="11">
        <v>44692</v>
      </c>
      <c r="D1101" s="4" t="s">
        <v>98</v>
      </c>
      <c r="E1101" s="4" t="s">
        <v>24</v>
      </c>
      <c r="F1101" s="4" t="s">
        <v>58</v>
      </c>
      <c r="G1101" s="4" t="s">
        <v>92</v>
      </c>
      <c r="H1101" s="4" t="s">
        <v>3136</v>
      </c>
      <c r="I1101" s="4" t="s">
        <v>43</v>
      </c>
      <c r="J1101" s="4" t="s">
        <v>29</v>
      </c>
      <c r="K1101" s="4" t="s">
        <v>101</v>
      </c>
      <c r="L1101" s="4" t="s">
        <v>704</v>
      </c>
      <c r="M1101" s="4" t="s">
        <v>65</v>
      </c>
      <c r="N1101" s="4" t="s">
        <v>33</v>
      </c>
      <c r="O1101" s="4" t="s">
        <v>82</v>
      </c>
      <c r="P1101" s="4" t="s">
        <v>74</v>
      </c>
      <c r="Q1101" s="4">
        <v>2</v>
      </c>
      <c r="R1101" s="4">
        <v>6918</v>
      </c>
      <c r="S1101" s="5">
        <v>5</v>
      </c>
      <c r="T1101" s="6">
        <f t="shared" si="51"/>
        <v>13144.2</v>
      </c>
      <c r="U1101" s="4">
        <v>942.96</v>
      </c>
      <c r="V1101" t="str">
        <f t="shared" si="52"/>
        <v>May</v>
      </c>
      <c r="W1101">
        <f t="shared" si="53"/>
        <v>7.1739626603368786E-2</v>
      </c>
    </row>
    <row r="1102" spans="1:23" x14ac:dyDescent="0.4">
      <c r="A1102" s="4" t="s">
        <v>3137</v>
      </c>
      <c r="B1102" s="4" t="s">
        <v>2593</v>
      </c>
      <c r="C1102" s="11">
        <v>45491</v>
      </c>
      <c r="D1102" s="4" t="s">
        <v>39</v>
      </c>
      <c r="E1102" s="4" t="s">
        <v>24</v>
      </c>
      <c r="F1102" s="4" t="s">
        <v>26</v>
      </c>
      <c r="G1102" s="4" t="s">
        <v>92</v>
      </c>
      <c r="H1102" s="4" t="s">
        <v>3138</v>
      </c>
      <c r="I1102" s="4" t="s">
        <v>28</v>
      </c>
      <c r="J1102" s="4" t="s">
        <v>79</v>
      </c>
      <c r="K1102" s="4" t="s">
        <v>86</v>
      </c>
      <c r="L1102" s="4" t="s">
        <v>2380</v>
      </c>
      <c r="M1102" s="4" t="s">
        <v>81</v>
      </c>
      <c r="N1102" s="4" t="s">
        <v>33</v>
      </c>
      <c r="O1102" s="4" t="s">
        <v>34</v>
      </c>
      <c r="P1102" s="4" t="s">
        <v>47</v>
      </c>
      <c r="Q1102" s="4">
        <v>9</v>
      </c>
      <c r="R1102" s="4">
        <v>9818</v>
      </c>
      <c r="S1102" s="5">
        <v>10</v>
      </c>
      <c r="T1102" s="6">
        <f t="shared" si="51"/>
        <v>79525.8</v>
      </c>
      <c r="U1102" s="4">
        <v>-2040.02</v>
      </c>
      <c r="V1102" t="str">
        <f t="shared" si="52"/>
        <v>Jul</v>
      </c>
      <c r="W1102">
        <f t="shared" si="53"/>
        <v>-2.5652304032150571E-2</v>
      </c>
    </row>
    <row r="1103" spans="1:23" x14ac:dyDescent="0.4">
      <c r="A1103" s="4" t="s">
        <v>3139</v>
      </c>
      <c r="B1103" s="4" t="s">
        <v>925</v>
      </c>
      <c r="C1103" s="11">
        <v>44686</v>
      </c>
      <c r="D1103" s="4" t="s">
        <v>98</v>
      </c>
      <c r="E1103" s="4" t="s">
        <v>24</v>
      </c>
      <c r="F1103" s="4" t="s">
        <v>70</v>
      </c>
      <c r="G1103" s="4" t="s">
        <v>59</v>
      </c>
      <c r="H1103" s="4" t="s">
        <v>3140</v>
      </c>
      <c r="I1103" s="4" t="s">
        <v>28</v>
      </c>
      <c r="J1103" s="4" t="s">
        <v>29</v>
      </c>
      <c r="K1103" s="4" t="s">
        <v>63</v>
      </c>
      <c r="L1103" s="4" t="s">
        <v>729</v>
      </c>
      <c r="M1103" s="4" t="s">
        <v>73</v>
      </c>
      <c r="N1103" s="4" t="s">
        <v>33</v>
      </c>
      <c r="O1103" s="4" t="s">
        <v>34</v>
      </c>
      <c r="P1103" s="4" t="s">
        <v>47</v>
      </c>
      <c r="Q1103" s="4">
        <v>7</v>
      </c>
      <c r="R1103" s="4">
        <v>35000</v>
      </c>
      <c r="S1103" s="5">
        <v>10</v>
      </c>
      <c r="T1103" s="6">
        <f t="shared" si="51"/>
        <v>220500</v>
      </c>
      <c r="U1103" s="4">
        <v>44019.79</v>
      </c>
      <c r="V1103" t="str">
        <f t="shared" si="52"/>
        <v>May</v>
      </c>
      <c r="W1103">
        <f t="shared" si="53"/>
        <v>0.1996362358276644</v>
      </c>
    </row>
    <row r="1104" spans="1:23" x14ac:dyDescent="0.4">
      <c r="A1104" s="4" t="s">
        <v>3141</v>
      </c>
      <c r="B1104" s="4" t="s">
        <v>685</v>
      </c>
      <c r="C1104" s="11">
        <v>45162</v>
      </c>
      <c r="D1104" s="4" t="s">
        <v>39</v>
      </c>
      <c r="E1104" s="4" t="s">
        <v>24</v>
      </c>
      <c r="F1104" s="4" t="s">
        <v>25</v>
      </c>
      <c r="G1104" s="4" t="s">
        <v>92</v>
      </c>
      <c r="H1104" s="4" t="s">
        <v>3142</v>
      </c>
      <c r="I1104" s="4" t="s">
        <v>28</v>
      </c>
      <c r="J1104" s="4" t="s">
        <v>29</v>
      </c>
      <c r="K1104" s="4" t="s">
        <v>153</v>
      </c>
      <c r="L1104" s="4" t="s">
        <v>1278</v>
      </c>
      <c r="M1104" s="4" t="s">
        <v>65</v>
      </c>
      <c r="N1104" s="4" t="s">
        <v>54</v>
      </c>
      <c r="O1104" s="4" t="s">
        <v>120</v>
      </c>
      <c r="P1104" s="4" t="s">
        <v>88</v>
      </c>
      <c r="Q1104" s="4">
        <v>8</v>
      </c>
      <c r="R1104" s="4">
        <v>24945</v>
      </c>
      <c r="S1104" s="5">
        <v>5</v>
      </c>
      <c r="T1104" s="6">
        <f t="shared" si="51"/>
        <v>189582</v>
      </c>
      <c r="U1104" s="4">
        <v>16174.33</v>
      </c>
      <c r="V1104" t="str">
        <f t="shared" si="52"/>
        <v>Aug</v>
      </c>
      <c r="W1104">
        <f t="shared" si="53"/>
        <v>8.5315747275585233E-2</v>
      </c>
    </row>
    <row r="1105" spans="1:23" x14ac:dyDescent="0.4">
      <c r="A1105" s="4" t="s">
        <v>3143</v>
      </c>
      <c r="B1105" s="4" t="s">
        <v>803</v>
      </c>
      <c r="C1105" s="11">
        <v>45221</v>
      </c>
      <c r="D1105" s="4" t="s">
        <v>98</v>
      </c>
      <c r="E1105" s="4" t="s">
        <v>24</v>
      </c>
      <c r="F1105" s="4" t="s">
        <v>70</v>
      </c>
      <c r="G1105" s="4" t="s">
        <v>41</v>
      </c>
      <c r="H1105" s="4" t="s">
        <v>3144</v>
      </c>
      <c r="I1105" s="4" t="s">
        <v>28</v>
      </c>
      <c r="J1105" s="4" t="s">
        <v>79</v>
      </c>
      <c r="K1105" s="4" t="s">
        <v>101</v>
      </c>
      <c r="L1105" s="4" t="s">
        <v>2380</v>
      </c>
      <c r="M1105" s="4" t="s">
        <v>53</v>
      </c>
      <c r="N1105" s="4" t="s">
        <v>33</v>
      </c>
      <c r="O1105" s="4" t="s">
        <v>120</v>
      </c>
      <c r="P1105" s="4" t="s">
        <v>74</v>
      </c>
      <c r="Q1105" s="4">
        <v>5</v>
      </c>
      <c r="R1105" s="4">
        <v>18817</v>
      </c>
      <c r="S1105" s="5">
        <v>10</v>
      </c>
      <c r="T1105" s="6">
        <f t="shared" si="51"/>
        <v>84676.5</v>
      </c>
      <c r="U1105" s="4">
        <v>-2458.5500000000002</v>
      </c>
      <c r="V1105" t="str">
        <f t="shared" si="52"/>
        <v>Oct</v>
      </c>
      <c r="W1105">
        <f t="shared" si="53"/>
        <v>-2.9034619994921851E-2</v>
      </c>
    </row>
    <row r="1106" spans="1:23" x14ac:dyDescent="0.4">
      <c r="A1106" s="4" t="s">
        <v>3145</v>
      </c>
      <c r="B1106" s="4" t="s">
        <v>2271</v>
      </c>
      <c r="C1106" s="11">
        <v>45186</v>
      </c>
      <c r="D1106" s="4" t="s">
        <v>124</v>
      </c>
      <c r="E1106" s="4" t="s">
        <v>24</v>
      </c>
      <c r="F1106" s="4" t="s">
        <v>25</v>
      </c>
      <c r="G1106" s="4" t="s">
        <v>41</v>
      </c>
      <c r="H1106" s="4" t="s">
        <v>3146</v>
      </c>
      <c r="I1106" s="4" t="s">
        <v>61</v>
      </c>
      <c r="J1106" s="4" t="s">
        <v>79</v>
      </c>
      <c r="K1106" s="4" t="s">
        <v>44</v>
      </c>
      <c r="L1106" s="4" t="s">
        <v>826</v>
      </c>
      <c r="M1106" s="4" t="s">
        <v>32</v>
      </c>
      <c r="N1106" s="4" t="s">
        <v>54</v>
      </c>
      <c r="O1106" s="4" t="s">
        <v>66</v>
      </c>
      <c r="P1106" s="4" t="s">
        <v>47</v>
      </c>
      <c r="Q1106" s="4">
        <v>5</v>
      </c>
      <c r="R1106" s="4">
        <v>29676</v>
      </c>
      <c r="S1106" s="5">
        <v>0</v>
      </c>
      <c r="T1106" s="6">
        <f t="shared" si="51"/>
        <v>148380</v>
      </c>
      <c r="U1106" s="4">
        <v>7696.48</v>
      </c>
      <c r="V1106" t="str">
        <f t="shared" si="52"/>
        <v>Sep</v>
      </c>
      <c r="W1106">
        <f t="shared" si="53"/>
        <v>5.1870063350855908E-2</v>
      </c>
    </row>
    <row r="1107" spans="1:23" x14ac:dyDescent="0.4">
      <c r="A1107" s="4" t="s">
        <v>3147</v>
      </c>
      <c r="B1107" s="4" t="s">
        <v>104</v>
      </c>
      <c r="C1107" s="11">
        <v>45435</v>
      </c>
      <c r="D1107" s="4" t="s">
        <v>23</v>
      </c>
      <c r="E1107" s="4" t="s">
        <v>24</v>
      </c>
      <c r="F1107" s="4" t="s">
        <v>26</v>
      </c>
      <c r="G1107" s="4" t="s">
        <v>41</v>
      </c>
      <c r="H1107" s="4" t="s">
        <v>1059</v>
      </c>
      <c r="I1107" s="4" t="s">
        <v>28</v>
      </c>
      <c r="J1107" s="4" t="s">
        <v>79</v>
      </c>
      <c r="K1107" s="4" t="s">
        <v>30</v>
      </c>
      <c r="L1107" s="4" t="s">
        <v>775</v>
      </c>
      <c r="M1107" s="4" t="s">
        <v>81</v>
      </c>
      <c r="N1107" s="4" t="s">
        <v>33</v>
      </c>
      <c r="O1107" s="4" t="s">
        <v>46</v>
      </c>
      <c r="P1107" s="4" t="s">
        <v>47</v>
      </c>
      <c r="Q1107" s="4">
        <v>10</v>
      </c>
      <c r="R1107" s="4">
        <v>44954</v>
      </c>
      <c r="S1107" s="5">
        <v>15</v>
      </c>
      <c r="T1107" s="6">
        <f t="shared" si="51"/>
        <v>382109</v>
      </c>
      <c r="U1107" s="4">
        <v>19206.68</v>
      </c>
      <c r="V1107" t="str">
        <f t="shared" si="52"/>
        <v>May</v>
      </c>
      <c r="W1107">
        <f t="shared" si="53"/>
        <v>5.0264924406386663E-2</v>
      </c>
    </row>
    <row r="1108" spans="1:23" x14ac:dyDescent="0.4">
      <c r="A1108" s="4" t="s">
        <v>3148</v>
      </c>
      <c r="B1108" s="4" t="s">
        <v>928</v>
      </c>
      <c r="C1108" s="11">
        <v>44965</v>
      </c>
      <c r="D1108" s="4" t="s">
        <v>23</v>
      </c>
      <c r="E1108" s="4" t="s">
        <v>24</v>
      </c>
      <c r="F1108" s="4" t="s">
        <v>26</v>
      </c>
      <c r="G1108" s="4" t="s">
        <v>92</v>
      </c>
      <c r="H1108" s="4" t="s">
        <v>3149</v>
      </c>
      <c r="I1108" s="4" t="s">
        <v>43</v>
      </c>
      <c r="J1108" s="4" t="s">
        <v>29</v>
      </c>
      <c r="K1108" s="4" t="s">
        <v>44</v>
      </c>
      <c r="L1108" s="4" t="s">
        <v>687</v>
      </c>
      <c r="M1108" s="4" t="s">
        <v>95</v>
      </c>
      <c r="N1108" s="4" t="s">
        <v>33</v>
      </c>
      <c r="O1108" s="4" t="s">
        <v>120</v>
      </c>
      <c r="P1108" s="4" t="s">
        <v>88</v>
      </c>
      <c r="Q1108" s="4">
        <v>1</v>
      </c>
      <c r="R1108" s="4">
        <v>17315</v>
      </c>
      <c r="S1108" s="5">
        <v>20</v>
      </c>
      <c r="T1108" s="6">
        <f t="shared" si="51"/>
        <v>13852</v>
      </c>
      <c r="U1108" s="4">
        <v>386.02</v>
      </c>
      <c r="V1108" t="str">
        <f t="shared" si="52"/>
        <v>Feb</v>
      </c>
      <c r="W1108">
        <f t="shared" si="53"/>
        <v>2.7867455963037826E-2</v>
      </c>
    </row>
    <row r="1109" spans="1:23" x14ac:dyDescent="0.4">
      <c r="A1109" s="4" t="s">
        <v>3150</v>
      </c>
      <c r="B1109" s="4" t="s">
        <v>777</v>
      </c>
      <c r="C1109" s="11">
        <v>44702</v>
      </c>
      <c r="D1109" s="4" t="s">
        <v>39</v>
      </c>
      <c r="E1109" s="4" t="s">
        <v>24</v>
      </c>
      <c r="F1109" s="4" t="s">
        <v>25</v>
      </c>
      <c r="G1109" s="4" t="s">
        <v>99</v>
      </c>
      <c r="H1109" s="4" t="s">
        <v>3151</v>
      </c>
      <c r="I1109" s="4" t="s">
        <v>28</v>
      </c>
      <c r="J1109" s="4" t="s">
        <v>79</v>
      </c>
      <c r="K1109" s="4" t="s">
        <v>153</v>
      </c>
      <c r="L1109" s="4" t="s">
        <v>2084</v>
      </c>
      <c r="M1109" s="4" t="s">
        <v>65</v>
      </c>
      <c r="N1109" s="4" t="s">
        <v>33</v>
      </c>
      <c r="O1109" s="4" t="s">
        <v>120</v>
      </c>
      <c r="P1109" s="4" t="s">
        <v>47</v>
      </c>
      <c r="Q1109" s="4">
        <v>6</v>
      </c>
      <c r="R1109" s="4">
        <v>1283</v>
      </c>
      <c r="S1109" s="5">
        <v>15</v>
      </c>
      <c r="T1109" s="6">
        <f t="shared" si="51"/>
        <v>6543.3</v>
      </c>
      <c r="U1109" s="4">
        <v>-521.48</v>
      </c>
      <c r="V1109" t="str">
        <f t="shared" si="52"/>
        <v>May</v>
      </c>
      <c r="W1109">
        <f t="shared" si="53"/>
        <v>-7.9696789081961705E-2</v>
      </c>
    </row>
    <row r="1110" spans="1:23" x14ac:dyDescent="0.4">
      <c r="A1110" s="4" t="s">
        <v>3152</v>
      </c>
      <c r="B1110" s="4" t="s">
        <v>2217</v>
      </c>
      <c r="C1110" s="11">
        <v>45542</v>
      </c>
      <c r="D1110" s="4" t="s">
        <v>23</v>
      </c>
      <c r="E1110" s="4" t="s">
        <v>24</v>
      </c>
      <c r="F1110" s="4" t="s">
        <v>70</v>
      </c>
      <c r="G1110" s="4" t="s">
        <v>99</v>
      </c>
      <c r="H1110" s="4" t="s">
        <v>3153</v>
      </c>
      <c r="I1110" s="4" t="s">
        <v>43</v>
      </c>
      <c r="J1110" s="4" t="s">
        <v>79</v>
      </c>
      <c r="K1110" s="4" t="s">
        <v>153</v>
      </c>
      <c r="L1110" s="4" t="s">
        <v>296</v>
      </c>
      <c r="M1110" s="4" t="s">
        <v>53</v>
      </c>
      <c r="N1110" s="4" t="s">
        <v>33</v>
      </c>
      <c r="O1110" s="4" t="s">
        <v>46</v>
      </c>
      <c r="P1110" s="4" t="s">
        <v>74</v>
      </c>
      <c r="Q1110" s="4">
        <v>7</v>
      </c>
      <c r="R1110" s="4">
        <v>9419</v>
      </c>
      <c r="S1110" s="5">
        <v>20</v>
      </c>
      <c r="T1110" s="6">
        <f t="shared" si="51"/>
        <v>52746.400000000001</v>
      </c>
      <c r="U1110" s="4">
        <v>2209.6799999999998</v>
      </c>
      <c r="V1110" t="str">
        <f t="shared" si="52"/>
        <v>Sep</v>
      </c>
      <c r="W1110">
        <f t="shared" si="53"/>
        <v>4.1892527262524071E-2</v>
      </c>
    </row>
    <row r="1111" spans="1:23" x14ac:dyDescent="0.4">
      <c r="A1111" s="4" t="s">
        <v>3154</v>
      </c>
      <c r="B1111" s="4" t="s">
        <v>2054</v>
      </c>
      <c r="C1111" s="11">
        <v>44992</v>
      </c>
      <c r="D1111" s="4" t="s">
        <v>39</v>
      </c>
      <c r="E1111" s="4" t="s">
        <v>24</v>
      </c>
      <c r="F1111" s="4" t="s">
        <v>26</v>
      </c>
      <c r="G1111" s="4" t="s">
        <v>99</v>
      </c>
      <c r="H1111" s="4" t="s">
        <v>3155</v>
      </c>
      <c r="I1111" s="4" t="s">
        <v>61</v>
      </c>
      <c r="J1111" s="4" t="s">
        <v>62</v>
      </c>
      <c r="K1111" s="4" t="s">
        <v>153</v>
      </c>
      <c r="L1111" s="4" t="s">
        <v>2533</v>
      </c>
      <c r="M1111" s="4" t="s">
        <v>53</v>
      </c>
      <c r="N1111" s="4" t="s">
        <v>33</v>
      </c>
      <c r="O1111" s="4" t="s">
        <v>66</v>
      </c>
      <c r="P1111" s="4" t="s">
        <v>47</v>
      </c>
      <c r="Q1111" s="4">
        <v>5</v>
      </c>
      <c r="R1111" s="4">
        <v>40279</v>
      </c>
      <c r="S1111" s="5">
        <v>15</v>
      </c>
      <c r="T1111" s="6">
        <f t="shared" si="51"/>
        <v>171185.75</v>
      </c>
      <c r="U1111" s="4">
        <v>29748.04</v>
      </c>
      <c r="V1111" t="str">
        <f t="shared" si="52"/>
        <v>Mar</v>
      </c>
      <c r="W1111">
        <f t="shared" si="53"/>
        <v>0.17377638033539591</v>
      </c>
    </row>
    <row r="1112" spans="1:23" x14ac:dyDescent="0.4">
      <c r="A1112" s="4" t="s">
        <v>3156</v>
      </c>
      <c r="B1112" s="4" t="s">
        <v>2228</v>
      </c>
      <c r="C1112" s="11">
        <v>45227</v>
      </c>
      <c r="D1112" s="4" t="s">
        <v>23</v>
      </c>
      <c r="E1112" s="4" t="s">
        <v>24</v>
      </c>
      <c r="F1112" s="4" t="s">
        <v>70</v>
      </c>
      <c r="G1112" s="4" t="s">
        <v>99</v>
      </c>
      <c r="H1112" s="4" t="s">
        <v>3157</v>
      </c>
      <c r="I1112" s="4" t="s">
        <v>43</v>
      </c>
      <c r="J1112" s="4" t="s">
        <v>62</v>
      </c>
      <c r="K1112" s="4" t="s">
        <v>101</v>
      </c>
      <c r="L1112" s="4" t="s">
        <v>423</v>
      </c>
      <c r="M1112" s="4" t="s">
        <v>81</v>
      </c>
      <c r="N1112" s="4" t="s">
        <v>54</v>
      </c>
      <c r="O1112" s="4" t="s">
        <v>66</v>
      </c>
      <c r="P1112" s="4" t="s">
        <v>74</v>
      </c>
      <c r="Q1112" s="4">
        <v>8</v>
      </c>
      <c r="R1112" s="4">
        <v>49959</v>
      </c>
      <c r="S1112" s="5">
        <v>20</v>
      </c>
      <c r="T1112" s="6">
        <f t="shared" si="51"/>
        <v>319737.59999999998</v>
      </c>
      <c r="U1112" s="4">
        <v>-40050.639999999999</v>
      </c>
      <c r="V1112" t="str">
        <f t="shared" si="52"/>
        <v>Oct</v>
      </c>
      <c r="W1112">
        <f t="shared" si="53"/>
        <v>-0.12526096399047221</v>
      </c>
    </row>
    <row r="1113" spans="1:23" x14ac:dyDescent="0.4">
      <c r="A1113" s="4" t="s">
        <v>3158</v>
      </c>
      <c r="B1113" s="4" t="s">
        <v>137</v>
      </c>
      <c r="C1113" s="11">
        <v>44631</v>
      </c>
      <c r="D1113" s="4" t="s">
        <v>124</v>
      </c>
      <c r="E1113" s="4" t="s">
        <v>24</v>
      </c>
      <c r="F1113" s="4" t="s">
        <v>26</v>
      </c>
      <c r="G1113" s="4" t="s">
        <v>41</v>
      </c>
      <c r="H1113" s="4" t="s">
        <v>2674</v>
      </c>
      <c r="I1113" s="4" t="s">
        <v>28</v>
      </c>
      <c r="J1113" s="4" t="s">
        <v>79</v>
      </c>
      <c r="K1113" s="4" t="s">
        <v>153</v>
      </c>
      <c r="L1113" s="4" t="s">
        <v>94</v>
      </c>
      <c r="M1113" s="4" t="s">
        <v>95</v>
      </c>
      <c r="N1113" s="4" t="s">
        <v>33</v>
      </c>
      <c r="O1113" s="4" t="s">
        <v>46</v>
      </c>
      <c r="P1113" s="4" t="s">
        <v>35</v>
      </c>
      <c r="Q1113" s="4">
        <v>7</v>
      </c>
      <c r="R1113" s="4">
        <v>2875</v>
      </c>
      <c r="S1113" s="5">
        <v>10</v>
      </c>
      <c r="T1113" s="6">
        <f t="shared" si="51"/>
        <v>18112.5</v>
      </c>
      <c r="U1113" s="4">
        <v>-237.95</v>
      </c>
      <c r="V1113" t="str">
        <f t="shared" si="52"/>
        <v>Mar</v>
      </c>
      <c r="W1113">
        <f t="shared" si="53"/>
        <v>-1.3137336093857832E-2</v>
      </c>
    </row>
    <row r="1114" spans="1:23" x14ac:dyDescent="0.4">
      <c r="A1114" s="4" t="s">
        <v>3159</v>
      </c>
      <c r="B1114" s="4" t="s">
        <v>1126</v>
      </c>
      <c r="C1114" s="11">
        <v>44958</v>
      </c>
      <c r="D1114" s="4" t="s">
        <v>124</v>
      </c>
      <c r="E1114" s="4" t="s">
        <v>24</v>
      </c>
      <c r="F1114" s="4" t="s">
        <v>40</v>
      </c>
      <c r="G1114" s="4" t="s">
        <v>92</v>
      </c>
      <c r="H1114" s="4" t="s">
        <v>3160</v>
      </c>
      <c r="I1114" s="4" t="s">
        <v>61</v>
      </c>
      <c r="J1114" s="4" t="s">
        <v>62</v>
      </c>
      <c r="K1114" s="4" t="s">
        <v>86</v>
      </c>
      <c r="L1114" s="4" t="s">
        <v>1214</v>
      </c>
      <c r="M1114" s="4" t="s">
        <v>81</v>
      </c>
      <c r="N1114" s="4" t="s">
        <v>33</v>
      </c>
      <c r="O1114" s="4" t="s">
        <v>66</v>
      </c>
      <c r="P1114" s="4" t="s">
        <v>74</v>
      </c>
      <c r="Q1114" s="4">
        <v>5</v>
      </c>
      <c r="R1114" s="4">
        <v>46845</v>
      </c>
      <c r="S1114" s="5">
        <v>10</v>
      </c>
      <c r="T1114" s="6">
        <f t="shared" si="51"/>
        <v>210802.5</v>
      </c>
      <c r="U1114" s="4">
        <v>-9215.1299999999992</v>
      </c>
      <c r="V1114" t="str">
        <f t="shared" si="52"/>
        <v>Jan</v>
      </c>
      <c r="W1114">
        <f t="shared" si="53"/>
        <v>-4.3714519514711635E-2</v>
      </c>
    </row>
    <row r="1115" spans="1:23" x14ac:dyDescent="0.4">
      <c r="A1115" s="4" t="s">
        <v>3161</v>
      </c>
      <c r="B1115" s="4" t="s">
        <v>1029</v>
      </c>
      <c r="C1115" s="11">
        <v>45456</v>
      </c>
      <c r="D1115" s="4" t="s">
        <v>39</v>
      </c>
      <c r="E1115" s="4" t="s">
        <v>24</v>
      </c>
      <c r="F1115" s="4" t="s">
        <v>40</v>
      </c>
      <c r="G1115" s="4" t="s">
        <v>92</v>
      </c>
      <c r="H1115" s="4" t="s">
        <v>880</v>
      </c>
      <c r="I1115" s="4" t="s">
        <v>28</v>
      </c>
      <c r="J1115" s="4" t="s">
        <v>79</v>
      </c>
      <c r="K1115" s="4" t="s">
        <v>153</v>
      </c>
      <c r="L1115" s="4" t="s">
        <v>631</v>
      </c>
      <c r="M1115" s="4" t="s">
        <v>32</v>
      </c>
      <c r="N1115" s="4" t="s">
        <v>54</v>
      </c>
      <c r="O1115" s="4" t="s">
        <v>82</v>
      </c>
      <c r="P1115" s="4" t="s">
        <v>88</v>
      </c>
      <c r="Q1115" s="4">
        <v>8</v>
      </c>
      <c r="R1115" s="4">
        <v>48218</v>
      </c>
      <c r="S1115" s="5">
        <v>10</v>
      </c>
      <c r="T1115" s="6">
        <f t="shared" si="51"/>
        <v>347169.6</v>
      </c>
      <c r="U1115" s="4">
        <v>38386.15</v>
      </c>
      <c r="V1115" t="str">
        <f t="shared" si="52"/>
        <v>Jun</v>
      </c>
      <c r="W1115">
        <f t="shared" si="53"/>
        <v>0.11056886893322458</v>
      </c>
    </row>
    <row r="1116" spans="1:23" x14ac:dyDescent="0.4">
      <c r="A1116" s="4" t="s">
        <v>3162</v>
      </c>
      <c r="B1116" s="4" t="s">
        <v>1862</v>
      </c>
      <c r="C1116" s="11">
        <v>45451</v>
      </c>
      <c r="D1116" s="4" t="s">
        <v>23</v>
      </c>
      <c r="E1116" s="4" t="s">
        <v>24</v>
      </c>
      <c r="F1116" s="4" t="s">
        <v>70</v>
      </c>
      <c r="G1116" s="4" t="s">
        <v>59</v>
      </c>
      <c r="H1116" s="4" t="s">
        <v>3163</v>
      </c>
      <c r="I1116" s="4" t="s">
        <v>43</v>
      </c>
      <c r="J1116" s="4" t="s">
        <v>79</v>
      </c>
      <c r="K1116" s="4" t="s">
        <v>101</v>
      </c>
      <c r="L1116" s="4" t="s">
        <v>457</v>
      </c>
      <c r="M1116" s="4" t="s">
        <v>95</v>
      </c>
      <c r="N1116" s="4" t="s">
        <v>54</v>
      </c>
      <c r="O1116" s="4" t="s">
        <v>34</v>
      </c>
      <c r="P1116" s="4" t="s">
        <v>74</v>
      </c>
      <c r="Q1116" s="4">
        <v>7</v>
      </c>
      <c r="R1116" s="4">
        <v>1031</v>
      </c>
      <c r="S1116" s="5">
        <v>20</v>
      </c>
      <c r="T1116" s="6">
        <f t="shared" si="51"/>
        <v>5773.6</v>
      </c>
      <c r="U1116" s="4">
        <v>-754.78</v>
      </c>
      <c r="V1116" t="str">
        <f t="shared" si="52"/>
        <v>Jun</v>
      </c>
      <c r="W1116">
        <f t="shared" si="53"/>
        <v>-0.13072952750450326</v>
      </c>
    </row>
    <row r="1117" spans="1:23" x14ac:dyDescent="0.4">
      <c r="A1117" s="4" t="s">
        <v>3164</v>
      </c>
      <c r="B1117" s="4" t="s">
        <v>3165</v>
      </c>
      <c r="C1117" s="11">
        <v>45369</v>
      </c>
      <c r="D1117" s="4" t="s">
        <v>23</v>
      </c>
      <c r="E1117" s="4" t="s">
        <v>24</v>
      </c>
      <c r="F1117" s="4" t="s">
        <v>26</v>
      </c>
      <c r="G1117" s="4" t="s">
        <v>26</v>
      </c>
      <c r="H1117" s="4" t="s">
        <v>3166</v>
      </c>
      <c r="I1117" s="4" t="s">
        <v>28</v>
      </c>
      <c r="J1117" s="4" t="s">
        <v>29</v>
      </c>
      <c r="K1117" s="4" t="s">
        <v>86</v>
      </c>
      <c r="L1117" s="4" t="s">
        <v>1368</v>
      </c>
      <c r="M1117" s="4" t="s">
        <v>65</v>
      </c>
      <c r="N1117" s="4" t="s">
        <v>54</v>
      </c>
      <c r="O1117" s="4" t="s">
        <v>66</v>
      </c>
      <c r="P1117" s="4" t="s">
        <v>88</v>
      </c>
      <c r="Q1117" s="4">
        <v>5</v>
      </c>
      <c r="R1117" s="4">
        <v>44038</v>
      </c>
      <c r="S1117" s="5">
        <v>20</v>
      </c>
      <c r="T1117" s="6">
        <f t="shared" si="51"/>
        <v>176152</v>
      </c>
      <c r="U1117" s="4">
        <v>-27747.31</v>
      </c>
      <c r="V1117" t="str">
        <f t="shared" si="52"/>
        <v>Mar</v>
      </c>
      <c r="W1117">
        <f t="shared" si="53"/>
        <v>-0.15751913120486852</v>
      </c>
    </row>
    <row r="1118" spans="1:23" x14ac:dyDescent="0.4">
      <c r="A1118" s="4" t="s">
        <v>3167</v>
      </c>
      <c r="B1118" s="4" t="s">
        <v>2884</v>
      </c>
      <c r="C1118" s="11">
        <v>44765</v>
      </c>
      <c r="D1118" s="4" t="s">
        <v>98</v>
      </c>
      <c r="E1118" s="4" t="s">
        <v>24</v>
      </c>
      <c r="F1118" s="4" t="s">
        <v>26</v>
      </c>
      <c r="G1118" s="4" t="s">
        <v>41</v>
      </c>
      <c r="H1118" s="4" t="s">
        <v>3168</v>
      </c>
      <c r="I1118" s="4" t="s">
        <v>43</v>
      </c>
      <c r="J1118" s="4" t="s">
        <v>62</v>
      </c>
      <c r="K1118" s="4" t="s">
        <v>44</v>
      </c>
      <c r="L1118" s="4" t="s">
        <v>535</v>
      </c>
      <c r="M1118" s="4" t="s">
        <v>73</v>
      </c>
      <c r="N1118" s="4" t="s">
        <v>54</v>
      </c>
      <c r="O1118" s="4" t="s">
        <v>82</v>
      </c>
      <c r="P1118" s="4" t="s">
        <v>74</v>
      </c>
      <c r="Q1118" s="4">
        <v>2</v>
      </c>
      <c r="R1118" s="4">
        <v>6248</v>
      </c>
      <c r="S1118" s="5">
        <v>15</v>
      </c>
      <c r="T1118" s="6">
        <f t="shared" si="51"/>
        <v>10621.6</v>
      </c>
      <c r="U1118" s="4">
        <v>741.44</v>
      </c>
      <c r="V1118" t="str">
        <f t="shared" si="52"/>
        <v>Jul</v>
      </c>
      <c r="W1118">
        <f t="shared" si="53"/>
        <v>6.9804925811553814E-2</v>
      </c>
    </row>
    <row r="1119" spans="1:23" x14ac:dyDescent="0.4">
      <c r="A1119" s="4" t="s">
        <v>3169</v>
      </c>
      <c r="B1119" s="4" t="s">
        <v>1015</v>
      </c>
      <c r="C1119" s="11">
        <v>45001</v>
      </c>
      <c r="D1119" s="4" t="s">
        <v>23</v>
      </c>
      <c r="E1119" s="4" t="s">
        <v>24</v>
      </c>
      <c r="F1119" s="4" t="s">
        <v>70</v>
      </c>
      <c r="G1119" s="4" t="s">
        <v>41</v>
      </c>
      <c r="H1119" s="4" t="s">
        <v>3170</v>
      </c>
      <c r="I1119" s="4" t="s">
        <v>61</v>
      </c>
      <c r="J1119" s="4" t="s">
        <v>79</v>
      </c>
      <c r="K1119" s="4" t="s">
        <v>101</v>
      </c>
      <c r="L1119" s="4" t="s">
        <v>881</v>
      </c>
      <c r="M1119" s="4" t="s">
        <v>81</v>
      </c>
      <c r="N1119" s="4" t="s">
        <v>33</v>
      </c>
      <c r="O1119" s="4" t="s">
        <v>46</v>
      </c>
      <c r="P1119" s="4" t="s">
        <v>35</v>
      </c>
      <c r="Q1119" s="4">
        <v>9</v>
      </c>
      <c r="R1119" s="4">
        <v>28960</v>
      </c>
      <c r="S1119" s="5">
        <v>0</v>
      </c>
      <c r="T1119" s="6">
        <f t="shared" si="51"/>
        <v>260640</v>
      </c>
      <c r="U1119" s="4">
        <v>46993.3</v>
      </c>
      <c r="V1119" t="str">
        <f t="shared" si="52"/>
        <v>Mar</v>
      </c>
      <c r="W1119">
        <f t="shared" si="53"/>
        <v>0.18029964702271334</v>
      </c>
    </row>
    <row r="1120" spans="1:23" x14ac:dyDescent="0.4">
      <c r="A1120" s="4" t="s">
        <v>3171</v>
      </c>
      <c r="B1120" s="4" t="s">
        <v>327</v>
      </c>
      <c r="C1120" s="11">
        <v>44911</v>
      </c>
      <c r="D1120" s="4" t="s">
        <v>98</v>
      </c>
      <c r="E1120" s="4" t="s">
        <v>24</v>
      </c>
      <c r="F1120" s="4" t="s">
        <v>40</v>
      </c>
      <c r="G1120" s="4" t="s">
        <v>92</v>
      </c>
      <c r="H1120" s="4" t="s">
        <v>3172</v>
      </c>
      <c r="I1120" s="4" t="s">
        <v>43</v>
      </c>
      <c r="J1120" s="4" t="s">
        <v>62</v>
      </c>
      <c r="K1120" s="4" t="s">
        <v>63</v>
      </c>
      <c r="L1120" s="4" t="s">
        <v>1667</v>
      </c>
      <c r="M1120" s="4" t="s">
        <v>65</v>
      </c>
      <c r="N1120" s="4" t="s">
        <v>33</v>
      </c>
      <c r="O1120" s="4" t="s">
        <v>120</v>
      </c>
      <c r="P1120" s="4" t="s">
        <v>74</v>
      </c>
      <c r="Q1120" s="4">
        <v>6</v>
      </c>
      <c r="R1120" s="4">
        <v>10840</v>
      </c>
      <c r="S1120" s="5">
        <v>10</v>
      </c>
      <c r="T1120" s="6">
        <f t="shared" si="51"/>
        <v>58536</v>
      </c>
      <c r="U1120" s="4">
        <v>6500.35</v>
      </c>
      <c r="V1120" t="str">
        <f t="shared" si="52"/>
        <v>Dec</v>
      </c>
      <c r="W1120">
        <f t="shared" si="53"/>
        <v>0.11104875632089654</v>
      </c>
    </row>
    <row r="1121" spans="1:23" x14ac:dyDescent="0.4">
      <c r="A1121" s="4" t="s">
        <v>3173</v>
      </c>
      <c r="B1121" s="4" t="s">
        <v>3111</v>
      </c>
      <c r="C1121" s="11">
        <v>45523</v>
      </c>
      <c r="D1121" s="4" t="s">
        <v>98</v>
      </c>
      <c r="E1121" s="4" t="s">
        <v>24</v>
      </c>
      <c r="F1121" s="4" t="s">
        <v>26</v>
      </c>
      <c r="G1121" s="4" t="s">
        <v>41</v>
      </c>
      <c r="H1121" s="4" t="s">
        <v>3174</v>
      </c>
      <c r="I1121" s="4" t="s">
        <v>43</v>
      </c>
      <c r="J1121" s="4" t="s">
        <v>62</v>
      </c>
      <c r="K1121" s="4" t="s">
        <v>86</v>
      </c>
      <c r="L1121" s="4" t="s">
        <v>272</v>
      </c>
      <c r="M1121" s="4" t="s">
        <v>73</v>
      </c>
      <c r="N1121" s="4" t="s">
        <v>54</v>
      </c>
      <c r="O1121" s="4" t="s">
        <v>120</v>
      </c>
      <c r="P1121" s="4" t="s">
        <v>35</v>
      </c>
      <c r="Q1121" s="4">
        <v>7</v>
      </c>
      <c r="R1121" s="4">
        <v>45152</v>
      </c>
      <c r="S1121" s="5">
        <v>5</v>
      </c>
      <c r="T1121" s="6">
        <f t="shared" si="51"/>
        <v>300260.8</v>
      </c>
      <c r="U1121" s="4">
        <v>25330.799999999999</v>
      </c>
      <c r="V1121" t="str">
        <f t="shared" si="52"/>
        <v>Aug</v>
      </c>
      <c r="W1121">
        <f t="shared" si="53"/>
        <v>8.4362660726941374E-2</v>
      </c>
    </row>
    <row r="1122" spans="1:23" x14ac:dyDescent="0.4">
      <c r="A1122" s="4" t="s">
        <v>3175</v>
      </c>
      <c r="B1122" s="4" t="s">
        <v>1704</v>
      </c>
      <c r="C1122" s="11">
        <v>44835</v>
      </c>
      <c r="D1122" s="4" t="s">
        <v>98</v>
      </c>
      <c r="E1122" s="4" t="s">
        <v>24</v>
      </c>
      <c r="F1122" s="4" t="s">
        <v>26</v>
      </c>
      <c r="G1122" s="4" t="s">
        <v>41</v>
      </c>
      <c r="H1122" s="4" t="s">
        <v>3176</v>
      </c>
      <c r="I1122" s="4" t="s">
        <v>43</v>
      </c>
      <c r="J1122" s="4" t="s">
        <v>29</v>
      </c>
      <c r="K1122" s="4" t="s">
        <v>101</v>
      </c>
      <c r="L1122" s="4" t="s">
        <v>369</v>
      </c>
      <c r="M1122" s="4" t="s">
        <v>32</v>
      </c>
      <c r="N1122" s="4" t="s">
        <v>54</v>
      </c>
      <c r="O1122" s="4" t="s">
        <v>66</v>
      </c>
      <c r="P1122" s="4" t="s">
        <v>88</v>
      </c>
      <c r="Q1122" s="4">
        <v>2</v>
      </c>
      <c r="R1122" s="4">
        <v>38746</v>
      </c>
      <c r="S1122" s="5">
        <v>5</v>
      </c>
      <c r="T1122" s="6">
        <f t="shared" si="51"/>
        <v>73617.399999999994</v>
      </c>
      <c r="U1122" s="4">
        <v>4990.3599999999997</v>
      </c>
      <c r="V1122" t="str">
        <f t="shared" si="52"/>
        <v>Sep</v>
      </c>
      <c r="W1122">
        <f t="shared" si="53"/>
        <v>6.7787778432816151E-2</v>
      </c>
    </row>
    <row r="1123" spans="1:23" x14ac:dyDescent="0.4">
      <c r="A1123" s="4" t="s">
        <v>3177</v>
      </c>
      <c r="B1123" s="4" t="s">
        <v>3178</v>
      </c>
      <c r="C1123" s="11">
        <v>45218</v>
      </c>
      <c r="D1123" s="4" t="s">
        <v>23</v>
      </c>
      <c r="E1123" s="4" t="s">
        <v>24</v>
      </c>
      <c r="F1123" s="4" t="s">
        <v>40</v>
      </c>
      <c r="G1123" s="4" t="s">
        <v>99</v>
      </c>
      <c r="H1123" s="4" t="s">
        <v>3179</v>
      </c>
      <c r="I1123" s="4" t="s">
        <v>61</v>
      </c>
      <c r="J1123" s="4" t="s">
        <v>29</v>
      </c>
      <c r="K1123" s="4" t="s">
        <v>44</v>
      </c>
      <c r="L1123" s="4" t="s">
        <v>218</v>
      </c>
      <c r="M1123" s="4" t="s">
        <v>95</v>
      </c>
      <c r="N1123" s="4" t="s">
        <v>54</v>
      </c>
      <c r="O1123" s="4" t="s">
        <v>66</v>
      </c>
      <c r="P1123" s="4" t="s">
        <v>74</v>
      </c>
      <c r="Q1123" s="4">
        <v>8</v>
      </c>
      <c r="R1123" s="4">
        <v>41781</v>
      </c>
      <c r="S1123" s="5">
        <v>15</v>
      </c>
      <c r="T1123" s="6">
        <f t="shared" si="51"/>
        <v>284110.8</v>
      </c>
      <c r="U1123" s="4">
        <v>-16757.86</v>
      </c>
      <c r="V1123" t="str">
        <f t="shared" si="52"/>
        <v>Oct</v>
      </c>
      <c r="W1123">
        <f t="shared" si="53"/>
        <v>-5.8983537408644801E-2</v>
      </c>
    </row>
    <row r="1124" spans="1:23" x14ac:dyDescent="0.4">
      <c r="A1124" s="4" t="s">
        <v>3180</v>
      </c>
      <c r="B1124" s="4" t="s">
        <v>533</v>
      </c>
      <c r="C1124" s="11">
        <v>45437</v>
      </c>
      <c r="D1124" s="4" t="s">
        <v>98</v>
      </c>
      <c r="E1124" s="4" t="s">
        <v>24</v>
      </c>
      <c r="F1124" s="4" t="s">
        <v>40</v>
      </c>
      <c r="G1124" s="4" t="s">
        <v>92</v>
      </c>
      <c r="H1124" s="4" t="s">
        <v>3181</v>
      </c>
      <c r="I1124" s="4" t="s">
        <v>28</v>
      </c>
      <c r="J1124" s="4" t="s">
        <v>79</v>
      </c>
      <c r="K1124" s="4" t="s">
        <v>86</v>
      </c>
      <c r="L1124" s="4" t="s">
        <v>1226</v>
      </c>
      <c r="M1124" s="4" t="s">
        <v>32</v>
      </c>
      <c r="N1124" s="4" t="s">
        <v>54</v>
      </c>
      <c r="O1124" s="4" t="s">
        <v>34</v>
      </c>
      <c r="P1124" s="4" t="s">
        <v>47</v>
      </c>
      <c r="Q1124" s="4">
        <v>5</v>
      </c>
      <c r="R1124" s="4">
        <v>36571</v>
      </c>
      <c r="S1124" s="5">
        <v>10</v>
      </c>
      <c r="T1124" s="6">
        <f t="shared" si="51"/>
        <v>164569.5</v>
      </c>
      <c r="U1124" s="4">
        <v>13838.98</v>
      </c>
      <c r="V1124" t="str">
        <f t="shared" si="52"/>
        <v>May</v>
      </c>
      <c r="W1124">
        <f t="shared" si="53"/>
        <v>8.4092009758794911E-2</v>
      </c>
    </row>
    <row r="1125" spans="1:23" x14ac:dyDescent="0.4">
      <c r="A1125" s="4" t="s">
        <v>3182</v>
      </c>
      <c r="B1125" s="4" t="s">
        <v>1903</v>
      </c>
      <c r="C1125" s="11">
        <v>45213</v>
      </c>
      <c r="D1125" s="4" t="s">
        <v>98</v>
      </c>
      <c r="E1125" s="4" t="s">
        <v>24</v>
      </c>
      <c r="F1125" s="4" t="s">
        <v>25</v>
      </c>
      <c r="G1125" s="4" t="s">
        <v>59</v>
      </c>
      <c r="H1125" s="4" t="s">
        <v>2748</v>
      </c>
      <c r="I1125" s="4" t="s">
        <v>61</v>
      </c>
      <c r="J1125" s="4" t="s">
        <v>29</v>
      </c>
      <c r="K1125" s="4" t="s">
        <v>44</v>
      </c>
      <c r="L1125" s="4" t="s">
        <v>218</v>
      </c>
      <c r="M1125" s="4" t="s">
        <v>65</v>
      </c>
      <c r="N1125" s="4" t="s">
        <v>33</v>
      </c>
      <c r="O1125" s="4" t="s">
        <v>66</v>
      </c>
      <c r="P1125" s="4" t="s">
        <v>47</v>
      </c>
      <c r="Q1125" s="4">
        <v>7</v>
      </c>
      <c r="R1125" s="4">
        <v>16945</v>
      </c>
      <c r="S1125" s="5">
        <v>0</v>
      </c>
      <c r="T1125" s="6">
        <f t="shared" si="51"/>
        <v>118615</v>
      </c>
      <c r="U1125" s="4">
        <v>32198.92</v>
      </c>
      <c r="V1125" t="str">
        <f t="shared" si="52"/>
        <v>Oct</v>
      </c>
      <c r="W1125">
        <f t="shared" si="53"/>
        <v>0.2714574042068878</v>
      </c>
    </row>
    <row r="1126" spans="1:23" x14ac:dyDescent="0.4">
      <c r="A1126" s="4" t="s">
        <v>3183</v>
      </c>
      <c r="B1126" s="4" t="s">
        <v>2727</v>
      </c>
      <c r="C1126" s="11">
        <v>44843</v>
      </c>
      <c r="D1126" s="4" t="s">
        <v>98</v>
      </c>
      <c r="E1126" s="4" t="s">
        <v>24</v>
      </c>
      <c r="F1126" s="4" t="s">
        <v>70</v>
      </c>
      <c r="G1126" s="4" t="s">
        <v>26</v>
      </c>
      <c r="H1126" s="4" t="s">
        <v>3184</v>
      </c>
      <c r="I1126" s="4" t="s">
        <v>28</v>
      </c>
      <c r="J1126" s="4" t="s">
        <v>62</v>
      </c>
      <c r="K1126" s="4" t="s">
        <v>44</v>
      </c>
      <c r="L1126" s="4" t="s">
        <v>154</v>
      </c>
      <c r="M1126" s="4" t="s">
        <v>95</v>
      </c>
      <c r="N1126" s="4" t="s">
        <v>33</v>
      </c>
      <c r="O1126" s="4" t="s">
        <v>46</v>
      </c>
      <c r="P1126" s="4" t="s">
        <v>74</v>
      </c>
      <c r="Q1126" s="4">
        <v>8</v>
      </c>
      <c r="R1126" s="4">
        <v>6545</v>
      </c>
      <c r="S1126" s="5">
        <v>5</v>
      </c>
      <c r="T1126" s="6">
        <f t="shared" si="51"/>
        <v>49742</v>
      </c>
      <c r="U1126" s="4">
        <v>11280.75</v>
      </c>
      <c r="V1126" t="str">
        <f t="shared" si="52"/>
        <v>Oct</v>
      </c>
      <c r="W1126">
        <f t="shared" si="53"/>
        <v>0.22678521169233243</v>
      </c>
    </row>
    <row r="1127" spans="1:23" x14ac:dyDescent="0.4">
      <c r="A1127" s="4" t="s">
        <v>3185</v>
      </c>
      <c r="B1127" s="4" t="s">
        <v>1190</v>
      </c>
      <c r="C1127" s="11">
        <v>45335</v>
      </c>
      <c r="D1127" s="4" t="s">
        <v>23</v>
      </c>
      <c r="E1127" s="4" t="s">
        <v>24</v>
      </c>
      <c r="F1127" s="4" t="s">
        <v>70</v>
      </c>
      <c r="G1127" s="4" t="s">
        <v>99</v>
      </c>
      <c r="H1127" s="4" t="s">
        <v>3186</v>
      </c>
      <c r="I1127" s="4" t="s">
        <v>61</v>
      </c>
      <c r="J1127" s="4" t="s">
        <v>62</v>
      </c>
      <c r="K1127" s="4" t="s">
        <v>153</v>
      </c>
      <c r="L1127" s="4" t="s">
        <v>729</v>
      </c>
      <c r="M1127" s="4" t="s">
        <v>95</v>
      </c>
      <c r="N1127" s="4" t="s">
        <v>54</v>
      </c>
      <c r="O1127" s="4" t="s">
        <v>34</v>
      </c>
      <c r="P1127" s="4" t="s">
        <v>35</v>
      </c>
      <c r="Q1127" s="4">
        <v>9</v>
      </c>
      <c r="R1127" s="4">
        <v>23904</v>
      </c>
      <c r="S1127" s="5">
        <v>0</v>
      </c>
      <c r="T1127" s="6">
        <f t="shared" si="51"/>
        <v>215136</v>
      </c>
      <c r="U1127" s="4">
        <v>63971.22</v>
      </c>
      <c r="V1127" t="str">
        <f t="shared" si="52"/>
        <v>Feb</v>
      </c>
      <c r="W1127">
        <f t="shared" si="53"/>
        <v>0.29735246541722443</v>
      </c>
    </row>
    <row r="1128" spans="1:23" x14ac:dyDescent="0.4">
      <c r="A1128" s="4" t="s">
        <v>3187</v>
      </c>
      <c r="B1128" s="4" t="s">
        <v>2624</v>
      </c>
      <c r="C1128" s="11">
        <v>45397</v>
      </c>
      <c r="D1128" s="4" t="s">
        <v>39</v>
      </c>
      <c r="E1128" s="4" t="s">
        <v>24</v>
      </c>
      <c r="F1128" s="4" t="s">
        <v>70</v>
      </c>
      <c r="G1128" s="4" t="s">
        <v>92</v>
      </c>
      <c r="H1128" s="4" t="s">
        <v>707</v>
      </c>
      <c r="I1128" s="4" t="s">
        <v>43</v>
      </c>
      <c r="J1128" s="4" t="s">
        <v>79</v>
      </c>
      <c r="K1128" s="4" t="s">
        <v>44</v>
      </c>
      <c r="L1128" s="4" t="s">
        <v>203</v>
      </c>
      <c r="M1128" s="4" t="s">
        <v>81</v>
      </c>
      <c r="N1128" s="4" t="s">
        <v>54</v>
      </c>
      <c r="O1128" s="4" t="s">
        <v>66</v>
      </c>
      <c r="P1128" s="4" t="s">
        <v>47</v>
      </c>
      <c r="Q1128" s="4">
        <v>8</v>
      </c>
      <c r="R1128" s="4">
        <v>32990</v>
      </c>
      <c r="S1128" s="5">
        <v>5</v>
      </c>
      <c r="T1128" s="6">
        <f t="shared" si="51"/>
        <v>250724</v>
      </c>
      <c r="U1128" s="4">
        <v>57824</v>
      </c>
      <c r="V1128" t="str">
        <f t="shared" si="52"/>
        <v>Apr</v>
      </c>
      <c r="W1128">
        <f t="shared" si="53"/>
        <v>0.23062810101944767</v>
      </c>
    </row>
    <row r="1129" spans="1:23" x14ac:dyDescent="0.4">
      <c r="A1129" s="4" t="s">
        <v>3188</v>
      </c>
      <c r="B1129" s="4" t="s">
        <v>1520</v>
      </c>
      <c r="C1129" s="11">
        <v>45520</v>
      </c>
      <c r="D1129" s="4" t="s">
        <v>124</v>
      </c>
      <c r="E1129" s="4" t="s">
        <v>24</v>
      </c>
      <c r="F1129" s="4" t="s">
        <v>26</v>
      </c>
      <c r="G1129" s="4" t="s">
        <v>92</v>
      </c>
      <c r="H1129" s="4" t="s">
        <v>1023</v>
      </c>
      <c r="I1129" s="4" t="s">
        <v>61</v>
      </c>
      <c r="J1129" s="4" t="s">
        <v>62</v>
      </c>
      <c r="K1129" s="4" t="s">
        <v>86</v>
      </c>
      <c r="L1129" s="4" t="s">
        <v>805</v>
      </c>
      <c r="M1129" s="4" t="s">
        <v>95</v>
      </c>
      <c r="N1129" s="4" t="s">
        <v>54</v>
      </c>
      <c r="O1129" s="4" t="s">
        <v>46</v>
      </c>
      <c r="P1129" s="4" t="s">
        <v>88</v>
      </c>
      <c r="Q1129" s="4">
        <v>9</v>
      </c>
      <c r="R1129" s="4">
        <v>10203</v>
      </c>
      <c r="S1129" s="5">
        <v>20</v>
      </c>
      <c r="T1129" s="6">
        <f t="shared" si="51"/>
        <v>73461.600000000006</v>
      </c>
      <c r="U1129" s="4">
        <v>-5839.38</v>
      </c>
      <c r="V1129" t="str">
        <f t="shared" si="52"/>
        <v>Aug</v>
      </c>
      <c r="W1129">
        <f t="shared" si="53"/>
        <v>-7.948887582083701E-2</v>
      </c>
    </row>
    <row r="1130" spans="1:23" x14ac:dyDescent="0.4">
      <c r="A1130" s="4" t="s">
        <v>3189</v>
      </c>
      <c r="B1130" s="4" t="s">
        <v>1129</v>
      </c>
      <c r="C1130" s="11">
        <v>44834</v>
      </c>
      <c r="D1130" s="4" t="s">
        <v>23</v>
      </c>
      <c r="E1130" s="4" t="s">
        <v>24</v>
      </c>
      <c r="F1130" s="4" t="s">
        <v>26</v>
      </c>
      <c r="G1130" s="4" t="s">
        <v>41</v>
      </c>
      <c r="H1130" s="4" t="s">
        <v>3190</v>
      </c>
      <c r="I1130" s="4" t="s">
        <v>43</v>
      </c>
      <c r="J1130" s="4" t="s">
        <v>29</v>
      </c>
      <c r="K1130" s="4" t="s">
        <v>101</v>
      </c>
      <c r="L1130" s="4" t="s">
        <v>1822</v>
      </c>
      <c r="M1130" s="4" t="s">
        <v>95</v>
      </c>
      <c r="N1130" s="4" t="s">
        <v>54</v>
      </c>
      <c r="O1130" s="4" t="s">
        <v>82</v>
      </c>
      <c r="P1130" s="4" t="s">
        <v>88</v>
      </c>
      <c r="Q1130" s="4">
        <v>1</v>
      </c>
      <c r="R1130" s="4">
        <v>31929</v>
      </c>
      <c r="S1130" s="5">
        <v>5</v>
      </c>
      <c r="T1130" s="6">
        <f t="shared" si="51"/>
        <v>30332.55</v>
      </c>
      <c r="U1130" s="4">
        <v>4038.79</v>
      </c>
      <c r="V1130" t="str">
        <f t="shared" si="52"/>
        <v>Sep</v>
      </c>
      <c r="W1130">
        <f t="shared" si="53"/>
        <v>0.13315036157527146</v>
      </c>
    </row>
    <row r="1131" spans="1:23" x14ac:dyDescent="0.4">
      <c r="A1131" s="4" t="s">
        <v>3191</v>
      </c>
      <c r="B1131" s="4" t="s">
        <v>146</v>
      </c>
      <c r="C1131" s="11">
        <v>44683</v>
      </c>
      <c r="D1131" s="4" t="s">
        <v>98</v>
      </c>
      <c r="E1131" s="4" t="s">
        <v>24</v>
      </c>
      <c r="F1131" s="4" t="s">
        <v>58</v>
      </c>
      <c r="G1131" s="4" t="s">
        <v>59</v>
      </c>
      <c r="H1131" s="4" t="s">
        <v>3192</v>
      </c>
      <c r="I1131" s="4" t="s">
        <v>43</v>
      </c>
      <c r="J1131" s="4" t="s">
        <v>62</v>
      </c>
      <c r="K1131" s="4" t="s">
        <v>86</v>
      </c>
      <c r="L1131" s="4" t="s">
        <v>2470</v>
      </c>
      <c r="M1131" s="4" t="s">
        <v>65</v>
      </c>
      <c r="N1131" s="4" t="s">
        <v>54</v>
      </c>
      <c r="O1131" s="4" t="s">
        <v>82</v>
      </c>
      <c r="P1131" s="4" t="s">
        <v>35</v>
      </c>
      <c r="Q1131" s="4">
        <v>4</v>
      </c>
      <c r="R1131" s="4">
        <v>12787</v>
      </c>
      <c r="S1131" s="5">
        <v>15</v>
      </c>
      <c r="T1131" s="6">
        <f t="shared" si="51"/>
        <v>43475.8</v>
      </c>
      <c r="U1131" s="4">
        <v>5227.3999999999996</v>
      </c>
      <c r="V1131" t="str">
        <f t="shared" si="52"/>
        <v>May</v>
      </c>
      <c r="W1131">
        <f t="shared" si="53"/>
        <v>0.12023700541450645</v>
      </c>
    </row>
    <row r="1132" spans="1:23" x14ac:dyDescent="0.4">
      <c r="A1132" s="4" t="s">
        <v>3193</v>
      </c>
      <c r="B1132" s="4" t="s">
        <v>1396</v>
      </c>
      <c r="C1132" s="11">
        <v>45240</v>
      </c>
      <c r="D1132" s="4" t="s">
        <v>124</v>
      </c>
      <c r="E1132" s="4" t="s">
        <v>24</v>
      </c>
      <c r="F1132" s="4" t="s">
        <v>26</v>
      </c>
      <c r="G1132" s="4" t="s">
        <v>99</v>
      </c>
      <c r="H1132" s="4" t="s">
        <v>3194</v>
      </c>
      <c r="I1132" s="4" t="s">
        <v>43</v>
      </c>
      <c r="J1132" s="4" t="s">
        <v>79</v>
      </c>
      <c r="K1132" s="4" t="s">
        <v>153</v>
      </c>
      <c r="L1132" s="4" t="s">
        <v>1590</v>
      </c>
      <c r="M1132" s="4" t="s">
        <v>95</v>
      </c>
      <c r="N1132" s="4" t="s">
        <v>33</v>
      </c>
      <c r="O1132" s="4" t="s">
        <v>82</v>
      </c>
      <c r="P1132" s="4" t="s">
        <v>35</v>
      </c>
      <c r="Q1132" s="4">
        <v>9</v>
      </c>
      <c r="R1132" s="4">
        <v>16818</v>
      </c>
      <c r="S1132" s="5">
        <v>10</v>
      </c>
      <c r="T1132" s="6">
        <f t="shared" si="51"/>
        <v>136225.79999999999</v>
      </c>
      <c r="U1132" s="4">
        <v>-2332.29</v>
      </c>
      <c r="V1132" t="str">
        <f t="shared" si="52"/>
        <v>Nov</v>
      </c>
      <c r="W1132">
        <f t="shared" si="53"/>
        <v>-1.7120765669939177E-2</v>
      </c>
    </row>
    <row r="1133" spans="1:23" x14ac:dyDescent="0.4">
      <c r="A1133" s="4" t="s">
        <v>3195</v>
      </c>
      <c r="B1133" s="4" t="s">
        <v>1773</v>
      </c>
      <c r="C1133" s="11">
        <v>44812</v>
      </c>
      <c r="D1133" s="4" t="s">
        <v>23</v>
      </c>
      <c r="E1133" s="4" t="s">
        <v>24</v>
      </c>
      <c r="F1133" s="4" t="s">
        <v>58</v>
      </c>
      <c r="G1133" s="4" t="s">
        <v>92</v>
      </c>
      <c r="H1133" s="4" t="s">
        <v>3196</v>
      </c>
      <c r="I1133" s="4" t="s">
        <v>61</v>
      </c>
      <c r="J1133" s="4" t="s">
        <v>29</v>
      </c>
      <c r="K1133" s="4" t="s">
        <v>30</v>
      </c>
      <c r="L1133" s="4" t="s">
        <v>159</v>
      </c>
      <c r="M1133" s="4" t="s">
        <v>95</v>
      </c>
      <c r="N1133" s="4" t="s">
        <v>33</v>
      </c>
      <c r="O1133" s="4" t="s">
        <v>82</v>
      </c>
      <c r="P1133" s="4" t="s">
        <v>47</v>
      </c>
      <c r="Q1133" s="4">
        <v>2</v>
      </c>
      <c r="R1133" s="4">
        <v>25497</v>
      </c>
      <c r="S1133" s="5">
        <v>20</v>
      </c>
      <c r="T1133" s="6">
        <f t="shared" si="51"/>
        <v>40795.199999999997</v>
      </c>
      <c r="U1133" s="4">
        <v>4453.83</v>
      </c>
      <c r="V1133" t="str">
        <f t="shared" si="52"/>
        <v>Sep</v>
      </c>
      <c r="W1133">
        <f t="shared" si="53"/>
        <v>0.10917534415813626</v>
      </c>
    </row>
    <row r="1134" spans="1:23" x14ac:dyDescent="0.4">
      <c r="A1134" s="4" t="s">
        <v>3197</v>
      </c>
      <c r="B1134" s="4" t="s">
        <v>447</v>
      </c>
      <c r="C1134" s="11">
        <v>45119</v>
      </c>
      <c r="D1134" s="4" t="s">
        <v>98</v>
      </c>
      <c r="E1134" s="4" t="s">
        <v>24</v>
      </c>
      <c r="F1134" s="4" t="s">
        <v>25</v>
      </c>
      <c r="G1134" s="4" t="s">
        <v>99</v>
      </c>
      <c r="H1134" s="4" t="s">
        <v>3198</v>
      </c>
      <c r="I1134" s="4" t="s">
        <v>61</v>
      </c>
      <c r="J1134" s="4" t="s">
        <v>29</v>
      </c>
      <c r="K1134" s="4" t="s">
        <v>101</v>
      </c>
      <c r="L1134" s="4" t="s">
        <v>301</v>
      </c>
      <c r="M1134" s="4" t="s">
        <v>81</v>
      </c>
      <c r="N1134" s="4" t="s">
        <v>33</v>
      </c>
      <c r="O1134" s="4" t="s">
        <v>66</v>
      </c>
      <c r="P1134" s="4" t="s">
        <v>35</v>
      </c>
      <c r="Q1134" s="4">
        <v>9</v>
      </c>
      <c r="R1134" s="4">
        <v>41562</v>
      </c>
      <c r="S1134" s="5">
        <v>15</v>
      </c>
      <c r="T1134" s="6">
        <f t="shared" si="51"/>
        <v>317949.3</v>
      </c>
      <c r="U1134" s="4">
        <v>46880.959999999999</v>
      </c>
      <c r="V1134" t="str">
        <f t="shared" si="52"/>
        <v>Jul</v>
      </c>
      <c r="W1134">
        <f t="shared" si="53"/>
        <v>0.14744791072035698</v>
      </c>
    </row>
    <row r="1135" spans="1:23" x14ac:dyDescent="0.4">
      <c r="A1135" s="4" t="s">
        <v>3199</v>
      </c>
      <c r="B1135" s="4" t="s">
        <v>1417</v>
      </c>
      <c r="C1135" s="11">
        <v>44605</v>
      </c>
      <c r="D1135" s="4" t="s">
        <v>39</v>
      </c>
      <c r="E1135" s="4" t="s">
        <v>24</v>
      </c>
      <c r="F1135" s="4" t="s">
        <v>58</v>
      </c>
      <c r="G1135" s="4" t="s">
        <v>59</v>
      </c>
      <c r="H1135" s="4" t="s">
        <v>3200</v>
      </c>
      <c r="I1135" s="4" t="s">
        <v>43</v>
      </c>
      <c r="J1135" s="4" t="s">
        <v>62</v>
      </c>
      <c r="K1135" s="4" t="s">
        <v>101</v>
      </c>
      <c r="L1135" s="4" t="s">
        <v>2139</v>
      </c>
      <c r="M1135" s="4" t="s">
        <v>53</v>
      </c>
      <c r="N1135" s="4" t="s">
        <v>33</v>
      </c>
      <c r="O1135" s="4" t="s">
        <v>34</v>
      </c>
      <c r="P1135" s="4" t="s">
        <v>88</v>
      </c>
      <c r="Q1135" s="4">
        <v>1</v>
      </c>
      <c r="R1135" s="4">
        <v>15096</v>
      </c>
      <c r="S1135" s="5">
        <v>10</v>
      </c>
      <c r="T1135" s="6">
        <f t="shared" si="51"/>
        <v>13586.4</v>
      </c>
      <c r="U1135" s="4">
        <v>860.51</v>
      </c>
      <c r="V1135" t="str">
        <f t="shared" si="52"/>
        <v>Feb</v>
      </c>
      <c r="W1135">
        <f t="shared" si="53"/>
        <v>6.3336130247894959E-2</v>
      </c>
    </row>
    <row r="1136" spans="1:23" x14ac:dyDescent="0.4">
      <c r="A1136" s="4" t="s">
        <v>3201</v>
      </c>
      <c r="B1136" s="4" t="s">
        <v>1076</v>
      </c>
      <c r="C1136" s="11">
        <v>44717</v>
      </c>
      <c r="D1136" s="4" t="s">
        <v>98</v>
      </c>
      <c r="E1136" s="4" t="s">
        <v>24</v>
      </c>
      <c r="F1136" s="4" t="s">
        <v>70</v>
      </c>
      <c r="G1136" s="4" t="s">
        <v>59</v>
      </c>
      <c r="H1136" s="4" t="s">
        <v>3202</v>
      </c>
      <c r="I1136" s="4" t="s">
        <v>28</v>
      </c>
      <c r="J1136" s="4" t="s">
        <v>79</v>
      </c>
      <c r="K1136" s="4" t="s">
        <v>86</v>
      </c>
      <c r="L1136" s="4" t="s">
        <v>622</v>
      </c>
      <c r="M1136" s="4" t="s">
        <v>73</v>
      </c>
      <c r="N1136" s="4" t="s">
        <v>33</v>
      </c>
      <c r="O1136" s="4" t="s">
        <v>66</v>
      </c>
      <c r="P1136" s="4" t="s">
        <v>47</v>
      </c>
      <c r="Q1136" s="4">
        <v>7</v>
      </c>
      <c r="R1136" s="4">
        <v>18409</v>
      </c>
      <c r="S1136" s="5">
        <v>15</v>
      </c>
      <c r="T1136" s="6">
        <f t="shared" si="51"/>
        <v>109533.55</v>
      </c>
      <c r="U1136" s="4">
        <v>11214.35</v>
      </c>
      <c r="V1136" t="str">
        <f t="shared" si="52"/>
        <v>May</v>
      </c>
      <c r="W1136">
        <f t="shared" si="53"/>
        <v>0.10238278591353973</v>
      </c>
    </row>
    <row r="1137" spans="1:23" x14ac:dyDescent="0.4">
      <c r="A1137" s="4" t="s">
        <v>3203</v>
      </c>
      <c r="B1137" s="4" t="s">
        <v>1404</v>
      </c>
      <c r="C1137" s="11">
        <v>45141</v>
      </c>
      <c r="D1137" s="4" t="s">
        <v>39</v>
      </c>
      <c r="E1137" s="4" t="s">
        <v>24</v>
      </c>
      <c r="F1137" s="4" t="s">
        <v>25</v>
      </c>
      <c r="G1137" s="4" t="s">
        <v>26</v>
      </c>
      <c r="H1137" s="4" t="s">
        <v>3204</v>
      </c>
      <c r="I1137" s="4" t="s">
        <v>61</v>
      </c>
      <c r="J1137" s="4" t="s">
        <v>29</v>
      </c>
      <c r="K1137" s="4" t="s">
        <v>44</v>
      </c>
      <c r="L1137" s="4" t="s">
        <v>369</v>
      </c>
      <c r="M1137" s="4" t="s">
        <v>53</v>
      </c>
      <c r="N1137" s="4" t="s">
        <v>33</v>
      </c>
      <c r="O1137" s="4" t="s">
        <v>34</v>
      </c>
      <c r="P1137" s="4" t="s">
        <v>74</v>
      </c>
      <c r="Q1137" s="4">
        <v>9</v>
      </c>
      <c r="R1137" s="4">
        <v>38675</v>
      </c>
      <c r="S1137" s="5">
        <v>0</v>
      </c>
      <c r="T1137" s="6">
        <f t="shared" si="51"/>
        <v>348075</v>
      </c>
      <c r="U1137" s="4">
        <v>91012.13</v>
      </c>
      <c r="V1137" t="str">
        <f t="shared" si="52"/>
        <v>Jul</v>
      </c>
      <c r="W1137">
        <f t="shared" si="53"/>
        <v>0.26147275730805142</v>
      </c>
    </row>
    <row r="1138" spans="1:23" x14ac:dyDescent="0.4">
      <c r="A1138" s="4" t="s">
        <v>3205</v>
      </c>
      <c r="B1138" s="4" t="s">
        <v>1707</v>
      </c>
      <c r="C1138" s="11">
        <v>44823</v>
      </c>
      <c r="D1138" s="4" t="s">
        <v>98</v>
      </c>
      <c r="E1138" s="4" t="s">
        <v>24</v>
      </c>
      <c r="F1138" s="4" t="s">
        <v>26</v>
      </c>
      <c r="G1138" s="4" t="s">
        <v>99</v>
      </c>
      <c r="H1138" s="4" t="s">
        <v>3206</v>
      </c>
      <c r="I1138" s="4" t="s">
        <v>43</v>
      </c>
      <c r="J1138" s="4" t="s">
        <v>62</v>
      </c>
      <c r="K1138" s="4" t="s">
        <v>101</v>
      </c>
      <c r="L1138" s="4" t="s">
        <v>329</v>
      </c>
      <c r="M1138" s="4" t="s">
        <v>81</v>
      </c>
      <c r="N1138" s="4" t="s">
        <v>54</v>
      </c>
      <c r="O1138" s="4" t="s">
        <v>82</v>
      </c>
      <c r="P1138" s="4" t="s">
        <v>35</v>
      </c>
      <c r="Q1138" s="4">
        <v>6</v>
      </c>
      <c r="R1138" s="4">
        <v>14955</v>
      </c>
      <c r="S1138" s="5">
        <v>5</v>
      </c>
      <c r="T1138" s="6">
        <f t="shared" si="51"/>
        <v>85243.5</v>
      </c>
      <c r="U1138" s="4">
        <v>323.87</v>
      </c>
      <c r="V1138" t="str">
        <f t="shared" si="52"/>
        <v>Sep</v>
      </c>
      <c r="W1138">
        <f t="shared" si="53"/>
        <v>3.7993512701848236E-3</v>
      </c>
    </row>
    <row r="1139" spans="1:23" x14ac:dyDescent="0.4">
      <c r="A1139" s="4" t="s">
        <v>3207</v>
      </c>
      <c r="B1139" s="4" t="s">
        <v>123</v>
      </c>
      <c r="C1139" s="11">
        <v>44621</v>
      </c>
      <c r="D1139" s="4" t="s">
        <v>23</v>
      </c>
      <c r="E1139" s="4" t="s">
        <v>24</v>
      </c>
      <c r="F1139" s="4" t="s">
        <v>70</v>
      </c>
      <c r="G1139" s="4" t="s">
        <v>92</v>
      </c>
      <c r="H1139" s="4" t="s">
        <v>3058</v>
      </c>
      <c r="I1139" s="4" t="s">
        <v>28</v>
      </c>
      <c r="J1139" s="4" t="s">
        <v>62</v>
      </c>
      <c r="K1139" s="4" t="s">
        <v>30</v>
      </c>
      <c r="L1139" s="4" t="s">
        <v>1026</v>
      </c>
      <c r="M1139" s="4" t="s">
        <v>65</v>
      </c>
      <c r="N1139" s="4" t="s">
        <v>54</v>
      </c>
      <c r="O1139" s="4" t="s">
        <v>34</v>
      </c>
      <c r="P1139" s="4" t="s">
        <v>88</v>
      </c>
      <c r="Q1139" s="4">
        <v>9</v>
      </c>
      <c r="R1139" s="4">
        <v>23343</v>
      </c>
      <c r="S1139" s="5">
        <v>5</v>
      </c>
      <c r="T1139" s="6">
        <f t="shared" si="51"/>
        <v>199582.65</v>
      </c>
      <c r="U1139" s="4">
        <v>31834.55</v>
      </c>
      <c r="V1139" t="str">
        <f t="shared" si="52"/>
        <v>Feb</v>
      </c>
      <c r="W1139">
        <f t="shared" si="53"/>
        <v>0.15950559830726768</v>
      </c>
    </row>
    <row r="1140" spans="1:23" x14ac:dyDescent="0.4">
      <c r="A1140" s="4" t="s">
        <v>3208</v>
      </c>
      <c r="B1140" s="4" t="s">
        <v>513</v>
      </c>
      <c r="C1140" s="11">
        <v>44819</v>
      </c>
      <c r="D1140" s="4" t="s">
        <v>98</v>
      </c>
      <c r="E1140" s="4" t="s">
        <v>24</v>
      </c>
      <c r="F1140" s="4" t="s">
        <v>40</v>
      </c>
      <c r="G1140" s="4" t="s">
        <v>92</v>
      </c>
      <c r="H1140" s="4" t="s">
        <v>3209</v>
      </c>
      <c r="I1140" s="4" t="s">
        <v>28</v>
      </c>
      <c r="J1140" s="4" t="s">
        <v>29</v>
      </c>
      <c r="K1140" s="4" t="s">
        <v>44</v>
      </c>
      <c r="L1140" s="4" t="s">
        <v>2380</v>
      </c>
      <c r="M1140" s="4" t="s">
        <v>53</v>
      </c>
      <c r="N1140" s="4" t="s">
        <v>33</v>
      </c>
      <c r="O1140" s="4" t="s">
        <v>120</v>
      </c>
      <c r="P1140" s="4" t="s">
        <v>88</v>
      </c>
      <c r="Q1140" s="4">
        <v>8</v>
      </c>
      <c r="R1140" s="4">
        <v>12445</v>
      </c>
      <c r="S1140" s="5">
        <v>20</v>
      </c>
      <c r="T1140" s="6">
        <f t="shared" si="51"/>
        <v>79648</v>
      </c>
      <c r="U1140" s="4">
        <v>-9823.93</v>
      </c>
      <c r="V1140" t="str">
        <f t="shared" si="52"/>
        <v>Sep</v>
      </c>
      <c r="W1140">
        <f t="shared" si="53"/>
        <v>-0.12334182904781037</v>
      </c>
    </row>
    <row r="1141" spans="1:23" x14ac:dyDescent="0.4">
      <c r="A1141" s="4" t="s">
        <v>3210</v>
      </c>
      <c r="B1141" s="4" t="s">
        <v>1046</v>
      </c>
      <c r="C1141" s="11">
        <v>45176</v>
      </c>
      <c r="D1141" s="4" t="s">
        <v>39</v>
      </c>
      <c r="E1141" s="4" t="s">
        <v>24</v>
      </c>
      <c r="F1141" s="4" t="s">
        <v>58</v>
      </c>
      <c r="G1141" s="4" t="s">
        <v>99</v>
      </c>
      <c r="H1141" s="4" t="s">
        <v>3211</v>
      </c>
      <c r="I1141" s="4" t="s">
        <v>61</v>
      </c>
      <c r="J1141" s="4" t="s">
        <v>79</v>
      </c>
      <c r="K1141" s="4" t="s">
        <v>101</v>
      </c>
      <c r="L1141" s="4" t="s">
        <v>871</v>
      </c>
      <c r="M1141" s="4" t="s">
        <v>81</v>
      </c>
      <c r="N1141" s="4" t="s">
        <v>54</v>
      </c>
      <c r="O1141" s="4" t="s">
        <v>46</v>
      </c>
      <c r="P1141" s="4" t="s">
        <v>74</v>
      </c>
      <c r="Q1141" s="4">
        <v>10</v>
      </c>
      <c r="R1141" s="4">
        <v>11012</v>
      </c>
      <c r="S1141" s="5">
        <v>0</v>
      </c>
      <c r="T1141" s="6">
        <f t="shared" si="51"/>
        <v>110120</v>
      </c>
      <c r="U1141" s="4">
        <v>20900.79</v>
      </c>
      <c r="V1141" t="str">
        <f t="shared" si="52"/>
        <v>Aug</v>
      </c>
      <c r="W1141">
        <f t="shared" si="53"/>
        <v>0.1898001271340356</v>
      </c>
    </row>
    <row r="1142" spans="1:23" x14ac:dyDescent="0.4">
      <c r="A1142" s="4" t="s">
        <v>3212</v>
      </c>
      <c r="B1142" s="4" t="s">
        <v>3213</v>
      </c>
      <c r="C1142" s="11">
        <v>45214</v>
      </c>
      <c r="D1142" s="4" t="s">
        <v>98</v>
      </c>
      <c r="E1142" s="4" t="s">
        <v>24</v>
      </c>
      <c r="F1142" s="4" t="s">
        <v>40</v>
      </c>
      <c r="G1142" s="4" t="s">
        <v>99</v>
      </c>
      <c r="H1142" s="4" t="s">
        <v>3214</v>
      </c>
      <c r="I1142" s="4" t="s">
        <v>28</v>
      </c>
      <c r="J1142" s="4" t="s">
        <v>62</v>
      </c>
      <c r="K1142" s="4" t="s">
        <v>86</v>
      </c>
      <c r="L1142" s="4" t="s">
        <v>764</v>
      </c>
      <c r="M1142" s="4" t="s">
        <v>81</v>
      </c>
      <c r="N1142" s="4" t="s">
        <v>33</v>
      </c>
      <c r="O1142" s="4" t="s">
        <v>82</v>
      </c>
      <c r="P1142" s="4" t="s">
        <v>88</v>
      </c>
      <c r="Q1142" s="4">
        <v>8</v>
      </c>
      <c r="R1142" s="4">
        <v>25769</v>
      </c>
      <c r="S1142" s="5">
        <v>5</v>
      </c>
      <c r="T1142" s="6">
        <f t="shared" si="51"/>
        <v>195844.4</v>
      </c>
      <c r="U1142" s="4">
        <v>49621.45</v>
      </c>
      <c r="V1142" t="str">
        <f t="shared" si="52"/>
        <v>Oct</v>
      </c>
      <c r="W1142">
        <f t="shared" si="53"/>
        <v>0.25337180945689536</v>
      </c>
    </row>
    <row r="1143" spans="1:23" x14ac:dyDescent="0.4">
      <c r="A1143" s="4" t="s">
        <v>3215</v>
      </c>
      <c r="B1143" s="4" t="s">
        <v>2135</v>
      </c>
      <c r="C1143" s="11">
        <v>44746</v>
      </c>
      <c r="D1143" s="4" t="s">
        <v>39</v>
      </c>
      <c r="E1143" s="4" t="s">
        <v>24</v>
      </c>
      <c r="F1143" s="4" t="s">
        <v>26</v>
      </c>
      <c r="G1143" s="4" t="s">
        <v>26</v>
      </c>
      <c r="H1143" s="4" t="s">
        <v>3216</v>
      </c>
      <c r="I1143" s="4" t="s">
        <v>43</v>
      </c>
      <c r="J1143" s="4" t="s">
        <v>29</v>
      </c>
      <c r="K1143" s="4" t="s">
        <v>63</v>
      </c>
      <c r="L1143" s="4" t="s">
        <v>319</v>
      </c>
      <c r="M1143" s="4" t="s">
        <v>81</v>
      </c>
      <c r="N1143" s="4" t="s">
        <v>33</v>
      </c>
      <c r="O1143" s="4" t="s">
        <v>82</v>
      </c>
      <c r="P1143" s="4" t="s">
        <v>88</v>
      </c>
      <c r="Q1143" s="4">
        <v>9</v>
      </c>
      <c r="R1143" s="4">
        <v>9406</v>
      </c>
      <c r="S1143" s="5">
        <v>15</v>
      </c>
      <c r="T1143" s="6">
        <f t="shared" si="51"/>
        <v>71955.899999999994</v>
      </c>
      <c r="U1143" s="4">
        <v>3633.89</v>
      </c>
      <c r="V1143" t="str">
        <f t="shared" si="52"/>
        <v>Jun</v>
      </c>
      <c r="W1143">
        <f t="shared" si="53"/>
        <v>5.0501626690792556E-2</v>
      </c>
    </row>
    <row r="1144" spans="1:23" x14ac:dyDescent="0.4">
      <c r="A1144" s="4" t="s">
        <v>3217</v>
      </c>
      <c r="B1144" s="4" t="s">
        <v>755</v>
      </c>
      <c r="C1144" s="11">
        <v>44705</v>
      </c>
      <c r="D1144" s="4" t="s">
        <v>23</v>
      </c>
      <c r="E1144" s="4" t="s">
        <v>24</v>
      </c>
      <c r="F1144" s="4" t="s">
        <v>40</v>
      </c>
      <c r="G1144" s="4" t="s">
        <v>99</v>
      </c>
      <c r="H1144" s="4" t="s">
        <v>3218</v>
      </c>
      <c r="I1144" s="4" t="s">
        <v>28</v>
      </c>
      <c r="J1144" s="4" t="s">
        <v>79</v>
      </c>
      <c r="K1144" s="4" t="s">
        <v>30</v>
      </c>
      <c r="L1144" s="4" t="s">
        <v>843</v>
      </c>
      <c r="M1144" s="4" t="s">
        <v>65</v>
      </c>
      <c r="N1144" s="4" t="s">
        <v>54</v>
      </c>
      <c r="O1144" s="4" t="s">
        <v>120</v>
      </c>
      <c r="P1144" s="4" t="s">
        <v>35</v>
      </c>
      <c r="Q1144" s="4">
        <v>6</v>
      </c>
      <c r="R1144" s="4">
        <v>48203</v>
      </c>
      <c r="S1144" s="5">
        <v>20</v>
      </c>
      <c r="T1144" s="6">
        <f t="shared" si="51"/>
        <v>231374.4</v>
      </c>
      <c r="U1144" s="4">
        <v>-28949.85</v>
      </c>
      <c r="V1144" t="str">
        <f t="shared" si="52"/>
        <v>May</v>
      </c>
      <c r="W1144">
        <f t="shared" si="53"/>
        <v>-0.1251212320809908</v>
      </c>
    </row>
    <row r="1145" spans="1:23" x14ac:dyDescent="0.4">
      <c r="A1145" s="4" t="s">
        <v>3219</v>
      </c>
      <c r="B1145" s="4" t="s">
        <v>663</v>
      </c>
      <c r="C1145" s="11">
        <v>45193</v>
      </c>
      <c r="D1145" s="4" t="s">
        <v>39</v>
      </c>
      <c r="E1145" s="4" t="s">
        <v>24</v>
      </c>
      <c r="F1145" s="4" t="s">
        <v>25</v>
      </c>
      <c r="G1145" s="4" t="s">
        <v>41</v>
      </c>
      <c r="H1145" s="4" t="s">
        <v>3220</v>
      </c>
      <c r="I1145" s="4" t="s">
        <v>43</v>
      </c>
      <c r="J1145" s="4" t="s">
        <v>62</v>
      </c>
      <c r="K1145" s="4" t="s">
        <v>101</v>
      </c>
      <c r="L1145" s="4" t="s">
        <v>704</v>
      </c>
      <c r="M1145" s="4" t="s">
        <v>95</v>
      </c>
      <c r="N1145" s="4" t="s">
        <v>33</v>
      </c>
      <c r="O1145" s="4" t="s">
        <v>120</v>
      </c>
      <c r="P1145" s="4" t="s">
        <v>47</v>
      </c>
      <c r="Q1145" s="4">
        <v>7</v>
      </c>
      <c r="R1145" s="4">
        <v>27516</v>
      </c>
      <c r="S1145" s="5">
        <v>15</v>
      </c>
      <c r="T1145" s="6">
        <f t="shared" si="51"/>
        <v>163720.20000000001</v>
      </c>
      <c r="U1145" s="4">
        <v>-465.34</v>
      </c>
      <c r="V1145" t="str">
        <f t="shared" si="52"/>
        <v>Sep</v>
      </c>
      <c r="W1145">
        <f t="shared" si="53"/>
        <v>-2.8422882454333669E-3</v>
      </c>
    </row>
    <row r="1146" spans="1:23" x14ac:dyDescent="0.4">
      <c r="A1146" s="4" t="s">
        <v>3221</v>
      </c>
      <c r="B1146" s="4" t="s">
        <v>1689</v>
      </c>
      <c r="C1146" s="11">
        <v>44707</v>
      </c>
      <c r="D1146" s="4" t="s">
        <v>98</v>
      </c>
      <c r="E1146" s="4" t="s">
        <v>24</v>
      </c>
      <c r="F1146" s="4" t="s">
        <v>25</v>
      </c>
      <c r="G1146" s="4" t="s">
        <v>92</v>
      </c>
      <c r="H1146" s="4" t="s">
        <v>3222</v>
      </c>
      <c r="I1146" s="4" t="s">
        <v>61</v>
      </c>
      <c r="J1146" s="4" t="s">
        <v>62</v>
      </c>
      <c r="K1146" s="4" t="s">
        <v>44</v>
      </c>
      <c r="L1146" s="4" t="s">
        <v>377</v>
      </c>
      <c r="M1146" s="4" t="s">
        <v>53</v>
      </c>
      <c r="N1146" s="4" t="s">
        <v>54</v>
      </c>
      <c r="O1146" s="4" t="s">
        <v>34</v>
      </c>
      <c r="P1146" s="4" t="s">
        <v>35</v>
      </c>
      <c r="Q1146" s="4">
        <v>8</v>
      </c>
      <c r="R1146" s="4">
        <v>12037</v>
      </c>
      <c r="S1146" s="5">
        <v>10</v>
      </c>
      <c r="T1146" s="6">
        <f t="shared" si="51"/>
        <v>86666.4</v>
      </c>
      <c r="U1146" s="4">
        <v>11642.86</v>
      </c>
      <c r="V1146" t="str">
        <f t="shared" si="52"/>
        <v>May</v>
      </c>
      <c r="W1146">
        <f t="shared" si="53"/>
        <v>0.13434110566494054</v>
      </c>
    </row>
    <row r="1147" spans="1:23" x14ac:dyDescent="0.4">
      <c r="A1147" s="4" t="s">
        <v>3223</v>
      </c>
      <c r="B1147" s="4" t="s">
        <v>585</v>
      </c>
      <c r="C1147" s="11">
        <v>45206</v>
      </c>
      <c r="D1147" s="4" t="s">
        <v>124</v>
      </c>
      <c r="E1147" s="4" t="s">
        <v>24</v>
      </c>
      <c r="F1147" s="4" t="s">
        <v>70</v>
      </c>
      <c r="G1147" s="4" t="s">
        <v>99</v>
      </c>
      <c r="H1147" s="4" t="s">
        <v>3224</v>
      </c>
      <c r="I1147" s="4" t="s">
        <v>43</v>
      </c>
      <c r="J1147" s="4" t="s">
        <v>29</v>
      </c>
      <c r="K1147" s="4" t="s">
        <v>30</v>
      </c>
      <c r="L1147" s="4" t="s">
        <v>1001</v>
      </c>
      <c r="M1147" s="4" t="s">
        <v>53</v>
      </c>
      <c r="N1147" s="4" t="s">
        <v>54</v>
      </c>
      <c r="O1147" s="4" t="s">
        <v>34</v>
      </c>
      <c r="P1147" s="4" t="s">
        <v>35</v>
      </c>
      <c r="Q1147" s="4">
        <v>9</v>
      </c>
      <c r="R1147" s="4">
        <v>31107</v>
      </c>
      <c r="S1147" s="5">
        <v>10</v>
      </c>
      <c r="T1147" s="6">
        <f t="shared" si="51"/>
        <v>251966.7</v>
      </c>
      <c r="U1147" s="4">
        <v>7215.42</v>
      </c>
      <c r="V1147" t="str">
        <f t="shared" si="52"/>
        <v>Sep</v>
      </c>
      <c r="W1147">
        <f t="shared" si="53"/>
        <v>2.8636403143748757E-2</v>
      </c>
    </row>
    <row r="1148" spans="1:23" x14ac:dyDescent="0.4">
      <c r="A1148" s="4" t="s">
        <v>3225</v>
      </c>
      <c r="B1148" s="4" t="s">
        <v>2098</v>
      </c>
      <c r="C1148" s="11">
        <v>45054</v>
      </c>
      <c r="D1148" s="4" t="s">
        <v>39</v>
      </c>
      <c r="E1148" s="4" t="s">
        <v>24</v>
      </c>
      <c r="F1148" s="4" t="s">
        <v>26</v>
      </c>
      <c r="G1148" s="4" t="s">
        <v>99</v>
      </c>
      <c r="H1148" s="4" t="s">
        <v>3226</v>
      </c>
      <c r="I1148" s="4" t="s">
        <v>28</v>
      </c>
      <c r="J1148" s="4" t="s">
        <v>79</v>
      </c>
      <c r="K1148" s="4" t="s">
        <v>44</v>
      </c>
      <c r="L1148" s="4" t="s">
        <v>319</v>
      </c>
      <c r="M1148" s="4" t="s">
        <v>53</v>
      </c>
      <c r="N1148" s="4" t="s">
        <v>54</v>
      </c>
      <c r="O1148" s="4" t="s">
        <v>82</v>
      </c>
      <c r="P1148" s="4" t="s">
        <v>74</v>
      </c>
      <c r="Q1148" s="4">
        <v>3</v>
      </c>
      <c r="R1148" s="4">
        <v>2196</v>
      </c>
      <c r="S1148" s="5">
        <v>15</v>
      </c>
      <c r="T1148" s="6">
        <f t="shared" si="51"/>
        <v>5599.8</v>
      </c>
      <c r="U1148" s="4">
        <v>400.33</v>
      </c>
      <c r="V1148" t="str">
        <f t="shared" si="52"/>
        <v>Apr</v>
      </c>
      <c r="W1148">
        <f t="shared" si="53"/>
        <v>7.1490053216186289E-2</v>
      </c>
    </row>
    <row r="1149" spans="1:23" x14ac:dyDescent="0.4">
      <c r="A1149" s="4" t="s">
        <v>3227</v>
      </c>
      <c r="B1149" s="4" t="s">
        <v>257</v>
      </c>
      <c r="C1149" s="11">
        <v>45107</v>
      </c>
      <c r="D1149" s="4" t="s">
        <v>39</v>
      </c>
      <c r="E1149" s="4" t="s">
        <v>24</v>
      </c>
      <c r="F1149" s="4" t="s">
        <v>40</v>
      </c>
      <c r="G1149" s="4" t="s">
        <v>92</v>
      </c>
      <c r="H1149" s="4" t="s">
        <v>3228</v>
      </c>
      <c r="I1149" s="4" t="s">
        <v>61</v>
      </c>
      <c r="J1149" s="4" t="s">
        <v>62</v>
      </c>
      <c r="K1149" s="4" t="s">
        <v>63</v>
      </c>
      <c r="L1149" s="4" t="s">
        <v>72</v>
      </c>
      <c r="M1149" s="4" t="s">
        <v>73</v>
      </c>
      <c r="N1149" s="4" t="s">
        <v>54</v>
      </c>
      <c r="O1149" s="4" t="s">
        <v>82</v>
      </c>
      <c r="P1149" s="4" t="s">
        <v>74</v>
      </c>
      <c r="Q1149" s="4">
        <v>3</v>
      </c>
      <c r="R1149" s="4">
        <v>39789</v>
      </c>
      <c r="S1149" s="5">
        <v>20</v>
      </c>
      <c r="T1149" s="6">
        <f t="shared" si="51"/>
        <v>95493.6</v>
      </c>
      <c r="U1149" s="4">
        <v>-4028.96</v>
      </c>
      <c r="V1149" t="str">
        <f t="shared" si="52"/>
        <v>Jun</v>
      </c>
      <c r="W1149">
        <f t="shared" si="53"/>
        <v>-4.2190890279557997E-2</v>
      </c>
    </row>
    <row r="1150" spans="1:23" x14ac:dyDescent="0.4">
      <c r="A1150" s="4" t="s">
        <v>3229</v>
      </c>
      <c r="B1150" s="4" t="s">
        <v>1977</v>
      </c>
      <c r="C1150" s="11">
        <v>44597</v>
      </c>
      <c r="D1150" s="4" t="s">
        <v>98</v>
      </c>
      <c r="E1150" s="4" t="s">
        <v>24</v>
      </c>
      <c r="F1150" s="4" t="s">
        <v>26</v>
      </c>
      <c r="G1150" s="4" t="s">
        <v>41</v>
      </c>
      <c r="H1150" s="4" t="s">
        <v>3230</v>
      </c>
      <c r="I1150" s="4" t="s">
        <v>61</v>
      </c>
      <c r="J1150" s="4" t="s">
        <v>62</v>
      </c>
      <c r="K1150" s="4" t="s">
        <v>30</v>
      </c>
      <c r="L1150" s="4" t="s">
        <v>976</v>
      </c>
      <c r="M1150" s="4" t="s">
        <v>65</v>
      </c>
      <c r="N1150" s="4" t="s">
        <v>54</v>
      </c>
      <c r="O1150" s="4" t="s">
        <v>34</v>
      </c>
      <c r="P1150" s="4" t="s">
        <v>74</v>
      </c>
      <c r="Q1150" s="4">
        <v>2</v>
      </c>
      <c r="R1150" s="4">
        <v>32159</v>
      </c>
      <c r="S1150" s="5">
        <v>15</v>
      </c>
      <c r="T1150" s="6">
        <f t="shared" si="51"/>
        <v>54670.3</v>
      </c>
      <c r="U1150" s="4">
        <v>5067.12</v>
      </c>
      <c r="V1150" t="str">
        <f t="shared" si="52"/>
        <v>Feb</v>
      </c>
      <c r="W1150">
        <f t="shared" si="53"/>
        <v>9.2685059346665363E-2</v>
      </c>
    </row>
    <row r="1151" spans="1:23" x14ac:dyDescent="0.4">
      <c r="A1151" s="4" t="s">
        <v>3231</v>
      </c>
      <c r="B1151" s="4" t="s">
        <v>3132</v>
      </c>
      <c r="C1151" s="11">
        <v>45385</v>
      </c>
      <c r="D1151" s="4" t="s">
        <v>39</v>
      </c>
      <c r="E1151" s="4" t="s">
        <v>24</v>
      </c>
      <c r="F1151" s="4" t="s">
        <v>40</v>
      </c>
      <c r="G1151" s="4" t="s">
        <v>99</v>
      </c>
      <c r="H1151" s="4" t="s">
        <v>3232</v>
      </c>
      <c r="I1151" s="4" t="s">
        <v>28</v>
      </c>
      <c r="J1151" s="4" t="s">
        <v>79</v>
      </c>
      <c r="K1151" s="4" t="s">
        <v>86</v>
      </c>
      <c r="L1151" s="4" t="s">
        <v>718</v>
      </c>
      <c r="M1151" s="4" t="s">
        <v>81</v>
      </c>
      <c r="N1151" s="4" t="s">
        <v>54</v>
      </c>
      <c r="O1151" s="4" t="s">
        <v>120</v>
      </c>
      <c r="P1151" s="4" t="s">
        <v>74</v>
      </c>
      <c r="Q1151" s="4">
        <v>1</v>
      </c>
      <c r="R1151" s="4">
        <v>32058</v>
      </c>
      <c r="S1151" s="5">
        <v>20</v>
      </c>
      <c r="T1151" s="6">
        <f t="shared" si="51"/>
        <v>25646.400000000001</v>
      </c>
      <c r="U1151" s="4">
        <v>2302.73</v>
      </c>
      <c r="V1151" t="str">
        <f t="shared" si="52"/>
        <v>Mar</v>
      </c>
      <c r="W1151">
        <f t="shared" si="53"/>
        <v>8.9787650508453429E-2</v>
      </c>
    </row>
    <row r="1152" spans="1:23" x14ac:dyDescent="0.4">
      <c r="A1152" s="4" t="s">
        <v>3233</v>
      </c>
      <c r="B1152" s="4" t="s">
        <v>2560</v>
      </c>
      <c r="C1152" s="11">
        <v>44920</v>
      </c>
      <c r="D1152" s="4" t="s">
        <v>23</v>
      </c>
      <c r="E1152" s="4" t="s">
        <v>24</v>
      </c>
      <c r="F1152" s="4" t="s">
        <v>58</v>
      </c>
      <c r="G1152" s="4" t="s">
        <v>59</v>
      </c>
      <c r="H1152" s="4" t="s">
        <v>3234</v>
      </c>
      <c r="I1152" s="4" t="s">
        <v>28</v>
      </c>
      <c r="J1152" s="4" t="s">
        <v>29</v>
      </c>
      <c r="K1152" s="4" t="s">
        <v>30</v>
      </c>
      <c r="L1152" s="4" t="s">
        <v>2380</v>
      </c>
      <c r="M1152" s="4" t="s">
        <v>73</v>
      </c>
      <c r="N1152" s="4" t="s">
        <v>54</v>
      </c>
      <c r="O1152" s="4" t="s">
        <v>120</v>
      </c>
      <c r="P1152" s="4" t="s">
        <v>88</v>
      </c>
      <c r="Q1152" s="4">
        <v>5</v>
      </c>
      <c r="R1152" s="4">
        <v>47429</v>
      </c>
      <c r="S1152" s="5">
        <v>0</v>
      </c>
      <c r="T1152" s="6">
        <f t="shared" si="51"/>
        <v>237145</v>
      </c>
      <c r="U1152" s="4">
        <v>30687.07</v>
      </c>
      <c r="V1152" t="str">
        <f t="shared" si="52"/>
        <v>Dec</v>
      </c>
      <c r="W1152">
        <f t="shared" si="53"/>
        <v>0.12940213793248856</v>
      </c>
    </row>
    <row r="1153" spans="1:23" x14ac:dyDescent="0.4">
      <c r="A1153" s="4" t="s">
        <v>3235</v>
      </c>
      <c r="B1153" s="4" t="s">
        <v>3055</v>
      </c>
      <c r="C1153" s="11">
        <v>44765</v>
      </c>
      <c r="D1153" s="4" t="s">
        <v>124</v>
      </c>
      <c r="E1153" s="4" t="s">
        <v>24</v>
      </c>
      <c r="F1153" s="4" t="s">
        <v>58</v>
      </c>
      <c r="G1153" s="4" t="s">
        <v>59</v>
      </c>
      <c r="H1153" s="4" t="s">
        <v>1615</v>
      </c>
      <c r="I1153" s="4" t="s">
        <v>43</v>
      </c>
      <c r="J1153" s="4" t="s">
        <v>62</v>
      </c>
      <c r="K1153" s="4" t="s">
        <v>153</v>
      </c>
      <c r="L1153" s="4" t="s">
        <v>404</v>
      </c>
      <c r="M1153" s="4" t="s">
        <v>53</v>
      </c>
      <c r="N1153" s="4" t="s">
        <v>54</v>
      </c>
      <c r="O1153" s="4" t="s">
        <v>46</v>
      </c>
      <c r="P1153" s="4" t="s">
        <v>35</v>
      </c>
      <c r="Q1153" s="4">
        <v>7</v>
      </c>
      <c r="R1153" s="4">
        <v>27311</v>
      </c>
      <c r="S1153" s="5">
        <v>10</v>
      </c>
      <c r="T1153" s="6">
        <f t="shared" si="51"/>
        <v>172059.3</v>
      </c>
      <c r="U1153" s="4">
        <v>33678.980000000003</v>
      </c>
      <c r="V1153" t="str">
        <f t="shared" si="52"/>
        <v>Jul</v>
      </c>
      <c r="W1153">
        <f t="shared" si="53"/>
        <v>0.19574053829115895</v>
      </c>
    </row>
    <row r="1154" spans="1:23" x14ac:dyDescent="0.4">
      <c r="A1154" s="4" t="s">
        <v>3236</v>
      </c>
      <c r="B1154" s="4" t="s">
        <v>1046</v>
      </c>
      <c r="C1154" s="11">
        <v>45178</v>
      </c>
      <c r="D1154" s="4" t="s">
        <v>98</v>
      </c>
      <c r="E1154" s="4" t="s">
        <v>24</v>
      </c>
      <c r="F1154" s="4" t="s">
        <v>58</v>
      </c>
      <c r="G1154" s="4" t="s">
        <v>99</v>
      </c>
      <c r="H1154" s="4" t="s">
        <v>3237</v>
      </c>
      <c r="I1154" s="4" t="s">
        <v>28</v>
      </c>
      <c r="J1154" s="4" t="s">
        <v>79</v>
      </c>
      <c r="K1154" s="4" t="s">
        <v>63</v>
      </c>
      <c r="L1154" s="4" t="s">
        <v>822</v>
      </c>
      <c r="M1154" s="4" t="s">
        <v>65</v>
      </c>
      <c r="N1154" s="4" t="s">
        <v>54</v>
      </c>
      <c r="O1154" s="4" t="s">
        <v>66</v>
      </c>
      <c r="P1154" s="4" t="s">
        <v>47</v>
      </c>
      <c r="Q1154" s="4">
        <v>8</v>
      </c>
      <c r="R1154" s="4">
        <v>43798</v>
      </c>
      <c r="S1154" s="5">
        <v>5</v>
      </c>
      <c r="T1154" s="6">
        <f t="shared" si="51"/>
        <v>332864.8</v>
      </c>
      <c r="U1154" s="4">
        <v>41787.25</v>
      </c>
      <c r="V1154" t="str">
        <f t="shared" si="52"/>
        <v>Aug</v>
      </c>
      <c r="W1154">
        <f t="shared" si="53"/>
        <v>0.12553820650306072</v>
      </c>
    </row>
    <row r="1155" spans="1:23" x14ac:dyDescent="0.4">
      <c r="A1155" s="4" t="s">
        <v>3238</v>
      </c>
      <c r="B1155" s="4" t="s">
        <v>2411</v>
      </c>
      <c r="C1155" s="11">
        <v>44571</v>
      </c>
      <c r="D1155" s="4" t="s">
        <v>98</v>
      </c>
      <c r="E1155" s="4" t="s">
        <v>24</v>
      </c>
      <c r="F1155" s="4" t="s">
        <v>58</v>
      </c>
      <c r="G1155" s="4" t="s">
        <v>59</v>
      </c>
      <c r="H1155" s="4" t="s">
        <v>3239</v>
      </c>
      <c r="I1155" s="4" t="s">
        <v>43</v>
      </c>
      <c r="J1155" s="4" t="s">
        <v>29</v>
      </c>
      <c r="K1155" s="4" t="s">
        <v>153</v>
      </c>
      <c r="L1155" s="4" t="s">
        <v>377</v>
      </c>
      <c r="M1155" s="4" t="s">
        <v>95</v>
      </c>
      <c r="N1155" s="4" t="s">
        <v>54</v>
      </c>
      <c r="O1155" s="4" t="s">
        <v>66</v>
      </c>
      <c r="P1155" s="4" t="s">
        <v>47</v>
      </c>
      <c r="Q1155" s="4">
        <v>1</v>
      </c>
      <c r="R1155" s="4">
        <v>22753</v>
      </c>
      <c r="S1155" s="5">
        <v>5</v>
      </c>
      <c r="T1155" s="6">
        <f t="shared" ref="T1155:T1218" si="54">Q1155*R1155*(100-S1155)/100</f>
        <v>21615.35</v>
      </c>
      <c r="U1155" s="4">
        <v>1242.7</v>
      </c>
      <c r="V1155" t="str">
        <f t="shared" ref="V1155:V1218" si="55">TEXT(B1155,"MMM")</f>
        <v>Jan</v>
      </c>
      <c r="W1155">
        <f t="shared" ref="W1155:W1218" si="56">U1155/T1155</f>
        <v>5.7491551143053439E-2</v>
      </c>
    </row>
    <row r="1156" spans="1:23" x14ac:dyDescent="0.4">
      <c r="A1156" s="4" t="s">
        <v>3240</v>
      </c>
      <c r="B1156" s="4" t="s">
        <v>883</v>
      </c>
      <c r="C1156" s="11">
        <v>45190</v>
      </c>
      <c r="D1156" s="4" t="s">
        <v>124</v>
      </c>
      <c r="E1156" s="4" t="s">
        <v>24</v>
      </c>
      <c r="F1156" s="4" t="s">
        <v>70</v>
      </c>
      <c r="G1156" s="4" t="s">
        <v>26</v>
      </c>
      <c r="H1156" s="4" t="s">
        <v>2174</v>
      </c>
      <c r="I1156" s="4" t="s">
        <v>28</v>
      </c>
      <c r="J1156" s="4" t="s">
        <v>79</v>
      </c>
      <c r="K1156" s="4" t="s">
        <v>63</v>
      </c>
      <c r="L1156" s="4" t="s">
        <v>126</v>
      </c>
      <c r="M1156" s="4" t="s">
        <v>95</v>
      </c>
      <c r="N1156" s="4" t="s">
        <v>54</v>
      </c>
      <c r="O1156" s="4" t="s">
        <v>34</v>
      </c>
      <c r="P1156" s="4" t="s">
        <v>74</v>
      </c>
      <c r="Q1156" s="4">
        <v>1</v>
      </c>
      <c r="R1156" s="4">
        <v>48897</v>
      </c>
      <c r="S1156" s="5">
        <v>5</v>
      </c>
      <c r="T1156" s="6">
        <f t="shared" si="54"/>
        <v>46452.15</v>
      </c>
      <c r="U1156" s="4">
        <v>1315.5</v>
      </c>
      <c r="V1156" t="str">
        <f t="shared" si="55"/>
        <v>Sep</v>
      </c>
      <c r="W1156">
        <f t="shared" si="56"/>
        <v>2.8319464222861589E-2</v>
      </c>
    </row>
    <row r="1157" spans="1:23" x14ac:dyDescent="0.4">
      <c r="A1157" s="4" t="s">
        <v>3241</v>
      </c>
      <c r="B1157" s="4" t="s">
        <v>3242</v>
      </c>
      <c r="C1157" s="11">
        <v>44981</v>
      </c>
      <c r="D1157" s="4" t="s">
        <v>98</v>
      </c>
      <c r="E1157" s="4" t="s">
        <v>24</v>
      </c>
      <c r="F1157" s="4" t="s">
        <v>40</v>
      </c>
      <c r="G1157" s="4" t="s">
        <v>92</v>
      </c>
      <c r="H1157" s="4" t="s">
        <v>3243</v>
      </c>
      <c r="I1157" s="4" t="s">
        <v>28</v>
      </c>
      <c r="J1157" s="4" t="s">
        <v>79</v>
      </c>
      <c r="K1157" s="4" t="s">
        <v>153</v>
      </c>
      <c r="L1157" s="4" t="s">
        <v>287</v>
      </c>
      <c r="M1157" s="4" t="s">
        <v>73</v>
      </c>
      <c r="N1157" s="4" t="s">
        <v>54</v>
      </c>
      <c r="O1157" s="4" t="s">
        <v>82</v>
      </c>
      <c r="P1157" s="4" t="s">
        <v>47</v>
      </c>
      <c r="Q1157" s="4">
        <v>3</v>
      </c>
      <c r="R1157" s="4">
        <v>31070</v>
      </c>
      <c r="S1157" s="5">
        <v>5</v>
      </c>
      <c r="T1157" s="6">
        <f t="shared" si="54"/>
        <v>88549.5</v>
      </c>
      <c r="U1157" s="4">
        <v>18881.41</v>
      </c>
      <c r="V1157" t="str">
        <f t="shared" si="55"/>
        <v>Feb</v>
      </c>
      <c r="W1157">
        <f t="shared" si="56"/>
        <v>0.21323000129870864</v>
      </c>
    </row>
    <row r="1158" spans="1:23" x14ac:dyDescent="0.4">
      <c r="A1158" s="4" t="s">
        <v>3244</v>
      </c>
      <c r="B1158" s="4" t="s">
        <v>1530</v>
      </c>
      <c r="C1158" s="11">
        <v>44725</v>
      </c>
      <c r="D1158" s="4" t="s">
        <v>98</v>
      </c>
      <c r="E1158" s="4" t="s">
        <v>24</v>
      </c>
      <c r="F1158" s="4" t="s">
        <v>40</v>
      </c>
      <c r="G1158" s="4" t="s">
        <v>92</v>
      </c>
      <c r="H1158" s="4" t="s">
        <v>3245</v>
      </c>
      <c r="I1158" s="4" t="s">
        <v>43</v>
      </c>
      <c r="J1158" s="4" t="s">
        <v>79</v>
      </c>
      <c r="K1158" s="4" t="s">
        <v>86</v>
      </c>
      <c r="L1158" s="4" t="s">
        <v>171</v>
      </c>
      <c r="M1158" s="4" t="s">
        <v>95</v>
      </c>
      <c r="N1158" s="4" t="s">
        <v>33</v>
      </c>
      <c r="O1158" s="4" t="s">
        <v>46</v>
      </c>
      <c r="P1158" s="4" t="s">
        <v>74</v>
      </c>
      <c r="Q1158" s="4">
        <v>2</v>
      </c>
      <c r="R1158" s="4">
        <v>18052</v>
      </c>
      <c r="S1158" s="5">
        <v>10</v>
      </c>
      <c r="T1158" s="6">
        <f t="shared" si="54"/>
        <v>32493.599999999999</v>
      </c>
      <c r="U1158" s="4">
        <v>5393.65</v>
      </c>
      <c r="V1158" t="str">
        <f t="shared" si="55"/>
        <v>Jun</v>
      </c>
      <c r="W1158">
        <f t="shared" si="56"/>
        <v>0.1659911490262698</v>
      </c>
    </row>
    <row r="1159" spans="1:23" x14ac:dyDescent="0.4">
      <c r="A1159" s="4" t="s">
        <v>3246</v>
      </c>
      <c r="B1159" s="4" t="s">
        <v>2243</v>
      </c>
      <c r="C1159" s="11">
        <v>44653</v>
      </c>
      <c r="D1159" s="4" t="s">
        <v>39</v>
      </c>
      <c r="E1159" s="4" t="s">
        <v>24</v>
      </c>
      <c r="F1159" s="4" t="s">
        <v>25</v>
      </c>
      <c r="G1159" s="4" t="s">
        <v>41</v>
      </c>
      <c r="H1159" s="4" t="s">
        <v>3247</v>
      </c>
      <c r="I1159" s="4" t="s">
        <v>28</v>
      </c>
      <c r="J1159" s="4" t="s">
        <v>29</v>
      </c>
      <c r="K1159" s="4" t="s">
        <v>63</v>
      </c>
      <c r="L1159" s="4" t="s">
        <v>414</v>
      </c>
      <c r="M1159" s="4" t="s">
        <v>53</v>
      </c>
      <c r="N1159" s="4" t="s">
        <v>54</v>
      </c>
      <c r="O1159" s="4" t="s">
        <v>34</v>
      </c>
      <c r="P1159" s="4" t="s">
        <v>47</v>
      </c>
      <c r="Q1159" s="4">
        <v>10</v>
      </c>
      <c r="R1159" s="4">
        <v>16662</v>
      </c>
      <c r="S1159" s="5">
        <v>0</v>
      </c>
      <c r="T1159" s="6">
        <f t="shared" si="54"/>
        <v>166620</v>
      </c>
      <c r="U1159" s="4">
        <v>31911.86</v>
      </c>
      <c r="V1159" t="str">
        <f t="shared" si="55"/>
        <v>Apr</v>
      </c>
      <c r="W1159">
        <f t="shared" si="56"/>
        <v>0.19152478694034331</v>
      </c>
    </row>
    <row r="1160" spans="1:23" x14ac:dyDescent="0.4">
      <c r="A1160" s="4" t="s">
        <v>3248</v>
      </c>
      <c r="B1160" s="4" t="s">
        <v>1626</v>
      </c>
      <c r="C1160" s="11">
        <v>44594</v>
      </c>
      <c r="D1160" s="4" t="s">
        <v>23</v>
      </c>
      <c r="E1160" s="4" t="s">
        <v>24</v>
      </c>
      <c r="F1160" s="4" t="s">
        <v>40</v>
      </c>
      <c r="G1160" s="4" t="s">
        <v>26</v>
      </c>
      <c r="H1160" s="4" t="s">
        <v>3249</v>
      </c>
      <c r="I1160" s="4" t="s">
        <v>28</v>
      </c>
      <c r="J1160" s="4" t="s">
        <v>79</v>
      </c>
      <c r="K1160" s="4" t="s">
        <v>101</v>
      </c>
      <c r="L1160" s="4" t="s">
        <v>1486</v>
      </c>
      <c r="M1160" s="4" t="s">
        <v>65</v>
      </c>
      <c r="N1160" s="4" t="s">
        <v>54</v>
      </c>
      <c r="O1160" s="4" t="s">
        <v>120</v>
      </c>
      <c r="P1160" s="4" t="s">
        <v>88</v>
      </c>
      <c r="Q1160" s="4">
        <v>5</v>
      </c>
      <c r="R1160" s="4">
        <v>37242</v>
      </c>
      <c r="S1160" s="5">
        <v>0</v>
      </c>
      <c r="T1160" s="6">
        <f t="shared" si="54"/>
        <v>186210</v>
      </c>
      <c r="U1160" s="4">
        <v>25726.46</v>
      </c>
      <c r="V1160" t="str">
        <f t="shared" si="55"/>
        <v>Jan</v>
      </c>
      <c r="W1160">
        <f t="shared" si="56"/>
        <v>0.1381583158799205</v>
      </c>
    </row>
    <row r="1161" spans="1:23" x14ac:dyDescent="0.4">
      <c r="A1161" s="4" t="s">
        <v>3250</v>
      </c>
      <c r="B1161" s="4" t="s">
        <v>3251</v>
      </c>
      <c r="C1161" s="11">
        <v>45160</v>
      </c>
      <c r="D1161" s="4" t="s">
        <v>39</v>
      </c>
      <c r="E1161" s="4" t="s">
        <v>24</v>
      </c>
      <c r="F1161" s="4" t="s">
        <v>40</v>
      </c>
      <c r="G1161" s="4" t="s">
        <v>99</v>
      </c>
      <c r="H1161" s="4" t="s">
        <v>3252</v>
      </c>
      <c r="I1161" s="4" t="s">
        <v>43</v>
      </c>
      <c r="J1161" s="4" t="s">
        <v>62</v>
      </c>
      <c r="K1161" s="4" t="s">
        <v>63</v>
      </c>
      <c r="L1161" s="4" t="s">
        <v>194</v>
      </c>
      <c r="M1161" s="4" t="s">
        <v>65</v>
      </c>
      <c r="N1161" s="4" t="s">
        <v>54</v>
      </c>
      <c r="O1161" s="4" t="s">
        <v>46</v>
      </c>
      <c r="P1161" s="4" t="s">
        <v>35</v>
      </c>
      <c r="Q1161" s="4">
        <v>3</v>
      </c>
      <c r="R1161" s="4">
        <v>43512</v>
      </c>
      <c r="S1161" s="5">
        <v>0</v>
      </c>
      <c r="T1161" s="6">
        <f t="shared" si="54"/>
        <v>130536</v>
      </c>
      <c r="U1161" s="4">
        <v>21259.73</v>
      </c>
      <c r="V1161" t="str">
        <f t="shared" si="55"/>
        <v>Aug</v>
      </c>
      <c r="W1161">
        <f t="shared" si="56"/>
        <v>0.16286488018630876</v>
      </c>
    </row>
    <row r="1162" spans="1:23" x14ac:dyDescent="0.4">
      <c r="A1162" s="4" t="s">
        <v>3253</v>
      </c>
      <c r="B1162" s="4" t="s">
        <v>1561</v>
      </c>
      <c r="C1162" s="11">
        <v>44955</v>
      </c>
      <c r="D1162" s="4" t="s">
        <v>98</v>
      </c>
      <c r="E1162" s="4" t="s">
        <v>24</v>
      </c>
      <c r="F1162" s="4" t="s">
        <v>25</v>
      </c>
      <c r="G1162" s="4" t="s">
        <v>41</v>
      </c>
      <c r="H1162" s="4" t="s">
        <v>3254</v>
      </c>
      <c r="I1162" s="4" t="s">
        <v>61</v>
      </c>
      <c r="J1162" s="4" t="s">
        <v>62</v>
      </c>
      <c r="K1162" s="4" t="s">
        <v>153</v>
      </c>
      <c r="L1162" s="4" t="s">
        <v>695</v>
      </c>
      <c r="M1162" s="4" t="s">
        <v>65</v>
      </c>
      <c r="N1162" s="4" t="s">
        <v>33</v>
      </c>
      <c r="O1162" s="4" t="s">
        <v>34</v>
      </c>
      <c r="P1162" s="4" t="s">
        <v>88</v>
      </c>
      <c r="Q1162" s="4">
        <v>8</v>
      </c>
      <c r="R1162" s="4">
        <v>16916</v>
      </c>
      <c r="S1162" s="5">
        <v>5</v>
      </c>
      <c r="T1162" s="6">
        <f t="shared" si="54"/>
        <v>128561.60000000001</v>
      </c>
      <c r="U1162" s="4">
        <v>20180.93</v>
      </c>
      <c r="V1162" t="str">
        <f t="shared" si="55"/>
        <v>Jan</v>
      </c>
      <c r="W1162">
        <f t="shared" si="56"/>
        <v>0.15697478873940585</v>
      </c>
    </row>
    <row r="1163" spans="1:23" x14ac:dyDescent="0.4">
      <c r="A1163" s="4" t="s">
        <v>3255</v>
      </c>
      <c r="B1163" s="4" t="s">
        <v>1641</v>
      </c>
      <c r="C1163" s="11">
        <v>44901</v>
      </c>
      <c r="D1163" s="4" t="s">
        <v>23</v>
      </c>
      <c r="E1163" s="4" t="s">
        <v>24</v>
      </c>
      <c r="F1163" s="4" t="s">
        <v>58</v>
      </c>
      <c r="G1163" s="4" t="s">
        <v>26</v>
      </c>
      <c r="H1163" s="4" t="s">
        <v>3256</v>
      </c>
      <c r="I1163" s="4" t="s">
        <v>28</v>
      </c>
      <c r="J1163" s="4" t="s">
        <v>29</v>
      </c>
      <c r="K1163" s="4" t="s">
        <v>86</v>
      </c>
      <c r="L1163" s="4" t="s">
        <v>718</v>
      </c>
      <c r="M1163" s="4" t="s">
        <v>53</v>
      </c>
      <c r="N1163" s="4" t="s">
        <v>33</v>
      </c>
      <c r="O1163" s="4" t="s">
        <v>82</v>
      </c>
      <c r="P1163" s="4" t="s">
        <v>88</v>
      </c>
      <c r="Q1163" s="4">
        <v>4</v>
      </c>
      <c r="R1163" s="4">
        <v>11950</v>
      </c>
      <c r="S1163" s="5">
        <v>5</v>
      </c>
      <c r="T1163" s="6">
        <f t="shared" si="54"/>
        <v>45410</v>
      </c>
      <c r="U1163" s="4">
        <v>1997.93</v>
      </c>
      <c r="V1163" t="str">
        <f t="shared" si="55"/>
        <v>Dec</v>
      </c>
      <c r="W1163">
        <f t="shared" si="56"/>
        <v>4.399757762607355E-2</v>
      </c>
    </row>
    <row r="1164" spans="1:23" x14ac:dyDescent="0.4">
      <c r="A1164" s="4" t="s">
        <v>3257</v>
      </c>
      <c r="B1164" s="4" t="s">
        <v>1565</v>
      </c>
      <c r="C1164" s="11">
        <v>45487</v>
      </c>
      <c r="D1164" s="4" t="s">
        <v>23</v>
      </c>
      <c r="E1164" s="4" t="s">
        <v>24</v>
      </c>
      <c r="F1164" s="4" t="s">
        <v>25</v>
      </c>
      <c r="G1164" s="4" t="s">
        <v>59</v>
      </c>
      <c r="H1164" s="4" t="s">
        <v>3258</v>
      </c>
      <c r="I1164" s="4" t="s">
        <v>28</v>
      </c>
      <c r="J1164" s="4" t="s">
        <v>62</v>
      </c>
      <c r="K1164" s="4" t="s">
        <v>153</v>
      </c>
      <c r="L1164" s="4" t="s">
        <v>1563</v>
      </c>
      <c r="M1164" s="4" t="s">
        <v>81</v>
      </c>
      <c r="N1164" s="4" t="s">
        <v>54</v>
      </c>
      <c r="O1164" s="4" t="s">
        <v>46</v>
      </c>
      <c r="P1164" s="4" t="s">
        <v>88</v>
      </c>
      <c r="Q1164" s="4">
        <v>8</v>
      </c>
      <c r="R1164" s="4">
        <v>23064</v>
      </c>
      <c r="S1164" s="5">
        <v>20</v>
      </c>
      <c r="T1164" s="6">
        <f t="shared" si="54"/>
        <v>147609.60000000001</v>
      </c>
      <c r="U1164" s="4">
        <v>-14855.84</v>
      </c>
      <c r="V1164" t="str">
        <f t="shared" si="55"/>
        <v>Jul</v>
      </c>
      <c r="W1164">
        <f t="shared" si="56"/>
        <v>-0.10064277662157474</v>
      </c>
    </row>
    <row r="1165" spans="1:23" x14ac:dyDescent="0.4">
      <c r="A1165" s="4" t="s">
        <v>3259</v>
      </c>
      <c r="B1165" s="4" t="s">
        <v>933</v>
      </c>
      <c r="C1165" s="11">
        <v>44785</v>
      </c>
      <c r="D1165" s="4" t="s">
        <v>39</v>
      </c>
      <c r="E1165" s="4" t="s">
        <v>24</v>
      </c>
      <c r="F1165" s="4" t="s">
        <v>70</v>
      </c>
      <c r="G1165" s="4" t="s">
        <v>26</v>
      </c>
      <c r="H1165" s="4" t="s">
        <v>3260</v>
      </c>
      <c r="I1165" s="4" t="s">
        <v>61</v>
      </c>
      <c r="J1165" s="4" t="s">
        <v>62</v>
      </c>
      <c r="K1165" s="4" t="s">
        <v>30</v>
      </c>
      <c r="L1165" s="4" t="s">
        <v>2252</v>
      </c>
      <c r="M1165" s="4" t="s">
        <v>73</v>
      </c>
      <c r="N1165" s="4" t="s">
        <v>54</v>
      </c>
      <c r="O1165" s="4" t="s">
        <v>82</v>
      </c>
      <c r="P1165" s="4" t="s">
        <v>88</v>
      </c>
      <c r="Q1165" s="4">
        <v>10</v>
      </c>
      <c r="R1165" s="4">
        <v>33749</v>
      </c>
      <c r="S1165" s="5">
        <v>5</v>
      </c>
      <c r="T1165" s="6">
        <f t="shared" si="54"/>
        <v>320615.5</v>
      </c>
      <c r="U1165" s="4">
        <v>16247.1</v>
      </c>
      <c r="V1165" t="str">
        <f t="shared" si="55"/>
        <v>Aug</v>
      </c>
      <c r="W1165">
        <f t="shared" si="56"/>
        <v>5.0674717847390409E-2</v>
      </c>
    </row>
    <row r="1166" spans="1:23" x14ac:dyDescent="0.4">
      <c r="A1166" s="4" t="s">
        <v>3261</v>
      </c>
      <c r="B1166" s="4" t="s">
        <v>2425</v>
      </c>
      <c r="C1166" s="11">
        <v>45346</v>
      </c>
      <c r="D1166" s="4" t="s">
        <v>98</v>
      </c>
      <c r="E1166" s="4" t="s">
        <v>24</v>
      </c>
      <c r="F1166" s="4" t="s">
        <v>58</v>
      </c>
      <c r="G1166" s="4" t="s">
        <v>59</v>
      </c>
      <c r="H1166" s="4" t="s">
        <v>3262</v>
      </c>
      <c r="I1166" s="4" t="s">
        <v>43</v>
      </c>
      <c r="J1166" s="4" t="s">
        <v>62</v>
      </c>
      <c r="K1166" s="4" t="s">
        <v>153</v>
      </c>
      <c r="L1166" s="4" t="s">
        <v>301</v>
      </c>
      <c r="M1166" s="4" t="s">
        <v>73</v>
      </c>
      <c r="N1166" s="4" t="s">
        <v>33</v>
      </c>
      <c r="O1166" s="4" t="s">
        <v>120</v>
      </c>
      <c r="P1166" s="4" t="s">
        <v>74</v>
      </c>
      <c r="Q1166" s="4">
        <v>4</v>
      </c>
      <c r="R1166" s="4">
        <v>20732</v>
      </c>
      <c r="S1166" s="5">
        <v>20</v>
      </c>
      <c r="T1166" s="6">
        <f t="shared" si="54"/>
        <v>66342.399999999994</v>
      </c>
      <c r="U1166" s="4">
        <v>-7582.97</v>
      </c>
      <c r="V1166" t="str">
        <f t="shared" si="55"/>
        <v>Feb</v>
      </c>
      <c r="W1166">
        <f t="shared" si="56"/>
        <v>-0.11430050766930351</v>
      </c>
    </row>
    <row r="1167" spans="1:23" x14ac:dyDescent="0.4">
      <c r="A1167" s="4" t="s">
        <v>3263</v>
      </c>
      <c r="B1167" s="4" t="s">
        <v>3264</v>
      </c>
      <c r="C1167" s="11">
        <v>44829</v>
      </c>
      <c r="D1167" s="4" t="s">
        <v>39</v>
      </c>
      <c r="E1167" s="4" t="s">
        <v>24</v>
      </c>
      <c r="F1167" s="4" t="s">
        <v>26</v>
      </c>
      <c r="G1167" s="4" t="s">
        <v>26</v>
      </c>
      <c r="H1167" s="4" t="s">
        <v>3265</v>
      </c>
      <c r="I1167" s="4" t="s">
        <v>61</v>
      </c>
      <c r="J1167" s="4" t="s">
        <v>29</v>
      </c>
      <c r="K1167" s="4" t="s">
        <v>153</v>
      </c>
      <c r="L1167" s="4" t="s">
        <v>885</v>
      </c>
      <c r="M1167" s="4" t="s">
        <v>73</v>
      </c>
      <c r="N1167" s="4" t="s">
        <v>33</v>
      </c>
      <c r="O1167" s="4" t="s">
        <v>82</v>
      </c>
      <c r="P1167" s="4" t="s">
        <v>88</v>
      </c>
      <c r="Q1167" s="4">
        <v>8</v>
      </c>
      <c r="R1167" s="4">
        <v>16233</v>
      </c>
      <c r="S1167" s="5">
        <v>5</v>
      </c>
      <c r="T1167" s="6">
        <f t="shared" si="54"/>
        <v>123370.8</v>
      </c>
      <c r="U1167" s="4">
        <v>10598.09</v>
      </c>
      <c r="V1167" t="str">
        <f t="shared" si="55"/>
        <v>Sep</v>
      </c>
      <c r="W1167">
        <f t="shared" si="56"/>
        <v>8.5904363106991274E-2</v>
      </c>
    </row>
    <row r="1168" spans="1:23" x14ac:dyDescent="0.4">
      <c r="A1168" s="4" t="s">
        <v>3266</v>
      </c>
      <c r="B1168" s="4" t="s">
        <v>1329</v>
      </c>
      <c r="C1168" s="11">
        <v>45185</v>
      </c>
      <c r="D1168" s="4" t="s">
        <v>23</v>
      </c>
      <c r="E1168" s="4" t="s">
        <v>24</v>
      </c>
      <c r="F1168" s="4" t="s">
        <v>25</v>
      </c>
      <c r="G1168" s="4" t="s">
        <v>92</v>
      </c>
      <c r="H1168" s="4" t="s">
        <v>3267</v>
      </c>
      <c r="I1168" s="4" t="s">
        <v>28</v>
      </c>
      <c r="J1168" s="4" t="s">
        <v>29</v>
      </c>
      <c r="K1168" s="4" t="s">
        <v>44</v>
      </c>
      <c r="L1168" s="4" t="s">
        <v>723</v>
      </c>
      <c r="M1168" s="4" t="s">
        <v>73</v>
      </c>
      <c r="N1168" s="4" t="s">
        <v>54</v>
      </c>
      <c r="O1168" s="4" t="s">
        <v>46</v>
      </c>
      <c r="P1168" s="4" t="s">
        <v>47</v>
      </c>
      <c r="Q1168" s="4">
        <v>8</v>
      </c>
      <c r="R1168" s="4">
        <v>48675</v>
      </c>
      <c r="S1168" s="5">
        <v>0</v>
      </c>
      <c r="T1168" s="6">
        <f t="shared" si="54"/>
        <v>389400</v>
      </c>
      <c r="U1168" s="4">
        <v>96326.45</v>
      </c>
      <c r="V1168" t="str">
        <f t="shared" si="55"/>
        <v>Sep</v>
      </c>
      <c r="W1168">
        <f t="shared" si="56"/>
        <v>0.24737146892655368</v>
      </c>
    </row>
    <row r="1169" spans="1:23" x14ac:dyDescent="0.4">
      <c r="A1169" s="4" t="s">
        <v>3268</v>
      </c>
      <c r="B1169" s="4" t="s">
        <v>860</v>
      </c>
      <c r="C1169" s="11">
        <v>45308</v>
      </c>
      <c r="D1169" s="4" t="s">
        <v>23</v>
      </c>
      <c r="E1169" s="4" t="s">
        <v>24</v>
      </c>
      <c r="F1169" s="4" t="s">
        <v>70</v>
      </c>
      <c r="G1169" s="4" t="s">
        <v>41</v>
      </c>
      <c r="H1169" s="4" t="s">
        <v>3270</v>
      </c>
      <c r="I1169" s="4" t="s">
        <v>28</v>
      </c>
      <c r="J1169" s="4" t="s">
        <v>79</v>
      </c>
      <c r="K1169" s="4" t="s">
        <v>63</v>
      </c>
      <c r="L1169" s="4" t="s">
        <v>1001</v>
      </c>
      <c r="M1169" s="4" t="s">
        <v>32</v>
      </c>
      <c r="N1169" s="4" t="s">
        <v>33</v>
      </c>
      <c r="O1169" s="4" t="s">
        <v>66</v>
      </c>
      <c r="P1169" s="4" t="s">
        <v>88</v>
      </c>
      <c r="Q1169" s="4">
        <v>5</v>
      </c>
      <c r="R1169" s="4">
        <v>19210</v>
      </c>
      <c r="S1169" s="5">
        <v>15</v>
      </c>
      <c r="T1169" s="6">
        <f t="shared" si="54"/>
        <v>81642.5</v>
      </c>
      <c r="U1169" s="4">
        <v>-2749.53</v>
      </c>
      <c r="V1169" t="str">
        <f t="shared" si="55"/>
        <v>Jan</v>
      </c>
      <c r="W1169">
        <f t="shared" si="56"/>
        <v>-3.3677680129834339E-2</v>
      </c>
    </row>
    <row r="1170" spans="1:23" x14ac:dyDescent="0.4">
      <c r="A1170" s="4" t="s">
        <v>3271</v>
      </c>
      <c r="B1170" s="4" t="s">
        <v>800</v>
      </c>
      <c r="C1170" s="11">
        <v>44677</v>
      </c>
      <c r="D1170" s="4" t="s">
        <v>124</v>
      </c>
      <c r="E1170" s="4" t="s">
        <v>24</v>
      </c>
      <c r="F1170" s="4" t="s">
        <v>40</v>
      </c>
      <c r="G1170" s="4" t="s">
        <v>59</v>
      </c>
      <c r="H1170" s="4" t="s">
        <v>3272</v>
      </c>
      <c r="I1170" s="4" t="s">
        <v>43</v>
      </c>
      <c r="J1170" s="4" t="s">
        <v>29</v>
      </c>
      <c r="K1170" s="4" t="s">
        <v>63</v>
      </c>
      <c r="L1170" s="4" t="s">
        <v>452</v>
      </c>
      <c r="M1170" s="4" t="s">
        <v>32</v>
      </c>
      <c r="N1170" s="4" t="s">
        <v>33</v>
      </c>
      <c r="O1170" s="4" t="s">
        <v>66</v>
      </c>
      <c r="P1170" s="4" t="s">
        <v>35</v>
      </c>
      <c r="Q1170" s="4">
        <v>8</v>
      </c>
      <c r="R1170" s="4">
        <v>1479</v>
      </c>
      <c r="S1170" s="5">
        <v>15</v>
      </c>
      <c r="T1170" s="6">
        <f t="shared" si="54"/>
        <v>10057.200000000001</v>
      </c>
      <c r="U1170" s="4">
        <v>966.82</v>
      </c>
      <c r="V1170" t="str">
        <f t="shared" si="55"/>
        <v>Apr</v>
      </c>
      <c r="W1170">
        <f t="shared" si="56"/>
        <v>9.6132124249294029E-2</v>
      </c>
    </row>
    <row r="1171" spans="1:23" x14ac:dyDescent="0.4">
      <c r="A1171" s="4" t="s">
        <v>3273</v>
      </c>
      <c r="B1171" s="4" t="s">
        <v>538</v>
      </c>
      <c r="C1171" s="11">
        <v>45101</v>
      </c>
      <c r="D1171" s="4" t="s">
        <v>23</v>
      </c>
      <c r="E1171" s="4" t="s">
        <v>24</v>
      </c>
      <c r="F1171" s="4" t="s">
        <v>70</v>
      </c>
      <c r="G1171" s="4" t="s">
        <v>99</v>
      </c>
      <c r="H1171" s="4" t="s">
        <v>3274</v>
      </c>
      <c r="I1171" s="4" t="s">
        <v>43</v>
      </c>
      <c r="J1171" s="4" t="s">
        <v>79</v>
      </c>
      <c r="K1171" s="4" t="s">
        <v>44</v>
      </c>
      <c r="L1171" s="4" t="s">
        <v>348</v>
      </c>
      <c r="M1171" s="4" t="s">
        <v>95</v>
      </c>
      <c r="N1171" s="4" t="s">
        <v>33</v>
      </c>
      <c r="O1171" s="4" t="s">
        <v>66</v>
      </c>
      <c r="P1171" s="4" t="s">
        <v>74</v>
      </c>
      <c r="Q1171" s="4">
        <v>6</v>
      </c>
      <c r="R1171" s="4">
        <v>39663</v>
      </c>
      <c r="S1171" s="5">
        <v>10</v>
      </c>
      <c r="T1171" s="6">
        <f t="shared" si="54"/>
        <v>214180.2</v>
      </c>
      <c r="U1171" s="4">
        <v>35187.07</v>
      </c>
      <c r="V1171" t="str">
        <f t="shared" si="55"/>
        <v>Jun</v>
      </c>
      <c r="W1171">
        <f t="shared" si="56"/>
        <v>0.16428722169462909</v>
      </c>
    </row>
    <row r="1172" spans="1:23" x14ac:dyDescent="0.4">
      <c r="A1172" s="4" t="s">
        <v>3275</v>
      </c>
      <c r="B1172" s="4" t="s">
        <v>3276</v>
      </c>
      <c r="C1172" s="11">
        <v>45389</v>
      </c>
      <c r="D1172" s="4" t="s">
        <v>98</v>
      </c>
      <c r="E1172" s="4" t="s">
        <v>24</v>
      </c>
      <c r="F1172" s="4" t="s">
        <v>70</v>
      </c>
      <c r="G1172" s="4" t="s">
        <v>26</v>
      </c>
      <c r="H1172" s="4" t="s">
        <v>3277</v>
      </c>
      <c r="I1172" s="4" t="s">
        <v>28</v>
      </c>
      <c r="J1172" s="4" t="s">
        <v>79</v>
      </c>
      <c r="K1172" s="4" t="s">
        <v>30</v>
      </c>
      <c r="L1172" s="4" t="s">
        <v>377</v>
      </c>
      <c r="M1172" s="4" t="s">
        <v>95</v>
      </c>
      <c r="N1172" s="4" t="s">
        <v>54</v>
      </c>
      <c r="O1172" s="4" t="s">
        <v>120</v>
      </c>
      <c r="P1172" s="4" t="s">
        <v>88</v>
      </c>
      <c r="Q1172" s="4">
        <v>1</v>
      </c>
      <c r="R1172" s="4">
        <v>26779</v>
      </c>
      <c r="S1172" s="5">
        <v>10</v>
      </c>
      <c r="T1172" s="6">
        <f t="shared" si="54"/>
        <v>24101.1</v>
      </c>
      <c r="U1172" s="4">
        <v>3842.88</v>
      </c>
      <c r="V1172" t="str">
        <f t="shared" si="55"/>
        <v>Apr</v>
      </c>
      <c r="W1172">
        <f t="shared" si="56"/>
        <v>0.15944832393542205</v>
      </c>
    </row>
    <row r="1173" spans="1:23" x14ac:dyDescent="0.4">
      <c r="A1173" s="4" t="s">
        <v>3278</v>
      </c>
      <c r="B1173" s="4" t="s">
        <v>407</v>
      </c>
      <c r="C1173" s="11">
        <v>44653</v>
      </c>
      <c r="D1173" s="4" t="s">
        <v>124</v>
      </c>
      <c r="E1173" s="4" t="s">
        <v>24</v>
      </c>
      <c r="F1173" s="4" t="s">
        <v>25</v>
      </c>
      <c r="G1173" s="4" t="s">
        <v>41</v>
      </c>
      <c r="H1173" s="4" t="s">
        <v>3279</v>
      </c>
      <c r="I1173" s="4" t="s">
        <v>43</v>
      </c>
      <c r="J1173" s="4" t="s">
        <v>62</v>
      </c>
      <c r="K1173" s="4" t="s">
        <v>30</v>
      </c>
      <c r="L1173" s="4" t="s">
        <v>334</v>
      </c>
      <c r="M1173" s="4" t="s">
        <v>95</v>
      </c>
      <c r="N1173" s="4" t="s">
        <v>54</v>
      </c>
      <c r="O1173" s="4" t="s">
        <v>66</v>
      </c>
      <c r="P1173" s="4" t="s">
        <v>74</v>
      </c>
      <c r="Q1173" s="4">
        <v>4</v>
      </c>
      <c r="R1173" s="4">
        <v>14684</v>
      </c>
      <c r="S1173" s="5">
        <v>15</v>
      </c>
      <c r="T1173" s="6">
        <f t="shared" si="54"/>
        <v>49925.599999999999</v>
      </c>
      <c r="U1173" s="4">
        <v>-1493.69</v>
      </c>
      <c r="V1173" t="str">
        <f t="shared" si="55"/>
        <v>Mar</v>
      </c>
      <c r="W1173">
        <f t="shared" si="56"/>
        <v>-2.9918318457865304E-2</v>
      </c>
    </row>
    <row r="1174" spans="1:23" x14ac:dyDescent="0.4">
      <c r="A1174" s="4" t="s">
        <v>3280</v>
      </c>
      <c r="B1174" s="4" t="s">
        <v>1292</v>
      </c>
      <c r="C1174" s="11">
        <v>45548</v>
      </c>
      <c r="D1174" s="4" t="s">
        <v>98</v>
      </c>
      <c r="E1174" s="4" t="s">
        <v>24</v>
      </c>
      <c r="F1174" s="4" t="s">
        <v>58</v>
      </c>
      <c r="G1174" s="4" t="s">
        <v>26</v>
      </c>
      <c r="H1174" s="4" t="s">
        <v>3281</v>
      </c>
      <c r="I1174" s="4" t="s">
        <v>43</v>
      </c>
      <c r="J1174" s="4" t="s">
        <v>29</v>
      </c>
      <c r="K1174" s="4" t="s">
        <v>101</v>
      </c>
      <c r="L1174" s="4" t="s">
        <v>110</v>
      </c>
      <c r="M1174" s="4" t="s">
        <v>81</v>
      </c>
      <c r="N1174" s="4" t="s">
        <v>54</v>
      </c>
      <c r="O1174" s="4" t="s">
        <v>120</v>
      </c>
      <c r="P1174" s="4" t="s">
        <v>47</v>
      </c>
      <c r="Q1174" s="4">
        <v>5</v>
      </c>
      <c r="R1174" s="4">
        <v>37447</v>
      </c>
      <c r="S1174" s="5">
        <v>5</v>
      </c>
      <c r="T1174" s="6">
        <f t="shared" si="54"/>
        <v>177873.25</v>
      </c>
      <c r="U1174" s="4">
        <v>38853.800000000003</v>
      </c>
      <c r="V1174" t="str">
        <f t="shared" si="55"/>
        <v>Sep</v>
      </c>
      <c r="W1174">
        <f t="shared" si="56"/>
        <v>0.21843531840791128</v>
      </c>
    </row>
    <row r="1175" spans="1:23" x14ac:dyDescent="0.4">
      <c r="A1175" s="4" t="s">
        <v>3282</v>
      </c>
      <c r="B1175" s="4" t="s">
        <v>1575</v>
      </c>
      <c r="C1175" s="11">
        <v>45134</v>
      </c>
      <c r="D1175" s="4" t="s">
        <v>98</v>
      </c>
      <c r="E1175" s="4" t="s">
        <v>24</v>
      </c>
      <c r="F1175" s="4" t="s">
        <v>70</v>
      </c>
      <c r="G1175" s="4" t="s">
        <v>92</v>
      </c>
      <c r="H1175" s="4" t="s">
        <v>3283</v>
      </c>
      <c r="I1175" s="4" t="s">
        <v>28</v>
      </c>
      <c r="J1175" s="4" t="s">
        <v>79</v>
      </c>
      <c r="K1175" s="4" t="s">
        <v>101</v>
      </c>
      <c r="L1175" s="4" t="s">
        <v>671</v>
      </c>
      <c r="M1175" s="4" t="s">
        <v>65</v>
      </c>
      <c r="N1175" s="4" t="s">
        <v>54</v>
      </c>
      <c r="O1175" s="4" t="s">
        <v>34</v>
      </c>
      <c r="P1175" s="4" t="s">
        <v>35</v>
      </c>
      <c r="Q1175" s="4">
        <v>5</v>
      </c>
      <c r="R1175" s="4">
        <v>45314</v>
      </c>
      <c r="S1175" s="5">
        <v>10</v>
      </c>
      <c r="T1175" s="6">
        <f t="shared" si="54"/>
        <v>203913</v>
      </c>
      <c r="U1175" s="4">
        <v>-4757.67</v>
      </c>
      <c r="V1175" t="str">
        <f t="shared" si="55"/>
        <v>Jul</v>
      </c>
      <c r="W1175">
        <f t="shared" si="56"/>
        <v>-2.3331862117667829E-2</v>
      </c>
    </row>
    <row r="1176" spans="1:23" x14ac:dyDescent="0.4">
      <c r="A1176" s="4" t="s">
        <v>3284</v>
      </c>
      <c r="B1176" s="4" t="s">
        <v>2914</v>
      </c>
      <c r="C1176" s="11">
        <v>45385</v>
      </c>
      <c r="D1176" s="4" t="s">
        <v>39</v>
      </c>
      <c r="E1176" s="4" t="s">
        <v>24</v>
      </c>
      <c r="F1176" s="4" t="s">
        <v>40</v>
      </c>
      <c r="G1176" s="4" t="s">
        <v>41</v>
      </c>
      <c r="H1176" s="4" t="s">
        <v>3285</v>
      </c>
      <c r="I1176" s="4" t="s">
        <v>28</v>
      </c>
      <c r="J1176" s="4" t="s">
        <v>79</v>
      </c>
      <c r="K1176" s="4" t="s">
        <v>153</v>
      </c>
      <c r="L1176" s="4" t="s">
        <v>889</v>
      </c>
      <c r="M1176" s="4" t="s">
        <v>81</v>
      </c>
      <c r="N1176" s="4" t="s">
        <v>54</v>
      </c>
      <c r="O1176" s="4" t="s">
        <v>66</v>
      </c>
      <c r="P1176" s="4" t="s">
        <v>47</v>
      </c>
      <c r="Q1176" s="4">
        <v>2</v>
      </c>
      <c r="R1176" s="4">
        <v>21122</v>
      </c>
      <c r="S1176" s="5">
        <v>20</v>
      </c>
      <c r="T1176" s="6">
        <f t="shared" si="54"/>
        <v>33795.199999999997</v>
      </c>
      <c r="U1176" s="4">
        <v>-1171.3499999999999</v>
      </c>
      <c r="V1176" t="str">
        <f t="shared" si="55"/>
        <v>Mar</v>
      </c>
      <c r="W1176">
        <f t="shared" si="56"/>
        <v>-3.4660247609127927E-2</v>
      </c>
    </row>
    <row r="1177" spans="1:23" x14ac:dyDescent="0.4">
      <c r="A1177" s="4" t="s">
        <v>3286</v>
      </c>
      <c r="B1177" s="4" t="s">
        <v>1438</v>
      </c>
      <c r="C1177" s="11">
        <v>45550</v>
      </c>
      <c r="D1177" s="4" t="s">
        <v>124</v>
      </c>
      <c r="E1177" s="4" t="s">
        <v>24</v>
      </c>
      <c r="F1177" s="4" t="s">
        <v>40</v>
      </c>
      <c r="G1177" s="4" t="s">
        <v>41</v>
      </c>
      <c r="H1177" s="4" t="s">
        <v>3287</v>
      </c>
      <c r="I1177" s="4" t="s">
        <v>28</v>
      </c>
      <c r="J1177" s="4" t="s">
        <v>79</v>
      </c>
      <c r="K1177" s="4" t="s">
        <v>44</v>
      </c>
      <c r="L1177" s="4" t="s">
        <v>457</v>
      </c>
      <c r="M1177" s="4" t="s">
        <v>81</v>
      </c>
      <c r="N1177" s="4" t="s">
        <v>33</v>
      </c>
      <c r="O1177" s="4" t="s">
        <v>34</v>
      </c>
      <c r="P1177" s="4" t="s">
        <v>35</v>
      </c>
      <c r="Q1177" s="4">
        <v>10</v>
      </c>
      <c r="R1177" s="4">
        <v>4559</v>
      </c>
      <c r="S1177" s="5">
        <v>10</v>
      </c>
      <c r="T1177" s="6">
        <f t="shared" si="54"/>
        <v>41031</v>
      </c>
      <c r="U1177" s="4">
        <v>8835.19</v>
      </c>
      <c r="V1177" t="str">
        <f t="shared" si="55"/>
        <v>Sep</v>
      </c>
      <c r="W1177">
        <f t="shared" si="56"/>
        <v>0.21532962881723577</v>
      </c>
    </row>
    <row r="1178" spans="1:23" x14ac:dyDescent="0.4">
      <c r="A1178" s="4" t="s">
        <v>3288</v>
      </c>
      <c r="B1178" s="4" t="s">
        <v>1385</v>
      </c>
      <c r="C1178" s="11">
        <v>44973</v>
      </c>
      <c r="D1178" s="4" t="s">
        <v>98</v>
      </c>
      <c r="E1178" s="4" t="s">
        <v>24</v>
      </c>
      <c r="F1178" s="4" t="s">
        <v>40</v>
      </c>
      <c r="G1178" s="4" t="s">
        <v>99</v>
      </c>
      <c r="H1178" s="4" t="s">
        <v>3289</v>
      </c>
      <c r="I1178" s="4" t="s">
        <v>28</v>
      </c>
      <c r="J1178" s="4" t="s">
        <v>29</v>
      </c>
      <c r="K1178" s="4" t="s">
        <v>86</v>
      </c>
      <c r="L1178" s="4" t="s">
        <v>343</v>
      </c>
      <c r="M1178" s="4" t="s">
        <v>65</v>
      </c>
      <c r="N1178" s="4" t="s">
        <v>54</v>
      </c>
      <c r="O1178" s="4" t="s">
        <v>66</v>
      </c>
      <c r="P1178" s="4" t="s">
        <v>47</v>
      </c>
      <c r="Q1178" s="4">
        <v>6</v>
      </c>
      <c r="R1178" s="4">
        <v>27559</v>
      </c>
      <c r="S1178" s="5">
        <v>15</v>
      </c>
      <c r="T1178" s="6">
        <f t="shared" si="54"/>
        <v>140550.9</v>
      </c>
      <c r="U1178" s="4">
        <v>-16087.84</v>
      </c>
      <c r="V1178" t="str">
        <f t="shared" si="55"/>
        <v>Feb</v>
      </c>
      <c r="W1178">
        <f t="shared" si="56"/>
        <v>-0.11446273200669652</v>
      </c>
    </row>
    <row r="1179" spans="1:23" x14ac:dyDescent="0.4">
      <c r="A1179" s="4" t="s">
        <v>3290</v>
      </c>
      <c r="B1179" s="4" t="s">
        <v>2430</v>
      </c>
      <c r="C1179" s="11">
        <v>45235</v>
      </c>
      <c r="D1179" s="4" t="s">
        <v>39</v>
      </c>
      <c r="E1179" s="4" t="s">
        <v>24</v>
      </c>
      <c r="F1179" s="4" t="s">
        <v>40</v>
      </c>
      <c r="G1179" s="4" t="s">
        <v>99</v>
      </c>
      <c r="H1179" s="4" t="s">
        <v>3291</v>
      </c>
      <c r="I1179" s="4" t="s">
        <v>61</v>
      </c>
      <c r="J1179" s="4" t="s">
        <v>29</v>
      </c>
      <c r="K1179" s="4" t="s">
        <v>101</v>
      </c>
      <c r="L1179" s="4" t="s">
        <v>503</v>
      </c>
      <c r="M1179" s="4" t="s">
        <v>95</v>
      </c>
      <c r="N1179" s="4" t="s">
        <v>33</v>
      </c>
      <c r="O1179" s="4" t="s">
        <v>34</v>
      </c>
      <c r="P1179" s="4" t="s">
        <v>47</v>
      </c>
      <c r="Q1179" s="4">
        <v>6</v>
      </c>
      <c r="R1179" s="4">
        <v>43987</v>
      </c>
      <c r="S1179" s="5">
        <v>20</v>
      </c>
      <c r="T1179" s="6">
        <f t="shared" si="54"/>
        <v>211137.6</v>
      </c>
      <c r="U1179" s="4">
        <v>-16341.51</v>
      </c>
      <c r="V1179" t="str">
        <f t="shared" si="55"/>
        <v>Nov</v>
      </c>
      <c r="W1179">
        <f t="shared" si="56"/>
        <v>-7.7397441289471888E-2</v>
      </c>
    </row>
    <row r="1180" spans="1:23" x14ac:dyDescent="0.4">
      <c r="A1180" s="4" t="s">
        <v>3292</v>
      </c>
      <c r="B1180" s="4" t="s">
        <v>3293</v>
      </c>
      <c r="C1180" s="11">
        <v>44572</v>
      </c>
      <c r="D1180" s="4" t="s">
        <v>39</v>
      </c>
      <c r="E1180" s="4" t="s">
        <v>24</v>
      </c>
      <c r="F1180" s="4" t="s">
        <v>40</v>
      </c>
      <c r="G1180" s="4" t="s">
        <v>26</v>
      </c>
      <c r="H1180" s="4" t="s">
        <v>3294</v>
      </c>
      <c r="I1180" s="4" t="s">
        <v>28</v>
      </c>
      <c r="J1180" s="4" t="s">
        <v>62</v>
      </c>
      <c r="K1180" s="4" t="s">
        <v>101</v>
      </c>
      <c r="L1180" s="4" t="s">
        <v>329</v>
      </c>
      <c r="M1180" s="4" t="s">
        <v>81</v>
      </c>
      <c r="N1180" s="4" t="s">
        <v>54</v>
      </c>
      <c r="O1180" s="4" t="s">
        <v>120</v>
      </c>
      <c r="P1180" s="4" t="s">
        <v>47</v>
      </c>
      <c r="Q1180" s="4">
        <v>8</v>
      </c>
      <c r="R1180" s="4">
        <v>7304</v>
      </c>
      <c r="S1180" s="5">
        <v>0</v>
      </c>
      <c r="T1180" s="6">
        <f t="shared" si="54"/>
        <v>58432</v>
      </c>
      <c r="U1180" s="4">
        <v>4683.43</v>
      </c>
      <c r="V1180" t="str">
        <f t="shared" si="55"/>
        <v>Jan</v>
      </c>
      <c r="W1180">
        <f t="shared" si="56"/>
        <v>8.0151800383351596E-2</v>
      </c>
    </row>
    <row r="1181" spans="1:23" x14ac:dyDescent="0.4">
      <c r="A1181" s="4" t="s">
        <v>3295</v>
      </c>
      <c r="B1181" s="4" t="s">
        <v>37</v>
      </c>
      <c r="C1181" s="11">
        <v>45360</v>
      </c>
      <c r="D1181" s="4" t="s">
        <v>39</v>
      </c>
      <c r="E1181" s="4" t="s">
        <v>24</v>
      </c>
      <c r="F1181" s="4" t="s">
        <v>26</v>
      </c>
      <c r="G1181" s="4" t="s">
        <v>26</v>
      </c>
      <c r="H1181" s="4" t="s">
        <v>3296</v>
      </c>
      <c r="I1181" s="4" t="s">
        <v>43</v>
      </c>
      <c r="J1181" s="4" t="s">
        <v>79</v>
      </c>
      <c r="K1181" s="4" t="s">
        <v>44</v>
      </c>
      <c r="L1181" s="4" t="s">
        <v>452</v>
      </c>
      <c r="M1181" s="4" t="s">
        <v>65</v>
      </c>
      <c r="N1181" s="4" t="s">
        <v>54</v>
      </c>
      <c r="O1181" s="4" t="s">
        <v>82</v>
      </c>
      <c r="P1181" s="4" t="s">
        <v>74</v>
      </c>
      <c r="Q1181" s="4">
        <v>3</v>
      </c>
      <c r="R1181" s="4">
        <v>20398</v>
      </c>
      <c r="S1181" s="5">
        <v>20</v>
      </c>
      <c r="T1181" s="6">
        <f t="shared" si="54"/>
        <v>48955.199999999997</v>
      </c>
      <c r="U1181" s="4">
        <v>-3777.29</v>
      </c>
      <c r="V1181" t="str">
        <f t="shared" si="55"/>
        <v>Mar</v>
      </c>
      <c r="W1181">
        <f t="shared" si="56"/>
        <v>-7.7158095564924672E-2</v>
      </c>
    </row>
    <row r="1182" spans="1:23" x14ac:dyDescent="0.4">
      <c r="A1182" s="4" t="s">
        <v>3297</v>
      </c>
      <c r="B1182" s="4" t="s">
        <v>1427</v>
      </c>
      <c r="C1182" s="11">
        <v>45061</v>
      </c>
      <c r="D1182" s="4" t="s">
        <v>124</v>
      </c>
      <c r="E1182" s="4" t="s">
        <v>24</v>
      </c>
      <c r="F1182" s="4" t="s">
        <v>26</v>
      </c>
      <c r="G1182" s="4" t="s">
        <v>99</v>
      </c>
      <c r="H1182" s="4" t="s">
        <v>3298</v>
      </c>
      <c r="I1182" s="4" t="s">
        <v>61</v>
      </c>
      <c r="J1182" s="4" t="s">
        <v>62</v>
      </c>
      <c r="K1182" s="4" t="s">
        <v>86</v>
      </c>
      <c r="L1182" s="4" t="s">
        <v>339</v>
      </c>
      <c r="M1182" s="4" t="s">
        <v>32</v>
      </c>
      <c r="N1182" s="4" t="s">
        <v>54</v>
      </c>
      <c r="O1182" s="4" t="s">
        <v>82</v>
      </c>
      <c r="P1182" s="4" t="s">
        <v>74</v>
      </c>
      <c r="Q1182" s="4">
        <v>6</v>
      </c>
      <c r="R1182" s="4">
        <v>5245</v>
      </c>
      <c r="S1182" s="5">
        <v>0</v>
      </c>
      <c r="T1182" s="6">
        <f t="shared" si="54"/>
        <v>31470</v>
      </c>
      <c r="U1182" s="4">
        <v>1821.75</v>
      </c>
      <c r="V1182" t="str">
        <f t="shared" si="55"/>
        <v>May</v>
      </c>
      <c r="W1182">
        <f t="shared" si="56"/>
        <v>5.78884652049571E-2</v>
      </c>
    </row>
    <row r="1183" spans="1:23" x14ac:dyDescent="0.4">
      <c r="A1183" s="4" t="s">
        <v>3299</v>
      </c>
      <c r="B1183" s="4" t="s">
        <v>57</v>
      </c>
      <c r="C1183" s="11">
        <v>44963</v>
      </c>
      <c r="D1183" s="4" t="s">
        <v>124</v>
      </c>
      <c r="E1183" s="4" t="s">
        <v>24</v>
      </c>
      <c r="F1183" s="4" t="s">
        <v>25</v>
      </c>
      <c r="G1183" s="4" t="s">
        <v>26</v>
      </c>
      <c r="H1183" s="4" t="s">
        <v>3301</v>
      </c>
      <c r="I1183" s="4" t="s">
        <v>61</v>
      </c>
      <c r="J1183" s="4" t="s">
        <v>29</v>
      </c>
      <c r="K1183" s="4" t="s">
        <v>86</v>
      </c>
      <c r="L1183" s="4" t="s">
        <v>315</v>
      </c>
      <c r="M1183" s="4" t="s">
        <v>95</v>
      </c>
      <c r="N1183" s="4" t="s">
        <v>54</v>
      </c>
      <c r="O1183" s="4" t="s">
        <v>66</v>
      </c>
      <c r="P1183" s="4" t="s">
        <v>47</v>
      </c>
      <c r="Q1183" s="4">
        <v>6</v>
      </c>
      <c r="R1183" s="4">
        <v>37512</v>
      </c>
      <c r="S1183" s="5">
        <v>20</v>
      </c>
      <c r="T1183" s="6">
        <f t="shared" si="54"/>
        <v>180057.60000000001</v>
      </c>
      <c r="U1183" s="4">
        <v>-33727.769999999997</v>
      </c>
      <c r="V1183" t="str">
        <f t="shared" si="55"/>
        <v>Jan</v>
      </c>
      <c r="W1183">
        <f t="shared" si="56"/>
        <v>-0.18731655870121558</v>
      </c>
    </row>
    <row r="1184" spans="1:23" x14ac:dyDescent="0.4">
      <c r="A1184" s="4" t="s">
        <v>3302</v>
      </c>
      <c r="B1184" s="4" t="s">
        <v>654</v>
      </c>
      <c r="C1184" s="11">
        <v>45017</v>
      </c>
      <c r="D1184" s="4" t="s">
        <v>124</v>
      </c>
      <c r="E1184" s="4" t="s">
        <v>24</v>
      </c>
      <c r="F1184" s="4" t="s">
        <v>40</v>
      </c>
      <c r="G1184" s="4" t="s">
        <v>41</v>
      </c>
      <c r="H1184" s="4" t="s">
        <v>3303</v>
      </c>
      <c r="I1184" s="4" t="s">
        <v>43</v>
      </c>
      <c r="J1184" s="4" t="s">
        <v>62</v>
      </c>
      <c r="K1184" s="4" t="s">
        <v>63</v>
      </c>
      <c r="L1184" s="4" t="s">
        <v>126</v>
      </c>
      <c r="M1184" s="4" t="s">
        <v>53</v>
      </c>
      <c r="N1184" s="4" t="s">
        <v>54</v>
      </c>
      <c r="O1184" s="4" t="s">
        <v>34</v>
      </c>
      <c r="P1184" s="4" t="s">
        <v>74</v>
      </c>
      <c r="Q1184" s="4">
        <v>3</v>
      </c>
      <c r="R1184" s="4">
        <v>12982</v>
      </c>
      <c r="S1184" s="5">
        <v>15</v>
      </c>
      <c r="T1184" s="6">
        <f t="shared" si="54"/>
        <v>33104.1</v>
      </c>
      <c r="U1184" s="4">
        <v>3741.25</v>
      </c>
      <c r="V1184" t="str">
        <f t="shared" si="55"/>
        <v>Mar</v>
      </c>
      <c r="W1184">
        <f t="shared" si="56"/>
        <v>0.11301470210638562</v>
      </c>
    </row>
    <row r="1185" spans="1:23" x14ac:dyDescent="0.4">
      <c r="A1185" s="4" t="s">
        <v>3304</v>
      </c>
      <c r="B1185" s="4" t="s">
        <v>689</v>
      </c>
      <c r="C1185" s="11">
        <v>45223</v>
      </c>
      <c r="D1185" s="4" t="s">
        <v>39</v>
      </c>
      <c r="E1185" s="4" t="s">
        <v>24</v>
      </c>
      <c r="F1185" s="4" t="s">
        <v>70</v>
      </c>
      <c r="G1185" s="4" t="s">
        <v>41</v>
      </c>
      <c r="H1185" s="4" t="s">
        <v>3305</v>
      </c>
      <c r="I1185" s="4" t="s">
        <v>43</v>
      </c>
      <c r="J1185" s="4" t="s">
        <v>62</v>
      </c>
      <c r="K1185" s="4" t="s">
        <v>63</v>
      </c>
      <c r="L1185" s="4" t="s">
        <v>2252</v>
      </c>
      <c r="M1185" s="4" t="s">
        <v>81</v>
      </c>
      <c r="N1185" s="4" t="s">
        <v>54</v>
      </c>
      <c r="O1185" s="4" t="s">
        <v>120</v>
      </c>
      <c r="P1185" s="4" t="s">
        <v>88</v>
      </c>
      <c r="Q1185" s="4">
        <v>10</v>
      </c>
      <c r="R1185" s="4">
        <v>41351</v>
      </c>
      <c r="S1185" s="5">
        <v>10</v>
      </c>
      <c r="T1185" s="6">
        <f t="shared" si="54"/>
        <v>372159</v>
      </c>
      <c r="U1185" s="4">
        <v>67278.38</v>
      </c>
      <c r="V1185" t="str">
        <f t="shared" si="55"/>
        <v>Oct</v>
      </c>
      <c r="W1185">
        <f t="shared" si="56"/>
        <v>0.18077859194591561</v>
      </c>
    </row>
    <row r="1186" spans="1:23" x14ac:dyDescent="0.4">
      <c r="A1186" s="4" t="s">
        <v>3306</v>
      </c>
      <c r="B1186" s="4" t="s">
        <v>206</v>
      </c>
      <c r="C1186" s="11">
        <v>44946</v>
      </c>
      <c r="D1186" s="4" t="s">
        <v>39</v>
      </c>
      <c r="E1186" s="4" t="s">
        <v>24</v>
      </c>
      <c r="F1186" s="4" t="s">
        <v>58</v>
      </c>
      <c r="G1186" s="4" t="s">
        <v>41</v>
      </c>
      <c r="H1186" s="4" t="s">
        <v>3307</v>
      </c>
      <c r="I1186" s="4" t="s">
        <v>43</v>
      </c>
      <c r="J1186" s="4" t="s">
        <v>79</v>
      </c>
      <c r="K1186" s="4" t="s">
        <v>101</v>
      </c>
      <c r="L1186" s="4" t="s">
        <v>1322</v>
      </c>
      <c r="M1186" s="4" t="s">
        <v>95</v>
      </c>
      <c r="N1186" s="4" t="s">
        <v>54</v>
      </c>
      <c r="O1186" s="4" t="s">
        <v>46</v>
      </c>
      <c r="P1186" s="4" t="s">
        <v>74</v>
      </c>
      <c r="Q1186" s="4">
        <v>2</v>
      </c>
      <c r="R1186" s="4">
        <v>5595</v>
      </c>
      <c r="S1186" s="5">
        <v>0</v>
      </c>
      <c r="T1186" s="6">
        <f t="shared" si="54"/>
        <v>11190</v>
      </c>
      <c r="U1186" s="4">
        <v>776.1</v>
      </c>
      <c r="V1186" t="str">
        <f t="shared" si="55"/>
        <v>Jan</v>
      </c>
      <c r="W1186">
        <f t="shared" si="56"/>
        <v>6.9356568364611265E-2</v>
      </c>
    </row>
    <row r="1187" spans="1:23" x14ac:dyDescent="0.4">
      <c r="A1187" s="4" t="s">
        <v>3308</v>
      </c>
      <c r="B1187" s="4" t="s">
        <v>3309</v>
      </c>
      <c r="C1187" s="11">
        <v>44868</v>
      </c>
      <c r="D1187" s="4" t="s">
        <v>98</v>
      </c>
      <c r="E1187" s="4" t="s">
        <v>24</v>
      </c>
      <c r="F1187" s="4" t="s">
        <v>70</v>
      </c>
      <c r="G1187" s="4" t="s">
        <v>26</v>
      </c>
      <c r="H1187" s="4" t="s">
        <v>3310</v>
      </c>
      <c r="I1187" s="4" t="s">
        <v>43</v>
      </c>
      <c r="J1187" s="4" t="s">
        <v>62</v>
      </c>
      <c r="K1187" s="4" t="s">
        <v>63</v>
      </c>
      <c r="L1187" s="4" t="s">
        <v>900</v>
      </c>
      <c r="M1187" s="4" t="s">
        <v>73</v>
      </c>
      <c r="N1187" s="4" t="s">
        <v>33</v>
      </c>
      <c r="O1187" s="4" t="s">
        <v>46</v>
      </c>
      <c r="P1187" s="4" t="s">
        <v>35</v>
      </c>
      <c r="Q1187" s="4">
        <v>10</v>
      </c>
      <c r="R1187" s="4">
        <v>31145</v>
      </c>
      <c r="S1187" s="5">
        <v>10</v>
      </c>
      <c r="T1187" s="6">
        <f t="shared" si="54"/>
        <v>280305</v>
      </c>
      <c r="U1187" s="4">
        <v>30244.04</v>
      </c>
      <c r="V1187" t="str">
        <f t="shared" si="55"/>
        <v>Oct</v>
      </c>
      <c r="W1187">
        <f t="shared" si="56"/>
        <v>0.10789689802179769</v>
      </c>
    </row>
    <row r="1188" spans="1:23" x14ac:dyDescent="0.4">
      <c r="A1188" s="4" t="s">
        <v>3311</v>
      </c>
      <c r="B1188" s="4" t="s">
        <v>2774</v>
      </c>
      <c r="C1188" s="11">
        <v>44595</v>
      </c>
      <c r="D1188" s="4" t="s">
        <v>39</v>
      </c>
      <c r="E1188" s="4" t="s">
        <v>24</v>
      </c>
      <c r="F1188" s="4" t="s">
        <v>58</v>
      </c>
      <c r="G1188" s="4" t="s">
        <v>41</v>
      </c>
      <c r="H1188" s="4" t="s">
        <v>3312</v>
      </c>
      <c r="I1188" s="4" t="s">
        <v>43</v>
      </c>
      <c r="J1188" s="4" t="s">
        <v>79</v>
      </c>
      <c r="K1188" s="4" t="s">
        <v>86</v>
      </c>
      <c r="L1188" s="4" t="s">
        <v>627</v>
      </c>
      <c r="M1188" s="4" t="s">
        <v>95</v>
      </c>
      <c r="N1188" s="4" t="s">
        <v>54</v>
      </c>
      <c r="O1188" s="4" t="s">
        <v>82</v>
      </c>
      <c r="P1188" s="4" t="s">
        <v>88</v>
      </c>
      <c r="Q1188" s="4">
        <v>2</v>
      </c>
      <c r="R1188" s="4">
        <v>29160</v>
      </c>
      <c r="S1188" s="5">
        <v>5</v>
      </c>
      <c r="T1188" s="6">
        <f t="shared" si="54"/>
        <v>55404</v>
      </c>
      <c r="U1188" s="4">
        <v>7793.34</v>
      </c>
      <c r="V1188" t="str">
        <f t="shared" si="55"/>
        <v>Feb</v>
      </c>
      <c r="W1188">
        <f t="shared" si="56"/>
        <v>0.14066385098548842</v>
      </c>
    </row>
    <row r="1189" spans="1:23" x14ac:dyDescent="0.4">
      <c r="A1189" s="4" t="s">
        <v>3313</v>
      </c>
      <c r="B1189" s="4" t="s">
        <v>107</v>
      </c>
      <c r="C1189" s="11">
        <v>44716</v>
      </c>
      <c r="D1189" s="4" t="s">
        <v>124</v>
      </c>
      <c r="E1189" s="4" t="s">
        <v>24</v>
      </c>
      <c r="F1189" s="4" t="s">
        <v>25</v>
      </c>
      <c r="G1189" s="4" t="s">
        <v>26</v>
      </c>
      <c r="H1189" s="4" t="s">
        <v>3314</v>
      </c>
      <c r="I1189" s="4" t="s">
        <v>43</v>
      </c>
      <c r="J1189" s="4" t="s">
        <v>79</v>
      </c>
      <c r="K1189" s="4" t="s">
        <v>30</v>
      </c>
      <c r="L1189" s="4" t="s">
        <v>377</v>
      </c>
      <c r="M1189" s="4" t="s">
        <v>53</v>
      </c>
      <c r="N1189" s="4" t="s">
        <v>54</v>
      </c>
      <c r="O1189" s="4" t="s">
        <v>120</v>
      </c>
      <c r="P1189" s="4" t="s">
        <v>88</v>
      </c>
      <c r="Q1189" s="4">
        <v>8</v>
      </c>
      <c r="R1189" s="4">
        <v>38855</v>
      </c>
      <c r="S1189" s="5">
        <v>10</v>
      </c>
      <c r="T1189" s="6">
        <f t="shared" si="54"/>
        <v>279756</v>
      </c>
      <c r="U1189" s="4">
        <v>30356.19</v>
      </c>
      <c r="V1189" t="str">
        <f t="shared" si="55"/>
        <v>May</v>
      </c>
      <c r="W1189">
        <f t="shared" si="56"/>
        <v>0.10850952258396603</v>
      </c>
    </row>
    <row r="1190" spans="1:23" x14ac:dyDescent="0.4">
      <c r="A1190" s="4" t="s">
        <v>3315</v>
      </c>
      <c r="B1190" s="4" t="s">
        <v>2077</v>
      </c>
      <c r="C1190" s="11">
        <v>45501</v>
      </c>
      <c r="D1190" s="4" t="s">
        <v>23</v>
      </c>
      <c r="E1190" s="4" t="s">
        <v>24</v>
      </c>
      <c r="F1190" s="4" t="s">
        <v>58</v>
      </c>
      <c r="G1190" s="4" t="s">
        <v>92</v>
      </c>
      <c r="H1190" s="4" t="s">
        <v>3316</v>
      </c>
      <c r="I1190" s="4" t="s">
        <v>61</v>
      </c>
      <c r="J1190" s="4" t="s">
        <v>62</v>
      </c>
      <c r="K1190" s="4" t="s">
        <v>63</v>
      </c>
      <c r="L1190" s="4" t="s">
        <v>949</v>
      </c>
      <c r="M1190" s="4" t="s">
        <v>73</v>
      </c>
      <c r="N1190" s="4" t="s">
        <v>33</v>
      </c>
      <c r="O1190" s="4" t="s">
        <v>66</v>
      </c>
      <c r="P1190" s="4" t="s">
        <v>35</v>
      </c>
      <c r="Q1190" s="4">
        <v>2</v>
      </c>
      <c r="R1190" s="4">
        <v>32451</v>
      </c>
      <c r="S1190" s="5">
        <v>15</v>
      </c>
      <c r="T1190" s="6">
        <f t="shared" si="54"/>
        <v>55166.7</v>
      </c>
      <c r="U1190" s="4">
        <v>-2384.46</v>
      </c>
      <c r="V1190" t="str">
        <f t="shared" si="55"/>
        <v>Jul</v>
      </c>
      <c r="W1190">
        <f t="shared" si="56"/>
        <v>-4.3222813762650296E-2</v>
      </c>
    </row>
    <row r="1191" spans="1:23" x14ac:dyDescent="0.4">
      <c r="A1191" s="4" t="s">
        <v>3317</v>
      </c>
      <c r="B1191" s="4" t="s">
        <v>777</v>
      </c>
      <c r="C1191" s="11">
        <v>44704</v>
      </c>
      <c r="D1191" s="4" t="s">
        <v>124</v>
      </c>
      <c r="E1191" s="4" t="s">
        <v>24</v>
      </c>
      <c r="F1191" s="4" t="s">
        <v>58</v>
      </c>
      <c r="G1191" s="4" t="s">
        <v>41</v>
      </c>
      <c r="H1191" s="4" t="s">
        <v>3318</v>
      </c>
      <c r="I1191" s="4" t="s">
        <v>61</v>
      </c>
      <c r="J1191" s="4" t="s">
        <v>62</v>
      </c>
      <c r="K1191" s="4" t="s">
        <v>153</v>
      </c>
      <c r="L1191" s="4" t="s">
        <v>976</v>
      </c>
      <c r="M1191" s="4" t="s">
        <v>65</v>
      </c>
      <c r="N1191" s="4" t="s">
        <v>54</v>
      </c>
      <c r="O1191" s="4" t="s">
        <v>120</v>
      </c>
      <c r="P1191" s="4" t="s">
        <v>88</v>
      </c>
      <c r="Q1191" s="4">
        <v>9</v>
      </c>
      <c r="R1191" s="4">
        <v>37558</v>
      </c>
      <c r="S1191" s="5">
        <v>0</v>
      </c>
      <c r="T1191" s="6">
        <f t="shared" si="54"/>
        <v>338022</v>
      </c>
      <c r="U1191" s="4">
        <v>33556.44</v>
      </c>
      <c r="V1191" t="str">
        <f t="shared" si="55"/>
        <v>May</v>
      </c>
      <c r="W1191">
        <f t="shared" si="56"/>
        <v>9.9272946731277859E-2</v>
      </c>
    </row>
    <row r="1192" spans="1:23" x14ac:dyDescent="0.4">
      <c r="A1192" s="4" t="s">
        <v>3319</v>
      </c>
      <c r="B1192" s="4" t="s">
        <v>3320</v>
      </c>
      <c r="C1192" s="11">
        <v>44900</v>
      </c>
      <c r="D1192" s="4" t="s">
        <v>23</v>
      </c>
      <c r="E1192" s="4" t="s">
        <v>24</v>
      </c>
      <c r="F1192" s="4" t="s">
        <v>26</v>
      </c>
      <c r="G1192" s="4" t="s">
        <v>26</v>
      </c>
      <c r="H1192" s="4" t="s">
        <v>3321</v>
      </c>
      <c r="I1192" s="4" t="s">
        <v>43</v>
      </c>
      <c r="J1192" s="4" t="s">
        <v>29</v>
      </c>
      <c r="K1192" s="4" t="s">
        <v>44</v>
      </c>
      <c r="L1192" s="4" t="s">
        <v>826</v>
      </c>
      <c r="M1192" s="4" t="s">
        <v>32</v>
      </c>
      <c r="N1192" s="4" t="s">
        <v>54</v>
      </c>
      <c r="O1192" s="4" t="s">
        <v>82</v>
      </c>
      <c r="P1192" s="4" t="s">
        <v>88</v>
      </c>
      <c r="Q1192" s="4">
        <v>4</v>
      </c>
      <c r="R1192" s="4">
        <v>27562</v>
      </c>
      <c r="S1192" s="5">
        <v>0</v>
      </c>
      <c r="T1192" s="6">
        <f t="shared" si="54"/>
        <v>110248</v>
      </c>
      <c r="U1192" s="4">
        <v>14677.75</v>
      </c>
      <c r="V1192" t="str">
        <f t="shared" si="55"/>
        <v>Nov</v>
      </c>
      <c r="W1192">
        <f t="shared" si="56"/>
        <v>0.13313393440243815</v>
      </c>
    </row>
    <row r="1193" spans="1:23" x14ac:dyDescent="0.4">
      <c r="A1193" s="4" t="s">
        <v>3322</v>
      </c>
      <c r="B1193" s="4" t="s">
        <v>2039</v>
      </c>
      <c r="C1193" s="11">
        <v>44709</v>
      </c>
      <c r="D1193" s="4" t="s">
        <v>23</v>
      </c>
      <c r="E1193" s="4" t="s">
        <v>24</v>
      </c>
      <c r="F1193" s="4" t="s">
        <v>58</v>
      </c>
      <c r="G1193" s="4" t="s">
        <v>59</v>
      </c>
      <c r="H1193" s="4" t="s">
        <v>3323</v>
      </c>
      <c r="I1193" s="4" t="s">
        <v>43</v>
      </c>
      <c r="J1193" s="4" t="s">
        <v>79</v>
      </c>
      <c r="K1193" s="4" t="s">
        <v>86</v>
      </c>
      <c r="L1193" s="4" t="s">
        <v>1482</v>
      </c>
      <c r="M1193" s="4" t="s">
        <v>32</v>
      </c>
      <c r="N1193" s="4" t="s">
        <v>33</v>
      </c>
      <c r="O1193" s="4" t="s">
        <v>66</v>
      </c>
      <c r="P1193" s="4" t="s">
        <v>47</v>
      </c>
      <c r="Q1193" s="4">
        <v>10</v>
      </c>
      <c r="R1193" s="4">
        <v>21975</v>
      </c>
      <c r="S1193" s="5">
        <v>5</v>
      </c>
      <c r="T1193" s="6">
        <f t="shared" si="54"/>
        <v>208762.5</v>
      </c>
      <c r="U1193" s="4">
        <v>34176.04</v>
      </c>
      <c r="V1193" t="str">
        <f t="shared" si="55"/>
        <v>May</v>
      </c>
      <c r="W1193">
        <f t="shared" si="56"/>
        <v>0.16370775402670498</v>
      </c>
    </row>
    <row r="1194" spans="1:23" x14ac:dyDescent="0.4">
      <c r="A1194" s="4" t="s">
        <v>3324</v>
      </c>
      <c r="B1194" s="4" t="s">
        <v>412</v>
      </c>
      <c r="C1194" s="11">
        <v>45043</v>
      </c>
      <c r="D1194" s="4" t="s">
        <v>23</v>
      </c>
      <c r="E1194" s="4" t="s">
        <v>24</v>
      </c>
      <c r="F1194" s="4" t="s">
        <v>40</v>
      </c>
      <c r="G1194" s="4" t="s">
        <v>92</v>
      </c>
      <c r="H1194" s="4" t="s">
        <v>3325</v>
      </c>
      <c r="I1194" s="4" t="s">
        <v>43</v>
      </c>
      <c r="J1194" s="4" t="s">
        <v>79</v>
      </c>
      <c r="K1194" s="4" t="s">
        <v>63</v>
      </c>
      <c r="L1194" s="4" t="s">
        <v>301</v>
      </c>
      <c r="M1194" s="4" t="s">
        <v>73</v>
      </c>
      <c r="N1194" s="4" t="s">
        <v>54</v>
      </c>
      <c r="O1194" s="4" t="s">
        <v>34</v>
      </c>
      <c r="P1194" s="4" t="s">
        <v>74</v>
      </c>
      <c r="Q1194" s="4">
        <v>10</v>
      </c>
      <c r="R1194" s="4">
        <v>5191</v>
      </c>
      <c r="S1194" s="5">
        <v>0</v>
      </c>
      <c r="T1194" s="6">
        <f t="shared" si="54"/>
        <v>51910</v>
      </c>
      <c r="U1194" s="4">
        <v>4872.8900000000003</v>
      </c>
      <c r="V1194" t="str">
        <f t="shared" si="55"/>
        <v>Apr</v>
      </c>
      <c r="W1194">
        <f t="shared" si="56"/>
        <v>9.3871893662107506E-2</v>
      </c>
    </row>
    <row r="1195" spans="1:23" x14ac:dyDescent="0.4">
      <c r="A1195" s="4" t="s">
        <v>3326</v>
      </c>
      <c r="B1195" s="4" t="s">
        <v>1792</v>
      </c>
      <c r="C1195" s="11">
        <v>45494</v>
      </c>
      <c r="D1195" s="4" t="s">
        <v>23</v>
      </c>
      <c r="E1195" s="4" t="s">
        <v>24</v>
      </c>
      <c r="F1195" s="4" t="s">
        <v>58</v>
      </c>
      <c r="G1195" s="4" t="s">
        <v>99</v>
      </c>
      <c r="H1195" s="4" t="s">
        <v>3327</v>
      </c>
      <c r="I1195" s="4" t="s">
        <v>61</v>
      </c>
      <c r="J1195" s="4" t="s">
        <v>29</v>
      </c>
      <c r="K1195" s="4" t="s">
        <v>153</v>
      </c>
      <c r="L1195" s="4" t="s">
        <v>1725</v>
      </c>
      <c r="M1195" s="4" t="s">
        <v>73</v>
      </c>
      <c r="N1195" s="4" t="s">
        <v>54</v>
      </c>
      <c r="O1195" s="4" t="s">
        <v>66</v>
      </c>
      <c r="P1195" s="4" t="s">
        <v>47</v>
      </c>
      <c r="Q1195" s="4">
        <v>9</v>
      </c>
      <c r="R1195" s="4">
        <v>49354</v>
      </c>
      <c r="S1195" s="5">
        <v>10</v>
      </c>
      <c r="T1195" s="6">
        <f t="shared" si="54"/>
        <v>399767.4</v>
      </c>
      <c r="U1195" s="4">
        <v>81093.23</v>
      </c>
      <c r="V1195" t="str">
        <f t="shared" si="55"/>
        <v>Jul</v>
      </c>
      <c r="W1195">
        <f t="shared" si="56"/>
        <v>0.20285103287561715</v>
      </c>
    </row>
    <row r="1196" spans="1:23" x14ac:dyDescent="0.4">
      <c r="A1196" s="4" t="s">
        <v>3328</v>
      </c>
      <c r="B1196" s="4" t="s">
        <v>2426</v>
      </c>
      <c r="C1196" s="11">
        <v>45362</v>
      </c>
      <c r="D1196" s="4" t="s">
        <v>124</v>
      </c>
      <c r="E1196" s="4" t="s">
        <v>24</v>
      </c>
      <c r="F1196" s="4" t="s">
        <v>70</v>
      </c>
      <c r="G1196" s="4" t="s">
        <v>99</v>
      </c>
      <c r="H1196" s="4" t="s">
        <v>3329</v>
      </c>
      <c r="I1196" s="4" t="s">
        <v>61</v>
      </c>
      <c r="J1196" s="4" t="s">
        <v>79</v>
      </c>
      <c r="K1196" s="4" t="s">
        <v>86</v>
      </c>
      <c r="L1196" s="4" t="s">
        <v>867</v>
      </c>
      <c r="M1196" s="4" t="s">
        <v>32</v>
      </c>
      <c r="N1196" s="4" t="s">
        <v>54</v>
      </c>
      <c r="O1196" s="4" t="s">
        <v>82</v>
      </c>
      <c r="P1196" s="4" t="s">
        <v>35</v>
      </c>
      <c r="Q1196" s="4">
        <v>2</v>
      </c>
      <c r="R1196" s="4">
        <v>22721</v>
      </c>
      <c r="S1196" s="5">
        <v>20</v>
      </c>
      <c r="T1196" s="6">
        <f t="shared" si="54"/>
        <v>36353.599999999999</v>
      </c>
      <c r="U1196" s="4">
        <v>-877.28</v>
      </c>
      <c r="V1196" t="str">
        <f t="shared" si="55"/>
        <v>Mar</v>
      </c>
      <c r="W1196">
        <f t="shared" si="56"/>
        <v>-2.4131860393468596E-2</v>
      </c>
    </row>
    <row r="1197" spans="1:23" x14ac:dyDescent="0.4">
      <c r="A1197" s="4" t="s">
        <v>3330</v>
      </c>
      <c r="B1197" s="4" t="s">
        <v>595</v>
      </c>
      <c r="C1197" s="11">
        <v>45300</v>
      </c>
      <c r="D1197" s="4" t="s">
        <v>124</v>
      </c>
      <c r="E1197" s="4" t="s">
        <v>24</v>
      </c>
      <c r="F1197" s="4" t="s">
        <v>25</v>
      </c>
      <c r="G1197" s="4" t="s">
        <v>99</v>
      </c>
      <c r="H1197" s="4" t="s">
        <v>3331</v>
      </c>
      <c r="I1197" s="4" t="s">
        <v>43</v>
      </c>
      <c r="J1197" s="4" t="s">
        <v>29</v>
      </c>
      <c r="K1197" s="4" t="s">
        <v>153</v>
      </c>
      <c r="L1197" s="4" t="s">
        <v>198</v>
      </c>
      <c r="M1197" s="4" t="s">
        <v>81</v>
      </c>
      <c r="N1197" s="4" t="s">
        <v>33</v>
      </c>
      <c r="O1197" s="4" t="s">
        <v>66</v>
      </c>
      <c r="P1197" s="4" t="s">
        <v>47</v>
      </c>
      <c r="Q1197" s="4">
        <v>5</v>
      </c>
      <c r="R1197" s="4">
        <v>34106</v>
      </c>
      <c r="S1197" s="5">
        <v>20</v>
      </c>
      <c r="T1197" s="6">
        <f t="shared" si="54"/>
        <v>136424</v>
      </c>
      <c r="U1197" s="4">
        <v>-25312.11</v>
      </c>
      <c r="V1197" t="str">
        <f t="shared" si="55"/>
        <v>Dec</v>
      </c>
      <c r="W1197">
        <f t="shared" si="56"/>
        <v>-0.18554000762329209</v>
      </c>
    </row>
    <row r="1198" spans="1:23" x14ac:dyDescent="0.4">
      <c r="A1198" s="4" t="s">
        <v>3332</v>
      </c>
      <c r="B1198" s="4" t="s">
        <v>1907</v>
      </c>
      <c r="C1198" s="11">
        <v>44934</v>
      </c>
      <c r="D1198" s="4" t="s">
        <v>124</v>
      </c>
      <c r="E1198" s="4" t="s">
        <v>24</v>
      </c>
      <c r="F1198" s="4" t="s">
        <v>25</v>
      </c>
      <c r="G1198" s="4" t="s">
        <v>59</v>
      </c>
      <c r="H1198" s="4" t="s">
        <v>3333</v>
      </c>
      <c r="I1198" s="4" t="s">
        <v>61</v>
      </c>
      <c r="J1198" s="4" t="s">
        <v>79</v>
      </c>
      <c r="K1198" s="4" t="s">
        <v>63</v>
      </c>
      <c r="L1198" s="4" t="s">
        <v>1822</v>
      </c>
      <c r="M1198" s="4" t="s">
        <v>53</v>
      </c>
      <c r="N1198" s="4" t="s">
        <v>54</v>
      </c>
      <c r="O1198" s="4" t="s">
        <v>120</v>
      </c>
      <c r="P1198" s="4" t="s">
        <v>35</v>
      </c>
      <c r="Q1198" s="4">
        <v>2</v>
      </c>
      <c r="R1198" s="4">
        <v>32110</v>
      </c>
      <c r="S1198" s="5">
        <v>20</v>
      </c>
      <c r="T1198" s="6">
        <f t="shared" si="54"/>
        <v>51376</v>
      </c>
      <c r="U1198" s="4">
        <v>-5707.57</v>
      </c>
      <c r="V1198" t="str">
        <f t="shared" si="55"/>
        <v>Jan</v>
      </c>
      <c r="W1198">
        <f t="shared" si="56"/>
        <v>-0.11109409062597321</v>
      </c>
    </row>
    <row r="1199" spans="1:23" x14ac:dyDescent="0.4">
      <c r="A1199" s="4" t="s">
        <v>3334</v>
      </c>
      <c r="B1199" s="4" t="s">
        <v>3335</v>
      </c>
      <c r="C1199" s="11">
        <v>45249</v>
      </c>
      <c r="D1199" s="4" t="s">
        <v>98</v>
      </c>
      <c r="E1199" s="4" t="s">
        <v>24</v>
      </c>
      <c r="F1199" s="4" t="s">
        <v>58</v>
      </c>
      <c r="G1199" s="4" t="s">
        <v>41</v>
      </c>
      <c r="H1199" s="4" t="s">
        <v>3336</v>
      </c>
      <c r="I1199" s="4" t="s">
        <v>61</v>
      </c>
      <c r="J1199" s="4" t="s">
        <v>29</v>
      </c>
      <c r="K1199" s="4" t="s">
        <v>86</v>
      </c>
      <c r="L1199" s="4" t="s">
        <v>246</v>
      </c>
      <c r="M1199" s="4" t="s">
        <v>65</v>
      </c>
      <c r="N1199" s="4" t="s">
        <v>54</v>
      </c>
      <c r="O1199" s="4" t="s">
        <v>34</v>
      </c>
      <c r="P1199" s="4" t="s">
        <v>35</v>
      </c>
      <c r="Q1199" s="4">
        <v>1</v>
      </c>
      <c r="R1199" s="4">
        <v>866</v>
      </c>
      <c r="S1199" s="5">
        <v>15</v>
      </c>
      <c r="T1199" s="6">
        <f t="shared" si="54"/>
        <v>736.1</v>
      </c>
      <c r="U1199" s="4">
        <v>-30.59</v>
      </c>
      <c r="V1199" t="str">
        <f t="shared" si="55"/>
        <v>Nov</v>
      </c>
      <c r="W1199">
        <f t="shared" si="56"/>
        <v>-4.1556853688357556E-2</v>
      </c>
    </row>
    <row r="1200" spans="1:23" x14ac:dyDescent="0.4">
      <c r="A1200" s="4" t="s">
        <v>3337</v>
      </c>
      <c r="B1200" s="4" t="s">
        <v>669</v>
      </c>
      <c r="C1200" s="11">
        <v>44646</v>
      </c>
      <c r="D1200" s="4" t="s">
        <v>124</v>
      </c>
      <c r="E1200" s="4" t="s">
        <v>24</v>
      </c>
      <c r="F1200" s="4" t="s">
        <v>70</v>
      </c>
      <c r="G1200" s="4" t="s">
        <v>59</v>
      </c>
      <c r="H1200" s="4" t="s">
        <v>3338</v>
      </c>
      <c r="I1200" s="4" t="s">
        <v>43</v>
      </c>
      <c r="J1200" s="4" t="s">
        <v>62</v>
      </c>
      <c r="K1200" s="4" t="s">
        <v>101</v>
      </c>
      <c r="L1200" s="4" t="s">
        <v>881</v>
      </c>
      <c r="M1200" s="4" t="s">
        <v>32</v>
      </c>
      <c r="N1200" s="4" t="s">
        <v>54</v>
      </c>
      <c r="O1200" s="4" t="s">
        <v>66</v>
      </c>
      <c r="P1200" s="4" t="s">
        <v>47</v>
      </c>
      <c r="Q1200" s="4">
        <v>4</v>
      </c>
      <c r="R1200" s="4">
        <v>27436</v>
      </c>
      <c r="S1200" s="5">
        <v>20</v>
      </c>
      <c r="T1200" s="6">
        <f t="shared" si="54"/>
        <v>87795.199999999997</v>
      </c>
      <c r="U1200" s="4">
        <v>6540.5</v>
      </c>
      <c r="V1200" t="str">
        <f t="shared" si="55"/>
        <v>Mar</v>
      </c>
      <c r="W1200">
        <f t="shared" si="56"/>
        <v>7.4497239029012979E-2</v>
      </c>
    </row>
    <row r="1201" spans="1:23" x14ac:dyDescent="0.4">
      <c r="A1201" s="4" t="s">
        <v>3339</v>
      </c>
      <c r="B1201" s="4" t="s">
        <v>479</v>
      </c>
      <c r="C1201" s="11">
        <v>45028</v>
      </c>
      <c r="D1201" s="4" t="s">
        <v>39</v>
      </c>
      <c r="E1201" s="4" t="s">
        <v>24</v>
      </c>
      <c r="F1201" s="4" t="s">
        <v>70</v>
      </c>
      <c r="G1201" s="4" t="s">
        <v>99</v>
      </c>
      <c r="H1201" s="4" t="s">
        <v>3340</v>
      </c>
      <c r="I1201" s="4" t="s">
        <v>61</v>
      </c>
      <c r="J1201" s="4" t="s">
        <v>62</v>
      </c>
      <c r="K1201" s="4" t="s">
        <v>153</v>
      </c>
      <c r="L1201" s="4" t="s">
        <v>144</v>
      </c>
      <c r="M1201" s="4" t="s">
        <v>53</v>
      </c>
      <c r="N1201" s="4" t="s">
        <v>54</v>
      </c>
      <c r="O1201" s="4" t="s">
        <v>120</v>
      </c>
      <c r="P1201" s="4" t="s">
        <v>35</v>
      </c>
      <c r="Q1201" s="4">
        <v>2</v>
      </c>
      <c r="R1201" s="4">
        <v>21042</v>
      </c>
      <c r="S1201" s="5">
        <v>0</v>
      </c>
      <c r="T1201" s="6">
        <f t="shared" si="54"/>
        <v>42084</v>
      </c>
      <c r="U1201" s="4">
        <v>11720.95</v>
      </c>
      <c r="V1201" t="str">
        <f t="shared" si="55"/>
        <v>Apr</v>
      </c>
      <c r="W1201">
        <f t="shared" si="56"/>
        <v>0.2785132116718943</v>
      </c>
    </row>
    <row r="1202" spans="1:23" x14ac:dyDescent="0.4">
      <c r="A1202" s="4" t="s">
        <v>3341</v>
      </c>
      <c r="B1202" s="4" t="s">
        <v>1692</v>
      </c>
      <c r="C1202" s="11">
        <v>44628</v>
      </c>
      <c r="D1202" s="4" t="s">
        <v>23</v>
      </c>
      <c r="E1202" s="4" t="s">
        <v>24</v>
      </c>
      <c r="F1202" s="4" t="s">
        <v>26</v>
      </c>
      <c r="G1202" s="4" t="s">
        <v>41</v>
      </c>
      <c r="H1202" s="4" t="s">
        <v>3342</v>
      </c>
      <c r="I1202" s="4" t="s">
        <v>28</v>
      </c>
      <c r="J1202" s="4" t="s">
        <v>62</v>
      </c>
      <c r="K1202" s="4" t="s">
        <v>153</v>
      </c>
      <c r="L1202" s="4" t="s">
        <v>503</v>
      </c>
      <c r="M1202" s="4" t="s">
        <v>53</v>
      </c>
      <c r="N1202" s="4" t="s">
        <v>54</v>
      </c>
      <c r="O1202" s="4" t="s">
        <v>66</v>
      </c>
      <c r="P1202" s="4" t="s">
        <v>88</v>
      </c>
      <c r="Q1202" s="4">
        <v>10</v>
      </c>
      <c r="R1202" s="4">
        <v>44765</v>
      </c>
      <c r="S1202" s="5">
        <v>20</v>
      </c>
      <c r="T1202" s="6">
        <f t="shared" si="54"/>
        <v>358120</v>
      </c>
      <c r="U1202" s="4">
        <v>-58897.56</v>
      </c>
      <c r="V1202" t="str">
        <f t="shared" si="55"/>
        <v>Mar</v>
      </c>
      <c r="W1202">
        <f t="shared" si="56"/>
        <v>-0.16446319669384563</v>
      </c>
    </row>
    <row r="1203" spans="1:23" x14ac:dyDescent="0.4">
      <c r="A1203" s="4" t="s">
        <v>3343</v>
      </c>
      <c r="B1203" s="4" t="s">
        <v>1850</v>
      </c>
      <c r="C1203" s="11">
        <v>45031</v>
      </c>
      <c r="D1203" s="4" t="s">
        <v>23</v>
      </c>
      <c r="E1203" s="4" t="s">
        <v>24</v>
      </c>
      <c r="F1203" s="4" t="s">
        <v>25</v>
      </c>
      <c r="G1203" s="4" t="s">
        <v>92</v>
      </c>
      <c r="H1203" s="4" t="s">
        <v>3344</v>
      </c>
      <c r="I1203" s="4" t="s">
        <v>28</v>
      </c>
      <c r="J1203" s="4" t="s">
        <v>29</v>
      </c>
      <c r="K1203" s="4" t="s">
        <v>101</v>
      </c>
      <c r="L1203" s="4" t="s">
        <v>661</v>
      </c>
      <c r="M1203" s="4" t="s">
        <v>81</v>
      </c>
      <c r="N1203" s="4" t="s">
        <v>33</v>
      </c>
      <c r="O1203" s="4" t="s">
        <v>82</v>
      </c>
      <c r="P1203" s="4" t="s">
        <v>35</v>
      </c>
      <c r="Q1203" s="4">
        <v>9</v>
      </c>
      <c r="R1203" s="4">
        <v>28013</v>
      </c>
      <c r="S1203" s="5">
        <v>20</v>
      </c>
      <c r="T1203" s="6">
        <f t="shared" si="54"/>
        <v>201693.6</v>
      </c>
      <c r="U1203" s="4">
        <v>-18058.349999999999</v>
      </c>
      <c r="V1203" t="str">
        <f t="shared" si="55"/>
        <v>Apr</v>
      </c>
      <c r="W1203">
        <f t="shared" si="56"/>
        <v>-8.9533579647544589E-2</v>
      </c>
    </row>
    <row r="1204" spans="1:23" x14ac:dyDescent="0.4">
      <c r="A1204" s="4" t="s">
        <v>3345</v>
      </c>
      <c r="B1204" s="4" t="s">
        <v>1316</v>
      </c>
      <c r="C1204" s="11">
        <v>45215</v>
      </c>
      <c r="D1204" s="4" t="s">
        <v>23</v>
      </c>
      <c r="E1204" s="4" t="s">
        <v>24</v>
      </c>
      <c r="F1204" s="4" t="s">
        <v>26</v>
      </c>
      <c r="G1204" s="4" t="s">
        <v>99</v>
      </c>
      <c r="H1204" s="4" t="s">
        <v>3346</v>
      </c>
      <c r="I1204" s="4" t="s">
        <v>43</v>
      </c>
      <c r="J1204" s="4" t="s">
        <v>62</v>
      </c>
      <c r="K1204" s="4" t="s">
        <v>63</v>
      </c>
      <c r="L1204" s="4" t="s">
        <v>976</v>
      </c>
      <c r="M1204" s="4" t="s">
        <v>53</v>
      </c>
      <c r="N1204" s="4" t="s">
        <v>54</v>
      </c>
      <c r="O1204" s="4" t="s">
        <v>82</v>
      </c>
      <c r="P1204" s="4" t="s">
        <v>88</v>
      </c>
      <c r="Q1204" s="4">
        <v>3</v>
      </c>
      <c r="R1204" s="4">
        <v>16912</v>
      </c>
      <c r="S1204" s="5">
        <v>10</v>
      </c>
      <c r="T1204" s="6">
        <f t="shared" si="54"/>
        <v>45662.400000000001</v>
      </c>
      <c r="U1204" s="4">
        <v>1252.0999999999999</v>
      </c>
      <c r="V1204" t="str">
        <f t="shared" si="55"/>
        <v>Oct</v>
      </c>
      <c r="W1204">
        <f t="shared" si="56"/>
        <v>2.7420810119485613E-2</v>
      </c>
    </row>
    <row r="1205" spans="1:23" x14ac:dyDescent="0.4">
      <c r="A1205" s="4" t="s">
        <v>3347</v>
      </c>
      <c r="B1205" s="4" t="s">
        <v>3017</v>
      </c>
      <c r="C1205" s="11">
        <v>45248</v>
      </c>
      <c r="D1205" s="4" t="s">
        <v>98</v>
      </c>
      <c r="E1205" s="4" t="s">
        <v>24</v>
      </c>
      <c r="F1205" s="4" t="s">
        <v>70</v>
      </c>
      <c r="G1205" s="4" t="s">
        <v>41</v>
      </c>
      <c r="H1205" s="4" t="s">
        <v>2637</v>
      </c>
      <c r="I1205" s="4" t="s">
        <v>43</v>
      </c>
      <c r="J1205" s="4" t="s">
        <v>79</v>
      </c>
      <c r="K1205" s="4" t="s">
        <v>44</v>
      </c>
      <c r="L1205" s="4" t="s">
        <v>282</v>
      </c>
      <c r="M1205" s="4" t="s">
        <v>32</v>
      </c>
      <c r="N1205" s="4" t="s">
        <v>54</v>
      </c>
      <c r="O1205" s="4" t="s">
        <v>46</v>
      </c>
      <c r="P1205" s="4" t="s">
        <v>88</v>
      </c>
      <c r="Q1205" s="4">
        <v>5</v>
      </c>
      <c r="R1205" s="4">
        <v>25312</v>
      </c>
      <c r="S1205" s="5">
        <v>10</v>
      </c>
      <c r="T1205" s="6">
        <f t="shared" si="54"/>
        <v>113904</v>
      </c>
      <c r="U1205" s="4">
        <v>21095.09</v>
      </c>
      <c r="V1205" t="str">
        <f t="shared" si="55"/>
        <v>Nov</v>
      </c>
      <c r="W1205">
        <f t="shared" si="56"/>
        <v>0.18520060752914735</v>
      </c>
    </row>
    <row r="1206" spans="1:23" x14ac:dyDescent="0.4">
      <c r="A1206" s="4" t="s">
        <v>3348</v>
      </c>
      <c r="B1206" s="4" t="s">
        <v>3349</v>
      </c>
      <c r="C1206" s="11">
        <v>45078</v>
      </c>
      <c r="D1206" s="4" t="s">
        <v>124</v>
      </c>
      <c r="E1206" s="4" t="s">
        <v>24</v>
      </c>
      <c r="F1206" s="4" t="s">
        <v>58</v>
      </c>
      <c r="G1206" s="4" t="s">
        <v>59</v>
      </c>
      <c r="H1206" s="4" t="s">
        <v>3350</v>
      </c>
      <c r="I1206" s="4" t="s">
        <v>43</v>
      </c>
      <c r="J1206" s="4" t="s">
        <v>62</v>
      </c>
      <c r="K1206" s="4" t="s">
        <v>30</v>
      </c>
      <c r="L1206" s="4" t="s">
        <v>167</v>
      </c>
      <c r="M1206" s="4" t="s">
        <v>65</v>
      </c>
      <c r="N1206" s="4" t="s">
        <v>54</v>
      </c>
      <c r="O1206" s="4" t="s">
        <v>34</v>
      </c>
      <c r="P1206" s="4" t="s">
        <v>35</v>
      </c>
      <c r="Q1206" s="4">
        <v>6</v>
      </c>
      <c r="R1206" s="4">
        <v>3451</v>
      </c>
      <c r="S1206" s="5">
        <v>15</v>
      </c>
      <c r="T1206" s="6">
        <f t="shared" si="54"/>
        <v>17600.099999999999</v>
      </c>
      <c r="U1206" s="4">
        <v>1626.16</v>
      </c>
      <c r="V1206" t="str">
        <f t="shared" si="55"/>
        <v>May</v>
      </c>
      <c r="W1206">
        <f t="shared" si="56"/>
        <v>9.239492957426379E-2</v>
      </c>
    </row>
    <row r="1207" spans="1:23" x14ac:dyDescent="0.4">
      <c r="A1207" s="4" t="s">
        <v>3351</v>
      </c>
      <c r="B1207" s="4" t="s">
        <v>651</v>
      </c>
      <c r="C1207" s="11">
        <v>45062</v>
      </c>
      <c r="D1207" s="4" t="s">
        <v>98</v>
      </c>
      <c r="E1207" s="4" t="s">
        <v>24</v>
      </c>
      <c r="F1207" s="4" t="s">
        <v>26</v>
      </c>
      <c r="G1207" s="4" t="s">
        <v>92</v>
      </c>
      <c r="H1207" s="4" t="s">
        <v>2455</v>
      </c>
      <c r="I1207" s="4" t="s">
        <v>61</v>
      </c>
      <c r="J1207" s="4" t="s">
        <v>79</v>
      </c>
      <c r="K1207" s="4" t="s">
        <v>44</v>
      </c>
      <c r="L1207" s="4" t="s">
        <v>2822</v>
      </c>
      <c r="M1207" s="4" t="s">
        <v>65</v>
      </c>
      <c r="N1207" s="4" t="s">
        <v>54</v>
      </c>
      <c r="O1207" s="4" t="s">
        <v>82</v>
      </c>
      <c r="P1207" s="4" t="s">
        <v>47</v>
      </c>
      <c r="Q1207" s="4">
        <v>4</v>
      </c>
      <c r="R1207" s="4">
        <v>17966</v>
      </c>
      <c r="S1207" s="5">
        <v>10</v>
      </c>
      <c r="T1207" s="6">
        <f t="shared" si="54"/>
        <v>64677.599999999999</v>
      </c>
      <c r="U1207" s="4">
        <v>13865.31</v>
      </c>
      <c r="V1207" t="str">
        <f t="shared" si="55"/>
        <v>May</v>
      </c>
      <c r="W1207">
        <f t="shared" si="56"/>
        <v>0.21437576533452077</v>
      </c>
    </row>
    <row r="1208" spans="1:23" x14ac:dyDescent="0.4">
      <c r="A1208" s="4" t="s">
        <v>3352</v>
      </c>
      <c r="B1208" s="4" t="s">
        <v>624</v>
      </c>
      <c r="C1208" s="11">
        <v>45168</v>
      </c>
      <c r="D1208" s="4" t="s">
        <v>23</v>
      </c>
      <c r="E1208" s="4" t="s">
        <v>24</v>
      </c>
      <c r="F1208" s="4" t="s">
        <v>25</v>
      </c>
      <c r="G1208" s="4" t="s">
        <v>26</v>
      </c>
      <c r="H1208" s="4" t="s">
        <v>3353</v>
      </c>
      <c r="I1208" s="4" t="s">
        <v>61</v>
      </c>
      <c r="J1208" s="4" t="s">
        <v>62</v>
      </c>
      <c r="K1208" s="4" t="s">
        <v>44</v>
      </c>
      <c r="L1208" s="4" t="s">
        <v>272</v>
      </c>
      <c r="M1208" s="4" t="s">
        <v>32</v>
      </c>
      <c r="N1208" s="4" t="s">
        <v>33</v>
      </c>
      <c r="O1208" s="4" t="s">
        <v>34</v>
      </c>
      <c r="P1208" s="4" t="s">
        <v>47</v>
      </c>
      <c r="Q1208" s="4">
        <v>6</v>
      </c>
      <c r="R1208" s="4">
        <v>27864</v>
      </c>
      <c r="S1208" s="5">
        <v>15</v>
      </c>
      <c r="T1208" s="6">
        <f t="shared" si="54"/>
        <v>142106.4</v>
      </c>
      <c r="U1208" s="4">
        <v>-224.78</v>
      </c>
      <c r="V1208" t="str">
        <f t="shared" si="55"/>
        <v>Aug</v>
      </c>
      <c r="W1208">
        <f t="shared" si="56"/>
        <v>-1.5817725310049372E-3</v>
      </c>
    </row>
    <row r="1209" spans="1:23" x14ac:dyDescent="0.4">
      <c r="A1209" s="4" t="s">
        <v>3354</v>
      </c>
      <c r="B1209" s="4" t="s">
        <v>2702</v>
      </c>
      <c r="C1209" s="11">
        <v>44840</v>
      </c>
      <c r="D1209" s="4" t="s">
        <v>124</v>
      </c>
      <c r="E1209" s="4" t="s">
        <v>24</v>
      </c>
      <c r="F1209" s="4" t="s">
        <v>25</v>
      </c>
      <c r="G1209" s="4" t="s">
        <v>59</v>
      </c>
      <c r="H1209" s="4" t="s">
        <v>3355</v>
      </c>
      <c r="I1209" s="4" t="s">
        <v>28</v>
      </c>
      <c r="J1209" s="4" t="s">
        <v>79</v>
      </c>
      <c r="K1209" s="4" t="s">
        <v>153</v>
      </c>
      <c r="L1209" s="4" t="s">
        <v>757</v>
      </c>
      <c r="M1209" s="4" t="s">
        <v>53</v>
      </c>
      <c r="N1209" s="4" t="s">
        <v>54</v>
      </c>
      <c r="O1209" s="4" t="s">
        <v>120</v>
      </c>
      <c r="P1209" s="4" t="s">
        <v>88</v>
      </c>
      <c r="Q1209" s="4">
        <v>4</v>
      </c>
      <c r="R1209" s="4">
        <v>5757</v>
      </c>
      <c r="S1209" s="5">
        <v>20</v>
      </c>
      <c r="T1209" s="6">
        <f t="shared" si="54"/>
        <v>18422.400000000001</v>
      </c>
      <c r="U1209" s="4">
        <v>-285.73</v>
      </c>
      <c r="V1209" t="str">
        <f t="shared" si="55"/>
        <v>Sep</v>
      </c>
      <c r="W1209">
        <f t="shared" si="56"/>
        <v>-1.5509922702796596E-2</v>
      </c>
    </row>
    <row r="1210" spans="1:23" x14ac:dyDescent="0.4">
      <c r="A1210" s="4" t="s">
        <v>3356</v>
      </c>
      <c r="B1210" s="4" t="s">
        <v>1324</v>
      </c>
      <c r="C1210" s="11">
        <v>45325</v>
      </c>
      <c r="D1210" s="4" t="s">
        <v>124</v>
      </c>
      <c r="E1210" s="4" t="s">
        <v>24</v>
      </c>
      <c r="F1210" s="4" t="s">
        <v>70</v>
      </c>
      <c r="G1210" s="4" t="s">
        <v>41</v>
      </c>
      <c r="H1210" s="4" t="s">
        <v>3357</v>
      </c>
      <c r="I1210" s="4" t="s">
        <v>61</v>
      </c>
      <c r="J1210" s="4" t="s">
        <v>62</v>
      </c>
      <c r="K1210" s="4" t="s">
        <v>101</v>
      </c>
      <c r="L1210" s="4" t="s">
        <v>232</v>
      </c>
      <c r="M1210" s="4" t="s">
        <v>53</v>
      </c>
      <c r="N1210" s="4" t="s">
        <v>33</v>
      </c>
      <c r="O1210" s="4" t="s">
        <v>120</v>
      </c>
      <c r="P1210" s="4" t="s">
        <v>88</v>
      </c>
      <c r="Q1210" s="4">
        <v>2</v>
      </c>
      <c r="R1210" s="4">
        <v>35698</v>
      </c>
      <c r="S1210" s="5">
        <v>0</v>
      </c>
      <c r="T1210" s="6">
        <f t="shared" si="54"/>
        <v>71396</v>
      </c>
      <c r="U1210" s="4">
        <v>4060.46</v>
      </c>
      <c r="V1210" t="str">
        <f t="shared" si="55"/>
        <v>Jan</v>
      </c>
      <c r="W1210">
        <f t="shared" si="56"/>
        <v>5.687237380245392E-2</v>
      </c>
    </row>
    <row r="1211" spans="1:23" x14ac:dyDescent="0.4">
      <c r="A1211" s="4" t="s">
        <v>3358</v>
      </c>
      <c r="B1211" s="4" t="s">
        <v>178</v>
      </c>
      <c r="C1211" s="11">
        <v>44666</v>
      </c>
      <c r="D1211" s="4" t="s">
        <v>124</v>
      </c>
      <c r="E1211" s="4" t="s">
        <v>24</v>
      </c>
      <c r="F1211" s="4" t="s">
        <v>40</v>
      </c>
      <c r="G1211" s="4" t="s">
        <v>41</v>
      </c>
      <c r="H1211" s="4" t="s">
        <v>3359</v>
      </c>
      <c r="I1211" s="4" t="s">
        <v>61</v>
      </c>
      <c r="J1211" s="4" t="s">
        <v>62</v>
      </c>
      <c r="K1211" s="4" t="s">
        <v>86</v>
      </c>
      <c r="L1211" s="4" t="s">
        <v>871</v>
      </c>
      <c r="M1211" s="4" t="s">
        <v>53</v>
      </c>
      <c r="N1211" s="4" t="s">
        <v>33</v>
      </c>
      <c r="O1211" s="4" t="s">
        <v>34</v>
      </c>
      <c r="P1211" s="4" t="s">
        <v>47</v>
      </c>
      <c r="Q1211" s="4">
        <v>3</v>
      </c>
      <c r="R1211" s="4">
        <v>37250</v>
      </c>
      <c r="S1211" s="5">
        <v>10</v>
      </c>
      <c r="T1211" s="6">
        <f t="shared" si="54"/>
        <v>100575</v>
      </c>
      <c r="U1211" s="4">
        <v>22029.74</v>
      </c>
      <c r="V1211" t="str">
        <f t="shared" si="55"/>
        <v>Apr</v>
      </c>
      <c r="W1211">
        <f t="shared" si="56"/>
        <v>0.21903793189162318</v>
      </c>
    </row>
    <row r="1212" spans="1:23" x14ac:dyDescent="0.4">
      <c r="A1212" s="4" t="s">
        <v>3360</v>
      </c>
      <c r="B1212" s="4" t="s">
        <v>430</v>
      </c>
      <c r="C1212" s="11">
        <v>44946</v>
      </c>
      <c r="D1212" s="4" t="s">
        <v>23</v>
      </c>
      <c r="E1212" s="4" t="s">
        <v>24</v>
      </c>
      <c r="F1212" s="4" t="s">
        <v>25</v>
      </c>
      <c r="G1212" s="4" t="s">
        <v>41</v>
      </c>
      <c r="H1212" s="4" t="s">
        <v>3361</v>
      </c>
      <c r="I1212" s="4" t="s">
        <v>61</v>
      </c>
      <c r="J1212" s="4" t="s">
        <v>62</v>
      </c>
      <c r="K1212" s="4" t="s">
        <v>30</v>
      </c>
      <c r="L1212" s="4" t="s">
        <v>198</v>
      </c>
      <c r="M1212" s="4" t="s">
        <v>95</v>
      </c>
      <c r="N1212" s="4" t="s">
        <v>33</v>
      </c>
      <c r="O1212" s="4" t="s">
        <v>82</v>
      </c>
      <c r="P1212" s="4" t="s">
        <v>47</v>
      </c>
      <c r="Q1212" s="4">
        <v>1</v>
      </c>
      <c r="R1212" s="4">
        <v>11160</v>
      </c>
      <c r="S1212" s="5">
        <v>5</v>
      </c>
      <c r="T1212" s="6">
        <f t="shared" si="54"/>
        <v>10602</v>
      </c>
      <c r="U1212" s="4">
        <v>1667.82</v>
      </c>
      <c r="V1212" t="str">
        <f t="shared" si="55"/>
        <v>Jan</v>
      </c>
      <c r="W1212">
        <f t="shared" si="56"/>
        <v>0.15731182795698925</v>
      </c>
    </row>
    <row r="1213" spans="1:23" x14ac:dyDescent="0.4">
      <c r="A1213" s="4" t="s">
        <v>3362</v>
      </c>
      <c r="B1213" s="4" t="s">
        <v>2264</v>
      </c>
      <c r="C1213" s="11">
        <v>45520</v>
      </c>
      <c r="D1213" s="4" t="s">
        <v>98</v>
      </c>
      <c r="E1213" s="4" t="s">
        <v>24</v>
      </c>
      <c r="F1213" s="4" t="s">
        <v>26</v>
      </c>
      <c r="G1213" s="4" t="s">
        <v>59</v>
      </c>
      <c r="H1213" s="4" t="s">
        <v>3363</v>
      </c>
      <c r="I1213" s="4" t="s">
        <v>43</v>
      </c>
      <c r="J1213" s="4" t="s">
        <v>62</v>
      </c>
      <c r="K1213" s="4" t="s">
        <v>153</v>
      </c>
      <c r="L1213" s="4" t="s">
        <v>559</v>
      </c>
      <c r="M1213" s="4" t="s">
        <v>73</v>
      </c>
      <c r="N1213" s="4" t="s">
        <v>33</v>
      </c>
      <c r="O1213" s="4" t="s">
        <v>46</v>
      </c>
      <c r="P1213" s="4" t="s">
        <v>47</v>
      </c>
      <c r="Q1213" s="4">
        <v>4</v>
      </c>
      <c r="R1213" s="4">
        <v>43862</v>
      </c>
      <c r="S1213" s="5">
        <v>0</v>
      </c>
      <c r="T1213" s="6">
        <f t="shared" si="54"/>
        <v>175448</v>
      </c>
      <c r="U1213" s="4">
        <v>32634.83</v>
      </c>
      <c r="V1213" t="str">
        <f t="shared" si="55"/>
        <v>Aug</v>
      </c>
      <c r="W1213">
        <f t="shared" si="56"/>
        <v>0.18600856094113358</v>
      </c>
    </row>
    <row r="1214" spans="1:23" x14ac:dyDescent="0.4">
      <c r="A1214" s="4" t="s">
        <v>3364</v>
      </c>
      <c r="B1214" s="4" t="s">
        <v>1642</v>
      </c>
      <c r="C1214" s="11">
        <v>44909</v>
      </c>
      <c r="D1214" s="4" t="s">
        <v>39</v>
      </c>
      <c r="E1214" s="4" t="s">
        <v>24</v>
      </c>
      <c r="F1214" s="4" t="s">
        <v>26</v>
      </c>
      <c r="G1214" s="4" t="s">
        <v>41</v>
      </c>
      <c r="H1214" s="4" t="s">
        <v>2558</v>
      </c>
      <c r="I1214" s="4" t="s">
        <v>28</v>
      </c>
      <c r="J1214" s="4" t="s">
        <v>79</v>
      </c>
      <c r="K1214" s="4" t="s">
        <v>101</v>
      </c>
      <c r="L1214" s="4" t="s">
        <v>237</v>
      </c>
      <c r="M1214" s="4" t="s">
        <v>32</v>
      </c>
      <c r="N1214" s="4" t="s">
        <v>54</v>
      </c>
      <c r="O1214" s="4" t="s">
        <v>34</v>
      </c>
      <c r="P1214" s="4" t="s">
        <v>74</v>
      </c>
      <c r="Q1214" s="4">
        <v>8</v>
      </c>
      <c r="R1214" s="4">
        <v>44971</v>
      </c>
      <c r="S1214" s="5">
        <v>0</v>
      </c>
      <c r="T1214" s="6">
        <f t="shared" si="54"/>
        <v>359768</v>
      </c>
      <c r="U1214" s="4">
        <v>47725.15</v>
      </c>
      <c r="V1214" t="str">
        <f t="shared" si="55"/>
        <v>Dec</v>
      </c>
      <c r="W1214">
        <f t="shared" si="56"/>
        <v>0.13265535011451826</v>
      </c>
    </row>
    <row r="1215" spans="1:23" x14ac:dyDescent="0.4">
      <c r="A1215" s="4" t="s">
        <v>3365</v>
      </c>
      <c r="B1215" s="4" t="s">
        <v>3001</v>
      </c>
      <c r="C1215" s="11">
        <v>44872</v>
      </c>
      <c r="D1215" s="4" t="s">
        <v>23</v>
      </c>
      <c r="E1215" s="4" t="s">
        <v>24</v>
      </c>
      <c r="F1215" s="4" t="s">
        <v>58</v>
      </c>
      <c r="G1215" s="4" t="s">
        <v>26</v>
      </c>
      <c r="H1215" s="4" t="s">
        <v>3366</v>
      </c>
      <c r="I1215" s="4" t="s">
        <v>61</v>
      </c>
      <c r="J1215" s="4" t="s">
        <v>62</v>
      </c>
      <c r="K1215" s="4" t="s">
        <v>44</v>
      </c>
      <c r="L1215" s="4" t="s">
        <v>1322</v>
      </c>
      <c r="M1215" s="4" t="s">
        <v>95</v>
      </c>
      <c r="N1215" s="4" t="s">
        <v>33</v>
      </c>
      <c r="O1215" s="4" t="s">
        <v>34</v>
      </c>
      <c r="P1215" s="4" t="s">
        <v>35</v>
      </c>
      <c r="Q1215" s="4">
        <v>1</v>
      </c>
      <c r="R1215" s="4">
        <v>46746</v>
      </c>
      <c r="S1215" s="5">
        <v>20</v>
      </c>
      <c r="T1215" s="6">
        <f t="shared" si="54"/>
        <v>37396.800000000003</v>
      </c>
      <c r="U1215" s="4">
        <v>-1720.56</v>
      </c>
      <c r="V1215" t="str">
        <f t="shared" si="55"/>
        <v>Oct</v>
      </c>
      <c r="W1215">
        <f t="shared" si="56"/>
        <v>-4.6008214606597354E-2</v>
      </c>
    </row>
    <row r="1216" spans="1:23" x14ac:dyDescent="0.4">
      <c r="A1216" s="4" t="s">
        <v>3367</v>
      </c>
      <c r="B1216" s="4" t="s">
        <v>1831</v>
      </c>
      <c r="C1216" s="11">
        <v>44677</v>
      </c>
      <c r="D1216" s="4" t="s">
        <v>39</v>
      </c>
      <c r="E1216" s="4" t="s">
        <v>24</v>
      </c>
      <c r="F1216" s="4" t="s">
        <v>25</v>
      </c>
      <c r="G1216" s="4" t="s">
        <v>92</v>
      </c>
      <c r="H1216" s="4" t="s">
        <v>3368</v>
      </c>
      <c r="I1216" s="4" t="s">
        <v>61</v>
      </c>
      <c r="J1216" s="4" t="s">
        <v>29</v>
      </c>
      <c r="K1216" s="4" t="s">
        <v>153</v>
      </c>
      <c r="L1216" s="4" t="s">
        <v>382</v>
      </c>
      <c r="M1216" s="4" t="s">
        <v>81</v>
      </c>
      <c r="N1216" s="4" t="s">
        <v>33</v>
      </c>
      <c r="O1216" s="4" t="s">
        <v>34</v>
      </c>
      <c r="P1216" s="4" t="s">
        <v>35</v>
      </c>
      <c r="Q1216" s="4">
        <v>10</v>
      </c>
      <c r="R1216" s="4">
        <v>36575</v>
      </c>
      <c r="S1216" s="5">
        <v>0</v>
      </c>
      <c r="T1216" s="6">
        <f t="shared" si="54"/>
        <v>365750</v>
      </c>
      <c r="U1216" s="4">
        <v>43872.54</v>
      </c>
      <c r="V1216" t="str">
        <f t="shared" si="55"/>
        <v>Apr</v>
      </c>
      <c r="W1216">
        <f t="shared" si="56"/>
        <v>0.11995226247436774</v>
      </c>
    </row>
    <row r="1217" spans="1:23" x14ac:dyDescent="0.4">
      <c r="A1217" s="4" t="s">
        <v>3369</v>
      </c>
      <c r="B1217" s="4" t="s">
        <v>2991</v>
      </c>
      <c r="C1217" s="11">
        <v>44943</v>
      </c>
      <c r="D1217" s="4" t="s">
        <v>39</v>
      </c>
      <c r="E1217" s="4" t="s">
        <v>24</v>
      </c>
      <c r="F1217" s="4" t="s">
        <v>58</v>
      </c>
      <c r="G1217" s="4" t="s">
        <v>26</v>
      </c>
      <c r="H1217" s="4" t="s">
        <v>3370</v>
      </c>
      <c r="I1217" s="4" t="s">
        <v>28</v>
      </c>
      <c r="J1217" s="4" t="s">
        <v>29</v>
      </c>
      <c r="K1217" s="4" t="s">
        <v>86</v>
      </c>
      <c r="L1217" s="4" t="s">
        <v>423</v>
      </c>
      <c r="M1217" s="4" t="s">
        <v>32</v>
      </c>
      <c r="N1217" s="4" t="s">
        <v>54</v>
      </c>
      <c r="O1217" s="4" t="s">
        <v>66</v>
      </c>
      <c r="P1217" s="4" t="s">
        <v>47</v>
      </c>
      <c r="Q1217" s="4">
        <v>7</v>
      </c>
      <c r="R1217" s="4">
        <v>39783</v>
      </c>
      <c r="S1217" s="5">
        <v>0</v>
      </c>
      <c r="T1217" s="6">
        <f t="shared" si="54"/>
        <v>278481</v>
      </c>
      <c r="U1217" s="4">
        <v>54095.360000000001</v>
      </c>
      <c r="V1217" t="str">
        <f t="shared" si="55"/>
        <v>Jan</v>
      </c>
      <c r="W1217">
        <f t="shared" si="56"/>
        <v>0.19425152882961494</v>
      </c>
    </row>
    <row r="1218" spans="1:23" x14ac:dyDescent="0.4">
      <c r="A1218" s="4" t="s">
        <v>3371</v>
      </c>
      <c r="B1218" s="4" t="s">
        <v>3372</v>
      </c>
      <c r="C1218" s="11">
        <v>45171</v>
      </c>
      <c r="D1218" s="4" t="s">
        <v>124</v>
      </c>
      <c r="E1218" s="4" t="s">
        <v>24</v>
      </c>
      <c r="F1218" s="4" t="s">
        <v>58</v>
      </c>
      <c r="G1218" s="4" t="s">
        <v>26</v>
      </c>
      <c r="H1218" s="4" t="s">
        <v>3373</v>
      </c>
      <c r="I1218" s="4" t="s">
        <v>61</v>
      </c>
      <c r="J1218" s="4" t="s">
        <v>79</v>
      </c>
      <c r="K1218" s="4" t="s">
        <v>30</v>
      </c>
      <c r="L1218" s="4" t="s">
        <v>208</v>
      </c>
      <c r="M1218" s="4" t="s">
        <v>81</v>
      </c>
      <c r="N1218" s="4" t="s">
        <v>33</v>
      </c>
      <c r="O1218" s="4" t="s">
        <v>34</v>
      </c>
      <c r="P1218" s="4" t="s">
        <v>88</v>
      </c>
      <c r="Q1218" s="4">
        <v>8</v>
      </c>
      <c r="R1218" s="4">
        <v>2462</v>
      </c>
      <c r="S1218" s="5">
        <v>10</v>
      </c>
      <c r="T1218" s="6">
        <f t="shared" si="54"/>
        <v>17726.400000000001</v>
      </c>
      <c r="U1218" s="4">
        <v>654.65</v>
      </c>
      <c r="V1218" t="str">
        <f t="shared" si="55"/>
        <v>Aug</v>
      </c>
      <c r="W1218">
        <f t="shared" si="56"/>
        <v>3.6930792490296953E-2</v>
      </c>
    </row>
    <row r="1219" spans="1:23" x14ac:dyDescent="0.4">
      <c r="A1219" s="4" t="s">
        <v>3374</v>
      </c>
      <c r="B1219" s="4" t="s">
        <v>1869</v>
      </c>
      <c r="C1219" s="11">
        <v>44779</v>
      </c>
      <c r="D1219" s="4" t="s">
        <v>23</v>
      </c>
      <c r="E1219" s="4" t="s">
        <v>24</v>
      </c>
      <c r="F1219" s="4" t="s">
        <v>58</v>
      </c>
      <c r="G1219" s="4" t="s">
        <v>59</v>
      </c>
      <c r="H1219" s="4" t="s">
        <v>3375</v>
      </c>
      <c r="I1219" s="4" t="s">
        <v>28</v>
      </c>
      <c r="J1219" s="4" t="s">
        <v>79</v>
      </c>
      <c r="K1219" s="4" t="s">
        <v>63</v>
      </c>
      <c r="L1219" s="4" t="s">
        <v>377</v>
      </c>
      <c r="M1219" s="4" t="s">
        <v>73</v>
      </c>
      <c r="N1219" s="4" t="s">
        <v>54</v>
      </c>
      <c r="O1219" s="4" t="s">
        <v>34</v>
      </c>
      <c r="P1219" s="4" t="s">
        <v>74</v>
      </c>
      <c r="Q1219" s="4">
        <v>10</v>
      </c>
      <c r="R1219" s="4">
        <v>36931</v>
      </c>
      <c r="S1219" s="5">
        <v>15</v>
      </c>
      <c r="T1219" s="6">
        <f t="shared" ref="T1219:T1282" si="57">Q1219*R1219*(100-S1219)/100</f>
        <v>313913.5</v>
      </c>
      <c r="U1219" s="4">
        <v>4734.49</v>
      </c>
      <c r="V1219" t="str">
        <f t="shared" ref="V1219:V1282" si="58">TEXT(B1219,"MMM")</f>
        <v>Jul</v>
      </c>
      <c r="W1219">
        <f t="shared" ref="W1219:W1282" si="59">U1219/T1219</f>
        <v>1.5082148426238437E-2</v>
      </c>
    </row>
    <row r="1220" spans="1:23" x14ac:dyDescent="0.4">
      <c r="A1220" s="4" t="s">
        <v>3376</v>
      </c>
      <c r="B1220" s="4" t="s">
        <v>3377</v>
      </c>
      <c r="C1220" s="11">
        <v>45150</v>
      </c>
      <c r="D1220" s="4" t="s">
        <v>23</v>
      </c>
      <c r="E1220" s="4" t="s">
        <v>24</v>
      </c>
      <c r="F1220" s="4" t="s">
        <v>25</v>
      </c>
      <c r="G1220" s="4" t="s">
        <v>41</v>
      </c>
      <c r="H1220" s="4" t="s">
        <v>3378</v>
      </c>
      <c r="I1220" s="4" t="s">
        <v>61</v>
      </c>
      <c r="J1220" s="4" t="s">
        <v>62</v>
      </c>
      <c r="K1220" s="4" t="s">
        <v>101</v>
      </c>
      <c r="L1220" s="4" t="s">
        <v>1725</v>
      </c>
      <c r="M1220" s="4" t="s">
        <v>53</v>
      </c>
      <c r="N1220" s="4" t="s">
        <v>33</v>
      </c>
      <c r="O1220" s="4" t="s">
        <v>66</v>
      </c>
      <c r="P1220" s="4" t="s">
        <v>88</v>
      </c>
      <c r="Q1220" s="4">
        <v>10</v>
      </c>
      <c r="R1220" s="4">
        <v>23538</v>
      </c>
      <c r="S1220" s="5">
        <v>5</v>
      </c>
      <c r="T1220" s="6">
        <f t="shared" si="57"/>
        <v>223611</v>
      </c>
      <c r="U1220" s="4">
        <v>46019.08</v>
      </c>
      <c r="V1220" t="str">
        <f t="shared" si="58"/>
        <v>Aug</v>
      </c>
      <c r="W1220">
        <f t="shared" si="59"/>
        <v>0.20579971468308805</v>
      </c>
    </row>
    <row r="1221" spans="1:23" x14ac:dyDescent="0.4">
      <c r="A1221" s="4" t="s">
        <v>3379</v>
      </c>
      <c r="B1221" s="4" t="s">
        <v>2402</v>
      </c>
      <c r="C1221" s="11">
        <v>44590</v>
      </c>
      <c r="D1221" s="4" t="s">
        <v>124</v>
      </c>
      <c r="E1221" s="4" t="s">
        <v>24</v>
      </c>
      <c r="F1221" s="4" t="s">
        <v>26</v>
      </c>
      <c r="G1221" s="4" t="s">
        <v>26</v>
      </c>
      <c r="H1221" s="4" t="s">
        <v>3380</v>
      </c>
      <c r="I1221" s="4" t="s">
        <v>28</v>
      </c>
      <c r="J1221" s="4" t="s">
        <v>29</v>
      </c>
      <c r="K1221" s="4" t="s">
        <v>101</v>
      </c>
      <c r="L1221" s="4" t="s">
        <v>641</v>
      </c>
      <c r="M1221" s="4" t="s">
        <v>53</v>
      </c>
      <c r="N1221" s="4" t="s">
        <v>33</v>
      </c>
      <c r="O1221" s="4" t="s">
        <v>66</v>
      </c>
      <c r="P1221" s="4" t="s">
        <v>47</v>
      </c>
      <c r="Q1221" s="4">
        <v>10</v>
      </c>
      <c r="R1221" s="4">
        <v>21293</v>
      </c>
      <c r="S1221" s="5">
        <v>10</v>
      </c>
      <c r="T1221" s="6">
        <f t="shared" si="57"/>
        <v>191637</v>
      </c>
      <c r="U1221" s="4">
        <v>16929.759999999998</v>
      </c>
      <c r="V1221" t="str">
        <f t="shared" si="58"/>
        <v>Jan</v>
      </c>
      <c r="W1221">
        <f t="shared" si="59"/>
        <v>8.834285654649153E-2</v>
      </c>
    </row>
    <row r="1222" spans="1:23" x14ac:dyDescent="0.4">
      <c r="A1222" s="4" t="s">
        <v>3381</v>
      </c>
      <c r="B1222" s="4" t="s">
        <v>915</v>
      </c>
      <c r="C1222" s="11">
        <v>45402</v>
      </c>
      <c r="D1222" s="4" t="s">
        <v>23</v>
      </c>
      <c r="E1222" s="4" t="s">
        <v>24</v>
      </c>
      <c r="F1222" s="4" t="s">
        <v>70</v>
      </c>
      <c r="G1222" s="4" t="s">
        <v>59</v>
      </c>
      <c r="H1222" s="4" t="s">
        <v>3382</v>
      </c>
      <c r="I1222" s="4" t="s">
        <v>61</v>
      </c>
      <c r="J1222" s="4" t="s">
        <v>62</v>
      </c>
      <c r="K1222" s="4" t="s">
        <v>153</v>
      </c>
      <c r="L1222" s="4" t="s">
        <v>259</v>
      </c>
      <c r="M1222" s="4" t="s">
        <v>32</v>
      </c>
      <c r="N1222" s="4" t="s">
        <v>33</v>
      </c>
      <c r="O1222" s="4" t="s">
        <v>66</v>
      </c>
      <c r="P1222" s="4" t="s">
        <v>74</v>
      </c>
      <c r="Q1222" s="4">
        <v>5</v>
      </c>
      <c r="R1222" s="4">
        <v>24258</v>
      </c>
      <c r="S1222" s="5">
        <v>10</v>
      </c>
      <c r="T1222" s="6">
        <f t="shared" si="57"/>
        <v>109161</v>
      </c>
      <c r="U1222" s="4">
        <v>4818.59</v>
      </c>
      <c r="V1222" t="str">
        <f t="shared" si="58"/>
        <v>Apr</v>
      </c>
      <c r="W1222">
        <f t="shared" si="59"/>
        <v>4.4142047068092084E-2</v>
      </c>
    </row>
    <row r="1223" spans="1:23" x14ac:dyDescent="0.4">
      <c r="A1223" s="4" t="s">
        <v>3383</v>
      </c>
      <c r="B1223" s="4" t="s">
        <v>1869</v>
      </c>
      <c r="C1223" s="11">
        <v>44774</v>
      </c>
      <c r="D1223" s="4" t="s">
        <v>23</v>
      </c>
      <c r="E1223" s="4" t="s">
        <v>24</v>
      </c>
      <c r="F1223" s="4" t="s">
        <v>58</v>
      </c>
      <c r="G1223" s="4" t="s">
        <v>92</v>
      </c>
      <c r="H1223" s="4" t="s">
        <v>3384</v>
      </c>
      <c r="I1223" s="4" t="s">
        <v>28</v>
      </c>
      <c r="J1223" s="4" t="s">
        <v>79</v>
      </c>
      <c r="K1223" s="4" t="s">
        <v>101</v>
      </c>
      <c r="L1223" s="4" t="s">
        <v>900</v>
      </c>
      <c r="M1223" s="4" t="s">
        <v>32</v>
      </c>
      <c r="N1223" s="4" t="s">
        <v>54</v>
      </c>
      <c r="O1223" s="4" t="s">
        <v>46</v>
      </c>
      <c r="P1223" s="4" t="s">
        <v>47</v>
      </c>
      <c r="Q1223" s="4">
        <v>3</v>
      </c>
      <c r="R1223" s="4">
        <v>43112</v>
      </c>
      <c r="S1223" s="5">
        <v>0</v>
      </c>
      <c r="T1223" s="6">
        <f t="shared" si="57"/>
        <v>129336</v>
      </c>
      <c r="U1223" s="4">
        <v>19618.650000000001</v>
      </c>
      <c r="V1223" t="str">
        <f t="shared" si="58"/>
        <v>Jul</v>
      </c>
      <c r="W1223">
        <f t="shared" si="59"/>
        <v>0.15168746520690296</v>
      </c>
    </row>
    <row r="1224" spans="1:23" x14ac:dyDescent="0.4">
      <c r="A1224" s="4" t="s">
        <v>3385</v>
      </c>
      <c r="B1224" s="4" t="s">
        <v>1096</v>
      </c>
      <c r="C1224" s="11">
        <v>45126</v>
      </c>
      <c r="D1224" s="4" t="s">
        <v>124</v>
      </c>
      <c r="E1224" s="4" t="s">
        <v>24</v>
      </c>
      <c r="F1224" s="4" t="s">
        <v>26</v>
      </c>
      <c r="G1224" s="4" t="s">
        <v>92</v>
      </c>
      <c r="H1224" s="4" t="s">
        <v>3386</v>
      </c>
      <c r="I1224" s="4" t="s">
        <v>28</v>
      </c>
      <c r="J1224" s="4" t="s">
        <v>79</v>
      </c>
      <c r="K1224" s="4" t="s">
        <v>153</v>
      </c>
      <c r="L1224" s="4" t="s">
        <v>64</v>
      </c>
      <c r="M1224" s="4" t="s">
        <v>73</v>
      </c>
      <c r="N1224" s="4" t="s">
        <v>33</v>
      </c>
      <c r="O1224" s="4" t="s">
        <v>46</v>
      </c>
      <c r="P1224" s="4" t="s">
        <v>74</v>
      </c>
      <c r="Q1224" s="4">
        <v>3</v>
      </c>
      <c r="R1224" s="4">
        <v>35515</v>
      </c>
      <c r="S1224" s="5">
        <v>20</v>
      </c>
      <c r="T1224" s="6">
        <f t="shared" si="57"/>
        <v>85236</v>
      </c>
      <c r="U1224" s="4">
        <v>-14789.92</v>
      </c>
      <c r="V1224" t="str">
        <f t="shared" si="58"/>
        <v>Jul</v>
      </c>
      <c r="W1224">
        <f t="shared" si="59"/>
        <v>-0.17351729316251349</v>
      </c>
    </row>
    <row r="1225" spans="1:23" x14ac:dyDescent="0.4">
      <c r="A1225" s="4" t="s">
        <v>3387</v>
      </c>
      <c r="B1225" s="4" t="s">
        <v>3036</v>
      </c>
      <c r="C1225" s="11">
        <v>45177</v>
      </c>
      <c r="D1225" s="4" t="s">
        <v>39</v>
      </c>
      <c r="E1225" s="4" t="s">
        <v>24</v>
      </c>
      <c r="F1225" s="4" t="s">
        <v>25</v>
      </c>
      <c r="G1225" s="4" t="s">
        <v>59</v>
      </c>
      <c r="H1225" s="4" t="s">
        <v>3388</v>
      </c>
      <c r="I1225" s="4" t="s">
        <v>43</v>
      </c>
      <c r="J1225" s="4" t="s">
        <v>79</v>
      </c>
      <c r="K1225" s="4" t="s">
        <v>101</v>
      </c>
      <c r="L1225" s="4" t="s">
        <v>45</v>
      </c>
      <c r="M1225" s="4" t="s">
        <v>53</v>
      </c>
      <c r="N1225" s="4" t="s">
        <v>54</v>
      </c>
      <c r="O1225" s="4" t="s">
        <v>82</v>
      </c>
      <c r="P1225" s="4" t="s">
        <v>47</v>
      </c>
      <c r="Q1225" s="4">
        <v>7</v>
      </c>
      <c r="R1225" s="4">
        <v>8719</v>
      </c>
      <c r="S1225" s="5">
        <v>20</v>
      </c>
      <c r="T1225" s="6">
        <f t="shared" si="57"/>
        <v>48826.400000000001</v>
      </c>
      <c r="U1225" s="4">
        <v>604.54999999999995</v>
      </c>
      <c r="V1225" t="str">
        <f t="shared" si="58"/>
        <v>Sep</v>
      </c>
      <c r="W1225">
        <f t="shared" si="59"/>
        <v>1.2381621417921452E-2</v>
      </c>
    </row>
    <row r="1226" spans="1:23" x14ac:dyDescent="0.4">
      <c r="A1226" s="4" t="s">
        <v>3389</v>
      </c>
      <c r="B1226" s="4" t="s">
        <v>104</v>
      </c>
      <c r="C1226" s="11">
        <v>45440</v>
      </c>
      <c r="D1226" s="4" t="s">
        <v>124</v>
      </c>
      <c r="E1226" s="4" t="s">
        <v>24</v>
      </c>
      <c r="F1226" s="4" t="s">
        <v>58</v>
      </c>
      <c r="G1226" s="4" t="s">
        <v>92</v>
      </c>
      <c r="H1226" s="4" t="s">
        <v>3390</v>
      </c>
      <c r="I1226" s="4" t="s">
        <v>43</v>
      </c>
      <c r="J1226" s="4" t="s">
        <v>79</v>
      </c>
      <c r="K1226" s="4" t="s">
        <v>63</v>
      </c>
      <c r="L1226" s="4" t="s">
        <v>544</v>
      </c>
      <c r="M1226" s="4" t="s">
        <v>95</v>
      </c>
      <c r="N1226" s="4" t="s">
        <v>54</v>
      </c>
      <c r="O1226" s="4" t="s">
        <v>46</v>
      </c>
      <c r="P1226" s="4" t="s">
        <v>88</v>
      </c>
      <c r="Q1226" s="4">
        <v>10</v>
      </c>
      <c r="R1226" s="4">
        <v>6350</v>
      </c>
      <c r="S1226" s="5">
        <v>10</v>
      </c>
      <c r="T1226" s="6">
        <f t="shared" si="57"/>
        <v>57150</v>
      </c>
      <c r="U1226" s="4">
        <v>824.62</v>
      </c>
      <c r="V1226" t="str">
        <f t="shared" si="58"/>
        <v>May</v>
      </c>
      <c r="W1226">
        <f t="shared" si="59"/>
        <v>1.4429046369203849E-2</v>
      </c>
    </row>
    <row r="1227" spans="1:23" x14ac:dyDescent="0.4">
      <c r="A1227" s="4" t="s">
        <v>3391</v>
      </c>
      <c r="B1227" s="4" t="s">
        <v>781</v>
      </c>
      <c r="C1227" s="11">
        <v>45108</v>
      </c>
      <c r="D1227" s="4" t="s">
        <v>23</v>
      </c>
      <c r="E1227" s="4" t="s">
        <v>24</v>
      </c>
      <c r="F1227" s="4" t="s">
        <v>26</v>
      </c>
      <c r="G1227" s="4" t="s">
        <v>41</v>
      </c>
      <c r="H1227" s="4" t="s">
        <v>3392</v>
      </c>
      <c r="I1227" s="4" t="s">
        <v>28</v>
      </c>
      <c r="J1227" s="4" t="s">
        <v>79</v>
      </c>
      <c r="K1227" s="4" t="s">
        <v>44</v>
      </c>
      <c r="L1227" s="4" t="s">
        <v>885</v>
      </c>
      <c r="M1227" s="4" t="s">
        <v>73</v>
      </c>
      <c r="N1227" s="4" t="s">
        <v>54</v>
      </c>
      <c r="O1227" s="4" t="s">
        <v>66</v>
      </c>
      <c r="P1227" s="4" t="s">
        <v>35</v>
      </c>
      <c r="Q1227" s="4">
        <v>10</v>
      </c>
      <c r="R1227" s="4">
        <v>9357</v>
      </c>
      <c r="S1227" s="5">
        <v>10</v>
      </c>
      <c r="T1227" s="6">
        <f t="shared" si="57"/>
        <v>84213</v>
      </c>
      <c r="U1227" s="4">
        <v>-4344.68</v>
      </c>
      <c r="V1227" t="str">
        <f t="shared" si="58"/>
        <v>Jun</v>
      </c>
      <c r="W1227">
        <f t="shared" si="59"/>
        <v>-5.1591559497939754E-2</v>
      </c>
    </row>
    <row r="1228" spans="1:23" x14ac:dyDescent="0.4">
      <c r="A1228" s="4" t="s">
        <v>3393</v>
      </c>
      <c r="B1228" s="4" t="s">
        <v>978</v>
      </c>
      <c r="C1228" s="11">
        <v>45276</v>
      </c>
      <c r="D1228" s="4" t="s">
        <v>39</v>
      </c>
      <c r="E1228" s="4" t="s">
        <v>24</v>
      </c>
      <c r="F1228" s="4" t="s">
        <v>40</v>
      </c>
      <c r="G1228" s="4" t="s">
        <v>26</v>
      </c>
      <c r="H1228" s="4" t="s">
        <v>3394</v>
      </c>
      <c r="I1228" s="4" t="s">
        <v>28</v>
      </c>
      <c r="J1228" s="4" t="s">
        <v>79</v>
      </c>
      <c r="K1228" s="4" t="s">
        <v>30</v>
      </c>
      <c r="L1228" s="4" t="s">
        <v>1486</v>
      </c>
      <c r="M1228" s="4" t="s">
        <v>65</v>
      </c>
      <c r="N1228" s="4" t="s">
        <v>33</v>
      </c>
      <c r="O1228" s="4" t="s">
        <v>66</v>
      </c>
      <c r="P1228" s="4" t="s">
        <v>74</v>
      </c>
      <c r="Q1228" s="4">
        <v>7</v>
      </c>
      <c r="R1228" s="4">
        <v>38698</v>
      </c>
      <c r="S1228" s="5">
        <v>0</v>
      </c>
      <c r="T1228" s="6">
        <f t="shared" si="57"/>
        <v>270886</v>
      </c>
      <c r="U1228" s="4">
        <v>51968.94</v>
      </c>
      <c r="V1228" t="str">
        <f t="shared" si="58"/>
        <v>Dec</v>
      </c>
      <c r="W1228">
        <f t="shared" si="59"/>
        <v>0.191848009863928</v>
      </c>
    </row>
    <row r="1229" spans="1:23" x14ac:dyDescent="0.4">
      <c r="A1229" s="4" t="s">
        <v>3395</v>
      </c>
      <c r="B1229" s="4" t="s">
        <v>336</v>
      </c>
      <c r="C1229" s="11">
        <v>45410</v>
      </c>
      <c r="D1229" s="4" t="s">
        <v>124</v>
      </c>
      <c r="E1229" s="4" t="s">
        <v>24</v>
      </c>
      <c r="F1229" s="4" t="s">
        <v>40</v>
      </c>
      <c r="G1229" s="4" t="s">
        <v>92</v>
      </c>
      <c r="H1229" s="4" t="s">
        <v>3396</v>
      </c>
      <c r="I1229" s="4" t="s">
        <v>61</v>
      </c>
      <c r="J1229" s="4" t="s">
        <v>79</v>
      </c>
      <c r="K1229" s="4" t="s">
        <v>86</v>
      </c>
      <c r="L1229" s="4" t="s">
        <v>605</v>
      </c>
      <c r="M1229" s="4" t="s">
        <v>73</v>
      </c>
      <c r="N1229" s="4" t="s">
        <v>33</v>
      </c>
      <c r="O1229" s="4" t="s">
        <v>82</v>
      </c>
      <c r="P1229" s="4" t="s">
        <v>35</v>
      </c>
      <c r="Q1229" s="4">
        <v>8</v>
      </c>
      <c r="R1229" s="4">
        <v>5086</v>
      </c>
      <c r="S1229" s="5">
        <v>20</v>
      </c>
      <c r="T1229" s="6">
        <f t="shared" si="57"/>
        <v>32550.400000000001</v>
      </c>
      <c r="U1229" s="4">
        <v>-251.14</v>
      </c>
      <c r="V1229" t="str">
        <f t="shared" si="58"/>
        <v>Apr</v>
      </c>
      <c r="W1229">
        <f t="shared" si="59"/>
        <v>-7.7154197797876514E-3</v>
      </c>
    </row>
    <row r="1230" spans="1:23" x14ac:dyDescent="0.4">
      <c r="A1230" s="4" t="s">
        <v>3397</v>
      </c>
      <c r="B1230" s="4" t="s">
        <v>697</v>
      </c>
      <c r="C1230" s="11">
        <v>45382</v>
      </c>
      <c r="D1230" s="4" t="s">
        <v>39</v>
      </c>
      <c r="E1230" s="4" t="s">
        <v>24</v>
      </c>
      <c r="F1230" s="4" t="s">
        <v>26</v>
      </c>
      <c r="G1230" s="4" t="s">
        <v>59</v>
      </c>
      <c r="H1230" s="4" t="s">
        <v>3398</v>
      </c>
      <c r="I1230" s="4" t="s">
        <v>28</v>
      </c>
      <c r="J1230" s="4" t="s">
        <v>79</v>
      </c>
      <c r="K1230" s="4" t="s">
        <v>101</v>
      </c>
      <c r="L1230" s="4" t="s">
        <v>1226</v>
      </c>
      <c r="M1230" s="4" t="s">
        <v>65</v>
      </c>
      <c r="N1230" s="4" t="s">
        <v>33</v>
      </c>
      <c r="O1230" s="4" t="s">
        <v>82</v>
      </c>
      <c r="P1230" s="4" t="s">
        <v>88</v>
      </c>
      <c r="Q1230" s="4">
        <v>2</v>
      </c>
      <c r="R1230" s="4">
        <v>905</v>
      </c>
      <c r="S1230" s="5">
        <v>20</v>
      </c>
      <c r="T1230" s="6">
        <f t="shared" si="57"/>
        <v>1448</v>
      </c>
      <c r="U1230" s="4">
        <v>134.94999999999999</v>
      </c>
      <c r="V1230" t="str">
        <f t="shared" si="58"/>
        <v>Mar</v>
      </c>
      <c r="W1230">
        <f t="shared" si="59"/>
        <v>9.3197513812154686E-2</v>
      </c>
    </row>
    <row r="1231" spans="1:23" x14ac:dyDescent="0.4">
      <c r="A1231" s="4" t="s">
        <v>3399</v>
      </c>
      <c r="B1231" s="4" t="s">
        <v>3400</v>
      </c>
      <c r="C1231" s="11">
        <v>45057</v>
      </c>
      <c r="D1231" s="4" t="s">
        <v>39</v>
      </c>
      <c r="E1231" s="4" t="s">
        <v>24</v>
      </c>
      <c r="F1231" s="4" t="s">
        <v>40</v>
      </c>
      <c r="G1231" s="4" t="s">
        <v>92</v>
      </c>
      <c r="H1231" s="4" t="s">
        <v>3401</v>
      </c>
      <c r="I1231" s="4" t="s">
        <v>28</v>
      </c>
      <c r="J1231" s="4" t="s">
        <v>29</v>
      </c>
      <c r="K1231" s="4" t="s">
        <v>30</v>
      </c>
      <c r="L1231" s="4" t="s">
        <v>218</v>
      </c>
      <c r="M1231" s="4" t="s">
        <v>53</v>
      </c>
      <c r="N1231" s="4" t="s">
        <v>54</v>
      </c>
      <c r="O1231" s="4" t="s">
        <v>46</v>
      </c>
      <c r="P1231" s="4" t="s">
        <v>47</v>
      </c>
      <c r="Q1231" s="4">
        <v>10</v>
      </c>
      <c r="R1231" s="4">
        <v>32895</v>
      </c>
      <c r="S1231" s="5">
        <v>10</v>
      </c>
      <c r="T1231" s="6">
        <f t="shared" si="57"/>
        <v>296055</v>
      </c>
      <c r="U1231" s="4">
        <v>-4315.1099999999997</v>
      </c>
      <c r="V1231" t="str">
        <f t="shared" si="58"/>
        <v>May</v>
      </c>
      <c r="W1231">
        <f t="shared" si="59"/>
        <v>-1.4575366063738156E-2</v>
      </c>
    </row>
    <row r="1232" spans="1:23" x14ac:dyDescent="0.4">
      <c r="A1232" s="4" t="s">
        <v>3402</v>
      </c>
      <c r="B1232" s="4" t="s">
        <v>3403</v>
      </c>
      <c r="C1232" s="11">
        <v>44975</v>
      </c>
      <c r="D1232" s="4" t="s">
        <v>23</v>
      </c>
      <c r="E1232" s="4" t="s">
        <v>24</v>
      </c>
      <c r="F1232" s="4" t="s">
        <v>26</v>
      </c>
      <c r="G1232" s="4" t="s">
        <v>92</v>
      </c>
      <c r="H1232" s="4" t="s">
        <v>2331</v>
      </c>
      <c r="I1232" s="4" t="s">
        <v>43</v>
      </c>
      <c r="J1232" s="4" t="s">
        <v>29</v>
      </c>
      <c r="K1232" s="4" t="s">
        <v>86</v>
      </c>
      <c r="L1232" s="4" t="s">
        <v>213</v>
      </c>
      <c r="M1232" s="4" t="s">
        <v>73</v>
      </c>
      <c r="N1232" s="4" t="s">
        <v>33</v>
      </c>
      <c r="O1232" s="4" t="s">
        <v>82</v>
      </c>
      <c r="P1232" s="4" t="s">
        <v>88</v>
      </c>
      <c r="Q1232" s="4">
        <v>6</v>
      </c>
      <c r="R1232" s="4">
        <v>21962</v>
      </c>
      <c r="S1232" s="5">
        <v>5</v>
      </c>
      <c r="T1232" s="6">
        <f t="shared" si="57"/>
        <v>125183.4</v>
      </c>
      <c r="U1232" s="4">
        <v>14893.7</v>
      </c>
      <c r="V1232" t="str">
        <f t="shared" si="58"/>
        <v>Feb</v>
      </c>
      <c r="W1232">
        <f t="shared" si="59"/>
        <v>0.1189750398215738</v>
      </c>
    </row>
    <row r="1233" spans="1:23" x14ac:dyDescent="0.4">
      <c r="A1233" s="4" t="s">
        <v>3404</v>
      </c>
      <c r="B1233" s="4" t="s">
        <v>1847</v>
      </c>
      <c r="C1233" s="11">
        <v>44629</v>
      </c>
      <c r="D1233" s="4" t="s">
        <v>124</v>
      </c>
      <c r="E1233" s="4" t="s">
        <v>24</v>
      </c>
      <c r="F1233" s="4" t="s">
        <v>40</v>
      </c>
      <c r="G1233" s="4" t="s">
        <v>99</v>
      </c>
      <c r="H1233" s="4" t="s">
        <v>3405</v>
      </c>
      <c r="I1233" s="4" t="s">
        <v>61</v>
      </c>
      <c r="J1233" s="4" t="s">
        <v>29</v>
      </c>
      <c r="K1233" s="4" t="s">
        <v>86</v>
      </c>
      <c r="L1233" s="4" t="s">
        <v>939</v>
      </c>
      <c r="M1233" s="4" t="s">
        <v>73</v>
      </c>
      <c r="N1233" s="4" t="s">
        <v>33</v>
      </c>
      <c r="O1233" s="4" t="s">
        <v>66</v>
      </c>
      <c r="P1233" s="4" t="s">
        <v>88</v>
      </c>
      <c r="Q1233" s="4">
        <v>9</v>
      </c>
      <c r="R1233" s="4">
        <v>49552</v>
      </c>
      <c r="S1233" s="5">
        <v>15</v>
      </c>
      <c r="T1233" s="6">
        <f t="shared" si="57"/>
        <v>379072.8</v>
      </c>
      <c r="U1233" s="4">
        <v>12188.14</v>
      </c>
      <c r="V1233" t="str">
        <f t="shared" si="58"/>
        <v>Mar</v>
      </c>
      <c r="W1233">
        <f t="shared" si="59"/>
        <v>3.215250474315224E-2</v>
      </c>
    </row>
    <row r="1234" spans="1:23" x14ac:dyDescent="0.4">
      <c r="A1234" s="4" t="s">
        <v>3406</v>
      </c>
      <c r="B1234" s="4" t="s">
        <v>1435</v>
      </c>
      <c r="C1234" s="11">
        <v>45488</v>
      </c>
      <c r="D1234" s="4" t="s">
        <v>98</v>
      </c>
      <c r="E1234" s="4" t="s">
        <v>24</v>
      </c>
      <c r="F1234" s="4" t="s">
        <v>70</v>
      </c>
      <c r="G1234" s="4" t="s">
        <v>99</v>
      </c>
      <c r="H1234" s="4" t="s">
        <v>3407</v>
      </c>
      <c r="I1234" s="4" t="s">
        <v>61</v>
      </c>
      <c r="J1234" s="4" t="s">
        <v>62</v>
      </c>
      <c r="K1234" s="4" t="s">
        <v>86</v>
      </c>
      <c r="L1234" s="4" t="s">
        <v>881</v>
      </c>
      <c r="M1234" s="4" t="s">
        <v>32</v>
      </c>
      <c r="N1234" s="4" t="s">
        <v>33</v>
      </c>
      <c r="O1234" s="4" t="s">
        <v>46</v>
      </c>
      <c r="P1234" s="4" t="s">
        <v>35</v>
      </c>
      <c r="Q1234" s="4">
        <v>2</v>
      </c>
      <c r="R1234" s="4">
        <v>22349</v>
      </c>
      <c r="S1234" s="5">
        <v>5</v>
      </c>
      <c r="T1234" s="6">
        <f t="shared" si="57"/>
        <v>42463.1</v>
      </c>
      <c r="U1234" s="4">
        <v>9789.4</v>
      </c>
      <c r="V1234" t="str">
        <f t="shared" si="58"/>
        <v>Jul</v>
      </c>
      <c r="W1234">
        <f t="shared" si="59"/>
        <v>0.2305389856133914</v>
      </c>
    </row>
    <row r="1235" spans="1:23" x14ac:dyDescent="0.4">
      <c r="A1235" s="4" t="s">
        <v>3408</v>
      </c>
      <c r="B1235" s="4" t="s">
        <v>1889</v>
      </c>
      <c r="C1235" s="11">
        <v>45301</v>
      </c>
      <c r="D1235" s="4" t="s">
        <v>124</v>
      </c>
      <c r="E1235" s="4" t="s">
        <v>24</v>
      </c>
      <c r="F1235" s="4" t="s">
        <v>58</v>
      </c>
      <c r="G1235" s="4" t="s">
        <v>99</v>
      </c>
      <c r="H1235" s="4" t="s">
        <v>1327</v>
      </c>
      <c r="I1235" s="4" t="s">
        <v>43</v>
      </c>
      <c r="J1235" s="4" t="s">
        <v>79</v>
      </c>
      <c r="K1235" s="4" t="s">
        <v>153</v>
      </c>
      <c r="L1235" s="4" t="s">
        <v>481</v>
      </c>
      <c r="M1235" s="4" t="s">
        <v>32</v>
      </c>
      <c r="N1235" s="4" t="s">
        <v>33</v>
      </c>
      <c r="O1235" s="4" t="s">
        <v>46</v>
      </c>
      <c r="P1235" s="4" t="s">
        <v>35</v>
      </c>
      <c r="Q1235" s="4">
        <v>2</v>
      </c>
      <c r="R1235" s="4">
        <v>12674</v>
      </c>
      <c r="S1235" s="5">
        <v>15</v>
      </c>
      <c r="T1235" s="6">
        <f t="shared" si="57"/>
        <v>21545.8</v>
      </c>
      <c r="U1235" s="4">
        <v>1449.39</v>
      </c>
      <c r="V1235" t="str">
        <f t="shared" si="58"/>
        <v>Jan</v>
      </c>
      <c r="W1235">
        <f t="shared" si="59"/>
        <v>6.7270187229065526E-2</v>
      </c>
    </row>
    <row r="1236" spans="1:23" x14ac:dyDescent="0.4">
      <c r="A1236" s="4" t="s">
        <v>3409</v>
      </c>
      <c r="B1236" s="4" t="s">
        <v>2059</v>
      </c>
      <c r="C1236" s="11">
        <v>45270</v>
      </c>
      <c r="D1236" s="4" t="s">
        <v>39</v>
      </c>
      <c r="E1236" s="4" t="s">
        <v>24</v>
      </c>
      <c r="F1236" s="4" t="s">
        <v>40</v>
      </c>
      <c r="G1236" s="4" t="s">
        <v>26</v>
      </c>
      <c r="H1236" s="4" t="s">
        <v>3410</v>
      </c>
      <c r="I1236" s="4" t="s">
        <v>28</v>
      </c>
      <c r="J1236" s="4" t="s">
        <v>79</v>
      </c>
      <c r="K1236" s="4" t="s">
        <v>44</v>
      </c>
      <c r="L1236" s="4" t="s">
        <v>208</v>
      </c>
      <c r="M1236" s="4" t="s">
        <v>65</v>
      </c>
      <c r="N1236" s="4" t="s">
        <v>54</v>
      </c>
      <c r="O1236" s="4" t="s">
        <v>82</v>
      </c>
      <c r="P1236" s="4" t="s">
        <v>35</v>
      </c>
      <c r="Q1236" s="4">
        <v>1</v>
      </c>
      <c r="R1236" s="4">
        <v>1185</v>
      </c>
      <c r="S1236" s="5">
        <v>15</v>
      </c>
      <c r="T1236" s="6">
        <f t="shared" si="57"/>
        <v>1007.25</v>
      </c>
      <c r="U1236" s="4">
        <v>-24.97</v>
      </c>
      <c r="V1236" t="str">
        <f t="shared" si="58"/>
        <v>Dec</v>
      </c>
      <c r="W1236">
        <f t="shared" si="59"/>
        <v>-2.4790270538595185E-2</v>
      </c>
    </row>
    <row r="1237" spans="1:23" x14ac:dyDescent="0.4">
      <c r="A1237" s="4" t="s">
        <v>3411</v>
      </c>
      <c r="B1237" s="4" t="s">
        <v>2059</v>
      </c>
      <c r="C1237" s="11">
        <v>45279</v>
      </c>
      <c r="D1237" s="4" t="s">
        <v>39</v>
      </c>
      <c r="E1237" s="4" t="s">
        <v>24</v>
      </c>
      <c r="F1237" s="4" t="s">
        <v>70</v>
      </c>
      <c r="G1237" s="4" t="s">
        <v>41</v>
      </c>
      <c r="H1237" s="4" t="s">
        <v>3413</v>
      </c>
      <c r="I1237" s="4" t="s">
        <v>61</v>
      </c>
      <c r="J1237" s="4" t="s">
        <v>79</v>
      </c>
      <c r="K1237" s="4" t="s">
        <v>101</v>
      </c>
      <c r="L1237" s="4" t="s">
        <v>1311</v>
      </c>
      <c r="M1237" s="4" t="s">
        <v>81</v>
      </c>
      <c r="N1237" s="4" t="s">
        <v>33</v>
      </c>
      <c r="O1237" s="4" t="s">
        <v>46</v>
      </c>
      <c r="P1237" s="4" t="s">
        <v>35</v>
      </c>
      <c r="Q1237" s="4">
        <v>3</v>
      </c>
      <c r="R1237" s="4">
        <v>10079</v>
      </c>
      <c r="S1237" s="5">
        <v>0</v>
      </c>
      <c r="T1237" s="6">
        <f t="shared" si="57"/>
        <v>30237</v>
      </c>
      <c r="U1237" s="4">
        <v>6339.01</v>
      </c>
      <c r="V1237" t="str">
        <f t="shared" si="58"/>
        <v>Dec</v>
      </c>
      <c r="W1237">
        <f t="shared" si="59"/>
        <v>0.20964414459106392</v>
      </c>
    </row>
    <row r="1238" spans="1:23" x14ac:dyDescent="0.4">
      <c r="A1238" s="4" t="s">
        <v>3414</v>
      </c>
      <c r="B1238" s="4" t="s">
        <v>484</v>
      </c>
      <c r="C1238" s="11">
        <v>44592</v>
      </c>
      <c r="D1238" s="4" t="s">
        <v>124</v>
      </c>
      <c r="E1238" s="4" t="s">
        <v>24</v>
      </c>
      <c r="F1238" s="4" t="s">
        <v>26</v>
      </c>
      <c r="G1238" s="4" t="s">
        <v>92</v>
      </c>
      <c r="H1238" s="4" t="s">
        <v>3415</v>
      </c>
      <c r="I1238" s="4" t="s">
        <v>43</v>
      </c>
      <c r="J1238" s="4" t="s">
        <v>29</v>
      </c>
      <c r="K1238" s="4" t="s">
        <v>44</v>
      </c>
      <c r="L1238" s="4" t="s">
        <v>2139</v>
      </c>
      <c r="M1238" s="4" t="s">
        <v>32</v>
      </c>
      <c r="N1238" s="4" t="s">
        <v>33</v>
      </c>
      <c r="O1238" s="4" t="s">
        <v>34</v>
      </c>
      <c r="P1238" s="4" t="s">
        <v>47</v>
      </c>
      <c r="Q1238" s="4">
        <v>6</v>
      </c>
      <c r="R1238" s="4">
        <v>20718</v>
      </c>
      <c r="S1238" s="5">
        <v>5</v>
      </c>
      <c r="T1238" s="6">
        <f t="shared" si="57"/>
        <v>118092.6</v>
      </c>
      <c r="U1238" s="4">
        <v>10342.74</v>
      </c>
      <c r="V1238" t="str">
        <f t="shared" si="58"/>
        <v>Jan</v>
      </c>
      <c r="W1238">
        <f t="shared" si="59"/>
        <v>8.7581609685958295E-2</v>
      </c>
    </row>
    <row r="1239" spans="1:23" x14ac:dyDescent="0.4">
      <c r="A1239" s="4" t="s">
        <v>3416</v>
      </c>
      <c r="B1239" s="4" t="s">
        <v>1735</v>
      </c>
      <c r="C1239" s="11">
        <v>45133</v>
      </c>
      <c r="D1239" s="4" t="s">
        <v>39</v>
      </c>
      <c r="E1239" s="4" t="s">
        <v>24</v>
      </c>
      <c r="F1239" s="4" t="s">
        <v>70</v>
      </c>
      <c r="G1239" s="4" t="s">
        <v>99</v>
      </c>
      <c r="H1239" s="4" t="s">
        <v>3417</v>
      </c>
      <c r="I1239" s="4" t="s">
        <v>43</v>
      </c>
      <c r="J1239" s="4" t="s">
        <v>29</v>
      </c>
      <c r="K1239" s="4" t="s">
        <v>86</v>
      </c>
      <c r="L1239" s="4" t="s">
        <v>1709</v>
      </c>
      <c r="M1239" s="4" t="s">
        <v>32</v>
      </c>
      <c r="N1239" s="4" t="s">
        <v>33</v>
      </c>
      <c r="O1239" s="4" t="s">
        <v>66</v>
      </c>
      <c r="P1239" s="4" t="s">
        <v>47</v>
      </c>
      <c r="Q1239" s="4">
        <v>10</v>
      </c>
      <c r="R1239" s="4">
        <v>3729</v>
      </c>
      <c r="S1239" s="5">
        <v>15</v>
      </c>
      <c r="T1239" s="6">
        <f t="shared" si="57"/>
        <v>31696.5</v>
      </c>
      <c r="U1239" s="4">
        <v>1969.24</v>
      </c>
      <c r="V1239" t="str">
        <f t="shared" si="58"/>
        <v>Jul</v>
      </c>
      <c r="W1239">
        <f t="shared" si="59"/>
        <v>6.2127995204517852E-2</v>
      </c>
    </row>
    <row r="1240" spans="1:23" x14ac:dyDescent="0.4">
      <c r="A1240" s="4" t="s">
        <v>3418</v>
      </c>
      <c r="B1240" s="4" t="s">
        <v>2669</v>
      </c>
      <c r="C1240" s="11">
        <v>45321</v>
      </c>
      <c r="D1240" s="4" t="s">
        <v>39</v>
      </c>
      <c r="E1240" s="4" t="s">
        <v>24</v>
      </c>
      <c r="F1240" s="4" t="s">
        <v>25</v>
      </c>
      <c r="G1240" s="4" t="s">
        <v>41</v>
      </c>
      <c r="H1240" s="4" t="s">
        <v>3419</v>
      </c>
      <c r="I1240" s="4" t="s">
        <v>28</v>
      </c>
      <c r="J1240" s="4" t="s">
        <v>62</v>
      </c>
      <c r="K1240" s="4" t="s">
        <v>86</v>
      </c>
      <c r="L1240" s="4" t="s">
        <v>552</v>
      </c>
      <c r="M1240" s="4" t="s">
        <v>73</v>
      </c>
      <c r="N1240" s="4" t="s">
        <v>33</v>
      </c>
      <c r="O1240" s="4" t="s">
        <v>46</v>
      </c>
      <c r="P1240" s="4" t="s">
        <v>47</v>
      </c>
      <c r="Q1240" s="4">
        <v>3</v>
      </c>
      <c r="R1240" s="4">
        <v>36174</v>
      </c>
      <c r="S1240" s="5">
        <v>0</v>
      </c>
      <c r="T1240" s="6">
        <f t="shared" si="57"/>
        <v>108522</v>
      </c>
      <c r="U1240" s="4">
        <v>8453.23</v>
      </c>
      <c r="V1240" t="str">
        <f t="shared" si="58"/>
        <v>Jan</v>
      </c>
      <c r="W1240">
        <f t="shared" si="59"/>
        <v>7.7894159709551977E-2</v>
      </c>
    </row>
    <row r="1241" spans="1:23" x14ac:dyDescent="0.4">
      <c r="A1241" s="4" t="s">
        <v>3420</v>
      </c>
      <c r="B1241" s="4" t="s">
        <v>594</v>
      </c>
      <c r="C1241" s="11">
        <v>45290</v>
      </c>
      <c r="D1241" s="4" t="s">
        <v>98</v>
      </c>
      <c r="E1241" s="4" t="s">
        <v>24</v>
      </c>
      <c r="F1241" s="4" t="s">
        <v>25</v>
      </c>
      <c r="G1241" s="4" t="s">
        <v>59</v>
      </c>
      <c r="H1241" s="4" t="s">
        <v>3421</v>
      </c>
      <c r="I1241" s="4" t="s">
        <v>43</v>
      </c>
      <c r="J1241" s="4" t="s">
        <v>29</v>
      </c>
      <c r="K1241" s="4" t="s">
        <v>44</v>
      </c>
      <c r="L1241" s="4" t="s">
        <v>114</v>
      </c>
      <c r="M1241" s="4" t="s">
        <v>73</v>
      </c>
      <c r="N1241" s="4" t="s">
        <v>54</v>
      </c>
      <c r="O1241" s="4" t="s">
        <v>82</v>
      </c>
      <c r="P1241" s="4" t="s">
        <v>35</v>
      </c>
      <c r="Q1241" s="4">
        <v>2</v>
      </c>
      <c r="R1241" s="4">
        <v>47835</v>
      </c>
      <c r="S1241" s="5">
        <v>10</v>
      </c>
      <c r="T1241" s="6">
        <f t="shared" si="57"/>
        <v>86103</v>
      </c>
      <c r="U1241" s="4">
        <v>13700.86</v>
      </c>
      <c r="V1241" t="str">
        <f t="shared" si="58"/>
        <v>Dec</v>
      </c>
      <c r="W1241">
        <f t="shared" si="59"/>
        <v>0.15912174953253663</v>
      </c>
    </row>
    <row r="1242" spans="1:23" x14ac:dyDescent="0.4">
      <c r="A1242" s="4" t="s">
        <v>3422</v>
      </c>
      <c r="B1242" s="4" t="s">
        <v>969</v>
      </c>
      <c r="C1242" s="11">
        <v>45077</v>
      </c>
      <c r="D1242" s="4" t="s">
        <v>124</v>
      </c>
      <c r="E1242" s="4" t="s">
        <v>24</v>
      </c>
      <c r="F1242" s="4" t="s">
        <v>58</v>
      </c>
      <c r="G1242" s="4" t="s">
        <v>41</v>
      </c>
      <c r="H1242" s="4" t="s">
        <v>3423</v>
      </c>
      <c r="I1242" s="4" t="s">
        <v>28</v>
      </c>
      <c r="J1242" s="4" t="s">
        <v>29</v>
      </c>
      <c r="K1242" s="4" t="s">
        <v>86</v>
      </c>
      <c r="L1242" s="4" t="s">
        <v>871</v>
      </c>
      <c r="M1242" s="4" t="s">
        <v>73</v>
      </c>
      <c r="N1242" s="4" t="s">
        <v>33</v>
      </c>
      <c r="O1242" s="4" t="s">
        <v>66</v>
      </c>
      <c r="P1242" s="4" t="s">
        <v>35</v>
      </c>
      <c r="Q1242" s="4">
        <v>9</v>
      </c>
      <c r="R1242" s="4">
        <v>42213</v>
      </c>
      <c r="S1242" s="5">
        <v>20</v>
      </c>
      <c r="T1242" s="6">
        <f t="shared" si="57"/>
        <v>303933.59999999998</v>
      </c>
      <c r="U1242" s="4">
        <v>5663.97</v>
      </c>
      <c r="V1242" t="str">
        <f t="shared" si="58"/>
        <v>May</v>
      </c>
      <c r="W1242">
        <f t="shared" si="59"/>
        <v>1.8635550659749367E-2</v>
      </c>
    </row>
    <row r="1243" spans="1:23" x14ac:dyDescent="0.4">
      <c r="A1243" s="4" t="s">
        <v>3424</v>
      </c>
      <c r="B1243" s="4" t="s">
        <v>3036</v>
      </c>
      <c r="C1243" s="11">
        <v>45178</v>
      </c>
      <c r="D1243" s="4" t="s">
        <v>124</v>
      </c>
      <c r="E1243" s="4" t="s">
        <v>24</v>
      </c>
      <c r="F1243" s="4" t="s">
        <v>58</v>
      </c>
      <c r="G1243" s="4" t="s">
        <v>59</v>
      </c>
      <c r="H1243" s="4" t="s">
        <v>3425</v>
      </c>
      <c r="I1243" s="4" t="s">
        <v>28</v>
      </c>
      <c r="J1243" s="4" t="s">
        <v>29</v>
      </c>
      <c r="K1243" s="4" t="s">
        <v>86</v>
      </c>
      <c r="L1243" s="4" t="s">
        <v>64</v>
      </c>
      <c r="M1243" s="4" t="s">
        <v>81</v>
      </c>
      <c r="N1243" s="4" t="s">
        <v>33</v>
      </c>
      <c r="O1243" s="4" t="s">
        <v>46</v>
      </c>
      <c r="P1243" s="4" t="s">
        <v>35</v>
      </c>
      <c r="Q1243" s="4">
        <v>2</v>
      </c>
      <c r="R1243" s="4">
        <v>32145</v>
      </c>
      <c r="S1243" s="5">
        <v>15</v>
      </c>
      <c r="T1243" s="6">
        <f t="shared" si="57"/>
        <v>54646.5</v>
      </c>
      <c r="U1243" s="4">
        <v>-6161.98</v>
      </c>
      <c r="V1243" t="str">
        <f t="shared" si="58"/>
        <v>Sep</v>
      </c>
      <c r="W1243">
        <f t="shared" si="59"/>
        <v>-0.1127607440549715</v>
      </c>
    </row>
    <row r="1244" spans="1:23" x14ac:dyDescent="0.4">
      <c r="A1244" s="4" t="s">
        <v>3426</v>
      </c>
      <c r="B1244" s="4" t="s">
        <v>68</v>
      </c>
      <c r="C1244" s="11">
        <v>44643</v>
      </c>
      <c r="D1244" s="4" t="s">
        <v>39</v>
      </c>
      <c r="E1244" s="4" t="s">
        <v>24</v>
      </c>
      <c r="F1244" s="4" t="s">
        <v>40</v>
      </c>
      <c r="G1244" s="4" t="s">
        <v>59</v>
      </c>
      <c r="H1244" s="4" t="s">
        <v>3427</v>
      </c>
      <c r="I1244" s="4" t="s">
        <v>28</v>
      </c>
      <c r="J1244" s="4" t="s">
        <v>29</v>
      </c>
      <c r="K1244" s="4" t="s">
        <v>86</v>
      </c>
      <c r="L1244" s="4" t="s">
        <v>729</v>
      </c>
      <c r="M1244" s="4" t="s">
        <v>95</v>
      </c>
      <c r="N1244" s="4" t="s">
        <v>33</v>
      </c>
      <c r="O1244" s="4" t="s">
        <v>82</v>
      </c>
      <c r="P1244" s="4" t="s">
        <v>88</v>
      </c>
      <c r="Q1244" s="4">
        <v>3</v>
      </c>
      <c r="R1244" s="4">
        <v>3621</v>
      </c>
      <c r="S1244" s="5">
        <v>15</v>
      </c>
      <c r="T1244" s="6">
        <f t="shared" si="57"/>
        <v>9233.5499999999993</v>
      </c>
      <c r="U1244" s="4">
        <v>544.91</v>
      </c>
      <c r="V1244" t="str">
        <f t="shared" si="58"/>
        <v>Mar</v>
      </c>
      <c r="W1244">
        <f t="shared" si="59"/>
        <v>5.9014138657396124E-2</v>
      </c>
    </row>
    <row r="1245" spans="1:23" x14ac:dyDescent="0.4">
      <c r="A1245" s="4" t="s">
        <v>3428</v>
      </c>
      <c r="B1245" s="4" t="s">
        <v>624</v>
      </c>
      <c r="C1245" s="11">
        <v>45166</v>
      </c>
      <c r="D1245" s="4" t="s">
        <v>98</v>
      </c>
      <c r="E1245" s="4" t="s">
        <v>24</v>
      </c>
      <c r="F1245" s="4" t="s">
        <v>58</v>
      </c>
      <c r="G1245" s="4" t="s">
        <v>92</v>
      </c>
      <c r="H1245" s="4" t="s">
        <v>3429</v>
      </c>
      <c r="I1245" s="4" t="s">
        <v>28</v>
      </c>
      <c r="J1245" s="4" t="s">
        <v>62</v>
      </c>
      <c r="K1245" s="4" t="s">
        <v>44</v>
      </c>
      <c r="L1245" s="4" t="s">
        <v>110</v>
      </c>
      <c r="M1245" s="4" t="s">
        <v>32</v>
      </c>
      <c r="N1245" s="4" t="s">
        <v>33</v>
      </c>
      <c r="O1245" s="4" t="s">
        <v>120</v>
      </c>
      <c r="P1245" s="4" t="s">
        <v>47</v>
      </c>
      <c r="Q1245" s="4">
        <v>1</v>
      </c>
      <c r="R1245" s="4">
        <v>16647</v>
      </c>
      <c r="S1245" s="5">
        <v>0</v>
      </c>
      <c r="T1245" s="6">
        <f t="shared" si="57"/>
        <v>16647</v>
      </c>
      <c r="U1245" s="4">
        <v>3005.4</v>
      </c>
      <c r="V1245" t="str">
        <f t="shared" si="58"/>
        <v>Aug</v>
      </c>
      <c r="W1245">
        <f t="shared" si="59"/>
        <v>0.18053703369976573</v>
      </c>
    </row>
    <row r="1246" spans="1:23" x14ac:dyDescent="0.4">
      <c r="A1246" s="4" t="s">
        <v>3430</v>
      </c>
      <c r="B1246" s="4" t="s">
        <v>1885</v>
      </c>
      <c r="C1246" s="11">
        <v>45421</v>
      </c>
      <c r="D1246" s="4" t="s">
        <v>39</v>
      </c>
      <c r="E1246" s="4" t="s">
        <v>24</v>
      </c>
      <c r="F1246" s="4" t="s">
        <v>70</v>
      </c>
      <c r="G1246" s="4" t="s">
        <v>41</v>
      </c>
      <c r="H1246" s="4" t="s">
        <v>3431</v>
      </c>
      <c r="I1246" s="4" t="s">
        <v>28</v>
      </c>
      <c r="J1246" s="4" t="s">
        <v>79</v>
      </c>
      <c r="K1246" s="4" t="s">
        <v>30</v>
      </c>
      <c r="L1246" s="4" t="s">
        <v>1311</v>
      </c>
      <c r="M1246" s="4" t="s">
        <v>73</v>
      </c>
      <c r="N1246" s="4" t="s">
        <v>33</v>
      </c>
      <c r="O1246" s="4" t="s">
        <v>66</v>
      </c>
      <c r="P1246" s="4" t="s">
        <v>88</v>
      </c>
      <c r="Q1246" s="4">
        <v>4</v>
      </c>
      <c r="R1246" s="4">
        <v>10906</v>
      </c>
      <c r="S1246" s="5">
        <v>0</v>
      </c>
      <c r="T1246" s="6">
        <f t="shared" si="57"/>
        <v>43624</v>
      </c>
      <c r="U1246" s="4">
        <v>6901.53</v>
      </c>
      <c r="V1246" t="str">
        <f t="shared" si="58"/>
        <v>May</v>
      </c>
      <c r="W1246">
        <f t="shared" si="59"/>
        <v>0.1582048872180451</v>
      </c>
    </row>
    <row r="1247" spans="1:23" x14ac:dyDescent="0.4">
      <c r="A1247" s="4" t="s">
        <v>3432</v>
      </c>
      <c r="B1247" s="4" t="s">
        <v>2217</v>
      </c>
      <c r="C1247" s="11">
        <v>45543</v>
      </c>
      <c r="D1247" s="4" t="s">
        <v>39</v>
      </c>
      <c r="E1247" s="4" t="s">
        <v>24</v>
      </c>
      <c r="F1247" s="4" t="s">
        <v>26</v>
      </c>
      <c r="G1247" s="4" t="s">
        <v>59</v>
      </c>
      <c r="H1247" s="4" t="s">
        <v>3433</v>
      </c>
      <c r="I1247" s="4" t="s">
        <v>43</v>
      </c>
      <c r="J1247" s="4" t="s">
        <v>62</v>
      </c>
      <c r="K1247" s="4" t="s">
        <v>153</v>
      </c>
      <c r="L1247" s="4" t="s">
        <v>282</v>
      </c>
      <c r="M1247" s="4" t="s">
        <v>95</v>
      </c>
      <c r="N1247" s="4" t="s">
        <v>33</v>
      </c>
      <c r="O1247" s="4" t="s">
        <v>120</v>
      </c>
      <c r="P1247" s="4" t="s">
        <v>88</v>
      </c>
      <c r="Q1247" s="4">
        <v>8</v>
      </c>
      <c r="R1247" s="4">
        <v>21231</v>
      </c>
      <c r="S1247" s="5">
        <v>5</v>
      </c>
      <c r="T1247" s="6">
        <f t="shared" si="57"/>
        <v>161355.6</v>
      </c>
      <c r="U1247" s="4">
        <v>10057.44</v>
      </c>
      <c r="V1247" t="str">
        <f t="shared" si="58"/>
        <v>Sep</v>
      </c>
      <c r="W1247">
        <f t="shared" si="59"/>
        <v>6.2330901437570189E-2</v>
      </c>
    </row>
    <row r="1248" spans="1:23" x14ac:dyDescent="0.4">
      <c r="A1248" s="4" t="s">
        <v>3434</v>
      </c>
      <c r="B1248" s="4" t="s">
        <v>1170</v>
      </c>
      <c r="C1248" s="11">
        <v>45013</v>
      </c>
      <c r="D1248" s="4" t="s">
        <v>98</v>
      </c>
      <c r="E1248" s="4" t="s">
        <v>24</v>
      </c>
      <c r="F1248" s="4" t="s">
        <v>40</v>
      </c>
      <c r="G1248" s="4" t="s">
        <v>41</v>
      </c>
      <c r="H1248" s="4" t="s">
        <v>3435</v>
      </c>
      <c r="I1248" s="4" t="s">
        <v>28</v>
      </c>
      <c r="J1248" s="4" t="s">
        <v>29</v>
      </c>
      <c r="K1248" s="4" t="s">
        <v>30</v>
      </c>
      <c r="L1248" s="4" t="s">
        <v>757</v>
      </c>
      <c r="M1248" s="4" t="s">
        <v>73</v>
      </c>
      <c r="N1248" s="4" t="s">
        <v>33</v>
      </c>
      <c r="O1248" s="4" t="s">
        <v>66</v>
      </c>
      <c r="P1248" s="4" t="s">
        <v>88</v>
      </c>
      <c r="Q1248" s="4">
        <v>9</v>
      </c>
      <c r="R1248" s="4">
        <v>8353</v>
      </c>
      <c r="S1248" s="5">
        <v>0</v>
      </c>
      <c r="T1248" s="6">
        <f t="shared" si="57"/>
        <v>75177</v>
      </c>
      <c r="U1248" s="4">
        <v>18751.7</v>
      </c>
      <c r="V1248" t="str">
        <f t="shared" si="58"/>
        <v>Mar</v>
      </c>
      <c r="W1248">
        <f t="shared" si="59"/>
        <v>0.24943400242095323</v>
      </c>
    </row>
    <row r="1249" spans="1:23" x14ac:dyDescent="0.4">
      <c r="A1249" s="4" t="s">
        <v>3436</v>
      </c>
      <c r="B1249" s="4" t="s">
        <v>2608</v>
      </c>
      <c r="C1249" s="11">
        <v>45107</v>
      </c>
      <c r="D1249" s="4" t="s">
        <v>98</v>
      </c>
      <c r="E1249" s="4" t="s">
        <v>24</v>
      </c>
      <c r="F1249" s="4" t="s">
        <v>26</v>
      </c>
      <c r="G1249" s="4" t="s">
        <v>26</v>
      </c>
      <c r="H1249" s="4" t="s">
        <v>3437</v>
      </c>
      <c r="I1249" s="4" t="s">
        <v>61</v>
      </c>
      <c r="J1249" s="4" t="s">
        <v>62</v>
      </c>
      <c r="K1249" s="4" t="s">
        <v>153</v>
      </c>
      <c r="L1249" s="4" t="s">
        <v>1812</v>
      </c>
      <c r="M1249" s="4" t="s">
        <v>53</v>
      </c>
      <c r="N1249" s="4" t="s">
        <v>33</v>
      </c>
      <c r="O1249" s="4" t="s">
        <v>34</v>
      </c>
      <c r="P1249" s="4" t="s">
        <v>35</v>
      </c>
      <c r="Q1249" s="4">
        <v>3</v>
      </c>
      <c r="R1249" s="4">
        <v>19113</v>
      </c>
      <c r="S1249" s="5">
        <v>10</v>
      </c>
      <c r="T1249" s="6">
        <f t="shared" si="57"/>
        <v>51605.1</v>
      </c>
      <c r="U1249" s="4">
        <v>5882.13</v>
      </c>
      <c r="V1249" t="str">
        <f t="shared" si="58"/>
        <v>Jun</v>
      </c>
      <c r="W1249">
        <f t="shared" si="59"/>
        <v>0.11398350163065279</v>
      </c>
    </row>
    <row r="1250" spans="1:23" x14ac:dyDescent="0.4">
      <c r="A1250" s="4" t="s">
        <v>3438</v>
      </c>
      <c r="B1250" s="4" t="s">
        <v>1422</v>
      </c>
      <c r="C1250" s="11">
        <v>45533</v>
      </c>
      <c r="D1250" s="4" t="s">
        <v>23</v>
      </c>
      <c r="E1250" s="4" t="s">
        <v>24</v>
      </c>
      <c r="F1250" s="4" t="s">
        <v>70</v>
      </c>
      <c r="G1250" s="4" t="s">
        <v>59</v>
      </c>
      <c r="H1250" s="4" t="s">
        <v>3439</v>
      </c>
      <c r="I1250" s="4" t="s">
        <v>43</v>
      </c>
      <c r="J1250" s="4" t="s">
        <v>79</v>
      </c>
      <c r="K1250" s="4" t="s">
        <v>63</v>
      </c>
      <c r="L1250" s="4" t="s">
        <v>198</v>
      </c>
      <c r="M1250" s="4" t="s">
        <v>32</v>
      </c>
      <c r="N1250" s="4" t="s">
        <v>54</v>
      </c>
      <c r="O1250" s="4" t="s">
        <v>66</v>
      </c>
      <c r="P1250" s="4" t="s">
        <v>35</v>
      </c>
      <c r="Q1250" s="4">
        <v>5</v>
      </c>
      <c r="R1250" s="4">
        <v>7223</v>
      </c>
      <c r="S1250" s="5">
        <v>15</v>
      </c>
      <c r="T1250" s="6">
        <f t="shared" si="57"/>
        <v>30697.75</v>
      </c>
      <c r="U1250" s="4">
        <v>1530.86</v>
      </c>
      <c r="V1250" t="str">
        <f t="shared" si="58"/>
        <v>Aug</v>
      </c>
      <c r="W1250">
        <f t="shared" si="59"/>
        <v>4.9868801459390343E-2</v>
      </c>
    </row>
    <row r="1251" spans="1:23" x14ac:dyDescent="0.4">
      <c r="A1251" s="4" t="s">
        <v>3440</v>
      </c>
      <c r="B1251" s="4" t="s">
        <v>1289</v>
      </c>
      <c r="C1251" s="11">
        <v>45422</v>
      </c>
      <c r="D1251" s="4" t="s">
        <v>98</v>
      </c>
      <c r="E1251" s="4" t="s">
        <v>24</v>
      </c>
      <c r="F1251" s="4" t="s">
        <v>26</v>
      </c>
      <c r="G1251" s="4" t="s">
        <v>26</v>
      </c>
      <c r="H1251" s="4" t="s">
        <v>3441</v>
      </c>
      <c r="I1251" s="4" t="s">
        <v>28</v>
      </c>
      <c r="J1251" s="4" t="s">
        <v>29</v>
      </c>
      <c r="K1251" s="4" t="s">
        <v>44</v>
      </c>
      <c r="L1251" s="4" t="s">
        <v>610</v>
      </c>
      <c r="M1251" s="4" t="s">
        <v>53</v>
      </c>
      <c r="N1251" s="4" t="s">
        <v>33</v>
      </c>
      <c r="O1251" s="4" t="s">
        <v>82</v>
      </c>
      <c r="P1251" s="4" t="s">
        <v>74</v>
      </c>
      <c r="Q1251" s="4">
        <v>6</v>
      </c>
      <c r="R1251" s="4">
        <v>5425</v>
      </c>
      <c r="S1251" s="5">
        <v>0</v>
      </c>
      <c r="T1251" s="6">
        <f t="shared" si="57"/>
        <v>32550</v>
      </c>
      <c r="U1251" s="4">
        <v>6014.8</v>
      </c>
      <c r="V1251" t="str">
        <f t="shared" si="58"/>
        <v>May</v>
      </c>
      <c r="W1251">
        <f t="shared" si="59"/>
        <v>0.18478648233486944</v>
      </c>
    </row>
    <row r="1252" spans="1:23" x14ac:dyDescent="0.4">
      <c r="A1252" s="4" t="s">
        <v>3442</v>
      </c>
      <c r="B1252" s="4" t="s">
        <v>1410</v>
      </c>
      <c r="C1252" s="11">
        <v>44827</v>
      </c>
      <c r="D1252" s="4" t="s">
        <v>98</v>
      </c>
      <c r="E1252" s="4" t="s">
        <v>24</v>
      </c>
      <c r="F1252" s="4" t="s">
        <v>26</v>
      </c>
      <c r="G1252" s="4" t="s">
        <v>59</v>
      </c>
      <c r="H1252" s="4" t="s">
        <v>3443</v>
      </c>
      <c r="I1252" s="4" t="s">
        <v>28</v>
      </c>
      <c r="J1252" s="4" t="s">
        <v>79</v>
      </c>
      <c r="K1252" s="4" t="s">
        <v>30</v>
      </c>
      <c r="L1252" s="4" t="s">
        <v>1921</v>
      </c>
      <c r="M1252" s="4" t="s">
        <v>32</v>
      </c>
      <c r="N1252" s="4" t="s">
        <v>54</v>
      </c>
      <c r="O1252" s="4" t="s">
        <v>66</v>
      </c>
      <c r="P1252" s="4" t="s">
        <v>74</v>
      </c>
      <c r="Q1252" s="4">
        <v>2</v>
      </c>
      <c r="R1252" s="4">
        <v>13054</v>
      </c>
      <c r="S1252" s="5">
        <v>20</v>
      </c>
      <c r="T1252" s="6">
        <f t="shared" si="57"/>
        <v>20886.400000000001</v>
      </c>
      <c r="U1252" s="4">
        <v>-1235.8499999999999</v>
      </c>
      <c r="V1252" t="str">
        <f t="shared" si="58"/>
        <v>Sep</v>
      </c>
      <c r="W1252">
        <f t="shared" si="59"/>
        <v>-5.9170081967213108E-2</v>
      </c>
    </row>
    <row r="1253" spans="1:23" x14ac:dyDescent="0.4">
      <c r="A1253" s="4" t="s">
        <v>3444</v>
      </c>
      <c r="B1253" s="4" t="s">
        <v>1243</v>
      </c>
      <c r="C1253" s="11">
        <v>44763</v>
      </c>
      <c r="D1253" s="4" t="s">
        <v>23</v>
      </c>
      <c r="E1253" s="4" t="s">
        <v>24</v>
      </c>
      <c r="F1253" s="4" t="s">
        <v>58</v>
      </c>
      <c r="G1253" s="4" t="s">
        <v>26</v>
      </c>
      <c r="H1253" s="4" t="s">
        <v>268</v>
      </c>
      <c r="I1253" s="4" t="s">
        <v>61</v>
      </c>
      <c r="J1253" s="4" t="s">
        <v>29</v>
      </c>
      <c r="K1253" s="4" t="s">
        <v>86</v>
      </c>
      <c r="L1253" s="4" t="s">
        <v>277</v>
      </c>
      <c r="M1253" s="4" t="s">
        <v>53</v>
      </c>
      <c r="N1253" s="4" t="s">
        <v>33</v>
      </c>
      <c r="O1253" s="4" t="s">
        <v>120</v>
      </c>
      <c r="P1253" s="4" t="s">
        <v>74</v>
      </c>
      <c r="Q1253" s="4">
        <v>8</v>
      </c>
      <c r="R1253" s="4">
        <v>35947</v>
      </c>
      <c r="S1253" s="5">
        <v>5</v>
      </c>
      <c r="T1253" s="6">
        <f t="shared" si="57"/>
        <v>273197.2</v>
      </c>
      <c r="U1253" s="4">
        <v>5086.07</v>
      </c>
      <c r="V1253" t="str">
        <f t="shared" si="58"/>
        <v>Jul</v>
      </c>
      <c r="W1253">
        <f t="shared" si="59"/>
        <v>1.8616845267813872E-2</v>
      </c>
    </row>
    <row r="1254" spans="1:23" x14ac:dyDescent="0.4">
      <c r="A1254" s="4" t="s">
        <v>3445</v>
      </c>
      <c r="B1254" s="4" t="s">
        <v>625</v>
      </c>
      <c r="C1254" s="11">
        <v>45181</v>
      </c>
      <c r="D1254" s="4" t="s">
        <v>124</v>
      </c>
      <c r="E1254" s="4" t="s">
        <v>24</v>
      </c>
      <c r="F1254" s="4" t="s">
        <v>58</v>
      </c>
      <c r="G1254" s="4" t="s">
        <v>41</v>
      </c>
      <c r="H1254" s="4" t="s">
        <v>3446</v>
      </c>
      <c r="I1254" s="4" t="s">
        <v>43</v>
      </c>
      <c r="J1254" s="4" t="s">
        <v>29</v>
      </c>
      <c r="K1254" s="4" t="s">
        <v>44</v>
      </c>
      <c r="L1254" s="4" t="s">
        <v>418</v>
      </c>
      <c r="M1254" s="4" t="s">
        <v>65</v>
      </c>
      <c r="N1254" s="4" t="s">
        <v>54</v>
      </c>
      <c r="O1254" s="4" t="s">
        <v>82</v>
      </c>
      <c r="P1254" s="4" t="s">
        <v>47</v>
      </c>
      <c r="Q1254" s="4">
        <v>9</v>
      </c>
      <c r="R1254" s="4">
        <v>17573</v>
      </c>
      <c r="S1254" s="5">
        <v>15</v>
      </c>
      <c r="T1254" s="6">
        <f t="shared" si="57"/>
        <v>134433.45000000001</v>
      </c>
      <c r="U1254" s="4">
        <v>10650.8</v>
      </c>
      <c r="V1254" t="str">
        <f t="shared" si="58"/>
        <v>Sep</v>
      </c>
      <c r="W1254">
        <f t="shared" si="59"/>
        <v>7.9227305406504092E-2</v>
      </c>
    </row>
    <row r="1255" spans="1:23" x14ac:dyDescent="0.4">
      <c r="A1255" s="4" t="s">
        <v>3447</v>
      </c>
      <c r="B1255" s="4" t="s">
        <v>1686</v>
      </c>
      <c r="C1255" s="11">
        <v>44893</v>
      </c>
      <c r="D1255" s="4" t="s">
        <v>98</v>
      </c>
      <c r="E1255" s="4" t="s">
        <v>24</v>
      </c>
      <c r="F1255" s="4" t="s">
        <v>58</v>
      </c>
      <c r="G1255" s="4" t="s">
        <v>59</v>
      </c>
      <c r="H1255" s="4" t="s">
        <v>485</v>
      </c>
      <c r="I1255" s="4" t="s">
        <v>28</v>
      </c>
      <c r="J1255" s="4" t="s">
        <v>29</v>
      </c>
      <c r="K1255" s="4" t="s">
        <v>153</v>
      </c>
      <c r="L1255" s="4" t="s">
        <v>404</v>
      </c>
      <c r="M1255" s="4" t="s">
        <v>53</v>
      </c>
      <c r="N1255" s="4" t="s">
        <v>33</v>
      </c>
      <c r="O1255" s="4" t="s">
        <v>66</v>
      </c>
      <c r="P1255" s="4" t="s">
        <v>35</v>
      </c>
      <c r="Q1255" s="4">
        <v>9</v>
      </c>
      <c r="R1255" s="4">
        <v>5822</v>
      </c>
      <c r="S1255" s="5">
        <v>10</v>
      </c>
      <c r="T1255" s="6">
        <f t="shared" si="57"/>
        <v>47158.2</v>
      </c>
      <c r="U1255" s="4">
        <v>10464.57</v>
      </c>
      <c r="V1255" t="str">
        <f t="shared" si="58"/>
        <v>Nov</v>
      </c>
      <c r="W1255">
        <f t="shared" si="59"/>
        <v>0.22190350776747206</v>
      </c>
    </row>
    <row r="1256" spans="1:23" x14ac:dyDescent="0.4">
      <c r="A1256" s="4" t="s">
        <v>3448</v>
      </c>
      <c r="B1256" s="4" t="s">
        <v>2600</v>
      </c>
      <c r="C1256" s="11">
        <v>45100</v>
      </c>
      <c r="D1256" s="4" t="s">
        <v>124</v>
      </c>
      <c r="E1256" s="4" t="s">
        <v>24</v>
      </c>
      <c r="F1256" s="4" t="s">
        <v>58</v>
      </c>
      <c r="G1256" s="4" t="s">
        <v>99</v>
      </c>
      <c r="H1256" s="4" t="s">
        <v>3449</v>
      </c>
      <c r="I1256" s="4" t="s">
        <v>43</v>
      </c>
      <c r="J1256" s="4" t="s">
        <v>62</v>
      </c>
      <c r="K1256" s="4" t="s">
        <v>153</v>
      </c>
      <c r="L1256" s="4" t="s">
        <v>391</v>
      </c>
      <c r="M1256" s="4" t="s">
        <v>32</v>
      </c>
      <c r="N1256" s="4" t="s">
        <v>54</v>
      </c>
      <c r="O1256" s="4" t="s">
        <v>66</v>
      </c>
      <c r="P1256" s="4" t="s">
        <v>47</v>
      </c>
      <c r="Q1256" s="4">
        <v>9</v>
      </c>
      <c r="R1256" s="4">
        <v>2660</v>
      </c>
      <c r="S1256" s="5">
        <v>0</v>
      </c>
      <c r="T1256" s="6">
        <f t="shared" si="57"/>
        <v>23940</v>
      </c>
      <c r="U1256" s="4">
        <v>1392.06</v>
      </c>
      <c r="V1256" t="str">
        <f t="shared" si="58"/>
        <v>Jun</v>
      </c>
      <c r="W1256">
        <f t="shared" si="59"/>
        <v>5.8147869674185462E-2</v>
      </c>
    </row>
    <row r="1257" spans="1:23" x14ac:dyDescent="0.4">
      <c r="A1257" s="4" t="s">
        <v>3450</v>
      </c>
      <c r="B1257" s="4" t="s">
        <v>693</v>
      </c>
      <c r="C1257" s="11">
        <v>44861</v>
      </c>
      <c r="D1257" s="4" t="s">
        <v>39</v>
      </c>
      <c r="E1257" s="4" t="s">
        <v>24</v>
      </c>
      <c r="F1257" s="4" t="s">
        <v>25</v>
      </c>
      <c r="G1257" s="4" t="s">
        <v>99</v>
      </c>
      <c r="H1257" s="4" t="s">
        <v>3451</v>
      </c>
      <c r="I1257" s="4" t="s">
        <v>61</v>
      </c>
      <c r="J1257" s="4" t="s">
        <v>62</v>
      </c>
      <c r="K1257" s="4" t="s">
        <v>30</v>
      </c>
      <c r="L1257" s="4" t="s">
        <v>87</v>
      </c>
      <c r="M1257" s="4" t="s">
        <v>81</v>
      </c>
      <c r="N1257" s="4" t="s">
        <v>33</v>
      </c>
      <c r="O1257" s="4" t="s">
        <v>120</v>
      </c>
      <c r="P1257" s="4" t="s">
        <v>35</v>
      </c>
      <c r="Q1257" s="4">
        <v>1</v>
      </c>
      <c r="R1257" s="4">
        <v>38075</v>
      </c>
      <c r="S1257" s="5">
        <v>5</v>
      </c>
      <c r="T1257" s="6">
        <f t="shared" si="57"/>
        <v>36171.25</v>
      </c>
      <c r="U1257" s="4">
        <v>9165.44</v>
      </c>
      <c r="V1257" t="str">
        <f t="shared" si="58"/>
        <v>Oct</v>
      </c>
      <c r="W1257">
        <f t="shared" si="59"/>
        <v>0.25339019248712724</v>
      </c>
    </row>
    <row r="1258" spans="1:23" x14ac:dyDescent="0.4">
      <c r="A1258" s="4" t="s">
        <v>3452</v>
      </c>
      <c r="B1258" s="4" t="s">
        <v>141</v>
      </c>
      <c r="C1258" s="11">
        <v>44672</v>
      </c>
      <c r="D1258" s="4" t="s">
        <v>98</v>
      </c>
      <c r="E1258" s="4" t="s">
        <v>24</v>
      </c>
      <c r="F1258" s="4" t="s">
        <v>40</v>
      </c>
      <c r="G1258" s="4" t="s">
        <v>59</v>
      </c>
      <c r="H1258" s="4" t="s">
        <v>3453</v>
      </c>
      <c r="I1258" s="4" t="s">
        <v>61</v>
      </c>
      <c r="J1258" s="4" t="s">
        <v>29</v>
      </c>
      <c r="K1258" s="4" t="s">
        <v>101</v>
      </c>
      <c r="L1258" s="4" t="s">
        <v>511</v>
      </c>
      <c r="M1258" s="4" t="s">
        <v>32</v>
      </c>
      <c r="N1258" s="4" t="s">
        <v>33</v>
      </c>
      <c r="O1258" s="4" t="s">
        <v>82</v>
      </c>
      <c r="P1258" s="4" t="s">
        <v>74</v>
      </c>
      <c r="Q1258" s="4">
        <v>6</v>
      </c>
      <c r="R1258" s="4">
        <v>3843</v>
      </c>
      <c r="S1258" s="5">
        <v>10</v>
      </c>
      <c r="T1258" s="6">
        <f t="shared" si="57"/>
        <v>20752.2</v>
      </c>
      <c r="U1258" s="4">
        <v>3386.3</v>
      </c>
      <c r="V1258" t="str">
        <f t="shared" si="58"/>
        <v>Apr</v>
      </c>
      <c r="W1258">
        <f t="shared" si="59"/>
        <v>0.16317787993562127</v>
      </c>
    </row>
    <row r="1259" spans="1:23" x14ac:dyDescent="0.4">
      <c r="A1259" s="4" t="s">
        <v>3454</v>
      </c>
      <c r="B1259" s="4" t="s">
        <v>1484</v>
      </c>
      <c r="C1259" s="11">
        <v>45136</v>
      </c>
      <c r="D1259" s="4" t="s">
        <v>39</v>
      </c>
      <c r="E1259" s="4" t="s">
        <v>24</v>
      </c>
      <c r="F1259" s="4" t="s">
        <v>40</v>
      </c>
      <c r="G1259" s="4" t="s">
        <v>26</v>
      </c>
      <c r="H1259" s="4" t="s">
        <v>3455</v>
      </c>
      <c r="I1259" s="4" t="s">
        <v>61</v>
      </c>
      <c r="J1259" s="4" t="s">
        <v>62</v>
      </c>
      <c r="K1259" s="4" t="s">
        <v>153</v>
      </c>
      <c r="L1259" s="4" t="s">
        <v>564</v>
      </c>
      <c r="M1259" s="4" t="s">
        <v>53</v>
      </c>
      <c r="N1259" s="4" t="s">
        <v>54</v>
      </c>
      <c r="O1259" s="4" t="s">
        <v>34</v>
      </c>
      <c r="P1259" s="4" t="s">
        <v>88</v>
      </c>
      <c r="Q1259" s="4">
        <v>5</v>
      </c>
      <c r="R1259" s="4">
        <v>44413</v>
      </c>
      <c r="S1259" s="5">
        <v>5</v>
      </c>
      <c r="T1259" s="6">
        <f t="shared" si="57"/>
        <v>210961.75</v>
      </c>
      <c r="U1259" s="4">
        <v>18925.490000000002</v>
      </c>
      <c r="V1259" t="str">
        <f t="shared" si="58"/>
        <v>Jul</v>
      </c>
      <c r="W1259">
        <f t="shared" si="59"/>
        <v>8.9710528093362898E-2</v>
      </c>
    </row>
    <row r="1260" spans="1:23" x14ac:dyDescent="0.4">
      <c r="A1260" s="4" t="s">
        <v>3456</v>
      </c>
      <c r="B1260" s="4" t="s">
        <v>3457</v>
      </c>
      <c r="C1260" s="11">
        <v>44816</v>
      </c>
      <c r="D1260" s="4" t="s">
        <v>39</v>
      </c>
      <c r="E1260" s="4" t="s">
        <v>24</v>
      </c>
      <c r="F1260" s="4" t="s">
        <v>40</v>
      </c>
      <c r="G1260" s="4" t="s">
        <v>26</v>
      </c>
      <c r="H1260" s="4" t="s">
        <v>3458</v>
      </c>
      <c r="I1260" s="4" t="s">
        <v>28</v>
      </c>
      <c r="J1260" s="4" t="s">
        <v>29</v>
      </c>
      <c r="K1260" s="4" t="s">
        <v>101</v>
      </c>
      <c r="L1260" s="4" t="s">
        <v>631</v>
      </c>
      <c r="M1260" s="4" t="s">
        <v>81</v>
      </c>
      <c r="N1260" s="4" t="s">
        <v>54</v>
      </c>
      <c r="O1260" s="4" t="s">
        <v>66</v>
      </c>
      <c r="P1260" s="4" t="s">
        <v>47</v>
      </c>
      <c r="Q1260" s="4">
        <v>6</v>
      </c>
      <c r="R1260" s="4">
        <v>37167</v>
      </c>
      <c r="S1260" s="5">
        <v>15</v>
      </c>
      <c r="T1260" s="6">
        <f t="shared" si="57"/>
        <v>189551.7</v>
      </c>
      <c r="U1260" s="4">
        <v>31114.959999999999</v>
      </c>
      <c r="V1260" t="str">
        <f t="shared" si="58"/>
        <v>Sep</v>
      </c>
      <c r="W1260">
        <f t="shared" si="59"/>
        <v>0.16415025557671073</v>
      </c>
    </row>
    <row r="1261" spans="1:23" x14ac:dyDescent="0.4">
      <c r="A1261" s="4" t="s">
        <v>3459</v>
      </c>
      <c r="B1261" s="4" t="s">
        <v>3027</v>
      </c>
      <c r="C1261" s="11">
        <v>44642</v>
      </c>
      <c r="D1261" s="4" t="s">
        <v>39</v>
      </c>
      <c r="E1261" s="4" t="s">
        <v>24</v>
      </c>
      <c r="F1261" s="4" t="s">
        <v>40</v>
      </c>
      <c r="G1261" s="4" t="s">
        <v>26</v>
      </c>
      <c r="H1261" s="4" t="s">
        <v>3460</v>
      </c>
      <c r="I1261" s="4" t="s">
        <v>61</v>
      </c>
      <c r="J1261" s="4" t="s">
        <v>79</v>
      </c>
      <c r="K1261" s="4" t="s">
        <v>86</v>
      </c>
      <c r="L1261" s="4" t="s">
        <v>87</v>
      </c>
      <c r="M1261" s="4" t="s">
        <v>81</v>
      </c>
      <c r="N1261" s="4" t="s">
        <v>54</v>
      </c>
      <c r="O1261" s="4" t="s">
        <v>66</v>
      </c>
      <c r="P1261" s="4" t="s">
        <v>74</v>
      </c>
      <c r="Q1261" s="4">
        <v>3</v>
      </c>
      <c r="R1261" s="4">
        <v>45083</v>
      </c>
      <c r="S1261" s="5">
        <v>20</v>
      </c>
      <c r="T1261" s="6">
        <f t="shared" si="57"/>
        <v>108199.2</v>
      </c>
      <c r="U1261" s="4">
        <v>10363.620000000001</v>
      </c>
      <c r="V1261" t="str">
        <f t="shared" si="58"/>
        <v>Mar</v>
      </c>
      <c r="W1261">
        <f t="shared" si="59"/>
        <v>9.5782778430894139E-2</v>
      </c>
    </row>
    <row r="1262" spans="1:23" x14ac:dyDescent="0.4">
      <c r="A1262" s="4" t="s">
        <v>3461</v>
      </c>
      <c r="B1262" s="4" t="s">
        <v>3462</v>
      </c>
      <c r="C1262" s="11">
        <v>44621</v>
      </c>
      <c r="D1262" s="4" t="s">
        <v>124</v>
      </c>
      <c r="E1262" s="4" t="s">
        <v>24</v>
      </c>
      <c r="F1262" s="4" t="s">
        <v>58</v>
      </c>
      <c r="G1262" s="4" t="s">
        <v>26</v>
      </c>
      <c r="H1262" s="4" t="s">
        <v>3463</v>
      </c>
      <c r="I1262" s="4" t="s">
        <v>61</v>
      </c>
      <c r="J1262" s="4" t="s">
        <v>29</v>
      </c>
      <c r="K1262" s="4" t="s">
        <v>86</v>
      </c>
      <c r="L1262" s="4" t="s">
        <v>139</v>
      </c>
      <c r="M1262" s="4" t="s">
        <v>81</v>
      </c>
      <c r="N1262" s="4" t="s">
        <v>33</v>
      </c>
      <c r="O1262" s="4" t="s">
        <v>66</v>
      </c>
      <c r="P1262" s="4" t="s">
        <v>47</v>
      </c>
      <c r="Q1262" s="4">
        <v>7</v>
      </c>
      <c r="R1262" s="4">
        <v>39417</v>
      </c>
      <c r="S1262" s="5">
        <v>0</v>
      </c>
      <c r="T1262" s="6">
        <f t="shared" si="57"/>
        <v>275919</v>
      </c>
      <c r="U1262" s="4">
        <v>56799.76</v>
      </c>
      <c r="V1262" t="str">
        <f t="shared" si="58"/>
        <v>Feb</v>
      </c>
      <c r="W1262">
        <f t="shared" si="59"/>
        <v>0.2058566463346127</v>
      </c>
    </row>
    <row r="1263" spans="1:23" x14ac:dyDescent="0.4">
      <c r="A1263" s="4" t="s">
        <v>3464</v>
      </c>
      <c r="B1263" s="4" t="s">
        <v>1186</v>
      </c>
      <c r="C1263" s="11">
        <v>44952</v>
      </c>
      <c r="D1263" s="4" t="s">
        <v>124</v>
      </c>
      <c r="E1263" s="4" t="s">
        <v>24</v>
      </c>
      <c r="F1263" s="4" t="s">
        <v>70</v>
      </c>
      <c r="G1263" s="4" t="s">
        <v>92</v>
      </c>
      <c r="H1263" s="4" t="s">
        <v>2104</v>
      </c>
      <c r="I1263" s="4" t="s">
        <v>28</v>
      </c>
      <c r="J1263" s="4" t="s">
        <v>79</v>
      </c>
      <c r="K1263" s="4" t="s">
        <v>44</v>
      </c>
      <c r="L1263" s="4" t="s">
        <v>850</v>
      </c>
      <c r="M1263" s="4" t="s">
        <v>95</v>
      </c>
      <c r="N1263" s="4" t="s">
        <v>33</v>
      </c>
      <c r="O1263" s="4" t="s">
        <v>120</v>
      </c>
      <c r="P1263" s="4" t="s">
        <v>47</v>
      </c>
      <c r="Q1263" s="4">
        <v>4</v>
      </c>
      <c r="R1263" s="4">
        <v>27316</v>
      </c>
      <c r="S1263" s="5">
        <v>5</v>
      </c>
      <c r="T1263" s="6">
        <f t="shared" si="57"/>
        <v>103800.8</v>
      </c>
      <c r="U1263" s="4">
        <v>23254</v>
      </c>
      <c r="V1263" t="str">
        <f t="shared" si="58"/>
        <v>Jan</v>
      </c>
      <c r="W1263">
        <f t="shared" si="59"/>
        <v>0.22402524836032092</v>
      </c>
    </row>
    <row r="1264" spans="1:23" x14ac:dyDescent="0.4">
      <c r="A1264" s="4" t="s">
        <v>3465</v>
      </c>
      <c r="B1264" s="4" t="s">
        <v>2016</v>
      </c>
      <c r="C1264" s="11">
        <v>44902</v>
      </c>
      <c r="D1264" s="4" t="s">
        <v>98</v>
      </c>
      <c r="E1264" s="4" t="s">
        <v>24</v>
      </c>
      <c r="F1264" s="4" t="s">
        <v>70</v>
      </c>
      <c r="G1264" s="4" t="s">
        <v>26</v>
      </c>
      <c r="H1264" s="4" t="s">
        <v>3466</v>
      </c>
      <c r="I1264" s="4" t="s">
        <v>28</v>
      </c>
      <c r="J1264" s="4" t="s">
        <v>29</v>
      </c>
      <c r="K1264" s="4" t="s">
        <v>86</v>
      </c>
      <c r="L1264" s="4" t="s">
        <v>208</v>
      </c>
      <c r="M1264" s="4" t="s">
        <v>73</v>
      </c>
      <c r="N1264" s="4" t="s">
        <v>54</v>
      </c>
      <c r="O1264" s="4" t="s">
        <v>82</v>
      </c>
      <c r="P1264" s="4" t="s">
        <v>74</v>
      </c>
      <c r="Q1264" s="4">
        <v>8</v>
      </c>
      <c r="R1264" s="4">
        <v>46574</v>
      </c>
      <c r="S1264" s="5">
        <v>20</v>
      </c>
      <c r="T1264" s="6">
        <f t="shared" si="57"/>
        <v>298073.59999999998</v>
      </c>
      <c r="U1264" s="4">
        <v>33130.06</v>
      </c>
      <c r="V1264" t="str">
        <f t="shared" si="58"/>
        <v>Dec</v>
      </c>
      <c r="W1264">
        <f t="shared" si="59"/>
        <v>0.11114724685446815</v>
      </c>
    </row>
    <row r="1265" spans="1:23" x14ac:dyDescent="0.4">
      <c r="A1265" s="4" t="s">
        <v>3467</v>
      </c>
      <c r="B1265" s="4" t="s">
        <v>1607</v>
      </c>
      <c r="C1265" s="11">
        <v>45242</v>
      </c>
      <c r="D1265" s="4" t="s">
        <v>98</v>
      </c>
      <c r="E1265" s="4" t="s">
        <v>24</v>
      </c>
      <c r="F1265" s="4" t="s">
        <v>40</v>
      </c>
      <c r="G1265" s="4" t="s">
        <v>99</v>
      </c>
      <c r="H1265" s="4" t="s">
        <v>3469</v>
      </c>
      <c r="I1265" s="4" t="s">
        <v>43</v>
      </c>
      <c r="J1265" s="4" t="s">
        <v>62</v>
      </c>
      <c r="K1265" s="4" t="s">
        <v>30</v>
      </c>
      <c r="L1265" s="4" t="s">
        <v>544</v>
      </c>
      <c r="M1265" s="4" t="s">
        <v>32</v>
      </c>
      <c r="N1265" s="4" t="s">
        <v>54</v>
      </c>
      <c r="O1265" s="4" t="s">
        <v>120</v>
      </c>
      <c r="P1265" s="4" t="s">
        <v>47</v>
      </c>
      <c r="Q1265" s="4">
        <v>10</v>
      </c>
      <c r="R1265" s="4">
        <v>2331</v>
      </c>
      <c r="S1265" s="5">
        <v>10</v>
      </c>
      <c r="T1265" s="6">
        <f t="shared" si="57"/>
        <v>20979</v>
      </c>
      <c r="U1265" s="4">
        <v>-461.65</v>
      </c>
      <c r="V1265" t="str">
        <f t="shared" si="58"/>
        <v>Nov</v>
      </c>
      <c r="W1265">
        <f t="shared" si="59"/>
        <v>-2.2005338672005336E-2</v>
      </c>
    </row>
    <row r="1266" spans="1:23" x14ac:dyDescent="0.4">
      <c r="A1266" s="4" t="s">
        <v>3470</v>
      </c>
      <c r="B1266" s="4" t="s">
        <v>1376</v>
      </c>
      <c r="C1266" s="11">
        <v>45505</v>
      </c>
      <c r="D1266" s="4" t="s">
        <v>124</v>
      </c>
      <c r="E1266" s="4" t="s">
        <v>24</v>
      </c>
      <c r="F1266" s="4" t="s">
        <v>40</v>
      </c>
      <c r="G1266" s="4" t="s">
        <v>92</v>
      </c>
      <c r="H1266" s="4" t="s">
        <v>576</v>
      </c>
      <c r="I1266" s="4" t="s">
        <v>28</v>
      </c>
      <c r="J1266" s="4" t="s">
        <v>62</v>
      </c>
      <c r="K1266" s="4" t="s">
        <v>86</v>
      </c>
      <c r="L1266" s="4" t="s">
        <v>641</v>
      </c>
      <c r="M1266" s="4" t="s">
        <v>95</v>
      </c>
      <c r="N1266" s="4" t="s">
        <v>33</v>
      </c>
      <c r="O1266" s="4" t="s">
        <v>82</v>
      </c>
      <c r="P1266" s="4" t="s">
        <v>74</v>
      </c>
      <c r="Q1266" s="4">
        <v>5</v>
      </c>
      <c r="R1266" s="4">
        <v>3718</v>
      </c>
      <c r="S1266" s="5">
        <v>0</v>
      </c>
      <c r="T1266" s="6">
        <f t="shared" si="57"/>
        <v>18590</v>
      </c>
      <c r="U1266" s="4">
        <v>4556.28</v>
      </c>
      <c r="V1266" t="str">
        <f t="shared" si="58"/>
        <v>Jul</v>
      </c>
      <c r="W1266">
        <f t="shared" si="59"/>
        <v>0.24509306078536847</v>
      </c>
    </row>
    <row r="1267" spans="1:23" x14ac:dyDescent="0.4">
      <c r="A1267" s="4" t="s">
        <v>3471</v>
      </c>
      <c r="B1267" s="4" t="s">
        <v>2288</v>
      </c>
      <c r="C1267" s="11">
        <v>45471</v>
      </c>
      <c r="D1267" s="4" t="s">
        <v>98</v>
      </c>
      <c r="E1267" s="4" t="s">
        <v>24</v>
      </c>
      <c r="F1267" s="4" t="s">
        <v>40</v>
      </c>
      <c r="G1267" s="4" t="s">
        <v>92</v>
      </c>
      <c r="H1267" s="4" t="s">
        <v>3472</v>
      </c>
      <c r="I1267" s="4" t="s">
        <v>61</v>
      </c>
      <c r="J1267" s="4" t="s">
        <v>62</v>
      </c>
      <c r="K1267" s="4" t="s">
        <v>44</v>
      </c>
      <c r="L1267" s="4" t="s">
        <v>171</v>
      </c>
      <c r="M1267" s="4" t="s">
        <v>95</v>
      </c>
      <c r="N1267" s="4" t="s">
        <v>33</v>
      </c>
      <c r="O1267" s="4" t="s">
        <v>34</v>
      </c>
      <c r="P1267" s="4" t="s">
        <v>88</v>
      </c>
      <c r="Q1267" s="4">
        <v>5</v>
      </c>
      <c r="R1267" s="4">
        <v>47644</v>
      </c>
      <c r="S1267" s="5">
        <v>0</v>
      </c>
      <c r="T1267" s="6">
        <f t="shared" si="57"/>
        <v>238220</v>
      </c>
      <c r="U1267" s="4">
        <v>34937.589999999997</v>
      </c>
      <c r="V1267" t="str">
        <f t="shared" si="58"/>
        <v>Jun</v>
      </c>
      <c r="W1267">
        <f t="shared" si="59"/>
        <v>0.1466610276215263</v>
      </c>
    </row>
    <row r="1268" spans="1:23" x14ac:dyDescent="0.4">
      <c r="A1268" s="4" t="s">
        <v>3473</v>
      </c>
      <c r="B1268" s="4" t="s">
        <v>855</v>
      </c>
      <c r="C1268" s="11">
        <v>44575</v>
      </c>
      <c r="D1268" s="4" t="s">
        <v>124</v>
      </c>
      <c r="E1268" s="4" t="s">
        <v>24</v>
      </c>
      <c r="F1268" s="4" t="s">
        <v>25</v>
      </c>
      <c r="G1268" s="4" t="s">
        <v>26</v>
      </c>
      <c r="H1268" s="4" t="s">
        <v>3474</v>
      </c>
      <c r="I1268" s="4" t="s">
        <v>28</v>
      </c>
      <c r="J1268" s="4" t="s">
        <v>29</v>
      </c>
      <c r="K1268" s="4" t="s">
        <v>63</v>
      </c>
      <c r="L1268" s="4" t="s">
        <v>171</v>
      </c>
      <c r="M1268" s="4" t="s">
        <v>53</v>
      </c>
      <c r="N1268" s="4" t="s">
        <v>54</v>
      </c>
      <c r="O1268" s="4" t="s">
        <v>46</v>
      </c>
      <c r="P1268" s="4" t="s">
        <v>74</v>
      </c>
      <c r="Q1268" s="4">
        <v>9</v>
      </c>
      <c r="R1268" s="4">
        <v>8455</v>
      </c>
      <c r="S1268" s="5">
        <v>15</v>
      </c>
      <c r="T1268" s="6">
        <f t="shared" si="57"/>
        <v>64680.75</v>
      </c>
      <c r="U1268" s="4">
        <v>1634.91</v>
      </c>
      <c r="V1268" t="str">
        <f t="shared" si="58"/>
        <v>Jan</v>
      </c>
      <c r="W1268">
        <f t="shared" si="59"/>
        <v>2.5276608573648267E-2</v>
      </c>
    </row>
    <row r="1269" spans="1:23" x14ac:dyDescent="0.4">
      <c r="A1269" s="4" t="s">
        <v>3475</v>
      </c>
      <c r="B1269" s="4" t="s">
        <v>830</v>
      </c>
      <c r="C1269" s="11">
        <v>44702</v>
      </c>
      <c r="D1269" s="4" t="s">
        <v>23</v>
      </c>
      <c r="E1269" s="4" t="s">
        <v>24</v>
      </c>
      <c r="F1269" s="4" t="s">
        <v>26</v>
      </c>
      <c r="G1269" s="4" t="s">
        <v>59</v>
      </c>
      <c r="H1269" s="4" t="s">
        <v>3476</v>
      </c>
      <c r="I1269" s="4" t="s">
        <v>61</v>
      </c>
      <c r="J1269" s="4" t="s">
        <v>62</v>
      </c>
      <c r="K1269" s="4" t="s">
        <v>63</v>
      </c>
      <c r="L1269" s="4" t="s">
        <v>94</v>
      </c>
      <c r="M1269" s="4" t="s">
        <v>95</v>
      </c>
      <c r="N1269" s="4" t="s">
        <v>33</v>
      </c>
      <c r="O1269" s="4" t="s">
        <v>120</v>
      </c>
      <c r="P1269" s="4" t="s">
        <v>35</v>
      </c>
      <c r="Q1269" s="4">
        <v>7</v>
      </c>
      <c r="R1269" s="4">
        <v>14213</v>
      </c>
      <c r="S1269" s="5">
        <v>15</v>
      </c>
      <c r="T1269" s="6">
        <f t="shared" si="57"/>
        <v>84567.35</v>
      </c>
      <c r="U1269" s="4">
        <v>-8667.31</v>
      </c>
      <c r="V1269" t="str">
        <f t="shared" si="58"/>
        <v>May</v>
      </c>
      <c r="W1269">
        <f t="shared" si="59"/>
        <v>-0.10249002717952022</v>
      </c>
    </row>
    <row r="1270" spans="1:23" x14ac:dyDescent="0.4">
      <c r="A1270" s="4" t="s">
        <v>3477</v>
      </c>
      <c r="B1270" s="4" t="s">
        <v>3060</v>
      </c>
      <c r="C1270" s="11">
        <v>44731</v>
      </c>
      <c r="D1270" s="4" t="s">
        <v>23</v>
      </c>
      <c r="E1270" s="4" t="s">
        <v>24</v>
      </c>
      <c r="F1270" s="4" t="s">
        <v>26</v>
      </c>
      <c r="G1270" s="4" t="s">
        <v>41</v>
      </c>
      <c r="H1270" s="4" t="s">
        <v>3478</v>
      </c>
      <c r="I1270" s="4" t="s">
        <v>28</v>
      </c>
      <c r="J1270" s="4" t="s">
        <v>62</v>
      </c>
      <c r="K1270" s="4" t="s">
        <v>101</v>
      </c>
      <c r="L1270" s="4" t="s">
        <v>956</v>
      </c>
      <c r="M1270" s="4" t="s">
        <v>95</v>
      </c>
      <c r="N1270" s="4" t="s">
        <v>33</v>
      </c>
      <c r="O1270" s="4" t="s">
        <v>34</v>
      </c>
      <c r="P1270" s="4" t="s">
        <v>47</v>
      </c>
      <c r="Q1270" s="4">
        <v>7</v>
      </c>
      <c r="R1270" s="4">
        <v>24091</v>
      </c>
      <c r="S1270" s="5">
        <v>5</v>
      </c>
      <c r="T1270" s="6">
        <f t="shared" si="57"/>
        <v>160205.15</v>
      </c>
      <c r="U1270" s="4">
        <v>23802.81</v>
      </c>
      <c r="V1270" t="str">
        <f t="shared" si="58"/>
        <v>Jun</v>
      </c>
      <c r="W1270">
        <f t="shared" si="59"/>
        <v>0.14857705885235276</v>
      </c>
    </row>
    <row r="1271" spans="1:23" x14ac:dyDescent="0.4">
      <c r="A1271" s="4" t="s">
        <v>3479</v>
      </c>
      <c r="B1271" s="4" t="s">
        <v>3457</v>
      </c>
      <c r="C1271" s="11">
        <v>44812</v>
      </c>
      <c r="D1271" s="4" t="s">
        <v>39</v>
      </c>
      <c r="E1271" s="4" t="s">
        <v>24</v>
      </c>
      <c r="F1271" s="4" t="s">
        <v>40</v>
      </c>
      <c r="G1271" s="4" t="s">
        <v>41</v>
      </c>
      <c r="H1271" s="4" t="s">
        <v>3480</v>
      </c>
      <c r="I1271" s="4" t="s">
        <v>43</v>
      </c>
      <c r="J1271" s="4" t="s">
        <v>62</v>
      </c>
      <c r="K1271" s="4" t="s">
        <v>44</v>
      </c>
      <c r="L1271" s="4" t="s">
        <v>708</v>
      </c>
      <c r="M1271" s="4" t="s">
        <v>53</v>
      </c>
      <c r="N1271" s="4" t="s">
        <v>54</v>
      </c>
      <c r="O1271" s="4" t="s">
        <v>120</v>
      </c>
      <c r="P1271" s="4" t="s">
        <v>35</v>
      </c>
      <c r="Q1271" s="4">
        <v>4</v>
      </c>
      <c r="R1271" s="4">
        <v>30662</v>
      </c>
      <c r="S1271" s="5">
        <v>10</v>
      </c>
      <c r="T1271" s="6">
        <f t="shared" si="57"/>
        <v>110383.2</v>
      </c>
      <c r="U1271" s="4">
        <v>8968.5400000000009</v>
      </c>
      <c r="V1271" t="str">
        <f t="shared" si="58"/>
        <v>Sep</v>
      </c>
      <c r="W1271">
        <f t="shared" si="59"/>
        <v>8.1249139361786946E-2</v>
      </c>
    </row>
    <row r="1272" spans="1:23" x14ac:dyDescent="0.4">
      <c r="A1272" s="4" t="s">
        <v>3481</v>
      </c>
      <c r="B1272" s="4" t="s">
        <v>406</v>
      </c>
      <c r="C1272" s="11">
        <v>44647</v>
      </c>
      <c r="D1272" s="4" t="s">
        <v>124</v>
      </c>
      <c r="E1272" s="4" t="s">
        <v>24</v>
      </c>
      <c r="F1272" s="4" t="s">
        <v>70</v>
      </c>
      <c r="G1272" s="4" t="s">
        <v>59</v>
      </c>
      <c r="H1272" s="4" t="s">
        <v>2603</v>
      </c>
      <c r="I1272" s="4" t="s">
        <v>28</v>
      </c>
      <c r="J1272" s="4" t="s">
        <v>62</v>
      </c>
      <c r="K1272" s="4" t="s">
        <v>63</v>
      </c>
      <c r="L1272" s="4" t="s">
        <v>1353</v>
      </c>
      <c r="M1272" s="4" t="s">
        <v>81</v>
      </c>
      <c r="N1272" s="4" t="s">
        <v>54</v>
      </c>
      <c r="O1272" s="4" t="s">
        <v>46</v>
      </c>
      <c r="P1272" s="4" t="s">
        <v>35</v>
      </c>
      <c r="Q1272" s="4">
        <v>9</v>
      </c>
      <c r="R1272" s="4">
        <v>6020</v>
      </c>
      <c r="S1272" s="5">
        <v>10</v>
      </c>
      <c r="T1272" s="6">
        <f t="shared" si="57"/>
        <v>48762</v>
      </c>
      <c r="U1272" s="4">
        <v>6958.55</v>
      </c>
      <c r="V1272" t="str">
        <f t="shared" si="58"/>
        <v>Mar</v>
      </c>
      <c r="W1272">
        <f t="shared" si="59"/>
        <v>0.14270435995242198</v>
      </c>
    </row>
    <row r="1273" spans="1:23" x14ac:dyDescent="0.4">
      <c r="A1273" s="4" t="s">
        <v>3482</v>
      </c>
      <c r="B1273" s="4" t="s">
        <v>517</v>
      </c>
      <c r="C1273" s="11">
        <v>44997</v>
      </c>
      <c r="D1273" s="4" t="s">
        <v>98</v>
      </c>
      <c r="E1273" s="4" t="s">
        <v>24</v>
      </c>
      <c r="F1273" s="4" t="s">
        <v>40</v>
      </c>
      <c r="G1273" s="4" t="s">
        <v>92</v>
      </c>
      <c r="H1273" s="4" t="s">
        <v>3483</v>
      </c>
      <c r="I1273" s="4" t="s">
        <v>43</v>
      </c>
      <c r="J1273" s="4" t="s">
        <v>79</v>
      </c>
      <c r="K1273" s="4" t="s">
        <v>101</v>
      </c>
      <c r="L1273" s="4" t="s">
        <v>839</v>
      </c>
      <c r="M1273" s="4" t="s">
        <v>81</v>
      </c>
      <c r="N1273" s="4" t="s">
        <v>54</v>
      </c>
      <c r="O1273" s="4" t="s">
        <v>120</v>
      </c>
      <c r="P1273" s="4" t="s">
        <v>74</v>
      </c>
      <c r="Q1273" s="4">
        <v>4</v>
      </c>
      <c r="R1273" s="4">
        <v>36763</v>
      </c>
      <c r="S1273" s="5">
        <v>0</v>
      </c>
      <c r="T1273" s="6">
        <f t="shared" si="57"/>
        <v>147052</v>
      </c>
      <c r="U1273" s="4">
        <v>38569.61</v>
      </c>
      <c r="V1273" t="str">
        <f t="shared" si="58"/>
        <v>Mar</v>
      </c>
      <c r="W1273">
        <f t="shared" si="59"/>
        <v>0.26228551804803746</v>
      </c>
    </row>
    <row r="1274" spans="1:23" x14ac:dyDescent="0.4">
      <c r="A1274" s="4" t="s">
        <v>3484</v>
      </c>
      <c r="B1274" s="4" t="s">
        <v>1067</v>
      </c>
      <c r="C1274" s="11">
        <v>45451</v>
      </c>
      <c r="D1274" s="4" t="s">
        <v>98</v>
      </c>
      <c r="E1274" s="4" t="s">
        <v>24</v>
      </c>
      <c r="F1274" s="4" t="s">
        <v>58</v>
      </c>
      <c r="G1274" s="4" t="s">
        <v>92</v>
      </c>
      <c r="H1274" s="4" t="s">
        <v>3485</v>
      </c>
      <c r="I1274" s="4" t="s">
        <v>61</v>
      </c>
      <c r="J1274" s="4" t="s">
        <v>79</v>
      </c>
      <c r="K1274" s="4" t="s">
        <v>44</v>
      </c>
      <c r="L1274" s="4" t="s">
        <v>163</v>
      </c>
      <c r="M1274" s="4" t="s">
        <v>65</v>
      </c>
      <c r="N1274" s="4" t="s">
        <v>54</v>
      </c>
      <c r="O1274" s="4" t="s">
        <v>46</v>
      </c>
      <c r="P1274" s="4" t="s">
        <v>88</v>
      </c>
      <c r="Q1274" s="4">
        <v>2</v>
      </c>
      <c r="R1274" s="4">
        <v>7161</v>
      </c>
      <c r="S1274" s="5">
        <v>5</v>
      </c>
      <c r="T1274" s="6">
        <f t="shared" si="57"/>
        <v>13605.9</v>
      </c>
      <c r="U1274" s="4">
        <v>620.42999999999995</v>
      </c>
      <c r="V1274" t="str">
        <f t="shared" si="58"/>
        <v>Jun</v>
      </c>
      <c r="W1274">
        <f t="shared" si="59"/>
        <v>4.5600070557625737E-2</v>
      </c>
    </row>
    <row r="1275" spans="1:23" x14ac:dyDescent="0.4">
      <c r="A1275" s="4" t="s">
        <v>3486</v>
      </c>
      <c r="B1275" s="4" t="s">
        <v>1126</v>
      </c>
      <c r="C1275" s="11">
        <v>44965</v>
      </c>
      <c r="D1275" s="4" t="s">
        <v>39</v>
      </c>
      <c r="E1275" s="4" t="s">
        <v>24</v>
      </c>
      <c r="F1275" s="4" t="s">
        <v>58</v>
      </c>
      <c r="G1275" s="4" t="s">
        <v>59</v>
      </c>
      <c r="H1275" s="4" t="s">
        <v>3487</v>
      </c>
      <c r="I1275" s="4" t="s">
        <v>43</v>
      </c>
      <c r="J1275" s="4" t="s">
        <v>29</v>
      </c>
      <c r="K1275" s="4" t="s">
        <v>86</v>
      </c>
      <c r="L1275" s="4" t="s">
        <v>718</v>
      </c>
      <c r="M1275" s="4" t="s">
        <v>65</v>
      </c>
      <c r="N1275" s="4" t="s">
        <v>33</v>
      </c>
      <c r="O1275" s="4" t="s">
        <v>46</v>
      </c>
      <c r="P1275" s="4" t="s">
        <v>88</v>
      </c>
      <c r="Q1275" s="4">
        <v>4</v>
      </c>
      <c r="R1275" s="4">
        <v>35293</v>
      </c>
      <c r="S1275" s="5">
        <v>0</v>
      </c>
      <c r="T1275" s="6">
        <f t="shared" si="57"/>
        <v>141172</v>
      </c>
      <c r="U1275" s="4">
        <v>34111.31</v>
      </c>
      <c r="V1275" t="str">
        <f t="shared" si="58"/>
        <v>Jan</v>
      </c>
      <c r="W1275">
        <f t="shared" si="59"/>
        <v>0.24162943076530755</v>
      </c>
    </row>
    <row r="1276" spans="1:23" x14ac:dyDescent="0.4">
      <c r="A1276" s="4" t="s">
        <v>3488</v>
      </c>
      <c r="B1276" s="4" t="s">
        <v>3462</v>
      </c>
      <c r="C1276" s="11">
        <v>44615</v>
      </c>
      <c r="D1276" s="4" t="s">
        <v>98</v>
      </c>
      <c r="E1276" s="4" t="s">
        <v>24</v>
      </c>
      <c r="F1276" s="4" t="s">
        <v>70</v>
      </c>
      <c r="G1276" s="4" t="s">
        <v>92</v>
      </c>
      <c r="H1276" s="4" t="s">
        <v>3489</v>
      </c>
      <c r="I1276" s="4" t="s">
        <v>61</v>
      </c>
      <c r="J1276" s="4" t="s">
        <v>29</v>
      </c>
      <c r="K1276" s="4" t="s">
        <v>101</v>
      </c>
      <c r="L1276" s="4" t="s">
        <v>770</v>
      </c>
      <c r="M1276" s="4" t="s">
        <v>95</v>
      </c>
      <c r="N1276" s="4" t="s">
        <v>54</v>
      </c>
      <c r="O1276" s="4" t="s">
        <v>34</v>
      </c>
      <c r="P1276" s="4" t="s">
        <v>47</v>
      </c>
      <c r="Q1276" s="4">
        <v>6</v>
      </c>
      <c r="R1276" s="4">
        <v>19871</v>
      </c>
      <c r="S1276" s="5">
        <v>5</v>
      </c>
      <c r="T1276" s="6">
        <f t="shared" si="57"/>
        <v>113264.7</v>
      </c>
      <c r="U1276" s="4">
        <v>26618.83</v>
      </c>
      <c r="V1276" t="str">
        <f t="shared" si="58"/>
        <v>Feb</v>
      </c>
      <c r="W1276">
        <f t="shared" si="59"/>
        <v>0.23501435133806034</v>
      </c>
    </row>
    <row r="1277" spans="1:23" x14ac:dyDescent="0.4">
      <c r="A1277" s="4" t="s">
        <v>3490</v>
      </c>
      <c r="B1277" s="4" t="s">
        <v>542</v>
      </c>
      <c r="C1277" s="11">
        <v>45205</v>
      </c>
      <c r="D1277" s="4" t="s">
        <v>23</v>
      </c>
      <c r="E1277" s="4" t="s">
        <v>24</v>
      </c>
      <c r="F1277" s="4" t="s">
        <v>25</v>
      </c>
      <c r="G1277" s="4" t="s">
        <v>92</v>
      </c>
      <c r="H1277" s="4" t="s">
        <v>3491</v>
      </c>
      <c r="I1277" s="4" t="s">
        <v>43</v>
      </c>
      <c r="J1277" s="4" t="s">
        <v>79</v>
      </c>
      <c r="K1277" s="4" t="s">
        <v>30</v>
      </c>
      <c r="L1277" s="4" t="s">
        <v>993</v>
      </c>
      <c r="M1277" s="4" t="s">
        <v>65</v>
      </c>
      <c r="N1277" s="4" t="s">
        <v>33</v>
      </c>
      <c r="O1277" s="4" t="s">
        <v>120</v>
      </c>
      <c r="P1277" s="4" t="s">
        <v>47</v>
      </c>
      <c r="Q1277" s="4">
        <v>2</v>
      </c>
      <c r="R1277" s="4">
        <v>23750</v>
      </c>
      <c r="S1277" s="5">
        <v>15</v>
      </c>
      <c r="T1277" s="6">
        <f t="shared" si="57"/>
        <v>40375</v>
      </c>
      <c r="U1277" s="4">
        <v>3169.12</v>
      </c>
      <c r="V1277" t="str">
        <f t="shared" si="58"/>
        <v>Sep</v>
      </c>
      <c r="W1277">
        <f t="shared" si="59"/>
        <v>7.8492136222910208E-2</v>
      </c>
    </row>
    <row r="1278" spans="1:23" x14ac:dyDescent="0.4">
      <c r="A1278" s="4" t="s">
        <v>3492</v>
      </c>
      <c r="B1278" s="4" t="s">
        <v>2119</v>
      </c>
      <c r="C1278" s="11">
        <v>44896</v>
      </c>
      <c r="D1278" s="4" t="s">
        <v>39</v>
      </c>
      <c r="E1278" s="4" t="s">
        <v>24</v>
      </c>
      <c r="F1278" s="4" t="s">
        <v>58</v>
      </c>
      <c r="G1278" s="4" t="s">
        <v>99</v>
      </c>
      <c r="H1278" s="4" t="s">
        <v>3493</v>
      </c>
      <c r="I1278" s="4" t="s">
        <v>61</v>
      </c>
      <c r="J1278" s="4" t="s">
        <v>29</v>
      </c>
      <c r="K1278" s="4" t="s">
        <v>86</v>
      </c>
      <c r="L1278" s="4" t="s">
        <v>956</v>
      </c>
      <c r="M1278" s="4" t="s">
        <v>65</v>
      </c>
      <c r="N1278" s="4" t="s">
        <v>33</v>
      </c>
      <c r="O1278" s="4" t="s">
        <v>82</v>
      </c>
      <c r="P1278" s="4" t="s">
        <v>88</v>
      </c>
      <c r="Q1278" s="4">
        <v>7</v>
      </c>
      <c r="R1278" s="4">
        <v>45971</v>
      </c>
      <c r="S1278" s="5">
        <v>5</v>
      </c>
      <c r="T1278" s="6">
        <f t="shared" si="57"/>
        <v>305707.15000000002</v>
      </c>
      <c r="U1278" s="4">
        <v>16859.560000000001</v>
      </c>
      <c r="V1278" t="str">
        <f t="shared" si="58"/>
        <v>Nov</v>
      </c>
      <c r="W1278">
        <f t="shared" si="59"/>
        <v>5.5149380706339381E-2</v>
      </c>
    </row>
    <row r="1279" spans="1:23" x14ac:dyDescent="0.4">
      <c r="A1279" s="4" t="s">
        <v>3494</v>
      </c>
      <c r="B1279" s="4" t="s">
        <v>3032</v>
      </c>
      <c r="C1279" s="11">
        <v>44598</v>
      </c>
      <c r="D1279" s="4" t="s">
        <v>23</v>
      </c>
      <c r="E1279" s="4" t="s">
        <v>24</v>
      </c>
      <c r="F1279" s="4" t="s">
        <v>58</v>
      </c>
      <c r="G1279" s="4" t="s">
        <v>41</v>
      </c>
      <c r="H1279" s="4" t="s">
        <v>3495</v>
      </c>
      <c r="I1279" s="4" t="s">
        <v>61</v>
      </c>
      <c r="J1279" s="4" t="s">
        <v>79</v>
      </c>
      <c r="K1279" s="4" t="s">
        <v>44</v>
      </c>
      <c r="L1279" s="4" t="s">
        <v>329</v>
      </c>
      <c r="M1279" s="4" t="s">
        <v>81</v>
      </c>
      <c r="N1279" s="4" t="s">
        <v>54</v>
      </c>
      <c r="O1279" s="4" t="s">
        <v>46</v>
      </c>
      <c r="P1279" s="4" t="s">
        <v>47</v>
      </c>
      <c r="Q1279" s="4">
        <v>9</v>
      </c>
      <c r="R1279" s="4">
        <v>25978</v>
      </c>
      <c r="S1279" s="5">
        <v>15</v>
      </c>
      <c r="T1279" s="6">
        <f t="shared" si="57"/>
        <v>198731.7</v>
      </c>
      <c r="U1279" s="4">
        <v>-15763.77</v>
      </c>
      <c r="V1279" t="str">
        <f t="shared" si="58"/>
        <v>Jan</v>
      </c>
      <c r="W1279">
        <f t="shared" si="59"/>
        <v>-7.9321869636298586E-2</v>
      </c>
    </row>
    <row r="1280" spans="1:23" x14ac:dyDescent="0.4">
      <c r="A1280" s="4" t="s">
        <v>3496</v>
      </c>
      <c r="B1280" s="4" t="s">
        <v>262</v>
      </c>
      <c r="C1280" s="11">
        <v>44799</v>
      </c>
      <c r="D1280" s="4" t="s">
        <v>39</v>
      </c>
      <c r="E1280" s="4" t="s">
        <v>24</v>
      </c>
      <c r="F1280" s="4" t="s">
        <v>58</v>
      </c>
      <c r="G1280" s="4" t="s">
        <v>59</v>
      </c>
      <c r="H1280" s="4" t="s">
        <v>3497</v>
      </c>
      <c r="I1280" s="4" t="s">
        <v>61</v>
      </c>
      <c r="J1280" s="4" t="s">
        <v>29</v>
      </c>
      <c r="K1280" s="4" t="s">
        <v>44</v>
      </c>
      <c r="L1280" s="4" t="s">
        <v>203</v>
      </c>
      <c r="M1280" s="4" t="s">
        <v>65</v>
      </c>
      <c r="N1280" s="4" t="s">
        <v>54</v>
      </c>
      <c r="O1280" s="4" t="s">
        <v>46</v>
      </c>
      <c r="P1280" s="4" t="s">
        <v>47</v>
      </c>
      <c r="Q1280" s="4">
        <v>10</v>
      </c>
      <c r="R1280" s="4">
        <v>28297</v>
      </c>
      <c r="S1280" s="5">
        <v>15</v>
      </c>
      <c r="T1280" s="6">
        <f t="shared" si="57"/>
        <v>240524.5</v>
      </c>
      <c r="U1280" s="4">
        <v>3545.4</v>
      </c>
      <c r="V1280" t="str">
        <f t="shared" si="58"/>
        <v>Aug</v>
      </c>
      <c r="W1280">
        <f t="shared" si="59"/>
        <v>1.4740286332577348E-2</v>
      </c>
    </row>
    <row r="1281" spans="1:23" x14ac:dyDescent="0.4">
      <c r="A1281" s="4" t="s">
        <v>3498</v>
      </c>
      <c r="B1281" s="4" t="s">
        <v>470</v>
      </c>
      <c r="C1281" s="11">
        <v>44821</v>
      </c>
      <c r="D1281" s="4" t="s">
        <v>39</v>
      </c>
      <c r="E1281" s="4" t="s">
        <v>24</v>
      </c>
      <c r="F1281" s="4" t="s">
        <v>26</v>
      </c>
      <c r="G1281" s="4" t="s">
        <v>99</v>
      </c>
      <c r="H1281" s="4" t="s">
        <v>3499</v>
      </c>
      <c r="I1281" s="4" t="s">
        <v>43</v>
      </c>
      <c r="J1281" s="4" t="s">
        <v>79</v>
      </c>
      <c r="K1281" s="4" t="s">
        <v>153</v>
      </c>
      <c r="L1281" s="4" t="s">
        <v>1009</v>
      </c>
      <c r="M1281" s="4" t="s">
        <v>53</v>
      </c>
      <c r="N1281" s="4" t="s">
        <v>33</v>
      </c>
      <c r="O1281" s="4" t="s">
        <v>82</v>
      </c>
      <c r="P1281" s="4" t="s">
        <v>47</v>
      </c>
      <c r="Q1281" s="4">
        <v>7</v>
      </c>
      <c r="R1281" s="4">
        <v>11149</v>
      </c>
      <c r="S1281" s="5">
        <v>20</v>
      </c>
      <c r="T1281" s="6">
        <f t="shared" si="57"/>
        <v>62434.400000000001</v>
      </c>
      <c r="U1281" s="4">
        <v>5791.26</v>
      </c>
      <c r="V1281" t="str">
        <f t="shared" si="58"/>
        <v>Sep</v>
      </c>
      <c r="W1281">
        <f t="shared" si="59"/>
        <v>9.2757518291198437E-2</v>
      </c>
    </row>
    <row r="1282" spans="1:23" x14ac:dyDescent="0.4">
      <c r="A1282" s="4" t="s">
        <v>3500</v>
      </c>
      <c r="B1282" s="4" t="s">
        <v>1382</v>
      </c>
      <c r="C1282" s="11">
        <v>44884</v>
      </c>
      <c r="D1282" s="4" t="s">
        <v>39</v>
      </c>
      <c r="E1282" s="4" t="s">
        <v>24</v>
      </c>
      <c r="F1282" s="4" t="s">
        <v>58</v>
      </c>
      <c r="G1282" s="4" t="s">
        <v>41</v>
      </c>
      <c r="H1282" s="4" t="s">
        <v>3502</v>
      </c>
      <c r="I1282" s="4" t="s">
        <v>28</v>
      </c>
      <c r="J1282" s="4" t="s">
        <v>62</v>
      </c>
      <c r="K1282" s="4" t="s">
        <v>63</v>
      </c>
      <c r="L1282" s="4" t="s">
        <v>839</v>
      </c>
      <c r="M1282" s="4" t="s">
        <v>32</v>
      </c>
      <c r="N1282" s="4" t="s">
        <v>54</v>
      </c>
      <c r="O1282" s="4" t="s">
        <v>82</v>
      </c>
      <c r="P1282" s="4" t="s">
        <v>47</v>
      </c>
      <c r="Q1282" s="4">
        <v>4</v>
      </c>
      <c r="R1282" s="4">
        <v>29909</v>
      </c>
      <c r="S1282" s="5">
        <v>5</v>
      </c>
      <c r="T1282" s="6">
        <f t="shared" si="57"/>
        <v>113654.2</v>
      </c>
      <c r="U1282" s="4">
        <v>25616.880000000001</v>
      </c>
      <c r="V1282" t="str">
        <f t="shared" si="58"/>
        <v>Nov</v>
      </c>
      <c r="W1282">
        <f t="shared" si="59"/>
        <v>0.22539316628861936</v>
      </c>
    </row>
    <row r="1283" spans="1:23" x14ac:dyDescent="0.4">
      <c r="A1283" s="4" t="s">
        <v>3503</v>
      </c>
      <c r="B1283" s="4" t="s">
        <v>313</v>
      </c>
      <c r="C1283" s="11">
        <v>45550</v>
      </c>
      <c r="D1283" s="4" t="s">
        <v>124</v>
      </c>
      <c r="E1283" s="4" t="s">
        <v>24</v>
      </c>
      <c r="F1283" s="4" t="s">
        <v>26</v>
      </c>
      <c r="G1283" s="4" t="s">
        <v>26</v>
      </c>
      <c r="H1283" s="4" t="s">
        <v>3504</v>
      </c>
      <c r="I1283" s="4" t="s">
        <v>43</v>
      </c>
      <c r="J1283" s="4" t="s">
        <v>29</v>
      </c>
      <c r="K1283" s="4" t="s">
        <v>101</v>
      </c>
      <c r="L1283" s="4" t="s">
        <v>1009</v>
      </c>
      <c r="M1283" s="4" t="s">
        <v>95</v>
      </c>
      <c r="N1283" s="4" t="s">
        <v>33</v>
      </c>
      <c r="O1283" s="4" t="s">
        <v>82</v>
      </c>
      <c r="P1283" s="4" t="s">
        <v>88</v>
      </c>
      <c r="Q1283" s="4">
        <v>9</v>
      </c>
      <c r="R1283" s="4">
        <v>49285</v>
      </c>
      <c r="S1283" s="5">
        <v>5</v>
      </c>
      <c r="T1283" s="6">
        <f t="shared" ref="T1283:T1346" si="60">Q1283*R1283*(100-S1283)/100</f>
        <v>421386.75</v>
      </c>
      <c r="U1283" s="4">
        <v>24548.77</v>
      </c>
      <c r="V1283" t="str">
        <f t="shared" ref="V1283:V1346" si="61">TEXT(B1283,"MMM")</f>
        <v>Sep</v>
      </c>
      <c r="W1283">
        <f t="shared" ref="W1283:W1346" si="62">U1283/T1283</f>
        <v>5.8257099920678568E-2</v>
      </c>
    </row>
    <row r="1284" spans="1:23" x14ac:dyDescent="0.4">
      <c r="A1284" s="4" t="s">
        <v>3505</v>
      </c>
      <c r="B1284" s="4" t="s">
        <v>1377</v>
      </c>
      <c r="C1284" s="11">
        <v>45515</v>
      </c>
      <c r="D1284" s="4" t="s">
        <v>39</v>
      </c>
      <c r="E1284" s="4" t="s">
        <v>24</v>
      </c>
      <c r="F1284" s="4" t="s">
        <v>58</v>
      </c>
      <c r="G1284" s="4" t="s">
        <v>26</v>
      </c>
      <c r="H1284" s="4" t="s">
        <v>3506</v>
      </c>
      <c r="I1284" s="4" t="s">
        <v>43</v>
      </c>
      <c r="J1284" s="4" t="s">
        <v>79</v>
      </c>
      <c r="K1284" s="4" t="s">
        <v>153</v>
      </c>
      <c r="L1284" s="4" t="s">
        <v>1278</v>
      </c>
      <c r="M1284" s="4" t="s">
        <v>53</v>
      </c>
      <c r="N1284" s="4" t="s">
        <v>54</v>
      </c>
      <c r="O1284" s="4" t="s">
        <v>34</v>
      </c>
      <c r="P1284" s="4" t="s">
        <v>35</v>
      </c>
      <c r="Q1284" s="4">
        <v>9</v>
      </c>
      <c r="R1284" s="4">
        <v>5660</v>
      </c>
      <c r="S1284" s="5">
        <v>15</v>
      </c>
      <c r="T1284" s="6">
        <f t="shared" si="60"/>
        <v>43299</v>
      </c>
      <c r="U1284" s="4">
        <v>-2606.29</v>
      </c>
      <c r="V1284" t="str">
        <f t="shared" si="61"/>
        <v>Aug</v>
      </c>
      <c r="W1284">
        <f t="shared" si="62"/>
        <v>-6.0192845100348738E-2</v>
      </c>
    </row>
    <row r="1285" spans="1:23" x14ac:dyDescent="0.4">
      <c r="A1285" s="4" t="s">
        <v>3507</v>
      </c>
      <c r="B1285" s="4" t="s">
        <v>2605</v>
      </c>
      <c r="C1285" s="11">
        <v>44798</v>
      </c>
      <c r="D1285" s="4" t="s">
        <v>98</v>
      </c>
      <c r="E1285" s="4" t="s">
        <v>24</v>
      </c>
      <c r="F1285" s="4" t="s">
        <v>26</v>
      </c>
      <c r="G1285" s="4" t="s">
        <v>59</v>
      </c>
      <c r="H1285" s="4" t="s">
        <v>2370</v>
      </c>
      <c r="I1285" s="4" t="s">
        <v>61</v>
      </c>
      <c r="J1285" s="4" t="s">
        <v>79</v>
      </c>
      <c r="K1285" s="4" t="s">
        <v>44</v>
      </c>
      <c r="L1285" s="4" t="s">
        <v>301</v>
      </c>
      <c r="M1285" s="4" t="s">
        <v>32</v>
      </c>
      <c r="N1285" s="4" t="s">
        <v>33</v>
      </c>
      <c r="O1285" s="4" t="s">
        <v>34</v>
      </c>
      <c r="P1285" s="4" t="s">
        <v>35</v>
      </c>
      <c r="Q1285" s="4">
        <v>10</v>
      </c>
      <c r="R1285" s="4">
        <v>43461</v>
      </c>
      <c r="S1285" s="5">
        <v>20</v>
      </c>
      <c r="T1285" s="6">
        <f t="shared" si="60"/>
        <v>347688</v>
      </c>
      <c r="U1285" s="4">
        <v>-4353.37</v>
      </c>
      <c r="V1285" t="str">
        <f t="shared" si="61"/>
        <v>Aug</v>
      </c>
      <c r="W1285">
        <f t="shared" si="62"/>
        <v>-1.2520909551091784E-2</v>
      </c>
    </row>
    <row r="1286" spans="1:23" x14ac:dyDescent="0.4">
      <c r="A1286" s="4" t="s">
        <v>3508</v>
      </c>
      <c r="B1286" s="4" t="s">
        <v>3468</v>
      </c>
      <c r="C1286" s="11">
        <v>45246</v>
      </c>
      <c r="D1286" s="4" t="s">
        <v>23</v>
      </c>
      <c r="E1286" s="4" t="s">
        <v>24</v>
      </c>
      <c r="F1286" s="4" t="s">
        <v>40</v>
      </c>
      <c r="G1286" s="4" t="s">
        <v>59</v>
      </c>
      <c r="H1286" s="4" t="s">
        <v>3509</v>
      </c>
      <c r="I1286" s="4" t="s">
        <v>43</v>
      </c>
      <c r="J1286" s="4" t="s">
        <v>79</v>
      </c>
      <c r="K1286" s="4" t="s">
        <v>30</v>
      </c>
      <c r="L1286" s="4" t="s">
        <v>2057</v>
      </c>
      <c r="M1286" s="4" t="s">
        <v>32</v>
      </c>
      <c r="N1286" s="4" t="s">
        <v>54</v>
      </c>
      <c r="O1286" s="4" t="s">
        <v>66</v>
      </c>
      <c r="P1286" s="4" t="s">
        <v>88</v>
      </c>
      <c r="Q1286" s="4">
        <v>2</v>
      </c>
      <c r="R1286" s="4">
        <v>7103</v>
      </c>
      <c r="S1286" s="5">
        <v>20</v>
      </c>
      <c r="T1286" s="6">
        <f t="shared" si="60"/>
        <v>11364.8</v>
      </c>
      <c r="U1286" s="4">
        <v>-1726.64</v>
      </c>
      <c r="V1286" t="str">
        <f t="shared" si="61"/>
        <v>Nov</v>
      </c>
      <c r="W1286">
        <f t="shared" si="62"/>
        <v>-0.15192876249472057</v>
      </c>
    </row>
    <row r="1287" spans="1:23" x14ac:dyDescent="0.4">
      <c r="A1287" s="4" t="s">
        <v>3510</v>
      </c>
      <c r="B1287" s="4" t="s">
        <v>2209</v>
      </c>
      <c r="C1287" s="11">
        <v>45131</v>
      </c>
      <c r="D1287" s="4" t="s">
        <v>39</v>
      </c>
      <c r="E1287" s="4" t="s">
        <v>24</v>
      </c>
      <c r="F1287" s="4" t="s">
        <v>70</v>
      </c>
      <c r="G1287" s="4" t="s">
        <v>26</v>
      </c>
      <c r="H1287" s="4" t="s">
        <v>3511</v>
      </c>
      <c r="I1287" s="4" t="s">
        <v>28</v>
      </c>
      <c r="J1287" s="4" t="s">
        <v>62</v>
      </c>
      <c r="K1287" s="4" t="s">
        <v>44</v>
      </c>
      <c r="L1287" s="4" t="s">
        <v>52</v>
      </c>
      <c r="M1287" s="4" t="s">
        <v>65</v>
      </c>
      <c r="N1287" s="4" t="s">
        <v>54</v>
      </c>
      <c r="O1287" s="4" t="s">
        <v>34</v>
      </c>
      <c r="P1287" s="4" t="s">
        <v>88</v>
      </c>
      <c r="Q1287" s="4">
        <v>8</v>
      </c>
      <c r="R1287" s="4">
        <v>49083</v>
      </c>
      <c r="S1287" s="5">
        <v>0</v>
      </c>
      <c r="T1287" s="6">
        <f t="shared" si="60"/>
        <v>392664</v>
      </c>
      <c r="U1287" s="4">
        <v>84092.89</v>
      </c>
      <c r="V1287" t="str">
        <f t="shared" si="61"/>
        <v>Jul</v>
      </c>
      <c r="W1287">
        <f t="shared" si="62"/>
        <v>0.21415991789417924</v>
      </c>
    </row>
    <row r="1288" spans="1:23" x14ac:dyDescent="0.4">
      <c r="A1288" s="4" t="s">
        <v>3512</v>
      </c>
      <c r="B1288" s="4" t="s">
        <v>2032</v>
      </c>
      <c r="C1288" s="11">
        <v>44742</v>
      </c>
      <c r="D1288" s="4" t="s">
        <v>98</v>
      </c>
      <c r="E1288" s="4" t="s">
        <v>24</v>
      </c>
      <c r="F1288" s="4" t="s">
        <v>40</v>
      </c>
      <c r="G1288" s="4" t="s">
        <v>26</v>
      </c>
      <c r="H1288" s="4" t="s">
        <v>3513</v>
      </c>
      <c r="I1288" s="4" t="s">
        <v>61</v>
      </c>
      <c r="J1288" s="4" t="s">
        <v>62</v>
      </c>
      <c r="K1288" s="4" t="s">
        <v>63</v>
      </c>
      <c r="L1288" s="4" t="s">
        <v>329</v>
      </c>
      <c r="M1288" s="4" t="s">
        <v>65</v>
      </c>
      <c r="N1288" s="4" t="s">
        <v>33</v>
      </c>
      <c r="O1288" s="4" t="s">
        <v>82</v>
      </c>
      <c r="P1288" s="4" t="s">
        <v>88</v>
      </c>
      <c r="Q1288" s="4">
        <v>10</v>
      </c>
      <c r="R1288" s="4">
        <v>14186</v>
      </c>
      <c r="S1288" s="5">
        <v>10</v>
      </c>
      <c r="T1288" s="6">
        <f t="shared" si="60"/>
        <v>127674</v>
      </c>
      <c r="U1288" s="4">
        <v>9611.1</v>
      </c>
      <c r="V1288" t="str">
        <f t="shared" si="61"/>
        <v>Jun</v>
      </c>
      <c r="W1288">
        <f t="shared" si="62"/>
        <v>7.5278443535880452E-2</v>
      </c>
    </row>
    <row r="1289" spans="1:23" x14ac:dyDescent="0.4">
      <c r="A1289" s="4" t="s">
        <v>3514</v>
      </c>
      <c r="B1289" s="4" t="s">
        <v>1683</v>
      </c>
      <c r="C1289" s="11">
        <v>44921</v>
      </c>
      <c r="D1289" s="4" t="s">
        <v>39</v>
      </c>
      <c r="E1289" s="4" t="s">
        <v>24</v>
      </c>
      <c r="F1289" s="4" t="s">
        <v>58</v>
      </c>
      <c r="G1289" s="4" t="s">
        <v>92</v>
      </c>
      <c r="H1289" s="4" t="s">
        <v>3515</v>
      </c>
      <c r="I1289" s="4" t="s">
        <v>43</v>
      </c>
      <c r="J1289" s="4" t="s">
        <v>79</v>
      </c>
      <c r="K1289" s="4" t="s">
        <v>44</v>
      </c>
      <c r="L1289" s="4" t="s">
        <v>843</v>
      </c>
      <c r="M1289" s="4" t="s">
        <v>81</v>
      </c>
      <c r="N1289" s="4" t="s">
        <v>33</v>
      </c>
      <c r="O1289" s="4" t="s">
        <v>82</v>
      </c>
      <c r="P1289" s="4" t="s">
        <v>47</v>
      </c>
      <c r="Q1289" s="4">
        <v>8</v>
      </c>
      <c r="R1289" s="4">
        <v>3726</v>
      </c>
      <c r="S1289" s="5">
        <v>5</v>
      </c>
      <c r="T1289" s="6">
        <f t="shared" si="60"/>
        <v>28317.599999999999</v>
      </c>
      <c r="U1289" s="4">
        <v>968.7</v>
      </c>
      <c r="V1289" t="str">
        <f t="shared" si="61"/>
        <v>Dec</v>
      </c>
      <c r="W1289">
        <f t="shared" si="62"/>
        <v>3.4208407492160357E-2</v>
      </c>
    </row>
    <row r="1290" spans="1:23" x14ac:dyDescent="0.4">
      <c r="A1290" s="4" t="s">
        <v>3516</v>
      </c>
      <c r="B1290" s="4" t="s">
        <v>50</v>
      </c>
      <c r="C1290" s="11">
        <v>44587</v>
      </c>
      <c r="D1290" s="4" t="s">
        <v>124</v>
      </c>
      <c r="E1290" s="4" t="s">
        <v>24</v>
      </c>
      <c r="F1290" s="4" t="s">
        <v>70</v>
      </c>
      <c r="G1290" s="4" t="s">
        <v>41</v>
      </c>
      <c r="H1290" s="4" t="s">
        <v>3517</v>
      </c>
      <c r="I1290" s="4" t="s">
        <v>61</v>
      </c>
      <c r="J1290" s="4" t="s">
        <v>79</v>
      </c>
      <c r="K1290" s="4" t="s">
        <v>86</v>
      </c>
      <c r="L1290" s="4" t="s">
        <v>1353</v>
      </c>
      <c r="M1290" s="4" t="s">
        <v>53</v>
      </c>
      <c r="N1290" s="4" t="s">
        <v>54</v>
      </c>
      <c r="O1290" s="4" t="s">
        <v>120</v>
      </c>
      <c r="P1290" s="4" t="s">
        <v>35</v>
      </c>
      <c r="Q1290" s="4">
        <v>10</v>
      </c>
      <c r="R1290" s="4">
        <v>40257</v>
      </c>
      <c r="S1290" s="5">
        <v>0</v>
      </c>
      <c r="T1290" s="6">
        <f t="shared" si="60"/>
        <v>402570</v>
      </c>
      <c r="U1290" s="4">
        <v>50605.32</v>
      </c>
      <c r="V1290" t="str">
        <f t="shared" si="61"/>
        <v>Jan</v>
      </c>
      <c r="W1290">
        <f t="shared" si="62"/>
        <v>0.12570564125493702</v>
      </c>
    </row>
    <row r="1291" spans="1:23" x14ac:dyDescent="0.4">
      <c r="A1291" s="4" t="s">
        <v>3518</v>
      </c>
      <c r="B1291" s="4" t="s">
        <v>1792</v>
      </c>
      <c r="C1291" s="11">
        <v>45499</v>
      </c>
      <c r="D1291" s="4" t="s">
        <v>23</v>
      </c>
      <c r="E1291" s="4" t="s">
        <v>24</v>
      </c>
      <c r="F1291" s="4" t="s">
        <v>25</v>
      </c>
      <c r="G1291" s="4" t="s">
        <v>59</v>
      </c>
      <c r="H1291" s="4" t="s">
        <v>3519</v>
      </c>
      <c r="I1291" s="4" t="s">
        <v>61</v>
      </c>
      <c r="J1291" s="4" t="s">
        <v>79</v>
      </c>
      <c r="K1291" s="4" t="s">
        <v>30</v>
      </c>
      <c r="L1291" s="4" t="s">
        <v>601</v>
      </c>
      <c r="M1291" s="4" t="s">
        <v>81</v>
      </c>
      <c r="N1291" s="4" t="s">
        <v>33</v>
      </c>
      <c r="O1291" s="4" t="s">
        <v>46</v>
      </c>
      <c r="P1291" s="4" t="s">
        <v>74</v>
      </c>
      <c r="Q1291" s="4">
        <v>8</v>
      </c>
      <c r="R1291" s="4">
        <v>2897</v>
      </c>
      <c r="S1291" s="5">
        <v>10</v>
      </c>
      <c r="T1291" s="6">
        <f t="shared" si="60"/>
        <v>20858.400000000001</v>
      </c>
      <c r="U1291" s="4">
        <v>2685.46</v>
      </c>
      <c r="V1291" t="str">
        <f t="shared" si="61"/>
        <v>Jul</v>
      </c>
      <c r="W1291">
        <f t="shared" si="62"/>
        <v>0.12874717140336747</v>
      </c>
    </row>
    <row r="1292" spans="1:23" x14ac:dyDescent="0.4">
      <c r="A1292" s="4" t="s">
        <v>3520</v>
      </c>
      <c r="B1292" s="4" t="s">
        <v>3521</v>
      </c>
      <c r="C1292" s="11">
        <v>45396</v>
      </c>
      <c r="D1292" s="4" t="s">
        <v>23</v>
      </c>
      <c r="E1292" s="4" t="s">
        <v>24</v>
      </c>
      <c r="F1292" s="4" t="s">
        <v>26</v>
      </c>
      <c r="G1292" s="4" t="s">
        <v>26</v>
      </c>
      <c r="H1292" s="4" t="s">
        <v>3522</v>
      </c>
      <c r="I1292" s="4" t="s">
        <v>61</v>
      </c>
      <c r="J1292" s="4" t="s">
        <v>29</v>
      </c>
      <c r="K1292" s="4" t="s">
        <v>44</v>
      </c>
      <c r="L1292" s="4" t="s">
        <v>396</v>
      </c>
      <c r="M1292" s="4" t="s">
        <v>65</v>
      </c>
      <c r="N1292" s="4" t="s">
        <v>54</v>
      </c>
      <c r="O1292" s="4" t="s">
        <v>46</v>
      </c>
      <c r="P1292" s="4" t="s">
        <v>88</v>
      </c>
      <c r="Q1292" s="4">
        <v>5</v>
      </c>
      <c r="R1292" s="4">
        <v>6359</v>
      </c>
      <c r="S1292" s="5">
        <v>0</v>
      </c>
      <c r="T1292" s="6">
        <f t="shared" si="60"/>
        <v>31795</v>
      </c>
      <c r="U1292" s="4">
        <v>6581.37</v>
      </c>
      <c r="V1292" t="str">
        <f t="shared" si="61"/>
        <v>Apr</v>
      </c>
      <c r="W1292">
        <f t="shared" si="62"/>
        <v>0.20699386696021388</v>
      </c>
    </row>
    <row r="1293" spans="1:23" x14ac:dyDescent="0.4">
      <c r="A1293" s="4" t="s">
        <v>3523</v>
      </c>
      <c r="B1293" s="4" t="s">
        <v>226</v>
      </c>
      <c r="C1293" s="11">
        <v>45041</v>
      </c>
      <c r="D1293" s="4" t="s">
        <v>23</v>
      </c>
      <c r="E1293" s="4" t="s">
        <v>24</v>
      </c>
      <c r="F1293" s="4" t="s">
        <v>58</v>
      </c>
      <c r="G1293" s="4" t="s">
        <v>41</v>
      </c>
      <c r="H1293" s="4" t="s">
        <v>3524</v>
      </c>
      <c r="I1293" s="4" t="s">
        <v>28</v>
      </c>
      <c r="J1293" s="4" t="s">
        <v>62</v>
      </c>
      <c r="K1293" s="4" t="s">
        <v>86</v>
      </c>
      <c r="L1293" s="4" t="s">
        <v>186</v>
      </c>
      <c r="M1293" s="4" t="s">
        <v>95</v>
      </c>
      <c r="N1293" s="4" t="s">
        <v>33</v>
      </c>
      <c r="O1293" s="4" t="s">
        <v>82</v>
      </c>
      <c r="P1293" s="4" t="s">
        <v>35</v>
      </c>
      <c r="Q1293" s="4">
        <v>2</v>
      </c>
      <c r="R1293" s="4">
        <v>48263</v>
      </c>
      <c r="S1293" s="5">
        <v>20</v>
      </c>
      <c r="T1293" s="6">
        <f t="shared" si="60"/>
        <v>77220.800000000003</v>
      </c>
      <c r="U1293" s="4">
        <v>6288.93</v>
      </c>
      <c r="V1293" t="str">
        <f t="shared" si="61"/>
        <v>Apr</v>
      </c>
      <c r="W1293">
        <f t="shared" si="62"/>
        <v>8.1440881213351843E-2</v>
      </c>
    </row>
    <row r="1294" spans="1:23" x14ac:dyDescent="0.4">
      <c r="A1294" s="4" t="s">
        <v>3525</v>
      </c>
      <c r="B1294" s="4" t="s">
        <v>3111</v>
      </c>
      <c r="C1294" s="11">
        <v>45522</v>
      </c>
      <c r="D1294" s="4" t="s">
        <v>98</v>
      </c>
      <c r="E1294" s="4" t="s">
        <v>24</v>
      </c>
      <c r="F1294" s="4" t="s">
        <v>58</v>
      </c>
      <c r="G1294" s="4" t="s">
        <v>59</v>
      </c>
      <c r="H1294" s="4" t="s">
        <v>3526</v>
      </c>
      <c r="I1294" s="4" t="s">
        <v>28</v>
      </c>
      <c r="J1294" s="4" t="s">
        <v>29</v>
      </c>
      <c r="K1294" s="4" t="s">
        <v>63</v>
      </c>
      <c r="L1294" s="4" t="s">
        <v>154</v>
      </c>
      <c r="M1294" s="4" t="s">
        <v>32</v>
      </c>
      <c r="N1294" s="4" t="s">
        <v>54</v>
      </c>
      <c r="O1294" s="4" t="s">
        <v>82</v>
      </c>
      <c r="P1294" s="4" t="s">
        <v>47</v>
      </c>
      <c r="Q1294" s="4">
        <v>5</v>
      </c>
      <c r="R1294" s="4">
        <v>48739</v>
      </c>
      <c r="S1294" s="5">
        <v>5</v>
      </c>
      <c r="T1294" s="6">
        <f t="shared" si="60"/>
        <v>231510.25</v>
      </c>
      <c r="U1294" s="4">
        <v>23095.34</v>
      </c>
      <c r="V1294" t="str">
        <f t="shared" si="61"/>
        <v>Aug</v>
      </c>
      <c r="W1294">
        <f t="shared" si="62"/>
        <v>9.9759470692982272E-2</v>
      </c>
    </row>
    <row r="1295" spans="1:23" x14ac:dyDescent="0.4">
      <c r="A1295" s="4" t="s">
        <v>3527</v>
      </c>
      <c r="B1295" s="4" t="s">
        <v>1257</v>
      </c>
      <c r="C1295" s="11">
        <v>44589</v>
      </c>
      <c r="D1295" s="4" t="s">
        <v>23</v>
      </c>
      <c r="E1295" s="4" t="s">
        <v>24</v>
      </c>
      <c r="F1295" s="4" t="s">
        <v>70</v>
      </c>
      <c r="G1295" s="4" t="s">
        <v>92</v>
      </c>
      <c r="H1295" s="4" t="s">
        <v>3528</v>
      </c>
      <c r="I1295" s="4" t="s">
        <v>61</v>
      </c>
      <c r="J1295" s="4" t="s">
        <v>62</v>
      </c>
      <c r="K1295" s="4" t="s">
        <v>153</v>
      </c>
      <c r="L1295" s="4" t="s">
        <v>792</v>
      </c>
      <c r="M1295" s="4" t="s">
        <v>81</v>
      </c>
      <c r="N1295" s="4" t="s">
        <v>54</v>
      </c>
      <c r="O1295" s="4" t="s">
        <v>120</v>
      </c>
      <c r="P1295" s="4" t="s">
        <v>35</v>
      </c>
      <c r="Q1295" s="4">
        <v>9</v>
      </c>
      <c r="R1295" s="4">
        <v>27744</v>
      </c>
      <c r="S1295" s="5">
        <v>0</v>
      </c>
      <c r="T1295" s="6">
        <f t="shared" si="60"/>
        <v>249696</v>
      </c>
      <c r="U1295" s="4">
        <v>69493.25</v>
      </c>
      <c r="V1295" t="str">
        <f t="shared" si="61"/>
        <v>Jan</v>
      </c>
      <c r="W1295">
        <f t="shared" si="62"/>
        <v>0.27831142669486097</v>
      </c>
    </row>
    <row r="1296" spans="1:23" x14ac:dyDescent="0.4">
      <c r="A1296" s="4" t="s">
        <v>3529</v>
      </c>
      <c r="B1296" s="4" t="s">
        <v>533</v>
      </c>
      <c r="C1296" s="11">
        <v>45437</v>
      </c>
      <c r="D1296" s="4" t="s">
        <v>98</v>
      </c>
      <c r="E1296" s="4" t="s">
        <v>24</v>
      </c>
      <c r="F1296" s="4" t="s">
        <v>25</v>
      </c>
      <c r="G1296" s="4" t="s">
        <v>41</v>
      </c>
      <c r="H1296" s="4" t="s">
        <v>3530</v>
      </c>
      <c r="I1296" s="4" t="s">
        <v>61</v>
      </c>
      <c r="J1296" s="4" t="s">
        <v>62</v>
      </c>
      <c r="K1296" s="4" t="s">
        <v>153</v>
      </c>
      <c r="L1296" s="4" t="s">
        <v>181</v>
      </c>
      <c r="M1296" s="4" t="s">
        <v>81</v>
      </c>
      <c r="N1296" s="4" t="s">
        <v>33</v>
      </c>
      <c r="O1296" s="4" t="s">
        <v>46</v>
      </c>
      <c r="P1296" s="4" t="s">
        <v>88</v>
      </c>
      <c r="Q1296" s="4">
        <v>6</v>
      </c>
      <c r="R1296" s="4">
        <v>38060</v>
      </c>
      <c r="S1296" s="5">
        <v>0</v>
      </c>
      <c r="T1296" s="6">
        <f t="shared" si="60"/>
        <v>228360</v>
      </c>
      <c r="U1296" s="4">
        <v>40318.379999999997</v>
      </c>
      <c r="V1296" t="str">
        <f t="shared" si="61"/>
        <v>May</v>
      </c>
      <c r="W1296">
        <f t="shared" si="62"/>
        <v>0.17655622700998422</v>
      </c>
    </row>
    <row r="1297" spans="1:23" x14ac:dyDescent="0.4">
      <c r="A1297" s="4" t="s">
        <v>3531</v>
      </c>
      <c r="B1297" s="4" t="s">
        <v>2949</v>
      </c>
      <c r="C1297" s="11">
        <v>45073</v>
      </c>
      <c r="D1297" s="4" t="s">
        <v>98</v>
      </c>
      <c r="E1297" s="4" t="s">
        <v>24</v>
      </c>
      <c r="F1297" s="4" t="s">
        <v>70</v>
      </c>
      <c r="G1297" s="4" t="s">
        <v>92</v>
      </c>
      <c r="H1297" s="4" t="s">
        <v>3532</v>
      </c>
      <c r="I1297" s="4" t="s">
        <v>43</v>
      </c>
      <c r="J1297" s="4" t="s">
        <v>79</v>
      </c>
      <c r="K1297" s="4" t="s">
        <v>63</v>
      </c>
      <c r="L1297" s="4" t="s">
        <v>906</v>
      </c>
      <c r="M1297" s="4" t="s">
        <v>53</v>
      </c>
      <c r="N1297" s="4" t="s">
        <v>54</v>
      </c>
      <c r="O1297" s="4" t="s">
        <v>82</v>
      </c>
      <c r="P1297" s="4" t="s">
        <v>74</v>
      </c>
      <c r="Q1297" s="4">
        <v>3</v>
      </c>
      <c r="R1297" s="4">
        <v>35073</v>
      </c>
      <c r="S1297" s="5">
        <v>15</v>
      </c>
      <c r="T1297" s="6">
        <f t="shared" si="60"/>
        <v>89436.15</v>
      </c>
      <c r="U1297" s="4">
        <v>7812.91</v>
      </c>
      <c r="V1297" t="str">
        <f t="shared" si="61"/>
        <v>May</v>
      </c>
      <c r="W1297">
        <f t="shared" si="62"/>
        <v>8.7357405255033896E-2</v>
      </c>
    </row>
    <row r="1298" spans="1:23" x14ac:dyDescent="0.4">
      <c r="A1298" s="4" t="s">
        <v>3533</v>
      </c>
      <c r="B1298" s="4" t="s">
        <v>947</v>
      </c>
      <c r="C1298" s="11">
        <v>44986</v>
      </c>
      <c r="D1298" s="4" t="s">
        <v>98</v>
      </c>
      <c r="E1298" s="4" t="s">
        <v>24</v>
      </c>
      <c r="F1298" s="4" t="s">
        <v>26</v>
      </c>
      <c r="G1298" s="4" t="s">
        <v>59</v>
      </c>
      <c r="H1298" s="4" t="s">
        <v>3534</v>
      </c>
      <c r="I1298" s="4" t="s">
        <v>43</v>
      </c>
      <c r="J1298" s="4" t="s">
        <v>62</v>
      </c>
      <c r="K1298" s="4" t="s">
        <v>30</v>
      </c>
      <c r="L1298" s="4" t="s">
        <v>114</v>
      </c>
      <c r="M1298" s="4" t="s">
        <v>95</v>
      </c>
      <c r="N1298" s="4" t="s">
        <v>54</v>
      </c>
      <c r="O1298" s="4" t="s">
        <v>46</v>
      </c>
      <c r="P1298" s="4" t="s">
        <v>35</v>
      </c>
      <c r="Q1298" s="4">
        <v>3</v>
      </c>
      <c r="R1298" s="4">
        <v>12936</v>
      </c>
      <c r="S1298" s="5">
        <v>20</v>
      </c>
      <c r="T1298" s="6">
        <f t="shared" si="60"/>
        <v>31046.400000000001</v>
      </c>
      <c r="U1298" s="4">
        <v>-1585.51</v>
      </c>
      <c r="V1298" t="str">
        <f t="shared" si="61"/>
        <v>Feb</v>
      </c>
      <c r="W1298">
        <f t="shared" si="62"/>
        <v>-5.1069045042259328E-2</v>
      </c>
    </row>
    <row r="1299" spans="1:23" x14ac:dyDescent="0.4">
      <c r="A1299" s="4" t="s">
        <v>3535</v>
      </c>
      <c r="B1299" s="4" t="s">
        <v>275</v>
      </c>
      <c r="C1299" s="11">
        <v>44721</v>
      </c>
      <c r="D1299" s="4" t="s">
        <v>98</v>
      </c>
      <c r="E1299" s="4" t="s">
        <v>24</v>
      </c>
      <c r="F1299" s="4" t="s">
        <v>40</v>
      </c>
      <c r="G1299" s="4" t="s">
        <v>99</v>
      </c>
      <c r="H1299" s="4" t="s">
        <v>3536</v>
      </c>
      <c r="I1299" s="4" t="s">
        <v>61</v>
      </c>
      <c r="J1299" s="4" t="s">
        <v>79</v>
      </c>
      <c r="K1299" s="4" t="s">
        <v>153</v>
      </c>
      <c r="L1299" s="4" t="s">
        <v>1829</v>
      </c>
      <c r="M1299" s="4" t="s">
        <v>81</v>
      </c>
      <c r="N1299" s="4" t="s">
        <v>33</v>
      </c>
      <c r="O1299" s="4" t="s">
        <v>82</v>
      </c>
      <c r="P1299" s="4" t="s">
        <v>74</v>
      </c>
      <c r="Q1299" s="4">
        <v>8</v>
      </c>
      <c r="R1299" s="4">
        <v>33448</v>
      </c>
      <c r="S1299" s="5">
        <v>5</v>
      </c>
      <c r="T1299" s="6">
        <f t="shared" si="60"/>
        <v>254204.79999999999</v>
      </c>
      <c r="U1299" s="4">
        <v>21990.44</v>
      </c>
      <c r="V1299" t="str">
        <f t="shared" si="61"/>
        <v>Jun</v>
      </c>
      <c r="W1299">
        <f t="shared" si="62"/>
        <v>8.6506785080376139E-2</v>
      </c>
    </row>
    <row r="1300" spans="1:23" x14ac:dyDescent="0.4">
      <c r="A1300" s="4" t="s">
        <v>3537</v>
      </c>
      <c r="B1300" s="4" t="s">
        <v>1198</v>
      </c>
      <c r="C1300" s="11">
        <v>45567</v>
      </c>
      <c r="D1300" s="4" t="s">
        <v>124</v>
      </c>
      <c r="E1300" s="4" t="s">
        <v>24</v>
      </c>
      <c r="F1300" s="4" t="s">
        <v>40</v>
      </c>
      <c r="G1300" s="4" t="s">
        <v>41</v>
      </c>
      <c r="H1300" s="4" t="s">
        <v>3538</v>
      </c>
      <c r="I1300" s="4" t="s">
        <v>61</v>
      </c>
      <c r="J1300" s="4" t="s">
        <v>79</v>
      </c>
      <c r="K1300" s="4" t="s">
        <v>101</v>
      </c>
      <c r="L1300" s="4" t="s">
        <v>1633</v>
      </c>
      <c r="M1300" s="4" t="s">
        <v>53</v>
      </c>
      <c r="N1300" s="4" t="s">
        <v>54</v>
      </c>
      <c r="O1300" s="4" t="s">
        <v>66</v>
      </c>
      <c r="P1300" s="4" t="s">
        <v>74</v>
      </c>
      <c r="Q1300" s="4">
        <v>3</v>
      </c>
      <c r="R1300" s="4">
        <v>4355</v>
      </c>
      <c r="S1300" s="5">
        <v>20</v>
      </c>
      <c r="T1300" s="6">
        <f t="shared" si="60"/>
        <v>10452</v>
      </c>
      <c r="U1300" s="4">
        <v>-264.72000000000003</v>
      </c>
      <c r="V1300" t="str">
        <f t="shared" si="61"/>
        <v>Sep</v>
      </c>
      <c r="W1300">
        <f t="shared" si="62"/>
        <v>-2.5327210103329507E-2</v>
      </c>
    </row>
    <row r="1301" spans="1:23" x14ac:dyDescent="0.4">
      <c r="A1301" s="4" t="s">
        <v>3539</v>
      </c>
      <c r="B1301" s="4" t="s">
        <v>2915</v>
      </c>
      <c r="C1301" s="11">
        <v>45390</v>
      </c>
      <c r="D1301" s="4" t="s">
        <v>98</v>
      </c>
      <c r="E1301" s="4" t="s">
        <v>24</v>
      </c>
      <c r="F1301" s="4" t="s">
        <v>40</v>
      </c>
      <c r="G1301" s="4" t="s">
        <v>41</v>
      </c>
      <c r="H1301" s="4" t="s">
        <v>3540</v>
      </c>
      <c r="I1301" s="4" t="s">
        <v>61</v>
      </c>
      <c r="J1301" s="4" t="s">
        <v>79</v>
      </c>
      <c r="K1301" s="4" t="s">
        <v>101</v>
      </c>
      <c r="L1301" s="4" t="s">
        <v>666</v>
      </c>
      <c r="M1301" s="4" t="s">
        <v>53</v>
      </c>
      <c r="N1301" s="4" t="s">
        <v>33</v>
      </c>
      <c r="O1301" s="4" t="s">
        <v>82</v>
      </c>
      <c r="P1301" s="4" t="s">
        <v>47</v>
      </c>
      <c r="Q1301" s="4">
        <v>6</v>
      </c>
      <c r="R1301" s="4">
        <v>33843</v>
      </c>
      <c r="S1301" s="5">
        <v>10</v>
      </c>
      <c r="T1301" s="6">
        <f t="shared" si="60"/>
        <v>182752.2</v>
      </c>
      <c r="U1301" s="4">
        <v>34711.879999999997</v>
      </c>
      <c r="V1301" t="str">
        <f t="shared" si="61"/>
        <v>Mar</v>
      </c>
      <c r="W1301">
        <f t="shared" si="62"/>
        <v>0.1899396012742938</v>
      </c>
    </row>
    <row r="1302" spans="1:23" x14ac:dyDescent="0.4">
      <c r="A1302" s="4" t="s">
        <v>3541</v>
      </c>
      <c r="B1302" s="4" t="s">
        <v>3542</v>
      </c>
      <c r="C1302" s="11">
        <v>45423</v>
      </c>
      <c r="D1302" s="4" t="s">
        <v>23</v>
      </c>
      <c r="E1302" s="4" t="s">
        <v>24</v>
      </c>
      <c r="F1302" s="4" t="s">
        <v>26</v>
      </c>
      <c r="G1302" s="4" t="s">
        <v>26</v>
      </c>
      <c r="H1302" s="4" t="s">
        <v>3543</v>
      </c>
      <c r="I1302" s="4" t="s">
        <v>43</v>
      </c>
      <c r="J1302" s="4" t="s">
        <v>29</v>
      </c>
      <c r="K1302" s="4" t="s">
        <v>86</v>
      </c>
      <c r="L1302" s="4" t="s">
        <v>723</v>
      </c>
      <c r="M1302" s="4" t="s">
        <v>53</v>
      </c>
      <c r="N1302" s="4" t="s">
        <v>33</v>
      </c>
      <c r="O1302" s="4" t="s">
        <v>66</v>
      </c>
      <c r="P1302" s="4" t="s">
        <v>88</v>
      </c>
      <c r="Q1302" s="4">
        <v>7</v>
      </c>
      <c r="R1302" s="4">
        <v>16699</v>
      </c>
      <c r="S1302" s="5">
        <v>10</v>
      </c>
      <c r="T1302" s="6">
        <f t="shared" si="60"/>
        <v>105203.7</v>
      </c>
      <c r="U1302" s="4">
        <v>17082.89</v>
      </c>
      <c r="V1302" t="str">
        <f t="shared" si="61"/>
        <v>May</v>
      </c>
      <c r="W1302">
        <f t="shared" si="62"/>
        <v>0.16237917487692924</v>
      </c>
    </row>
    <row r="1303" spans="1:23" x14ac:dyDescent="0.4">
      <c r="A1303" s="4" t="s">
        <v>3544</v>
      </c>
      <c r="B1303" s="4" t="s">
        <v>443</v>
      </c>
      <c r="C1303" s="11">
        <v>44765</v>
      </c>
      <c r="D1303" s="4" t="s">
        <v>39</v>
      </c>
      <c r="E1303" s="4" t="s">
        <v>24</v>
      </c>
      <c r="F1303" s="4" t="s">
        <v>70</v>
      </c>
      <c r="G1303" s="4" t="s">
        <v>41</v>
      </c>
      <c r="H1303" s="4" t="s">
        <v>3545</v>
      </c>
      <c r="I1303" s="4" t="s">
        <v>61</v>
      </c>
      <c r="J1303" s="4" t="s">
        <v>29</v>
      </c>
      <c r="K1303" s="4" t="s">
        <v>101</v>
      </c>
      <c r="L1303" s="4" t="s">
        <v>414</v>
      </c>
      <c r="M1303" s="4" t="s">
        <v>53</v>
      </c>
      <c r="N1303" s="4" t="s">
        <v>54</v>
      </c>
      <c r="O1303" s="4" t="s">
        <v>66</v>
      </c>
      <c r="P1303" s="4" t="s">
        <v>47</v>
      </c>
      <c r="Q1303" s="4">
        <v>1</v>
      </c>
      <c r="R1303" s="4">
        <v>30877</v>
      </c>
      <c r="S1303" s="5">
        <v>20</v>
      </c>
      <c r="T1303" s="6">
        <f t="shared" si="60"/>
        <v>24701.599999999999</v>
      </c>
      <c r="U1303" s="4">
        <v>-1607.2</v>
      </c>
      <c r="V1303" t="str">
        <f t="shared" si="61"/>
        <v>Jul</v>
      </c>
      <c r="W1303">
        <f t="shared" si="62"/>
        <v>-6.506461119927455E-2</v>
      </c>
    </row>
    <row r="1304" spans="1:23" x14ac:dyDescent="0.4">
      <c r="A1304" s="4" t="s">
        <v>3546</v>
      </c>
      <c r="B1304" s="4" t="s">
        <v>1827</v>
      </c>
      <c r="C1304" s="11">
        <v>45529</v>
      </c>
      <c r="D1304" s="4" t="s">
        <v>124</v>
      </c>
      <c r="E1304" s="4" t="s">
        <v>24</v>
      </c>
      <c r="F1304" s="4" t="s">
        <v>40</v>
      </c>
      <c r="G1304" s="4" t="s">
        <v>92</v>
      </c>
      <c r="H1304" s="4" t="s">
        <v>3547</v>
      </c>
      <c r="I1304" s="4" t="s">
        <v>43</v>
      </c>
      <c r="J1304" s="4" t="s">
        <v>62</v>
      </c>
      <c r="K1304" s="4" t="s">
        <v>153</v>
      </c>
      <c r="L1304" s="4" t="s">
        <v>675</v>
      </c>
      <c r="M1304" s="4" t="s">
        <v>32</v>
      </c>
      <c r="N1304" s="4" t="s">
        <v>33</v>
      </c>
      <c r="O1304" s="4" t="s">
        <v>34</v>
      </c>
      <c r="P1304" s="4" t="s">
        <v>47</v>
      </c>
      <c r="Q1304" s="4">
        <v>5</v>
      </c>
      <c r="R1304" s="4">
        <v>46040</v>
      </c>
      <c r="S1304" s="5">
        <v>15</v>
      </c>
      <c r="T1304" s="6">
        <f t="shared" si="60"/>
        <v>195670</v>
      </c>
      <c r="U1304" s="4">
        <v>-7150.33</v>
      </c>
      <c r="V1304" t="str">
        <f t="shared" si="61"/>
        <v>Aug</v>
      </c>
      <c r="W1304">
        <f t="shared" si="62"/>
        <v>-3.6542801655849132E-2</v>
      </c>
    </row>
    <row r="1305" spans="1:23" x14ac:dyDescent="0.4">
      <c r="A1305" s="4" t="s">
        <v>3548</v>
      </c>
      <c r="B1305" s="4" t="s">
        <v>834</v>
      </c>
      <c r="C1305" s="11">
        <v>45324</v>
      </c>
      <c r="D1305" s="4" t="s">
        <v>124</v>
      </c>
      <c r="E1305" s="4" t="s">
        <v>24</v>
      </c>
      <c r="F1305" s="4" t="s">
        <v>25</v>
      </c>
      <c r="G1305" s="4" t="s">
        <v>41</v>
      </c>
      <c r="H1305" s="4" t="s">
        <v>3549</v>
      </c>
      <c r="I1305" s="4" t="s">
        <v>43</v>
      </c>
      <c r="J1305" s="4" t="s">
        <v>29</v>
      </c>
      <c r="K1305" s="4" t="s">
        <v>30</v>
      </c>
      <c r="L1305" s="4" t="s">
        <v>871</v>
      </c>
      <c r="M1305" s="4" t="s">
        <v>65</v>
      </c>
      <c r="N1305" s="4" t="s">
        <v>33</v>
      </c>
      <c r="O1305" s="4" t="s">
        <v>34</v>
      </c>
      <c r="P1305" s="4" t="s">
        <v>74</v>
      </c>
      <c r="Q1305" s="4">
        <v>6</v>
      </c>
      <c r="R1305" s="4">
        <v>29998</v>
      </c>
      <c r="S1305" s="5">
        <v>10</v>
      </c>
      <c r="T1305" s="6">
        <f t="shared" si="60"/>
        <v>161989.20000000001</v>
      </c>
      <c r="U1305" s="4">
        <v>24450.720000000001</v>
      </c>
      <c r="V1305" t="str">
        <f t="shared" si="61"/>
        <v>Jan</v>
      </c>
      <c r="W1305">
        <f t="shared" si="62"/>
        <v>0.1509404330659081</v>
      </c>
    </row>
    <row r="1306" spans="1:23" x14ac:dyDescent="0.4">
      <c r="A1306" s="4" t="s">
        <v>3550</v>
      </c>
      <c r="B1306" s="4" t="s">
        <v>2393</v>
      </c>
      <c r="C1306" s="11">
        <v>44701</v>
      </c>
      <c r="D1306" s="4" t="s">
        <v>124</v>
      </c>
      <c r="E1306" s="4" t="s">
        <v>24</v>
      </c>
      <c r="F1306" s="4" t="s">
        <v>25</v>
      </c>
      <c r="G1306" s="4" t="s">
        <v>92</v>
      </c>
      <c r="H1306" s="4" t="s">
        <v>3551</v>
      </c>
      <c r="I1306" s="4" t="s">
        <v>61</v>
      </c>
      <c r="J1306" s="4" t="s">
        <v>29</v>
      </c>
      <c r="K1306" s="4" t="s">
        <v>30</v>
      </c>
      <c r="L1306" s="4" t="s">
        <v>208</v>
      </c>
      <c r="M1306" s="4" t="s">
        <v>53</v>
      </c>
      <c r="N1306" s="4" t="s">
        <v>54</v>
      </c>
      <c r="O1306" s="4" t="s">
        <v>82</v>
      </c>
      <c r="P1306" s="4" t="s">
        <v>35</v>
      </c>
      <c r="Q1306" s="4">
        <v>1</v>
      </c>
      <c r="R1306" s="4">
        <v>24277</v>
      </c>
      <c r="S1306" s="5">
        <v>20</v>
      </c>
      <c r="T1306" s="6">
        <f t="shared" si="60"/>
        <v>19421.599999999999</v>
      </c>
      <c r="U1306" s="4">
        <v>-770.04</v>
      </c>
      <c r="V1306" t="str">
        <f t="shared" si="61"/>
        <v>May</v>
      </c>
      <c r="W1306">
        <f t="shared" si="62"/>
        <v>-3.9648638629155165E-2</v>
      </c>
    </row>
    <row r="1307" spans="1:23" x14ac:dyDescent="0.4">
      <c r="A1307" s="4" t="s">
        <v>3552</v>
      </c>
      <c r="B1307" s="4" t="s">
        <v>710</v>
      </c>
      <c r="C1307" s="11">
        <v>44697</v>
      </c>
      <c r="D1307" s="4" t="s">
        <v>23</v>
      </c>
      <c r="E1307" s="4" t="s">
        <v>24</v>
      </c>
      <c r="F1307" s="4" t="s">
        <v>26</v>
      </c>
      <c r="G1307" s="4" t="s">
        <v>41</v>
      </c>
      <c r="H1307" s="4" t="s">
        <v>3553</v>
      </c>
      <c r="I1307" s="4" t="s">
        <v>61</v>
      </c>
      <c r="J1307" s="4" t="s">
        <v>62</v>
      </c>
      <c r="K1307" s="4" t="s">
        <v>86</v>
      </c>
      <c r="L1307" s="4" t="s">
        <v>687</v>
      </c>
      <c r="M1307" s="4" t="s">
        <v>95</v>
      </c>
      <c r="N1307" s="4" t="s">
        <v>54</v>
      </c>
      <c r="O1307" s="4" t="s">
        <v>46</v>
      </c>
      <c r="P1307" s="4" t="s">
        <v>47</v>
      </c>
      <c r="Q1307" s="4">
        <v>3</v>
      </c>
      <c r="R1307" s="4">
        <v>14731</v>
      </c>
      <c r="S1307" s="5">
        <v>20</v>
      </c>
      <c r="T1307" s="6">
        <f t="shared" si="60"/>
        <v>35354.400000000001</v>
      </c>
      <c r="U1307" s="4">
        <v>82.65</v>
      </c>
      <c r="V1307" t="str">
        <f t="shared" si="61"/>
        <v>May</v>
      </c>
      <c r="W1307">
        <f t="shared" si="62"/>
        <v>2.3377571108546603E-3</v>
      </c>
    </row>
    <row r="1308" spans="1:23" x14ac:dyDescent="0.4">
      <c r="A1308" s="4" t="s">
        <v>3554</v>
      </c>
      <c r="B1308" s="4" t="s">
        <v>710</v>
      </c>
      <c r="C1308" s="11">
        <v>44692</v>
      </c>
      <c r="D1308" s="4" t="s">
        <v>23</v>
      </c>
      <c r="E1308" s="4" t="s">
        <v>24</v>
      </c>
      <c r="F1308" s="4" t="s">
        <v>58</v>
      </c>
      <c r="G1308" s="4" t="s">
        <v>92</v>
      </c>
      <c r="H1308" s="4" t="s">
        <v>3555</v>
      </c>
      <c r="I1308" s="4" t="s">
        <v>43</v>
      </c>
      <c r="J1308" s="4" t="s">
        <v>29</v>
      </c>
      <c r="K1308" s="4" t="s">
        <v>86</v>
      </c>
      <c r="L1308" s="4" t="s">
        <v>588</v>
      </c>
      <c r="M1308" s="4" t="s">
        <v>95</v>
      </c>
      <c r="N1308" s="4" t="s">
        <v>33</v>
      </c>
      <c r="O1308" s="4" t="s">
        <v>120</v>
      </c>
      <c r="P1308" s="4" t="s">
        <v>35</v>
      </c>
      <c r="Q1308" s="4">
        <v>10</v>
      </c>
      <c r="R1308" s="4">
        <v>1334</v>
      </c>
      <c r="S1308" s="5">
        <v>10</v>
      </c>
      <c r="T1308" s="6">
        <f t="shared" si="60"/>
        <v>12006</v>
      </c>
      <c r="U1308" s="4">
        <v>835.63</v>
      </c>
      <c r="V1308" t="str">
        <f t="shared" si="61"/>
        <v>May</v>
      </c>
      <c r="W1308">
        <f t="shared" si="62"/>
        <v>6.9601032816924868E-2</v>
      </c>
    </row>
    <row r="1309" spans="1:23" x14ac:dyDescent="0.4">
      <c r="A1309" s="4" t="s">
        <v>3556</v>
      </c>
      <c r="B1309" s="4" t="s">
        <v>3557</v>
      </c>
      <c r="C1309" s="11">
        <v>44916</v>
      </c>
      <c r="D1309" s="4" t="s">
        <v>98</v>
      </c>
      <c r="E1309" s="4" t="s">
        <v>24</v>
      </c>
      <c r="F1309" s="4" t="s">
        <v>70</v>
      </c>
      <c r="G1309" s="4" t="s">
        <v>41</v>
      </c>
      <c r="H1309" s="4" t="s">
        <v>609</v>
      </c>
      <c r="I1309" s="4" t="s">
        <v>43</v>
      </c>
      <c r="J1309" s="4" t="s">
        <v>29</v>
      </c>
      <c r="K1309" s="4" t="s">
        <v>44</v>
      </c>
      <c r="L1309" s="4" t="s">
        <v>1122</v>
      </c>
      <c r="M1309" s="4" t="s">
        <v>95</v>
      </c>
      <c r="N1309" s="4" t="s">
        <v>33</v>
      </c>
      <c r="O1309" s="4" t="s">
        <v>34</v>
      </c>
      <c r="P1309" s="4" t="s">
        <v>35</v>
      </c>
      <c r="Q1309" s="4">
        <v>1</v>
      </c>
      <c r="R1309" s="4">
        <v>12026</v>
      </c>
      <c r="S1309" s="5">
        <v>20</v>
      </c>
      <c r="T1309" s="6">
        <f t="shared" si="60"/>
        <v>9620.7999999999993</v>
      </c>
      <c r="U1309" s="4">
        <v>486.78</v>
      </c>
      <c r="V1309" t="str">
        <f t="shared" si="61"/>
        <v>Dec</v>
      </c>
      <c r="W1309">
        <f t="shared" si="62"/>
        <v>5.0596623981373691E-2</v>
      </c>
    </row>
    <row r="1310" spans="1:23" x14ac:dyDescent="0.4">
      <c r="A1310" s="4" t="s">
        <v>3558</v>
      </c>
      <c r="B1310" s="4" t="s">
        <v>1597</v>
      </c>
      <c r="C1310" s="11">
        <v>45143</v>
      </c>
      <c r="D1310" s="4" t="s">
        <v>124</v>
      </c>
      <c r="E1310" s="4" t="s">
        <v>24</v>
      </c>
      <c r="F1310" s="4" t="s">
        <v>58</v>
      </c>
      <c r="G1310" s="4" t="s">
        <v>92</v>
      </c>
      <c r="H1310" s="4" t="s">
        <v>3559</v>
      </c>
      <c r="I1310" s="4" t="s">
        <v>43</v>
      </c>
      <c r="J1310" s="4" t="s">
        <v>29</v>
      </c>
      <c r="K1310" s="4" t="s">
        <v>63</v>
      </c>
      <c r="L1310" s="4" t="s">
        <v>232</v>
      </c>
      <c r="M1310" s="4" t="s">
        <v>53</v>
      </c>
      <c r="N1310" s="4" t="s">
        <v>54</v>
      </c>
      <c r="O1310" s="4" t="s">
        <v>34</v>
      </c>
      <c r="P1310" s="4" t="s">
        <v>35</v>
      </c>
      <c r="Q1310" s="4">
        <v>7</v>
      </c>
      <c r="R1310" s="4">
        <v>23003</v>
      </c>
      <c r="S1310" s="5">
        <v>0</v>
      </c>
      <c r="T1310" s="6">
        <f t="shared" si="60"/>
        <v>161021</v>
      </c>
      <c r="U1310" s="4">
        <v>15561.12</v>
      </c>
      <c r="V1310" t="str">
        <f t="shared" si="61"/>
        <v>Aug</v>
      </c>
      <c r="W1310">
        <f t="shared" si="62"/>
        <v>9.6640313996311039E-2</v>
      </c>
    </row>
    <row r="1311" spans="1:23" x14ac:dyDescent="0.4">
      <c r="A1311" s="4" t="s">
        <v>3560</v>
      </c>
      <c r="B1311" s="4" t="s">
        <v>3040</v>
      </c>
      <c r="C1311" s="11">
        <v>44861</v>
      </c>
      <c r="D1311" s="4" t="s">
        <v>39</v>
      </c>
      <c r="E1311" s="4" t="s">
        <v>24</v>
      </c>
      <c r="F1311" s="4" t="s">
        <v>40</v>
      </c>
      <c r="G1311" s="4" t="s">
        <v>99</v>
      </c>
      <c r="H1311" s="4" t="s">
        <v>3561</v>
      </c>
      <c r="I1311" s="4" t="s">
        <v>28</v>
      </c>
      <c r="J1311" s="4" t="s">
        <v>29</v>
      </c>
      <c r="K1311" s="4" t="s">
        <v>101</v>
      </c>
      <c r="L1311" s="4" t="s">
        <v>476</v>
      </c>
      <c r="M1311" s="4" t="s">
        <v>65</v>
      </c>
      <c r="N1311" s="4" t="s">
        <v>54</v>
      </c>
      <c r="O1311" s="4" t="s">
        <v>46</v>
      </c>
      <c r="P1311" s="4" t="s">
        <v>35</v>
      </c>
      <c r="Q1311" s="4">
        <v>6</v>
      </c>
      <c r="R1311" s="4">
        <v>33978</v>
      </c>
      <c r="S1311" s="5">
        <v>5</v>
      </c>
      <c r="T1311" s="6">
        <f t="shared" si="60"/>
        <v>193674.6</v>
      </c>
      <c r="U1311" s="4">
        <v>1338.73</v>
      </c>
      <c r="V1311" t="str">
        <f t="shared" si="61"/>
        <v>Oct</v>
      </c>
      <c r="W1311">
        <f t="shared" si="62"/>
        <v>6.9122641791954133E-3</v>
      </c>
    </row>
    <row r="1312" spans="1:23" x14ac:dyDescent="0.4">
      <c r="A1312" s="4" t="s">
        <v>3562</v>
      </c>
      <c r="B1312" s="4" t="s">
        <v>1919</v>
      </c>
      <c r="C1312" s="11">
        <v>45510</v>
      </c>
      <c r="D1312" s="4" t="s">
        <v>39</v>
      </c>
      <c r="E1312" s="4" t="s">
        <v>24</v>
      </c>
      <c r="F1312" s="4" t="s">
        <v>25</v>
      </c>
      <c r="G1312" s="4" t="s">
        <v>41</v>
      </c>
      <c r="H1312" s="4" t="s">
        <v>3563</v>
      </c>
      <c r="I1312" s="4" t="s">
        <v>61</v>
      </c>
      <c r="J1312" s="4" t="s">
        <v>62</v>
      </c>
      <c r="K1312" s="4" t="s">
        <v>86</v>
      </c>
      <c r="L1312" s="4" t="s">
        <v>1214</v>
      </c>
      <c r="M1312" s="4" t="s">
        <v>53</v>
      </c>
      <c r="N1312" s="4" t="s">
        <v>54</v>
      </c>
      <c r="O1312" s="4" t="s">
        <v>120</v>
      </c>
      <c r="P1312" s="4" t="s">
        <v>35</v>
      </c>
      <c r="Q1312" s="4">
        <v>8</v>
      </c>
      <c r="R1312" s="4">
        <v>37998</v>
      </c>
      <c r="S1312" s="5">
        <v>5</v>
      </c>
      <c r="T1312" s="6">
        <f t="shared" si="60"/>
        <v>288784.8</v>
      </c>
      <c r="U1312" s="4">
        <v>45545.440000000002</v>
      </c>
      <c r="V1312" t="str">
        <f t="shared" si="61"/>
        <v>Jul</v>
      </c>
      <c r="W1312">
        <f t="shared" si="62"/>
        <v>0.15771411791756354</v>
      </c>
    </row>
    <row r="1313" spans="1:23" x14ac:dyDescent="0.4">
      <c r="A1313" s="4" t="s">
        <v>3564</v>
      </c>
      <c r="B1313" s="4" t="s">
        <v>2923</v>
      </c>
      <c r="C1313" s="11">
        <v>44768</v>
      </c>
      <c r="D1313" s="4" t="s">
        <v>23</v>
      </c>
      <c r="E1313" s="4" t="s">
        <v>24</v>
      </c>
      <c r="F1313" s="4" t="s">
        <v>40</v>
      </c>
      <c r="G1313" s="4" t="s">
        <v>59</v>
      </c>
      <c r="H1313" s="4" t="s">
        <v>3565</v>
      </c>
      <c r="I1313" s="4" t="s">
        <v>43</v>
      </c>
      <c r="J1313" s="4" t="s">
        <v>79</v>
      </c>
      <c r="K1313" s="4" t="s">
        <v>86</v>
      </c>
      <c r="L1313" s="4" t="s">
        <v>452</v>
      </c>
      <c r="M1313" s="4" t="s">
        <v>95</v>
      </c>
      <c r="N1313" s="4" t="s">
        <v>33</v>
      </c>
      <c r="O1313" s="4" t="s">
        <v>34</v>
      </c>
      <c r="P1313" s="4" t="s">
        <v>74</v>
      </c>
      <c r="Q1313" s="4">
        <v>5</v>
      </c>
      <c r="R1313" s="4">
        <v>48232</v>
      </c>
      <c r="S1313" s="5">
        <v>5</v>
      </c>
      <c r="T1313" s="6">
        <f t="shared" si="60"/>
        <v>229102</v>
      </c>
      <c r="U1313" s="4">
        <v>20796.29</v>
      </c>
      <c r="V1313" t="str">
        <f t="shared" si="61"/>
        <v>Jul</v>
      </c>
      <c r="W1313">
        <f t="shared" si="62"/>
        <v>9.077306178034239E-2</v>
      </c>
    </row>
    <row r="1314" spans="1:23" x14ac:dyDescent="0.4">
      <c r="A1314" s="4" t="s">
        <v>3566</v>
      </c>
      <c r="B1314" s="4" t="s">
        <v>1956</v>
      </c>
      <c r="C1314" s="11">
        <v>45096</v>
      </c>
      <c r="D1314" s="4" t="s">
        <v>23</v>
      </c>
      <c r="E1314" s="4" t="s">
        <v>24</v>
      </c>
      <c r="F1314" s="4" t="s">
        <v>40</v>
      </c>
      <c r="G1314" s="4" t="s">
        <v>59</v>
      </c>
      <c r="H1314" s="4" t="s">
        <v>3567</v>
      </c>
      <c r="I1314" s="4" t="s">
        <v>61</v>
      </c>
      <c r="J1314" s="4" t="s">
        <v>29</v>
      </c>
      <c r="K1314" s="4" t="s">
        <v>86</v>
      </c>
      <c r="L1314" s="4" t="s">
        <v>237</v>
      </c>
      <c r="M1314" s="4" t="s">
        <v>53</v>
      </c>
      <c r="N1314" s="4" t="s">
        <v>54</v>
      </c>
      <c r="O1314" s="4" t="s">
        <v>34</v>
      </c>
      <c r="P1314" s="4" t="s">
        <v>74</v>
      </c>
      <c r="Q1314" s="4">
        <v>9</v>
      </c>
      <c r="R1314" s="4">
        <v>12585</v>
      </c>
      <c r="S1314" s="5">
        <v>20</v>
      </c>
      <c r="T1314" s="6">
        <f t="shared" si="60"/>
        <v>90612</v>
      </c>
      <c r="U1314" s="4">
        <v>-4531.43</v>
      </c>
      <c r="V1314" t="str">
        <f t="shared" si="61"/>
        <v>Jun</v>
      </c>
      <c r="W1314">
        <f t="shared" si="62"/>
        <v>-5.0009159934666494E-2</v>
      </c>
    </row>
    <row r="1315" spans="1:23" x14ac:dyDescent="0.4">
      <c r="A1315" s="4" t="s">
        <v>3568</v>
      </c>
      <c r="B1315" s="4" t="s">
        <v>533</v>
      </c>
      <c r="C1315" s="11">
        <v>45435</v>
      </c>
      <c r="D1315" s="4" t="s">
        <v>39</v>
      </c>
      <c r="E1315" s="4" t="s">
        <v>24</v>
      </c>
      <c r="F1315" s="4" t="s">
        <v>25</v>
      </c>
      <c r="G1315" s="4" t="s">
        <v>41</v>
      </c>
      <c r="H1315" s="4" t="s">
        <v>3569</v>
      </c>
      <c r="I1315" s="4" t="s">
        <v>61</v>
      </c>
      <c r="J1315" s="4" t="s">
        <v>79</v>
      </c>
      <c r="K1315" s="4" t="s">
        <v>63</v>
      </c>
      <c r="L1315" s="4" t="s">
        <v>2822</v>
      </c>
      <c r="M1315" s="4" t="s">
        <v>95</v>
      </c>
      <c r="N1315" s="4" t="s">
        <v>54</v>
      </c>
      <c r="O1315" s="4" t="s">
        <v>34</v>
      </c>
      <c r="P1315" s="4" t="s">
        <v>35</v>
      </c>
      <c r="Q1315" s="4">
        <v>8</v>
      </c>
      <c r="R1315" s="4">
        <v>11304</v>
      </c>
      <c r="S1315" s="5">
        <v>15</v>
      </c>
      <c r="T1315" s="6">
        <f t="shared" si="60"/>
        <v>76867.199999999997</v>
      </c>
      <c r="U1315" s="4">
        <v>-7797.52</v>
      </c>
      <c r="V1315" t="str">
        <f t="shared" si="61"/>
        <v>May</v>
      </c>
      <c r="W1315">
        <f t="shared" si="62"/>
        <v>-0.10144144706714958</v>
      </c>
    </row>
    <row r="1316" spans="1:23" x14ac:dyDescent="0.4">
      <c r="A1316" s="4" t="s">
        <v>3570</v>
      </c>
      <c r="B1316" s="4" t="s">
        <v>780</v>
      </c>
      <c r="C1316" s="11">
        <v>45103</v>
      </c>
      <c r="D1316" s="4" t="s">
        <v>124</v>
      </c>
      <c r="E1316" s="4" t="s">
        <v>24</v>
      </c>
      <c r="F1316" s="4" t="s">
        <v>70</v>
      </c>
      <c r="G1316" s="4" t="s">
        <v>26</v>
      </c>
      <c r="H1316" s="4" t="s">
        <v>3571</v>
      </c>
      <c r="I1316" s="4" t="s">
        <v>28</v>
      </c>
      <c r="J1316" s="4" t="s">
        <v>29</v>
      </c>
      <c r="K1316" s="4" t="s">
        <v>30</v>
      </c>
      <c r="L1316" s="4" t="s">
        <v>618</v>
      </c>
      <c r="M1316" s="4" t="s">
        <v>73</v>
      </c>
      <c r="N1316" s="4" t="s">
        <v>54</v>
      </c>
      <c r="O1316" s="4" t="s">
        <v>66</v>
      </c>
      <c r="P1316" s="4" t="s">
        <v>35</v>
      </c>
      <c r="Q1316" s="4">
        <v>9</v>
      </c>
      <c r="R1316" s="4">
        <v>45175</v>
      </c>
      <c r="S1316" s="5">
        <v>20</v>
      </c>
      <c r="T1316" s="6">
        <f t="shared" si="60"/>
        <v>325260</v>
      </c>
      <c r="U1316" s="4">
        <v>26468.58</v>
      </c>
      <c r="V1316" t="str">
        <f t="shared" si="61"/>
        <v>Jun</v>
      </c>
      <c r="W1316">
        <f t="shared" si="62"/>
        <v>8.1376683268769609E-2</v>
      </c>
    </row>
    <row r="1317" spans="1:23" x14ac:dyDescent="0.4">
      <c r="A1317" s="4" t="s">
        <v>3572</v>
      </c>
      <c r="B1317" s="4" t="s">
        <v>608</v>
      </c>
      <c r="C1317" s="11">
        <v>45361</v>
      </c>
      <c r="D1317" s="4" t="s">
        <v>39</v>
      </c>
      <c r="E1317" s="4" t="s">
        <v>24</v>
      </c>
      <c r="F1317" s="4" t="s">
        <v>26</v>
      </c>
      <c r="G1317" s="4" t="s">
        <v>26</v>
      </c>
      <c r="H1317" s="4" t="s">
        <v>3573</v>
      </c>
      <c r="I1317" s="4" t="s">
        <v>61</v>
      </c>
      <c r="J1317" s="4" t="s">
        <v>62</v>
      </c>
      <c r="K1317" s="4" t="s">
        <v>86</v>
      </c>
      <c r="L1317" s="4" t="s">
        <v>64</v>
      </c>
      <c r="M1317" s="4" t="s">
        <v>65</v>
      </c>
      <c r="N1317" s="4" t="s">
        <v>54</v>
      </c>
      <c r="O1317" s="4" t="s">
        <v>34</v>
      </c>
      <c r="P1317" s="4" t="s">
        <v>47</v>
      </c>
      <c r="Q1317" s="4">
        <v>10</v>
      </c>
      <c r="R1317" s="4">
        <v>44658</v>
      </c>
      <c r="S1317" s="5">
        <v>5</v>
      </c>
      <c r="T1317" s="6">
        <f t="shared" si="60"/>
        <v>424251</v>
      </c>
      <c r="U1317" s="4">
        <v>55464.44</v>
      </c>
      <c r="V1317" t="str">
        <f t="shared" si="61"/>
        <v>Mar</v>
      </c>
      <c r="W1317">
        <f t="shared" si="62"/>
        <v>0.13073496585747588</v>
      </c>
    </row>
    <row r="1318" spans="1:23" x14ac:dyDescent="0.4">
      <c r="A1318" s="4" t="s">
        <v>3574</v>
      </c>
      <c r="B1318" s="4" t="s">
        <v>613</v>
      </c>
      <c r="C1318" s="11">
        <v>44676</v>
      </c>
      <c r="D1318" s="4" t="s">
        <v>39</v>
      </c>
      <c r="E1318" s="4" t="s">
        <v>24</v>
      </c>
      <c r="F1318" s="4" t="s">
        <v>26</v>
      </c>
      <c r="G1318" s="4" t="s">
        <v>92</v>
      </c>
      <c r="H1318" s="4" t="s">
        <v>3575</v>
      </c>
      <c r="I1318" s="4" t="s">
        <v>28</v>
      </c>
      <c r="J1318" s="4" t="s">
        <v>62</v>
      </c>
      <c r="K1318" s="4" t="s">
        <v>44</v>
      </c>
      <c r="L1318" s="4" t="s">
        <v>52</v>
      </c>
      <c r="M1318" s="4" t="s">
        <v>32</v>
      </c>
      <c r="N1318" s="4" t="s">
        <v>33</v>
      </c>
      <c r="O1318" s="4" t="s">
        <v>34</v>
      </c>
      <c r="P1318" s="4" t="s">
        <v>88</v>
      </c>
      <c r="Q1318" s="4">
        <v>3</v>
      </c>
      <c r="R1318" s="4">
        <v>25447</v>
      </c>
      <c r="S1318" s="5">
        <v>5</v>
      </c>
      <c r="T1318" s="6">
        <f t="shared" si="60"/>
        <v>72523.95</v>
      </c>
      <c r="U1318" s="4">
        <v>17279.59</v>
      </c>
      <c r="V1318" t="str">
        <f t="shared" si="61"/>
        <v>Apr</v>
      </c>
      <c r="W1318">
        <f t="shared" si="62"/>
        <v>0.23826046430179273</v>
      </c>
    </row>
    <row r="1319" spans="1:23" x14ac:dyDescent="0.4">
      <c r="A1319" s="4" t="s">
        <v>3576</v>
      </c>
      <c r="B1319" s="4" t="s">
        <v>3577</v>
      </c>
      <c r="C1319" s="11">
        <v>44798</v>
      </c>
      <c r="D1319" s="4" t="s">
        <v>124</v>
      </c>
      <c r="E1319" s="4" t="s">
        <v>24</v>
      </c>
      <c r="F1319" s="4" t="s">
        <v>26</v>
      </c>
      <c r="G1319" s="4" t="s">
        <v>59</v>
      </c>
      <c r="H1319" s="4" t="s">
        <v>3578</v>
      </c>
      <c r="I1319" s="4" t="s">
        <v>43</v>
      </c>
      <c r="J1319" s="4" t="s">
        <v>29</v>
      </c>
      <c r="K1319" s="4" t="s">
        <v>153</v>
      </c>
      <c r="L1319" s="4" t="s">
        <v>1590</v>
      </c>
      <c r="M1319" s="4" t="s">
        <v>81</v>
      </c>
      <c r="N1319" s="4" t="s">
        <v>54</v>
      </c>
      <c r="O1319" s="4" t="s">
        <v>120</v>
      </c>
      <c r="P1319" s="4" t="s">
        <v>88</v>
      </c>
      <c r="Q1319" s="4">
        <v>10</v>
      </c>
      <c r="R1319" s="4">
        <v>43987</v>
      </c>
      <c r="S1319" s="5">
        <v>20</v>
      </c>
      <c r="T1319" s="6">
        <f t="shared" si="60"/>
        <v>351896</v>
      </c>
      <c r="U1319" s="4">
        <v>31388.66</v>
      </c>
      <c r="V1319" t="str">
        <f t="shared" si="61"/>
        <v>Aug</v>
      </c>
      <c r="W1319">
        <f t="shared" si="62"/>
        <v>8.9198683702002859E-2</v>
      </c>
    </row>
    <row r="1320" spans="1:23" x14ac:dyDescent="0.4">
      <c r="A1320" s="4" t="s">
        <v>3579</v>
      </c>
      <c r="B1320" s="4" t="s">
        <v>3580</v>
      </c>
      <c r="C1320" s="11">
        <v>45051</v>
      </c>
      <c r="D1320" s="4" t="s">
        <v>23</v>
      </c>
      <c r="E1320" s="4" t="s">
        <v>24</v>
      </c>
      <c r="F1320" s="4" t="s">
        <v>25</v>
      </c>
      <c r="G1320" s="4" t="s">
        <v>59</v>
      </c>
      <c r="H1320" s="4" t="s">
        <v>3581</v>
      </c>
      <c r="I1320" s="4" t="s">
        <v>43</v>
      </c>
      <c r="J1320" s="4" t="s">
        <v>62</v>
      </c>
      <c r="K1320" s="4" t="s">
        <v>44</v>
      </c>
      <c r="L1320" s="4" t="s">
        <v>822</v>
      </c>
      <c r="M1320" s="4" t="s">
        <v>95</v>
      </c>
      <c r="N1320" s="4" t="s">
        <v>33</v>
      </c>
      <c r="O1320" s="4" t="s">
        <v>82</v>
      </c>
      <c r="P1320" s="4" t="s">
        <v>74</v>
      </c>
      <c r="Q1320" s="4">
        <v>2</v>
      </c>
      <c r="R1320" s="4">
        <v>8338</v>
      </c>
      <c r="S1320" s="5">
        <v>5</v>
      </c>
      <c r="T1320" s="6">
        <f t="shared" si="60"/>
        <v>15842.2</v>
      </c>
      <c r="U1320" s="4">
        <v>2114.31</v>
      </c>
      <c r="V1320" t="str">
        <f t="shared" si="61"/>
        <v>Apr</v>
      </c>
      <c r="W1320">
        <f t="shared" si="62"/>
        <v>0.13346063046799056</v>
      </c>
    </row>
    <row r="1321" spans="1:23" x14ac:dyDescent="0.4">
      <c r="A1321" s="4" t="s">
        <v>3582</v>
      </c>
      <c r="B1321" s="4" t="s">
        <v>1827</v>
      </c>
      <c r="C1321" s="11">
        <v>45528</v>
      </c>
      <c r="D1321" s="4" t="s">
        <v>23</v>
      </c>
      <c r="E1321" s="4" t="s">
        <v>24</v>
      </c>
      <c r="F1321" s="4" t="s">
        <v>26</v>
      </c>
      <c r="G1321" s="4" t="s">
        <v>99</v>
      </c>
      <c r="H1321" s="4" t="s">
        <v>3583</v>
      </c>
      <c r="I1321" s="4" t="s">
        <v>61</v>
      </c>
      <c r="J1321" s="4" t="s">
        <v>29</v>
      </c>
      <c r="K1321" s="4" t="s">
        <v>63</v>
      </c>
      <c r="L1321" s="4" t="s">
        <v>301</v>
      </c>
      <c r="M1321" s="4" t="s">
        <v>53</v>
      </c>
      <c r="N1321" s="4" t="s">
        <v>54</v>
      </c>
      <c r="O1321" s="4" t="s">
        <v>120</v>
      </c>
      <c r="P1321" s="4" t="s">
        <v>88</v>
      </c>
      <c r="Q1321" s="4">
        <v>4</v>
      </c>
      <c r="R1321" s="4">
        <v>26271</v>
      </c>
      <c r="S1321" s="5">
        <v>10</v>
      </c>
      <c r="T1321" s="6">
        <f t="shared" si="60"/>
        <v>94575.6</v>
      </c>
      <c r="U1321" s="4">
        <v>16769.05</v>
      </c>
      <c r="V1321" t="str">
        <f t="shared" si="61"/>
        <v>Aug</v>
      </c>
      <c r="W1321">
        <f t="shared" si="62"/>
        <v>0.17730841781601173</v>
      </c>
    </row>
    <row r="1322" spans="1:23" x14ac:dyDescent="0.4">
      <c r="A1322" s="4" t="s">
        <v>3584</v>
      </c>
      <c r="B1322" s="4" t="s">
        <v>1903</v>
      </c>
      <c r="C1322" s="11">
        <v>45205</v>
      </c>
      <c r="D1322" s="4" t="s">
        <v>39</v>
      </c>
      <c r="E1322" s="4" t="s">
        <v>24</v>
      </c>
      <c r="F1322" s="4" t="s">
        <v>58</v>
      </c>
      <c r="G1322" s="4" t="s">
        <v>26</v>
      </c>
      <c r="H1322" s="4" t="s">
        <v>1283</v>
      </c>
      <c r="I1322" s="4" t="s">
        <v>28</v>
      </c>
      <c r="J1322" s="4" t="s">
        <v>79</v>
      </c>
      <c r="K1322" s="4" t="s">
        <v>30</v>
      </c>
      <c r="L1322" s="4" t="s">
        <v>507</v>
      </c>
      <c r="M1322" s="4" t="s">
        <v>81</v>
      </c>
      <c r="N1322" s="4" t="s">
        <v>33</v>
      </c>
      <c r="O1322" s="4" t="s">
        <v>46</v>
      </c>
      <c r="P1322" s="4" t="s">
        <v>35</v>
      </c>
      <c r="Q1322" s="4">
        <v>7</v>
      </c>
      <c r="R1322" s="4">
        <v>14328</v>
      </c>
      <c r="S1322" s="5">
        <v>10</v>
      </c>
      <c r="T1322" s="6">
        <f t="shared" si="60"/>
        <v>90266.4</v>
      </c>
      <c r="U1322" s="4">
        <v>-4384.71</v>
      </c>
      <c r="V1322" t="str">
        <f t="shared" si="61"/>
        <v>Oct</v>
      </c>
      <c r="W1322">
        <f t="shared" si="62"/>
        <v>-4.8575217356624394E-2</v>
      </c>
    </row>
    <row r="1323" spans="1:23" x14ac:dyDescent="0.4">
      <c r="A1323" s="4" t="s">
        <v>3585</v>
      </c>
      <c r="B1323" s="4" t="s">
        <v>1758</v>
      </c>
      <c r="C1323" s="11">
        <v>45465</v>
      </c>
      <c r="D1323" s="4" t="s">
        <v>124</v>
      </c>
      <c r="E1323" s="4" t="s">
        <v>24</v>
      </c>
      <c r="F1323" s="4" t="s">
        <v>70</v>
      </c>
      <c r="G1323" s="4" t="s">
        <v>92</v>
      </c>
      <c r="H1323" s="4" t="s">
        <v>3586</v>
      </c>
      <c r="I1323" s="4" t="s">
        <v>43</v>
      </c>
      <c r="J1323" s="4" t="s">
        <v>29</v>
      </c>
      <c r="K1323" s="4" t="s">
        <v>101</v>
      </c>
      <c r="L1323" s="4" t="s">
        <v>740</v>
      </c>
      <c r="M1323" s="4" t="s">
        <v>53</v>
      </c>
      <c r="N1323" s="4" t="s">
        <v>33</v>
      </c>
      <c r="O1323" s="4" t="s">
        <v>34</v>
      </c>
      <c r="P1323" s="4" t="s">
        <v>74</v>
      </c>
      <c r="Q1323" s="4">
        <v>1</v>
      </c>
      <c r="R1323" s="4">
        <v>28134</v>
      </c>
      <c r="S1323" s="5">
        <v>5</v>
      </c>
      <c r="T1323" s="6">
        <f t="shared" si="60"/>
        <v>26727.3</v>
      </c>
      <c r="U1323" s="4">
        <v>1862.58</v>
      </c>
      <c r="V1323" t="str">
        <f t="shared" si="61"/>
        <v>Jun</v>
      </c>
      <c r="W1323">
        <f t="shared" si="62"/>
        <v>6.9688296236432412E-2</v>
      </c>
    </row>
    <row r="1324" spans="1:23" x14ac:dyDescent="0.4">
      <c r="A1324" s="4" t="s">
        <v>3587</v>
      </c>
      <c r="B1324" s="4" t="s">
        <v>173</v>
      </c>
      <c r="C1324" s="11">
        <v>44816</v>
      </c>
      <c r="D1324" s="4" t="s">
        <v>39</v>
      </c>
      <c r="E1324" s="4" t="s">
        <v>24</v>
      </c>
      <c r="F1324" s="4" t="s">
        <v>58</v>
      </c>
      <c r="G1324" s="4" t="s">
        <v>26</v>
      </c>
      <c r="H1324" s="4" t="s">
        <v>3588</v>
      </c>
      <c r="I1324" s="4" t="s">
        <v>43</v>
      </c>
      <c r="J1324" s="4" t="s">
        <v>62</v>
      </c>
      <c r="K1324" s="4" t="s">
        <v>153</v>
      </c>
      <c r="L1324" s="4" t="s">
        <v>2433</v>
      </c>
      <c r="M1324" s="4" t="s">
        <v>95</v>
      </c>
      <c r="N1324" s="4" t="s">
        <v>33</v>
      </c>
      <c r="O1324" s="4" t="s">
        <v>120</v>
      </c>
      <c r="P1324" s="4" t="s">
        <v>88</v>
      </c>
      <c r="Q1324" s="4">
        <v>9</v>
      </c>
      <c r="R1324" s="4">
        <v>45011</v>
      </c>
      <c r="S1324" s="5">
        <v>10</v>
      </c>
      <c r="T1324" s="6">
        <f t="shared" si="60"/>
        <v>364589.1</v>
      </c>
      <c r="U1324" s="4">
        <v>66133.5</v>
      </c>
      <c r="V1324" t="str">
        <f t="shared" si="61"/>
        <v>Sep</v>
      </c>
      <c r="W1324">
        <f t="shared" si="62"/>
        <v>0.18139187375596255</v>
      </c>
    </row>
    <row r="1325" spans="1:23" x14ac:dyDescent="0.4">
      <c r="A1325" s="4" t="s">
        <v>3589</v>
      </c>
      <c r="B1325" s="4" t="s">
        <v>1797</v>
      </c>
      <c r="C1325" s="11">
        <v>44578</v>
      </c>
      <c r="D1325" s="4" t="s">
        <v>23</v>
      </c>
      <c r="E1325" s="4" t="s">
        <v>24</v>
      </c>
      <c r="F1325" s="4" t="s">
        <v>25</v>
      </c>
      <c r="G1325" s="4" t="s">
        <v>99</v>
      </c>
      <c r="H1325" s="4" t="s">
        <v>3590</v>
      </c>
      <c r="I1325" s="4" t="s">
        <v>28</v>
      </c>
      <c r="J1325" s="4" t="s">
        <v>79</v>
      </c>
      <c r="K1325" s="4" t="s">
        <v>86</v>
      </c>
      <c r="L1325" s="4" t="s">
        <v>530</v>
      </c>
      <c r="M1325" s="4" t="s">
        <v>32</v>
      </c>
      <c r="N1325" s="4" t="s">
        <v>33</v>
      </c>
      <c r="O1325" s="4" t="s">
        <v>34</v>
      </c>
      <c r="P1325" s="4" t="s">
        <v>88</v>
      </c>
      <c r="Q1325" s="4">
        <v>6</v>
      </c>
      <c r="R1325" s="4">
        <v>17259</v>
      </c>
      <c r="S1325" s="5">
        <v>10</v>
      </c>
      <c r="T1325" s="6">
        <f t="shared" si="60"/>
        <v>93198.6</v>
      </c>
      <c r="U1325" s="4">
        <v>10237.77</v>
      </c>
      <c r="V1325" t="str">
        <f t="shared" si="61"/>
        <v>Jan</v>
      </c>
      <c r="W1325">
        <f t="shared" si="62"/>
        <v>0.10984896768835584</v>
      </c>
    </row>
    <row r="1326" spans="1:23" x14ac:dyDescent="0.4">
      <c r="A1326" s="4" t="s">
        <v>3591</v>
      </c>
      <c r="B1326" s="4" t="s">
        <v>1597</v>
      </c>
      <c r="C1326" s="11">
        <v>45143</v>
      </c>
      <c r="D1326" s="4" t="s">
        <v>39</v>
      </c>
      <c r="E1326" s="4" t="s">
        <v>24</v>
      </c>
      <c r="F1326" s="4" t="s">
        <v>58</v>
      </c>
      <c r="G1326" s="4" t="s">
        <v>92</v>
      </c>
      <c r="H1326" s="4" t="s">
        <v>3592</v>
      </c>
      <c r="I1326" s="4" t="s">
        <v>28</v>
      </c>
      <c r="J1326" s="4" t="s">
        <v>29</v>
      </c>
      <c r="K1326" s="4" t="s">
        <v>30</v>
      </c>
      <c r="L1326" s="4" t="s">
        <v>352</v>
      </c>
      <c r="M1326" s="4" t="s">
        <v>73</v>
      </c>
      <c r="N1326" s="4" t="s">
        <v>33</v>
      </c>
      <c r="O1326" s="4" t="s">
        <v>66</v>
      </c>
      <c r="P1326" s="4" t="s">
        <v>35</v>
      </c>
      <c r="Q1326" s="4">
        <v>4</v>
      </c>
      <c r="R1326" s="4">
        <v>23597</v>
      </c>
      <c r="S1326" s="5">
        <v>0</v>
      </c>
      <c r="T1326" s="6">
        <f t="shared" si="60"/>
        <v>94388</v>
      </c>
      <c r="U1326" s="4">
        <v>12477.61</v>
      </c>
      <c r="V1326" t="str">
        <f t="shared" si="61"/>
        <v>Aug</v>
      </c>
      <c r="W1326">
        <f t="shared" si="62"/>
        <v>0.13219487646734754</v>
      </c>
    </row>
    <row r="1327" spans="1:23" x14ac:dyDescent="0.4">
      <c r="A1327" s="4" t="s">
        <v>3593</v>
      </c>
      <c r="B1327" s="4" t="s">
        <v>225</v>
      </c>
      <c r="C1327" s="11">
        <v>45039</v>
      </c>
      <c r="D1327" s="4" t="s">
        <v>98</v>
      </c>
      <c r="E1327" s="4" t="s">
        <v>24</v>
      </c>
      <c r="F1327" s="4" t="s">
        <v>26</v>
      </c>
      <c r="G1327" s="4" t="s">
        <v>59</v>
      </c>
      <c r="H1327" s="4" t="s">
        <v>3594</v>
      </c>
      <c r="I1327" s="4" t="s">
        <v>43</v>
      </c>
      <c r="J1327" s="4" t="s">
        <v>79</v>
      </c>
      <c r="K1327" s="4" t="s">
        <v>44</v>
      </c>
      <c r="L1327" s="4" t="s">
        <v>871</v>
      </c>
      <c r="M1327" s="4" t="s">
        <v>32</v>
      </c>
      <c r="N1327" s="4" t="s">
        <v>54</v>
      </c>
      <c r="O1327" s="4" t="s">
        <v>82</v>
      </c>
      <c r="P1327" s="4" t="s">
        <v>88</v>
      </c>
      <c r="Q1327" s="4">
        <v>7</v>
      </c>
      <c r="R1327" s="4">
        <v>32833</v>
      </c>
      <c r="S1327" s="5">
        <v>20</v>
      </c>
      <c r="T1327" s="6">
        <f t="shared" si="60"/>
        <v>183864.8</v>
      </c>
      <c r="U1327" s="4">
        <v>-30435.35</v>
      </c>
      <c r="V1327" t="str">
        <f t="shared" si="61"/>
        <v>Apr</v>
      </c>
      <c r="W1327">
        <f t="shared" si="62"/>
        <v>-0.1655311402726351</v>
      </c>
    </row>
    <row r="1328" spans="1:23" x14ac:dyDescent="0.4">
      <c r="A1328" s="4" t="s">
        <v>3595</v>
      </c>
      <c r="B1328" s="4" t="s">
        <v>654</v>
      </c>
      <c r="C1328" s="11">
        <v>45024</v>
      </c>
      <c r="D1328" s="4" t="s">
        <v>23</v>
      </c>
      <c r="E1328" s="4" t="s">
        <v>24</v>
      </c>
      <c r="F1328" s="4" t="s">
        <v>26</v>
      </c>
      <c r="G1328" s="4" t="s">
        <v>41</v>
      </c>
      <c r="H1328" s="4" t="s">
        <v>3596</v>
      </c>
      <c r="I1328" s="4" t="s">
        <v>43</v>
      </c>
      <c r="J1328" s="4" t="s">
        <v>79</v>
      </c>
      <c r="K1328" s="4" t="s">
        <v>63</v>
      </c>
      <c r="L1328" s="4" t="s">
        <v>822</v>
      </c>
      <c r="M1328" s="4" t="s">
        <v>73</v>
      </c>
      <c r="N1328" s="4" t="s">
        <v>54</v>
      </c>
      <c r="O1328" s="4" t="s">
        <v>46</v>
      </c>
      <c r="P1328" s="4" t="s">
        <v>88</v>
      </c>
      <c r="Q1328" s="4">
        <v>9</v>
      </c>
      <c r="R1328" s="4">
        <v>41963</v>
      </c>
      <c r="S1328" s="5">
        <v>15</v>
      </c>
      <c r="T1328" s="6">
        <f t="shared" si="60"/>
        <v>321016.95</v>
      </c>
      <c r="U1328" s="4">
        <v>-31538.7</v>
      </c>
      <c r="V1328" t="str">
        <f t="shared" si="61"/>
        <v>Mar</v>
      </c>
      <c r="W1328">
        <f t="shared" si="62"/>
        <v>-9.8246214101778737E-2</v>
      </c>
    </row>
    <row r="1329" spans="1:23" x14ac:dyDescent="0.4">
      <c r="A1329" s="4" t="s">
        <v>3597</v>
      </c>
      <c r="B1329" s="4" t="s">
        <v>1555</v>
      </c>
      <c r="C1329" s="11">
        <v>45319</v>
      </c>
      <c r="D1329" s="4" t="s">
        <v>124</v>
      </c>
      <c r="E1329" s="4" t="s">
        <v>24</v>
      </c>
      <c r="F1329" s="4" t="s">
        <v>70</v>
      </c>
      <c r="G1329" s="4" t="s">
        <v>41</v>
      </c>
      <c r="H1329" s="4" t="s">
        <v>3598</v>
      </c>
      <c r="I1329" s="4" t="s">
        <v>43</v>
      </c>
      <c r="J1329" s="4" t="s">
        <v>62</v>
      </c>
      <c r="K1329" s="4" t="s">
        <v>101</v>
      </c>
      <c r="L1329" s="4" t="s">
        <v>186</v>
      </c>
      <c r="M1329" s="4" t="s">
        <v>53</v>
      </c>
      <c r="N1329" s="4" t="s">
        <v>54</v>
      </c>
      <c r="O1329" s="4" t="s">
        <v>120</v>
      </c>
      <c r="P1329" s="4" t="s">
        <v>35</v>
      </c>
      <c r="Q1329" s="4">
        <v>10</v>
      </c>
      <c r="R1329" s="4">
        <v>21360</v>
      </c>
      <c r="S1329" s="5">
        <v>15</v>
      </c>
      <c r="T1329" s="6">
        <f t="shared" si="60"/>
        <v>181560</v>
      </c>
      <c r="U1329" s="4">
        <v>22808.27</v>
      </c>
      <c r="V1329" t="str">
        <f t="shared" si="61"/>
        <v>Jan</v>
      </c>
      <c r="W1329">
        <f t="shared" si="62"/>
        <v>0.12562387089667329</v>
      </c>
    </row>
    <row r="1330" spans="1:23" x14ac:dyDescent="0.4">
      <c r="A1330" s="4" t="s">
        <v>3599</v>
      </c>
      <c r="B1330" s="4" t="s">
        <v>1862</v>
      </c>
      <c r="C1330" s="11">
        <v>45455</v>
      </c>
      <c r="D1330" s="4" t="s">
        <v>23</v>
      </c>
      <c r="E1330" s="4" t="s">
        <v>24</v>
      </c>
      <c r="F1330" s="4" t="s">
        <v>40</v>
      </c>
      <c r="G1330" s="4" t="s">
        <v>41</v>
      </c>
      <c r="H1330" s="4" t="s">
        <v>3600</v>
      </c>
      <c r="I1330" s="4" t="s">
        <v>28</v>
      </c>
      <c r="J1330" s="4" t="s">
        <v>62</v>
      </c>
      <c r="K1330" s="4" t="s">
        <v>44</v>
      </c>
      <c r="L1330" s="4" t="s">
        <v>1633</v>
      </c>
      <c r="M1330" s="4" t="s">
        <v>95</v>
      </c>
      <c r="N1330" s="4" t="s">
        <v>33</v>
      </c>
      <c r="O1330" s="4" t="s">
        <v>66</v>
      </c>
      <c r="P1330" s="4" t="s">
        <v>74</v>
      </c>
      <c r="Q1330" s="4">
        <v>2</v>
      </c>
      <c r="R1330" s="4">
        <v>32659</v>
      </c>
      <c r="S1330" s="5">
        <v>5</v>
      </c>
      <c r="T1330" s="6">
        <f t="shared" si="60"/>
        <v>62052.1</v>
      </c>
      <c r="U1330" s="4">
        <v>233.88</v>
      </c>
      <c r="V1330" t="str">
        <f t="shared" si="61"/>
        <v>Jun</v>
      </c>
      <c r="W1330">
        <f t="shared" si="62"/>
        <v>3.7690908123979689E-3</v>
      </c>
    </row>
    <row r="1331" spans="1:23" x14ac:dyDescent="0.4">
      <c r="A1331" s="4" t="s">
        <v>3601</v>
      </c>
      <c r="B1331" s="4" t="s">
        <v>2411</v>
      </c>
      <c r="C1331" s="11">
        <v>44571</v>
      </c>
      <c r="D1331" s="4" t="s">
        <v>124</v>
      </c>
      <c r="E1331" s="4" t="s">
        <v>24</v>
      </c>
      <c r="F1331" s="4" t="s">
        <v>58</v>
      </c>
      <c r="G1331" s="4" t="s">
        <v>59</v>
      </c>
      <c r="H1331" s="4" t="s">
        <v>3602</v>
      </c>
      <c r="I1331" s="4" t="s">
        <v>43</v>
      </c>
      <c r="J1331" s="4" t="s">
        <v>29</v>
      </c>
      <c r="K1331" s="4" t="s">
        <v>63</v>
      </c>
      <c r="L1331" s="4" t="s">
        <v>1633</v>
      </c>
      <c r="M1331" s="4" t="s">
        <v>81</v>
      </c>
      <c r="N1331" s="4" t="s">
        <v>33</v>
      </c>
      <c r="O1331" s="4" t="s">
        <v>46</v>
      </c>
      <c r="P1331" s="4" t="s">
        <v>35</v>
      </c>
      <c r="Q1331" s="4">
        <v>8</v>
      </c>
      <c r="R1331" s="4">
        <v>33558</v>
      </c>
      <c r="S1331" s="5">
        <v>5</v>
      </c>
      <c r="T1331" s="6">
        <f t="shared" si="60"/>
        <v>255040.8</v>
      </c>
      <c r="U1331" s="4">
        <v>2988.29</v>
      </c>
      <c r="V1331" t="str">
        <f t="shared" si="61"/>
        <v>Jan</v>
      </c>
      <c r="W1331">
        <f t="shared" si="62"/>
        <v>1.171690960818818E-2</v>
      </c>
    </row>
    <row r="1332" spans="1:23" x14ac:dyDescent="0.4">
      <c r="A1332" s="4" t="s">
        <v>3603</v>
      </c>
      <c r="B1332" s="4" t="s">
        <v>664</v>
      </c>
      <c r="C1332" s="11">
        <v>45205</v>
      </c>
      <c r="D1332" s="4" t="s">
        <v>23</v>
      </c>
      <c r="E1332" s="4" t="s">
        <v>24</v>
      </c>
      <c r="F1332" s="4" t="s">
        <v>70</v>
      </c>
      <c r="G1332" s="4" t="s">
        <v>41</v>
      </c>
      <c r="H1332" s="4" t="s">
        <v>3604</v>
      </c>
      <c r="I1332" s="4" t="s">
        <v>61</v>
      </c>
      <c r="J1332" s="4" t="s">
        <v>29</v>
      </c>
      <c r="K1332" s="4" t="s">
        <v>86</v>
      </c>
      <c r="L1332" s="4" t="s">
        <v>1777</v>
      </c>
      <c r="M1332" s="4" t="s">
        <v>81</v>
      </c>
      <c r="N1332" s="4" t="s">
        <v>33</v>
      </c>
      <c r="O1332" s="4" t="s">
        <v>66</v>
      </c>
      <c r="P1332" s="4" t="s">
        <v>74</v>
      </c>
      <c r="Q1332" s="4">
        <v>5</v>
      </c>
      <c r="R1332" s="4">
        <v>29002</v>
      </c>
      <c r="S1332" s="5">
        <v>5</v>
      </c>
      <c r="T1332" s="6">
        <f t="shared" si="60"/>
        <v>137759.5</v>
      </c>
      <c r="U1332" s="4">
        <v>25982.13</v>
      </c>
      <c r="V1332" t="str">
        <f t="shared" si="61"/>
        <v>Oct</v>
      </c>
      <c r="W1332">
        <f t="shared" si="62"/>
        <v>0.18860499638863382</v>
      </c>
    </row>
    <row r="1333" spans="1:23" x14ac:dyDescent="0.4">
      <c r="A1333" s="4" t="s">
        <v>3605</v>
      </c>
      <c r="B1333" s="4" t="s">
        <v>393</v>
      </c>
      <c r="C1333" s="11">
        <v>45001</v>
      </c>
      <c r="D1333" s="4" t="s">
        <v>98</v>
      </c>
      <c r="E1333" s="4" t="s">
        <v>24</v>
      </c>
      <c r="F1333" s="4" t="s">
        <v>58</v>
      </c>
      <c r="G1333" s="4" t="s">
        <v>92</v>
      </c>
      <c r="H1333" s="4" t="s">
        <v>3606</v>
      </c>
      <c r="I1333" s="4" t="s">
        <v>43</v>
      </c>
      <c r="J1333" s="4" t="s">
        <v>79</v>
      </c>
      <c r="K1333" s="4" t="s">
        <v>63</v>
      </c>
      <c r="L1333" s="4" t="s">
        <v>1353</v>
      </c>
      <c r="M1333" s="4" t="s">
        <v>32</v>
      </c>
      <c r="N1333" s="4" t="s">
        <v>33</v>
      </c>
      <c r="O1333" s="4" t="s">
        <v>66</v>
      </c>
      <c r="P1333" s="4" t="s">
        <v>88</v>
      </c>
      <c r="Q1333" s="4">
        <v>9</v>
      </c>
      <c r="R1333" s="4">
        <v>34006</v>
      </c>
      <c r="S1333" s="5">
        <v>20</v>
      </c>
      <c r="T1333" s="6">
        <f t="shared" si="60"/>
        <v>244843.2</v>
      </c>
      <c r="U1333" s="4">
        <v>-33783.360000000001</v>
      </c>
      <c r="V1333" t="str">
        <f t="shared" si="61"/>
        <v>Mar</v>
      </c>
      <c r="W1333">
        <f t="shared" si="62"/>
        <v>-0.13797957223235116</v>
      </c>
    </row>
    <row r="1334" spans="1:23" x14ac:dyDescent="0.4">
      <c r="A1334" s="4" t="s">
        <v>3607</v>
      </c>
      <c r="B1334" s="4" t="s">
        <v>1998</v>
      </c>
      <c r="C1334" s="11">
        <v>45375</v>
      </c>
      <c r="D1334" s="4" t="s">
        <v>39</v>
      </c>
      <c r="E1334" s="4" t="s">
        <v>24</v>
      </c>
      <c r="F1334" s="4" t="s">
        <v>25</v>
      </c>
      <c r="G1334" s="4" t="s">
        <v>41</v>
      </c>
      <c r="H1334" s="4" t="s">
        <v>3608</v>
      </c>
      <c r="I1334" s="4" t="s">
        <v>28</v>
      </c>
      <c r="J1334" s="4" t="s">
        <v>79</v>
      </c>
      <c r="K1334" s="4" t="s">
        <v>86</v>
      </c>
      <c r="L1334" s="4" t="s">
        <v>339</v>
      </c>
      <c r="M1334" s="4" t="s">
        <v>81</v>
      </c>
      <c r="N1334" s="4" t="s">
        <v>54</v>
      </c>
      <c r="O1334" s="4" t="s">
        <v>66</v>
      </c>
      <c r="P1334" s="4" t="s">
        <v>35</v>
      </c>
      <c r="Q1334" s="4">
        <v>7</v>
      </c>
      <c r="R1334" s="4">
        <v>47951</v>
      </c>
      <c r="S1334" s="5">
        <v>5</v>
      </c>
      <c r="T1334" s="6">
        <f t="shared" si="60"/>
        <v>318874.15000000002</v>
      </c>
      <c r="U1334" s="4">
        <v>13237.02</v>
      </c>
      <c r="V1334" t="str">
        <f t="shared" si="61"/>
        <v>Mar</v>
      </c>
      <c r="W1334">
        <f t="shared" si="62"/>
        <v>4.1511737467587136E-2</v>
      </c>
    </row>
    <row r="1335" spans="1:23" x14ac:dyDescent="0.4">
      <c r="A1335" s="4" t="s">
        <v>3609</v>
      </c>
      <c r="B1335" s="4" t="s">
        <v>3269</v>
      </c>
      <c r="C1335" s="11">
        <v>45317</v>
      </c>
      <c r="D1335" s="4" t="s">
        <v>23</v>
      </c>
      <c r="E1335" s="4" t="s">
        <v>24</v>
      </c>
      <c r="F1335" s="4" t="s">
        <v>40</v>
      </c>
      <c r="G1335" s="4" t="s">
        <v>59</v>
      </c>
      <c r="H1335" s="4" t="s">
        <v>3610</v>
      </c>
      <c r="I1335" s="4" t="s">
        <v>28</v>
      </c>
      <c r="J1335" s="4" t="s">
        <v>29</v>
      </c>
      <c r="K1335" s="4" t="s">
        <v>44</v>
      </c>
      <c r="L1335" s="4" t="s">
        <v>301</v>
      </c>
      <c r="M1335" s="4" t="s">
        <v>53</v>
      </c>
      <c r="N1335" s="4" t="s">
        <v>54</v>
      </c>
      <c r="O1335" s="4" t="s">
        <v>66</v>
      </c>
      <c r="P1335" s="4" t="s">
        <v>47</v>
      </c>
      <c r="Q1335" s="4">
        <v>6</v>
      </c>
      <c r="R1335" s="4">
        <v>5475</v>
      </c>
      <c r="S1335" s="5">
        <v>15</v>
      </c>
      <c r="T1335" s="6">
        <f t="shared" si="60"/>
        <v>27922.5</v>
      </c>
      <c r="U1335" s="4">
        <v>3680</v>
      </c>
      <c r="V1335" t="str">
        <f t="shared" si="61"/>
        <v>Jan</v>
      </c>
      <c r="W1335">
        <f t="shared" si="62"/>
        <v>0.13179335661205122</v>
      </c>
    </row>
    <row r="1336" spans="1:23" x14ac:dyDescent="0.4">
      <c r="A1336" s="4" t="s">
        <v>3611</v>
      </c>
      <c r="B1336" s="4" t="s">
        <v>137</v>
      </c>
      <c r="C1336" s="11">
        <v>44636</v>
      </c>
      <c r="D1336" s="4" t="s">
        <v>98</v>
      </c>
      <c r="E1336" s="4" t="s">
        <v>24</v>
      </c>
      <c r="F1336" s="4" t="s">
        <v>70</v>
      </c>
      <c r="G1336" s="4" t="s">
        <v>59</v>
      </c>
      <c r="H1336" s="4" t="s">
        <v>3612</v>
      </c>
      <c r="I1336" s="4" t="s">
        <v>61</v>
      </c>
      <c r="J1336" s="4" t="s">
        <v>62</v>
      </c>
      <c r="K1336" s="4" t="s">
        <v>63</v>
      </c>
      <c r="L1336" s="4" t="s">
        <v>1777</v>
      </c>
      <c r="M1336" s="4" t="s">
        <v>95</v>
      </c>
      <c r="N1336" s="4" t="s">
        <v>33</v>
      </c>
      <c r="O1336" s="4" t="s">
        <v>82</v>
      </c>
      <c r="P1336" s="4" t="s">
        <v>74</v>
      </c>
      <c r="Q1336" s="4">
        <v>5</v>
      </c>
      <c r="R1336" s="4">
        <v>29231</v>
      </c>
      <c r="S1336" s="5">
        <v>5</v>
      </c>
      <c r="T1336" s="6">
        <f t="shared" si="60"/>
        <v>138847.25</v>
      </c>
      <c r="U1336" s="4">
        <v>20805.86</v>
      </c>
      <c r="V1336" t="str">
        <f t="shared" si="61"/>
        <v>Mar</v>
      </c>
      <c r="W1336">
        <f t="shared" si="62"/>
        <v>0.1498471161654264</v>
      </c>
    </row>
    <row r="1337" spans="1:23" x14ac:dyDescent="0.4">
      <c r="A1337" s="4" t="s">
        <v>3613</v>
      </c>
      <c r="B1337" s="4" t="s">
        <v>819</v>
      </c>
      <c r="C1337" s="11">
        <v>44767</v>
      </c>
      <c r="D1337" s="4" t="s">
        <v>39</v>
      </c>
      <c r="E1337" s="4" t="s">
        <v>24</v>
      </c>
      <c r="F1337" s="4" t="s">
        <v>25</v>
      </c>
      <c r="G1337" s="4" t="s">
        <v>99</v>
      </c>
      <c r="H1337" s="4" t="s">
        <v>3615</v>
      </c>
      <c r="I1337" s="4" t="s">
        <v>28</v>
      </c>
      <c r="J1337" s="4" t="s">
        <v>79</v>
      </c>
      <c r="K1337" s="4" t="s">
        <v>44</v>
      </c>
      <c r="L1337" s="4" t="s">
        <v>1633</v>
      </c>
      <c r="M1337" s="4" t="s">
        <v>95</v>
      </c>
      <c r="N1337" s="4" t="s">
        <v>54</v>
      </c>
      <c r="O1337" s="4" t="s">
        <v>46</v>
      </c>
      <c r="P1337" s="4" t="s">
        <v>88</v>
      </c>
      <c r="Q1337" s="4">
        <v>10</v>
      </c>
      <c r="R1337" s="4">
        <v>3831</v>
      </c>
      <c r="S1337" s="5">
        <v>20</v>
      </c>
      <c r="T1337" s="6">
        <f t="shared" si="60"/>
        <v>30648</v>
      </c>
      <c r="U1337" s="4">
        <v>1278.82</v>
      </c>
      <c r="V1337" t="str">
        <f t="shared" si="61"/>
        <v>Jul</v>
      </c>
      <c r="W1337">
        <f t="shared" si="62"/>
        <v>4.1726050639519709E-2</v>
      </c>
    </row>
    <row r="1338" spans="1:23" x14ac:dyDescent="0.4">
      <c r="A1338" s="4" t="s">
        <v>3616</v>
      </c>
      <c r="B1338" s="4" t="s">
        <v>1600</v>
      </c>
      <c r="C1338" s="11">
        <v>45264</v>
      </c>
      <c r="D1338" s="4" t="s">
        <v>98</v>
      </c>
      <c r="E1338" s="4" t="s">
        <v>24</v>
      </c>
      <c r="F1338" s="4" t="s">
        <v>26</v>
      </c>
      <c r="G1338" s="4" t="s">
        <v>59</v>
      </c>
      <c r="H1338" s="4" t="s">
        <v>3617</v>
      </c>
      <c r="I1338" s="4" t="s">
        <v>61</v>
      </c>
      <c r="J1338" s="4" t="s">
        <v>29</v>
      </c>
      <c r="K1338" s="4" t="s">
        <v>30</v>
      </c>
      <c r="L1338" s="4" t="s">
        <v>1368</v>
      </c>
      <c r="M1338" s="4" t="s">
        <v>95</v>
      </c>
      <c r="N1338" s="4" t="s">
        <v>33</v>
      </c>
      <c r="O1338" s="4" t="s">
        <v>34</v>
      </c>
      <c r="P1338" s="4" t="s">
        <v>74</v>
      </c>
      <c r="Q1338" s="4">
        <v>10</v>
      </c>
      <c r="R1338" s="4">
        <v>16214</v>
      </c>
      <c r="S1338" s="5">
        <v>5</v>
      </c>
      <c r="T1338" s="6">
        <f t="shared" si="60"/>
        <v>154033</v>
      </c>
      <c r="U1338" s="4">
        <v>30323.1</v>
      </c>
      <c r="V1338" t="str">
        <f t="shared" si="61"/>
        <v>Nov</v>
      </c>
      <c r="W1338">
        <f t="shared" si="62"/>
        <v>0.19686106223990962</v>
      </c>
    </row>
    <row r="1339" spans="1:23" x14ac:dyDescent="0.4">
      <c r="A1339" s="4" t="s">
        <v>3618</v>
      </c>
      <c r="B1339" s="4" t="s">
        <v>2997</v>
      </c>
      <c r="C1339" s="11">
        <v>45397</v>
      </c>
      <c r="D1339" s="4" t="s">
        <v>39</v>
      </c>
      <c r="E1339" s="4" t="s">
        <v>24</v>
      </c>
      <c r="F1339" s="4" t="s">
        <v>25</v>
      </c>
      <c r="G1339" s="4" t="s">
        <v>59</v>
      </c>
      <c r="H1339" s="4" t="s">
        <v>3619</v>
      </c>
      <c r="I1339" s="4" t="s">
        <v>28</v>
      </c>
      <c r="J1339" s="4" t="s">
        <v>79</v>
      </c>
      <c r="K1339" s="4" t="s">
        <v>44</v>
      </c>
      <c r="L1339" s="4" t="s">
        <v>1829</v>
      </c>
      <c r="M1339" s="4" t="s">
        <v>32</v>
      </c>
      <c r="N1339" s="4" t="s">
        <v>33</v>
      </c>
      <c r="O1339" s="4" t="s">
        <v>46</v>
      </c>
      <c r="P1339" s="4" t="s">
        <v>47</v>
      </c>
      <c r="Q1339" s="4">
        <v>3</v>
      </c>
      <c r="R1339" s="4">
        <v>35742</v>
      </c>
      <c r="S1339" s="5">
        <v>5</v>
      </c>
      <c r="T1339" s="6">
        <f t="shared" si="60"/>
        <v>101864.7</v>
      </c>
      <c r="U1339" s="4">
        <v>15338.53</v>
      </c>
      <c r="V1339" t="str">
        <f t="shared" si="61"/>
        <v>Apr</v>
      </c>
      <c r="W1339">
        <f t="shared" si="62"/>
        <v>0.15057748169876317</v>
      </c>
    </row>
    <row r="1340" spans="1:23" x14ac:dyDescent="0.4">
      <c r="A1340" s="4" t="s">
        <v>3620</v>
      </c>
      <c r="B1340" s="4" t="s">
        <v>951</v>
      </c>
      <c r="C1340" s="11">
        <v>44840</v>
      </c>
      <c r="D1340" s="4" t="s">
        <v>39</v>
      </c>
      <c r="E1340" s="4" t="s">
        <v>24</v>
      </c>
      <c r="F1340" s="4" t="s">
        <v>58</v>
      </c>
      <c r="G1340" s="4" t="s">
        <v>59</v>
      </c>
      <c r="H1340" s="4" t="s">
        <v>3621</v>
      </c>
      <c r="I1340" s="4" t="s">
        <v>61</v>
      </c>
      <c r="J1340" s="4" t="s">
        <v>62</v>
      </c>
      <c r="K1340" s="4" t="s">
        <v>30</v>
      </c>
      <c r="L1340" s="4" t="s">
        <v>301</v>
      </c>
      <c r="M1340" s="4" t="s">
        <v>95</v>
      </c>
      <c r="N1340" s="4" t="s">
        <v>54</v>
      </c>
      <c r="O1340" s="4" t="s">
        <v>34</v>
      </c>
      <c r="P1340" s="4" t="s">
        <v>35</v>
      </c>
      <c r="Q1340" s="4">
        <v>9</v>
      </c>
      <c r="R1340" s="4">
        <v>15365</v>
      </c>
      <c r="S1340" s="5">
        <v>20</v>
      </c>
      <c r="T1340" s="6">
        <f t="shared" si="60"/>
        <v>110628</v>
      </c>
      <c r="U1340" s="4">
        <v>-6682.77</v>
      </c>
      <c r="V1340" t="str">
        <f t="shared" si="61"/>
        <v>Oct</v>
      </c>
      <c r="W1340">
        <f t="shared" si="62"/>
        <v>-6.0407582167263267E-2</v>
      </c>
    </row>
    <row r="1341" spans="1:23" x14ac:dyDescent="0.4">
      <c r="A1341" s="4" t="s">
        <v>3622</v>
      </c>
      <c r="B1341" s="4" t="s">
        <v>1524</v>
      </c>
      <c r="C1341" s="11">
        <v>45445</v>
      </c>
      <c r="D1341" s="4" t="s">
        <v>98</v>
      </c>
      <c r="E1341" s="4" t="s">
        <v>24</v>
      </c>
      <c r="F1341" s="4" t="s">
        <v>25</v>
      </c>
      <c r="G1341" s="4" t="s">
        <v>92</v>
      </c>
      <c r="H1341" s="4" t="s">
        <v>3623</v>
      </c>
      <c r="I1341" s="4" t="s">
        <v>28</v>
      </c>
      <c r="J1341" s="4" t="s">
        <v>79</v>
      </c>
      <c r="K1341" s="4" t="s">
        <v>44</v>
      </c>
      <c r="L1341" s="4" t="s">
        <v>2533</v>
      </c>
      <c r="M1341" s="4" t="s">
        <v>81</v>
      </c>
      <c r="N1341" s="4" t="s">
        <v>54</v>
      </c>
      <c r="O1341" s="4" t="s">
        <v>34</v>
      </c>
      <c r="P1341" s="4" t="s">
        <v>88</v>
      </c>
      <c r="Q1341" s="4">
        <v>4</v>
      </c>
      <c r="R1341" s="4">
        <v>30907</v>
      </c>
      <c r="S1341" s="5">
        <v>5</v>
      </c>
      <c r="T1341" s="6">
        <f t="shared" si="60"/>
        <v>117446.6</v>
      </c>
      <c r="U1341" s="4">
        <v>27706.17</v>
      </c>
      <c r="V1341" t="str">
        <f t="shared" si="61"/>
        <v>May</v>
      </c>
      <c r="W1341">
        <f t="shared" si="62"/>
        <v>0.23590440251143921</v>
      </c>
    </row>
    <row r="1342" spans="1:23" x14ac:dyDescent="0.4">
      <c r="A1342" s="4" t="s">
        <v>3624</v>
      </c>
      <c r="B1342" s="4" t="s">
        <v>1617</v>
      </c>
      <c r="C1342" s="11">
        <v>45326</v>
      </c>
      <c r="D1342" s="4" t="s">
        <v>39</v>
      </c>
      <c r="E1342" s="4" t="s">
        <v>24</v>
      </c>
      <c r="F1342" s="4" t="s">
        <v>25</v>
      </c>
      <c r="G1342" s="4" t="s">
        <v>99</v>
      </c>
      <c r="H1342" s="4" t="s">
        <v>3625</v>
      </c>
      <c r="I1342" s="4" t="s">
        <v>43</v>
      </c>
      <c r="J1342" s="4" t="s">
        <v>29</v>
      </c>
      <c r="K1342" s="4" t="s">
        <v>153</v>
      </c>
      <c r="L1342" s="4" t="s">
        <v>500</v>
      </c>
      <c r="M1342" s="4" t="s">
        <v>73</v>
      </c>
      <c r="N1342" s="4" t="s">
        <v>54</v>
      </c>
      <c r="O1342" s="4" t="s">
        <v>120</v>
      </c>
      <c r="P1342" s="4" t="s">
        <v>88</v>
      </c>
      <c r="Q1342" s="4">
        <v>8</v>
      </c>
      <c r="R1342" s="4">
        <v>9551</v>
      </c>
      <c r="S1342" s="5">
        <v>0</v>
      </c>
      <c r="T1342" s="6">
        <f t="shared" si="60"/>
        <v>76408</v>
      </c>
      <c r="U1342" s="4">
        <v>9524.39</v>
      </c>
      <c r="V1342" t="str">
        <f t="shared" si="61"/>
        <v>Jan</v>
      </c>
      <c r="W1342">
        <f t="shared" si="62"/>
        <v>0.12465173803790178</v>
      </c>
    </row>
    <row r="1343" spans="1:23" x14ac:dyDescent="0.4">
      <c r="A1343" s="4" t="s">
        <v>3626</v>
      </c>
      <c r="B1343" s="4" t="s">
        <v>3032</v>
      </c>
      <c r="C1343" s="11">
        <v>44595</v>
      </c>
      <c r="D1343" s="4" t="s">
        <v>23</v>
      </c>
      <c r="E1343" s="4" t="s">
        <v>24</v>
      </c>
      <c r="F1343" s="4" t="s">
        <v>58</v>
      </c>
      <c r="G1343" s="4" t="s">
        <v>92</v>
      </c>
      <c r="H1343" s="4" t="s">
        <v>3627</v>
      </c>
      <c r="I1343" s="4" t="s">
        <v>61</v>
      </c>
      <c r="J1343" s="4" t="s">
        <v>62</v>
      </c>
      <c r="K1343" s="4" t="s">
        <v>44</v>
      </c>
      <c r="L1343" s="4" t="s">
        <v>764</v>
      </c>
      <c r="M1343" s="4" t="s">
        <v>73</v>
      </c>
      <c r="N1343" s="4" t="s">
        <v>54</v>
      </c>
      <c r="O1343" s="4" t="s">
        <v>46</v>
      </c>
      <c r="P1343" s="4" t="s">
        <v>88</v>
      </c>
      <c r="Q1343" s="4">
        <v>5</v>
      </c>
      <c r="R1343" s="4">
        <v>5592</v>
      </c>
      <c r="S1343" s="5">
        <v>20</v>
      </c>
      <c r="T1343" s="6">
        <f t="shared" si="60"/>
        <v>22368</v>
      </c>
      <c r="U1343" s="4">
        <v>-4166.18</v>
      </c>
      <c r="V1343" t="str">
        <f t="shared" si="61"/>
        <v>Jan</v>
      </c>
      <c r="W1343">
        <f t="shared" si="62"/>
        <v>-0.18625625894134479</v>
      </c>
    </row>
    <row r="1344" spans="1:23" x14ac:dyDescent="0.4">
      <c r="A1344" s="4" t="s">
        <v>3628</v>
      </c>
      <c r="B1344" s="4" t="s">
        <v>3629</v>
      </c>
      <c r="C1344" s="11">
        <v>45180</v>
      </c>
      <c r="D1344" s="4" t="s">
        <v>39</v>
      </c>
      <c r="E1344" s="4" t="s">
        <v>24</v>
      </c>
      <c r="F1344" s="4" t="s">
        <v>70</v>
      </c>
      <c r="G1344" s="4" t="s">
        <v>99</v>
      </c>
      <c r="H1344" s="4" t="s">
        <v>3630</v>
      </c>
      <c r="I1344" s="4" t="s">
        <v>43</v>
      </c>
      <c r="J1344" s="4" t="s">
        <v>62</v>
      </c>
      <c r="K1344" s="4" t="s">
        <v>30</v>
      </c>
      <c r="L1344" s="4" t="s">
        <v>1005</v>
      </c>
      <c r="M1344" s="4" t="s">
        <v>65</v>
      </c>
      <c r="N1344" s="4" t="s">
        <v>54</v>
      </c>
      <c r="O1344" s="4" t="s">
        <v>66</v>
      </c>
      <c r="P1344" s="4" t="s">
        <v>74</v>
      </c>
      <c r="Q1344" s="4">
        <v>10</v>
      </c>
      <c r="R1344" s="4">
        <v>22529</v>
      </c>
      <c r="S1344" s="5">
        <v>20</v>
      </c>
      <c r="T1344" s="6">
        <f t="shared" si="60"/>
        <v>180232</v>
      </c>
      <c r="U1344" s="4">
        <v>-4456.46</v>
      </c>
      <c r="V1344" t="str">
        <f t="shared" si="61"/>
        <v>Sep</v>
      </c>
      <c r="W1344">
        <f t="shared" si="62"/>
        <v>-2.4726241732877626E-2</v>
      </c>
    </row>
    <row r="1345" spans="1:23" x14ac:dyDescent="0.4">
      <c r="A1345" s="4" t="s">
        <v>3631</v>
      </c>
      <c r="B1345" s="4" t="s">
        <v>777</v>
      </c>
      <c r="C1345" s="11">
        <v>44700</v>
      </c>
      <c r="D1345" s="4" t="s">
        <v>98</v>
      </c>
      <c r="E1345" s="4" t="s">
        <v>24</v>
      </c>
      <c r="F1345" s="4" t="s">
        <v>70</v>
      </c>
      <c r="G1345" s="4" t="s">
        <v>41</v>
      </c>
      <c r="H1345" s="4" t="s">
        <v>1635</v>
      </c>
      <c r="I1345" s="4" t="s">
        <v>28</v>
      </c>
      <c r="J1345" s="4" t="s">
        <v>62</v>
      </c>
      <c r="K1345" s="4" t="s">
        <v>153</v>
      </c>
      <c r="L1345" s="4" t="s">
        <v>144</v>
      </c>
      <c r="M1345" s="4" t="s">
        <v>65</v>
      </c>
      <c r="N1345" s="4" t="s">
        <v>33</v>
      </c>
      <c r="O1345" s="4" t="s">
        <v>66</v>
      </c>
      <c r="P1345" s="4" t="s">
        <v>35</v>
      </c>
      <c r="Q1345" s="4">
        <v>5</v>
      </c>
      <c r="R1345" s="4">
        <v>1308</v>
      </c>
      <c r="S1345" s="5">
        <v>10</v>
      </c>
      <c r="T1345" s="6">
        <f t="shared" si="60"/>
        <v>5886</v>
      </c>
      <c r="U1345" s="4">
        <v>1062.73</v>
      </c>
      <c r="V1345" t="str">
        <f t="shared" si="61"/>
        <v>May</v>
      </c>
      <c r="W1345">
        <f t="shared" si="62"/>
        <v>0.18055215766224941</v>
      </c>
    </row>
    <row r="1346" spans="1:23" x14ac:dyDescent="0.4">
      <c r="A1346" s="4" t="s">
        <v>3632</v>
      </c>
      <c r="B1346" s="4" t="s">
        <v>603</v>
      </c>
      <c r="C1346" s="11">
        <v>44970</v>
      </c>
      <c r="D1346" s="4" t="s">
        <v>124</v>
      </c>
      <c r="E1346" s="4" t="s">
        <v>24</v>
      </c>
      <c r="F1346" s="4" t="s">
        <v>58</v>
      </c>
      <c r="G1346" s="4" t="s">
        <v>41</v>
      </c>
      <c r="H1346" s="4" t="s">
        <v>1346</v>
      </c>
      <c r="I1346" s="4" t="s">
        <v>61</v>
      </c>
      <c r="J1346" s="4" t="s">
        <v>62</v>
      </c>
      <c r="K1346" s="4" t="s">
        <v>153</v>
      </c>
      <c r="L1346" s="4" t="s">
        <v>194</v>
      </c>
      <c r="M1346" s="4" t="s">
        <v>53</v>
      </c>
      <c r="N1346" s="4" t="s">
        <v>54</v>
      </c>
      <c r="O1346" s="4" t="s">
        <v>46</v>
      </c>
      <c r="P1346" s="4" t="s">
        <v>74</v>
      </c>
      <c r="Q1346" s="4">
        <v>9</v>
      </c>
      <c r="R1346" s="4">
        <v>45485</v>
      </c>
      <c r="S1346" s="5">
        <v>10</v>
      </c>
      <c r="T1346" s="6">
        <f t="shared" si="60"/>
        <v>368428.5</v>
      </c>
      <c r="U1346" s="4">
        <v>71824.350000000006</v>
      </c>
      <c r="V1346" t="str">
        <f t="shared" si="61"/>
        <v>Feb</v>
      </c>
      <c r="W1346">
        <f t="shared" si="62"/>
        <v>0.19494786641098613</v>
      </c>
    </row>
    <row r="1347" spans="1:23" x14ac:dyDescent="0.4">
      <c r="A1347" s="4" t="s">
        <v>3633</v>
      </c>
      <c r="B1347" s="4" t="s">
        <v>1231</v>
      </c>
      <c r="C1347" s="11">
        <v>44998</v>
      </c>
      <c r="D1347" s="4" t="s">
        <v>124</v>
      </c>
      <c r="E1347" s="4" t="s">
        <v>24</v>
      </c>
      <c r="F1347" s="4" t="s">
        <v>25</v>
      </c>
      <c r="G1347" s="4" t="s">
        <v>41</v>
      </c>
      <c r="H1347" s="4" t="s">
        <v>3634</v>
      </c>
      <c r="I1347" s="4" t="s">
        <v>61</v>
      </c>
      <c r="J1347" s="4" t="s">
        <v>79</v>
      </c>
      <c r="K1347" s="4" t="s">
        <v>44</v>
      </c>
      <c r="L1347" s="4" t="s">
        <v>826</v>
      </c>
      <c r="M1347" s="4" t="s">
        <v>95</v>
      </c>
      <c r="N1347" s="4" t="s">
        <v>33</v>
      </c>
      <c r="O1347" s="4" t="s">
        <v>82</v>
      </c>
      <c r="P1347" s="4" t="s">
        <v>35</v>
      </c>
      <c r="Q1347" s="4">
        <v>2</v>
      </c>
      <c r="R1347" s="4">
        <v>20128</v>
      </c>
      <c r="S1347" s="5">
        <v>15</v>
      </c>
      <c r="T1347" s="6">
        <f t="shared" ref="T1347:T1410" si="63">Q1347*R1347*(100-S1347)/100</f>
        <v>34217.599999999999</v>
      </c>
      <c r="U1347" s="4">
        <v>-3730.06</v>
      </c>
      <c r="V1347" t="str">
        <f t="shared" ref="V1347:V1410" si="64">TEXT(B1347,"MMM")</f>
        <v>Mar</v>
      </c>
      <c r="W1347">
        <f t="shared" ref="W1347:W1410" si="65">U1347/T1347</f>
        <v>-0.10900998316655756</v>
      </c>
    </row>
    <row r="1348" spans="1:23" x14ac:dyDescent="0.4">
      <c r="A1348" s="4" t="s">
        <v>3635</v>
      </c>
      <c r="B1348" s="4" t="s">
        <v>532</v>
      </c>
      <c r="C1348" s="11">
        <v>45432</v>
      </c>
      <c r="D1348" s="4" t="s">
        <v>124</v>
      </c>
      <c r="E1348" s="4" t="s">
        <v>24</v>
      </c>
      <c r="F1348" s="4" t="s">
        <v>26</v>
      </c>
      <c r="G1348" s="4" t="s">
        <v>41</v>
      </c>
      <c r="H1348" s="4" t="s">
        <v>3636</v>
      </c>
      <c r="I1348" s="4" t="s">
        <v>61</v>
      </c>
      <c r="J1348" s="4" t="s">
        <v>29</v>
      </c>
      <c r="K1348" s="4" t="s">
        <v>44</v>
      </c>
      <c r="L1348" s="4" t="s">
        <v>377</v>
      </c>
      <c r="M1348" s="4" t="s">
        <v>32</v>
      </c>
      <c r="N1348" s="4" t="s">
        <v>54</v>
      </c>
      <c r="O1348" s="4" t="s">
        <v>46</v>
      </c>
      <c r="P1348" s="4" t="s">
        <v>74</v>
      </c>
      <c r="Q1348" s="4">
        <v>10</v>
      </c>
      <c r="R1348" s="4">
        <v>20669</v>
      </c>
      <c r="S1348" s="5">
        <v>5</v>
      </c>
      <c r="T1348" s="6">
        <f t="shared" si="63"/>
        <v>196355.5</v>
      </c>
      <c r="U1348" s="4">
        <v>28042.97</v>
      </c>
      <c r="V1348" t="str">
        <f t="shared" si="64"/>
        <v>May</v>
      </c>
      <c r="W1348">
        <f t="shared" si="65"/>
        <v>0.14281733895918372</v>
      </c>
    </row>
    <row r="1349" spans="1:23" x14ac:dyDescent="0.4">
      <c r="A1349" s="4" t="s">
        <v>3637</v>
      </c>
      <c r="B1349" s="4" t="s">
        <v>2077</v>
      </c>
      <c r="C1349" s="11">
        <v>45500</v>
      </c>
      <c r="D1349" s="4" t="s">
        <v>98</v>
      </c>
      <c r="E1349" s="4" t="s">
        <v>24</v>
      </c>
      <c r="F1349" s="4" t="s">
        <v>25</v>
      </c>
      <c r="G1349" s="4" t="s">
        <v>99</v>
      </c>
      <c r="H1349" s="4" t="s">
        <v>3638</v>
      </c>
      <c r="I1349" s="4" t="s">
        <v>43</v>
      </c>
      <c r="J1349" s="4" t="s">
        <v>62</v>
      </c>
      <c r="K1349" s="4" t="s">
        <v>153</v>
      </c>
      <c r="L1349" s="4" t="s">
        <v>618</v>
      </c>
      <c r="M1349" s="4" t="s">
        <v>81</v>
      </c>
      <c r="N1349" s="4" t="s">
        <v>33</v>
      </c>
      <c r="O1349" s="4" t="s">
        <v>82</v>
      </c>
      <c r="P1349" s="4" t="s">
        <v>47</v>
      </c>
      <c r="Q1349" s="4">
        <v>8</v>
      </c>
      <c r="R1349" s="4">
        <v>11832</v>
      </c>
      <c r="S1349" s="5">
        <v>20</v>
      </c>
      <c r="T1349" s="6">
        <f t="shared" si="63"/>
        <v>75724.800000000003</v>
      </c>
      <c r="U1349" s="4">
        <v>7025.46</v>
      </c>
      <c r="V1349" t="str">
        <f t="shared" si="64"/>
        <v>Jul</v>
      </c>
      <c r="W1349">
        <f t="shared" si="65"/>
        <v>9.2776210699797163E-2</v>
      </c>
    </row>
    <row r="1350" spans="1:23" x14ac:dyDescent="0.4">
      <c r="A1350" s="4" t="s">
        <v>3639</v>
      </c>
      <c r="B1350" s="4" t="s">
        <v>38</v>
      </c>
      <c r="C1350" s="11">
        <v>45365</v>
      </c>
      <c r="D1350" s="4" t="s">
        <v>39</v>
      </c>
      <c r="E1350" s="4" t="s">
        <v>24</v>
      </c>
      <c r="F1350" s="4" t="s">
        <v>25</v>
      </c>
      <c r="G1350" s="4" t="s">
        <v>92</v>
      </c>
      <c r="H1350" s="4" t="s">
        <v>3640</v>
      </c>
      <c r="I1350" s="4" t="s">
        <v>28</v>
      </c>
      <c r="J1350" s="4" t="s">
        <v>62</v>
      </c>
      <c r="K1350" s="4" t="s">
        <v>101</v>
      </c>
      <c r="L1350" s="4" t="s">
        <v>159</v>
      </c>
      <c r="M1350" s="4" t="s">
        <v>73</v>
      </c>
      <c r="N1350" s="4" t="s">
        <v>54</v>
      </c>
      <c r="O1350" s="4" t="s">
        <v>66</v>
      </c>
      <c r="P1350" s="4" t="s">
        <v>47</v>
      </c>
      <c r="Q1350" s="4">
        <v>5</v>
      </c>
      <c r="R1350" s="4">
        <v>49984</v>
      </c>
      <c r="S1350" s="5">
        <v>20</v>
      </c>
      <c r="T1350" s="6">
        <f t="shared" si="63"/>
        <v>199936</v>
      </c>
      <c r="U1350" s="4">
        <v>-10417.83</v>
      </c>
      <c r="V1350" t="str">
        <f t="shared" si="64"/>
        <v>Mar</v>
      </c>
      <c r="W1350">
        <f t="shared" si="65"/>
        <v>-5.2105823863636366E-2</v>
      </c>
    </row>
    <row r="1351" spans="1:23" x14ac:dyDescent="0.4">
      <c r="A1351" s="4" t="s">
        <v>3641</v>
      </c>
      <c r="B1351" s="4" t="s">
        <v>2552</v>
      </c>
      <c r="C1351" s="11">
        <v>45431</v>
      </c>
      <c r="D1351" s="4" t="s">
        <v>39</v>
      </c>
      <c r="E1351" s="4" t="s">
        <v>24</v>
      </c>
      <c r="F1351" s="4" t="s">
        <v>58</v>
      </c>
      <c r="G1351" s="4" t="s">
        <v>41</v>
      </c>
      <c r="H1351" s="4" t="s">
        <v>3642</v>
      </c>
      <c r="I1351" s="4" t="s">
        <v>61</v>
      </c>
      <c r="J1351" s="4" t="s">
        <v>62</v>
      </c>
      <c r="K1351" s="4" t="s">
        <v>44</v>
      </c>
      <c r="L1351" s="4" t="s">
        <v>949</v>
      </c>
      <c r="M1351" s="4" t="s">
        <v>95</v>
      </c>
      <c r="N1351" s="4" t="s">
        <v>33</v>
      </c>
      <c r="O1351" s="4" t="s">
        <v>82</v>
      </c>
      <c r="P1351" s="4" t="s">
        <v>88</v>
      </c>
      <c r="Q1351" s="4">
        <v>9</v>
      </c>
      <c r="R1351" s="4">
        <v>42900</v>
      </c>
      <c r="S1351" s="5">
        <v>10</v>
      </c>
      <c r="T1351" s="6">
        <f t="shared" si="63"/>
        <v>347490</v>
      </c>
      <c r="U1351" s="4">
        <v>63104.34</v>
      </c>
      <c r="V1351" t="str">
        <f t="shared" si="64"/>
        <v>May</v>
      </c>
      <c r="W1351">
        <f t="shared" si="65"/>
        <v>0.18160044893378224</v>
      </c>
    </row>
    <row r="1352" spans="1:23" x14ac:dyDescent="0.4">
      <c r="A1352" s="4" t="s">
        <v>3643</v>
      </c>
      <c r="B1352" s="4" t="s">
        <v>713</v>
      </c>
      <c r="C1352" s="11">
        <v>45144</v>
      </c>
      <c r="D1352" s="4" t="s">
        <v>124</v>
      </c>
      <c r="E1352" s="4" t="s">
        <v>24</v>
      </c>
      <c r="F1352" s="4" t="s">
        <v>40</v>
      </c>
      <c r="G1352" s="4" t="s">
        <v>26</v>
      </c>
      <c r="H1352" s="4" t="s">
        <v>3644</v>
      </c>
      <c r="I1352" s="4" t="s">
        <v>43</v>
      </c>
      <c r="J1352" s="4" t="s">
        <v>62</v>
      </c>
      <c r="K1352" s="4" t="s">
        <v>30</v>
      </c>
      <c r="L1352" s="4" t="s">
        <v>2252</v>
      </c>
      <c r="M1352" s="4" t="s">
        <v>53</v>
      </c>
      <c r="N1352" s="4" t="s">
        <v>54</v>
      </c>
      <c r="O1352" s="4" t="s">
        <v>34</v>
      </c>
      <c r="P1352" s="4" t="s">
        <v>88</v>
      </c>
      <c r="Q1352" s="4">
        <v>2</v>
      </c>
      <c r="R1352" s="4">
        <v>45267</v>
      </c>
      <c r="S1352" s="5">
        <v>10</v>
      </c>
      <c r="T1352" s="6">
        <f t="shared" si="63"/>
        <v>81480.600000000006</v>
      </c>
      <c r="U1352" s="4">
        <v>3693.58</v>
      </c>
      <c r="V1352" t="str">
        <f t="shared" si="64"/>
        <v>Jul</v>
      </c>
      <c r="W1352">
        <f t="shared" si="65"/>
        <v>4.5330790396732469E-2</v>
      </c>
    </row>
    <row r="1353" spans="1:23" x14ac:dyDescent="0.4">
      <c r="A1353" s="4" t="s">
        <v>3645</v>
      </c>
      <c r="B1353" s="4" t="s">
        <v>1181</v>
      </c>
      <c r="C1353" s="11">
        <v>44915</v>
      </c>
      <c r="D1353" s="4" t="s">
        <v>23</v>
      </c>
      <c r="E1353" s="4" t="s">
        <v>24</v>
      </c>
      <c r="F1353" s="4" t="s">
        <v>40</v>
      </c>
      <c r="G1353" s="4" t="s">
        <v>99</v>
      </c>
      <c r="H1353" s="4" t="s">
        <v>849</v>
      </c>
      <c r="I1353" s="4" t="s">
        <v>61</v>
      </c>
      <c r="J1353" s="4" t="s">
        <v>79</v>
      </c>
      <c r="K1353" s="4" t="s">
        <v>63</v>
      </c>
      <c r="L1353" s="4" t="s">
        <v>1350</v>
      </c>
      <c r="M1353" s="4" t="s">
        <v>95</v>
      </c>
      <c r="N1353" s="4" t="s">
        <v>33</v>
      </c>
      <c r="O1353" s="4" t="s">
        <v>82</v>
      </c>
      <c r="P1353" s="4" t="s">
        <v>74</v>
      </c>
      <c r="Q1353" s="4">
        <v>6</v>
      </c>
      <c r="R1353" s="4">
        <v>20967</v>
      </c>
      <c r="S1353" s="5">
        <v>20</v>
      </c>
      <c r="T1353" s="6">
        <f t="shared" si="63"/>
        <v>100641.60000000001</v>
      </c>
      <c r="U1353" s="4">
        <v>-4476.78</v>
      </c>
      <c r="V1353" t="str">
        <f t="shared" si="64"/>
        <v>Dec</v>
      </c>
      <c r="W1353">
        <f t="shared" si="65"/>
        <v>-4.4482400915724703E-2</v>
      </c>
    </row>
    <row r="1354" spans="1:23" x14ac:dyDescent="0.4">
      <c r="A1354" s="4" t="s">
        <v>3646</v>
      </c>
      <c r="B1354" s="4" t="s">
        <v>1824</v>
      </c>
      <c r="C1354" s="11">
        <v>45368</v>
      </c>
      <c r="D1354" s="4" t="s">
        <v>23</v>
      </c>
      <c r="E1354" s="4" t="s">
        <v>24</v>
      </c>
      <c r="F1354" s="4" t="s">
        <v>26</v>
      </c>
      <c r="G1354" s="4" t="s">
        <v>99</v>
      </c>
      <c r="H1354" s="4" t="s">
        <v>821</v>
      </c>
      <c r="I1354" s="4" t="s">
        <v>28</v>
      </c>
      <c r="J1354" s="4" t="s">
        <v>79</v>
      </c>
      <c r="K1354" s="4" t="s">
        <v>30</v>
      </c>
      <c r="L1354" s="4" t="s">
        <v>1031</v>
      </c>
      <c r="M1354" s="4" t="s">
        <v>32</v>
      </c>
      <c r="N1354" s="4" t="s">
        <v>54</v>
      </c>
      <c r="O1354" s="4" t="s">
        <v>46</v>
      </c>
      <c r="P1354" s="4" t="s">
        <v>74</v>
      </c>
      <c r="Q1354" s="4">
        <v>1</v>
      </c>
      <c r="R1354" s="4">
        <v>3485</v>
      </c>
      <c r="S1354" s="5">
        <v>20</v>
      </c>
      <c r="T1354" s="6">
        <f t="shared" si="63"/>
        <v>2788</v>
      </c>
      <c r="U1354" s="4">
        <v>64.97</v>
      </c>
      <c r="V1354" t="str">
        <f t="shared" si="64"/>
        <v>Mar</v>
      </c>
      <c r="W1354">
        <f t="shared" si="65"/>
        <v>2.3303443328550933E-2</v>
      </c>
    </row>
    <row r="1355" spans="1:23" x14ac:dyDescent="0.4">
      <c r="A1355" s="4" t="s">
        <v>3647</v>
      </c>
      <c r="B1355" s="4" t="s">
        <v>1219</v>
      </c>
      <c r="C1355" s="11">
        <v>45153</v>
      </c>
      <c r="D1355" s="4" t="s">
        <v>124</v>
      </c>
      <c r="E1355" s="4" t="s">
        <v>24</v>
      </c>
      <c r="F1355" s="4" t="s">
        <v>26</v>
      </c>
      <c r="G1355" s="4" t="s">
        <v>59</v>
      </c>
      <c r="H1355" s="4" t="s">
        <v>3648</v>
      </c>
      <c r="I1355" s="4" t="s">
        <v>43</v>
      </c>
      <c r="J1355" s="4" t="s">
        <v>79</v>
      </c>
      <c r="K1355" s="4" t="s">
        <v>63</v>
      </c>
      <c r="L1355" s="4" t="s">
        <v>264</v>
      </c>
      <c r="M1355" s="4" t="s">
        <v>53</v>
      </c>
      <c r="N1355" s="4" t="s">
        <v>54</v>
      </c>
      <c r="O1355" s="4" t="s">
        <v>46</v>
      </c>
      <c r="P1355" s="4" t="s">
        <v>47</v>
      </c>
      <c r="Q1355" s="4">
        <v>6</v>
      </c>
      <c r="R1355" s="4">
        <v>17071</v>
      </c>
      <c r="S1355" s="5">
        <v>20</v>
      </c>
      <c r="T1355" s="6">
        <f t="shared" si="63"/>
        <v>81940.800000000003</v>
      </c>
      <c r="U1355" s="4">
        <v>-2631.24</v>
      </c>
      <c r="V1355" t="str">
        <f t="shared" si="64"/>
        <v>Aug</v>
      </c>
      <c r="W1355">
        <f t="shared" si="65"/>
        <v>-3.2111475601897949E-2</v>
      </c>
    </row>
    <row r="1356" spans="1:23" x14ac:dyDescent="0.4">
      <c r="A1356" s="4" t="s">
        <v>3649</v>
      </c>
      <c r="B1356" s="4" t="s">
        <v>1885</v>
      </c>
      <c r="C1356" s="11">
        <v>45419</v>
      </c>
      <c r="D1356" s="4" t="s">
        <v>98</v>
      </c>
      <c r="E1356" s="4" t="s">
        <v>24</v>
      </c>
      <c r="F1356" s="4" t="s">
        <v>26</v>
      </c>
      <c r="G1356" s="4" t="s">
        <v>59</v>
      </c>
      <c r="H1356" s="4" t="s">
        <v>3650</v>
      </c>
      <c r="I1356" s="4" t="s">
        <v>61</v>
      </c>
      <c r="J1356" s="4" t="s">
        <v>62</v>
      </c>
      <c r="K1356" s="4" t="s">
        <v>153</v>
      </c>
      <c r="L1356" s="4" t="s">
        <v>1709</v>
      </c>
      <c r="M1356" s="4" t="s">
        <v>65</v>
      </c>
      <c r="N1356" s="4" t="s">
        <v>33</v>
      </c>
      <c r="O1356" s="4" t="s">
        <v>82</v>
      </c>
      <c r="P1356" s="4" t="s">
        <v>47</v>
      </c>
      <c r="Q1356" s="4">
        <v>1</v>
      </c>
      <c r="R1356" s="4">
        <v>37157</v>
      </c>
      <c r="S1356" s="5">
        <v>5</v>
      </c>
      <c r="T1356" s="6">
        <f t="shared" si="63"/>
        <v>35299.15</v>
      </c>
      <c r="U1356" s="4">
        <v>6312.43</v>
      </c>
      <c r="V1356" t="str">
        <f t="shared" si="64"/>
        <v>May</v>
      </c>
      <c r="W1356">
        <f t="shared" si="65"/>
        <v>0.17882668562840748</v>
      </c>
    </row>
    <row r="1357" spans="1:23" x14ac:dyDescent="0.4">
      <c r="A1357" s="4" t="s">
        <v>3651</v>
      </c>
      <c r="B1357" s="4" t="s">
        <v>406</v>
      </c>
      <c r="C1357" s="11">
        <v>44654</v>
      </c>
      <c r="D1357" s="4" t="s">
        <v>98</v>
      </c>
      <c r="E1357" s="4" t="s">
        <v>24</v>
      </c>
      <c r="F1357" s="4" t="s">
        <v>25</v>
      </c>
      <c r="G1357" s="4" t="s">
        <v>26</v>
      </c>
      <c r="H1357" s="4" t="s">
        <v>3652</v>
      </c>
      <c r="I1357" s="4" t="s">
        <v>43</v>
      </c>
      <c r="J1357" s="4" t="s">
        <v>29</v>
      </c>
      <c r="K1357" s="4" t="s">
        <v>30</v>
      </c>
      <c r="L1357" s="4" t="s">
        <v>1026</v>
      </c>
      <c r="M1357" s="4" t="s">
        <v>32</v>
      </c>
      <c r="N1357" s="4" t="s">
        <v>33</v>
      </c>
      <c r="O1357" s="4" t="s">
        <v>34</v>
      </c>
      <c r="P1357" s="4" t="s">
        <v>35</v>
      </c>
      <c r="Q1357" s="4">
        <v>2</v>
      </c>
      <c r="R1357" s="4">
        <v>7585</v>
      </c>
      <c r="S1357" s="5">
        <v>10</v>
      </c>
      <c r="T1357" s="6">
        <f t="shared" si="63"/>
        <v>13653</v>
      </c>
      <c r="U1357" s="4">
        <v>1236</v>
      </c>
      <c r="V1357" t="str">
        <f t="shared" si="64"/>
        <v>Mar</v>
      </c>
      <c r="W1357">
        <f t="shared" si="65"/>
        <v>9.0529553944188088E-2</v>
      </c>
    </row>
    <row r="1358" spans="1:23" x14ac:dyDescent="0.4">
      <c r="A1358" s="4" t="s">
        <v>3653</v>
      </c>
      <c r="B1358" s="4" t="s">
        <v>639</v>
      </c>
      <c r="C1358" s="11">
        <v>45282</v>
      </c>
      <c r="D1358" s="4" t="s">
        <v>124</v>
      </c>
      <c r="E1358" s="4" t="s">
        <v>24</v>
      </c>
      <c r="F1358" s="4" t="s">
        <v>70</v>
      </c>
      <c r="G1358" s="4" t="s">
        <v>92</v>
      </c>
      <c r="H1358" s="4" t="s">
        <v>3654</v>
      </c>
      <c r="I1358" s="4" t="s">
        <v>43</v>
      </c>
      <c r="J1358" s="4" t="s">
        <v>62</v>
      </c>
      <c r="K1358" s="4" t="s">
        <v>153</v>
      </c>
      <c r="L1358" s="4" t="s">
        <v>203</v>
      </c>
      <c r="M1358" s="4" t="s">
        <v>65</v>
      </c>
      <c r="N1358" s="4" t="s">
        <v>54</v>
      </c>
      <c r="O1358" s="4" t="s">
        <v>66</v>
      </c>
      <c r="P1358" s="4" t="s">
        <v>88</v>
      </c>
      <c r="Q1358" s="4">
        <v>2</v>
      </c>
      <c r="R1358" s="4">
        <v>14249</v>
      </c>
      <c r="S1358" s="5">
        <v>15</v>
      </c>
      <c r="T1358" s="6">
        <f t="shared" si="63"/>
        <v>24223.3</v>
      </c>
      <c r="U1358" s="4">
        <v>-2312.11</v>
      </c>
      <c r="V1358" t="str">
        <f t="shared" si="64"/>
        <v>Dec</v>
      </c>
      <c r="W1358">
        <f t="shared" si="65"/>
        <v>-9.5449835488971374E-2</v>
      </c>
    </row>
    <row r="1359" spans="1:23" x14ac:dyDescent="0.4">
      <c r="A1359" s="4" t="s">
        <v>3655</v>
      </c>
      <c r="B1359" s="4" t="s">
        <v>3293</v>
      </c>
      <c r="C1359" s="11">
        <v>44570</v>
      </c>
      <c r="D1359" s="4" t="s">
        <v>23</v>
      </c>
      <c r="E1359" s="4" t="s">
        <v>24</v>
      </c>
      <c r="F1359" s="4" t="s">
        <v>58</v>
      </c>
      <c r="G1359" s="4" t="s">
        <v>59</v>
      </c>
      <c r="H1359" s="4" t="s">
        <v>3656</v>
      </c>
      <c r="I1359" s="4" t="s">
        <v>61</v>
      </c>
      <c r="J1359" s="4" t="s">
        <v>62</v>
      </c>
      <c r="K1359" s="4" t="s">
        <v>101</v>
      </c>
      <c r="L1359" s="4" t="s">
        <v>167</v>
      </c>
      <c r="M1359" s="4" t="s">
        <v>81</v>
      </c>
      <c r="N1359" s="4" t="s">
        <v>54</v>
      </c>
      <c r="O1359" s="4" t="s">
        <v>120</v>
      </c>
      <c r="P1359" s="4" t="s">
        <v>35</v>
      </c>
      <c r="Q1359" s="4">
        <v>5</v>
      </c>
      <c r="R1359" s="4">
        <v>43670</v>
      </c>
      <c r="S1359" s="5">
        <v>20</v>
      </c>
      <c r="T1359" s="6">
        <f t="shared" si="63"/>
        <v>174680</v>
      </c>
      <c r="U1359" s="4">
        <v>-29906.959999999999</v>
      </c>
      <c r="V1359" t="str">
        <f t="shared" si="64"/>
        <v>Jan</v>
      </c>
      <c r="W1359">
        <f t="shared" si="65"/>
        <v>-0.17120998397068926</v>
      </c>
    </row>
    <row r="1360" spans="1:23" x14ac:dyDescent="0.4">
      <c r="A1360" s="4" t="s">
        <v>3657</v>
      </c>
      <c r="B1360" s="4" t="s">
        <v>865</v>
      </c>
      <c r="C1360" s="11">
        <v>45030</v>
      </c>
      <c r="D1360" s="4" t="s">
        <v>39</v>
      </c>
      <c r="E1360" s="4" t="s">
        <v>24</v>
      </c>
      <c r="F1360" s="4" t="s">
        <v>70</v>
      </c>
      <c r="G1360" s="4" t="s">
        <v>99</v>
      </c>
      <c r="H1360" s="4" t="s">
        <v>3658</v>
      </c>
      <c r="I1360" s="4" t="s">
        <v>28</v>
      </c>
      <c r="J1360" s="4" t="s">
        <v>62</v>
      </c>
      <c r="K1360" s="4" t="s">
        <v>101</v>
      </c>
      <c r="L1360" s="4" t="s">
        <v>1453</v>
      </c>
      <c r="M1360" s="4" t="s">
        <v>65</v>
      </c>
      <c r="N1360" s="4" t="s">
        <v>33</v>
      </c>
      <c r="O1360" s="4" t="s">
        <v>82</v>
      </c>
      <c r="P1360" s="4" t="s">
        <v>47</v>
      </c>
      <c r="Q1360" s="4">
        <v>7</v>
      </c>
      <c r="R1360" s="4">
        <v>8136</v>
      </c>
      <c r="S1360" s="5">
        <v>10</v>
      </c>
      <c r="T1360" s="6">
        <f t="shared" si="63"/>
        <v>51256.800000000003</v>
      </c>
      <c r="U1360" s="4">
        <v>4137.21</v>
      </c>
      <c r="V1360" t="str">
        <f t="shared" si="64"/>
        <v>Apr</v>
      </c>
      <c r="W1360">
        <f t="shared" si="65"/>
        <v>8.071533923303835E-2</v>
      </c>
    </row>
    <row r="1361" spans="1:23" x14ac:dyDescent="0.4">
      <c r="A1361" s="4" t="s">
        <v>3659</v>
      </c>
      <c r="B1361" s="4" t="s">
        <v>1620</v>
      </c>
      <c r="C1361" s="11">
        <v>45160</v>
      </c>
      <c r="D1361" s="4" t="s">
        <v>124</v>
      </c>
      <c r="E1361" s="4" t="s">
        <v>24</v>
      </c>
      <c r="F1361" s="4" t="s">
        <v>70</v>
      </c>
      <c r="G1361" s="4" t="s">
        <v>26</v>
      </c>
      <c r="H1361" s="4" t="s">
        <v>3660</v>
      </c>
      <c r="I1361" s="4" t="s">
        <v>28</v>
      </c>
      <c r="J1361" s="4" t="s">
        <v>29</v>
      </c>
      <c r="K1361" s="4" t="s">
        <v>63</v>
      </c>
      <c r="L1361" s="4" t="s">
        <v>1353</v>
      </c>
      <c r="M1361" s="4" t="s">
        <v>65</v>
      </c>
      <c r="N1361" s="4" t="s">
        <v>33</v>
      </c>
      <c r="O1361" s="4" t="s">
        <v>46</v>
      </c>
      <c r="P1361" s="4" t="s">
        <v>35</v>
      </c>
      <c r="Q1361" s="4">
        <v>7</v>
      </c>
      <c r="R1361" s="4">
        <v>12549</v>
      </c>
      <c r="S1361" s="5">
        <v>20</v>
      </c>
      <c r="T1361" s="6">
        <f t="shared" si="63"/>
        <v>70274.399999999994</v>
      </c>
      <c r="U1361" s="4">
        <v>-2895.57</v>
      </c>
      <c r="V1361" t="str">
        <f t="shared" si="64"/>
        <v>Aug</v>
      </c>
      <c r="W1361">
        <f t="shared" si="65"/>
        <v>-4.1203766947850148E-2</v>
      </c>
    </row>
    <row r="1362" spans="1:23" x14ac:dyDescent="0.4">
      <c r="A1362" s="4" t="s">
        <v>3661</v>
      </c>
      <c r="B1362" s="4" t="s">
        <v>1597</v>
      </c>
      <c r="C1362" s="11">
        <v>45149</v>
      </c>
      <c r="D1362" s="4" t="s">
        <v>98</v>
      </c>
      <c r="E1362" s="4" t="s">
        <v>24</v>
      </c>
      <c r="F1362" s="4" t="s">
        <v>70</v>
      </c>
      <c r="G1362" s="4" t="s">
        <v>26</v>
      </c>
      <c r="H1362" s="4" t="s">
        <v>3662</v>
      </c>
      <c r="I1362" s="4" t="s">
        <v>61</v>
      </c>
      <c r="J1362" s="4" t="s">
        <v>29</v>
      </c>
      <c r="K1362" s="4" t="s">
        <v>30</v>
      </c>
      <c r="L1362" s="4" t="s">
        <v>149</v>
      </c>
      <c r="M1362" s="4" t="s">
        <v>73</v>
      </c>
      <c r="N1362" s="4" t="s">
        <v>54</v>
      </c>
      <c r="O1362" s="4" t="s">
        <v>82</v>
      </c>
      <c r="P1362" s="4" t="s">
        <v>35</v>
      </c>
      <c r="Q1362" s="4">
        <v>1</v>
      </c>
      <c r="R1362" s="4">
        <v>44483</v>
      </c>
      <c r="S1362" s="5">
        <v>20</v>
      </c>
      <c r="T1362" s="6">
        <f t="shared" si="63"/>
        <v>35586.400000000001</v>
      </c>
      <c r="U1362" s="4">
        <v>-4727.3999999999996</v>
      </c>
      <c r="V1362" t="str">
        <f t="shared" si="64"/>
        <v>Aug</v>
      </c>
      <c r="W1362">
        <f t="shared" si="65"/>
        <v>-0.13284288379830494</v>
      </c>
    </row>
    <row r="1363" spans="1:23" x14ac:dyDescent="0.4">
      <c r="A1363" s="4" t="s">
        <v>3663</v>
      </c>
      <c r="B1363" s="4" t="s">
        <v>2195</v>
      </c>
      <c r="C1363" s="11">
        <v>45557</v>
      </c>
      <c r="D1363" s="4" t="s">
        <v>98</v>
      </c>
      <c r="E1363" s="4" t="s">
        <v>24</v>
      </c>
      <c r="F1363" s="4" t="s">
        <v>58</v>
      </c>
      <c r="G1363" s="4" t="s">
        <v>99</v>
      </c>
      <c r="H1363" s="4" t="s">
        <v>3664</v>
      </c>
      <c r="I1363" s="4" t="s">
        <v>28</v>
      </c>
      <c r="J1363" s="4" t="s">
        <v>29</v>
      </c>
      <c r="K1363" s="4" t="s">
        <v>86</v>
      </c>
      <c r="L1363" s="4" t="s">
        <v>699</v>
      </c>
      <c r="M1363" s="4" t="s">
        <v>65</v>
      </c>
      <c r="N1363" s="4" t="s">
        <v>54</v>
      </c>
      <c r="O1363" s="4" t="s">
        <v>34</v>
      </c>
      <c r="P1363" s="4" t="s">
        <v>47</v>
      </c>
      <c r="Q1363" s="4">
        <v>9</v>
      </c>
      <c r="R1363" s="4">
        <v>41294</v>
      </c>
      <c r="S1363" s="5">
        <v>0</v>
      </c>
      <c r="T1363" s="6">
        <f t="shared" si="63"/>
        <v>371646</v>
      </c>
      <c r="U1363" s="4">
        <v>34877.18</v>
      </c>
      <c r="V1363" t="str">
        <f t="shared" si="64"/>
        <v>Sep</v>
      </c>
      <c r="W1363">
        <f t="shared" si="65"/>
        <v>9.3845164484482546E-2</v>
      </c>
    </row>
    <row r="1364" spans="1:23" x14ac:dyDescent="0.4">
      <c r="A1364" s="4" t="s">
        <v>3665</v>
      </c>
      <c r="B1364" s="4" t="s">
        <v>225</v>
      </c>
      <c r="C1364" s="11">
        <v>45036</v>
      </c>
      <c r="D1364" s="4" t="s">
        <v>39</v>
      </c>
      <c r="E1364" s="4" t="s">
        <v>24</v>
      </c>
      <c r="F1364" s="4" t="s">
        <v>26</v>
      </c>
      <c r="G1364" s="4" t="s">
        <v>41</v>
      </c>
      <c r="H1364" s="4" t="s">
        <v>3666</v>
      </c>
      <c r="I1364" s="4" t="s">
        <v>28</v>
      </c>
      <c r="J1364" s="4" t="s">
        <v>79</v>
      </c>
      <c r="K1364" s="4" t="s">
        <v>30</v>
      </c>
      <c r="L1364" s="4" t="s">
        <v>552</v>
      </c>
      <c r="M1364" s="4" t="s">
        <v>53</v>
      </c>
      <c r="N1364" s="4" t="s">
        <v>54</v>
      </c>
      <c r="O1364" s="4" t="s">
        <v>66</v>
      </c>
      <c r="P1364" s="4" t="s">
        <v>88</v>
      </c>
      <c r="Q1364" s="4">
        <v>2</v>
      </c>
      <c r="R1364" s="4">
        <v>37935</v>
      </c>
      <c r="S1364" s="5">
        <v>20</v>
      </c>
      <c r="T1364" s="6">
        <f t="shared" si="63"/>
        <v>60696</v>
      </c>
      <c r="U1364" s="4">
        <v>-11359.31</v>
      </c>
      <c r="V1364" t="str">
        <f t="shared" si="64"/>
        <v>Apr</v>
      </c>
      <c r="W1364">
        <f t="shared" si="65"/>
        <v>-0.18715088308949518</v>
      </c>
    </row>
    <row r="1365" spans="1:23" x14ac:dyDescent="0.4">
      <c r="A1365" s="4" t="s">
        <v>3667</v>
      </c>
      <c r="B1365" s="4" t="s">
        <v>1252</v>
      </c>
      <c r="C1365" s="11">
        <v>44895</v>
      </c>
      <c r="D1365" s="4" t="s">
        <v>98</v>
      </c>
      <c r="E1365" s="4" t="s">
        <v>24</v>
      </c>
      <c r="F1365" s="4" t="s">
        <v>25</v>
      </c>
      <c r="G1365" s="4" t="s">
        <v>99</v>
      </c>
      <c r="H1365" s="4" t="s">
        <v>3668</v>
      </c>
      <c r="I1365" s="4" t="s">
        <v>43</v>
      </c>
      <c r="J1365" s="4" t="s">
        <v>62</v>
      </c>
      <c r="K1365" s="4" t="s">
        <v>44</v>
      </c>
      <c r="L1365" s="4" t="s">
        <v>343</v>
      </c>
      <c r="M1365" s="4" t="s">
        <v>53</v>
      </c>
      <c r="N1365" s="4" t="s">
        <v>33</v>
      </c>
      <c r="O1365" s="4" t="s">
        <v>66</v>
      </c>
      <c r="P1365" s="4" t="s">
        <v>35</v>
      </c>
      <c r="Q1365" s="4">
        <v>8</v>
      </c>
      <c r="R1365" s="4">
        <v>29686</v>
      </c>
      <c r="S1365" s="5">
        <v>5</v>
      </c>
      <c r="T1365" s="6">
        <f t="shared" si="63"/>
        <v>225613.6</v>
      </c>
      <c r="U1365" s="4">
        <v>33800.32</v>
      </c>
      <c r="V1365" t="str">
        <f t="shared" si="64"/>
        <v>Nov</v>
      </c>
      <c r="W1365">
        <f t="shared" si="65"/>
        <v>0.14981508206952063</v>
      </c>
    </row>
    <row r="1366" spans="1:23" x14ac:dyDescent="0.4">
      <c r="A1366" s="4" t="s">
        <v>3669</v>
      </c>
      <c r="B1366" s="4" t="s">
        <v>689</v>
      </c>
      <c r="C1366" s="11">
        <v>45225</v>
      </c>
      <c r="D1366" s="4" t="s">
        <v>98</v>
      </c>
      <c r="E1366" s="4" t="s">
        <v>24</v>
      </c>
      <c r="F1366" s="4" t="s">
        <v>40</v>
      </c>
      <c r="G1366" s="4" t="s">
        <v>59</v>
      </c>
      <c r="H1366" s="4" t="s">
        <v>3670</v>
      </c>
      <c r="I1366" s="4" t="s">
        <v>61</v>
      </c>
      <c r="J1366" s="4" t="s">
        <v>29</v>
      </c>
      <c r="K1366" s="4" t="s">
        <v>86</v>
      </c>
      <c r="L1366" s="4" t="s">
        <v>159</v>
      </c>
      <c r="M1366" s="4" t="s">
        <v>95</v>
      </c>
      <c r="N1366" s="4" t="s">
        <v>54</v>
      </c>
      <c r="O1366" s="4" t="s">
        <v>66</v>
      </c>
      <c r="P1366" s="4" t="s">
        <v>35</v>
      </c>
      <c r="Q1366" s="4">
        <v>7</v>
      </c>
      <c r="R1366" s="4">
        <v>46233</v>
      </c>
      <c r="S1366" s="5">
        <v>20</v>
      </c>
      <c r="T1366" s="6">
        <f t="shared" si="63"/>
        <v>258904.8</v>
      </c>
      <c r="U1366" s="4">
        <v>13004.51</v>
      </c>
      <c r="V1366" t="str">
        <f t="shared" si="64"/>
        <v>Oct</v>
      </c>
      <c r="W1366">
        <f t="shared" si="65"/>
        <v>5.0228925844557543E-2</v>
      </c>
    </row>
    <row r="1367" spans="1:23" x14ac:dyDescent="0.4">
      <c r="A1367" s="4" t="s">
        <v>3671</v>
      </c>
      <c r="B1367" s="4" t="s">
        <v>279</v>
      </c>
      <c r="C1367" s="11">
        <v>45505</v>
      </c>
      <c r="D1367" s="4" t="s">
        <v>124</v>
      </c>
      <c r="E1367" s="4" t="s">
        <v>24</v>
      </c>
      <c r="F1367" s="4" t="s">
        <v>26</v>
      </c>
      <c r="G1367" s="4" t="s">
        <v>99</v>
      </c>
      <c r="H1367" s="4" t="s">
        <v>3672</v>
      </c>
      <c r="I1367" s="4" t="s">
        <v>43</v>
      </c>
      <c r="J1367" s="4" t="s">
        <v>62</v>
      </c>
      <c r="K1367" s="4" t="s">
        <v>153</v>
      </c>
      <c r="L1367" s="4" t="s">
        <v>2822</v>
      </c>
      <c r="M1367" s="4" t="s">
        <v>65</v>
      </c>
      <c r="N1367" s="4" t="s">
        <v>54</v>
      </c>
      <c r="O1367" s="4" t="s">
        <v>34</v>
      </c>
      <c r="P1367" s="4" t="s">
        <v>35</v>
      </c>
      <c r="Q1367" s="4">
        <v>1</v>
      </c>
      <c r="R1367" s="4">
        <v>11319</v>
      </c>
      <c r="S1367" s="5">
        <v>15</v>
      </c>
      <c r="T1367" s="6">
        <f t="shared" si="63"/>
        <v>9621.15</v>
      </c>
      <c r="U1367" s="4">
        <v>1183.8699999999999</v>
      </c>
      <c r="V1367" t="str">
        <f t="shared" si="64"/>
        <v>Jul</v>
      </c>
      <c r="W1367">
        <f t="shared" si="65"/>
        <v>0.1230486999994803</v>
      </c>
    </row>
    <row r="1368" spans="1:23" x14ac:dyDescent="0.4">
      <c r="A1368" s="4" t="s">
        <v>3673</v>
      </c>
      <c r="B1368" s="4" t="s">
        <v>2489</v>
      </c>
      <c r="C1368" s="11">
        <v>44715</v>
      </c>
      <c r="D1368" s="4" t="s">
        <v>124</v>
      </c>
      <c r="E1368" s="4" t="s">
        <v>24</v>
      </c>
      <c r="F1368" s="4" t="s">
        <v>70</v>
      </c>
      <c r="G1368" s="4" t="s">
        <v>99</v>
      </c>
      <c r="H1368" s="4" t="s">
        <v>2212</v>
      </c>
      <c r="I1368" s="4" t="s">
        <v>61</v>
      </c>
      <c r="J1368" s="4" t="s">
        <v>79</v>
      </c>
      <c r="K1368" s="4" t="s">
        <v>86</v>
      </c>
      <c r="L1368" s="4" t="s">
        <v>956</v>
      </c>
      <c r="M1368" s="4" t="s">
        <v>53</v>
      </c>
      <c r="N1368" s="4" t="s">
        <v>33</v>
      </c>
      <c r="O1368" s="4" t="s">
        <v>120</v>
      </c>
      <c r="P1368" s="4" t="s">
        <v>35</v>
      </c>
      <c r="Q1368" s="4">
        <v>4</v>
      </c>
      <c r="R1368" s="4">
        <v>38465</v>
      </c>
      <c r="S1368" s="5">
        <v>5</v>
      </c>
      <c r="T1368" s="6">
        <f t="shared" si="63"/>
        <v>146167</v>
      </c>
      <c r="U1368" s="4">
        <v>13576.05</v>
      </c>
      <c r="V1368" t="str">
        <f t="shared" si="64"/>
        <v>May</v>
      </c>
      <c r="W1368">
        <f t="shared" si="65"/>
        <v>9.2880403921541788E-2</v>
      </c>
    </row>
    <row r="1369" spans="1:23" x14ac:dyDescent="0.4">
      <c r="A1369" s="4" t="s">
        <v>3674</v>
      </c>
      <c r="B1369" s="4" t="s">
        <v>1243</v>
      </c>
      <c r="C1369" s="11">
        <v>44760</v>
      </c>
      <c r="D1369" s="4" t="s">
        <v>98</v>
      </c>
      <c r="E1369" s="4" t="s">
        <v>24</v>
      </c>
      <c r="F1369" s="4" t="s">
        <v>70</v>
      </c>
      <c r="G1369" s="4" t="s">
        <v>92</v>
      </c>
      <c r="H1369" s="4" t="s">
        <v>3675</v>
      </c>
      <c r="I1369" s="4" t="s">
        <v>61</v>
      </c>
      <c r="J1369" s="4" t="s">
        <v>62</v>
      </c>
      <c r="K1369" s="4" t="s">
        <v>30</v>
      </c>
      <c r="L1369" s="4" t="s">
        <v>574</v>
      </c>
      <c r="M1369" s="4" t="s">
        <v>53</v>
      </c>
      <c r="N1369" s="4" t="s">
        <v>33</v>
      </c>
      <c r="O1369" s="4" t="s">
        <v>34</v>
      </c>
      <c r="P1369" s="4" t="s">
        <v>35</v>
      </c>
      <c r="Q1369" s="4">
        <v>6</v>
      </c>
      <c r="R1369" s="4">
        <v>18167</v>
      </c>
      <c r="S1369" s="5">
        <v>5</v>
      </c>
      <c r="T1369" s="6">
        <f t="shared" si="63"/>
        <v>103551.9</v>
      </c>
      <c r="U1369" s="4">
        <v>16609.240000000002</v>
      </c>
      <c r="V1369" t="str">
        <f t="shared" si="64"/>
        <v>Jul</v>
      </c>
      <c r="W1369">
        <f t="shared" si="65"/>
        <v>0.160395318675949</v>
      </c>
    </row>
    <row r="1370" spans="1:23" x14ac:dyDescent="0.4">
      <c r="A1370" s="4" t="s">
        <v>3676</v>
      </c>
      <c r="B1370" s="4" t="s">
        <v>313</v>
      </c>
      <c r="C1370" s="11">
        <v>45554</v>
      </c>
      <c r="D1370" s="4" t="s">
        <v>23</v>
      </c>
      <c r="E1370" s="4" t="s">
        <v>24</v>
      </c>
      <c r="F1370" s="4" t="s">
        <v>58</v>
      </c>
      <c r="G1370" s="4" t="s">
        <v>92</v>
      </c>
      <c r="H1370" s="4" t="s">
        <v>3677</v>
      </c>
      <c r="I1370" s="4" t="s">
        <v>43</v>
      </c>
      <c r="J1370" s="4" t="s">
        <v>62</v>
      </c>
      <c r="K1370" s="4" t="s">
        <v>63</v>
      </c>
      <c r="L1370" s="4" t="s">
        <v>167</v>
      </c>
      <c r="M1370" s="4" t="s">
        <v>53</v>
      </c>
      <c r="N1370" s="4" t="s">
        <v>33</v>
      </c>
      <c r="O1370" s="4" t="s">
        <v>66</v>
      </c>
      <c r="P1370" s="4" t="s">
        <v>35</v>
      </c>
      <c r="Q1370" s="4">
        <v>1</v>
      </c>
      <c r="R1370" s="4">
        <v>20282</v>
      </c>
      <c r="S1370" s="5">
        <v>20</v>
      </c>
      <c r="T1370" s="6">
        <f t="shared" si="63"/>
        <v>16225.6</v>
      </c>
      <c r="U1370" s="4">
        <v>580.03</v>
      </c>
      <c r="V1370" t="str">
        <f t="shared" si="64"/>
        <v>Sep</v>
      </c>
      <c r="W1370">
        <f t="shared" si="65"/>
        <v>3.5747830588699334E-2</v>
      </c>
    </row>
    <row r="1371" spans="1:23" x14ac:dyDescent="0.4">
      <c r="A1371" s="4" t="s">
        <v>3678</v>
      </c>
      <c r="B1371" s="4" t="s">
        <v>603</v>
      </c>
      <c r="C1371" s="11">
        <v>44974</v>
      </c>
      <c r="D1371" s="4" t="s">
        <v>124</v>
      </c>
      <c r="E1371" s="4" t="s">
        <v>24</v>
      </c>
      <c r="F1371" s="4" t="s">
        <v>58</v>
      </c>
      <c r="G1371" s="4" t="s">
        <v>92</v>
      </c>
      <c r="H1371" s="4" t="s">
        <v>3679</v>
      </c>
      <c r="I1371" s="4" t="s">
        <v>43</v>
      </c>
      <c r="J1371" s="4" t="s">
        <v>29</v>
      </c>
      <c r="K1371" s="4" t="s">
        <v>101</v>
      </c>
      <c r="L1371" s="4" t="s">
        <v>1415</v>
      </c>
      <c r="M1371" s="4" t="s">
        <v>53</v>
      </c>
      <c r="N1371" s="4" t="s">
        <v>33</v>
      </c>
      <c r="O1371" s="4" t="s">
        <v>120</v>
      </c>
      <c r="P1371" s="4" t="s">
        <v>47</v>
      </c>
      <c r="Q1371" s="4">
        <v>6</v>
      </c>
      <c r="R1371" s="4">
        <v>27523</v>
      </c>
      <c r="S1371" s="5">
        <v>15</v>
      </c>
      <c r="T1371" s="6">
        <f t="shared" si="63"/>
        <v>140367.29999999999</v>
      </c>
      <c r="U1371" s="4">
        <v>-13752.63</v>
      </c>
      <c r="V1371" t="str">
        <f t="shared" si="64"/>
        <v>Feb</v>
      </c>
      <c r="W1371">
        <f t="shared" si="65"/>
        <v>-9.7976024330453035E-2</v>
      </c>
    </row>
    <row r="1372" spans="1:23" x14ac:dyDescent="0.4">
      <c r="A1372" s="4" t="s">
        <v>3680</v>
      </c>
      <c r="B1372" s="4" t="s">
        <v>1289</v>
      </c>
      <c r="C1372" s="11">
        <v>45420</v>
      </c>
      <c r="D1372" s="4" t="s">
        <v>23</v>
      </c>
      <c r="E1372" s="4" t="s">
        <v>24</v>
      </c>
      <c r="F1372" s="4" t="s">
        <v>26</v>
      </c>
      <c r="G1372" s="4" t="s">
        <v>92</v>
      </c>
      <c r="H1372" s="4" t="s">
        <v>2641</v>
      </c>
      <c r="I1372" s="4" t="s">
        <v>43</v>
      </c>
      <c r="J1372" s="4" t="s">
        <v>62</v>
      </c>
      <c r="K1372" s="4" t="s">
        <v>44</v>
      </c>
      <c r="L1372" s="4" t="s">
        <v>500</v>
      </c>
      <c r="M1372" s="4" t="s">
        <v>73</v>
      </c>
      <c r="N1372" s="4" t="s">
        <v>33</v>
      </c>
      <c r="O1372" s="4" t="s">
        <v>82</v>
      </c>
      <c r="P1372" s="4" t="s">
        <v>74</v>
      </c>
      <c r="Q1372" s="4">
        <v>9</v>
      </c>
      <c r="R1372" s="4">
        <v>31556</v>
      </c>
      <c r="S1372" s="5">
        <v>15</v>
      </c>
      <c r="T1372" s="6">
        <f t="shared" si="63"/>
        <v>241403.4</v>
      </c>
      <c r="U1372" s="4">
        <v>-22454.67</v>
      </c>
      <c r="V1372" t="str">
        <f t="shared" si="64"/>
        <v>May</v>
      </c>
      <c r="W1372">
        <f t="shared" si="65"/>
        <v>-9.3017206882753098E-2</v>
      </c>
    </row>
    <row r="1373" spans="1:23" x14ac:dyDescent="0.4">
      <c r="A1373" s="4" t="s">
        <v>3681</v>
      </c>
      <c r="B1373" s="4" t="s">
        <v>2523</v>
      </c>
      <c r="C1373" s="11">
        <v>45326</v>
      </c>
      <c r="D1373" s="4" t="s">
        <v>98</v>
      </c>
      <c r="E1373" s="4" t="s">
        <v>24</v>
      </c>
      <c r="F1373" s="4" t="s">
        <v>70</v>
      </c>
      <c r="G1373" s="4" t="s">
        <v>26</v>
      </c>
      <c r="H1373" s="4" t="s">
        <v>3682</v>
      </c>
      <c r="I1373" s="4" t="s">
        <v>28</v>
      </c>
      <c r="J1373" s="4" t="s">
        <v>62</v>
      </c>
      <c r="K1373" s="4" t="s">
        <v>153</v>
      </c>
      <c r="L1373" s="4" t="s">
        <v>2373</v>
      </c>
      <c r="M1373" s="4" t="s">
        <v>95</v>
      </c>
      <c r="N1373" s="4" t="s">
        <v>54</v>
      </c>
      <c r="O1373" s="4" t="s">
        <v>46</v>
      </c>
      <c r="P1373" s="4" t="s">
        <v>74</v>
      </c>
      <c r="Q1373" s="4">
        <v>2</v>
      </c>
      <c r="R1373" s="4">
        <v>24043</v>
      </c>
      <c r="S1373" s="5">
        <v>15</v>
      </c>
      <c r="T1373" s="6">
        <f t="shared" si="63"/>
        <v>40873.1</v>
      </c>
      <c r="U1373" s="4">
        <v>-460.32</v>
      </c>
      <c r="V1373" t="str">
        <f t="shared" si="64"/>
        <v>Jan</v>
      </c>
      <c r="W1373">
        <f t="shared" si="65"/>
        <v>-1.1262174877853649E-2</v>
      </c>
    </row>
    <row r="1374" spans="1:23" x14ac:dyDescent="0.4">
      <c r="A1374" s="4" t="s">
        <v>3683</v>
      </c>
      <c r="B1374" s="4" t="s">
        <v>3684</v>
      </c>
      <c r="C1374" s="11">
        <v>44790</v>
      </c>
      <c r="D1374" s="4" t="s">
        <v>39</v>
      </c>
      <c r="E1374" s="4" t="s">
        <v>24</v>
      </c>
      <c r="F1374" s="4" t="s">
        <v>58</v>
      </c>
      <c r="G1374" s="4" t="s">
        <v>99</v>
      </c>
      <c r="H1374" s="4" t="s">
        <v>3685</v>
      </c>
      <c r="I1374" s="4" t="s">
        <v>43</v>
      </c>
      <c r="J1374" s="4" t="s">
        <v>62</v>
      </c>
      <c r="K1374" s="4" t="s">
        <v>153</v>
      </c>
      <c r="L1374" s="4" t="s">
        <v>718</v>
      </c>
      <c r="M1374" s="4" t="s">
        <v>73</v>
      </c>
      <c r="N1374" s="4" t="s">
        <v>33</v>
      </c>
      <c r="O1374" s="4" t="s">
        <v>46</v>
      </c>
      <c r="P1374" s="4" t="s">
        <v>88</v>
      </c>
      <c r="Q1374" s="4">
        <v>7</v>
      </c>
      <c r="R1374" s="4">
        <v>19483</v>
      </c>
      <c r="S1374" s="5">
        <v>5</v>
      </c>
      <c r="T1374" s="6">
        <f t="shared" si="63"/>
        <v>129561.95</v>
      </c>
      <c r="U1374" s="4">
        <v>27125.919999999998</v>
      </c>
      <c r="V1374" t="str">
        <f t="shared" si="64"/>
        <v>Aug</v>
      </c>
      <c r="W1374">
        <f t="shared" si="65"/>
        <v>0.20936640734413151</v>
      </c>
    </row>
    <row r="1375" spans="1:23" x14ac:dyDescent="0.4">
      <c r="A1375" s="4" t="s">
        <v>3686</v>
      </c>
      <c r="B1375" s="4" t="s">
        <v>2787</v>
      </c>
      <c r="C1375" s="11">
        <v>44812</v>
      </c>
      <c r="D1375" s="4" t="s">
        <v>39</v>
      </c>
      <c r="E1375" s="4" t="s">
        <v>24</v>
      </c>
      <c r="F1375" s="4" t="s">
        <v>58</v>
      </c>
      <c r="G1375" s="4" t="s">
        <v>92</v>
      </c>
      <c r="H1375" s="4" t="s">
        <v>2735</v>
      </c>
      <c r="I1375" s="4" t="s">
        <v>43</v>
      </c>
      <c r="J1375" s="4" t="s">
        <v>79</v>
      </c>
      <c r="K1375" s="4" t="s">
        <v>153</v>
      </c>
      <c r="L1375" s="4" t="s">
        <v>348</v>
      </c>
      <c r="M1375" s="4" t="s">
        <v>81</v>
      </c>
      <c r="N1375" s="4" t="s">
        <v>54</v>
      </c>
      <c r="O1375" s="4" t="s">
        <v>34</v>
      </c>
      <c r="P1375" s="4" t="s">
        <v>35</v>
      </c>
      <c r="Q1375" s="4">
        <v>1</v>
      </c>
      <c r="R1375" s="4">
        <v>19400</v>
      </c>
      <c r="S1375" s="5">
        <v>15</v>
      </c>
      <c r="T1375" s="6">
        <f t="shared" si="63"/>
        <v>16490</v>
      </c>
      <c r="U1375" s="4">
        <v>2447.4899999999998</v>
      </c>
      <c r="V1375" t="str">
        <f t="shared" si="64"/>
        <v>Sep</v>
      </c>
      <c r="W1375">
        <f t="shared" si="65"/>
        <v>0.14842268041237111</v>
      </c>
    </row>
    <row r="1376" spans="1:23" x14ac:dyDescent="0.4">
      <c r="A1376" s="4" t="s">
        <v>3687</v>
      </c>
      <c r="B1376" s="4" t="s">
        <v>3462</v>
      </c>
      <c r="C1376" s="11">
        <v>44617</v>
      </c>
      <c r="D1376" s="4" t="s">
        <v>124</v>
      </c>
      <c r="E1376" s="4" t="s">
        <v>24</v>
      </c>
      <c r="F1376" s="4" t="s">
        <v>26</v>
      </c>
      <c r="G1376" s="4" t="s">
        <v>41</v>
      </c>
      <c r="H1376" s="4" t="s">
        <v>3688</v>
      </c>
      <c r="I1376" s="4" t="s">
        <v>43</v>
      </c>
      <c r="J1376" s="4" t="s">
        <v>29</v>
      </c>
      <c r="K1376" s="4" t="s">
        <v>30</v>
      </c>
      <c r="L1376" s="4" t="s">
        <v>382</v>
      </c>
      <c r="M1376" s="4" t="s">
        <v>65</v>
      </c>
      <c r="N1376" s="4" t="s">
        <v>54</v>
      </c>
      <c r="O1376" s="4" t="s">
        <v>34</v>
      </c>
      <c r="P1376" s="4" t="s">
        <v>35</v>
      </c>
      <c r="Q1376" s="4">
        <v>4</v>
      </c>
      <c r="R1376" s="4">
        <v>25009</v>
      </c>
      <c r="S1376" s="5">
        <v>5</v>
      </c>
      <c r="T1376" s="6">
        <f t="shared" si="63"/>
        <v>95034.2</v>
      </c>
      <c r="U1376" s="4">
        <v>14537.24</v>
      </c>
      <c r="V1376" t="str">
        <f t="shared" si="64"/>
        <v>Feb</v>
      </c>
      <c r="W1376">
        <f t="shared" si="65"/>
        <v>0.15296851028366631</v>
      </c>
    </row>
    <row r="1377" spans="1:23" x14ac:dyDescent="0.4">
      <c r="A1377" s="4" t="s">
        <v>3689</v>
      </c>
      <c r="B1377" s="4" t="s">
        <v>446</v>
      </c>
      <c r="C1377" s="11">
        <v>45124</v>
      </c>
      <c r="D1377" s="4" t="s">
        <v>23</v>
      </c>
      <c r="E1377" s="4" t="s">
        <v>24</v>
      </c>
      <c r="F1377" s="4" t="s">
        <v>25</v>
      </c>
      <c r="G1377" s="4" t="s">
        <v>99</v>
      </c>
      <c r="H1377" s="4" t="s">
        <v>3690</v>
      </c>
      <c r="I1377" s="4" t="s">
        <v>61</v>
      </c>
      <c r="J1377" s="4" t="s">
        <v>79</v>
      </c>
      <c r="K1377" s="4" t="s">
        <v>30</v>
      </c>
      <c r="L1377" s="4" t="s">
        <v>1040</v>
      </c>
      <c r="M1377" s="4" t="s">
        <v>53</v>
      </c>
      <c r="N1377" s="4" t="s">
        <v>33</v>
      </c>
      <c r="O1377" s="4" t="s">
        <v>82</v>
      </c>
      <c r="P1377" s="4" t="s">
        <v>74</v>
      </c>
      <c r="Q1377" s="4">
        <v>6</v>
      </c>
      <c r="R1377" s="4">
        <v>11402</v>
      </c>
      <c r="S1377" s="5">
        <v>20</v>
      </c>
      <c r="T1377" s="6">
        <f t="shared" si="63"/>
        <v>54729.599999999999</v>
      </c>
      <c r="U1377" s="4">
        <v>6804.15</v>
      </c>
      <c r="V1377" t="str">
        <f t="shared" si="64"/>
        <v>Jul</v>
      </c>
      <c r="W1377">
        <f t="shared" si="65"/>
        <v>0.12432303543238028</v>
      </c>
    </row>
    <row r="1378" spans="1:23" x14ac:dyDescent="0.4">
      <c r="A1378" s="4" t="s">
        <v>3691</v>
      </c>
      <c r="B1378" s="4" t="s">
        <v>2209</v>
      </c>
      <c r="C1378" s="11">
        <v>45131</v>
      </c>
      <c r="D1378" s="4" t="s">
        <v>39</v>
      </c>
      <c r="E1378" s="4" t="s">
        <v>24</v>
      </c>
      <c r="F1378" s="4" t="s">
        <v>25</v>
      </c>
      <c r="G1378" s="4" t="s">
        <v>26</v>
      </c>
      <c r="H1378" s="4" t="s">
        <v>3692</v>
      </c>
      <c r="I1378" s="4" t="s">
        <v>43</v>
      </c>
      <c r="J1378" s="4" t="s">
        <v>62</v>
      </c>
      <c r="K1378" s="4" t="s">
        <v>101</v>
      </c>
      <c r="L1378" s="4" t="s">
        <v>544</v>
      </c>
      <c r="M1378" s="4" t="s">
        <v>53</v>
      </c>
      <c r="N1378" s="4" t="s">
        <v>33</v>
      </c>
      <c r="O1378" s="4" t="s">
        <v>66</v>
      </c>
      <c r="P1378" s="4" t="s">
        <v>74</v>
      </c>
      <c r="Q1378" s="4">
        <v>8</v>
      </c>
      <c r="R1378" s="4">
        <v>31262</v>
      </c>
      <c r="S1378" s="5">
        <v>0</v>
      </c>
      <c r="T1378" s="6">
        <f t="shared" si="63"/>
        <v>250096</v>
      </c>
      <c r="U1378" s="4">
        <v>13717.51</v>
      </c>
      <c r="V1378" t="str">
        <f t="shared" si="64"/>
        <v>Jul</v>
      </c>
      <c r="W1378">
        <f t="shared" si="65"/>
        <v>5.4848977992450899E-2</v>
      </c>
    </row>
    <row r="1379" spans="1:23" x14ac:dyDescent="0.4">
      <c r="A1379" s="4" t="s">
        <v>3693</v>
      </c>
      <c r="B1379" s="4" t="s">
        <v>3694</v>
      </c>
      <c r="C1379" s="11">
        <v>45272</v>
      </c>
      <c r="D1379" s="4" t="s">
        <v>98</v>
      </c>
      <c r="E1379" s="4" t="s">
        <v>24</v>
      </c>
      <c r="F1379" s="4" t="s">
        <v>70</v>
      </c>
      <c r="G1379" s="4" t="s">
        <v>59</v>
      </c>
      <c r="H1379" s="4" t="s">
        <v>3695</v>
      </c>
      <c r="I1379" s="4" t="s">
        <v>43</v>
      </c>
      <c r="J1379" s="4" t="s">
        <v>29</v>
      </c>
      <c r="K1379" s="4" t="s">
        <v>44</v>
      </c>
      <c r="L1379" s="4" t="s">
        <v>1563</v>
      </c>
      <c r="M1379" s="4" t="s">
        <v>65</v>
      </c>
      <c r="N1379" s="4" t="s">
        <v>33</v>
      </c>
      <c r="O1379" s="4" t="s">
        <v>120</v>
      </c>
      <c r="P1379" s="4" t="s">
        <v>74</v>
      </c>
      <c r="Q1379" s="4">
        <v>2</v>
      </c>
      <c r="R1379" s="4">
        <v>17307</v>
      </c>
      <c r="S1379" s="5">
        <v>0</v>
      </c>
      <c r="T1379" s="6">
        <f t="shared" si="63"/>
        <v>34614</v>
      </c>
      <c r="U1379" s="4">
        <v>3293.46</v>
      </c>
      <c r="V1379" t="str">
        <f t="shared" si="64"/>
        <v>Dec</v>
      </c>
      <c r="W1379">
        <f t="shared" si="65"/>
        <v>9.5148205928237126E-2</v>
      </c>
    </row>
    <row r="1380" spans="1:23" x14ac:dyDescent="0.4">
      <c r="A1380" s="4" t="s">
        <v>3696</v>
      </c>
      <c r="B1380" s="4" t="s">
        <v>2016</v>
      </c>
      <c r="C1380" s="11">
        <v>44907</v>
      </c>
      <c r="D1380" s="4" t="s">
        <v>98</v>
      </c>
      <c r="E1380" s="4" t="s">
        <v>24</v>
      </c>
      <c r="F1380" s="4" t="s">
        <v>58</v>
      </c>
      <c r="G1380" s="4" t="s">
        <v>26</v>
      </c>
      <c r="H1380" s="4" t="s">
        <v>3697</v>
      </c>
      <c r="I1380" s="4" t="s">
        <v>43</v>
      </c>
      <c r="J1380" s="4" t="s">
        <v>29</v>
      </c>
      <c r="K1380" s="4" t="s">
        <v>101</v>
      </c>
      <c r="L1380" s="4" t="s">
        <v>1005</v>
      </c>
      <c r="M1380" s="4" t="s">
        <v>53</v>
      </c>
      <c r="N1380" s="4" t="s">
        <v>33</v>
      </c>
      <c r="O1380" s="4" t="s">
        <v>82</v>
      </c>
      <c r="P1380" s="4" t="s">
        <v>74</v>
      </c>
      <c r="Q1380" s="4">
        <v>4</v>
      </c>
      <c r="R1380" s="4">
        <v>24179</v>
      </c>
      <c r="S1380" s="5">
        <v>10</v>
      </c>
      <c r="T1380" s="6">
        <f t="shared" si="63"/>
        <v>87044.4</v>
      </c>
      <c r="U1380" s="4">
        <v>14385.7</v>
      </c>
      <c r="V1380" t="str">
        <f t="shared" si="64"/>
        <v>Dec</v>
      </c>
      <c r="W1380">
        <f t="shared" si="65"/>
        <v>0.16526852962396205</v>
      </c>
    </row>
    <row r="1381" spans="1:23" x14ac:dyDescent="0.4">
      <c r="A1381" s="4" t="s">
        <v>3698</v>
      </c>
      <c r="B1381" s="4" t="s">
        <v>313</v>
      </c>
      <c r="C1381" s="11">
        <v>45549</v>
      </c>
      <c r="D1381" s="4" t="s">
        <v>39</v>
      </c>
      <c r="E1381" s="4" t="s">
        <v>24</v>
      </c>
      <c r="F1381" s="4" t="s">
        <v>26</v>
      </c>
      <c r="G1381" s="4" t="s">
        <v>59</v>
      </c>
      <c r="H1381" s="4" t="s">
        <v>3612</v>
      </c>
      <c r="I1381" s="4" t="s">
        <v>61</v>
      </c>
      <c r="J1381" s="4" t="s">
        <v>79</v>
      </c>
      <c r="K1381" s="4" t="s">
        <v>44</v>
      </c>
      <c r="L1381" s="4" t="s">
        <v>223</v>
      </c>
      <c r="M1381" s="4" t="s">
        <v>81</v>
      </c>
      <c r="N1381" s="4" t="s">
        <v>33</v>
      </c>
      <c r="O1381" s="4" t="s">
        <v>120</v>
      </c>
      <c r="P1381" s="4" t="s">
        <v>88</v>
      </c>
      <c r="Q1381" s="4">
        <v>1</v>
      </c>
      <c r="R1381" s="4">
        <v>23202</v>
      </c>
      <c r="S1381" s="5">
        <v>15</v>
      </c>
      <c r="T1381" s="6">
        <f t="shared" si="63"/>
        <v>19721.7</v>
      </c>
      <c r="U1381" s="4">
        <v>-2147.61</v>
      </c>
      <c r="V1381" t="str">
        <f t="shared" si="64"/>
        <v>Sep</v>
      </c>
      <c r="W1381">
        <f t="shared" si="65"/>
        <v>-0.10889578484613395</v>
      </c>
    </row>
    <row r="1382" spans="1:23" x14ac:dyDescent="0.4">
      <c r="A1382" s="4" t="s">
        <v>3699</v>
      </c>
      <c r="B1382" s="4" t="s">
        <v>3017</v>
      </c>
      <c r="C1382" s="11">
        <v>45245</v>
      </c>
      <c r="D1382" s="4" t="s">
        <v>39</v>
      </c>
      <c r="E1382" s="4" t="s">
        <v>24</v>
      </c>
      <c r="F1382" s="4" t="s">
        <v>25</v>
      </c>
      <c r="G1382" s="4" t="s">
        <v>59</v>
      </c>
      <c r="H1382" s="4" t="s">
        <v>3700</v>
      </c>
      <c r="I1382" s="4" t="s">
        <v>28</v>
      </c>
      <c r="J1382" s="4" t="s">
        <v>62</v>
      </c>
      <c r="K1382" s="4" t="s">
        <v>86</v>
      </c>
      <c r="L1382" s="4" t="s">
        <v>171</v>
      </c>
      <c r="M1382" s="4" t="s">
        <v>73</v>
      </c>
      <c r="N1382" s="4" t="s">
        <v>33</v>
      </c>
      <c r="O1382" s="4" t="s">
        <v>46</v>
      </c>
      <c r="P1382" s="4" t="s">
        <v>47</v>
      </c>
      <c r="Q1382" s="4">
        <v>10</v>
      </c>
      <c r="R1382" s="4">
        <v>46600</v>
      </c>
      <c r="S1382" s="5">
        <v>20</v>
      </c>
      <c r="T1382" s="6">
        <f t="shared" si="63"/>
        <v>372800</v>
      </c>
      <c r="U1382" s="4">
        <v>29107.34</v>
      </c>
      <c r="V1382" t="str">
        <f t="shared" si="64"/>
        <v>Nov</v>
      </c>
      <c r="W1382">
        <f t="shared" si="65"/>
        <v>7.8077628755364809E-2</v>
      </c>
    </row>
    <row r="1383" spans="1:23" x14ac:dyDescent="0.4">
      <c r="A1383" s="4" t="s">
        <v>3701</v>
      </c>
      <c r="B1383" s="4" t="s">
        <v>257</v>
      </c>
      <c r="C1383" s="11">
        <v>45104</v>
      </c>
      <c r="D1383" s="4" t="s">
        <v>39</v>
      </c>
      <c r="E1383" s="4" t="s">
        <v>24</v>
      </c>
      <c r="F1383" s="4" t="s">
        <v>25</v>
      </c>
      <c r="G1383" s="4" t="s">
        <v>41</v>
      </c>
      <c r="H1383" s="4" t="s">
        <v>3702</v>
      </c>
      <c r="I1383" s="4" t="s">
        <v>43</v>
      </c>
      <c r="J1383" s="4" t="s">
        <v>29</v>
      </c>
      <c r="K1383" s="4" t="s">
        <v>63</v>
      </c>
      <c r="L1383" s="4" t="s">
        <v>610</v>
      </c>
      <c r="M1383" s="4" t="s">
        <v>32</v>
      </c>
      <c r="N1383" s="4" t="s">
        <v>33</v>
      </c>
      <c r="O1383" s="4" t="s">
        <v>82</v>
      </c>
      <c r="P1383" s="4" t="s">
        <v>74</v>
      </c>
      <c r="Q1383" s="4">
        <v>8</v>
      </c>
      <c r="R1383" s="4">
        <v>26977</v>
      </c>
      <c r="S1383" s="5">
        <v>5</v>
      </c>
      <c r="T1383" s="6">
        <f t="shared" si="63"/>
        <v>205025.2</v>
      </c>
      <c r="U1383" s="4">
        <v>4608.7299999999996</v>
      </c>
      <c r="V1383" t="str">
        <f t="shared" si="64"/>
        <v>Jun</v>
      </c>
      <c r="W1383">
        <f t="shared" si="65"/>
        <v>2.2478846502771363E-2</v>
      </c>
    </row>
    <row r="1384" spans="1:23" x14ac:dyDescent="0.4">
      <c r="A1384" s="4" t="s">
        <v>3703</v>
      </c>
      <c r="B1384" s="4" t="s">
        <v>2438</v>
      </c>
      <c r="C1384" s="11">
        <v>44952</v>
      </c>
      <c r="D1384" s="4" t="s">
        <v>23</v>
      </c>
      <c r="E1384" s="4" t="s">
        <v>24</v>
      </c>
      <c r="F1384" s="4" t="s">
        <v>40</v>
      </c>
      <c r="G1384" s="4" t="s">
        <v>59</v>
      </c>
      <c r="H1384" s="4" t="s">
        <v>1011</v>
      </c>
      <c r="I1384" s="4" t="s">
        <v>43</v>
      </c>
      <c r="J1384" s="4" t="s">
        <v>79</v>
      </c>
      <c r="K1384" s="4" t="s">
        <v>101</v>
      </c>
      <c r="L1384" s="4" t="s">
        <v>190</v>
      </c>
      <c r="M1384" s="4" t="s">
        <v>81</v>
      </c>
      <c r="N1384" s="4" t="s">
        <v>54</v>
      </c>
      <c r="O1384" s="4" t="s">
        <v>46</v>
      </c>
      <c r="P1384" s="4" t="s">
        <v>47</v>
      </c>
      <c r="Q1384" s="4">
        <v>5</v>
      </c>
      <c r="R1384" s="4">
        <v>5390</v>
      </c>
      <c r="S1384" s="5">
        <v>10</v>
      </c>
      <c r="T1384" s="6">
        <f t="shared" si="63"/>
        <v>24255</v>
      </c>
      <c r="U1384" s="4">
        <v>2521.4499999999998</v>
      </c>
      <c r="V1384" t="str">
        <f t="shared" si="64"/>
        <v>Jan</v>
      </c>
      <c r="W1384">
        <f t="shared" si="65"/>
        <v>0.10395588538445681</v>
      </c>
    </row>
    <row r="1385" spans="1:23" x14ac:dyDescent="0.4">
      <c r="A1385" s="4" t="s">
        <v>3704</v>
      </c>
      <c r="B1385" s="4" t="s">
        <v>2624</v>
      </c>
      <c r="C1385" s="11">
        <v>45396</v>
      </c>
      <c r="D1385" s="4" t="s">
        <v>124</v>
      </c>
      <c r="E1385" s="4" t="s">
        <v>24</v>
      </c>
      <c r="F1385" s="4" t="s">
        <v>58</v>
      </c>
      <c r="G1385" s="4" t="s">
        <v>26</v>
      </c>
      <c r="H1385" s="4" t="s">
        <v>3705</v>
      </c>
      <c r="I1385" s="4" t="s">
        <v>43</v>
      </c>
      <c r="J1385" s="4" t="s">
        <v>79</v>
      </c>
      <c r="K1385" s="4" t="s">
        <v>63</v>
      </c>
      <c r="L1385" s="4" t="s">
        <v>704</v>
      </c>
      <c r="M1385" s="4" t="s">
        <v>81</v>
      </c>
      <c r="N1385" s="4" t="s">
        <v>54</v>
      </c>
      <c r="O1385" s="4" t="s">
        <v>66</v>
      </c>
      <c r="P1385" s="4" t="s">
        <v>47</v>
      </c>
      <c r="Q1385" s="4">
        <v>7</v>
      </c>
      <c r="R1385" s="4">
        <v>47655</v>
      </c>
      <c r="S1385" s="5">
        <v>5</v>
      </c>
      <c r="T1385" s="6">
        <f t="shared" si="63"/>
        <v>316905.75</v>
      </c>
      <c r="U1385" s="4">
        <v>23238.83</v>
      </c>
      <c r="V1385" t="str">
        <f t="shared" si="64"/>
        <v>Apr</v>
      </c>
      <c r="W1385">
        <f t="shared" si="65"/>
        <v>7.3330414484432685E-2</v>
      </c>
    </row>
    <row r="1386" spans="1:23" x14ac:dyDescent="0.4">
      <c r="A1386" s="4" t="s">
        <v>3706</v>
      </c>
      <c r="B1386" s="4" t="s">
        <v>1413</v>
      </c>
      <c r="C1386" s="11">
        <v>44954</v>
      </c>
      <c r="D1386" s="4" t="s">
        <v>39</v>
      </c>
      <c r="E1386" s="4" t="s">
        <v>24</v>
      </c>
      <c r="F1386" s="4" t="s">
        <v>26</v>
      </c>
      <c r="G1386" s="4" t="s">
        <v>92</v>
      </c>
      <c r="H1386" s="4" t="s">
        <v>3707</v>
      </c>
      <c r="I1386" s="4" t="s">
        <v>28</v>
      </c>
      <c r="J1386" s="4" t="s">
        <v>79</v>
      </c>
      <c r="K1386" s="4" t="s">
        <v>63</v>
      </c>
      <c r="L1386" s="4" t="s">
        <v>414</v>
      </c>
      <c r="M1386" s="4" t="s">
        <v>32</v>
      </c>
      <c r="N1386" s="4" t="s">
        <v>54</v>
      </c>
      <c r="O1386" s="4" t="s">
        <v>120</v>
      </c>
      <c r="P1386" s="4" t="s">
        <v>35</v>
      </c>
      <c r="Q1386" s="4">
        <v>6</v>
      </c>
      <c r="R1386" s="4">
        <v>44473</v>
      </c>
      <c r="S1386" s="5">
        <v>10</v>
      </c>
      <c r="T1386" s="6">
        <f t="shared" si="63"/>
        <v>240154.2</v>
      </c>
      <c r="U1386" s="4">
        <v>40585.11</v>
      </c>
      <c r="V1386" t="str">
        <f t="shared" si="64"/>
        <v>Jan</v>
      </c>
      <c r="W1386">
        <f t="shared" si="65"/>
        <v>0.16899604504106111</v>
      </c>
    </row>
    <row r="1387" spans="1:23" x14ac:dyDescent="0.4">
      <c r="A1387" s="4" t="s">
        <v>3708</v>
      </c>
      <c r="B1387" s="4" t="s">
        <v>1164</v>
      </c>
      <c r="C1387" s="11">
        <v>45449</v>
      </c>
      <c r="D1387" s="4" t="s">
        <v>23</v>
      </c>
      <c r="E1387" s="4" t="s">
        <v>24</v>
      </c>
      <c r="F1387" s="4" t="s">
        <v>40</v>
      </c>
      <c r="G1387" s="4" t="s">
        <v>41</v>
      </c>
      <c r="H1387" s="4" t="s">
        <v>3709</v>
      </c>
      <c r="I1387" s="4" t="s">
        <v>61</v>
      </c>
      <c r="J1387" s="4" t="s">
        <v>62</v>
      </c>
      <c r="K1387" s="4" t="s">
        <v>153</v>
      </c>
      <c r="L1387" s="4" t="s">
        <v>583</v>
      </c>
      <c r="M1387" s="4" t="s">
        <v>81</v>
      </c>
      <c r="N1387" s="4" t="s">
        <v>54</v>
      </c>
      <c r="O1387" s="4" t="s">
        <v>46</v>
      </c>
      <c r="P1387" s="4" t="s">
        <v>88</v>
      </c>
      <c r="Q1387" s="4">
        <v>9</v>
      </c>
      <c r="R1387" s="4">
        <v>28181</v>
      </c>
      <c r="S1387" s="5">
        <v>0</v>
      </c>
      <c r="T1387" s="6">
        <f t="shared" si="63"/>
        <v>253629</v>
      </c>
      <c r="U1387" s="4">
        <v>58475.14</v>
      </c>
      <c r="V1387" t="str">
        <f t="shared" si="64"/>
        <v>May</v>
      </c>
      <c r="W1387">
        <f t="shared" si="65"/>
        <v>0.23055384045199878</v>
      </c>
    </row>
    <row r="1388" spans="1:23" x14ac:dyDescent="0.4">
      <c r="A1388" s="4" t="s">
        <v>3710</v>
      </c>
      <c r="B1388" s="4" t="s">
        <v>3711</v>
      </c>
      <c r="C1388" s="11">
        <v>45148</v>
      </c>
      <c r="D1388" s="4" t="s">
        <v>98</v>
      </c>
      <c r="E1388" s="4" t="s">
        <v>24</v>
      </c>
      <c r="F1388" s="4" t="s">
        <v>40</v>
      </c>
      <c r="G1388" s="4" t="s">
        <v>26</v>
      </c>
      <c r="H1388" s="4" t="s">
        <v>3712</v>
      </c>
      <c r="I1388" s="4" t="s">
        <v>43</v>
      </c>
      <c r="J1388" s="4" t="s">
        <v>29</v>
      </c>
      <c r="K1388" s="4" t="s">
        <v>63</v>
      </c>
      <c r="L1388" s="4" t="s">
        <v>163</v>
      </c>
      <c r="M1388" s="4" t="s">
        <v>65</v>
      </c>
      <c r="N1388" s="4" t="s">
        <v>54</v>
      </c>
      <c r="O1388" s="4" t="s">
        <v>34</v>
      </c>
      <c r="P1388" s="4" t="s">
        <v>88</v>
      </c>
      <c r="Q1388" s="4">
        <v>10</v>
      </c>
      <c r="R1388" s="4">
        <v>11009</v>
      </c>
      <c r="S1388" s="5">
        <v>5</v>
      </c>
      <c r="T1388" s="6">
        <f t="shared" si="63"/>
        <v>104585.5</v>
      </c>
      <c r="U1388" s="4">
        <v>11682.46</v>
      </c>
      <c r="V1388" t="str">
        <f t="shared" si="64"/>
        <v>Aug</v>
      </c>
      <c r="W1388">
        <f t="shared" si="65"/>
        <v>0.11170248265772979</v>
      </c>
    </row>
    <row r="1389" spans="1:23" x14ac:dyDescent="0.4">
      <c r="A1389" s="4" t="s">
        <v>3713</v>
      </c>
      <c r="B1389" s="4" t="s">
        <v>1548</v>
      </c>
      <c r="C1389" s="11">
        <v>44648</v>
      </c>
      <c r="D1389" s="4" t="s">
        <v>124</v>
      </c>
      <c r="E1389" s="4" t="s">
        <v>24</v>
      </c>
      <c r="F1389" s="4" t="s">
        <v>58</v>
      </c>
      <c r="G1389" s="4" t="s">
        <v>26</v>
      </c>
      <c r="H1389" s="4" t="s">
        <v>3714</v>
      </c>
      <c r="I1389" s="4" t="s">
        <v>43</v>
      </c>
      <c r="J1389" s="4" t="s">
        <v>29</v>
      </c>
      <c r="K1389" s="4" t="s">
        <v>44</v>
      </c>
      <c r="L1389" s="4" t="s">
        <v>1214</v>
      </c>
      <c r="M1389" s="4" t="s">
        <v>73</v>
      </c>
      <c r="N1389" s="4" t="s">
        <v>54</v>
      </c>
      <c r="O1389" s="4" t="s">
        <v>82</v>
      </c>
      <c r="P1389" s="4" t="s">
        <v>74</v>
      </c>
      <c r="Q1389" s="4">
        <v>9</v>
      </c>
      <c r="R1389" s="4">
        <v>49644</v>
      </c>
      <c r="S1389" s="5">
        <v>15</v>
      </c>
      <c r="T1389" s="6">
        <f t="shared" si="63"/>
        <v>379776.6</v>
      </c>
      <c r="U1389" s="4">
        <v>-33233.339999999997</v>
      </c>
      <c r="V1389" t="str">
        <f t="shared" si="64"/>
        <v>Mar</v>
      </c>
      <c r="W1389">
        <f t="shared" si="65"/>
        <v>-8.7507603154064778E-2</v>
      </c>
    </row>
    <row r="1390" spans="1:23" x14ac:dyDescent="0.4">
      <c r="A1390" s="4" t="s">
        <v>3715</v>
      </c>
      <c r="B1390" s="4" t="s">
        <v>3300</v>
      </c>
      <c r="C1390" s="11">
        <v>44969</v>
      </c>
      <c r="D1390" s="4" t="s">
        <v>23</v>
      </c>
      <c r="E1390" s="4" t="s">
        <v>24</v>
      </c>
      <c r="F1390" s="4" t="s">
        <v>25</v>
      </c>
      <c r="G1390" s="4" t="s">
        <v>26</v>
      </c>
      <c r="H1390" s="4" t="s">
        <v>3716</v>
      </c>
      <c r="I1390" s="4" t="s">
        <v>61</v>
      </c>
      <c r="J1390" s="4" t="s">
        <v>62</v>
      </c>
      <c r="K1390" s="4" t="s">
        <v>86</v>
      </c>
      <c r="L1390" s="4" t="s">
        <v>740</v>
      </c>
      <c r="M1390" s="4" t="s">
        <v>81</v>
      </c>
      <c r="N1390" s="4" t="s">
        <v>54</v>
      </c>
      <c r="O1390" s="4" t="s">
        <v>120</v>
      </c>
      <c r="P1390" s="4" t="s">
        <v>47</v>
      </c>
      <c r="Q1390" s="4">
        <v>4</v>
      </c>
      <c r="R1390" s="4">
        <v>20906</v>
      </c>
      <c r="S1390" s="5">
        <v>15</v>
      </c>
      <c r="T1390" s="6">
        <f t="shared" si="63"/>
        <v>71080.399999999994</v>
      </c>
      <c r="U1390" s="4">
        <v>49.11</v>
      </c>
      <c r="V1390" t="str">
        <f t="shared" si="64"/>
        <v>Feb</v>
      </c>
      <c r="W1390">
        <f t="shared" si="65"/>
        <v>6.9090776078919091E-4</v>
      </c>
    </row>
    <row r="1391" spans="1:23" x14ac:dyDescent="0.4">
      <c r="A1391" s="4" t="s">
        <v>3717</v>
      </c>
      <c r="B1391" s="4" t="s">
        <v>824</v>
      </c>
      <c r="C1391" s="11">
        <v>44654</v>
      </c>
      <c r="D1391" s="4" t="s">
        <v>39</v>
      </c>
      <c r="E1391" s="4" t="s">
        <v>24</v>
      </c>
      <c r="F1391" s="4" t="s">
        <v>70</v>
      </c>
      <c r="G1391" s="4" t="s">
        <v>92</v>
      </c>
      <c r="H1391" s="4" t="s">
        <v>2011</v>
      </c>
      <c r="I1391" s="4" t="s">
        <v>61</v>
      </c>
      <c r="J1391" s="4" t="s">
        <v>29</v>
      </c>
      <c r="K1391" s="4" t="s">
        <v>86</v>
      </c>
      <c r="L1391" s="4" t="s">
        <v>792</v>
      </c>
      <c r="M1391" s="4" t="s">
        <v>81</v>
      </c>
      <c r="N1391" s="4" t="s">
        <v>33</v>
      </c>
      <c r="O1391" s="4" t="s">
        <v>82</v>
      </c>
      <c r="P1391" s="4" t="s">
        <v>88</v>
      </c>
      <c r="Q1391" s="4">
        <v>3</v>
      </c>
      <c r="R1391" s="4">
        <v>49345</v>
      </c>
      <c r="S1391" s="5">
        <v>5</v>
      </c>
      <c r="T1391" s="6">
        <f t="shared" si="63"/>
        <v>140633.25</v>
      </c>
      <c r="U1391" s="4">
        <v>6967.79</v>
      </c>
      <c r="V1391" t="str">
        <f t="shared" si="64"/>
        <v>Mar</v>
      </c>
      <c r="W1391">
        <f t="shared" si="65"/>
        <v>4.9545822200653115E-2</v>
      </c>
    </row>
    <row r="1392" spans="1:23" x14ac:dyDescent="0.4">
      <c r="A1392" s="4" t="s">
        <v>3718</v>
      </c>
      <c r="B1392" s="4" t="s">
        <v>3719</v>
      </c>
      <c r="C1392" s="11">
        <v>45266</v>
      </c>
      <c r="D1392" s="4" t="s">
        <v>23</v>
      </c>
      <c r="E1392" s="4" t="s">
        <v>24</v>
      </c>
      <c r="F1392" s="4" t="s">
        <v>58</v>
      </c>
      <c r="G1392" s="4" t="s">
        <v>99</v>
      </c>
      <c r="H1392" s="4" t="s">
        <v>3720</v>
      </c>
      <c r="I1392" s="4" t="s">
        <v>61</v>
      </c>
      <c r="J1392" s="4" t="s">
        <v>79</v>
      </c>
      <c r="K1392" s="4" t="s">
        <v>30</v>
      </c>
      <c r="L1392" s="4" t="s">
        <v>530</v>
      </c>
      <c r="M1392" s="4" t="s">
        <v>81</v>
      </c>
      <c r="N1392" s="4" t="s">
        <v>54</v>
      </c>
      <c r="O1392" s="4" t="s">
        <v>66</v>
      </c>
      <c r="P1392" s="4" t="s">
        <v>74</v>
      </c>
      <c r="Q1392" s="4">
        <v>7</v>
      </c>
      <c r="R1392" s="4">
        <v>48636</v>
      </c>
      <c r="S1392" s="5">
        <v>15</v>
      </c>
      <c r="T1392" s="6">
        <f t="shared" si="63"/>
        <v>289384.2</v>
      </c>
      <c r="U1392" s="4">
        <v>-7868.93</v>
      </c>
      <c r="V1392" t="str">
        <f t="shared" si="64"/>
        <v>Nov</v>
      </c>
      <c r="W1392">
        <f t="shared" si="65"/>
        <v>-2.7191982146917489E-2</v>
      </c>
    </row>
    <row r="1393" spans="1:23" x14ac:dyDescent="0.4">
      <c r="A1393" s="4" t="s">
        <v>3721</v>
      </c>
      <c r="B1393" s="4" t="s">
        <v>309</v>
      </c>
      <c r="C1393" s="11">
        <v>44602</v>
      </c>
      <c r="D1393" s="4" t="s">
        <v>39</v>
      </c>
      <c r="E1393" s="4" t="s">
        <v>24</v>
      </c>
      <c r="F1393" s="4" t="s">
        <v>40</v>
      </c>
      <c r="G1393" s="4" t="s">
        <v>92</v>
      </c>
      <c r="H1393" s="4" t="s">
        <v>3722</v>
      </c>
      <c r="I1393" s="4" t="s">
        <v>61</v>
      </c>
      <c r="J1393" s="4" t="s">
        <v>29</v>
      </c>
      <c r="K1393" s="4" t="s">
        <v>86</v>
      </c>
      <c r="L1393" s="4" t="s">
        <v>530</v>
      </c>
      <c r="M1393" s="4" t="s">
        <v>53</v>
      </c>
      <c r="N1393" s="4" t="s">
        <v>54</v>
      </c>
      <c r="O1393" s="4" t="s">
        <v>120</v>
      </c>
      <c r="P1393" s="4" t="s">
        <v>88</v>
      </c>
      <c r="Q1393" s="4">
        <v>7</v>
      </c>
      <c r="R1393" s="4">
        <v>40031</v>
      </c>
      <c r="S1393" s="5">
        <v>10</v>
      </c>
      <c r="T1393" s="6">
        <f t="shared" si="63"/>
        <v>252195.3</v>
      </c>
      <c r="U1393" s="4">
        <v>54293.1</v>
      </c>
      <c r="V1393" t="str">
        <f t="shared" si="64"/>
        <v>Jan</v>
      </c>
      <c r="W1393">
        <f t="shared" si="65"/>
        <v>0.21528196600015939</v>
      </c>
    </row>
    <row r="1394" spans="1:23" x14ac:dyDescent="0.4">
      <c r="A1394" s="4" t="s">
        <v>3723</v>
      </c>
      <c r="B1394" s="4" t="s">
        <v>1157</v>
      </c>
      <c r="C1394" s="11">
        <v>44911</v>
      </c>
      <c r="D1394" s="4" t="s">
        <v>39</v>
      </c>
      <c r="E1394" s="4" t="s">
        <v>24</v>
      </c>
      <c r="F1394" s="4" t="s">
        <v>25</v>
      </c>
      <c r="G1394" s="4" t="s">
        <v>59</v>
      </c>
      <c r="H1394" s="4" t="s">
        <v>3724</v>
      </c>
      <c r="I1394" s="4" t="s">
        <v>43</v>
      </c>
      <c r="J1394" s="4" t="s">
        <v>79</v>
      </c>
      <c r="K1394" s="4" t="s">
        <v>30</v>
      </c>
      <c r="L1394" s="4" t="s">
        <v>1701</v>
      </c>
      <c r="M1394" s="4" t="s">
        <v>53</v>
      </c>
      <c r="N1394" s="4" t="s">
        <v>54</v>
      </c>
      <c r="O1394" s="4" t="s">
        <v>34</v>
      </c>
      <c r="P1394" s="4" t="s">
        <v>47</v>
      </c>
      <c r="Q1394" s="4">
        <v>7</v>
      </c>
      <c r="R1394" s="4">
        <v>28533</v>
      </c>
      <c r="S1394" s="5">
        <v>15</v>
      </c>
      <c r="T1394" s="6">
        <f t="shared" si="63"/>
        <v>169771.35</v>
      </c>
      <c r="U1394" s="4">
        <v>-9818.2900000000009</v>
      </c>
      <c r="V1394" t="str">
        <f t="shared" si="64"/>
        <v>Dec</v>
      </c>
      <c r="W1394">
        <f t="shared" si="65"/>
        <v>-5.7832431679432368E-2</v>
      </c>
    </row>
    <row r="1395" spans="1:23" x14ac:dyDescent="0.4">
      <c r="A1395" s="4" t="s">
        <v>3725</v>
      </c>
      <c r="B1395" s="4" t="s">
        <v>845</v>
      </c>
      <c r="C1395" s="11">
        <v>45293</v>
      </c>
      <c r="D1395" s="4" t="s">
        <v>124</v>
      </c>
      <c r="E1395" s="4" t="s">
        <v>24</v>
      </c>
      <c r="F1395" s="4" t="s">
        <v>70</v>
      </c>
      <c r="G1395" s="4" t="s">
        <v>99</v>
      </c>
      <c r="H1395" s="4" t="s">
        <v>1671</v>
      </c>
      <c r="I1395" s="4" t="s">
        <v>61</v>
      </c>
      <c r="J1395" s="4" t="s">
        <v>29</v>
      </c>
      <c r="K1395" s="4" t="s">
        <v>30</v>
      </c>
      <c r="L1395" s="4" t="s">
        <v>618</v>
      </c>
      <c r="M1395" s="4" t="s">
        <v>53</v>
      </c>
      <c r="N1395" s="4" t="s">
        <v>33</v>
      </c>
      <c r="O1395" s="4" t="s">
        <v>82</v>
      </c>
      <c r="P1395" s="4" t="s">
        <v>47</v>
      </c>
      <c r="Q1395" s="4">
        <v>8</v>
      </c>
      <c r="R1395" s="4">
        <v>16041</v>
      </c>
      <c r="S1395" s="5">
        <v>20</v>
      </c>
      <c r="T1395" s="6">
        <f t="shared" si="63"/>
        <v>102662.39999999999</v>
      </c>
      <c r="U1395" s="4">
        <v>-5866.03</v>
      </c>
      <c r="V1395" t="str">
        <f t="shared" si="64"/>
        <v>Jan</v>
      </c>
      <c r="W1395">
        <f t="shared" si="65"/>
        <v>-5.7139030453213641E-2</v>
      </c>
    </row>
    <row r="1396" spans="1:23" x14ac:dyDescent="0.4">
      <c r="A1396" s="4" t="s">
        <v>3726</v>
      </c>
      <c r="B1396" s="4" t="s">
        <v>466</v>
      </c>
      <c r="C1396" s="11">
        <v>44849</v>
      </c>
      <c r="D1396" s="4" t="s">
        <v>23</v>
      </c>
      <c r="E1396" s="4" t="s">
        <v>24</v>
      </c>
      <c r="F1396" s="4" t="s">
        <v>70</v>
      </c>
      <c r="G1396" s="4" t="s">
        <v>26</v>
      </c>
      <c r="H1396" s="4" t="s">
        <v>3727</v>
      </c>
      <c r="I1396" s="4" t="s">
        <v>28</v>
      </c>
      <c r="J1396" s="4" t="s">
        <v>62</v>
      </c>
      <c r="K1396" s="4" t="s">
        <v>101</v>
      </c>
      <c r="L1396" s="4" t="s">
        <v>476</v>
      </c>
      <c r="M1396" s="4" t="s">
        <v>53</v>
      </c>
      <c r="N1396" s="4" t="s">
        <v>33</v>
      </c>
      <c r="O1396" s="4" t="s">
        <v>82</v>
      </c>
      <c r="P1396" s="4" t="s">
        <v>47</v>
      </c>
      <c r="Q1396" s="4">
        <v>2</v>
      </c>
      <c r="R1396" s="4">
        <v>29195</v>
      </c>
      <c r="S1396" s="5">
        <v>5</v>
      </c>
      <c r="T1396" s="6">
        <f t="shared" si="63"/>
        <v>55470.5</v>
      </c>
      <c r="U1396" s="4">
        <v>6621.14</v>
      </c>
      <c r="V1396" t="str">
        <f t="shared" si="64"/>
        <v>Oct</v>
      </c>
      <c r="W1396">
        <f t="shared" si="65"/>
        <v>0.11936326515895837</v>
      </c>
    </row>
    <row r="1397" spans="1:23" x14ac:dyDescent="0.4">
      <c r="A1397" s="4" t="s">
        <v>3728</v>
      </c>
      <c r="B1397" s="4" t="s">
        <v>1631</v>
      </c>
      <c r="C1397" s="11">
        <v>45048</v>
      </c>
      <c r="D1397" s="4" t="s">
        <v>98</v>
      </c>
      <c r="E1397" s="4" t="s">
        <v>24</v>
      </c>
      <c r="F1397" s="4" t="s">
        <v>26</v>
      </c>
      <c r="G1397" s="4" t="s">
        <v>92</v>
      </c>
      <c r="H1397" s="4" t="s">
        <v>3729</v>
      </c>
      <c r="I1397" s="4" t="s">
        <v>61</v>
      </c>
      <c r="J1397" s="4" t="s">
        <v>29</v>
      </c>
      <c r="K1397" s="4" t="s">
        <v>86</v>
      </c>
      <c r="L1397" s="4" t="s">
        <v>636</v>
      </c>
      <c r="M1397" s="4" t="s">
        <v>95</v>
      </c>
      <c r="N1397" s="4" t="s">
        <v>54</v>
      </c>
      <c r="O1397" s="4" t="s">
        <v>34</v>
      </c>
      <c r="P1397" s="4" t="s">
        <v>88</v>
      </c>
      <c r="Q1397" s="4">
        <v>6</v>
      </c>
      <c r="R1397" s="4">
        <v>21229</v>
      </c>
      <c r="S1397" s="5">
        <v>10</v>
      </c>
      <c r="T1397" s="6">
        <f t="shared" si="63"/>
        <v>114636.6</v>
      </c>
      <c r="U1397" s="4">
        <v>15159.07</v>
      </c>
      <c r="V1397" t="str">
        <f t="shared" si="64"/>
        <v>May</v>
      </c>
      <c r="W1397">
        <f t="shared" si="65"/>
        <v>0.13223586533445689</v>
      </c>
    </row>
    <row r="1398" spans="1:23" x14ac:dyDescent="0.4">
      <c r="A1398" s="4" t="s">
        <v>3730</v>
      </c>
      <c r="B1398" s="4" t="s">
        <v>1174</v>
      </c>
      <c r="C1398" s="11">
        <v>45403</v>
      </c>
      <c r="D1398" s="4" t="s">
        <v>98</v>
      </c>
      <c r="E1398" s="4" t="s">
        <v>24</v>
      </c>
      <c r="F1398" s="4" t="s">
        <v>70</v>
      </c>
      <c r="G1398" s="4" t="s">
        <v>59</v>
      </c>
      <c r="H1398" s="4" t="s">
        <v>3731</v>
      </c>
      <c r="I1398" s="4" t="s">
        <v>28</v>
      </c>
      <c r="J1398" s="4" t="s">
        <v>79</v>
      </c>
      <c r="K1398" s="4" t="s">
        <v>30</v>
      </c>
      <c r="L1398" s="4" t="s">
        <v>675</v>
      </c>
      <c r="M1398" s="4" t="s">
        <v>73</v>
      </c>
      <c r="N1398" s="4" t="s">
        <v>54</v>
      </c>
      <c r="O1398" s="4" t="s">
        <v>34</v>
      </c>
      <c r="P1398" s="4" t="s">
        <v>47</v>
      </c>
      <c r="Q1398" s="4">
        <v>6</v>
      </c>
      <c r="R1398" s="4">
        <v>4046</v>
      </c>
      <c r="S1398" s="5">
        <v>5</v>
      </c>
      <c r="T1398" s="6">
        <f t="shared" si="63"/>
        <v>23062.2</v>
      </c>
      <c r="U1398" s="4">
        <v>3840.59</v>
      </c>
      <c r="V1398" t="str">
        <f t="shared" si="64"/>
        <v>Apr</v>
      </c>
      <c r="W1398">
        <f t="shared" si="65"/>
        <v>0.16653181396397568</v>
      </c>
    </row>
    <row r="1399" spans="1:23" x14ac:dyDescent="0.4">
      <c r="A1399" s="4" t="s">
        <v>3732</v>
      </c>
      <c r="B1399" s="4" t="s">
        <v>3501</v>
      </c>
      <c r="C1399" s="11">
        <v>44892</v>
      </c>
      <c r="D1399" s="4" t="s">
        <v>124</v>
      </c>
      <c r="E1399" s="4" t="s">
        <v>24</v>
      </c>
      <c r="F1399" s="4" t="s">
        <v>58</v>
      </c>
      <c r="G1399" s="4" t="s">
        <v>59</v>
      </c>
      <c r="H1399" s="4" t="s">
        <v>3733</v>
      </c>
      <c r="I1399" s="4" t="s">
        <v>43</v>
      </c>
      <c r="J1399" s="4" t="s">
        <v>29</v>
      </c>
      <c r="K1399" s="4" t="s">
        <v>30</v>
      </c>
      <c r="L1399" s="4" t="s">
        <v>1254</v>
      </c>
      <c r="M1399" s="4" t="s">
        <v>53</v>
      </c>
      <c r="N1399" s="4" t="s">
        <v>54</v>
      </c>
      <c r="O1399" s="4" t="s">
        <v>34</v>
      </c>
      <c r="P1399" s="4" t="s">
        <v>74</v>
      </c>
      <c r="Q1399" s="4">
        <v>1</v>
      </c>
      <c r="R1399" s="4">
        <v>5941</v>
      </c>
      <c r="S1399" s="5">
        <v>0</v>
      </c>
      <c r="T1399" s="6">
        <f t="shared" si="63"/>
        <v>5941</v>
      </c>
      <c r="U1399" s="4">
        <v>621.11</v>
      </c>
      <c r="V1399" t="str">
        <f t="shared" si="64"/>
        <v>Nov</v>
      </c>
      <c r="W1399">
        <f t="shared" si="65"/>
        <v>0.10454637266453459</v>
      </c>
    </row>
    <row r="1400" spans="1:23" x14ac:dyDescent="0.4">
      <c r="A1400" s="4" t="s">
        <v>3734</v>
      </c>
      <c r="B1400" s="4" t="s">
        <v>693</v>
      </c>
      <c r="C1400" s="11">
        <v>44855</v>
      </c>
      <c r="D1400" s="4" t="s">
        <v>124</v>
      </c>
      <c r="E1400" s="4" t="s">
        <v>24</v>
      </c>
      <c r="F1400" s="4" t="s">
        <v>70</v>
      </c>
      <c r="G1400" s="4" t="s">
        <v>92</v>
      </c>
      <c r="H1400" s="4" t="s">
        <v>3735</v>
      </c>
      <c r="I1400" s="4" t="s">
        <v>43</v>
      </c>
      <c r="J1400" s="4" t="s">
        <v>79</v>
      </c>
      <c r="K1400" s="4" t="s">
        <v>30</v>
      </c>
      <c r="L1400" s="4" t="s">
        <v>1415</v>
      </c>
      <c r="M1400" s="4" t="s">
        <v>95</v>
      </c>
      <c r="N1400" s="4" t="s">
        <v>54</v>
      </c>
      <c r="O1400" s="4" t="s">
        <v>120</v>
      </c>
      <c r="P1400" s="4" t="s">
        <v>74</v>
      </c>
      <c r="Q1400" s="4">
        <v>5</v>
      </c>
      <c r="R1400" s="4">
        <v>24927</v>
      </c>
      <c r="S1400" s="5">
        <v>0</v>
      </c>
      <c r="T1400" s="6">
        <f t="shared" si="63"/>
        <v>124635</v>
      </c>
      <c r="U1400" s="4">
        <v>25913.67</v>
      </c>
      <c r="V1400" t="str">
        <f t="shared" si="64"/>
        <v>Oct</v>
      </c>
      <c r="W1400">
        <f t="shared" si="65"/>
        <v>0.20791647611024189</v>
      </c>
    </row>
    <row r="1401" spans="1:23" x14ac:dyDescent="0.4">
      <c r="A1401" s="4" t="s">
        <v>3736</v>
      </c>
      <c r="B1401" s="4" t="s">
        <v>3737</v>
      </c>
      <c r="C1401" s="11">
        <v>45561</v>
      </c>
      <c r="D1401" s="4" t="s">
        <v>39</v>
      </c>
      <c r="E1401" s="4" t="s">
        <v>24</v>
      </c>
      <c r="F1401" s="4" t="s">
        <v>70</v>
      </c>
      <c r="G1401" s="4" t="s">
        <v>92</v>
      </c>
      <c r="H1401" s="4" t="s">
        <v>3738</v>
      </c>
      <c r="I1401" s="4" t="s">
        <v>61</v>
      </c>
      <c r="J1401" s="4" t="s">
        <v>62</v>
      </c>
      <c r="K1401" s="4" t="s">
        <v>30</v>
      </c>
      <c r="L1401" s="4" t="s">
        <v>592</v>
      </c>
      <c r="M1401" s="4" t="s">
        <v>73</v>
      </c>
      <c r="N1401" s="4" t="s">
        <v>54</v>
      </c>
      <c r="O1401" s="4" t="s">
        <v>120</v>
      </c>
      <c r="P1401" s="4" t="s">
        <v>74</v>
      </c>
      <c r="Q1401" s="4">
        <v>8</v>
      </c>
      <c r="R1401" s="4">
        <v>34187</v>
      </c>
      <c r="S1401" s="5">
        <v>15</v>
      </c>
      <c r="T1401" s="6">
        <f t="shared" si="63"/>
        <v>232471.6</v>
      </c>
      <c r="U1401" s="4">
        <v>30544.71</v>
      </c>
      <c r="V1401" t="str">
        <f t="shared" si="64"/>
        <v>Sep</v>
      </c>
      <c r="W1401">
        <f t="shared" si="65"/>
        <v>0.13139114627335124</v>
      </c>
    </row>
    <row r="1402" spans="1:23" x14ac:dyDescent="0.4">
      <c r="A1402" s="4" t="s">
        <v>3739</v>
      </c>
      <c r="B1402" s="4" t="s">
        <v>2605</v>
      </c>
      <c r="C1402" s="11">
        <v>44800</v>
      </c>
      <c r="D1402" s="4" t="s">
        <v>124</v>
      </c>
      <c r="E1402" s="4" t="s">
        <v>24</v>
      </c>
      <c r="F1402" s="4" t="s">
        <v>58</v>
      </c>
      <c r="G1402" s="4" t="s">
        <v>99</v>
      </c>
      <c r="H1402" s="4" t="s">
        <v>3740</v>
      </c>
      <c r="I1402" s="4" t="s">
        <v>43</v>
      </c>
      <c r="J1402" s="4" t="s">
        <v>62</v>
      </c>
      <c r="K1402" s="4" t="s">
        <v>101</v>
      </c>
      <c r="L1402" s="4" t="s">
        <v>2034</v>
      </c>
      <c r="M1402" s="4" t="s">
        <v>32</v>
      </c>
      <c r="N1402" s="4" t="s">
        <v>54</v>
      </c>
      <c r="O1402" s="4" t="s">
        <v>46</v>
      </c>
      <c r="P1402" s="4" t="s">
        <v>88</v>
      </c>
      <c r="Q1402" s="4">
        <v>7</v>
      </c>
      <c r="R1402" s="4">
        <v>39947</v>
      </c>
      <c r="S1402" s="5">
        <v>5</v>
      </c>
      <c r="T1402" s="6">
        <f t="shared" si="63"/>
        <v>265647.55</v>
      </c>
      <c r="U1402" s="4">
        <v>23688.48</v>
      </c>
      <c r="V1402" t="str">
        <f t="shared" si="64"/>
        <v>Aug</v>
      </c>
      <c r="W1402">
        <f t="shared" si="65"/>
        <v>8.9172589771673028E-2</v>
      </c>
    </row>
    <row r="1403" spans="1:23" x14ac:dyDescent="0.4">
      <c r="A1403" s="4" t="s">
        <v>3741</v>
      </c>
      <c r="B1403" s="4" t="s">
        <v>1170</v>
      </c>
      <c r="C1403" s="11">
        <v>45016</v>
      </c>
      <c r="D1403" s="4" t="s">
        <v>124</v>
      </c>
      <c r="E1403" s="4" t="s">
        <v>24</v>
      </c>
      <c r="F1403" s="4" t="s">
        <v>40</v>
      </c>
      <c r="G1403" s="4" t="s">
        <v>59</v>
      </c>
      <c r="H1403" s="4" t="s">
        <v>3742</v>
      </c>
      <c r="I1403" s="4" t="s">
        <v>61</v>
      </c>
      <c r="J1403" s="4" t="s">
        <v>79</v>
      </c>
      <c r="K1403" s="4" t="s">
        <v>30</v>
      </c>
      <c r="L1403" s="4" t="s">
        <v>939</v>
      </c>
      <c r="M1403" s="4" t="s">
        <v>32</v>
      </c>
      <c r="N1403" s="4" t="s">
        <v>33</v>
      </c>
      <c r="O1403" s="4" t="s">
        <v>66</v>
      </c>
      <c r="P1403" s="4" t="s">
        <v>88</v>
      </c>
      <c r="Q1403" s="4">
        <v>8</v>
      </c>
      <c r="R1403" s="4">
        <v>25205</v>
      </c>
      <c r="S1403" s="5">
        <v>5</v>
      </c>
      <c r="T1403" s="6">
        <f t="shared" si="63"/>
        <v>191558</v>
      </c>
      <c r="U1403" s="4">
        <v>18341.599999999999</v>
      </c>
      <c r="V1403" t="str">
        <f t="shared" si="64"/>
        <v>Mar</v>
      </c>
      <c r="W1403">
        <f t="shared" si="65"/>
        <v>9.5749590202445209E-2</v>
      </c>
    </row>
    <row r="1404" spans="1:23" x14ac:dyDescent="0.4">
      <c r="A1404" s="4" t="s">
        <v>3743</v>
      </c>
      <c r="B1404" s="4" t="s">
        <v>434</v>
      </c>
      <c r="C1404" s="11">
        <v>45517</v>
      </c>
      <c r="D1404" s="4" t="s">
        <v>23</v>
      </c>
      <c r="E1404" s="4" t="s">
        <v>24</v>
      </c>
      <c r="F1404" s="4" t="s">
        <v>40</v>
      </c>
      <c r="G1404" s="4" t="s">
        <v>99</v>
      </c>
      <c r="H1404" s="4" t="s">
        <v>3209</v>
      </c>
      <c r="I1404" s="4" t="s">
        <v>61</v>
      </c>
      <c r="J1404" s="4" t="s">
        <v>79</v>
      </c>
      <c r="K1404" s="4" t="s">
        <v>153</v>
      </c>
      <c r="L1404" s="4" t="s">
        <v>511</v>
      </c>
      <c r="M1404" s="4" t="s">
        <v>32</v>
      </c>
      <c r="N1404" s="4" t="s">
        <v>54</v>
      </c>
      <c r="O1404" s="4" t="s">
        <v>120</v>
      </c>
      <c r="P1404" s="4" t="s">
        <v>88</v>
      </c>
      <c r="Q1404" s="4">
        <v>3</v>
      </c>
      <c r="R1404" s="4">
        <v>25739</v>
      </c>
      <c r="S1404" s="5">
        <v>0</v>
      </c>
      <c r="T1404" s="6">
        <f t="shared" si="63"/>
        <v>77217</v>
      </c>
      <c r="U1404" s="4">
        <v>19453.25</v>
      </c>
      <c r="V1404" t="str">
        <f t="shared" si="64"/>
        <v>Aug</v>
      </c>
      <c r="W1404">
        <f t="shared" si="65"/>
        <v>0.25192962689563181</v>
      </c>
    </row>
    <row r="1405" spans="1:23" x14ac:dyDescent="0.4">
      <c r="A1405" s="4" t="s">
        <v>3744</v>
      </c>
      <c r="B1405" s="4" t="s">
        <v>123</v>
      </c>
      <c r="C1405" s="11">
        <v>44624</v>
      </c>
      <c r="D1405" s="4" t="s">
        <v>23</v>
      </c>
      <c r="E1405" s="4" t="s">
        <v>24</v>
      </c>
      <c r="F1405" s="4" t="s">
        <v>70</v>
      </c>
      <c r="G1405" s="4" t="s">
        <v>59</v>
      </c>
      <c r="H1405" s="4" t="s">
        <v>3745</v>
      </c>
      <c r="I1405" s="4" t="s">
        <v>28</v>
      </c>
      <c r="J1405" s="4" t="s">
        <v>79</v>
      </c>
      <c r="K1405" s="4" t="s">
        <v>101</v>
      </c>
      <c r="L1405" s="4" t="s">
        <v>418</v>
      </c>
      <c r="M1405" s="4" t="s">
        <v>73</v>
      </c>
      <c r="N1405" s="4" t="s">
        <v>33</v>
      </c>
      <c r="O1405" s="4" t="s">
        <v>34</v>
      </c>
      <c r="P1405" s="4" t="s">
        <v>74</v>
      </c>
      <c r="Q1405" s="4">
        <v>1</v>
      </c>
      <c r="R1405" s="4">
        <v>16536</v>
      </c>
      <c r="S1405" s="5">
        <v>20</v>
      </c>
      <c r="T1405" s="6">
        <f t="shared" si="63"/>
        <v>13228.8</v>
      </c>
      <c r="U1405" s="4">
        <v>193.64</v>
      </c>
      <c r="V1405" t="str">
        <f t="shared" si="64"/>
        <v>Feb</v>
      </c>
      <c r="W1405">
        <f t="shared" si="65"/>
        <v>1.4637760038703434E-2</v>
      </c>
    </row>
    <row r="1406" spans="1:23" x14ac:dyDescent="0.4">
      <c r="A1406" s="4" t="s">
        <v>3746</v>
      </c>
      <c r="B1406" s="4" t="s">
        <v>944</v>
      </c>
      <c r="C1406" s="11">
        <v>45070</v>
      </c>
      <c r="D1406" s="4" t="s">
        <v>124</v>
      </c>
      <c r="E1406" s="4" t="s">
        <v>24</v>
      </c>
      <c r="F1406" s="4" t="s">
        <v>70</v>
      </c>
      <c r="G1406" s="4" t="s">
        <v>92</v>
      </c>
      <c r="H1406" s="4" t="s">
        <v>3747</v>
      </c>
      <c r="I1406" s="4" t="s">
        <v>61</v>
      </c>
      <c r="J1406" s="4" t="s">
        <v>62</v>
      </c>
      <c r="K1406" s="4" t="s">
        <v>101</v>
      </c>
      <c r="L1406" s="4" t="s">
        <v>687</v>
      </c>
      <c r="M1406" s="4" t="s">
        <v>53</v>
      </c>
      <c r="N1406" s="4" t="s">
        <v>54</v>
      </c>
      <c r="O1406" s="4" t="s">
        <v>82</v>
      </c>
      <c r="P1406" s="4" t="s">
        <v>74</v>
      </c>
      <c r="Q1406" s="4">
        <v>7</v>
      </c>
      <c r="R1406" s="4">
        <v>2552</v>
      </c>
      <c r="S1406" s="5">
        <v>10</v>
      </c>
      <c r="T1406" s="6">
        <f t="shared" si="63"/>
        <v>16077.6</v>
      </c>
      <c r="U1406" s="4">
        <v>2693.18</v>
      </c>
      <c r="V1406" t="str">
        <f t="shared" si="64"/>
        <v>May</v>
      </c>
      <c r="W1406">
        <f t="shared" si="65"/>
        <v>0.16751132009752698</v>
      </c>
    </row>
    <row r="1407" spans="1:23" x14ac:dyDescent="0.4">
      <c r="A1407" s="4" t="s">
        <v>3748</v>
      </c>
      <c r="B1407" s="4" t="s">
        <v>751</v>
      </c>
      <c r="C1407" s="11">
        <v>45023</v>
      </c>
      <c r="D1407" s="4" t="s">
        <v>39</v>
      </c>
      <c r="E1407" s="4" t="s">
        <v>24</v>
      </c>
      <c r="F1407" s="4" t="s">
        <v>25</v>
      </c>
      <c r="G1407" s="4" t="s">
        <v>59</v>
      </c>
      <c r="H1407" s="4" t="s">
        <v>3749</v>
      </c>
      <c r="I1407" s="4" t="s">
        <v>43</v>
      </c>
      <c r="J1407" s="4" t="s">
        <v>62</v>
      </c>
      <c r="K1407" s="4" t="s">
        <v>101</v>
      </c>
      <c r="L1407" s="4" t="s">
        <v>382</v>
      </c>
      <c r="M1407" s="4" t="s">
        <v>95</v>
      </c>
      <c r="N1407" s="4" t="s">
        <v>33</v>
      </c>
      <c r="O1407" s="4" t="s">
        <v>82</v>
      </c>
      <c r="P1407" s="4" t="s">
        <v>35</v>
      </c>
      <c r="Q1407" s="4">
        <v>6</v>
      </c>
      <c r="R1407" s="4">
        <v>26730</v>
      </c>
      <c r="S1407" s="5">
        <v>15</v>
      </c>
      <c r="T1407" s="6">
        <f t="shared" si="63"/>
        <v>136323</v>
      </c>
      <c r="U1407" s="4">
        <v>-6361.61</v>
      </c>
      <c r="V1407" t="str">
        <f t="shared" si="64"/>
        <v>Apr</v>
      </c>
      <c r="W1407">
        <f t="shared" si="65"/>
        <v>-4.6665713049155309E-2</v>
      </c>
    </row>
    <row r="1408" spans="1:23" x14ac:dyDescent="0.4">
      <c r="A1408" s="4" t="s">
        <v>3750</v>
      </c>
      <c r="B1408" s="4" t="s">
        <v>1613</v>
      </c>
      <c r="C1408" s="11">
        <v>44732</v>
      </c>
      <c r="D1408" s="4" t="s">
        <v>39</v>
      </c>
      <c r="E1408" s="4" t="s">
        <v>24</v>
      </c>
      <c r="F1408" s="4" t="s">
        <v>58</v>
      </c>
      <c r="G1408" s="4" t="s">
        <v>99</v>
      </c>
      <c r="H1408" s="4" t="s">
        <v>3751</v>
      </c>
      <c r="I1408" s="4" t="s">
        <v>28</v>
      </c>
      <c r="J1408" s="4" t="s">
        <v>79</v>
      </c>
      <c r="K1408" s="4" t="s">
        <v>86</v>
      </c>
      <c r="L1408" s="4" t="s">
        <v>867</v>
      </c>
      <c r="M1408" s="4" t="s">
        <v>53</v>
      </c>
      <c r="N1408" s="4" t="s">
        <v>33</v>
      </c>
      <c r="O1408" s="4" t="s">
        <v>34</v>
      </c>
      <c r="P1408" s="4" t="s">
        <v>35</v>
      </c>
      <c r="Q1408" s="4">
        <v>5</v>
      </c>
      <c r="R1408" s="4">
        <v>13527</v>
      </c>
      <c r="S1408" s="5">
        <v>15</v>
      </c>
      <c r="T1408" s="6">
        <f t="shared" si="63"/>
        <v>57489.75</v>
      </c>
      <c r="U1408" s="4">
        <v>4647.4799999999996</v>
      </c>
      <c r="V1408" t="str">
        <f t="shared" si="64"/>
        <v>Jun</v>
      </c>
      <c r="W1408">
        <f t="shared" si="65"/>
        <v>8.0840149765827818E-2</v>
      </c>
    </row>
    <row r="1409" spans="1:23" x14ac:dyDescent="0.4">
      <c r="A1409" s="4" t="s">
        <v>3752</v>
      </c>
      <c r="B1409" s="4" t="s">
        <v>3753</v>
      </c>
      <c r="C1409" s="11">
        <v>44881</v>
      </c>
      <c r="D1409" s="4" t="s">
        <v>98</v>
      </c>
      <c r="E1409" s="4" t="s">
        <v>24</v>
      </c>
      <c r="F1409" s="4" t="s">
        <v>40</v>
      </c>
      <c r="G1409" s="4" t="s">
        <v>26</v>
      </c>
      <c r="H1409" s="4" t="s">
        <v>3754</v>
      </c>
      <c r="I1409" s="4" t="s">
        <v>43</v>
      </c>
      <c r="J1409" s="4" t="s">
        <v>62</v>
      </c>
      <c r="K1409" s="4" t="s">
        <v>101</v>
      </c>
      <c r="L1409" s="4" t="s">
        <v>2057</v>
      </c>
      <c r="M1409" s="4" t="s">
        <v>53</v>
      </c>
      <c r="N1409" s="4" t="s">
        <v>33</v>
      </c>
      <c r="O1409" s="4" t="s">
        <v>34</v>
      </c>
      <c r="P1409" s="4" t="s">
        <v>47</v>
      </c>
      <c r="Q1409" s="4">
        <v>2</v>
      </c>
      <c r="R1409" s="4">
        <v>36452</v>
      </c>
      <c r="S1409" s="5">
        <v>15</v>
      </c>
      <c r="T1409" s="6">
        <f t="shared" si="63"/>
        <v>61968.4</v>
      </c>
      <c r="U1409" s="4">
        <v>10737.94</v>
      </c>
      <c r="V1409" t="str">
        <f t="shared" si="64"/>
        <v>Nov</v>
      </c>
      <c r="W1409">
        <f t="shared" si="65"/>
        <v>0.17328089800608051</v>
      </c>
    </row>
    <row r="1410" spans="1:23" x14ac:dyDescent="0.4">
      <c r="A1410" s="4" t="s">
        <v>3755</v>
      </c>
      <c r="B1410" s="4" t="s">
        <v>3753</v>
      </c>
      <c r="C1410" s="11">
        <v>44880</v>
      </c>
      <c r="D1410" s="4" t="s">
        <v>98</v>
      </c>
      <c r="E1410" s="4" t="s">
        <v>24</v>
      </c>
      <c r="F1410" s="4" t="s">
        <v>26</v>
      </c>
      <c r="G1410" s="4" t="s">
        <v>41</v>
      </c>
      <c r="H1410" s="4" t="s">
        <v>3756</v>
      </c>
      <c r="I1410" s="4" t="s">
        <v>61</v>
      </c>
      <c r="J1410" s="4" t="s">
        <v>29</v>
      </c>
      <c r="K1410" s="4" t="s">
        <v>63</v>
      </c>
      <c r="L1410" s="4" t="s">
        <v>259</v>
      </c>
      <c r="M1410" s="4" t="s">
        <v>53</v>
      </c>
      <c r="N1410" s="4" t="s">
        <v>54</v>
      </c>
      <c r="O1410" s="4" t="s">
        <v>34</v>
      </c>
      <c r="P1410" s="4" t="s">
        <v>35</v>
      </c>
      <c r="Q1410" s="4">
        <v>5</v>
      </c>
      <c r="R1410" s="4">
        <v>22723</v>
      </c>
      <c r="S1410" s="5">
        <v>5</v>
      </c>
      <c r="T1410" s="6">
        <f t="shared" si="63"/>
        <v>107934.25</v>
      </c>
      <c r="U1410" s="4">
        <v>21875.71</v>
      </c>
      <c r="V1410" t="str">
        <f t="shared" si="64"/>
        <v>Nov</v>
      </c>
      <c r="W1410">
        <f t="shared" si="65"/>
        <v>0.20267625892615179</v>
      </c>
    </row>
    <row r="1411" spans="1:23" x14ac:dyDescent="0.4">
      <c r="A1411" s="4" t="s">
        <v>3757</v>
      </c>
      <c r="B1411" s="4" t="s">
        <v>1129</v>
      </c>
      <c r="C1411" s="11">
        <v>44837</v>
      </c>
      <c r="D1411" s="4" t="s">
        <v>98</v>
      </c>
      <c r="E1411" s="4" t="s">
        <v>24</v>
      </c>
      <c r="F1411" s="4" t="s">
        <v>40</v>
      </c>
      <c r="G1411" s="4" t="s">
        <v>41</v>
      </c>
      <c r="H1411" s="4" t="s">
        <v>3758</v>
      </c>
      <c r="I1411" s="4" t="s">
        <v>43</v>
      </c>
      <c r="J1411" s="4" t="s">
        <v>29</v>
      </c>
      <c r="K1411" s="4" t="s">
        <v>153</v>
      </c>
      <c r="L1411" s="4" t="s">
        <v>329</v>
      </c>
      <c r="M1411" s="4" t="s">
        <v>65</v>
      </c>
      <c r="N1411" s="4" t="s">
        <v>54</v>
      </c>
      <c r="O1411" s="4" t="s">
        <v>82</v>
      </c>
      <c r="P1411" s="4" t="s">
        <v>88</v>
      </c>
      <c r="Q1411" s="4">
        <v>5</v>
      </c>
      <c r="R1411" s="4">
        <v>3432</v>
      </c>
      <c r="S1411" s="5">
        <v>5</v>
      </c>
      <c r="T1411" s="6">
        <f t="shared" ref="T1411:T1474" si="66">Q1411*R1411*(100-S1411)/100</f>
        <v>16302</v>
      </c>
      <c r="U1411" s="4">
        <v>343.48</v>
      </c>
      <c r="V1411" t="str">
        <f t="shared" ref="V1411:V1474" si="67">TEXT(B1411,"MMM")</f>
        <v>Sep</v>
      </c>
      <c r="W1411">
        <f t="shared" ref="W1411:W1474" si="68">U1411/T1411</f>
        <v>2.1069807385596859E-2</v>
      </c>
    </row>
    <row r="1412" spans="1:23" x14ac:dyDescent="0.4">
      <c r="A1412" s="4" t="s">
        <v>3759</v>
      </c>
      <c r="B1412" s="4" t="s">
        <v>908</v>
      </c>
      <c r="C1412" s="11">
        <v>44944</v>
      </c>
      <c r="D1412" s="4" t="s">
        <v>124</v>
      </c>
      <c r="E1412" s="4" t="s">
        <v>24</v>
      </c>
      <c r="F1412" s="4" t="s">
        <v>70</v>
      </c>
      <c r="G1412" s="4" t="s">
        <v>92</v>
      </c>
      <c r="H1412" s="4" t="s">
        <v>3760</v>
      </c>
      <c r="I1412" s="4" t="s">
        <v>28</v>
      </c>
      <c r="J1412" s="4" t="s">
        <v>29</v>
      </c>
      <c r="K1412" s="4" t="s">
        <v>101</v>
      </c>
      <c r="L1412" s="4" t="s">
        <v>1001</v>
      </c>
      <c r="M1412" s="4" t="s">
        <v>32</v>
      </c>
      <c r="N1412" s="4" t="s">
        <v>33</v>
      </c>
      <c r="O1412" s="4" t="s">
        <v>82</v>
      </c>
      <c r="P1412" s="4" t="s">
        <v>35</v>
      </c>
      <c r="Q1412" s="4">
        <v>3</v>
      </c>
      <c r="R1412" s="4">
        <v>28048</v>
      </c>
      <c r="S1412" s="5">
        <v>10</v>
      </c>
      <c r="T1412" s="6">
        <f t="shared" si="66"/>
        <v>75729.600000000006</v>
      </c>
      <c r="U1412" s="4">
        <v>11526.14</v>
      </c>
      <c r="V1412" t="str">
        <f t="shared" si="67"/>
        <v>Jan</v>
      </c>
      <c r="W1412">
        <f t="shared" si="68"/>
        <v>0.15220125287866301</v>
      </c>
    </row>
    <row r="1413" spans="1:23" x14ac:dyDescent="0.4">
      <c r="A1413" s="4" t="s">
        <v>3761</v>
      </c>
      <c r="B1413" s="4" t="s">
        <v>2361</v>
      </c>
      <c r="C1413" s="11">
        <v>44966</v>
      </c>
      <c r="D1413" s="4" t="s">
        <v>23</v>
      </c>
      <c r="E1413" s="4" t="s">
        <v>24</v>
      </c>
      <c r="F1413" s="4" t="s">
        <v>58</v>
      </c>
      <c r="G1413" s="4" t="s">
        <v>26</v>
      </c>
      <c r="H1413" s="4" t="s">
        <v>3762</v>
      </c>
      <c r="I1413" s="4" t="s">
        <v>43</v>
      </c>
      <c r="J1413" s="4" t="s">
        <v>79</v>
      </c>
      <c r="K1413" s="4" t="s">
        <v>153</v>
      </c>
      <c r="L1413" s="4" t="s">
        <v>324</v>
      </c>
      <c r="M1413" s="4" t="s">
        <v>81</v>
      </c>
      <c r="N1413" s="4" t="s">
        <v>54</v>
      </c>
      <c r="O1413" s="4" t="s">
        <v>120</v>
      </c>
      <c r="P1413" s="4" t="s">
        <v>47</v>
      </c>
      <c r="Q1413" s="4">
        <v>6</v>
      </c>
      <c r="R1413" s="4">
        <v>24269</v>
      </c>
      <c r="S1413" s="5">
        <v>20</v>
      </c>
      <c r="T1413" s="6">
        <f t="shared" si="66"/>
        <v>116491.2</v>
      </c>
      <c r="U1413" s="4">
        <v>-12196.05</v>
      </c>
      <c r="V1413" t="str">
        <f t="shared" si="67"/>
        <v>Feb</v>
      </c>
      <c r="W1413">
        <f t="shared" si="68"/>
        <v>-0.10469503275783922</v>
      </c>
    </row>
    <row r="1414" spans="1:23" x14ac:dyDescent="0.4">
      <c r="A1414" s="4" t="s">
        <v>3763</v>
      </c>
      <c r="B1414" s="4" t="s">
        <v>332</v>
      </c>
      <c r="C1414" s="11">
        <v>45533</v>
      </c>
      <c r="D1414" s="4" t="s">
        <v>98</v>
      </c>
      <c r="E1414" s="4" t="s">
        <v>24</v>
      </c>
      <c r="F1414" s="4" t="s">
        <v>40</v>
      </c>
      <c r="G1414" s="4" t="s">
        <v>99</v>
      </c>
      <c r="H1414" s="4" t="s">
        <v>3764</v>
      </c>
      <c r="I1414" s="4" t="s">
        <v>61</v>
      </c>
      <c r="J1414" s="4" t="s">
        <v>29</v>
      </c>
      <c r="K1414" s="4" t="s">
        <v>30</v>
      </c>
      <c r="L1414" s="4" t="s">
        <v>1457</v>
      </c>
      <c r="M1414" s="4" t="s">
        <v>53</v>
      </c>
      <c r="N1414" s="4" t="s">
        <v>33</v>
      </c>
      <c r="O1414" s="4" t="s">
        <v>66</v>
      </c>
      <c r="P1414" s="4" t="s">
        <v>35</v>
      </c>
      <c r="Q1414" s="4">
        <v>3</v>
      </c>
      <c r="R1414" s="4">
        <v>31416</v>
      </c>
      <c r="S1414" s="5">
        <v>10</v>
      </c>
      <c r="T1414" s="6">
        <f t="shared" si="66"/>
        <v>84823.2</v>
      </c>
      <c r="U1414" s="4">
        <v>14221.5</v>
      </c>
      <c r="V1414" t="str">
        <f t="shared" si="67"/>
        <v>Aug</v>
      </c>
      <c r="W1414">
        <f t="shared" si="68"/>
        <v>0.16766049854285148</v>
      </c>
    </row>
    <row r="1415" spans="1:23" x14ac:dyDescent="0.4">
      <c r="A1415" s="4" t="s">
        <v>3765</v>
      </c>
      <c r="B1415" s="4" t="s">
        <v>524</v>
      </c>
      <c r="C1415" s="11">
        <v>45073</v>
      </c>
      <c r="D1415" s="4" t="s">
        <v>124</v>
      </c>
      <c r="E1415" s="4" t="s">
        <v>24</v>
      </c>
      <c r="F1415" s="4" t="s">
        <v>26</v>
      </c>
      <c r="G1415" s="4" t="s">
        <v>26</v>
      </c>
      <c r="H1415" s="4" t="s">
        <v>3766</v>
      </c>
      <c r="I1415" s="4" t="s">
        <v>28</v>
      </c>
      <c r="J1415" s="4" t="s">
        <v>29</v>
      </c>
      <c r="K1415" s="4" t="s">
        <v>30</v>
      </c>
      <c r="L1415" s="4" t="s">
        <v>687</v>
      </c>
      <c r="M1415" s="4" t="s">
        <v>73</v>
      </c>
      <c r="N1415" s="4" t="s">
        <v>33</v>
      </c>
      <c r="O1415" s="4" t="s">
        <v>66</v>
      </c>
      <c r="P1415" s="4" t="s">
        <v>35</v>
      </c>
      <c r="Q1415" s="4">
        <v>2</v>
      </c>
      <c r="R1415" s="4">
        <v>21176</v>
      </c>
      <c r="S1415" s="5">
        <v>0</v>
      </c>
      <c r="T1415" s="6">
        <f t="shared" si="66"/>
        <v>42352</v>
      </c>
      <c r="U1415" s="4">
        <v>11236.6</v>
      </c>
      <c r="V1415" t="str">
        <f t="shared" si="67"/>
        <v>May</v>
      </c>
      <c r="W1415">
        <f t="shared" si="68"/>
        <v>0.26531450698904419</v>
      </c>
    </row>
    <row r="1416" spans="1:23" x14ac:dyDescent="0.4">
      <c r="A1416" s="4" t="s">
        <v>3767</v>
      </c>
      <c r="B1416" s="4" t="s">
        <v>1129</v>
      </c>
      <c r="C1416" s="11">
        <v>44840</v>
      </c>
      <c r="D1416" s="4" t="s">
        <v>124</v>
      </c>
      <c r="E1416" s="4" t="s">
        <v>24</v>
      </c>
      <c r="F1416" s="4" t="s">
        <v>40</v>
      </c>
      <c r="G1416" s="4" t="s">
        <v>59</v>
      </c>
      <c r="H1416" s="4" t="s">
        <v>3768</v>
      </c>
      <c r="I1416" s="4" t="s">
        <v>43</v>
      </c>
      <c r="J1416" s="4" t="s">
        <v>29</v>
      </c>
      <c r="K1416" s="4" t="s">
        <v>153</v>
      </c>
      <c r="L1416" s="4" t="s">
        <v>976</v>
      </c>
      <c r="M1416" s="4" t="s">
        <v>73</v>
      </c>
      <c r="N1416" s="4" t="s">
        <v>33</v>
      </c>
      <c r="O1416" s="4" t="s">
        <v>82</v>
      </c>
      <c r="P1416" s="4" t="s">
        <v>35</v>
      </c>
      <c r="Q1416" s="4">
        <v>7</v>
      </c>
      <c r="R1416" s="4">
        <v>14953</v>
      </c>
      <c r="S1416" s="5">
        <v>5</v>
      </c>
      <c r="T1416" s="6">
        <f t="shared" si="66"/>
        <v>99437.45</v>
      </c>
      <c r="U1416" s="4">
        <v>4482.68</v>
      </c>
      <c r="V1416" t="str">
        <f t="shared" si="67"/>
        <v>Sep</v>
      </c>
      <c r="W1416">
        <f t="shared" si="68"/>
        <v>4.5080399789013098E-2</v>
      </c>
    </row>
    <row r="1417" spans="1:23" x14ac:dyDescent="0.4">
      <c r="A1417" s="4" t="s">
        <v>3769</v>
      </c>
      <c r="B1417" s="4" t="s">
        <v>673</v>
      </c>
      <c r="C1417" s="11">
        <v>45521</v>
      </c>
      <c r="D1417" s="4" t="s">
        <v>23</v>
      </c>
      <c r="E1417" s="4" t="s">
        <v>24</v>
      </c>
      <c r="F1417" s="4" t="s">
        <v>25</v>
      </c>
      <c r="G1417" s="4" t="s">
        <v>41</v>
      </c>
      <c r="H1417" s="4" t="s">
        <v>3770</v>
      </c>
      <c r="I1417" s="4" t="s">
        <v>28</v>
      </c>
      <c r="J1417" s="4" t="s">
        <v>79</v>
      </c>
      <c r="K1417" s="4" t="s">
        <v>63</v>
      </c>
      <c r="L1417" s="4" t="s">
        <v>597</v>
      </c>
      <c r="M1417" s="4" t="s">
        <v>73</v>
      </c>
      <c r="N1417" s="4" t="s">
        <v>33</v>
      </c>
      <c r="O1417" s="4" t="s">
        <v>46</v>
      </c>
      <c r="P1417" s="4" t="s">
        <v>74</v>
      </c>
      <c r="Q1417" s="4">
        <v>10</v>
      </c>
      <c r="R1417" s="4">
        <v>24608</v>
      </c>
      <c r="S1417" s="5">
        <v>10</v>
      </c>
      <c r="T1417" s="6">
        <f t="shared" si="66"/>
        <v>221472</v>
      </c>
      <c r="U1417" s="4">
        <v>-7465.32</v>
      </c>
      <c r="V1417" t="str">
        <f t="shared" si="67"/>
        <v>Aug</v>
      </c>
      <c r="W1417">
        <f t="shared" si="68"/>
        <v>-3.3707737321196356E-2</v>
      </c>
    </row>
    <row r="1418" spans="1:23" x14ac:dyDescent="0.4">
      <c r="A1418" s="4" t="s">
        <v>3771</v>
      </c>
      <c r="B1418" s="4" t="s">
        <v>1707</v>
      </c>
      <c r="C1418" s="11">
        <v>44822</v>
      </c>
      <c r="D1418" s="4" t="s">
        <v>39</v>
      </c>
      <c r="E1418" s="4" t="s">
        <v>24</v>
      </c>
      <c r="F1418" s="4" t="s">
        <v>70</v>
      </c>
      <c r="G1418" s="4" t="s">
        <v>41</v>
      </c>
      <c r="H1418" s="4" t="s">
        <v>3772</v>
      </c>
      <c r="I1418" s="4" t="s">
        <v>43</v>
      </c>
      <c r="J1418" s="4" t="s">
        <v>62</v>
      </c>
      <c r="K1418" s="4" t="s">
        <v>101</v>
      </c>
      <c r="L1418" s="4" t="s">
        <v>618</v>
      </c>
      <c r="M1418" s="4" t="s">
        <v>81</v>
      </c>
      <c r="N1418" s="4" t="s">
        <v>54</v>
      </c>
      <c r="O1418" s="4" t="s">
        <v>34</v>
      </c>
      <c r="P1418" s="4" t="s">
        <v>47</v>
      </c>
      <c r="Q1418" s="4">
        <v>9</v>
      </c>
      <c r="R1418" s="4">
        <v>45408</v>
      </c>
      <c r="S1418" s="5">
        <v>5</v>
      </c>
      <c r="T1418" s="6">
        <f t="shared" si="66"/>
        <v>388238.4</v>
      </c>
      <c r="U1418" s="4">
        <v>39506.620000000003</v>
      </c>
      <c r="V1418" t="str">
        <f t="shared" si="67"/>
        <v>Sep</v>
      </c>
      <c r="W1418">
        <f t="shared" si="68"/>
        <v>0.10175866168828225</v>
      </c>
    </row>
    <row r="1419" spans="1:23" x14ac:dyDescent="0.4">
      <c r="A1419" s="4" t="s">
        <v>3773</v>
      </c>
      <c r="B1419" s="4" t="s">
        <v>1467</v>
      </c>
      <c r="C1419" s="11">
        <v>44625</v>
      </c>
      <c r="D1419" s="4" t="s">
        <v>39</v>
      </c>
      <c r="E1419" s="4" t="s">
        <v>24</v>
      </c>
      <c r="F1419" s="4" t="s">
        <v>26</v>
      </c>
      <c r="G1419" s="4" t="s">
        <v>26</v>
      </c>
      <c r="H1419" s="4" t="s">
        <v>3774</v>
      </c>
      <c r="I1419" s="4" t="s">
        <v>61</v>
      </c>
      <c r="J1419" s="4" t="s">
        <v>79</v>
      </c>
      <c r="K1419" s="4" t="s">
        <v>153</v>
      </c>
      <c r="L1419" s="4" t="s">
        <v>2533</v>
      </c>
      <c r="M1419" s="4" t="s">
        <v>81</v>
      </c>
      <c r="N1419" s="4" t="s">
        <v>33</v>
      </c>
      <c r="O1419" s="4" t="s">
        <v>34</v>
      </c>
      <c r="P1419" s="4" t="s">
        <v>35</v>
      </c>
      <c r="Q1419" s="4">
        <v>3</v>
      </c>
      <c r="R1419" s="4">
        <v>5312</v>
      </c>
      <c r="S1419" s="5">
        <v>5</v>
      </c>
      <c r="T1419" s="6">
        <f t="shared" si="66"/>
        <v>15139.2</v>
      </c>
      <c r="U1419" s="4">
        <v>353.38</v>
      </c>
      <c r="V1419" t="str">
        <f t="shared" si="67"/>
        <v>Feb</v>
      </c>
      <c r="W1419">
        <f t="shared" si="68"/>
        <v>2.3342052420207142E-2</v>
      </c>
    </row>
    <row r="1420" spans="1:23" x14ac:dyDescent="0.4">
      <c r="A1420" s="4" t="s">
        <v>3775</v>
      </c>
      <c r="B1420" s="4" t="s">
        <v>1134</v>
      </c>
      <c r="C1420" s="11">
        <v>44775</v>
      </c>
      <c r="D1420" s="4" t="s">
        <v>23</v>
      </c>
      <c r="E1420" s="4" t="s">
        <v>24</v>
      </c>
      <c r="F1420" s="4" t="s">
        <v>40</v>
      </c>
      <c r="G1420" s="4" t="s">
        <v>99</v>
      </c>
      <c r="H1420" s="4" t="s">
        <v>3776</v>
      </c>
      <c r="I1420" s="4" t="s">
        <v>43</v>
      </c>
      <c r="J1420" s="4" t="s">
        <v>29</v>
      </c>
      <c r="K1420" s="4" t="s">
        <v>153</v>
      </c>
      <c r="L1420" s="4" t="s">
        <v>530</v>
      </c>
      <c r="M1420" s="4" t="s">
        <v>81</v>
      </c>
      <c r="N1420" s="4" t="s">
        <v>33</v>
      </c>
      <c r="O1420" s="4" t="s">
        <v>34</v>
      </c>
      <c r="P1420" s="4" t="s">
        <v>74</v>
      </c>
      <c r="Q1420" s="4">
        <v>1</v>
      </c>
      <c r="R1420" s="4">
        <v>8920</v>
      </c>
      <c r="S1420" s="5">
        <v>0</v>
      </c>
      <c r="T1420" s="6">
        <f t="shared" si="66"/>
        <v>8920</v>
      </c>
      <c r="U1420" s="4">
        <v>778.53</v>
      </c>
      <c r="V1420" t="str">
        <f t="shared" si="67"/>
        <v>Jul</v>
      </c>
      <c r="W1420">
        <f t="shared" si="68"/>
        <v>8.727914798206278E-2</v>
      </c>
    </row>
    <row r="1421" spans="1:23" x14ac:dyDescent="0.4">
      <c r="A1421" s="4" t="s">
        <v>3777</v>
      </c>
      <c r="B1421" s="4" t="s">
        <v>3778</v>
      </c>
      <c r="C1421" s="11">
        <v>45159</v>
      </c>
      <c r="D1421" s="4" t="s">
        <v>98</v>
      </c>
      <c r="E1421" s="4" t="s">
        <v>24</v>
      </c>
      <c r="F1421" s="4" t="s">
        <v>26</v>
      </c>
      <c r="G1421" s="4" t="s">
        <v>26</v>
      </c>
      <c r="H1421" s="4" t="s">
        <v>3779</v>
      </c>
      <c r="I1421" s="4" t="s">
        <v>28</v>
      </c>
      <c r="J1421" s="4" t="s">
        <v>62</v>
      </c>
      <c r="K1421" s="4" t="s">
        <v>44</v>
      </c>
      <c r="L1421" s="4" t="s">
        <v>181</v>
      </c>
      <c r="M1421" s="4" t="s">
        <v>73</v>
      </c>
      <c r="N1421" s="4" t="s">
        <v>33</v>
      </c>
      <c r="O1421" s="4" t="s">
        <v>82</v>
      </c>
      <c r="P1421" s="4" t="s">
        <v>47</v>
      </c>
      <c r="Q1421" s="4">
        <v>1</v>
      </c>
      <c r="R1421" s="4">
        <v>11128</v>
      </c>
      <c r="S1421" s="5">
        <v>15</v>
      </c>
      <c r="T1421" s="6">
        <f t="shared" si="66"/>
        <v>9458.7999999999993</v>
      </c>
      <c r="U1421" s="4">
        <v>-252.2</v>
      </c>
      <c r="V1421" t="str">
        <f t="shared" si="67"/>
        <v>Aug</v>
      </c>
      <c r="W1421">
        <f t="shared" si="68"/>
        <v>-2.6663001649257834E-2</v>
      </c>
    </row>
    <row r="1422" spans="1:23" x14ac:dyDescent="0.4">
      <c r="A1422" s="4" t="s">
        <v>3780</v>
      </c>
      <c r="B1422" s="4" t="s">
        <v>336</v>
      </c>
      <c r="C1422" s="11">
        <v>45406</v>
      </c>
      <c r="D1422" s="4" t="s">
        <v>23</v>
      </c>
      <c r="E1422" s="4" t="s">
        <v>24</v>
      </c>
      <c r="F1422" s="4" t="s">
        <v>58</v>
      </c>
      <c r="G1422" s="4" t="s">
        <v>59</v>
      </c>
      <c r="H1422" s="4" t="s">
        <v>3781</v>
      </c>
      <c r="I1422" s="4" t="s">
        <v>61</v>
      </c>
      <c r="J1422" s="4" t="s">
        <v>62</v>
      </c>
      <c r="K1422" s="4" t="s">
        <v>86</v>
      </c>
      <c r="L1422" s="4" t="s">
        <v>636</v>
      </c>
      <c r="M1422" s="4" t="s">
        <v>32</v>
      </c>
      <c r="N1422" s="4" t="s">
        <v>54</v>
      </c>
      <c r="O1422" s="4" t="s">
        <v>46</v>
      </c>
      <c r="P1422" s="4" t="s">
        <v>88</v>
      </c>
      <c r="Q1422" s="4">
        <v>9</v>
      </c>
      <c r="R1422" s="4">
        <v>35348</v>
      </c>
      <c r="S1422" s="5">
        <v>20</v>
      </c>
      <c r="T1422" s="6">
        <f t="shared" si="66"/>
        <v>254505.60000000001</v>
      </c>
      <c r="U1422" s="4">
        <v>-30476.52</v>
      </c>
      <c r="V1422" t="str">
        <f t="shared" si="67"/>
        <v>Apr</v>
      </c>
      <c r="W1422">
        <f t="shared" si="68"/>
        <v>-0.11974793481950888</v>
      </c>
    </row>
    <row r="1423" spans="1:23" x14ac:dyDescent="0.4">
      <c r="A1423" s="4" t="s">
        <v>3782</v>
      </c>
      <c r="B1423" s="4" t="s">
        <v>1345</v>
      </c>
      <c r="C1423" s="11">
        <v>45128</v>
      </c>
      <c r="D1423" s="4" t="s">
        <v>23</v>
      </c>
      <c r="E1423" s="4" t="s">
        <v>24</v>
      </c>
      <c r="F1423" s="4" t="s">
        <v>58</v>
      </c>
      <c r="G1423" s="4" t="s">
        <v>41</v>
      </c>
      <c r="H1423" s="4" t="s">
        <v>222</v>
      </c>
      <c r="I1423" s="4" t="s">
        <v>28</v>
      </c>
      <c r="J1423" s="4" t="s">
        <v>79</v>
      </c>
      <c r="K1423" s="4" t="s">
        <v>101</v>
      </c>
      <c r="L1423" s="4" t="s">
        <v>352</v>
      </c>
      <c r="M1423" s="4" t="s">
        <v>32</v>
      </c>
      <c r="N1423" s="4" t="s">
        <v>54</v>
      </c>
      <c r="O1423" s="4" t="s">
        <v>34</v>
      </c>
      <c r="P1423" s="4" t="s">
        <v>35</v>
      </c>
      <c r="Q1423" s="4">
        <v>2</v>
      </c>
      <c r="R1423" s="4">
        <v>30894</v>
      </c>
      <c r="S1423" s="5">
        <v>15</v>
      </c>
      <c r="T1423" s="6">
        <f t="shared" si="66"/>
        <v>52519.8</v>
      </c>
      <c r="U1423" s="4">
        <v>-2354.2600000000002</v>
      </c>
      <c r="V1423" t="str">
        <f t="shared" si="67"/>
        <v>Jul</v>
      </c>
      <c r="W1423">
        <f t="shared" si="68"/>
        <v>-4.4826141759869612E-2</v>
      </c>
    </row>
    <row r="1424" spans="1:23" x14ac:dyDescent="0.4">
      <c r="A1424" s="4" t="s">
        <v>3783</v>
      </c>
      <c r="B1424" s="4" t="s">
        <v>3784</v>
      </c>
      <c r="C1424" s="11">
        <v>45505</v>
      </c>
      <c r="D1424" s="4" t="s">
        <v>124</v>
      </c>
      <c r="E1424" s="4" t="s">
        <v>24</v>
      </c>
      <c r="F1424" s="4" t="s">
        <v>40</v>
      </c>
      <c r="G1424" s="4" t="s">
        <v>26</v>
      </c>
      <c r="H1424" s="4" t="s">
        <v>3785</v>
      </c>
      <c r="I1424" s="4" t="s">
        <v>28</v>
      </c>
      <c r="J1424" s="4" t="s">
        <v>29</v>
      </c>
      <c r="K1424" s="4" t="s">
        <v>86</v>
      </c>
      <c r="L1424" s="4" t="s">
        <v>102</v>
      </c>
      <c r="M1424" s="4" t="s">
        <v>81</v>
      </c>
      <c r="N1424" s="4" t="s">
        <v>33</v>
      </c>
      <c r="O1424" s="4" t="s">
        <v>66</v>
      </c>
      <c r="P1424" s="4" t="s">
        <v>47</v>
      </c>
      <c r="Q1424" s="4">
        <v>3</v>
      </c>
      <c r="R1424" s="4">
        <v>42109</v>
      </c>
      <c r="S1424" s="5">
        <v>5</v>
      </c>
      <c r="T1424" s="6">
        <f t="shared" si="66"/>
        <v>120010.65</v>
      </c>
      <c r="U1424" s="4">
        <v>12248.14</v>
      </c>
      <c r="V1424" t="str">
        <f t="shared" si="67"/>
        <v>Jul</v>
      </c>
      <c r="W1424">
        <f t="shared" si="68"/>
        <v>0.10205877561699732</v>
      </c>
    </row>
    <row r="1425" spans="1:23" x14ac:dyDescent="0.4">
      <c r="A1425" s="4" t="s">
        <v>3786</v>
      </c>
      <c r="B1425" s="4" t="s">
        <v>1096</v>
      </c>
      <c r="C1425" s="11">
        <v>45124</v>
      </c>
      <c r="D1425" s="4" t="s">
        <v>39</v>
      </c>
      <c r="E1425" s="4" t="s">
        <v>24</v>
      </c>
      <c r="F1425" s="4" t="s">
        <v>26</v>
      </c>
      <c r="G1425" s="4" t="s">
        <v>92</v>
      </c>
      <c r="H1425" s="4" t="s">
        <v>3787</v>
      </c>
      <c r="I1425" s="4" t="s">
        <v>28</v>
      </c>
      <c r="J1425" s="4" t="s">
        <v>79</v>
      </c>
      <c r="K1425" s="4" t="s">
        <v>153</v>
      </c>
      <c r="L1425" s="4" t="s">
        <v>1322</v>
      </c>
      <c r="M1425" s="4" t="s">
        <v>65</v>
      </c>
      <c r="N1425" s="4" t="s">
        <v>54</v>
      </c>
      <c r="O1425" s="4" t="s">
        <v>66</v>
      </c>
      <c r="P1425" s="4" t="s">
        <v>35</v>
      </c>
      <c r="Q1425" s="4">
        <v>5</v>
      </c>
      <c r="R1425" s="4">
        <v>14264</v>
      </c>
      <c r="S1425" s="5">
        <v>10</v>
      </c>
      <c r="T1425" s="6">
        <f t="shared" si="66"/>
        <v>64188</v>
      </c>
      <c r="U1425" s="4">
        <v>4925.09</v>
      </c>
      <c r="V1425" t="str">
        <f t="shared" si="67"/>
        <v>Jul</v>
      </c>
      <c r="W1425">
        <f t="shared" si="68"/>
        <v>7.6729139403003674E-2</v>
      </c>
    </row>
    <row r="1426" spans="1:23" x14ac:dyDescent="0.4">
      <c r="A1426" s="4" t="s">
        <v>3788</v>
      </c>
      <c r="B1426" s="4" t="s">
        <v>669</v>
      </c>
      <c r="C1426" s="11">
        <v>44646</v>
      </c>
      <c r="D1426" s="4" t="s">
        <v>39</v>
      </c>
      <c r="E1426" s="4" t="s">
        <v>24</v>
      </c>
      <c r="F1426" s="4" t="s">
        <v>25</v>
      </c>
      <c r="G1426" s="4" t="s">
        <v>92</v>
      </c>
      <c r="H1426" s="4" t="s">
        <v>3789</v>
      </c>
      <c r="I1426" s="4" t="s">
        <v>61</v>
      </c>
      <c r="J1426" s="4" t="s">
        <v>29</v>
      </c>
      <c r="K1426" s="4" t="s">
        <v>63</v>
      </c>
      <c r="L1426" s="4" t="s">
        <v>500</v>
      </c>
      <c r="M1426" s="4" t="s">
        <v>65</v>
      </c>
      <c r="N1426" s="4" t="s">
        <v>33</v>
      </c>
      <c r="O1426" s="4" t="s">
        <v>34</v>
      </c>
      <c r="P1426" s="4" t="s">
        <v>88</v>
      </c>
      <c r="Q1426" s="4">
        <v>6</v>
      </c>
      <c r="R1426" s="4">
        <v>15037</v>
      </c>
      <c r="S1426" s="5">
        <v>10</v>
      </c>
      <c r="T1426" s="6">
        <f t="shared" si="66"/>
        <v>81199.8</v>
      </c>
      <c r="U1426" s="4">
        <v>15830.02</v>
      </c>
      <c r="V1426" t="str">
        <f t="shared" si="67"/>
        <v>Mar</v>
      </c>
      <c r="W1426">
        <f t="shared" si="68"/>
        <v>0.19495146539769803</v>
      </c>
    </row>
    <row r="1427" spans="1:23" x14ac:dyDescent="0.4">
      <c r="A1427" s="4" t="s">
        <v>3790</v>
      </c>
      <c r="B1427" s="4" t="s">
        <v>1865</v>
      </c>
      <c r="C1427" s="11">
        <v>44725</v>
      </c>
      <c r="D1427" s="4" t="s">
        <v>23</v>
      </c>
      <c r="E1427" s="4" t="s">
        <v>24</v>
      </c>
      <c r="F1427" s="4" t="s">
        <v>40</v>
      </c>
      <c r="G1427" s="4" t="s">
        <v>41</v>
      </c>
      <c r="H1427" s="4" t="s">
        <v>3791</v>
      </c>
      <c r="I1427" s="4" t="s">
        <v>28</v>
      </c>
      <c r="J1427" s="4" t="s">
        <v>29</v>
      </c>
      <c r="K1427" s="4" t="s">
        <v>63</v>
      </c>
      <c r="L1427" s="4" t="s">
        <v>671</v>
      </c>
      <c r="M1427" s="4" t="s">
        <v>73</v>
      </c>
      <c r="N1427" s="4" t="s">
        <v>33</v>
      </c>
      <c r="O1427" s="4" t="s">
        <v>120</v>
      </c>
      <c r="P1427" s="4" t="s">
        <v>88</v>
      </c>
      <c r="Q1427" s="4">
        <v>5</v>
      </c>
      <c r="R1427" s="4">
        <v>13510</v>
      </c>
      <c r="S1427" s="5">
        <v>5</v>
      </c>
      <c r="T1427" s="6">
        <f t="shared" si="66"/>
        <v>64172.5</v>
      </c>
      <c r="U1427" s="4">
        <v>4379.58</v>
      </c>
      <c r="V1427" t="str">
        <f t="shared" si="67"/>
        <v>Jun</v>
      </c>
      <c r="W1427">
        <f t="shared" si="68"/>
        <v>6.8246990533328139E-2</v>
      </c>
    </row>
    <row r="1428" spans="1:23" x14ac:dyDescent="0.4">
      <c r="A1428" s="4" t="s">
        <v>3792</v>
      </c>
      <c r="B1428" s="4" t="s">
        <v>3501</v>
      </c>
      <c r="C1428" s="11">
        <v>44887</v>
      </c>
      <c r="D1428" s="4" t="s">
        <v>124</v>
      </c>
      <c r="E1428" s="4" t="s">
        <v>24</v>
      </c>
      <c r="F1428" s="4" t="s">
        <v>58</v>
      </c>
      <c r="G1428" s="4" t="s">
        <v>41</v>
      </c>
      <c r="H1428" s="4" t="s">
        <v>3793</v>
      </c>
      <c r="I1428" s="4" t="s">
        <v>28</v>
      </c>
      <c r="J1428" s="4" t="s">
        <v>62</v>
      </c>
      <c r="K1428" s="4" t="s">
        <v>153</v>
      </c>
      <c r="L1428" s="4" t="s">
        <v>1065</v>
      </c>
      <c r="M1428" s="4" t="s">
        <v>32</v>
      </c>
      <c r="N1428" s="4" t="s">
        <v>33</v>
      </c>
      <c r="O1428" s="4" t="s">
        <v>120</v>
      </c>
      <c r="P1428" s="4" t="s">
        <v>35</v>
      </c>
      <c r="Q1428" s="4">
        <v>3</v>
      </c>
      <c r="R1428" s="4">
        <v>3599</v>
      </c>
      <c r="S1428" s="5">
        <v>5</v>
      </c>
      <c r="T1428" s="6">
        <f t="shared" si="66"/>
        <v>10257.15</v>
      </c>
      <c r="U1428" s="4">
        <v>1925.51</v>
      </c>
      <c r="V1428" t="str">
        <f t="shared" si="67"/>
        <v>Nov</v>
      </c>
      <c r="W1428">
        <f t="shared" si="68"/>
        <v>0.18772368542918844</v>
      </c>
    </row>
    <row r="1429" spans="1:23" x14ac:dyDescent="0.4">
      <c r="A1429" s="4" t="s">
        <v>3794</v>
      </c>
      <c r="B1429" s="4" t="s">
        <v>1092</v>
      </c>
      <c r="C1429" s="11">
        <v>45530</v>
      </c>
      <c r="D1429" s="4" t="s">
        <v>98</v>
      </c>
      <c r="E1429" s="4" t="s">
        <v>24</v>
      </c>
      <c r="F1429" s="4" t="s">
        <v>26</v>
      </c>
      <c r="G1429" s="4" t="s">
        <v>26</v>
      </c>
      <c r="H1429" s="4" t="s">
        <v>1639</v>
      </c>
      <c r="I1429" s="4" t="s">
        <v>61</v>
      </c>
      <c r="J1429" s="4" t="s">
        <v>29</v>
      </c>
      <c r="K1429" s="4" t="s">
        <v>86</v>
      </c>
      <c r="L1429" s="4" t="s">
        <v>503</v>
      </c>
      <c r="M1429" s="4" t="s">
        <v>65</v>
      </c>
      <c r="N1429" s="4" t="s">
        <v>33</v>
      </c>
      <c r="O1429" s="4" t="s">
        <v>46</v>
      </c>
      <c r="P1429" s="4" t="s">
        <v>35</v>
      </c>
      <c r="Q1429" s="4">
        <v>2</v>
      </c>
      <c r="R1429" s="4">
        <v>23539</v>
      </c>
      <c r="S1429" s="5">
        <v>0</v>
      </c>
      <c r="T1429" s="6">
        <f t="shared" si="66"/>
        <v>47078</v>
      </c>
      <c r="U1429" s="4">
        <v>12538.73</v>
      </c>
      <c r="V1429" t="str">
        <f t="shared" si="67"/>
        <v>Aug</v>
      </c>
      <c r="W1429">
        <f t="shared" si="68"/>
        <v>0.26633947916224138</v>
      </c>
    </row>
    <row r="1430" spans="1:23" x14ac:dyDescent="0.4">
      <c r="A1430" s="4" t="s">
        <v>3795</v>
      </c>
      <c r="B1430" s="4" t="s">
        <v>1523</v>
      </c>
      <c r="C1430" s="11">
        <v>45445</v>
      </c>
      <c r="D1430" s="4" t="s">
        <v>98</v>
      </c>
      <c r="E1430" s="4" t="s">
        <v>24</v>
      </c>
      <c r="F1430" s="4" t="s">
        <v>26</v>
      </c>
      <c r="G1430" s="4" t="s">
        <v>41</v>
      </c>
      <c r="H1430" s="4" t="s">
        <v>3796</v>
      </c>
      <c r="I1430" s="4" t="s">
        <v>61</v>
      </c>
      <c r="J1430" s="4" t="s">
        <v>29</v>
      </c>
      <c r="K1430" s="4" t="s">
        <v>63</v>
      </c>
      <c r="L1430" s="4" t="s">
        <v>432</v>
      </c>
      <c r="M1430" s="4" t="s">
        <v>73</v>
      </c>
      <c r="N1430" s="4" t="s">
        <v>33</v>
      </c>
      <c r="O1430" s="4" t="s">
        <v>34</v>
      </c>
      <c r="P1430" s="4" t="s">
        <v>88</v>
      </c>
      <c r="Q1430" s="4">
        <v>9</v>
      </c>
      <c r="R1430" s="4">
        <v>40873</v>
      </c>
      <c r="S1430" s="5">
        <v>15</v>
      </c>
      <c r="T1430" s="6">
        <f t="shared" si="66"/>
        <v>312678.45</v>
      </c>
      <c r="U1430" s="4">
        <v>33097.21</v>
      </c>
      <c r="V1430" t="str">
        <f t="shared" si="67"/>
        <v>May</v>
      </c>
      <c r="W1430">
        <f t="shared" si="68"/>
        <v>0.10585062705792483</v>
      </c>
    </row>
    <row r="1431" spans="1:23" x14ac:dyDescent="0.4">
      <c r="A1431" s="4" t="s">
        <v>3797</v>
      </c>
      <c r="B1431" s="4" t="s">
        <v>999</v>
      </c>
      <c r="C1431" s="11">
        <v>44881</v>
      </c>
      <c r="D1431" s="4" t="s">
        <v>124</v>
      </c>
      <c r="E1431" s="4" t="s">
        <v>24</v>
      </c>
      <c r="F1431" s="4" t="s">
        <v>26</v>
      </c>
      <c r="G1431" s="4" t="s">
        <v>26</v>
      </c>
      <c r="H1431" s="4" t="s">
        <v>3798</v>
      </c>
      <c r="I1431" s="4" t="s">
        <v>28</v>
      </c>
      <c r="J1431" s="4" t="s">
        <v>29</v>
      </c>
      <c r="K1431" s="4" t="s">
        <v>44</v>
      </c>
      <c r="L1431" s="4" t="s">
        <v>72</v>
      </c>
      <c r="M1431" s="4" t="s">
        <v>73</v>
      </c>
      <c r="N1431" s="4" t="s">
        <v>54</v>
      </c>
      <c r="O1431" s="4" t="s">
        <v>82</v>
      </c>
      <c r="P1431" s="4" t="s">
        <v>74</v>
      </c>
      <c r="Q1431" s="4">
        <v>10</v>
      </c>
      <c r="R1431" s="4">
        <v>14386</v>
      </c>
      <c r="S1431" s="5">
        <v>20</v>
      </c>
      <c r="T1431" s="6">
        <f t="shared" si="66"/>
        <v>115088</v>
      </c>
      <c r="U1431" s="4">
        <v>-16260.79</v>
      </c>
      <c r="V1431" t="str">
        <f t="shared" si="67"/>
        <v>Nov</v>
      </c>
      <c r="W1431">
        <f t="shared" si="68"/>
        <v>-0.14129005630474073</v>
      </c>
    </row>
    <row r="1432" spans="1:23" x14ac:dyDescent="0.4">
      <c r="A1432" s="4" t="s">
        <v>3799</v>
      </c>
      <c r="B1432" s="4" t="s">
        <v>1316</v>
      </c>
      <c r="C1432" s="11">
        <v>45212</v>
      </c>
      <c r="D1432" s="4" t="s">
        <v>98</v>
      </c>
      <c r="E1432" s="4" t="s">
        <v>24</v>
      </c>
      <c r="F1432" s="4" t="s">
        <v>40</v>
      </c>
      <c r="G1432" s="4" t="s">
        <v>92</v>
      </c>
      <c r="H1432" s="4" t="s">
        <v>3800</v>
      </c>
      <c r="I1432" s="4" t="s">
        <v>61</v>
      </c>
      <c r="J1432" s="4" t="s">
        <v>79</v>
      </c>
      <c r="K1432" s="4" t="s">
        <v>86</v>
      </c>
      <c r="L1432" s="4" t="s">
        <v>862</v>
      </c>
      <c r="M1432" s="4" t="s">
        <v>73</v>
      </c>
      <c r="N1432" s="4" t="s">
        <v>33</v>
      </c>
      <c r="O1432" s="4" t="s">
        <v>82</v>
      </c>
      <c r="P1432" s="4" t="s">
        <v>88</v>
      </c>
      <c r="Q1432" s="4">
        <v>5</v>
      </c>
      <c r="R1432" s="4">
        <v>21025</v>
      </c>
      <c r="S1432" s="5">
        <v>20</v>
      </c>
      <c r="T1432" s="6">
        <f t="shared" si="66"/>
        <v>84100</v>
      </c>
      <c r="U1432" s="4">
        <v>-5834.09</v>
      </c>
      <c r="V1432" t="str">
        <f t="shared" si="67"/>
        <v>Oct</v>
      </c>
      <c r="W1432">
        <f t="shared" si="68"/>
        <v>-6.9370868014268727E-2</v>
      </c>
    </row>
    <row r="1433" spans="1:23" x14ac:dyDescent="0.4">
      <c r="A1433" s="4" t="s">
        <v>3801</v>
      </c>
      <c r="B1433" s="4" t="s">
        <v>3320</v>
      </c>
      <c r="C1433" s="11">
        <v>44901</v>
      </c>
      <c r="D1433" s="4" t="s">
        <v>39</v>
      </c>
      <c r="E1433" s="4" t="s">
        <v>24</v>
      </c>
      <c r="F1433" s="4" t="s">
        <v>26</v>
      </c>
      <c r="G1433" s="4" t="s">
        <v>26</v>
      </c>
      <c r="H1433" s="4" t="s">
        <v>3802</v>
      </c>
      <c r="I1433" s="4" t="s">
        <v>61</v>
      </c>
      <c r="J1433" s="4" t="s">
        <v>29</v>
      </c>
      <c r="K1433" s="4" t="s">
        <v>101</v>
      </c>
      <c r="L1433" s="4" t="s">
        <v>404</v>
      </c>
      <c r="M1433" s="4" t="s">
        <v>81</v>
      </c>
      <c r="N1433" s="4" t="s">
        <v>54</v>
      </c>
      <c r="O1433" s="4" t="s">
        <v>46</v>
      </c>
      <c r="P1433" s="4" t="s">
        <v>74</v>
      </c>
      <c r="Q1433" s="4">
        <v>4</v>
      </c>
      <c r="R1433" s="4">
        <v>46210</v>
      </c>
      <c r="S1433" s="5">
        <v>15</v>
      </c>
      <c r="T1433" s="6">
        <f t="shared" si="66"/>
        <v>157114</v>
      </c>
      <c r="U1433" s="4">
        <v>-947.83</v>
      </c>
      <c r="V1433" t="str">
        <f t="shared" si="67"/>
        <v>Nov</v>
      </c>
      <c r="W1433">
        <f t="shared" si="68"/>
        <v>-6.032753287421872E-3</v>
      </c>
    </row>
    <row r="1434" spans="1:23" x14ac:dyDescent="0.4">
      <c r="A1434" s="4" t="s">
        <v>3803</v>
      </c>
      <c r="B1434" s="4" t="s">
        <v>1856</v>
      </c>
      <c r="C1434" s="11">
        <v>44846</v>
      </c>
      <c r="D1434" s="4" t="s">
        <v>23</v>
      </c>
      <c r="E1434" s="4" t="s">
        <v>24</v>
      </c>
      <c r="F1434" s="4" t="s">
        <v>26</v>
      </c>
      <c r="G1434" s="4" t="s">
        <v>99</v>
      </c>
      <c r="H1434" s="4" t="s">
        <v>3804</v>
      </c>
      <c r="I1434" s="4" t="s">
        <v>43</v>
      </c>
      <c r="J1434" s="4" t="s">
        <v>29</v>
      </c>
      <c r="K1434" s="4" t="s">
        <v>86</v>
      </c>
      <c r="L1434" s="4" t="s">
        <v>1353</v>
      </c>
      <c r="M1434" s="4" t="s">
        <v>32</v>
      </c>
      <c r="N1434" s="4" t="s">
        <v>33</v>
      </c>
      <c r="O1434" s="4" t="s">
        <v>66</v>
      </c>
      <c r="P1434" s="4" t="s">
        <v>88</v>
      </c>
      <c r="Q1434" s="4">
        <v>6</v>
      </c>
      <c r="R1434" s="4">
        <v>3903</v>
      </c>
      <c r="S1434" s="5">
        <v>0</v>
      </c>
      <c r="T1434" s="6">
        <f t="shared" si="66"/>
        <v>23418</v>
      </c>
      <c r="U1434" s="4">
        <v>4992.68</v>
      </c>
      <c r="V1434" t="str">
        <f t="shared" si="67"/>
        <v>Oct</v>
      </c>
      <c r="W1434">
        <f t="shared" si="68"/>
        <v>0.21319839439747204</v>
      </c>
    </row>
    <row r="1435" spans="1:23" x14ac:dyDescent="0.4">
      <c r="A1435" s="4" t="s">
        <v>3805</v>
      </c>
      <c r="B1435" s="4" t="s">
        <v>372</v>
      </c>
      <c r="C1435" s="11">
        <v>45315</v>
      </c>
      <c r="D1435" s="4" t="s">
        <v>23</v>
      </c>
      <c r="E1435" s="4" t="s">
        <v>24</v>
      </c>
      <c r="F1435" s="4" t="s">
        <v>70</v>
      </c>
      <c r="G1435" s="4" t="s">
        <v>26</v>
      </c>
      <c r="H1435" s="4" t="s">
        <v>3806</v>
      </c>
      <c r="I1435" s="4" t="s">
        <v>43</v>
      </c>
      <c r="J1435" s="4" t="s">
        <v>29</v>
      </c>
      <c r="K1435" s="4" t="s">
        <v>101</v>
      </c>
      <c r="L1435" s="4" t="s">
        <v>850</v>
      </c>
      <c r="M1435" s="4" t="s">
        <v>65</v>
      </c>
      <c r="N1435" s="4" t="s">
        <v>33</v>
      </c>
      <c r="O1435" s="4" t="s">
        <v>46</v>
      </c>
      <c r="P1435" s="4" t="s">
        <v>88</v>
      </c>
      <c r="Q1435" s="4">
        <v>2</v>
      </c>
      <c r="R1435" s="4">
        <v>29014</v>
      </c>
      <c r="S1435" s="5">
        <v>15</v>
      </c>
      <c r="T1435" s="6">
        <f t="shared" si="66"/>
        <v>49323.8</v>
      </c>
      <c r="U1435" s="4">
        <v>6966.5</v>
      </c>
      <c r="V1435" t="str">
        <f t="shared" si="67"/>
        <v>Jan</v>
      </c>
      <c r="W1435">
        <f t="shared" si="68"/>
        <v>0.14124013153893253</v>
      </c>
    </row>
    <row r="1436" spans="1:23" x14ac:dyDescent="0.4">
      <c r="A1436" s="4" t="s">
        <v>3807</v>
      </c>
      <c r="B1436" s="4" t="s">
        <v>1160</v>
      </c>
      <c r="C1436" s="11">
        <v>44622</v>
      </c>
      <c r="D1436" s="4" t="s">
        <v>39</v>
      </c>
      <c r="E1436" s="4" t="s">
        <v>24</v>
      </c>
      <c r="F1436" s="4" t="s">
        <v>26</v>
      </c>
      <c r="G1436" s="4" t="s">
        <v>99</v>
      </c>
      <c r="H1436" s="4" t="s">
        <v>3808</v>
      </c>
      <c r="I1436" s="4" t="s">
        <v>61</v>
      </c>
      <c r="J1436" s="4" t="s">
        <v>29</v>
      </c>
      <c r="K1436" s="4" t="s">
        <v>153</v>
      </c>
      <c r="L1436" s="4" t="s">
        <v>552</v>
      </c>
      <c r="M1436" s="4" t="s">
        <v>65</v>
      </c>
      <c r="N1436" s="4" t="s">
        <v>33</v>
      </c>
      <c r="O1436" s="4" t="s">
        <v>120</v>
      </c>
      <c r="P1436" s="4" t="s">
        <v>88</v>
      </c>
      <c r="Q1436" s="4">
        <v>8</v>
      </c>
      <c r="R1436" s="4">
        <v>40237</v>
      </c>
      <c r="S1436" s="5">
        <v>10</v>
      </c>
      <c r="T1436" s="6">
        <f t="shared" si="66"/>
        <v>289706.40000000002</v>
      </c>
      <c r="U1436" s="4">
        <v>53472.77</v>
      </c>
      <c r="V1436" t="str">
        <f t="shared" si="67"/>
        <v>Feb</v>
      </c>
      <c r="W1436">
        <f t="shared" si="68"/>
        <v>0.18457572908296122</v>
      </c>
    </row>
    <row r="1437" spans="1:23" x14ac:dyDescent="0.4">
      <c r="A1437" s="4" t="s">
        <v>3809</v>
      </c>
      <c r="B1437" s="4" t="s">
        <v>205</v>
      </c>
      <c r="C1437" s="11">
        <v>44941</v>
      </c>
      <c r="D1437" s="4" t="s">
        <v>124</v>
      </c>
      <c r="E1437" s="4" t="s">
        <v>24</v>
      </c>
      <c r="F1437" s="4" t="s">
        <v>26</v>
      </c>
      <c r="G1437" s="4" t="s">
        <v>41</v>
      </c>
      <c r="H1437" s="4" t="s">
        <v>3810</v>
      </c>
      <c r="I1437" s="4" t="s">
        <v>61</v>
      </c>
      <c r="J1437" s="4" t="s">
        <v>29</v>
      </c>
      <c r="K1437" s="4" t="s">
        <v>63</v>
      </c>
      <c r="L1437" s="4" t="s">
        <v>1089</v>
      </c>
      <c r="M1437" s="4" t="s">
        <v>53</v>
      </c>
      <c r="N1437" s="4" t="s">
        <v>33</v>
      </c>
      <c r="O1437" s="4" t="s">
        <v>34</v>
      </c>
      <c r="P1437" s="4" t="s">
        <v>88</v>
      </c>
      <c r="Q1437" s="4">
        <v>5</v>
      </c>
      <c r="R1437" s="4">
        <v>11020</v>
      </c>
      <c r="S1437" s="5">
        <v>15</v>
      </c>
      <c r="T1437" s="6">
        <f t="shared" si="66"/>
        <v>46835</v>
      </c>
      <c r="U1437" s="4">
        <v>1353.29</v>
      </c>
      <c r="V1437" t="str">
        <f t="shared" si="67"/>
        <v>Jan</v>
      </c>
      <c r="W1437">
        <f t="shared" si="68"/>
        <v>2.8894843599871888E-2</v>
      </c>
    </row>
    <row r="1438" spans="1:23" x14ac:dyDescent="0.4">
      <c r="A1438" s="4" t="s">
        <v>3811</v>
      </c>
      <c r="B1438" s="4" t="s">
        <v>2958</v>
      </c>
      <c r="C1438" s="11">
        <v>44643</v>
      </c>
      <c r="D1438" s="4" t="s">
        <v>98</v>
      </c>
      <c r="E1438" s="4" t="s">
        <v>24</v>
      </c>
      <c r="F1438" s="4" t="s">
        <v>40</v>
      </c>
      <c r="G1438" s="4" t="s">
        <v>99</v>
      </c>
      <c r="H1438" s="4" t="s">
        <v>3812</v>
      </c>
      <c r="I1438" s="4" t="s">
        <v>28</v>
      </c>
      <c r="J1438" s="4" t="s">
        <v>29</v>
      </c>
      <c r="K1438" s="4" t="s">
        <v>86</v>
      </c>
      <c r="L1438" s="4" t="s">
        <v>718</v>
      </c>
      <c r="M1438" s="4" t="s">
        <v>53</v>
      </c>
      <c r="N1438" s="4" t="s">
        <v>54</v>
      </c>
      <c r="O1438" s="4" t="s">
        <v>34</v>
      </c>
      <c r="P1438" s="4" t="s">
        <v>47</v>
      </c>
      <c r="Q1438" s="4">
        <v>4</v>
      </c>
      <c r="R1438" s="4">
        <v>38661</v>
      </c>
      <c r="S1438" s="5">
        <v>15</v>
      </c>
      <c r="T1438" s="6">
        <f t="shared" si="66"/>
        <v>131447.4</v>
      </c>
      <c r="U1438" s="4">
        <v>20935.87</v>
      </c>
      <c r="V1438" t="str">
        <f t="shared" si="67"/>
        <v>Mar</v>
      </c>
      <c r="W1438">
        <f t="shared" si="68"/>
        <v>0.15927184562037744</v>
      </c>
    </row>
    <row r="1439" spans="1:23" x14ac:dyDescent="0.4">
      <c r="A1439" s="4" t="s">
        <v>3813</v>
      </c>
      <c r="B1439" s="4" t="s">
        <v>434</v>
      </c>
      <c r="C1439" s="11">
        <v>45523</v>
      </c>
      <c r="D1439" s="4" t="s">
        <v>98</v>
      </c>
      <c r="E1439" s="4" t="s">
        <v>24</v>
      </c>
      <c r="F1439" s="4" t="s">
        <v>40</v>
      </c>
      <c r="G1439" s="4" t="s">
        <v>99</v>
      </c>
      <c r="H1439" s="4" t="s">
        <v>3814</v>
      </c>
      <c r="I1439" s="4" t="s">
        <v>61</v>
      </c>
      <c r="J1439" s="4" t="s">
        <v>62</v>
      </c>
      <c r="K1439" s="4" t="s">
        <v>153</v>
      </c>
      <c r="L1439" s="4" t="s">
        <v>1311</v>
      </c>
      <c r="M1439" s="4" t="s">
        <v>32</v>
      </c>
      <c r="N1439" s="4" t="s">
        <v>54</v>
      </c>
      <c r="O1439" s="4" t="s">
        <v>34</v>
      </c>
      <c r="P1439" s="4" t="s">
        <v>47</v>
      </c>
      <c r="Q1439" s="4">
        <v>2</v>
      </c>
      <c r="R1439" s="4">
        <v>12445</v>
      </c>
      <c r="S1439" s="5">
        <v>20</v>
      </c>
      <c r="T1439" s="6">
        <f t="shared" si="66"/>
        <v>19912</v>
      </c>
      <c r="U1439" s="4">
        <v>-2966.78</v>
      </c>
      <c r="V1439" t="str">
        <f t="shared" si="67"/>
        <v>Aug</v>
      </c>
      <c r="W1439">
        <f t="shared" si="68"/>
        <v>-0.14899457613499398</v>
      </c>
    </row>
    <row r="1440" spans="1:23" x14ac:dyDescent="0.4">
      <c r="A1440" s="4" t="s">
        <v>3815</v>
      </c>
      <c r="B1440" s="4" t="s">
        <v>327</v>
      </c>
      <c r="C1440" s="11">
        <v>44905</v>
      </c>
      <c r="D1440" s="4" t="s">
        <v>124</v>
      </c>
      <c r="E1440" s="4" t="s">
        <v>24</v>
      </c>
      <c r="F1440" s="4" t="s">
        <v>58</v>
      </c>
      <c r="G1440" s="4" t="s">
        <v>99</v>
      </c>
      <c r="H1440" s="4" t="s">
        <v>2070</v>
      </c>
      <c r="I1440" s="4" t="s">
        <v>61</v>
      </c>
      <c r="J1440" s="4" t="s">
        <v>79</v>
      </c>
      <c r="K1440" s="4" t="s">
        <v>63</v>
      </c>
      <c r="L1440" s="4" t="s">
        <v>186</v>
      </c>
      <c r="M1440" s="4" t="s">
        <v>32</v>
      </c>
      <c r="N1440" s="4" t="s">
        <v>33</v>
      </c>
      <c r="O1440" s="4" t="s">
        <v>46</v>
      </c>
      <c r="P1440" s="4" t="s">
        <v>74</v>
      </c>
      <c r="Q1440" s="4">
        <v>3</v>
      </c>
      <c r="R1440" s="4">
        <v>13095</v>
      </c>
      <c r="S1440" s="5">
        <v>5</v>
      </c>
      <c r="T1440" s="6">
        <f t="shared" si="66"/>
        <v>37320.75</v>
      </c>
      <c r="U1440" s="4">
        <v>5740.92</v>
      </c>
      <c r="V1440" t="str">
        <f t="shared" si="67"/>
        <v>Dec</v>
      </c>
      <c r="W1440">
        <f t="shared" si="68"/>
        <v>0.15382649062518841</v>
      </c>
    </row>
    <row r="1441" spans="1:23" x14ac:dyDescent="0.4">
      <c r="A1441" s="4" t="s">
        <v>3816</v>
      </c>
      <c r="B1441" s="4" t="s">
        <v>681</v>
      </c>
      <c r="C1441" s="11">
        <v>45413</v>
      </c>
      <c r="D1441" s="4" t="s">
        <v>98</v>
      </c>
      <c r="E1441" s="4" t="s">
        <v>24</v>
      </c>
      <c r="F1441" s="4" t="s">
        <v>25</v>
      </c>
      <c r="G1441" s="4" t="s">
        <v>41</v>
      </c>
      <c r="H1441" s="4" t="s">
        <v>3817</v>
      </c>
      <c r="I1441" s="4" t="s">
        <v>43</v>
      </c>
      <c r="J1441" s="4" t="s">
        <v>62</v>
      </c>
      <c r="K1441" s="4" t="s">
        <v>101</v>
      </c>
      <c r="L1441" s="4" t="s">
        <v>423</v>
      </c>
      <c r="M1441" s="4" t="s">
        <v>65</v>
      </c>
      <c r="N1441" s="4" t="s">
        <v>54</v>
      </c>
      <c r="O1441" s="4" t="s">
        <v>46</v>
      </c>
      <c r="P1441" s="4" t="s">
        <v>88</v>
      </c>
      <c r="Q1441" s="4">
        <v>5</v>
      </c>
      <c r="R1441" s="4">
        <v>49119</v>
      </c>
      <c r="S1441" s="5">
        <v>20</v>
      </c>
      <c r="T1441" s="6">
        <f t="shared" si="66"/>
        <v>196476</v>
      </c>
      <c r="U1441" s="4">
        <v>-10222.049999999999</v>
      </c>
      <c r="V1441" t="str">
        <f t="shared" si="67"/>
        <v>Apr</v>
      </c>
      <c r="W1441">
        <f t="shared" si="68"/>
        <v>-5.2026965125511512E-2</v>
      </c>
    </row>
    <row r="1442" spans="1:23" x14ac:dyDescent="0.4">
      <c r="A1442" s="4" t="s">
        <v>3818</v>
      </c>
      <c r="B1442" s="4" t="s">
        <v>1407</v>
      </c>
      <c r="C1442" s="11">
        <v>44836</v>
      </c>
      <c r="D1442" s="4" t="s">
        <v>39</v>
      </c>
      <c r="E1442" s="4" t="s">
        <v>24</v>
      </c>
      <c r="F1442" s="4" t="s">
        <v>40</v>
      </c>
      <c r="G1442" s="4" t="s">
        <v>92</v>
      </c>
      <c r="H1442" s="4" t="s">
        <v>3819</v>
      </c>
      <c r="I1442" s="4" t="s">
        <v>43</v>
      </c>
      <c r="J1442" s="4" t="s">
        <v>79</v>
      </c>
      <c r="K1442" s="4" t="s">
        <v>44</v>
      </c>
      <c r="L1442" s="4" t="s">
        <v>139</v>
      </c>
      <c r="M1442" s="4" t="s">
        <v>65</v>
      </c>
      <c r="N1442" s="4" t="s">
        <v>54</v>
      </c>
      <c r="O1442" s="4" t="s">
        <v>66</v>
      </c>
      <c r="P1442" s="4" t="s">
        <v>47</v>
      </c>
      <c r="Q1442" s="4">
        <v>1</v>
      </c>
      <c r="R1442" s="4">
        <v>28939</v>
      </c>
      <c r="S1442" s="5">
        <v>5</v>
      </c>
      <c r="T1442" s="6">
        <f t="shared" si="66"/>
        <v>27492.05</v>
      </c>
      <c r="U1442" s="4">
        <v>1701.18</v>
      </c>
      <c r="V1442" t="str">
        <f t="shared" si="67"/>
        <v>Sep</v>
      </c>
      <c r="W1442">
        <f t="shared" si="68"/>
        <v>6.1878979559545397E-2</v>
      </c>
    </row>
    <row r="1443" spans="1:23" x14ac:dyDescent="0.4">
      <c r="A1443" s="4" t="s">
        <v>3820</v>
      </c>
      <c r="B1443" s="4" t="s">
        <v>3060</v>
      </c>
      <c r="C1443" s="11">
        <v>44737</v>
      </c>
      <c r="D1443" s="4" t="s">
        <v>124</v>
      </c>
      <c r="E1443" s="4" t="s">
        <v>24</v>
      </c>
      <c r="F1443" s="4" t="s">
        <v>70</v>
      </c>
      <c r="G1443" s="4" t="s">
        <v>99</v>
      </c>
      <c r="H1443" s="4" t="s">
        <v>2326</v>
      </c>
      <c r="I1443" s="4" t="s">
        <v>43</v>
      </c>
      <c r="J1443" s="4" t="s">
        <v>62</v>
      </c>
      <c r="K1443" s="4" t="s">
        <v>63</v>
      </c>
      <c r="L1443" s="4" t="s">
        <v>80</v>
      </c>
      <c r="M1443" s="4" t="s">
        <v>32</v>
      </c>
      <c r="N1443" s="4" t="s">
        <v>33</v>
      </c>
      <c r="O1443" s="4" t="s">
        <v>46</v>
      </c>
      <c r="P1443" s="4" t="s">
        <v>35</v>
      </c>
      <c r="Q1443" s="4">
        <v>10</v>
      </c>
      <c r="R1443" s="4">
        <v>23034</v>
      </c>
      <c r="S1443" s="5">
        <v>5</v>
      </c>
      <c r="T1443" s="6">
        <f t="shared" si="66"/>
        <v>218823</v>
      </c>
      <c r="U1443" s="4">
        <v>2904.94</v>
      </c>
      <c r="V1443" t="str">
        <f t="shared" si="67"/>
        <v>Jun</v>
      </c>
      <c r="W1443">
        <f t="shared" si="68"/>
        <v>1.327529555851076E-2</v>
      </c>
    </row>
    <row r="1444" spans="1:23" x14ac:dyDescent="0.4">
      <c r="A1444" s="4" t="s">
        <v>3821</v>
      </c>
      <c r="B1444" s="4" t="s">
        <v>248</v>
      </c>
      <c r="C1444" s="11">
        <v>45413</v>
      </c>
      <c r="D1444" s="4" t="s">
        <v>23</v>
      </c>
      <c r="E1444" s="4" t="s">
        <v>24</v>
      </c>
      <c r="F1444" s="4" t="s">
        <v>25</v>
      </c>
      <c r="G1444" s="4" t="s">
        <v>41</v>
      </c>
      <c r="H1444" s="4" t="s">
        <v>3822</v>
      </c>
      <c r="I1444" s="4" t="s">
        <v>28</v>
      </c>
      <c r="J1444" s="4" t="s">
        <v>62</v>
      </c>
      <c r="K1444" s="4" t="s">
        <v>63</v>
      </c>
      <c r="L1444" s="4" t="s">
        <v>1009</v>
      </c>
      <c r="M1444" s="4" t="s">
        <v>95</v>
      </c>
      <c r="N1444" s="4" t="s">
        <v>54</v>
      </c>
      <c r="O1444" s="4" t="s">
        <v>66</v>
      </c>
      <c r="P1444" s="4" t="s">
        <v>35</v>
      </c>
      <c r="Q1444" s="4">
        <v>1</v>
      </c>
      <c r="R1444" s="4">
        <v>32945</v>
      </c>
      <c r="S1444" s="5">
        <v>10</v>
      </c>
      <c r="T1444" s="6">
        <f t="shared" si="66"/>
        <v>29650.5</v>
      </c>
      <c r="U1444" s="4">
        <v>5831.72</v>
      </c>
      <c r="V1444" t="str">
        <f t="shared" si="67"/>
        <v>Apr</v>
      </c>
      <c r="W1444">
        <f t="shared" si="68"/>
        <v>0.19668201210772163</v>
      </c>
    </row>
    <row r="1445" spans="1:23" x14ac:dyDescent="0.4">
      <c r="A1445" s="4" t="s">
        <v>3823</v>
      </c>
      <c r="B1445" s="4" t="s">
        <v>571</v>
      </c>
      <c r="C1445" s="11">
        <v>45340</v>
      </c>
      <c r="D1445" s="4" t="s">
        <v>39</v>
      </c>
      <c r="E1445" s="4" t="s">
        <v>24</v>
      </c>
      <c r="F1445" s="4" t="s">
        <v>26</v>
      </c>
      <c r="G1445" s="4" t="s">
        <v>41</v>
      </c>
      <c r="H1445" s="4" t="s">
        <v>3824</v>
      </c>
      <c r="I1445" s="4" t="s">
        <v>43</v>
      </c>
      <c r="J1445" s="4" t="s">
        <v>29</v>
      </c>
      <c r="K1445" s="4" t="s">
        <v>153</v>
      </c>
      <c r="L1445" s="4" t="s">
        <v>980</v>
      </c>
      <c r="M1445" s="4" t="s">
        <v>73</v>
      </c>
      <c r="N1445" s="4" t="s">
        <v>54</v>
      </c>
      <c r="O1445" s="4" t="s">
        <v>120</v>
      </c>
      <c r="P1445" s="4" t="s">
        <v>74</v>
      </c>
      <c r="Q1445" s="4">
        <v>6</v>
      </c>
      <c r="R1445" s="4">
        <v>9246</v>
      </c>
      <c r="S1445" s="5">
        <v>15</v>
      </c>
      <c r="T1445" s="6">
        <f t="shared" si="66"/>
        <v>47154.6</v>
      </c>
      <c r="U1445" s="4">
        <v>-1152.53</v>
      </c>
      <c r="V1445" t="str">
        <f t="shared" si="67"/>
        <v>Feb</v>
      </c>
      <c r="W1445">
        <f t="shared" si="68"/>
        <v>-2.4441517900692617E-2</v>
      </c>
    </row>
    <row r="1446" spans="1:23" x14ac:dyDescent="0.4">
      <c r="A1446" s="4" t="s">
        <v>3825</v>
      </c>
      <c r="B1446" s="4" t="s">
        <v>280</v>
      </c>
      <c r="C1446" s="11">
        <v>45515</v>
      </c>
      <c r="D1446" s="4" t="s">
        <v>23</v>
      </c>
      <c r="E1446" s="4" t="s">
        <v>24</v>
      </c>
      <c r="F1446" s="4" t="s">
        <v>26</v>
      </c>
      <c r="G1446" s="4" t="s">
        <v>92</v>
      </c>
      <c r="H1446" s="4" t="s">
        <v>3826</v>
      </c>
      <c r="I1446" s="4" t="s">
        <v>61</v>
      </c>
      <c r="J1446" s="4" t="s">
        <v>62</v>
      </c>
      <c r="K1446" s="4" t="s">
        <v>153</v>
      </c>
      <c r="L1446" s="4" t="s">
        <v>601</v>
      </c>
      <c r="M1446" s="4" t="s">
        <v>32</v>
      </c>
      <c r="N1446" s="4" t="s">
        <v>33</v>
      </c>
      <c r="O1446" s="4" t="s">
        <v>46</v>
      </c>
      <c r="P1446" s="4" t="s">
        <v>74</v>
      </c>
      <c r="Q1446" s="4">
        <v>7</v>
      </c>
      <c r="R1446" s="4">
        <v>41012</v>
      </c>
      <c r="S1446" s="5">
        <v>5</v>
      </c>
      <c r="T1446" s="6">
        <f t="shared" si="66"/>
        <v>272729.8</v>
      </c>
      <c r="U1446" s="4">
        <v>36812.800000000003</v>
      </c>
      <c r="V1446" t="str">
        <f t="shared" si="67"/>
        <v>Aug</v>
      </c>
      <c r="W1446">
        <f t="shared" si="68"/>
        <v>0.13497901586111971</v>
      </c>
    </row>
    <row r="1447" spans="1:23" x14ac:dyDescent="0.4">
      <c r="A1447" s="4" t="s">
        <v>3827</v>
      </c>
      <c r="B1447" s="4" t="s">
        <v>2691</v>
      </c>
      <c r="C1447" s="11">
        <v>45242</v>
      </c>
      <c r="D1447" s="4" t="s">
        <v>98</v>
      </c>
      <c r="E1447" s="4" t="s">
        <v>24</v>
      </c>
      <c r="F1447" s="4" t="s">
        <v>70</v>
      </c>
      <c r="G1447" s="4" t="s">
        <v>92</v>
      </c>
      <c r="H1447" s="4" t="s">
        <v>3828</v>
      </c>
      <c r="I1447" s="4" t="s">
        <v>61</v>
      </c>
      <c r="J1447" s="4" t="s">
        <v>29</v>
      </c>
      <c r="K1447" s="4" t="s">
        <v>101</v>
      </c>
      <c r="L1447" s="4" t="s">
        <v>1322</v>
      </c>
      <c r="M1447" s="4" t="s">
        <v>53</v>
      </c>
      <c r="N1447" s="4" t="s">
        <v>33</v>
      </c>
      <c r="O1447" s="4" t="s">
        <v>120</v>
      </c>
      <c r="P1447" s="4" t="s">
        <v>35</v>
      </c>
      <c r="Q1447" s="4">
        <v>2</v>
      </c>
      <c r="R1447" s="4">
        <v>46788</v>
      </c>
      <c r="S1447" s="5">
        <v>15</v>
      </c>
      <c r="T1447" s="6">
        <f t="shared" si="66"/>
        <v>79539.600000000006</v>
      </c>
      <c r="U1447" s="4">
        <v>8279.84</v>
      </c>
      <c r="V1447" t="str">
        <f t="shared" si="67"/>
        <v>Nov</v>
      </c>
      <c r="W1447">
        <f t="shared" si="68"/>
        <v>0.10409707868784857</v>
      </c>
    </row>
    <row r="1448" spans="1:23" x14ac:dyDescent="0.4">
      <c r="A1448" s="4" t="s">
        <v>3829</v>
      </c>
      <c r="B1448" s="4" t="s">
        <v>3412</v>
      </c>
      <c r="C1448" s="11">
        <v>45282</v>
      </c>
      <c r="D1448" s="4" t="s">
        <v>98</v>
      </c>
      <c r="E1448" s="4" t="s">
        <v>24</v>
      </c>
      <c r="F1448" s="4" t="s">
        <v>58</v>
      </c>
      <c r="G1448" s="4" t="s">
        <v>92</v>
      </c>
      <c r="H1448" s="4" t="s">
        <v>3830</v>
      </c>
      <c r="I1448" s="4" t="s">
        <v>61</v>
      </c>
      <c r="J1448" s="4" t="s">
        <v>29</v>
      </c>
      <c r="K1448" s="4" t="s">
        <v>30</v>
      </c>
      <c r="L1448" s="4" t="s">
        <v>472</v>
      </c>
      <c r="M1448" s="4" t="s">
        <v>73</v>
      </c>
      <c r="N1448" s="4" t="s">
        <v>33</v>
      </c>
      <c r="O1448" s="4" t="s">
        <v>46</v>
      </c>
      <c r="P1448" s="4" t="s">
        <v>74</v>
      </c>
      <c r="Q1448" s="4">
        <v>8</v>
      </c>
      <c r="R1448" s="4">
        <v>37891</v>
      </c>
      <c r="S1448" s="5">
        <v>15</v>
      </c>
      <c r="T1448" s="6">
        <f t="shared" si="66"/>
        <v>257658.8</v>
      </c>
      <c r="U1448" s="4">
        <v>12377.17</v>
      </c>
      <c r="V1448" t="str">
        <f t="shared" si="67"/>
        <v>Dec</v>
      </c>
      <c r="W1448">
        <f t="shared" si="68"/>
        <v>4.8037055206342653E-2</v>
      </c>
    </row>
    <row r="1449" spans="1:23" x14ac:dyDescent="0.4">
      <c r="A1449" s="4" t="s">
        <v>3831</v>
      </c>
      <c r="B1449" s="4" t="s">
        <v>1299</v>
      </c>
      <c r="C1449" s="11">
        <v>45355</v>
      </c>
      <c r="D1449" s="4" t="s">
        <v>23</v>
      </c>
      <c r="E1449" s="4" t="s">
        <v>24</v>
      </c>
      <c r="F1449" s="4" t="s">
        <v>40</v>
      </c>
      <c r="G1449" s="4" t="s">
        <v>92</v>
      </c>
      <c r="H1449" s="4" t="s">
        <v>3832</v>
      </c>
      <c r="I1449" s="4" t="s">
        <v>61</v>
      </c>
      <c r="J1449" s="4" t="s">
        <v>62</v>
      </c>
      <c r="K1449" s="4" t="s">
        <v>101</v>
      </c>
      <c r="L1449" s="4" t="s">
        <v>246</v>
      </c>
      <c r="M1449" s="4" t="s">
        <v>32</v>
      </c>
      <c r="N1449" s="4" t="s">
        <v>54</v>
      </c>
      <c r="O1449" s="4" t="s">
        <v>46</v>
      </c>
      <c r="P1449" s="4" t="s">
        <v>47</v>
      </c>
      <c r="Q1449" s="4">
        <v>9</v>
      </c>
      <c r="R1449" s="4">
        <v>11684</v>
      </c>
      <c r="S1449" s="5">
        <v>15</v>
      </c>
      <c r="T1449" s="6">
        <f t="shared" si="66"/>
        <v>89382.6</v>
      </c>
      <c r="U1449" s="4">
        <v>-7734.37</v>
      </c>
      <c r="V1449" t="str">
        <f t="shared" si="67"/>
        <v>Feb</v>
      </c>
      <c r="W1449">
        <f t="shared" si="68"/>
        <v>-8.6531047429812949E-2</v>
      </c>
    </row>
    <row r="1450" spans="1:23" x14ac:dyDescent="0.4">
      <c r="A1450" s="4" t="s">
        <v>3833</v>
      </c>
      <c r="B1450" s="4" t="s">
        <v>3834</v>
      </c>
      <c r="C1450" s="11">
        <v>44619</v>
      </c>
      <c r="D1450" s="4" t="s">
        <v>39</v>
      </c>
      <c r="E1450" s="4" t="s">
        <v>24</v>
      </c>
      <c r="F1450" s="4" t="s">
        <v>40</v>
      </c>
      <c r="G1450" s="4" t="s">
        <v>92</v>
      </c>
      <c r="H1450" s="4" t="s">
        <v>3835</v>
      </c>
      <c r="I1450" s="4" t="s">
        <v>61</v>
      </c>
      <c r="J1450" s="4" t="s">
        <v>29</v>
      </c>
      <c r="K1450" s="4" t="s">
        <v>153</v>
      </c>
      <c r="L1450" s="4" t="s">
        <v>139</v>
      </c>
      <c r="M1450" s="4" t="s">
        <v>32</v>
      </c>
      <c r="N1450" s="4" t="s">
        <v>54</v>
      </c>
      <c r="O1450" s="4" t="s">
        <v>120</v>
      </c>
      <c r="P1450" s="4" t="s">
        <v>74</v>
      </c>
      <c r="Q1450" s="4">
        <v>2</v>
      </c>
      <c r="R1450" s="4">
        <v>47552</v>
      </c>
      <c r="S1450" s="5">
        <v>10</v>
      </c>
      <c r="T1450" s="6">
        <f t="shared" si="66"/>
        <v>85593.600000000006</v>
      </c>
      <c r="U1450" s="4">
        <v>3364.32</v>
      </c>
      <c r="V1450" t="str">
        <f t="shared" si="67"/>
        <v>Feb</v>
      </c>
      <c r="W1450">
        <f t="shared" si="68"/>
        <v>3.9305742485419473E-2</v>
      </c>
    </row>
    <row r="1451" spans="1:23" x14ac:dyDescent="0.4">
      <c r="A1451" s="4" t="s">
        <v>3836</v>
      </c>
      <c r="B1451" s="4" t="s">
        <v>244</v>
      </c>
      <c r="C1451" s="11">
        <v>45028</v>
      </c>
      <c r="D1451" s="4" t="s">
        <v>23</v>
      </c>
      <c r="E1451" s="4" t="s">
        <v>24</v>
      </c>
      <c r="F1451" s="4" t="s">
        <v>26</v>
      </c>
      <c r="G1451" s="4" t="s">
        <v>99</v>
      </c>
      <c r="H1451" s="4" t="s">
        <v>1488</v>
      </c>
      <c r="I1451" s="4" t="s">
        <v>28</v>
      </c>
      <c r="J1451" s="4" t="s">
        <v>79</v>
      </c>
      <c r="K1451" s="4" t="s">
        <v>63</v>
      </c>
      <c r="L1451" s="4" t="s">
        <v>2433</v>
      </c>
      <c r="M1451" s="4" t="s">
        <v>95</v>
      </c>
      <c r="N1451" s="4" t="s">
        <v>33</v>
      </c>
      <c r="O1451" s="4" t="s">
        <v>34</v>
      </c>
      <c r="P1451" s="4" t="s">
        <v>88</v>
      </c>
      <c r="Q1451" s="4">
        <v>3</v>
      </c>
      <c r="R1451" s="4">
        <v>40624</v>
      </c>
      <c r="S1451" s="5">
        <v>5</v>
      </c>
      <c r="T1451" s="6">
        <f t="shared" si="66"/>
        <v>115778.4</v>
      </c>
      <c r="U1451" s="4">
        <v>18459.150000000001</v>
      </c>
      <c r="V1451" t="str">
        <f t="shared" si="67"/>
        <v>Apr</v>
      </c>
      <c r="W1451">
        <f t="shared" si="68"/>
        <v>0.15943517961899631</v>
      </c>
    </row>
    <row r="1452" spans="1:23" x14ac:dyDescent="0.4">
      <c r="A1452" s="4" t="s">
        <v>3837</v>
      </c>
      <c r="B1452" s="4" t="s">
        <v>3838</v>
      </c>
      <c r="C1452" s="11">
        <v>45477</v>
      </c>
      <c r="D1452" s="4" t="s">
        <v>23</v>
      </c>
      <c r="E1452" s="4" t="s">
        <v>24</v>
      </c>
      <c r="F1452" s="4" t="s">
        <v>40</v>
      </c>
      <c r="G1452" s="4" t="s">
        <v>26</v>
      </c>
      <c r="H1452" s="4" t="s">
        <v>2647</v>
      </c>
      <c r="I1452" s="4" t="s">
        <v>61</v>
      </c>
      <c r="J1452" s="4" t="s">
        <v>29</v>
      </c>
      <c r="K1452" s="4" t="s">
        <v>44</v>
      </c>
      <c r="L1452" s="4" t="s">
        <v>699</v>
      </c>
      <c r="M1452" s="4" t="s">
        <v>32</v>
      </c>
      <c r="N1452" s="4" t="s">
        <v>54</v>
      </c>
      <c r="O1452" s="4" t="s">
        <v>82</v>
      </c>
      <c r="P1452" s="4" t="s">
        <v>88</v>
      </c>
      <c r="Q1452" s="4">
        <v>10</v>
      </c>
      <c r="R1452" s="4">
        <v>41179</v>
      </c>
      <c r="S1452" s="5">
        <v>20</v>
      </c>
      <c r="T1452" s="6">
        <f t="shared" si="66"/>
        <v>329432</v>
      </c>
      <c r="U1452" s="4">
        <v>-24864.85</v>
      </c>
      <c r="V1452" t="str">
        <f t="shared" si="67"/>
        <v>Jun</v>
      </c>
      <c r="W1452">
        <f t="shared" si="68"/>
        <v>-7.547794385487748E-2</v>
      </c>
    </row>
    <row r="1453" spans="1:23" x14ac:dyDescent="0.4">
      <c r="A1453" s="4" t="s">
        <v>3839</v>
      </c>
      <c r="B1453" s="4" t="s">
        <v>3501</v>
      </c>
      <c r="C1453" s="11">
        <v>44888</v>
      </c>
      <c r="D1453" s="4" t="s">
        <v>39</v>
      </c>
      <c r="E1453" s="4" t="s">
        <v>24</v>
      </c>
      <c r="F1453" s="4" t="s">
        <v>70</v>
      </c>
      <c r="G1453" s="4" t="s">
        <v>59</v>
      </c>
      <c r="H1453" s="4" t="s">
        <v>3840</v>
      </c>
      <c r="I1453" s="4" t="s">
        <v>43</v>
      </c>
      <c r="J1453" s="4" t="s">
        <v>62</v>
      </c>
      <c r="K1453" s="4" t="s">
        <v>101</v>
      </c>
      <c r="L1453" s="4" t="s">
        <v>1001</v>
      </c>
      <c r="M1453" s="4" t="s">
        <v>53</v>
      </c>
      <c r="N1453" s="4" t="s">
        <v>33</v>
      </c>
      <c r="O1453" s="4" t="s">
        <v>120</v>
      </c>
      <c r="P1453" s="4" t="s">
        <v>88</v>
      </c>
      <c r="Q1453" s="4">
        <v>4</v>
      </c>
      <c r="R1453" s="4">
        <v>10793</v>
      </c>
      <c r="S1453" s="5">
        <v>20</v>
      </c>
      <c r="T1453" s="6">
        <f t="shared" si="66"/>
        <v>34537.599999999999</v>
      </c>
      <c r="U1453" s="4">
        <v>4000.18</v>
      </c>
      <c r="V1453" t="str">
        <f t="shared" si="67"/>
        <v>Nov</v>
      </c>
      <c r="W1453">
        <f t="shared" si="68"/>
        <v>0.11582101825257111</v>
      </c>
    </row>
    <row r="1454" spans="1:23" x14ac:dyDescent="0.4">
      <c r="A1454" s="4" t="s">
        <v>3841</v>
      </c>
      <c r="B1454" s="4" t="s">
        <v>2896</v>
      </c>
      <c r="C1454" s="11">
        <v>45532</v>
      </c>
      <c r="D1454" s="4" t="s">
        <v>39</v>
      </c>
      <c r="E1454" s="4" t="s">
        <v>24</v>
      </c>
      <c r="F1454" s="4" t="s">
        <v>25</v>
      </c>
      <c r="G1454" s="4" t="s">
        <v>41</v>
      </c>
      <c r="H1454" s="4" t="s">
        <v>3842</v>
      </c>
      <c r="I1454" s="4" t="s">
        <v>43</v>
      </c>
      <c r="J1454" s="4" t="s">
        <v>29</v>
      </c>
      <c r="K1454" s="4" t="s">
        <v>44</v>
      </c>
      <c r="L1454" s="4" t="s">
        <v>1040</v>
      </c>
      <c r="M1454" s="4" t="s">
        <v>53</v>
      </c>
      <c r="N1454" s="4" t="s">
        <v>33</v>
      </c>
      <c r="O1454" s="4" t="s">
        <v>34</v>
      </c>
      <c r="P1454" s="4" t="s">
        <v>47</v>
      </c>
      <c r="Q1454" s="4">
        <v>1</v>
      </c>
      <c r="R1454" s="4">
        <v>41014</v>
      </c>
      <c r="S1454" s="5">
        <v>5</v>
      </c>
      <c r="T1454" s="6">
        <f t="shared" si="66"/>
        <v>38963.300000000003</v>
      </c>
      <c r="U1454" s="4">
        <v>9406.84</v>
      </c>
      <c r="V1454" t="str">
        <f t="shared" si="67"/>
        <v>Aug</v>
      </c>
      <c r="W1454">
        <f t="shared" si="68"/>
        <v>0.24142821578254406</v>
      </c>
    </row>
    <row r="1455" spans="1:23" x14ac:dyDescent="0.4">
      <c r="A1455" s="4" t="s">
        <v>3843</v>
      </c>
      <c r="B1455" s="4" t="s">
        <v>887</v>
      </c>
      <c r="C1455" s="11">
        <v>44665</v>
      </c>
      <c r="D1455" s="4" t="s">
        <v>39</v>
      </c>
      <c r="E1455" s="4" t="s">
        <v>24</v>
      </c>
      <c r="F1455" s="4" t="s">
        <v>26</v>
      </c>
      <c r="G1455" s="4" t="s">
        <v>92</v>
      </c>
      <c r="H1455" s="4" t="s">
        <v>2520</v>
      </c>
      <c r="I1455" s="4" t="s">
        <v>61</v>
      </c>
      <c r="J1455" s="4" t="s">
        <v>79</v>
      </c>
      <c r="K1455" s="4" t="s">
        <v>153</v>
      </c>
      <c r="L1455" s="4" t="s">
        <v>530</v>
      </c>
      <c r="M1455" s="4" t="s">
        <v>32</v>
      </c>
      <c r="N1455" s="4" t="s">
        <v>33</v>
      </c>
      <c r="O1455" s="4" t="s">
        <v>82</v>
      </c>
      <c r="P1455" s="4" t="s">
        <v>88</v>
      </c>
      <c r="Q1455" s="4">
        <v>9</v>
      </c>
      <c r="R1455" s="4">
        <v>29081</v>
      </c>
      <c r="S1455" s="5">
        <v>15</v>
      </c>
      <c r="T1455" s="6">
        <f t="shared" si="66"/>
        <v>222469.65</v>
      </c>
      <c r="U1455" s="4">
        <v>25127.77</v>
      </c>
      <c r="V1455" t="str">
        <f t="shared" si="67"/>
        <v>Apr</v>
      </c>
      <c r="W1455">
        <f t="shared" si="68"/>
        <v>0.11294920453194403</v>
      </c>
    </row>
    <row r="1456" spans="1:23" x14ac:dyDescent="0.4">
      <c r="A1456" s="4" t="s">
        <v>3844</v>
      </c>
      <c r="B1456" s="4" t="s">
        <v>514</v>
      </c>
      <c r="C1456" s="11">
        <v>44820</v>
      </c>
      <c r="D1456" s="4" t="s">
        <v>98</v>
      </c>
      <c r="E1456" s="4" t="s">
        <v>24</v>
      </c>
      <c r="F1456" s="4" t="s">
        <v>70</v>
      </c>
      <c r="G1456" s="4" t="s">
        <v>99</v>
      </c>
      <c r="H1456" s="4" t="s">
        <v>3756</v>
      </c>
      <c r="I1456" s="4" t="s">
        <v>61</v>
      </c>
      <c r="J1456" s="4" t="s">
        <v>79</v>
      </c>
      <c r="K1456" s="4" t="s">
        <v>86</v>
      </c>
      <c r="L1456" s="4" t="s">
        <v>826</v>
      </c>
      <c r="M1456" s="4" t="s">
        <v>73</v>
      </c>
      <c r="N1456" s="4" t="s">
        <v>33</v>
      </c>
      <c r="O1456" s="4" t="s">
        <v>46</v>
      </c>
      <c r="P1456" s="4" t="s">
        <v>47</v>
      </c>
      <c r="Q1456" s="4">
        <v>7</v>
      </c>
      <c r="R1456" s="4">
        <v>4482</v>
      </c>
      <c r="S1456" s="5">
        <v>15</v>
      </c>
      <c r="T1456" s="6">
        <f t="shared" si="66"/>
        <v>26667.9</v>
      </c>
      <c r="U1456" s="4">
        <v>110.59</v>
      </c>
      <c r="V1456" t="str">
        <f t="shared" si="67"/>
        <v>Sep</v>
      </c>
      <c r="W1456">
        <f t="shared" si="68"/>
        <v>4.1469332043392992E-3</v>
      </c>
    </row>
    <row r="1457" spans="1:23" x14ac:dyDescent="0.4">
      <c r="A1457" s="4" t="s">
        <v>3845</v>
      </c>
      <c r="B1457" s="4" t="s">
        <v>3846</v>
      </c>
      <c r="C1457" s="11">
        <v>45350</v>
      </c>
      <c r="D1457" s="4" t="s">
        <v>39</v>
      </c>
      <c r="E1457" s="4" t="s">
        <v>24</v>
      </c>
      <c r="F1457" s="4" t="s">
        <v>40</v>
      </c>
      <c r="G1457" s="4" t="s">
        <v>41</v>
      </c>
      <c r="H1457" s="4" t="s">
        <v>3847</v>
      </c>
      <c r="I1457" s="4" t="s">
        <v>28</v>
      </c>
      <c r="J1457" s="4" t="s">
        <v>62</v>
      </c>
      <c r="K1457" s="4" t="s">
        <v>101</v>
      </c>
      <c r="L1457" s="4" t="s">
        <v>687</v>
      </c>
      <c r="M1457" s="4" t="s">
        <v>32</v>
      </c>
      <c r="N1457" s="4" t="s">
        <v>33</v>
      </c>
      <c r="O1457" s="4" t="s">
        <v>66</v>
      </c>
      <c r="P1457" s="4" t="s">
        <v>74</v>
      </c>
      <c r="Q1457" s="4">
        <v>9</v>
      </c>
      <c r="R1457" s="4">
        <v>30030</v>
      </c>
      <c r="S1457" s="5">
        <v>5</v>
      </c>
      <c r="T1457" s="6">
        <f t="shared" si="66"/>
        <v>256756.5</v>
      </c>
      <c r="U1457" s="4">
        <v>1296.47</v>
      </c>
      <c r="V1457" t="str">
        <f t="shared" si="67"/>
        <v>Feb</v>
      </c>
      <c r="W1457">
        <f t="shared" si="68"/>
        <v>5.0494145230987339E-3</v>
      </c>
    </row>
    <row r="1458" spans="1:23" x14ac:dyDescent="0.4">
      <c r="A1458" s="4" t="s">
        <v>3848</v>
      </c>
      <c r="B1458" s="4" t="s">
        <v>1617</v>
      </c>
      <c r="C1458" s="11">
        <v>45327</v>
      </c>
      <c r="D1458" s="4" t="s">
        <v>98</v>
      </c>
      <c r="E1458" s="4" t="s">
        <v>24</v>
      </c>
      <c r="F1458" s="4" t="s">
        <v>70</v>
      </c>
      <c r="G1458" s="4" t="s">
        <v>26</v>
      </c>
      <c r="H1458" s="4" t="s">
        <v>3849</v>
      </c>
      <c r="I1458" s="4" t="s">
        <v>43</v>
      </c>
      <c r="J1458" s="4" t="s">
        <v>29</v>
      </c>
      <c r="K1458" s="4" t="s">
        <v>153</v>
      </c>
      <c r="L1458" s="4" t="s">
        <v>1812</v>
      </c>
      <c r="M1458" s="4" t="s">
        <v>73</v>
      </c>
      <c r="N1458" s="4" t="s">
        <v>54</v>
      </c>
      <c r="O1458" s="4" t="s">
        <v>120</v>
      </c>
      <c r="P1458" s="4" t="s">
        <v>47</v>
      </c>
      <c r="Q1458" s="4">
        <v>9</v>
      </c>
      <c r="R1458" s="4">
        <v>33577</v>
      </c>
      <c r="S1458" s="5">
        <v>15</v>
      </c>
      <c r="T1458" s="6">
        <f t="shared" si="66"/>
        <v>256864.05</v>
      </c>
      <c r="U1458" s="4">
        <v>15648.91</v>
      </c>
      <c r="V1458" t="str">
        <f t="shared" si="67"/>
        <v>Jan</v>
      </c>
      <c r="W1458">
        <f t="shared" si="68"/>
        <v>6.0922927906805181E-2</v>
      </c>
    </row>
    <row r="1459" spans="1:23" x14ac:dyDescent="0.4">
      <c r="A1459" s="4" t="s">
        <v>3850</v>
      </c>
      <c r="B1459" s="4" t="s">
        <v>2176</v>
      </c>
      <c r="C1459" s="11">
        <v>44676</v>
      </c>
      <c r="D1459" s="4" t="s">
        <v>124</v>
      </c>
      <c r="E1459" s="4" t="s">
        <v>24</v>
      </c>
      <c r="F1459" s="4" t="s">
        <v>40</v>
      </c>
      <c r="G1459" s="4" t="s">
        <v>99</v>
      </c>
      <c r="H1459" s="4" t="s">
        <v>707</v>
      </c>
      <c r="I1459" s="4" t="s">
        <v>28</v>
      </c>
      <c r="J1459" s="4" t="s">
        <v>62</v>
      </c>
      <c r="K1459" s="4" t="s">
        <v>101</v>
      </c>
      <c r="L1459" s="4" t="s">
        <v>396</v>
      </c>
      <c r="M1459" s="4" t="s">
        <v>65</v>
      </c>
      <c r="N1459" s="4" t="s">
        <v>33</v>
      </c>
      <c r="O1459" s="4" t="s">
        <v>34</v>
      </c>
      <c r="P1459" s="4" t="s">
        <v>88</v>
      </c>
      <c r="Q1459" s="4">
        <v>10</v>
      </c>
      <c r="R1459" s="4">
        <v>5035</v>
      </c>
      <c r="S1459" s="5">
        <v>5</v>
      </c>
      <c r="T1459" s="6">
        <f t="shared" si="66"/>
        <v>47832.5</v>
      </c>
      <c r="U1459" s="4">
        <v>1906.98</v>
      </c>
      <c r="V1459" t="str">
        <f t="shared" si="67"/>
        <v>Apr</v>
      </c>
      <c r="W1459">
        <f t="shared" si="68"/>
        <v>3.9867872262582975E-2</v>
      </c>
    </row>
    <row r="1460" spans="1:23" x14ac:dyDescent="0.4">
      <c r="A1460" s="4" t="s">
        <v>3851</v>
      </c>
      <c r="B1460" s="4" t="s">
        <v>2300</v>
      </c>
      <c r="C1460" s="11">
        <v>44652</v>
      </c>
      <c r="D1460" s="4" t="s">
        <v>39</v>
      </c>
      <c r="E1460" s="4" t="s">
        <v>24</v>
      </c>
      <c r="F1460" s="4" t="s">
        <v>70</v>
      </c>
      <c r="G1460" s="4" t="s">
        <v>92</v>
      </c>
      <c r="H1460" s="4" t="s">
        <v>3852</v>
      </c>
      <c r="I1460" s="4" t="s">
        <v>61</v>
      </c>
      <c r="J1460" s="4" t="s">
        <v>62</v>
      </c>
      <c r="K1460" s="4" t="s">
        <v>101</v>
      </c>
      <c r="L1460" s="4" t="s">
        <v>695</v>
      </c>
      <c r="M1460" s="4" t="s">
        <v>32</v>
      </c>
      <c r="N1460" s="4" t="s">
        <v>33</v>
      </c>
      <c r="O1460" s="4" t="s">
        <v>66</v>
      </c>
      <c r="P1460" s="4" t="s">
        <v>74</v>
      </c>
      <c r="Q1460" s="4">
        <v>3</v>
      </c>
      <c r="R1460" s="4">
        <v>42196</v>
      </c>
      <c r="S1460" s="5">
        <v>0</v>
      </c>
      <c r="T1460" s="6">
        <f t="shared" si="66"/>
        <v>126588</v>
      </c>
      <c r="U1460" s="4">
        <v>35510.129999999997</v>
      </c>
      <c r="V1460" t="str">
        <f t="shared" si="67"/>
        <v>Mar</v>
      </c>
      <c r="W1460">
        <f t="shared" si="68"/>
        <v>0.28051734761588776</v>
      </c>
    </row>
    <row r="1461" spans="1:23" x14ac:dyDescent="0.4">
      <c r="A1461" s="4" t="s">
        <v>3853</v>
      </c>
      <c r="B1461" s="4" t="s">
        <v>3854</v>
      </c>
      <c r="C1461" s="11">
        <v>45281</v>
      </c>
      <c r="D1461" s="4" t="s">
        <v>124</v>
      </c>
      <c r="E1461" s="4" t="s">
        <v>24</v>
      </c>
      <c r="F1461" s="4" t="s">
        <v>58</v>
      </c>
      <c r="G1461" s="4" t="s">
        <v>99</v>
      </c>
      <c r="H1461" s="4" t="s">
        <v>3855</v>
      </c>
      <c r="I1461" s="4" t="s">
        <v>43</v>
      </c>
      <c r="J1461" s="4" t="s">
        <v>29</v>
      </c>
      <c r="K1461" s="4" t="s">
        <v>101</v>
      </c>
      <c r="L1461" s="4" t="s">
        <v>218</v>
      </c>
      <c r="M1461" s="4" t="s">
        <v>32</v>
      </c>
      <c r="N1461" s="4" t="s">
        <v>33</v>
      </c>
      <c r="O1461" s="4" t="s">
        <v>82</v>
      </c>
      <c r="P1461" s="4" t="s">
        <v>88</v>
      </c>
      <c r="Q1461" s="4">
        <v>6</v>
      </c>
      <c r="R1461" s="4">
        <v>13763</v>
      </c>
      <c r="S1461" s="5">
        <v>10</v>
      </c>
      <c r="T1461" s="6">
        <f t="shared" si="66"/>
        <v>74320.2</v>
      </c>
      <c r="U1461" s="4">
        <v>3220.99</v>
      </c>
      <c r="V1461" t="str">
        <f t="shared" si="67"/>
        <v>Dec</v>
      </c>
      <c r="W1461">
        <f t="shared" si="68"/>
        <v>4.3339361304194551E-2</v>
      </c>
    </row>
    <row r="1462" spans="1:23" x14ac:dyDescent="0.4">
      <c r="A1462" s="4" t="s">
        <v>3856</v>
      </c>
      <c r="B1462" s="4" t="s">
        <v>133</v>
      </c>
      <c r="C1462" s="11">
        <v>44574</v>
      </c>
      <c r="D1462" s="4" t="s">
        <v>98</v>
      </c>
      <c r="E1462" s="4" t="s">
        <v>24</v>
      </c>
      <c r="F1462" s="4" t="s">
        <v>70</v>
      </c>
      <c r="G1462" s="4" t="s">
        <v>99</v>
      </c>
      <c r="H1462" s="4" t="s">
        <v>3857</v>
      </c>
      <c r="I1462" s="4" t="s">
        <v>28</v>
      </c>
      <c r="J1462" s="4" t="s">
        <v>62</v>
      </c>
      <c r="K1462" s="4" t="s">
        <v>44</v>
      </c>
      <c r="L1462" s="4" t="s">
        <v>491</v>
      </c>
      <c r="M1462" s="4" t="s">
        <v>73</v>
      </c>
      <c r="N1462" s="4" t="s">
        <v>33</v>
      </c>
      <c r="O1462" s="4" t="s">
        <v>66</v>
      </c>
      <c r="P1462" s="4" t="s">
        <v>74</v>
      </c>
      <c r="Q1462" s="4">
        <v>2</v>
      </c>
      <c r="R1462" s="4">
        <v>1333</v>
      </c>
      <c r="S1462" s="5">
        <v>15</v>
      </c>
      <c r="T1462" s="6">
        <f t="shared" si="66"/>
        <v>2266.1</v>
      </c>
      <c r="U1462" s="4">
        <v>-252.84</v>
      </c>
      <c r="V1462" t="str">
        <f t="shared" si="67"/>
        <v>Jan</v>
      </c>
      <c r="W1462">
        <f t="shared" si="68"/>
        <v>-0.11157495256166984</v>
      </c>
    </row>
    <row r="1463" spans="1:23" x14ac:dyDescent="0.4">
      <c r="A1463" s="4" t="s">
        <v>3858</v>
      </c>
      <c r="B1463" s="4" t="s">
        <v>447</v>
      </c>
      <c r="C1463" s="11">
        <v>45121</v>
      </c>
      <c r="D1463" s="4" t="s">
        <v>23</v>
      </c>
      <c r="E1463" s="4" t="s">
        <v>24</v>
      </c>
      <c r="F1463" s="4" t="s">
        <v>25</v>
      </c>
      <c r="G1463" s="4" t="s">
        <v>26</v>
      </c>
      <c r="H1463" s="4" t="s">
        <v>3859</v>
      </c>
      <c r="I1463" s="4" t="s">
        <v>28</v>
      </c>
      <c r="J1463" s="4" t="s">
        <v>29</v>
      </c>
      <c r="K1463" s="4" t="s">
        <v>101</v>
      </c>
      <c r="L1463" s="4" t="s">
        <v>708</v>
      </c>
      <c r="M1463" s="4" t="s">
        <v>95</v>
      </c>
      <c r="N1463" s="4" t="s">
        <v>33</v>
      </c>
      <c r="O1463" s="4" t="s">
        <v>46</v>
      </c>
      <c r="P1463" s="4" t="s">
        <v>47</v>
      </c>
      <c r="Q1463" s="4">
        <v>3</v>
      </c>
      <c r="R1463" s="4">
        <v>10327</v>
      </c>
      <c r="S1463" s="5">
        <v>15</v>
      </c>
      <c r="T1463" s="6">
        <f t="shared" si="66"/>
        <v>26333.85</v>
      </c>
      <c r="U1463" s="4">
        <v>2732.32</v>
      </c>
      <c r="V1463" t="str">
        <f t="shared" si="67"/>
        <v>Jul</v>
      </c>
      <c r="W1463">
        <f t="shared" si="68"/>
        <v>0.10375695160411411</v>
      </c>
    </row>
    <row r="1464" spans="1:23" x14ac:dyDescent="0.4">
      <c r="A1464" s="4" t="s">
        <v>3860</v>
      </c>
      <c r="B1464" s="4" t="s">
        <v>1003</v>
      </c>
      <c r="C1464" s="11">
        <v>45461</v>
      </c>
      <c r="D1464" s="4" t="s">
        <v>39</v>
      </c>
      <c r="E1464" s="4" t="s">
        <v>24</v>
      </c>
      <c r="F1464" s="4" t="s">
        <v>58</v>
      </c>
      <c r="G1464" s="4" t="s">
        <v>59</v>
      </c>
      <c r="H1464" s="4" t="s">
        <v>3861</v>
      </c>
      <c r="I1464" s="4" t="s">
        <v>61</v>
      </c>
      <c r="J1464" s="4" t="s">
        <v>79</v>
      </c>
      <c r="K1464" s="4" t="s">
        <v>63</v>
      </c>
      <c r="L1464" s="4" t="s">
        <v>574</v>
      </c>
      <c r="M1464" s="4" t="s">
        <v>81</v>
      </c>
      <c r="N1464" s="4" t="s">
        <v>54</v>
      </c>
      <c r="O1464" s="4" t="s">
        <v>46</v>
      </c>
      <c r="P1464" s="4" t="s">
        <v>74</v>
      </c>
      <c r="Q1464" s="4">
        <v>8</v>
      </c>
      <c r="R1464" s="4">
        <v>48609</v>
      </c>
      <c r="S1464" s="5">
        <v>10</v>
      </c>
      <c r="T1464" s="6">
        <f t="shared" si="66"/>
        <v>349984.8</v>
      </c>
      <c r="U1464" s="4">
        <v>61884.4</v>
      </c>
      <c r="V1464" t="str">
        <f t="shared" si="67"/>
        <v>Jun</v>
      </c>
      <c r="W1464">
        <f t="shared" si="68"/>
        <v>0.17682025047944941</v>
      </c>
    </row>
    <row r="1465" spans="1:23" x14ac:dyDescent="0.4">
      <c r="A1465" s="4" t="s">
        <v>3862</v>
      </c>
      <c r="B1465" s="4" t="s">
        <v>3863</v>
      </c>
      <c r="C1465" s="11">
        <v>45145</v>
      </c>
      <c r="D1465" s="4" t="s">
        <v>39</v>
      </c>
      <c r="E1465" s="4" t="s">
        <v>24</v>
      </c>
      <c r="F1465" s="4" t="s">
        <v>58</v>
      </c>
      <c r="G1465" s="4" t="s">
        <v>99</v>
      </c>
      <c r="H1465" s="4" t="s">
        <v>3864</v>
      </c>
      <c r="I1465" s="4" t="s">
        <v>28</v>
      </c>
      <c r="J1465" s="4" t="s">
        <v>62</v>
      </c>
      <c r="K1465" s="4" t="s">
        <v>153</v>
      </c>
      <c r="L1465" s="4" t="s">
        <v>315</v>
      </c>
      <c r="M1465" s="4" t="s">
        <v>53</v>
      </c>
      <c r="N1465" s="4" t="s">
        <v>54</v>
      </c>
      <c r="O1465" s="4" t="s">
        <v>120</v>
      </c>
      <c r="P1465" s="4" t="s">
        <v>35</v>
      </c>
      <c r="Q1465" s="4">
        <v>6</v>
      </c>
      <c r="R1465" s="4">
        <v>15395</v>
      </c>
      <c r="S1465" s="5">
        <v>10</v>
      </c>
      <c r="T1465" s="6">
        <f t="shared" si="66"/>
        <v>83133</v>
      </c>
      <c r="U1465" s="4">
        <v>2623.86</v>
      </c>
      <c r="V1465" t="str">
        <f t="shared" si="67"/>
        <v>Aug</v>
      </c>
      <c r="W1465">
        <f t="shared" si="68"/>
        <v>3.1562195518025332E-2</v>
      </c>
    </row>
    <row r="1466" spans="1:23" x14ac:dyDescent="0.4">
      <c r="A1466" s="4" t="s">
        <v>3865</v>
      </c>
      <c r="B1466" s="4" t="s">
        <v>3866</v>
      </c>
      <c r="C1466" s="11">
        <v>45212</v>
      </c>
      <c r="D1466" s="4" t="s">
        <v>98</v>
      </c>
      <c r="E1466" s="4" t="s">
        <v>24</v>
      </c>
      <c r="F1466" s="4" t="s">
        <v>70</v>
      </c>
      <c r="G1466" s="4" t="s">
        <v>26</v>
      </c>
      <c r="H1466" s="4" t="s">
        <v>3867</v>
      </c>
      <c r="I1466" s="4" t="s">
        <v>61</v>
      </c>
      <c r="J1466" s="4" t="s">
        <v>79</v>
      </c>
      <c r="K1466" s="4" t="s">
        <v>101</v>
      </c>
      <c r="L1466" s="4" t="s">
        <v>418</v>
      </c>
      <c r="M1466" s="4" t="s">
        <v>65</v>
      </c>
      <c r="N1466" s="4" t="s">
        <v>54</v>
      </c>
      <c r="O1466" s="4" t="s">
        <v>34</v>
      </c>
      <c r="P1466" s="4" t="s">
        <v>35</v>
      </c>
      <c r="Q1466" s="4">
        <v>10</v>
      </c>
      <c r="R1466" s="4">
        <v>18608</v>
      </c>
      <c r="S1466" s="5">
        <v>0</v>
      </c>
      <c r="T1466" s="6">
        <f t="shared" si="66"/>
        <v>186080</v>
      </c>
      <c r="U1466" s="4">
        <v>13633.39</v>
      </c>
      <c r="V1466" t="str">
        <f t="shared" si="67"/>
        <v>Oct</v>
      </c>
      <c r="W1466">
        <f t="shared" si="68"/>
        <v>7.3266283319002576E-2</v>
      </c>
    </row>
    <row r="1467" spans="1:23" x14ac:dyDescent="0.4">
      <c r="A1467" s="4" t="s">
        <v>3868</v>
      </c>
      <c r="B1467" s="4" t="s">
        <v>2523</v>
      </c>
      <c r="C1467" s="11">
        <v>45324</v>
      </c>
      <c r="D1467" s="4" t="s">
        <v>124</v>
      </c>
      <c r="E1467" s="4" t="s">
        <v>24</v>
      </c>
      <c r="F1467" s="4" t="s">
        <v>70</v>
      </c>
      <c r="G1467" s="4" t="s">
        <v>41</v>
      </c>
      <c r="H1467" s="4" t="s">
        <v>3869</v>
      </c>
      <c r="I1467" s="4" t="s">
        <v>28</v>
      </c>
      <c r="J1467" s="4" t="s">
        <v>62</v>
      </c>
      <c r="K1467" s="4" t="s">
        <v>101</v>
      </c>
      <c r="L1467" s="4" t="s">
        <v>237</v>
      </c>
      <c r="M1467" s="4" t="s">
        <v>65</v>
      </c>
      <c r="N1467" s="4" t="s">
        <v>33</v>
      </c>
      <c r="O1467" s="4" t="s">
        <v>46</v>
      </c>
      <c r="P1467" s="4" t="s">
        <v>35</v>
      </c>
      <c r="Q1467" s="4">
        <v>6</v>
      </c>
      <c r="R1467" s="4">
        <v>23767</v>
      </c>
      <c r="S1467" s="5">
        <v>15</v>
      </c>
      <c r="T1467" s="6">
        <f t="shared" si="66"/>
        <v>121211.7</v>
      </c>
      <c r="U1467" s="4">
        <v>-4512.62</v>
      </c>
      <c r="V1467" t="str">
        <f t="shared" si="67"/>
        <v>Jan</v>
      </c>
      <c r="W1467">
        <f t="shared" si="68"/>
        <v>-3.7229244371624191E-2</v>
      </c>
    </row>
    <row r="1468" spans="1:23" x14ac:dyDescent="0.4">
      <c r="A1468" s="4" t="s">
        <v>3870</v>
      </c>
      <c r="B1468" s="4" t="s">
        <v>2214</v>
      </c>
      <c r="C1468" s="11">
        <v>45178</v>
      </c>
      <c r="D1468" s="4" t="s">
        <v>39</v>
      </c>
      <c r="E1468" s="4" t="s">
        <v>24</v>
      </c>
      <c r="F1468" s="4" t="s">
        <v>70</v>
      </c>
      <c r="G1468" s="4" t="s">
        <v>26</v>
      </c>
      <c r="H1468" s="4" t="s">
        <v>3871</v>
      </c>
      <c r="I1468" s="4" t="s">
        <v>28</v>
      </c>
      <c r="J1468" s="4" t="s">
        <v>79</v>
      </c>
      <c r="K1468" s="4" t="s">
        <v>101</v>
      </c>
      <c r="L1468" s="4" t="s">
        <v>708</v>
      </c>
      <c r="M1468" s="4" t="s">
        <v>53</v>
      </c>
      <c r="N1468" s="4" t="s">
        <v>33</v>
      </c>
      <c r="O1468" s="4" t="s">
        <v>46</v>
      </c>
      <c r="P1468" s="4" t="s">
        <v>74</v>
      </c>
      <c r="Q1468" s="4">
        <v>3</v>
      </c>
      <c r="R1468" s="4">
        <v>16727</v>
      </c>
      <c r="S1468" s="5">
        <v>5</v>
      </c>
      <c r="T1468" s="6">
        <f t="shared" si="66"/>
        <v>47671.95</v>
      </c>
      <c r="U1468" s="4">
        <v>6612.53</v>
      </c>
      <c r="V1468" t="str">
        <f t="shared" si="67"/>
        <v>Sep</v>
      </c>
      <c r="W1468">
        <f t="shared" si="68"/>
        <v>0.13870903120178638</v>
      </c>
    </row>
    <row r="1469" spans="1:23" x14ac:dyDescent="0.4">
      <c r="A1469" s="4" t="s">
        <v>3872</v>
      </c>
      <c r="B1469" s="4" t="s">
        <v>1993</v>
      </c>
      <c r="C1469" s="11">
        <v>44735</v>
      </c>
      <c r="D1469" s="4" t="s">
        <v>98</v>
      </c>
      <c r="E1469" s="4" t="s">
        <v>24</v>
      </c>
      <c r="F1469" s="4" t="s">
        <v>70</v>
      </c>
      <c r="G1469" s="4" t="s">
        <v>26</v>
      </c>
      <c r="H1469" s="4" t="s">
        <v>3873</v>
      </c>
      <c r="I1469" s="4" t="s">
        <v>43</v>
      </c>
      <c r="J1469" s="4" t="s">
        <v>29</v>
      </c>
      <c r="K1469" s="4" t="s">
        <v>101</v>
      </c>
      <c r="L1469" s="4" t="s">
        <v>757</v>
      </c>
      <c r="M1469" s="4" t="s">
        <v>95</v>
      </c>
      <c r="N1469" s="4" t="s">
        <v>33</v>
      </c>
      <c r="O1469" s="4" t="s">
        <v>82</v>
      </c>
      <c r="P1469" s="4" t="s">
        <v>88</v>
      </c>
      <c r="Q1469" s="4">
        <v>4</v>
      </c>
      <c r="R1469" s="4">
        <v>36198</v>
      </c>
      <c r="S1469" s="5">
        <v>20</v>
      </c>
      <c r="T1469" s="6">
        <f t="shared" si="66"/>
        <v>115833.60000000001</v>
      </c>
      <c r="U1469" s="4">
        <v>5757.42</v>
      </c>
      <c r="V1469" t="str">
        <f t="shared" si="67"/>
        <v>Jun</v>
      </c>
      <c r="W1469">
        <f t="shared" si="68"/>
        <v>4.9704230896734626E-2</v>
      </c>
    </row>
    <row r="1470" spans="1:23" x14ac:dyDescent="0.4">
      <c r="A1470" s="4" t="s">
        <v>3874</v>
      </c>
      <c r="B1470" s="4" t="s">
        <v>2080</v>
      </c>
      <c r="C1470" s="11">
        <v>44887</v>
      </c>
      <c r="D1470" s="4" t="s">
        <v>124</v>
      </c>
      <c r="E1470" s="4" t="s">
        <v>24</v>
      </c>
      <c r="F1470" s="4" t="s">
        <v>70</v>
      </c>
      <c r="G1470" s="4" t="s">
        <v>59</v>
      </c>
      <c r="H1470" s="4" t="s">
        <v>3875</v>
      </c>
      <c r="I1470" s="4" t="s">
        <v>28</v>
      </c>
      <c r="J1470" s="4" t="s">
        <v>29</v>
      </c>
      <c r="K1470" s="4" t="s">
        <v>153</v>
      </c>
      <c r="L1470" s="4" t="s">
        <v>622</v>
      </c>
      <c r="M1470" s="4" t="s">
        <v>81</v>
      </c>
      <c r="N1470" s="4" t="s">
        <v>33</v>
      </c>
      <c r="O1470" s="4" t="s">
        <v>120</v>
      </c>
      <c r="P1470" s="4" t="s">
        <v>88</v>
      </c>
      <c r="Q1470" s="4">
        <v>2</v>
      </c>
      <c r="R1470" s="4">
        <v>13961</v>
      </c>
      <c r="S1470" s="5">
        <v>0</v>
      </c>
      <c r="T1470" s="6">
        <f t="shared" si="66"/>
        <v>27922</v>
      </c>
      <c r="U1470" s="4">
        <v>4558.2</v>
      </c>
      <c r="V1470" t="str">
        <f t="shared" si="67"/>
        <v>Nov</v>
      </c>
      <c r="W1470">
        <f t="shared" si="68"/>
        <v>0.1632476183654466</v>
      </c>
    </row>
    <row r="1471" spans="1:23" x14ac:dyDescent="0.4">
      <c r="A1471" s="4" t="s">
        <v>3876</v>
      </c>
      <c r="B1471" s="4" t="s">
        <v>388</v>
      </c>
      <c r="C1471" s="11">
        <v>45170</v>
      </c>
      <c r="D1471" s="4" t="s">
        <v>124</v>
      </c>
      <c r="E1471" s="4" t="s">
        <v>24</v>
      </c>
      <c r="F1471" s="4" t="s">
        <v>25</v>
      </c>
      <c r="G1471" s="4" t="s">
        <v>41</v>
      </c>
      <c r="H1471" s="4" t="s">
        <v>3877</v>
      </c>
      <c r="I1471" s="4" t="s">
        <v>61</v>
      </c>
      <c r="J1471" s="4" t="s">
        <v>79</v>
      </c>
      <c r="K1471" s="4" t="s">
        <v>153</v>
      </c>
      <c r="L1471" s="4" t="s">
        <v>1482</v>
      </c>
      <c r="M1471" s="4" t="s">
        <v>73</v>
      </c>
      <c r="N1471" s="4" t="s">
        <v>33</v>
      </c>
      <c r="O1471" s="4" t="s">
        <v>82</v>
      </c>
      <c r="P1471" s="4" t="s">
        <v>47</v>
      </c>
      <c r="Q1471" s="4">
        <v>4</v>
      </c>
      <c r="R1471" s="4">
        <v>4273</v>
      </c>
      <c r="S1471" s="5">
        <v>0</v>
      </c>
      <c r="T1471" s="6">
        <f t="shared" si="66"/>
        <v>17092</v>
      </c>
      <c r="U1471" s="4">
        <v>3400.13</v>
      </c>
      <c r="V1471" t="str">
        <f t="shared" si="67"/>
        <v>Aug</v>
      </c>
      <c r="W1471">
        <f t="shared" si="68"/>
        <v>0.19893107886730635</v>
      </c>
    </row>
    <row r="1472" spans="1:23" x14ac:dyDescent="0.4">
      <c r="A1472" s="4" t="s">
        <v>3878</v>
      </c>
      <c r="B1472" s="4" t="s">
        <v>367</v>
      </c>
      <c r="C1472" s="11">
        <v>45024</v>
      </c>
      <c r="D1472" s="4" t="s">
        <v>39</v>
      </c>
      <c r="E1472" s="4" t="s">
        <v>24</v>
      </c>
      <c r="F1472" s="4" t="s">
        <v>25</v>
      </c>
      <c r="G1472" s="4" t="s">
        <v>59</v>
      </c>
      <c r="H1472" s="4" t="s">
        <v>3879</v>
      </c>
      <c r="I1472" s="4" t="s">
        <v>61</v>
      </c>
      <c r="J1472" s="4" t="s">
        <v>29</v>
      </c>
      <c r="K1472" s="4" t="s">
        <v>153</v>
      </c>
      <c r="L1472" s="4" t="s">
        <v>544</v>
      </c>
      <c r="M1472" s="4" t="s">
        <v>81</v>
      </c>
      <c r="N1472" s="4" t="s">
        <v>54</v>
      </c>
      <c r="O1472" s="4" t="s">
        <v>82</v>
      </c>
      <c r="P1472" s="4" t="s">
        <v>88</v>
      </c>
      <c r="Q1472" s="4">
        <v>5</v>
      </c>
      <c r="R1472" s="4">
        <v>32451</v>
      </c>
      <c r="S1472" s="5">
        <v>10</v>
      </c>
      <c r="T1472" s="6">
        <f t="shared" si="66"/>
        <v>146029.5</v>
      </c>
      <c r="U1472" s="4">
        <v>-6852.42</v>
      </c>
      <c r="V1472" t="str">
        <f t="shared" si="67"/>
        <v>Mar</v>
      </c>
      <c r="W1472">
        <f t="shared" si="68"/>
        <v>-4.6924902160179964E-2</v>
      </c>
    </row>
    <row r="1473" spans="1:23" x14ac:dyDescent="0.4">
      <c r="A1473" s="4" t="s">
        <v>3880</v>
      </c>
      <c r="B1473" s="4" t="s">
        <v>3614</v>
      </c>
      <c r="C1473" s="11">
        <v>44769</v>
      </c>
      <c r="D1473" s="4" t="s">
        <v>39</v>
      </c>
      <c r="E1473" s="4" t="s">
        <v>24</v>
      </c>
      <c r="F1473" s="4" t="s">
        <v>25</v>
      </c>
      <c r="G1473" s="4" t="s">
        <v>99</v>
      </c>
      <c r="H1473" s="4" t="s">
        <v>3881</v>
      </c>
      <c r="I1473" s="4" t="s">
        <v>61</v>
      </c>
      <c r="J1473" s="4" t="s">
        <v>62</v>
      </c>
      <c r="K1473" s="4" t="s">
        <v>153</v>
      </c>
      <c r="L1473" s="4" t="s">
        <v>960</v>
      </c>
      <c r="M1473" s="4" t="s">
        <v>32</v>
      </c>
      <c r="N1473" s="4" t="s">
        <v>54</v>
      </c>
      <c r="O1473" s="4" t="s">
        <v>120</v>
      </c>
      <c r="P1473" s="4" t="s">
        <v>74</v>
      </c>
      <c r="Q1473" s="4">
        <v>10</v>
      </c>
      <c r="R1473" s="4">
        <v>29099</v>
      </c>
      <c r="S1473" s="5">
        <v>10</v>
      </c>
      <c r="T1473" s="6">
        <f t="shared" si="66"/>
        <v>261891</v>
      </c>
      <c r="U1473" s="4">
        <v>-3363.45</v>
      </c>
      <c r="V1473" t="str">
        <f t="shared" si="67"/>
        <v>Jul</v>
      </c>
      <c r="W1473">
        <f t="shared" si="68"/>
        <v>-1.2842938474403473E-2</v>
      </c>
    </row>
    <row r="1474" spans="1:23" x14ac:dyDescent="0.4">
      <c r="A1474" s="4" t="s">
        <v>3882</v>
      </c>
      <c r="B1474" s="4" t="s">
        <v>239</v>
      </c>
      <c r="C1474" s="11">
        <v>45352</v>
      </c>
      <c r="D1474" s="4" t="s">
        <v>39</v>
      </c>
      <c r="E1474" s="4" t="s">
        <v>24</v>
      </c>
      <c r="F1474" s="4" t="s">
        <v>40</v>
      </c>
      <c r="G1474" s="4" t="s">
        <v>92</v>
      </c>
      <c r="H1474" s="4" t="s">
        <v>3883</v>
      </c>
      <c r="I1474" s="4" t="s">
        <v>61</v>
      </c>
      <c r="J1474" s="4" t="s">
        <v>62</v>
      </c>
      <c r="K1474" s="4" t="s">
        <v>86</v>
      </c>
      <c r="L1474" s="4" t="s">
        <v>618</v>
      </c>
      <c r="M1474" s="4" t="s">
        <v>32</v>
      </c>
      <c r="N1474" s="4" t="s">
        <v>54</v>
      </c>
      <c r="O1474" s="4" t="s">
        <v>34</v>
      </c>
      <c r="P1474" s="4" t="s">
        <v>74</v>
      </c>
      <c r="Q1474" s="4">
        <v>4</v>
      </c>
      <c r="R1474" s="4">
        <v>11780</v>
      </c>
      <c r="S1474" s="5">
        <v>15</v>
      </c>
      <c r="T1474" s="6">
        <f t="shared" si="66"/>
        <v>40052</v>
      </c>
      <c r="U1474" s="4">
        <v>-2782.96</v>
      </c>
      <c r="V1474" t="str">
        <f t="shared" si="67"/>
        <v>Feb</v>
      </c>
      <c r="W1474">
        <f t="shared" si="68"/>
        <v>-6.948367122740437E-2</v>
      </c>
    </row>
    <row r="1475" spans="1:23" x14ac:dyDescent="0.4">
      <c r="A1475" s="4" t="s">
        <v>3884</v>
      </c>
      <c r="B1475" s="4" t="s">
        <v>1063</v>
      </c>
      <c r="C1475" s="11">
        <v>45183</v>
      </c>
      <c r="D1475" s="4" t="s">
        <v>23</v>
      </c>
      <c r="E1475" s="4" t="s">
        <v>24</v>
      </c>
      <c r="F1475" s="4" t="s">
        <v>25</v>
      </c>
      <c r="G1475" s="4" t="s">
        <v>99</v>
      </c>
      <c r="H1475" s="4" t="s">
        <v>3885</v>
      </c>
      <c r="I1475" s="4" t="s">
        <v>43</v>
      </c>
      <c r="J1475" s="4" t="s">
        <v>62</v>
      </c>
      <c r="K1475" s="4" t="s">
        <v>63</v>
      </c>
      <c r="L1475" s="4" t="s">
        <v>272</v>
      </c>
      <c r="M1475" s="4" t="s">
        <v>73</v>
      </c>
      <c r="N1475" s="4" t="s">
        <v>33</v>
      </c>
      <c r="O1475" s="4" t="s">
        <v>82</v>
      </c>
      <c r="P1475" s="4" t="s">
        <v>88</v>
      </c>
      <c r="Q1475" s="4">
        <v>8</v>
      </c>
      <c r="R1475" s="4">
        <v>39148</v>
      </c>
      <c r="S1475" s="5">
        <v>15</v>
      </c>
      <c r="T1475" s="6">
        <f t="shared" ref="T1475:T1501" si="69">Q1475*R1475*(100-S1475)/100</f>
        <v>266206.40000000002</v>
      </c>
      <c r="U1475" s="4">
        <v>-8340.92</v>
      </c>
      <c r="V1475" t="str">
        <f t="shared" ref="V1475:V1501" si="70">TEXT(B1475,"MMM")</f>
        <v>Sep</v>
      </c>
      <c r="W1475">
        <f t="shared" ref="W1475:W1501" si="71">U1475/T1475</f>
        <v>-3.1332529946687983E-2</v>
      </c>
    </row>
    <row r="1476" spans="1:23" x14ac:dyDescent="0.4">
      <c r="A1476" s="4" t="s">
        <v>3886</v>
      </c>
      <c r="B1476" s="4" t="s">
        <v>546</v>
      </c>
      <c r="C1476" s="11">
        <v>45394</v>
      </c>
      <c r="D1476" s="4" t="s">
        <v>39</v>
      </c>
      <c r="E1476" s="4" t="s">
        <v>24</v>
      </c>
      <c r="F1476" s="4" t="s">
        <v>40</v>
      </c>
      <c r="G1476" s="4" t="s">
        <v>59</v>
      </c>
      <c r="H1476" s="4" t="s">
        <v>3887</v>
      </c>
      <c r="I1476" s="4" t="s">
        <v>43</v>
      </c>
      <c r="J1476" s="4" t="s">
        <v>79</v>
      </c>
      <c r="K1476" s="4" t="s">
        <v>101</v>
      </c>
      <c r="L1476" s="4" t="s">
        <v>457</v>
      </c>
      <c r="M1476" s="4" t="s">
        <v>81</v>
      </c>
      <c r="N1476" s="4" t="s">
        <v>54</v>
      </c>
      <c r="O1476" s="4" t="s">
        <v>82</v>
      </c>
      <c r="P1476" s="4" t="s">
        <v>47</v>
      </c>
      <c r="Q1476" s="4">
        <v>1</v>
      </c>
      <c r="R1476" s="4">
        <v>7149</v>
      </c>
      <c r="S1476" s="5">
        <v>0</v>
      </c>
      <c r="T1476" s="6">
        <f t="shared" si="69"/>
        <v>7149</v>
      </c>
      <c r="U1476" s="4">
        <v>1161.67</v>
      </c>
      <c r="V1476" t="str">
        <f t="shared" si="70"/>
        <v>Apr</v>
      </c>
      <c r="W1476">
        <f t="shared" si="71"/>
        <v>0.16249405511260318</v>
      </c>
    </row>
    <row r="1477" spans="1:23" x14ac:dyDescent="0.4">
      <c r="A1477" s="4" t="s">
        <v>3888</v>
      </c>
      <c r="B1477" s="4" t="s">
        <v>1907</v>
      </c>
      <c r="C1477" s="11">
        <v>44935</v>
      </c>
      <c r="D1477" s="4" t="s">
        <v>124</v>
      </c>
      <c r="E1477" s="4" t="s">
        <v>24</v>
      </c>
      <c r="F1477" s="4" t="s">
        <v>70</v>
      </c>
      <c r="G1477" s="4" t="s">
        <v>59</v>
      </c>
      <c r="H1477" s="4" t="s">
        <v>749</v>
      </c>
      <c r="I1477" s="4" t="s">
        <v>61</v>
      </c>
      <c r="J1477" s="4" t="s">
        <v>79</v>
      </c>
      <c r="K1477" s="4" t="s">
        <v>101</v>
      </c>
      <c r="L1477" s="4" t="s">
        <v>1122</v>
      </c>
      <c r="M1477" s="4" t="s">
        <v>95</v>
      </c>
      <c r="N1477" s="4" t="s">
        <v>54</v>
      </c>
      <c r="O1477" s="4" t="s">
        <v>46</v>
      </c>
      <c r="P1477" s="4" t="s">
        <v>47</v>
      </c>
      <c r="Q1477" s="4">
        <v>8</v>
      </c>
      <c r="R1477" s="4">
        <v>2392</v>
      </c>
      <c r="S1477" s="5">
        <v>20</v>
      </c>
      <c r="T1477" s="6">
        <f t="shared" si="69"/>
        <v>15308.8</v>
      </c>
      <c r="U1477" s="4">
        <v>161.43</v>
      </c>
      <c r="V1477" t="str">
        <f t="shared" si="70"/>
        <v>Jan</v>
      </c>
      <c r="W1477">
        <f t="shared" si="71"/>
        <v>1.0544915342809366E-2</v>
      </c>
    </row>
    <row r="1478" spans="1:23" x14ac:dyDescent="0.4">
      <c r="A1478" s="4" t="s">
        <v>3889</v>
      </c>
      <c r="B1478" s="4" t="s">
        <v>3890</v>
      </c>
      <c r="C1478" s="11">
        <v>45355</v>
      </c>
      <c r="D1478" s="4" t="s">
        <v>98</v>
      </c>
      <c r="E1478" s="4" t="s">
        <v>24</v>
      </c>
      <c r="F1478" s="4" t="s">
        <v>40</v>
      </c>
      <c r="G1478" s="4" t="s">
        <v>59</v>
      </c>
      <c r="H1478" s="4" t="s">
        <v>3891</v>
      </c>
      <c r="I1478" s="4" t="s">
        <v>43</v>
      </c>
      <c r="J1478" s="4" t="s">
        <v>29</v>
      </c>
      <c r="K1478" s="4" t="s">
        <v>63</v>
      </c>
      <c r="L1478" s="4" t="s">
        <v>1089</v>
      </c>
      <c r="M1478" s="4" t="s">
        <v>65</v>
      </c>
      <c r="N1478" s="4" t="s">
        <v>33</v>
      </c>
      <c r="O1478" s="4" t="s">
        <v>82</v>
      </c>
      <c r="P1478" s="4" t="s">
        <v>74</v>
      </c>
      <c r="Q1478" s="4">
        <v>5</v>
      </c>
      <c r="R1478" s="4">
        <v>20325</v>
      </c>
      <c r="S1478" s="5">
        <v>10</v>
      </c>
      <c r="T1478" s="6">
        <f t="shared" si="69"/>
        <v>91462.5</v>
      </c>
      <c r="U1478" s="4">
        <v>635.38</v>
      </c>
      <c r="V1478" t="str">
        <f t="shared" si="70"/>
        <v>Feb</v>
      </c>
      <c r="W1478">
        <f t="shared" si="71"/>
        <v>6.9468908022413556E-3</v>
      </c>
    </row>
    <row r="1479" spans="1:23" x14ac:dyDescent="0.4">
      <c r="A1479" s="4" t="s">
        <v>3892</v>
      </c>
      <c r="B1479" s="4" t="s">
        <v>249</v>
      </c>
      <c r="C1479" s="11">
        <v>45422</v>
      </c>
      <c r="D1479" s="4" t="s">
        <v>39</v>
      </c>
      <c r="E1479" s="4" t="s">
        <v>24</v>
      </c>
      <c r="F1479" s="4" t="s">
        <v>40</v>
      </c>
      <c r="G1479" s="4" t="s">
        <v>59</v>
      </c>
      <c r="H1479" s="4" t="s">
        <v>2969</v>
      </c>
      <c r="I1479" s="4" t="s">
        <v>43</v>
      </c>
      <c r="J1479" s="4" t="s">
        <v>79</v>
      </c>
      <c r="K1479" s="4" t="s">
        <v>101</v>
      </c>
      <c r="L1479" s="4" t="s">
        <v>729</v>
      </c>
      <c r="M1479" s="4" t="s">
        <v>73</v>
      </c>
      <c r="N1479" s="4" t="s">
        <v>54</v>
      </c>
      <c r="O1479" s="4" t="s">
        <v>46</v>
      </c>
      <c r="P1479" s="4" t="s">
        <v>74</v>
      </c>
      <c r="Q1479" s="4">
        <v>4</v>
      </c>
      <c r="R1479" s="4">
        <v>6652</v>
      </c>
      <c r="S1479" s="5">
        <v>10</v>
      </c>
      <c r="T1479" s="6">
        <f t="shared" si="69"/>
        <v>23947.200000000001</v>
      </c>
      <c r="U1479" s="4">
        <v>2280.0500000000002</v>
      </c>
      <c r="V1479" t="str">
        <f t="shared" si="70"/>
        <v>May</v>
      </c>
      <c r="W1479">
        <f t="shared" si="71"/>
        <v>9.5211548740562577E-2</v>
      </c>
    </row>
    <row r="1480" spans="1:23" x14ac:dyDescent="0.4">
      <c r="A1480" s="4" t="s">
        <v>3893</v>
      </c>
      <c r="B1480" s="4" t="s">
        <v>848</v>
      </c>
      <c r="C1480" s="11">
        <v>45028</v>
      </c>
      <c r="D1480" s="4" t="s">
        <v>124</v>
      </c>
      <c r="E1480" s="4" t="s">
        <v>24</v>
      </c>
      <c r="F1480" s="4" t="s">
        <v>25</v>
      </c>
      <c r="G1480" s="4" t="s">
        <v>99</v>
      </c>
      <c r="H1480" s="4" t="s">
        <v>3894</v>
      </c>
      <c r="I1480" s="4" t="s">
        <v>43</v>
      </c>
      <c r="J1480" s="4" t="s">
        <v>29</v>
      </c>
      <c r="K1480" s="4" t="s">
        <v>44</v>
      </c>
      <c r="L1480" s="4" t="s">
        <v>535</v>
      </c>
      <c r="M1480" s="4" t="s">
        <v>53</v>
      </c>
      <c r="N1480" s="4" t="s">
        <v>33</v>
      </c>
      <c r="O1480" s="4" t="s">
        <v>82</v>
      </c>
      <c r="P1480" s="4" t="s">
        <v>35</v>
      </c>
      <c r="Q1480" s="4">
        <v>7</v>
      </c>
      <c r="R1480" s="4">
        <v>5349</v>
      </c>
      <c r="S1480" s="5">
        <v>20</v>
      </c>
      <c r="T1480" s="6">
        <f t="shared" si="69"/>
        <v>29954.400000000001</v>
      </c>
      <c r="U1480" s="4">
        <v>-454.56</v>
      </c>
      <c r="V1480" t="str">
        <f t="shared" si="70"/>
        <v>Apr</v>
      </c>
      <c r="W1480">
        <f t="shared" si="71"/>
        <v>-1.5175066100472718E-2</v>
      </c>
    </row>
    <row r="1481" spans="1:23" x14ac:dyDescent="0.4">
      <c r="A1481" s="4" t="s">
        <v>3895</v>
      </c>
      <c r="B1481" s="4" t="s">
        <v>364</v>
      </c>
      <c r="C1481" s="11">
        <v>45314</v>
      </c>
      <c r="D1481" s="4" t="s">
        <v>98</v>
      </c>
      <c r="E1481" s="4" t="s">
        <v>24</v>
      </c>
      <c r="F1481" s="4" t="s">
        <v>25</v>
      </c>
      <c r="G1481" s="4" t="s">
        <v>41</v>
      </c>
      <c r="H1481" s="4" t="s">
        <v>3896</v>
      </c>
      <c r="I1481" s="4" t="s">
        <v>61</v>
      </c>
      <c r="J1481" s="4" t="s">
        <v>79</v>
      </c>
      <c r="K1481" s="4" t="s">
        <v>86</v>
      </c>
      <c r="L1481" s="4" t="s">
        <v>1701</v>
      </c>
      <c r="M1481" s="4" t="s">
        <v>65</v>
      </c>
      <c r="N1481" s="4" t="s">
        <v>54</v>
      </c>
      <c r="O1481" s="4" t="s">
        <v>82</v>
      </c>
      <c r="P1481" s="4" t="s">
        <v>47</v>
      </c>
      <c r="Q1481" s="4">
        <v>3</v>
      </c>
      <c r="R1481" s="4">
        <v>3541</v>
      </c>
      <c r="S1481" s="5">
        <v>10</v>
      </c>
      <c r="T1481" s="6">
        <f t="shared" si="69"/>
        <v>9560.7000000000007</v>
      </c>
      <c r="U1481" s="4">
        <v>573.5</v>
      </c>
      <c r="V1481" t="str">
        <f t="shared" si="70"/>
        <v>Jan</v>
      </c>
      <c r="W1481">
        <f t="shared" si="71"/>
        <v>5.9985147531038514E-2</v>
      </c>
    </row>
    <row r="1482" spans="1:23" x14ac:dyDescent="0.4">
      <c r="A1482" s="4" t="s">
        <v>3897</v>
      </c>
      <c r="B1482" s="4" t="s">
        <v>824</v>
      </c>
      <c r="C1482" s="11">
        <v>44654</v>
      </c>
      <c r="D1482" s="4" t="s">
        <v>23</v>
      </c>
      <c r="E1482" s="4" t="s">
        <v>24</v>
      </c>
      <c r="F1482" s="4" t="s">
        <v>26</v>
      </c>
      <c r="G1482" s="4" t="s">
        <v>26</v>
      </c>
      <c r="H1482" s="4" t="s">
        <v>3898</v>
      </c>
      <c r="I1482" s="4" t="s">
        <v>43</v>
      </c>
      <c r="J1482" s="4" t="s">
        <v>79</v>
      </c>
      <c r="K1482" s="4" t="s">
        <v>101</v>
      </c>
      <c r="L1482" s="4" t="s">
        <v>404</v>
      </c>
      <c r="M1482" s="4" t="s">
        <v>95</v>
      </c>
      <c r="N1482" s="4" t="s">
        <v>54</v>
      </c>
      <c r="O1482" s="4" t="s">
        <v>66</v>
      </c>
      <c r="P1482" s="4" t="s">
        <v>88</v>
      </c>
      <c r="Q1482" s="4">
        <v>2</v>
      </c>
      <c r="R1482" s="4">
        <v>22156</v>
      </c>
      <c r="S1482" s="5">
        <v>0</v>
      </c>
      <c r="T1482" s="6">
        <f t="shared" si="69"/>
        <v>44312</v>
      </c>
      <c r="U1482" s="4">
        <v>6027.13</v>
      </c>
      <c r="V1482" t="str">
        <f t="shared" si="70"/>
        <v>Mar</v>
      </c>
      <c r="W1482">
        <f t="shared" si="71"/>
        <v>0.13601575194078352</v>
      </c>
    </row>
    <row r="1483" spans="1:23" x14ac:dyDescent="0.4">
      <c r="A1483" s="4" t="s">
        <v>3899</v>
      </c>
      <c r="B1483" s="4" t="s">
        <v>1805</v>
      </c>
      <c r="C1483" s="11">
        <v>44856</v>
      </c>
      <c r="D1483" s="4" t="s">
        <v>39</v>
      </c>
      <c r="E1483" s="4" t="s">
        <v>24</v>
      </c>
      <c r="F1483" s="4" t="s">
        <v>40</v>
      </c>
      <c r="G1483" s="4" t="s">
        <v>92</v>
      </c>
      <c r="H1483" s="4" t="s">
        <v>3900</v>
      </c>
      <c r="I1483" s="4" t="s">
        <v>43</v>
      </c>
      <c r="J1483" s="4" t="s">
        <v>79</v>
      </c>
      <c r="K1483" s="4" t="s">
        <v>44</v>
      </c>
      <c r="L1483" s="4" t="s">
        <v>277</v>
      </c>
      <c r="M1483" s="4" t="s">
        <v>32</v>
      </c>
      <c r="N1483" s="4" t="s">
        <v>54</v>
      </c>
      <c r="O1483" s="4" t="s">
        <v>34</v>
      </c>
      <c r="P1483" s="4" t="s">
        <v>88</v>
      </c>
      <c r="Q1483" s="4">
        <v>3</v>
      </c>
      <c r="R1483" s="4">
        <v>11784</v>
      </c>
      <c r="S1483" s="5">
        <v>20</v>
      </c>
      <c r="T1483" s="6">
        <f t="shared" si="69"/>
        <v>28281.599999999999</v>
      </c>
      <c r="U1483" s="4">
        <v>-2071.7800000000002</v>
      </c>
      <c r="V1483" t="str">
        <f t="shared" si="70"/>
        <v>Oct</v>
      </c>
      <c r="W1483">
        <f t="shared" si="71"/>
        <v>-7.3255402806064726E-2</v>
      </c>
    </row>
    <row r="1484" spans="1:23" x14ac:dyDescent="0.4">
      <c r="A1484" s="4" t="s">
        <v>3901</v>
      </c>
      <c r="B1484" s="4" t="s">
        <v>751</v>
      </c>
      <c r="C1484" s="11">
        <v>45021</v>
      </c>
      <c r="D1484" s="4" t="s">
        <v>23</v>
      </c>
      <c r="E1484" s="4" t="s">
        <v>24</v>
      </c>
      <c r="F1484" s="4" t="s">
        <v>58</v>
      </c>
      <c r="G1484" s="4" t="s">
        <v>99</v>
      </c>
      <c r="H1484" s="4" t="s">
        <v>3245</v>
      </c>
      <c r="I1484" s="4" t="s">
        <v>61</v>
      </c>
      <c r="J1484" s="4" t="s">
        <v>79</v>
      </c>
      <c r="K1484" s="4" t="s">
        <v>44</v>
      </c>
      <c r="L1484" s="4" t="s">
        <v>1270</v>
      </c>
      <c r="M1484" s="4" t="s">
        <v>73</v>
      </c>
      <c r="N1484" s="4" t="s">
        <v>33</v>
      </c>
      <c r="O1484" s="4" t="s">
        <v>34</v>
      </c>
      <c r="P1484" s="4" t="s">
        <v>74</v>
      </c>
      <c r="Q1484" s="4">
        <v>1</v>
      </c>
      <c r="R1484" s="4">
        <v>3974</v>
      </c>
      <c r="S1484" s="5">
        <v>5</v>
      </c>
      <c r="T1484" s="6">
        <f t="shared" si="69"/>
        <v>3775.3</v>
      </c>
      <c r="U1484" s="4">
        <v>723.22</v>
      </c>
      <c r="V1484" t="str">
        <f t="shared" si="70"/>
        <v>Apr</v>
      </c>
      <c r="W1484">
        <f t="shared" si="71"/>
        <v>0.19156623314703466</v>
      </c>
    </row>
    <row r="1485" spans="1:23" x14ac:dyDescent="0.4">
      <c r="A1485" s="4" t="s">
        <v>3902</v>
      </c>
      <c r="B1485" s="4" t="s">
        <v>2250</v>
      </c>
      <c r="C1485" s="11">
        <v>44930</v>
      </c>
      <c r="D1485" s="4" t="s">
        <v>98</v>
      </c>
      <c r="E1485" s="4" t="s">
        <v>24</v>
      </c>
      <c r="F1485" s="4" t="s">
        <v>40</v>
      </c>
      <c r="G1485" s="4" t="s">
        <v>99</v>
      </c>
      <c r="H1485" s="4" t="s">
        <v>3903</v>
      </c>
      <c r="I1485" s="4" t="s">
        <v>28</v>
      </c>
      <c r="J1485" s="4" t="s">
        <v>79</v>
      </c>
      <c r="K1485" s="4" t="s">
        <v>86</v>
      </c>
      <c r="L1485" s="4" t="s">
        <v>1812</v>
      </c>
      <c r="M1485" s="4" t="s">
        <v>81</v>
      </c>
      <c r="N1485" s="4" t="s">
        <v>33</v>
      </c>
      <c r="O1485" s="4" t="s">
        <v>82</v>
      </c>
      <c r="P1485" s="4" t="s">
        <v>88</v>
      </c>
      <c r="Q1485" s="4">
        <v>10</v>
      </c>
      <c r="R1485" s="4">
        <v>37886</v>
      </c>
      <c r="S1485" s="5">
        <v>20</v>
      </c>
      <c r="T1485" s="6">
        <f t="shared" si="69"/>
        <v>303088</v>
      </c>
      <c r="U1485" s="4">
        <v>34249.199999999997</v>
      </c>
      <c r="V1485" t="str">
        <f t="shared" si="70"/>
        <v>Jan</v>
      </c>
      <c r="W1485">
        <f t="shared" si="71"/>
        <v>0.11300084463918068</v>
      </c>
    </row>
    <row r="1486" spans="1:23" x14ac:dyDescent="0.4">
      <c r="A1486" s="4" t="s">
        <v>3904</v>
      </c>
      <c r="B1486" s="4" t="s">
        <v>2223</v>
      </c>
      <c r="C1486" s="11">
        <v>44892</v>
      </c>
      <c r="D1486" s="4" t="s">
        <v>124</v>
      </c>
      <c r="E1486" s="4" t="s">
        <v>24</v>
      </c>
      <c r="F1486" s="4" t="s">
        <v>70</v>
      </c>
      <c r="G1486" s="4" t="s">
        <v>99</v>
      </c>
      <c r="H1486" s="4" t="s">
        <v>3905</v>
      </c>
      <c r="I1486" s="4" t="s">
        <v>43</v>
      </c>
      <c r="J1486" s="4" t="s">
        <v>79</v>
      </c>
      <c r="K1486" s="4" t="s">
        <v>63</v>
      </c>
      <c r="L1486" s="4" t="s">
        <v>1709</v>
      </c>
      <c r="M1486" s="4" t="s">
        <v>53</v>
      </c>
      <c r="N1486" s="4" t="s">
        <v>54</v>
      </c>
      <c r="O1486" s="4" t="s">
        <v>66</v>
      </c>
      <c r="P1486" s="4" t="s">
        <v>47</v>
      </c>
      <c r="Q1486" s="4">
        <v>7</v>
      </c>
      <c r="R1486" s="4">
        <v>7756</v>
      </c>
      <c r="S1486" s="5">
        <v>20</v>
      </c>
      <c r="T1486" s="6">
        <f t="shared" si="69"/>
        <v>43433.599999999999</v>
      </c>
      <c r="U1486" s="4">
        <v>-1951.32</v>
      </c>
      <c r="V1486" t="str">
        <f t="shared" si="70"/>
        <v>Nov</v>
      </c>
      <c r="W1486">
        <f t="shared" si="71"/>
        <v>-4.4926508509541004E-2</v>
      </c>
    </row>
    <row r="1487" spans="1:23" x14ac:dyDescent="0.4">
      <c r="A1487" s="4" t="s">
        <v>3906</v>
      </c>
      <c r="B1487" s="4" t="s">
        <v>206</v>
      </c>
      <c r="C1487" s="11">
        <v>44945</v>
      </c>
      <c r="D1487" s="4" t="s">
        <v>39</v>
      </c>
      <c r="E1487" s="4" t="s">
        <v>24</v>
      </c>
      <c r="F1487" s="4" t="s">
        <v>40</v>
      </c>
      <c r="G1487" s="4" t="s">
        <v>92</v>
      </c>
      <c r="H1487" s="4" t="s">
        <v>3907</v>
      </c>
      <c r="I1487" s="4" t="s">
        <v>28</v>
      </c>
      <c r="J1487" s="4" t="s">
        <v>29</v>
      </c>
      <c r="K1487" s="4" t="s">
        <v>153</v>
      </c>
      <c r="L1487" s="4" t="s">
        <v>110</v>
      </c>
      <c r="M1487" s="4" t="s">
        <v>32</v>
      </c>
      <c r="N1487" s="4" t="s">
        <v>54</v>
      </c>
      <c r="O1487" s="4" t="s">
        <v>46</v>
      </c>
      <c r="P1487" s="4" t="s">
        <v>47</v>
      </c>
      <c r="Q1487" s="4">
        <v>6</v>
      </c>
      <c r="R1487" s="4">
        <v>31391</v>
      </c>
      <c r="S1487" s="5">
        <v>10</v>
      </c>
      <c r="T1487" s="6">
        <f t="shared" si="69"/>
        <v>169511.4</v>
      </c>
      <c r="U1487" s="4">
        <v>23711.29</v>
      </c>
      <c r="V1487" t="str">
        <f t="shared" si="70"/>
        <v>Jan</v>
      </c>
      <c r="W1487">
        <f t="shared" si="71"/>
        <v>0.13988020864673409</v>
      </c>
    </row>
    <row r="1488" spans="1:23" x14ac:dyDescent="0.4">
      <c r="A1488" s="4" t="s">
        <v>3908</v>
      </c>
      <c r="B1488" s="4" t="s">
        <v>1286</v>
      </c>
      <c r="C1488" s="11">
        <v>45331</v>
      </c>
      <c r="D1488" s="4" t="s">
        <v>98</v>
      </c>
      <c r="E1488" s="4" t="s">
        <v>24</v>
      </c>
      <c r="F1488" s="4" t="s">
        <v>26</v>
      </c>
      <c r="G1488" s="4" t="s">
        <v>59</v>
      </c>
      <c r="H1488" s="4" t="s">
        <v>3909</v>
      </c>
      <c r="I1488" s="4" t="s">
        <v>43</v>
      </c>
      <c r="J1488" s="4" t="s">
        <v>79</v>
      </c>
      <c r="K1488" s="4" t="s">
        <v>153</v>
      </c>
      <c r="L1488" s="4" t="s">
        <v>1486</v>
      </c>
      <c r="M1488" s="4" t="s">
        <v>32</v>
      </c>
      <c r="N1488" s="4" t="s">
        <v>54</v>
      </c>
      <c r="O1488" s="4" t="s">
        <v>46</v>
      </c>
      <c r="P1488" s="4" t="s">
        <v>47</v>
      </c>
      <c r="Q1488" s="4">
        <v>6</v>
      </c>
      <c r="R1488" s="4">
        <v>41555</v>
      </c>
      <c r="S1488" s="5">
        <v>15</v>
      </c>
      <c r="T1488" s="6">
        <f t="shared" si="69"/>
        <v>211930.5</v>
      </c>
      <c r="U1488" s="4">
        <v>25719.33</v>
      </c>
      <c r="V1488" t="str">
        <f t="shared" si="70"/>
        <v>Feb</v>
      </c>
      <c r="W1488">
        <f t="shared" si="71"/>
        <v>0.12135737895206213</v>
      </c>
    </row>
    <row r="1489" spans="1:23" x14ac:dyDescent="0.4">
      <c r="A1489" s="4" t="s">
        <v>3910</v>
      </c>
      <c r="B1489" s="4" t="s">
        <v>721</v>
      </c>
      <c r="C1489" s="11">
        <v>44795</v>
      </c>
      <c r="D1489" s="4" t="s">
        <v>98</v>
      </c>
      <c r="E1489" s="4" t="s">
        <v>24</v>
      </c>
      <c r="F1489" s="4" t="s">
        <v>40</v>
      </c>
      <c r="G1489" s="4" t="s">
        <v>92</v>
      </c>
      <c r="H1489" s="4" t="s">
        <v>3911</v>
      </c>
      <c r="I1489" s="4" t="s">
        <v>61</v>
      </c>
      <c r="J1489" s="4" t="s">
        <v>29</v>
      </c>
      <c r="K1489" s="4" t="s">
        <v>101</v>
      </c>
      <c r="L1489" s="4" t="s">
        <v>80</v>
      </c>
      <c r="M1489" s="4" t="s">
        <v>95</v>
      </c>
      <c r="N1489" s="4" t="s">
        <v>54</v>
      </c>
      <c r="O1489" s="4" t="s">
        <v>46</v>
      </c>
      <c r="P1489" s="4" t="s">
        <v>88</v>
      </c>
      <c r="Q1489" s="4">
        <v>1</v>
      </c>
      <c r="R1489" s="4">
        <v>14447</v>
      </c>
      <c r="S1489" s="5">
        <v>10</v>
      </c>
      <c r="T1489" s="6">
        <f t="shared" si="69"/>
        <v>13002.3</v>
      </c>
      <c r="U1489" s="4">
        <v>-109.59</v>
      </c>
      <c r="V1489" t="str">
        <f t="shared" si="70"/>
        <v>Aug</v>
      </c>
      <c r="W1489">
        <f t="shared" si="71"/>
        <v>-8.4285088022888269E-3</v>
      </c>
    </row>
    <row r="1490" spans="1:23" x14ac:dyDescent="0.4">
      <c r="A1490" s="4" t="s">
        <v>3912</v>
      </c>
      <c r="B1490" s="4" t="s">
        <v>179</v>
      </c>
      <c r="C1490" s="11">
        <v>44677</v>
      </c>
      <c r="D1490" s="4" t="s">
        <v>98</v>
      </c>
      <c r="E1490" s="4" t="s">
        <v>24</v>
      </c>
      <c r="F1490" s="4" t="s">
        <v>58</v>
      </c>
      <c r="G1490" s="4" t="s">
        <v>59</v>
      </c>
      <c r="H1490" s="4" t="s">
        <v>3913</v>
      </c>
      <c r="I1490" s="4" t="s">
        <v>61</v>
      </c>
      <c r="J1490" s="4" t="s">
        <v>29</v>
      </c>
      <c r="K1490" s="4" t="s">
        <v>30</v>
      </c>
      <c r="L1490" s="4" t="s">
        <v>476</v>
      </c>
      <c r="M1490" s="4" t="s">
        <v>53</v>
      </c>
      <c r="N1490" s="4" t="s">
        <v>54</v>
      </c>
      <c r="O1490" s="4" t="s">
        <v>34</v>
      </c>
      <c r="P1490" s="4" t="s">
        <v>88</v>
      </c>
      <c r="Q1490" s="4">
        <v>10</v>
      </c>
      <c r="R1490" s="4">
        <v>9389</v>
      </c>
      <c r="S1490" s="5">
        <v>10</v>
      </c>
      <c r="T1490" s="6">
        <f t="shared" si="69"/>
        <v>84501</v>
      </c>
      <c r="U1490" s="4">
        <v>2927.42</v>
      </c>
      <c r="V1490" t="str">
        <f t="shared" si="70"/>
        <v>Apr</v>
      </c>
      <c r="W1490">
        <f t="shared" si="71"/>
        <v>3.4643613685045149E-2</v>
      </c>
    </row>
    <row r="1491" spans="1:23" x14ac:dyDescent="0.4">
      <c r="A1491" s="4" t="s">
        <v>3914</v>
      </c>
      <c r="B1491" s="4" t="s">
        <v>3000</v>
      </c>
      <c r="C1491" s="11">
        <v>44872</v>
      </c>
      <c r="D1491" s="4" t="s">
        <v>124</v>
      </c>
      <c r="E1491" s="4" t="s">
        <v>24</v>
      </c>
      <c r="F1491" s="4" t="s">
        <v>58</v>
      </c>
      <c r="G1491" s="4" t="s">
        <v>99</v>
      </c>
      <c r="H1491" s="4" t="s">
        <v>3915</v>
      </c>
      <c r="I1491" s="4" t="s">
        <v>61</v>
      </c>
      <c r="J1491" s="4" t="s">
        <v>29</v>
      </c>
      <c r="K1491" s="4" t="s">
        <v>30</v>
      </c>
      <c r="L1491" s="4" t="s">
        <v>956</v>
      </c>
      <c r="M1491" s="4" t="s">
        <v>32</v>
      </c>
      <c r="N1491" s="4" t="s">
        <v>33</v>
      </c>
      <c r="O1491" s="4" t="s">
        <v>120</v>
      </c>
      <c r="P1491" s="4" t="s">
        <v>74</v>
      </c>
      <c r="Q1491" s="4">
        <v>3</v>
      </c>
      <c r="R1491" s="4">
        <v>4109</v>
      </c>
      <c r="S1491" s="5">
        <v>0</v>
      </c>
      <c r="T1491" s="6">
        <f t="shared" si="69"/>
        <v>12327</v>
      </c>
      <c r="U1491" s="4">
        <v>1102.53</v>
      </c>
      <c r="V1491" t="str">
        <f t="shared" si="70"/>
        <v>Oct</v>
      </c>
      <c r="W1491">
        <f t="shared" si="71"/>
        <v>8.9440253102944747E-2</v>
      </c>
    </row>
    <row r="1492" spans="1:23" x14ac:dyDescent="0.4">
      <c r="A1492" s="4" t="s">
        <v>3916</v>
      </c>
      <c r="B1492" s="4" t="s">
        <v>1945</v>
      </c>
      <c r="C1492" s="11">
        <v>44971</v>
      </c>
      <c r="D1492" s="4" t="s">
        <v>39</v>
      </c>
      <c r="E1492" s="4" t="s">
        <v>24</v>
      </c>
      <c r="F1492" s="4" t="s">
        <v>58</v>
      </c>
      <c r="G1492" s="4" t="s">
        <v>41</v>
      </c>
      <c r="H1492" s="4" t="s">
        <v>3917</v>
      </c>
      <c r="I1492" s="4" t="s">
        <v>61</v>
      </c>
      <c r="J1492" s="4" t="s">
        <v>62</v>
      </c>
      <c r="K1492" s="4" t="s">
        <v>63</v>
      </c>
      <c r="L1492" s="4" t="s">
        <v>1278</v>
      </c>
      <c r="M1492" s="4" t="s">
        <v>53</v>
      </c>
      <c r="N1492" s="4" t="s">
        <v>33</v>
      </c>
      <c r="O1492" s="4" t="s">
        <v>34</v>
      </c>
      <c r="P1492" s="4" t="s">
        <v>47</v>
      </c>
      <c r="Q1492" s="4">
        <v>4</v>
      </c>
      <c r="R1492" s="4">
        <v>35680</v>
      </c>
      <c r="S1492" s="5">
        <v>0</v>
      </c>
      <c r="T1492" s="6">
        <f t="shared" si="69"/>
        <v>142720</v>
      </c>
      <c r="U1492" s="4">
        <v>29448.43</v>
      </c>
      <c r="V1492" t="str">
        <f t="shared" si="70"/>
        <v>Feb</v>
      </c>
      <c r="W1492">
        <f t="shared" si="71"/>
        <v>0.20633709360986546</v>
      </c>
    </row>
    <row r="1493" spans="1:23" x14ac:dyDescent="0.4">
      <c r="A1493" s="4" t="s">
        <v>3918</v>
      </c>
      <c r="B1493" s="4" t="s">
        <v>1237</v>
      </c>
      <c r="C1493" s="11">
        <v>44743</v>
      </c>
      <c r="D1493" s="4" t="s">
        <v>39</v>
      </c>
      <c r="E1493" s="4" t="s">
        <v>24</v>
      </c>
      <c r="F1493" s="4" t="s">
        <v>40</v>
      </c>
      <c r="G1493" s="4" t="s">
        <v>26</v>
      </c>
      <c r="H1493" s="4" t="s">
        <v>3919</v>
      </c>
      <c r="I1493" s="4" t="s">
        <v>43</v>
      </c>
      <c r="J1493" s="4" t="s">
        <v>29</v>
      </c>
      <c r="K1493" s="4" t="s">
        <v>63</v>
      </c>
      <c r="L1493" s="4" t="s">
        <v>1921</v>
      </c>
      <c r="M1493" s="4" t="s">
        <v>65</v>
      </c>
      <c r="N1493" s="4" t="s">
        <v>33</v>
      </c>
      <c r="O1493" s="4" t="s">
        <v>82</v>
      </c>
      <c r="P1493" s="4" t="s">
        <v>88</v>
      </c>
      <c r="Q1493" s="4">
        <v>9</v>
      </c>
      <c r="R1493" s="4">
        <v>9230</v>
      </c>
      <c r="S1493" s="5">
        <v>15</v>
      </c>
      <c r="T1493" s="6">
        <f t="shared" si="69"/>
        <v>70609.5</v>
      </c>
      <c r="U1493" s="4">
        <v>4150.7</v>
      </c>
      <c r="V1493" t="str">
        <f t="shared" si="70"/>
        <v>Jun</v>
      </c>
      <c r="W1493">
        <f t="shared" si="71"/>
        <v>5.8783874691082642E-2</v>
      </c>
    </row>
    <row r="1494" spans="1:23" x14ac:dyDescent="0.4">
      <c r="A1494" s="4" t="s">
        <v>3920</v>
      </c>
      <c r="B1494" s="4" t="s">
        <v>412</v>
      </c>
      <c r="C1494" s="11">
        <v>45035</v>
      </c>
      <c r="D1494" s="4" t="s">
        <v>23</v>
      </c>
      <c r="E1494" s="4" t="s">
        <v>24</v>
      </c>
      <c r="F1494" s="4" t="s">
        <v>40</v>
      </c>
      <c r="G1494" s="4" t="s">
        <v>59</v>
      </c>
      <c r="H1494" s="4" t="s">
        <v>3350</v>
      </c>
      <c r="I1494" s="4" t="s">
        <v>28</v>
      </c>
      <c r="J1494" s="4" t="s">
        <v>62</v>
      </c>
      <c r="K1494" s="4" t="s">
        <v>153</v>
      </c>
      <c r="L1494" s="4" t="s">
        <v>980</v>
      </c>
      <c r="M1494" s="4" t="s">
        <v>95</v>
      </c>
      <c r="N1494" s="4" t="s">
        <v>33</v>
      </c>
      <c r="O1494" s="4" t="s">
        <v>46</v>
      </c>
      <c r="P1494" s="4" t="s">
        <v>74</v>
      </c>
      <c r="Q1494" s="4">
        <v>1</v>
      </c>
      <c r="R1494" s="4">
        <v>27331</v>
      </c>
      <c r="S1494" s="5">
        <v>10</v>
      </c>
      <c r="T1494" s="6">
        <f t="shared" si="69"/>
        <v>24597.9</v>
      </c>
      <c r="U1494" s="4">
        <v>-1343.39</v>
      </c>
      <c r="V1494" t="str">
        <f t="shared" si="70"/>
        <v>Apr</v>
      </c>
      <c r="W1494">
        <f t="shared" si="71"/>
        <v>-5.4614011765231993E-2</v>
      </c>
    </row>
    <row r="1495" spans="1:23" x14ac:dyDescent="0.4">
      <c r="A1495" s="4" t="s">
        <v>3921</v>
      </c>
      <c r="B1495" s="4" t="s">
        <v>3501</v>
      </c>
      <c r="C1495" s="11">
        <v>44891</v>
      </c>
      <c r="D1495" s="4" t="s">
        <v>124</v>
      </c>
      <c r="E1495" s="4" t="s">
        <v>24</v>
      </c>
      <c r="F1495" s="4" t="s">
        <v>58</v>
      </c>
      <c r="G1495" s="4" t="s">
        <v>99</v>
      </c>
      <c r="H1495" s="4" t="s">
        <v>3922</v>
      </c>
      <c r="I1495" s="4" t="s">
        <v>43</v>
      </c>
      <c r="J1495" s="4" t="s">
        <v>79</v>
      </c>
      <c r="K1495" s="4" t="s">
        <v>30</v>
      </c>
      <c r="L1495" s="4" t="s">
        <v>251</v>
      </c>
      <c r="M1495" s="4" t="s">
        <v>95</v>
      </c>
      <c r="N1495" s="4" t="s">
        <v>54</v>
      </c>
      <c r="O1495" s="4" t="s">
        <v>82</v>
      </c>
      <c r="P1495" s="4" t="s">
        <v>74</v>
      </c>
      <c r="Q1495" s="4">
        <v>7</v>
      </c>
      <c r="R1495" s="4">
        <v>27908</v>
      </c>
      <c r="S1495" s="5">
        <v>20</v>
      </c>
      <c r="T1495" s="6">
        <f t="shared" si="69"/>
        <v>156284.79999999999</v>
      </c>
      <c r="U1495" s="4">
        <v>15470.32</v>
      </c>
      <c r="V1495" t="str">
        <f t="shared" si="70"/>
        <v>Nov</v>
      </c>
      <c r="W1495">
        <f t="shared" si="71"/>
        <v>9.8988001392329911E-2</v>
      </c>
    </row>
    <row r="1496" spans="1:23" x14ac:dyDescent="0.4">
      <c r="A1496" s="4" t="s">
        <v>3923</v>
      </c>
      <c r="B1496" s="4" t="s">
        <v>3924</v>
      </c>
      <c r="C1496" s="11">
        <v>45175</v>
      </c>
      <c r="D1496" s="4" t="s">
        <v>98</v>
      </c>
      <c r="E1496" s="4" t="s">
        <v>24</v>
      </c>
      <c r="F1496" s="4" t="s">
        <v>70</v>
      </c>
      <c r="G1496" s="4" t="s">
        <v>99</v>
      </c>
      <c r="H1496" s="4" t="s">
        <v>3925</v>
      </c>
      <c r="I1496" s="4" t="s">
        <v>61</v>
      </c>
      <c r="J1496" s="4" t="s">
        <v>29</v>
      </c>
      <c r="K1496" s="4" t="s">
        <v>153</v>
      </c>
      <c r="L1496" s="4" t="s">
        <v>319</v>
      </c>
      <c r="M1496" s="4" t="s">
        <v>95</v>
      </c>
      <c r="N1496" s="4" t="s">
        <v>33</v>
      </c>
      <c r="O1496" s="4" t="s">
        <v>66</v>
      </c>
      <c r="P1496" s="4" t="s">
        <v>47</v>
      </c>
      <c r="Q1496" s="4">
        <v>5</v>
      </c>
      <c r="R1496" s="4">
        <v>40842</v>
      </c>
      <c r="S1496" s="5">
        <v>20</v>
      </c>
      <c r="T1496" s="6">
        <f t="shared" si="69"/>
        <v>163368</v>
      </c>
      <c r="U1496" s="4">
        <v>14502.56</v>
      </c>
      <c r="V1496" t="str">
        <f t="shared" si="70"/>
        <v>Aug</v>
      </c>
      <c r="W1496">
        <f t="shared" si="71"/>
        <v>8.8772342196758239E-2</v>
      </c>
    </row>
    <row r="1497" spans="1:23" x14ac:dyDescent="0.4">
      <c r="A1497" s="4" t="s">
        <v>3926</v>
      </c>
      <c r="B1497" s="4" t="s">
        <v>3557</v>
      </c>
      <c r="C1497" s="11">
        <v>44919</v>
      </c>
      <c r="D1497" s="4" t="s">
        <v>23</v>
      </c>
      <c r="E1497" s="4" t="s">
        <v>24</v>
      </c>
      <c r="F1497" s="4" t="s">
        <v>26</v>
      </c>
      <c r="G1497" s="4" t="s">
        <v>92</v>
      </c>
      <c r="H1497" s="4" t="s">
        <v>1502</v>
      </c>
      <c r="I1497" s="4" t="s">
        <v>28</v>
      </c>
      <c r="J1497" s="4" t="s">
        <v>29</v>
      </c>
      <c r="K1497" s="4" t="s">
        <v>44</v>
      </c>
      <c r="L1497" s="4" t="s">
        <v>457</v>
      </c>
      <c r="M1497" s="4" t="s">
        <v>95</v>
      </c>
      <c r="N1497" s="4" t="s">
        <v>33</v>
      </c>
      <c r="O1497" s="4" t="s">
        <v>34</v>
      </c>
      <c r="P1497" s="4" t="s">
        <v>74</v>
      </c>
      <c r="Q1497" s="4">
        <v>10</v>
      </c>
      <c r="R1497" s="4">
        <v>28951</v>
      </c>
      <c r="S1497" s="5">
        <v>10</v>
      </c>
      <c r="T1497" s="6">
        <f t="shared" si="69"/>
        <v>260559</v>
      </c>
      <c r="U1497" s="4">
        <v>46493.17</v>
      </c>
      <c r="V1497" t="str">
        <f t="shared" si="70"/>
        <v>Dec</v>
      </c>
      <c r="W1497">
        <f t="shared" si="71"/>
        <v>0.17843624668501185</v>
      </c>
    </row>
    <row r="1498" spans="1:23" x14ac:dyDescent="0.4">
      <c r="A1498" s="4" t="s">
        <v>3927</v>
      </c>
      <c r="B1498" s="4" t="s">
        <v>3001</v>
      </c>
      <c r="C1498" s="11">
        <v>44872</v>
      </c>
      <c r="D1498" s="4" t="s">
        <v>98</v>
      </c>
      <c r="E1498" s="4" t="s">
        <v>24</v>
      </c>
      <c r="F1498" s="4" t="s">
        <v>70</v>
      </c>
      <c r="G1498" s="4" t="s">
        <v>41</v>
      </c>
      <c r="H1498" s="4" t="s">
        <v>3928</v>
      </c>
      <c r="I1498" s="4" t="s">
        <v>28</v>
      </c>
      <c r="J1498" s="4" t="s">
        <v>79</v>
      </c>
      <c r="K1498" s="4" t="s">
        <v>86</v>
      </c>
      <c r="L1498" s="4" t="s">
        <v>223</v>
      </c>
      <c r="M1498" s="4" t="s">
        <v>65</v>
      </c>
      <c r="N1498" s="4" t="s">
        <v>33</v>
      </c>
      <c r="O1498" s="4" t="s">
        <v>66</v>
      </c>
      <c r="P1498" s="4" t="s">
        <v>47</v>
      </c>
      <c r="Q1498" s="4">
        <v>9</v>
      </c>
      <c r="R1498" s="4">
        <v>47065</v>
      </c>
      <c r="S1498" s="5">
        <v>15</v>
      </c>
      <c r="T1498" s="6">
        <f t="shared" si="69"/>
        <v>360047.25</v>
      </c>
      <c r="U1498" s="4">
        <v>9282.84</v>
      </c>
      <c r="V1498" t="str">
        <f t="shared" si="70"/>
        <v>Oct</v>
      </c>
      <c r="W1498">
        <f t="shared" si="71"/>
        <v>2.5782282742056774E-2</v>
      </c>
    </row>
    <row r="1499" spans="1:23" x14ac:dyDescent="0.4">
      <c r="A1499" s="4" t="s">
        <v>3929</v>
      </c>
      <c r="B1499" s="4" t="s">
        <v>848</v>
      </c>
      <c r="C1499" s="11">
        <v>45022</v>
      </c>
      <c r="D1499" s="4" t="s">
        <v>39</v>
      </c>
      <c r="E1499" s="4" t="s">
        <v>24</v>
      </c>
      <c r="F1499" s="4" t="s">
        <v>25</v>
      </c>
      <c r="G1499" s="4" t="s">
        <v>99</v>
      </c>
      <c r="H1499" s="4" t="s">
        <v>930</v>
      </c>
      <c r="I1499" s="4" t="s">
        <v>61</v>
      </c>
      <c r="J1499" s="4" t="s">
        <v>79</v>
      </c>
      <c r="K1499" s="4" t="s">
        <v>30</v>
      </c>
      <c r="L1499" s="4" t="s">
        <v>1709</v>
      </c>
      <c r="M1499" s="4" t="s">
        <v>65</v>
      </c>
      <c r="N1499" s="4" t="s">
        <v>33</v>
      </c>
      <c r="O1499" s="4" t="s">
        <v>66</v>
      </c>
      <c r="P1499" s="4" t="s">
        <v>74</v>
      </c>
      <c r="Q1499" s="4">
        <v>10</v>
      </c>
      <c r="R1499" s="4">
        <v>19558</v>
      </c>
      <c r="S1499" s="5">
        <v>15</v>
      </c>
      <c r="T1499" s="6">
        <f t="shared" si="69"/>
        <v>166243</v>
      </c>
      <c r="U1499" s="4">
        <v>22479.35</v>
      </c>
      <c r="V1499" t="str">
        <f t="shared" si="70"/>
        <v>Apr</v>
      </c>
      <c r="W1499">
        <f t="shared" si="71"/>
        <v>0.13521982880482186</v>
      </c>
    </row>
    <row r="1500" spans="1:23" x14ac:dyDescent="0.4">
      <c r="A1500" s="4" t="s">
        <v>3930</v>
      </c>
      <c r="B1500" s="4" t="s">
        <v>1751</v>
      </c>
      <c r="C1500" s="11">
        <v>45240</v>
      </c>
      <c r="D1500" s="4" t="s">
        <v>124</v>
      </c>
      <c r="E1500" s="4" t="s">
        <v>24</v>
      </c>
      <c r="F1500" s="4" t="s">
        <v>26</v>
      </c>
      <c r="G1500" s="4" t="s">
        <v>26</v>
      </c>
      <c r="H1500" s="4" t="s">
        <v>3931</v>
      </c>
      <c r="I1500" s="4" t="s">
        <v>28</v>
      </c>
      <c r="J1500" s="4" t="s">
        <v>62</v>
      </c>
      <c r="K1500" s="4" t="s">
        <v>30</v>
      </c>
      <c r="L1500" s="4" t="s">
        <v>339</v>
      </c>
      <c r="M1500" s="4" t="s">
        <v>53</v>
      </c>
      <c r="N1500" s="4" t="s">
        <v>54</v>
      </c>
      <c r="O1500" s="4" t="s">
        <v>34</v>
      </c>
      <c r="P1500" s="4" t="s">
        <v>47</v>
      </c>
      <c r="Q1500" s="4">
        <v>10</v>
      </c>
      <c r="R1500" s="4">
        <v>3819</v>
      </c>
      <c r="S1500" s="5">
        <v>0</v>
      </c>
      <c r="T1500" s="6">
        <f t="shared" si="69"/>
        <v>38190</v>
      </c>
      <c r="U1500" s="4">
        <v>4559.9799999999996</v>
      </c>
      <c r="V1500" t="str">
        <f t="shared" si="70"/>
        <v>Nov</v>
      </c>
      <c r="W1500">
        <f t="shared" si="71"/>
        <v>0.1194024613773239</v>
      </c>
    </row>
    <row r="1501" spans="1:23" x14ac:dyDescent="0.4">
      <c r="A1501" s="4" t="s">
        <v>3932</v>
      </c>
      <c r="B1501" s="4" t="s">
        <v>1603</v>
      </c>
      <c r="C1501" s="11">
        <v>45534</v>
      </c>
      <c r="D1501" s="4" t="s">
        <v>124</v>
      </c>
      <c r="E1501" s="4" t="s">
        <v>24</v>
      </c>
      <c r="F1501" s="4" t="s">
        <v>70</v>
      </c>
      <c r="G1501" s="4" t="s">
        <v>92</v>
      </c>
      <c r="H1501" s="4" t="s">
        <v>3933</v>
      </c>
      <c r="I1501" s="4" t="s">
        <v>43</v>
      </c>
      <c r="J1501" s="4" t="s">
        <v>62</v>
      </c>
      <c r="K1501" s="4" t="s">
        <v>101</v>
      </c>
      <c r="L1501" s="4" t="s">
        <v>1415</v>
      </c>
      <c r="M1501" s="4" t="s">
        <v>95</v>
      </c>
      <c r="N1501" s="4" t="s">
        <v>54</v>
      </c>
      <c r="O1501" s="4" t="s">
        <v>66</v>
      </c>
      <c r="P1501" s="4" t="s">
        <v>35</v>
      </c>
      <c r="Q1501" s="4">
        <v>7</v>
      </c>
      <c r="R1501" s="4">
        <v>15678</v>
      </c>
      <c r="S1501" s="5">
        <v>0</v>
      </c>
      <c r="T1501" s="6">
        <f t="shared" si="69"/>
        <v>109746</v>
      </c>
      <c r="U1501" s="4">
        <v>10965.1</v>
      </c>
      <c r="V1501" t="str">
        <f t="shared" si="70"/>
        <v>Aug</v>
      </c>
      <c r="W1501">
        <f t="shared" si="71"/>
        <v>9.9913436480600665E-2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8"/>
  <sheetViews>
    <sheetView workbookViewId="0">
      <selection activeCell="G20" sqref="G20"/>
    </sheetView>
  </sheetViews>
  <sheetFormatPr defaultRowHeight="14.6" x14ac:dyDescent="0.4"/>
  <sheetData>
    <row r="1" spans="1:1" ht="18.45" x14ac:dyDescent="0.5">
      <c r="A1" s="2" t="s">
        <v>3934</v>
      </c>
    </row>
    <row r="3" spans="1:1" x14ac:dyDescent="0.4">
      <c r="A3" t="s">
        <v>3935</v>
      </c>
    </row>
    <row r="4" spans="1:1" x14ac:dyDescent="0.4">
      <c r="A4" t="s">
        <v>3936</v>
      </c>
    </row>
    <row r="6" spans="1:1" x14ac:dyDescent="0.4">
      <c r="A6" t="s">
        <v>3937</v>
      </c>
    </row>
    <row r="7" spans="1:1" x14ac:dyDescent="0.4">
      <c r="A7" t="s">
        <v>3938</v>
      </c>
    </row>
    <row r="8" spans="1:1" x14ac:dyDescent="0.4">
      <c r="A8" t="s">
        <v>3939</v>
      </c>
    </row>
    <row r="9" spans="1:1" x14ac:dyDescent="0.4">
      <c r="A9" t="s">
        <v>3940</v>
      </c>
    </row>
    <row r="10" spans="1:1" x14ac:dyDescent="0.4">
      <c r="A10" t="s">
        <v>3941</v>
      </c>
    </row>
    <row r="11" spans="1:1" x14ac:dyDescent="0.4">
      <c r="A11" t="s">
        <v>3942</v>
      </c>
    </row>
    <row r="13" spans="1:1" x14ac:dyDescent="0.4">
      <c r="A13" t="s">
        <v>3943</v>
      </c>
    </row>
    <row r="14" spans="1:1" x14ac:dyDescent="0.4">
      <c r="A14" t="s">
        <v>3944</v>
      </c>
    </row>
    <row r="15" spans="1:1" x14ac:dyDescent="0.4">
      <c r="A15" t="s">
        <v>3945</v>
      </c>
    </row>
    <row r="16" spans="1:1" x14ac:dyDescent="0.4">
      <c r="A16" t="s">
        <v>3946</v>
      </c>
    </row>
    <row r="17" spans="1:1" x14ac:dyDescent="0.4">
      <c r="A17" t="s">
        <v>3947</v>
      </c>
    </row>
    <row r="18" spans="1:1" x14ac:dyDescent="0.4">
      <c r="A18" t="s">
        <v>3948</v>
      </c>
    </row>
    <row r="20" spans="1:1" x14ac:dyDescent="0.4">
      <c r="A20" t="s">
        <v>3949</v>
      </c>
    </row>
    <row r="21" spans="1:1" x14ac:dyDescent="0.4">
      <c r="A21" t="s">
        <v>3950</v>
      </c>
    </row>
    <row r="22" spans="1:1" x14ac:dyDescent="0.4">
      <c r="A22" t="s">
        <v>3951</v>
      </c>
    </row>
    <row r="23" spans="1:1" x14ac:dyDescent="0.4">
      <c r="A23" t="s">
        <v>3952</v>
      </c>
    </row>
    <row r="24" spans="1:1" x14ac:dyDescent="0.4">
      <c r="A24" t="s">
        <v>3953</v>
      </c>
    </row>
    <row r="25" spans="1:1" x14ac:dyDescent="0.4">
      <c r="A25" t="s">
        <v>3954</v>
      </c>
    </row>
    <row r="27" spans="1:1" x14ac:dyDescent="0.4">
      <c r="A27" t="s">
        <v>3955</v>
      </c>
    </row>
    <row r="28" spans="1:1" x14ac:dyDescent="0.4">
      <c r="A28" t="s">
        <v>3956</v>
      </c>
    </row>
    <row r="29" spans="1:1" x14ac:dyDescent="0.4">
      <c r="A29" t="s">
        <v>3957</v>
      </c>
    </row>
    <row r="30" spans="1:1" x14ac:dyDescent="0.4">
      <c r="A30" t="s">
        <v>3958</v>
      </c>
    </row>
    <row r="31" spans="1:1" x14ac:dyDescent="0.4">
      <c r="A31" t="s">
        <v>3959</v>
      </c>
    </row>
    <row r="32" spans="1:1" x14ac:dyDescent="0.4">
      <c r="A32" t="s">
        <v>3960</v>
      </c>
    </row>
    <row r="34" spans="1:1" x14ac:dyDescent="0.4">
      <c r="A34" t="s">
        <v>3961</v>
      </c>
    </row>
    <row r="35" spans="1:1" x14ac:dyDescent="0.4">
      <c r="A35" t="s">
        <v>3962</v>
      </c>
    </row>
    <row r="36" spans="1:1" x14ac:dyDescent="0.4">
      <c r="A36" t="s">
        <v>3963</v>
      </c>
    </row>
    <row r="37" spans="1:1" x14ac:dyDescent="0.4">
      <c r="A37" t="s">
        <v>3964</v>
      </c>
    </row>
    <row r="38" spans="1:1" x14ac:dyDescent="0.4">
      <c r="A38" t="s">
        <v>3965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election activeCell="F25" sqref="F25"/>
    </sheetView>
  </sheetViews>
  <sheetFormatPr defaultRowHeight="14.6" x14ac:dyDescent="0.4"/>
  <cols>
    <col min="1" max="1" width="17.53515625" customWidth="1"/>
    <col min="2" max="2" width="26.765625" bestFit="1" customWidth="1"/>
  </cols>
  <sheetData>
    <row r="1" spans="1:2" x14ac:dyDescent="0.4">
      <c r="A1" s="1" t="s">
        <v>3966</v>
      </c>
      <c r="B1" s="1" t="s">
        <v>3967</v>
      </c>
    </row>
    <row r="2" spans="1:2" x14ac:dyDescent="0.4">
      <c r="A2" t="s">
        <v>0</v>
      </c>
      <c r="B2" t="s">
        <v>3968</v>
      </c>
    </row>
    <row r="3" spans="1:2" x14ac:dyDescent="0.4">
      <c r="A3" t="s">
        <v>1</v>
      </c>
      <c r="B3" t="s">
        <v>3969</v>
      </c>
    </row>
    <row r="4" spans="1:2" x14ac:dyDescent="0.4">
      <c r="A4" t="s">
        <v>2</v>
      </c>
      <c r="B4" t="s">
        <v>3970</v>
      </c>
    </row>
    <row r="5" spans="1:2" x14ac:dyDescent="0.4">
      <c r="A5" t="s">
        <v>3</v>
      </c>
      <c r="B5" t="s">
        <v>3971</v>
      </c>
    </row>
    <row r="6" spans="1:2" x14ac:dyDescent="0.4">
      <c r="A6" t="s">
        <v>4</v>
      </c>
      <c r="B6" t="s">
        <v>3972</v>
      </c>
    </row>
    <row r="7" spans="1:2" x14ac:dyDescent="0.4">
      <c r="A7" t="s">
        <v>5</v>
      </c>
      <c r="B7" t="s">
        <v>3973</v>
      </c>
    </row>
    <row r="8" spans="1:2" x14ac:dyDescent="0.4">
      <c r="A8" t="s">
        <v>6</v>
      </c>
      <c r="B8" t="s">
        <v>3974</v>
      </c>
    </row>
    <row r="9" spans="1:2" x14ac:dyDescent="0.4">
      <c r="A9" t="s">
        <v>7</v>
      </c>
      <c r="B9" t="s">
        <v>3975</v>
      </c>
    </row>
    <row r="10" spans="1:2" x14ac:dyDescent="0.4">
      <c r="A10" t="s">
        <v>8</v>
      </c>
      <c r="B10" t="s">
        <v>3976</v>
      </c>
    </row>
    <row r="11" spans="1:2" x14ac:dyDescent="0.4">
      <c r="A11" t="s">
        <v>9</v>
      </c>
      <c r="B11" t="s">
        <v>3977</v>
      </c>
    </row>
    <row r="12" spans="1:2" x14ac:dyDescent="0.4">
      <c r="A12" t="s">
        <v>10</v>
      </c>
      <c r="B12" t="s">
        <v>3978</v>
      </c>
    </row>
    <row r="13" spans="1:2" x14ac:dyDescent="0.4">
      <c r="A13" t="s">
        <v>11</v>
      </c>
      <c r="B13" t="s">
        <v>3979</v>
      </c>
    </row>
    <row r="14" spans="1:2" x14ac:dyDescent="0.4">
      <c r="A14" t="s">
        <v>12</v>
      </c>
      <c r="B14" t="s">
        <v>3980</v>
      </c>
    </row>
    <row r="15" spans="1:2" x14ac:dyDescent="0.4">
      <c r="A15" t="s">
        <v>13</v>
      </c>
      <c r="B15" t="s">
        <v>3981</v>
      </c>
    </row>
    <row r="16" spans="1:2" x14ac:dyDescent="0.4">
      <c r="A16" t="s">
        <v>14</v>
      </c>
      <c r="B16" t="s">
        <v>3982</v>
      </c>
    </row>
    <row r="17" spans="1:2" x14ac:dyDescent="0.4">
      <c r="A17" t="s">
        <v>15</v>
      </c>
      <c r="B17" t="s">
        <v>3983</v>
      </c>
    </row>
    <row r="18" spans="1:2" x14ac:dyDescent="0.4">
      <c r="A18" t="s">
        <v>16</v>
      </c>
      <c r="B18" t="s">
        <v>3984</v>
      </c>
    </row>
    <row r="19" spans="1:2" x14ac:dyDescent="0.4">
      <c r="A19" t="s">
        <v>17</v>
      </c>
      <c r="B19" t="s">
        <v>3985</v>
      </c>
    </row>
    <row r="20" spans="1:2" x14ac:dyDescent="0.4">
      <c r="A20" t="s">
        <v>18</v>
      </c>
      <c r="B20" t="s">
        <v>3986</v>
      </c>
    </row>
    <row r="21" spans="1:2" x14ac:dyDescent="0.4">
      <c r="A21" t="s">
        <v>19</v>
      </c>
      <c r="B21" t="s">
        <v>3987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A1286-1C1F-4F99-940D-A1DA5E71BA4F}">
  <dimension ref="A1:AJ1501"/>
  <sheetViews>
    <sheetView topLeftCell="R1" zoomScale="85" zoomScaleNormal="85" workbookViewId="0">
      <selection activeCell="F55" sqref="F55"/>
    </sheetView>
  </sheetViews>
  <sheetFormatPr defaultRowHeight="14.6" x14ac:dyDescent="0.4"/>
  <cols>
    <col min="1" max="1" width="13.4609375" bestFit="1" customWidth="1"/>
    <col min="2" max="2" width="15.53515625" bestFit="1" customWidth="1"/>
    <col min="4" max="4" width="9.23046875" customWidth="1"/>
    <col min="6" max="6" width="16.69140625" customWidth="1"/>
    <col min="7" max="7" width="2.07421875" customWidth="1"/>
    <col min="8" max="8" width="13.4609375" bestFit="1" customWidth="1"/>
    <col min="9" max="9" width="15.53515625" bestFit="1" customWidth="1"/>
    <col min="12" max="12" width="6.3046875" customWidth="1"/>
    <col min="13" max="13" width="12.53515625" bestFit="1" customWidth="1"/>
    <col min="14" max="14" width="14.84375" bestFit="1" customWidth="1"/>
    <col min="17" max="17" width="12.53515625" bestFit="1" customWidth="1"/>
    <col min="18" max="18" width="14.84375" bestFit="1" customWidth="1"/>
    <col min="19" max="19" width="13.07421875" customWidth="1"/>
    <col min="21" max="21" width="12.53515625" bestFit="1" customWidth="1"/>
    <col min="22" max="22" width="14.84375" bestFit="1" customWidth="1"/>
    <col min="23" max="23" width="34.84375" customWidth="1"/>
  </cols>
  <sheetData>
    <row r="1" spans="1:36" x14ac:dyDescent="0.4">
      <c r="A1" t="s">
        <v>3943</v>
      </c>
      <c r="AJ1" t="s">
        <v>3988</v>
      </c>
    </row>
    <row r="2" spans="1:36" x14ac:dyDescent="0.4">
      <c r="A2" t="s">
        <v>3944</v>
      </c>
      <c r="G2" t="s">
        <v>3945</v>
      </c>
      <c r="L2" t="s">
        <v>3946</v>
      </c>
      <c r="Q2" t="s">
        <v>3947</v>
      </c>
      <c r="U2" t="s">
        <v>3948</v>
      </c>
      <c r="AJ2">
        <v>203060</v>
      </c>
    </row>
    <row r="3" spans="1:36" x14ac:dyDescent="0.4">
      <c r="A3" s="8" t="s">
        <v>3990</v>
      </c>
      <c r="B3" t="s">
        <v>3989</v>
      </c>
      <c r="H3" s="8" t="s">
        <v>3990</v>
      </c>
      <c r="I3" t="s">
        <v>3989</v>
      </c>
      <c r="M3" s="8" t="s">
        <v>3990</v>
      </c>
      <c r="N3" t="s">
        <v>3989</v>
      </c>
      <c r="Q3" s="8" t="s">
        <v>3990</v>
      </c>
      <c r="R3" t="s">
        <v>3989</v>
      </c>
      <c r="U3" s="8" t="s">
        <v>3990</v>
      </c>
      <c r="V3" t="s">
        <v>3989</v>
      </c>
      <c r="AB3" t="s">
        <v>3950</v>
      </c>
      <c r="AJ3">
        <v>24789.4</v>
      </c>
    </row>
    <row r="4" spans="1:36" x14ac:dyDescent="0.4">
      <c r="A4" s="9" t="s">
        <v>39</v>
      </c>
      <c r="B4" s="7">
        <v>654336.30000000005</v>
      </c>
      <c r="H4" s="9" t="s">
        <v>39</v>
      </c>
      <c r="I4" s="7">
        <v>25021215.299999993</v>
      </c>
      <c r="M4" s="9" t="s">
        <v>3993</v>
      </c>
      <c r="N4">
        <v>22875588.950000018</v>
      </c>
      <c r="Q4" s="9" t="s">
        <v>81</v>
      </c>
      <c r="R4">
        <v>31739284.549999993</v>
      </c>
      <c r="U4" s="9" t="s">
        <v>54</v>
      </c>
      <c r="V4">
        <v>94795532.299999908</v>
      </c>
      <c r="AB4" t="s">
        <v>3951</v>
      </c>
      <c r="AJ4">
        <v>132544</v>
      </c>
    </row>
    <row r="5" spans="1:36" x14ac:dyDescent="0.4">
      <c r="A5" s="9" t="s">
        <v>3991</v>
      </c>
      <c r="B5" s="7">
        <v>654336.30000000005</v>
      </c>
      <c r="H5" s="9" t="s">
        <v>3991</v>
      </c>
      <c r="I5" s="7">
        <v>25021215.299999993</v>
      </c>
      <c r="M5" s="9" t="s">
        <v>3994</v>
      </c>
      <c r="N5">
        <v>14649321.149999997</v>
      </c>
      <c r="Q5" s="9" t="s">
        <v>95</v>
      </c>
      <c r="R5">
        <v>30900124.600000024</v>
      </c>
      <c r="U5" s="9" t="s">
        <v>33</v>
      </c>
      <c r="V5">
        <v>95828028.050000057</v>
      </c>
      <c r="AB5" t="s">
        <v>3952</v>
      </c>
      <c r="AJ5">
        <v>55760</v>
      </c>
    </row>
    <row r="6" spans="1:36" x14ac:dyDescent="0.4">
      <c r="M6" s="9" t="s">
        <v>3995</v>
      </c>
      <c r="N6">
        <v>20177342.349999994</v>
      </c>
      <c r="Q6" s="9" t="s">
        <v>53</v>
      </c>
      <c r="R6">
        <v>35850070.399999991</v>
      </c>
      <c r="U6" s="9" t="s">
        <v>3991</v>
      </c>
      <c r="V6">
        <v>190623560.34999996</v>
      </c>
      <c r="AB6" t="s">
        <v>3953</v>
      </c>
      <c r="AJ6">
        <v>27455.85</v>
      </c>
    </row>
    <row r="7" spans="1:36" x14ac:dyDescent="0.4">
      <c r="M7" s="9" t="s">
        <v>3996</v>
      </c>
      <c r="N7">
        <v>16885740.150000002</v>
      </c>
      <c r="Q7" s="9" t="s">
        <v>32</v>
      </c>
      <c r="R7">
        <v>30703754.5</v>
      </c>
      <c r="AB7" t="s">
        <v>3954</v>
      </c>
      <c r="AJ7">
        <v>63648</v>
      </c>
    </row>
    <row r="8" spans="1:36" x14ac:dyDescent="0.4">
      <c r="M8" s="9" t="s">
        <v>3997</v>
      </c>
      <c r="N8">
        <v>20270879.350000001</v>
      </c>
      <c r="Q8" s="9" t="s">
        <v>65</v>
      </c>
      <c r="R8">
        <v>29060829.400000002</v>
      </c>
      <c r="AJ8">
        <v>148012.20000000001</v>
      </c>
    </row>
    <row r="9" spans="1:36" x14ac:dyDescent="0.4">
      <c r="M9" s="9" t="s">
        <v>3998</v>
      </c>
      <c r="N9">
        <v>15670243.199999996</v>
      </c>
      <c r="Q9" s="9" t="s">
        <v>73</v>
      </c>
      <c r="R9">
        <v>32369496.900000006</v>
      </c>
      <c r="AJ9">
        <v>133123.5</v>
      </c>
    </row>
    <row r="10" spans="1:36" x14ac:dyDescent="0.4">
      <c r="M10" s="9" t="s">
        <v>3999</v>
      </c>
      <c r="N10">
        <v>16404350.200000005</v>
      </c>
      <c r="Q10" s="9" t="s">
        <v>3991</v>
      </c>
      <c r="R10">
        <v>190623560.35000002</v>
      </c>
      <c r="AJ10">
        <v>10247.65</v>
      </c>
    </row>
    <row r="11" spans="1:36" x14ac:dyDescent="0.4">
      <c r="M11" s="9" t="s">
        <v>4000</v>
      </c>
      <c r="N11">
        <v>16521777.050000004</v>
      </c>
      <c r="AJ11">
        <v>74923.199999999997</v>
      </c>
    </row>
    <row r="12" spans="1:36" x14ac:dyDescent="0.4">
      <c r="M12" s="9" t="s">
        <v>4001</v>
      </c>
      <c r="N12">
        <v>16812898.449999999</v>
      </c>
      <c r="AJ12">
        <v>102642.4</v>
      </c>
    </row>
    <row r="13" spans="1:36" x14ac:dyDescent="0.4">
      <c r="M13" s="9" t="s">
        <v>4002</v>
      </c>
      <c r="N13">
        <v>10147232.050000001</v>
      </c>
      <c r="AJ13">
        <v>338674</v>
      </c>
    </row>
    <row r="14" spans="1:36" x14ac:dyDescent="0.4">
      <c r="M14" s="9" t="s">
        <v>4003</v>
      </c>
      <c r="N14">
        <v>8811380.2999999989</v>
      </c>
      <c r="AJ14">
        <v>9088.2000000000007</v>
      </c>
    </row>
    <row r="15" spans="1:36" x14ac:dyDescent="0.4">
      <c r="M15" s="9" t="s">
        <v>4004</v>
      </c>
      <c r="N15">
        <v>11396807.15</v>
      </c>
      <c r="AJ15">
        <v>392544</v>
      </c>
    </row>
    <row r="16" spans="1:36" x14ac:dyDescent="0.4">
      <c r="M16" s="9" t="s">
        <v>3991</v>
      </c>
      <c r="N16">
        <v>190623560.35000002</v>
      </c>
      <c r="AJ16">
        <v>36666.400000000001</v>
      </c>
    </row>
    <row r="17" spans="1:36" x14ac:dyDescent="0.4">
      <c r="AJ17">
        <v>218493</v>
      </c>
    </row>
    <row r="18" spans="1:36" x14ac:dyDescent="0.4">
      <c r="AJ18">
        <v>9366.4</v>
      </c>
    </row>
    <row r="19" spans="1:36" x14ac:dyDescent="0.4">
      <c r="AJ19">
        <v>32145.15</v>
      </c>
    </row>
    <row r="20" spans="1:36" x14ac:dyDescent="0.4">
      <c r="AJ20">
        <v>149791.25</v>
      </c>
    </row>
    <row r="21" spans="1:36" x14ac:dyDescent="0.4">
      <c r="AJ21">
        <v>88608</v>
      </c>
    </row>
    <row r="22" spans="1:36" x14ac:dyDescent="0.4">
      <c r="AJ22">
        <v>50688</v>
      </c>
    </row>
    <row r="23" spans="1:36" x14ac:dyDescent="0.4">
      <c r="AJ23">
        <v>27817</v>
      </c>
    </row>
    <row r="24" spans="1:36" x14ac:dyDescent="0.4">
      <c r="AJ24">
        <v>183456.4</v>
      </c>
    </row>
    <row r="25" spans="1:36" x14ac:dyDescent="0.4">
      <c r="A25" t="s">
        <v>3937</v>
      </c>
      <c r="AJ25">
        <v>343152</v>
      </c>
    </row>
    <row r="26" spans="1:36" x14ac:dyDescent="0.4">
      <c r="A26" t="s">
        <v>3938</v>
      </c>
      <c r="AJ26">
        <v>168431.2</v>
      </c>
    </row>
    <row r="27" spans="1:36" x14ac:dyDescent="0.4">
      <c r="A27" t="s">
        <v>3939</v>
      </c>
      <c r="AJ27">
        <v>19284.8</v>
      </c>
    </row>
    <row r="28" spans="1:36" x14ac:dyDescent="0.4">
      <c r="A28" t="s">
        <v>3940</v>
      </c>
      <c r="AJ28">
        <v>31773.599999999999</v>
      </c>
    </row>
    <row r="29" spans="1:36" x14ac:dyDescent="0.4">
      <c r="A29" t="s">
        <v>3941</v>
      </c>
      <c r="AJ29">
        <v>369280</v>
      </c>
    </row>
    <row r="30" spans="1:36" x14ac:dyDescent="0.4">
      <c r="A30" t="s">
        <v>3942</v>
      </c>
      <c r="AJ30">
        <v>39052.400000000001</v>
      </c>
    </row>
    <row r="31" spans="1:36" x14ac:dyDescent="0.4">
      <c r="AJ31">
        <v>20524.8</v>
      </c>
    </row>
    <row r="32" spans="1:36" x14ac:dyDescent="0.4">
      <c r="AJ32">
        <v>129928.5</v>
      </c>
    </row>
    <row r="33" spans="1:36" x14ac:dyDescent="0.4">
      <c r="A33" t="s">
        <v>3938</v>
      </c>
      <c r="AJ33">
        <v>401452.2</v>
      </c>
    </row>
    <row r="34" spans="1:36" x14ac:dyDescent="0.4">
      <c r="AJ34">
        <v>94079.7</v>
      </c>
    </row>
    <row r="35" spans="1:36" x14ac:dyDescent="0.4">
      <c r="D35" s="14"/>
      <c r="N35" s="14">
        <v>190623560.34999999</v>
      </c>
      <c r="AJ35">
        <v>280520</v>
      </c>
    </row>
    <row r="36" spans="1:36" x14ac:dyDescent="0.4">
      <c r="AJ36">
        <v>338305.95</v>
      </c>
    </row>
    <row r="37" spans="1:36" x14ac:dyDescent="0.4">
      <c r="AJ37">
        <v>218826</v>
      </c>
    </row>
    <row r="38" spans="1:36" x14ac:dyDescent="0.4">
      <c r="AJ38">
        <v>9945</v>
      </c>
    </row>
    <row r="39" spans="1:36" x14ac:dyDescent="0.4">
      <c r="AJ39">
        <v>127447.2</v>
      </c>
    </row>
    <row r="40" spans="1:36" x14ac:dyDescent="0.4">
      <c r="AJ40">
        <v>139982.39999999999</v>
      </c>
    </row>
    <row r="41" spans="1:36" x14ac:dyDescent="0.4">
      <c r="AJ41">
        <v>112800.15</v>
      </c>
    </row>
    <row r="42" spans="1:36" x14ac:dyDescent="0.4">
      <c r="AJ42">
        <v>9662.4</v>
      </c>
    </row>
    <row r="43" spans="1:36" x14ac:dyDescent="0.4">
      <c r="AJ43">
        <v>21440.7</v>
      </c>
    </row>
    <row r="44" spans="1:36" x14ac:dyDescent="0.4">
      <c r="AJ44">
        <v>35222.199999999997</v>
      </c>
    </row>
    <row r="45" spans="1:36" x14ac:dyDescent="0.4">
      <c r="AJ45">
        <v>4316</v>
      </c>
    </row>
    <row r="46" spans="1:36" x14ac:dyDescent="0.4">
      <c r="AJ46">
        <v>126957</v>
      </c>
    </row>
    <row r="47" spans="1:36" x14ac:dyDescent="0.4">
      <c r="AJ47">
        <v>9367.2000000000007</v>
      </c>
    </row>
    <row r="48" spans="1:36" x14ac:dyDescent="0.4">
      <c r="AJ48">
        <v>38556</v>
      </c>
    </row>
    <row r="49" spans="1:36" x14ac:dyDescent="0.4">
      <c r="AJ49">
        <v>115620</v>
      </c>
    </row>
    <row r="50" spans="1:36" x14ac:dyDescent="0.4">
      <c r="AJ50">
        <v>302802.3</v>
      </c>
    </row>
    <row r="51" spans="1:36" x14ac:dyDescent="0.4">
      <c r="AJ51">
        <v>17619</v>
      </c>
    </row>
    <row r="52" spans="1:36" x14ac:dyDescent="0.4">
      <c r="AJ52">
        <v>53198.1</v>
      </c>
    </row>
    <row r="53" spans="1:36" x14ac:dyDescent="0.4">
      <c r="AJ53">
        <v>184169.7</v>
      </c>
    </row>
    <row r="54" spans="1:36" x14ac:dyDescent="0.4">
      <c r="AJ54">
        <v>94933.5</v>
      </c>
    </row>
    <row r="55" spans="1:36" x14ac:dyDescent="0.4">
      <c r="AJ55">
        <v>6178.65</v>
      </c>
    </row>
    <row r="56" spans="1:36" x14ac:dyDescent="0.4">
      <c r="A56" s="8" t="s">
        <v>3990</v>
      </c>
      <c r="B56" t="s">
        <v>3989</v>
      </c>
      <c r="AJ56">
        <v>162960.29999999999</v>
      </c>
    </row>
    <row r="57" spans="1:36" x14ac:dyDescent="0.4">
      <c r="A57" s="9" t="s">
        <v>81</v>
      </c>
      <c r="B57" s="7">
        <v>31739284.549999993</v>
      </c>
      <c r="AJ57">
        <v>59478.3</v>
      </c>
    </row>
    <row r="58" spans="1:36" x14ac:dyDescent="0.4">
      <c r="A58" s="9" t="s">
        <v>95</v>
      </c>
      <c r="B58" s="7">
        <v>30900124.600000024</v>
      </c>
      <c r="AJ58">
        <v>52130.400000000001</v>
      </c>
    </row>
    <row r="59" spans="1:36" x14ac:dyDescent="0.4">
      <c r="A59" s="9" t="s">
        <v>53</v>
      </c>
      <c r="B59" s="7">
        <v>35850070.399999991</v>
      </c>
      <c r="AJ59">
        <v>2608.65</v>
      </c>
    </row>
    <row r="60" spans="1:36" x14ac:dyDescent="0.4">
      <c r="A60" s="9" t="s">
        <v>32</v>
      </c>
      <c r="B60" s="7">
        <v>30703754.5</v>
      </c>
      <c r="AJ60">
        <v>11002.9</v>
      </c>
    </row>
    <row r="61" spans="1:36" x14ac:dyDescent="0.4">
      <c r="A61" s="9" t="s">
        <v>65</v>
      </c>
      <c r="B61" s="7">
        <v>29060829.400000002</v>
      </c>
      <c r="AJ61">
        <v>14437.25</v>
      </c>
    </row>
    <row r="62" spans="1:36" x14ac:dyDescent="0.4">
      <c r="A62" s="9" t="s">
        <v>73</v>
      </c>
      <c r="B62" s="7">
        <v>32369496.900000006</v>
      </c>
      <c r="AJ62">
        <v>324315.90000000002</v>
      </c>
    </row>
    <row r="63" spans="1:36" x14ac:dyDescent="0.4">
      <c r="A63" s="9" t="s">
        <v>3991</v>
      </c>
      <c r="B63" s="7">
        <v>190623560.35000002</v>
      </c>
      <c r="AJ63">
        <v>10441.6</v>
      </c>
    </row>
    <row r="64" spans="1:36" x14ac:dyDescent="0.4">
      <c r="AJ64">
        <v>298430</v>
      </c>
    </row>
    <row r="65" spans="36:36" x14ac:dyDescent="0.4">
      <c r="AJ65">
        <v>179832.15</v>
      </c>
    </row>
    <row r="66" spans="36:36" x14ac:dyDescent="0.4">
      <c r="AJ66">
        <v>249344.1</v>
      </c>
    </row>
    <row r="67" spans="36:36" x14ac:dyDescent="0.4">
      <c r="AJ67">
        <v>69688.100000000006</v>
      </c>
    </row>
    <row r="68" spans="36:36" x14ac:dyDescent="0.4">
      <c r="AJ68">
        <v>44771.4</v>
      </c>
    </row>
    <row r="69" spans="36:36" x14ac:dyDescent="0.4">
      <c r="AJ69">
        <v>269944</v>
      </c>
    </row>
    <row r="70" spans="36:36" x14ac:dyDescent="0.4">
      <c r="AJ70">
        <v>116331</v>
      </c>
    </row>
    <row r="71" spans="36:36" x14ac:dyDescent="0.4">
      <c r="AJ71">
        <v>53781.3</v>
      </c>
    </row>
    <row r="72" spans="36:36" x14ac:dyDescent="0.4">
      <c r="AJ72">
        <v>328307</v>
      </c>
    </row>
    <row r="73" spans="36:36" x14ac:dyDescent="0.4">
      <c r="AJ73">
        <v>108600</v>
      </c>
    </row>
    <row r="74" spans="36:36" x14ac:dyDescent="0.4">
      <c r="AJ74">
        <v>74024</v>
      </c>
    </row>
    <row r="75" spans="36:36" x14ac:dyDescent="0.4">
      <c r="AJ75">
        <v>34505</v>
      </c>
    </row>
    <row r="76" spans="36:36" x14ac:dyDescent="0.4">
      <c r="AJ76">
        <v>171493.2</v>
      </c>
    </row>
    <row r="77" spans="36:36" x14ac:dyDescent="0.4">
      <c r="AJ77">
        <v>19458.849999999999</v>
      </c>
    </row>
    <row r="78" spans="36:36" x14ac:dyDescent="0.4">
      <c r="AJ78">
        <v>86256</v>
      </c>
    </row>
    <row r="79" spans="36:36" x14ac:dyDescent="0.4">
      <c r="AJ79">
        <v>80406.600000000006</v>
      </c>
    </row>
    <row r="80" spans="36:36" x14ac:dyDescent="0.4">
      <c r="AJ80">
        <v>8344</v>
      </c>
    </row>
    <row r="81" spans="36:36" x14ac:dyDescent="0.4">
      <c r="AJ81">
        <v>128204.1</v>
      </c>
    </row>
    <row r="82" spans="36:36" x14ac:dyDescent="0.4">
      <c r="AJ82">
        <v>6974.1</v>
      </c>
    </row>
    <row r="83" spans="36:36" x14ac:dyDescent="0.4">
      <c r="AJ83">
        <v>145559</v>
      </c>
    </row>
    <row r="84" spans="36:36" x14ac:dyDescent="0.4">
      <c r="AJ84">
        <v>377456.85</v>
      </c>
    </row>
    <row r="85" spans="36:36" x14ac:dyDescent="0.4">
      <c r="AJ85">
        <v>61622.1</v>
      </c>
    </row>
    <row r="86" spans="36:36" x14ac:dyDescent="0.4">
      <c r="AJ86">
        <v>384878.25</v>
      </c>
    </row>
    <row r="87" spans="36:36" x14ac:dyDescent="0.4">
      <c r="AJ87">
        <v>14022</v>
      </c>
    </row>
    <row r="88" spans="36:36" x14ac:dyDescent="0.4">
      <c r="AJ88">
        <v>287827.20000000001</v>
      </c>
    </row>
    <row r="89" spans="36:36" x14ac:dyDescent="0.4">
      <c r="AJ89">
        <v>226139.9</v>
      </c>
    </row>
    <row r="90" spans="36:36" x14ac:dyDescent="0.4">
      <c r="AJ90">
        <v>39619.199999999997</v>
      </c>
    </row>
    <row r="91" spans="36:36" x14ac:dyDescent="0.4">
      <c r="AJ91">
        <v>62242</v>
      </c>
    </row>
    <row r="92" spans="36:36" x14ac:dyDescent="0.4">
      <c r="AJ92">
        <v>42945.599999999999</v>
      </c>
    </row>
    <row r="93" spans="36:36" x14ac:dyDescent="0.4">
      <c r="AJ93">
        <v>48579.199999999997</v>
      </c>
    </row>
    <row r="94" spans="36:36" x14ac:dyDescent="0.4">
      <c r="AJ94">
        <v>94200.4</v>
      </c>
    </row>
    <row r="95" spans="36:36" x14ac:dyDescent="0.4">
      <c r="AJ95">
        <v>94052.5</v>
      </c>
    </row>
    <row r="96" spans="36:36" x14ac:dyDescent="0.4">
      <c r="AJ96">
        <v>36729</v>
      </c>
    </row>
    <row r="97" spans="36:36" x14ac:dyDescent="0.4">
      <c r="AJ97">
        <v>140046</v>
      </c>
    </row>
    <row r="98" spans="36:36" x14ac:dyDescent="0.4">
      <c r="AJ98">
        <v>187854</v>
      </c>
    </row>
    <row r="99" spans="36:36" x14ac:dyDescent="0.4">
      <c r="AJ99">
        <v>88987.5</v>
      </c>
    </row>
    <row r="100" spans="36:36" x14ac:dyDescent="0.4">
      <c r="AJ100">
        <v>148246.39999999999</v>
      </c>
    </row>
    <row r="101" spans="36:36" x14ac:dyDescent="0.4">
      <c r="AJ101">
        <v>175783.25</v>
      </c>
    </row>
    <row r="102" spans="36:36" x14ac:dyDescent="0.4">
      <c r="AJ102">
        <v>129043.25</v>
      </c>
    </row>
    <row r="103" spans="36:36" x14ac:dyDescent="0.4">
      <c r="AJ103">
        <v>402847.5</v>
      </c>
    </row>
    <row r="104" spans="36:36" x14ac:dyDescent="0.4">
      <c r="AJ104">
        <v>85503.6</v>
      </c>
    </row>
    <row r="105" spans="36:36" x14ac:dyDescent="0.4">
      <c r="AJ105">
        <v>213929.7</v>
      </c>
    </row>
    <row r="106" spans="36:36" x14ac:dyDescent="0.4">
      <c r="AJ106">
        <v>69890.399999999994</v>
      </c>
    </row>
    <row r="107" spans="36:36" x14ac:dyDescent="0.4">
      <c r="AJ107">
        <v>183664.8</v>
      </c>
    </row>
    <row r="108" spans="36:36" x14ac:dyDescent="0.4">
      <c r="AJ108">
        <v>117252</v>
      </c>
    </row>
    <row r="109" spans="36:36" x14ac:dyDescent="0.4">
      <c r="AJ109">
        <v>7320.2</v>
      </c>
    </row>
    <row r="110" spans="36:36" x14ac:dyDescent="0.4">
      <c r="AJ110">
        <v>78944</v>
      </c>
    </row>
    <row r="111" spans="36:36" x14ac:dyDescent="0.4">
      <c r="AJ111">
        <v>174927.6</v>
      </c>
    </row>
    <row r="112" spans="36:36" x14ac:dyDescent="0.4">
      <c r="AJ112">
        <v>77004.899999999994</v>
      </c>
    </row>
    <row r="113" spans="36:36" x14ac:dyDescent="0.4">
      <c r="AJ113">
        <v>135279</v>
      </c>
    </row>
    <row r="114" spans="36:36" x14ac:dyDescent="0.4">
      <c r="AJ114">
        <v>6620.8</v>
      </c>
    </row>
    <row r="115" spans="36:36" x14ac:dyDescent="0.4">
      <c r="AJ115">
        <v>15561.8</v>
      </c>
    </row>
    <row r="116" spans="36:36" x14ac:dyDescent="0.4">
      <c r="AJ116">
        <v>167790</v>
      </c>
    </row>
    <row r="117" spans="36:36" x14ac:dyDescent="0.4">
      <c r="AJ117">
        <v>39236.800000000003</v>
      </c>
    </row>
    <row r="118" spans="36:36" x14ac:dyDescent="0.4">
      <c r="AJ118">
        <v>32896.6</v>
      </c>
    </row>
    <row r="119" spans="36:36" x14ac:dyDescent="0.4">
      <c r="AJ119">
        <v>25357.5</v>
      </c>
    </row>
    <row r="120" spans="36:36" x14ac:dyDescent="0.4">
      <c r="AJ120">
        <v>27952</v>
      </c>
    </row>
    <row r="121" spans="36:36" x14ac:dyDescent="0.4">
      <c r="AJ121">
        <v>180046.8</v>
      </c>
    </row>
    <row r="122" spans="36:36" x14ac:dyDescent="0.4">
      <c r="AJ122">
        <v>406566</v>
      </c>
    </row>
    <row r="123" spans="36:36" x14ac:dyDescent="0.4">
      <c r="AJ123">
        <v>174043.8</v>
      </c>
    </row>
    <row r="124" spans="36:36" x14ac:dyDescent="0.4">
      <c r="AJ124">
        <v>138521.1</v>
      </c>
    </row>
    <row r="125" spans="36:36" x14ac:dyDescent="0.4">
      <c r="AJ125">
        <v>26425.8</v>
      </c>
    </row>
    <row r="126" spans="36:36" x14ac:dyDescent="0.4">
      <c r="AJ126">
        <v>240930</v>
      </c>
    </row>
    <row r="127" spans="36:36" x14ac:dyDescent="0.4">
      <c r="AJ127">
        <v>106090.2</v>
      </c>
    </row>
    <row r="128" spans="36:36" x14ac:dyDescent="0.4">
      <c r="AJ128">
        <v>38019</v>
      </c>
    </row>
    <row r="129" spans="36:36" x14ac:dyDescent="0.4">
      <c r="AJ129">
        <v>104401.2</v>
      </c>
    </row>
    <row r="130" spans="36:36" x14ac:dyDescent="0.4">
      <c r="AJ130">
        <v>26910</v>
      </c>
    </row>
    <row r="131" spans="36:36" x14ac:dyDescent="0.4">
      <c r="AJ131">
        <v>292384.8</v>
      </c>
    </row>
    <row r="132" spans="36:36" x14ac:dyDescent="0.4">
      <c r="AJ132">
        <v>246501</v>
      </c>
    </row>
    <row r="133" spans="36:36" x14ac:dyDescent="0.4">
      <c r="AJ133">
        <v>17209.25</v>
      </c>
    </row>
    <row r="134" spans="36:36" x14ac:dyDescent="0.4">
      <c r="AJ134">
        <v>2475</v>
      </c>
    </row>
    <row r="135" spans="36:36" x14ac:dyDescent="0.4">
      <c r="AJ135">
        <v>306972</v>
      </c>
    </row>
    <row r="136" spans="36:36" x14ac:dyDescent="0.4">
      <c r="AJ136">
        <v>332013.59999999998</v>
      </c>
    </row>
    <row r="137" spans="36:36" x14ac:dyDescent="0.4">
      <c r="AJ137">
        <v>446085</v>
      </c>
    </row>
    <row r="138" spans="36:36" x14ac:dyDescent="0.4">
      <c r="AJ138">
        <v>54460</v>
      </c>
    </row>
    <row r="139" spans="36:36" x14ac:dyDescent="0.4">
      <c r="AJ139">
        <v>122463.75</v>
      </c>
    </row>
    <row r="140" spans="36:36" x14ac:dyDescent="0.4">
      <c r="AJ140">
        <v>34278.400000000001</v>
      </c>
    </row>
    <row r="141" spans="36:36" x14ac:dyDescent="0.4">
      <c r="AJ141">
        <v>260748</v>
      </c>
    </row>
    <row r="142" spans="36:36" x14ac:dyDescent="0.4">
      <c r="AJ142">
        <v>591.85</v>
      </c>
    </row>
    <row r="143" spans="36:36" x14ac:dyDescent="0.4">
      <c r="AJ143">
        <v>175470.3</v>
      </c>
    </row>
    <row r="144" spans="36:36" x14ac:dyDescent="0.4">
      <c r="AJ144">
        <v>18875.7</v>
      </c>
    </row>
    <row r="145" spans="36:36" x14ac:dyDescent="0.4">
      <c r="AJ145">
        <v>40265</v>
      </c>
    </row>
    <row r="146" spans="36:36" x14ac:dyDescent="0.4">
      <c r="AJ146">
        <v>222528</v>
      </c>
    </row>
    <row r="147" spans="36:36" x14ac:dyDescent="0.4">
      <c r="AJ147">
        <v>162547</v>
      </c>
    </row>
    <row r="148" spans="36:36" x14ac:dyDescent="0.4">
      <c r="AJ148">
        <v>139111</v>
      </c>
    </row>
    <row r="149" spans="36:36" x14ac:dyDescent="0.4">
      <c r="AJ149">
        <v>120168</v>
      </c>
    </row>
    <row r="150" spans="36:36" x14ac:dyDescent="0.4">
      <c r="AJ150">
        <v>40631.4</v>
      </c>
    </row>
    <row r="151" spans="36:36" x14ac:dyDescent="0.4">
      <c r="AJ151">
        <v>237175.2</v>
      </c>
    </row>
    <row r="152" spans="36:36" x14ac:dyDescent="0.4">
      <c r="AJ152">
        <v>105439.95</v>
      </c>
    </row>
    <row r="153" spans="36:36" x14ac:dyDescent="0.4">
      <c r="AJ153">
        <v>142892.1</v>
      </c>
    </row>
    <row r="154" spans="36:36" x14ac:dyDescent="0.4">
      <c r="AJ154">
        <v>190347.3</v>
      </c>
    </row>
    <row r="155" spans="36:36" x14ac:dyDescent="0.4">
      <c r="AJ155">
        <v>14501.85</v>
      </c>
    </row>
    <row r="156" spans="36:36" x14ac:dyDescent="0.4">
      <c r="AJ156">
        <v>177460</v>
      </c>
    </row>
    <row r="157" spans="36:36" x14ac:dyDescent="0.4">
      <c r="AJ157">
        <v>382882.5</v>
      </c>
    </row>
    <row r="158" spans="36:36" x14ac:dyDescent="0.4">
      <c r="AJ158">
        <v>263184</v>
      </c>
    </row>
    <row r="159" spans="36:36" x14ac:dyDescent="0.4">
      <c r="AJ159">
        <v>190278</v>
      </c>
    </row>
    <row r="160" spans="36:36" x14ac:dyDescent="0.4">
      <c r="AJ160">
        <v>48912</v>
      </c>
    </row>
    <row r="161" spans="36:36" x14ac:dyDescent="0.4">
      <c r="AJ161">
        <v>64663.199999999997</v>
      </c>
    </row>
    <row r="162" spans="36:36" x14ac:dyDescent="0.4">
      <c r="AJ162">
        <v>37610.400000000001</v>
      </c>
    </row>
    <row r="163" spans="36:36" x14ac:dyDescent="0.4">
      <c r="AJ163">
        <v>226303.2</v>
      </c>
    </row>
    <row r="164" spans="36:36" x14ac:dyDescent="0.4">
      <c r="AJ164">
        <v>7691.2</v>
      </c>
    </row>
    <row r="165" spans="36:36" x14ac:dyDescent="0.4">
      <c r="AJ165">
        <v>256998</v>
      </c>
    </row>
    <row r="166" spans="36:36" x14ac:dyDescent="0.4">
      <c r="AJ166">
        <v>38413.800000000003</v>
      </c>
    </row>
    <row r="167" spans="36:36" x14ac:dyDescent="0.4">
      <c r="AJ167">
        <v>172445</v>
      </c>
    </row>
    <row r="168" spans="36:36" x14ac:dyDescent="0.4">
      <c r="AJ168">
        <v>111577.8</v>
      </c>
    </row>
    <row r="169" spans="36:36" x14ac:dyDescent="0.4">
      <c r="AJ169">
        <v>15921</v>
      </c>
    </row>
    <row r="170" spans="36:36" x14ac:dyDescent="0.4">
      <c r="AJ170">
        <v>18762.5</v>
      </c>
    </row>
    <row r="171" spans="36:36" x14ac:dyDescent="0.4">
      <c r="AJ171">
        <v>42601.8</v>
      </c>
    </row>
    <row r="172" spans="36:36" x14ac:dyDescent="0.4">
      <c r="AJ172">
        <v>338679</v>
      </c>
    </row>
    <row r="173" spans="36:36" x14ac:dyDescent="0.4">
      <c r="AJ173">
        <v>12099.6</v>
      </c>
    </row>
    <row r="174" spans="36:36" x14ac:dyDescent="0.4">
      <c r="AJ174">
        <v>37985.599999999999</v>
      </c>
    </row>
    <row r="175" spans="36:36" x14ac:dyDescent="0.4">
      <c r="AJ175">
        <v>134867.20000000001</v>
      </c>
    </row>
    <row r="176" spans="36:36" x14ac:dyDescent="0.4">
      <c r="AJ176">
        <v>457767</v>
      </c>
    </row>
    <row r="177" spans="36:36" x14ac:dyDescent="0.4">
      <c r="AJ177">
        <v>46651.199999999997</v>
      </c>
    </row>
    <row r="178" spans="36:36" x14ac:dyDescent="0.4">
      <c r="AJ178">
        <v>128644.2</v>
      </c>
    </row>
    <row r="179" spans="36:36" x14ac:dyDescent="0.4">
      <c r="AJ179">
        <v>153385.20000000001</v>
      </c>
    </row>
    <row r="180" spans="36:36" x14ac:dyDescent="0.4">
      <c r="AJ180">
        <v>228107.7</v>
      </c>
    </row>
    <row r="181" spans="36:36" x14ac:dyDescent="0.4">
      <c r="AJ181">
        <v>124443</v>
      </c>
    </row>
    <row r="182" spans="36:36" x14ac:dyDescent="0.4">
      <c r="AJ182">
        <v>90957.65</v>
      </c>
    </row>
    <row r="183" spans="36:36" x14ac:dyDescent="0.4">
      <c r="AJ183">
        <v>157153.5</v>
      </c>
    </row>
    <row r="184" spans="36:36" x14ac:dyDescent="0.4">
      <c r="AJ184">
        <v>26649</v>
      </c>
    </row>
    <row r="185" spans="36:36" x14ac:dyDescent="0.4">
      <c r="AJ185">
        <v>327160.8</v>
      </c>
    </row>
    <row r="186" spans="36:36" x14ac:dyDescent="0.4">
      <c r="AJ186">
        <v>74774.5</v>
      </c>
    </row>
    <row r="187" spans="36:36" x14ac:dyDescent="0.4">
      <c r="AJ187">
        <v>307080</v>
      </c>
    </row>
    <row r="188" spans="36:36" x14ac:dyDescent="0.4">
      <c r="AJ188">
        <v>11056.8</v>
      </c>
    </row>
    <row r="189" spans="36:36" x14ac:dyDescent="0.4">
      <c r="AJ189">
        <v>41970.45</v>
      </c>
    </row>
    <row r="190" spans="36:36" x14ac:dyDescent="0.4">
      <c r="AJ190">
        <v>248274</v>
      </c>
    </row>
    <row r="191" spans="36:36" x14ac:dyDescent="0.4">
      <c r="AJ191">
        <v>113767.2</v>
      </c>
    </row>
    <row r="192" spans="36:36" x14ac:dyDescent="0.4">
      <c r="AJ192">
        <v>478050</v>
      </c>
    </row>
    <row r="193" spans="36:36" x14ac:dyDescent="0.4">
      <c r="AJ193">
        <v>244854</v>
      </c>
    </row>
    <row r="194" spans="36:36" x14ac:dyDescent="0.4">
      <c r="AJ194">
        <v>165139.20000000001</v>
      </c>
    </row>
    <row r="195" spans="36:36" x14ac:dyDescent="0.4">
      <c r="AJ195">
        <v>214775.05</v>
      </c>
    </row>
    <row r="196" spans="36:36" x14ac:dyDescent="0.4">
      <c r="AJ196">
        <v>374824.4</v>
      </c>
    </row>
    <row r="197" spans="36:36" x14ac:dyDescent="0.4">
      <c r="AJ197">
        <v>279055</v>
      </c>
    </row>
    <row r="198" spans="36:36" x14ac:dyDescent="0.4">
      <c r="AJ198">
        <v>303096.40000000002</v>
      </c>
    </row>
    <row r="199" spans="36:36" x14ac:dyDescent="0.4">
      <c r="AJ199">
        <v>1803.1</v>
      </c>
    </row>
    <row r="200" spans="36:36" x14ac:dyDescent="0.4">
      <c r="AJ200">
        <v>189318.85</v>
      </c>
    </row>
    <row r="201" spans="36:36" x14ac:dyDescent="0.4">
      <c r="AJ201">
        <v>29945.7</v>
      </c>
    </row>
    <row r="202" spans="36:36" x14ac:dyDescent="0.4">
      <c r="AJ202">
        <v>154889.60000000001</v>
      </c>
    </row>
    <row r="203" spans="36:36" x14ac:dyDescent="0.4">
      <c r="AJ203">
        <v>4128</v>
      </c>
    </row>
    <row r="204" spans="36:36" x14ac:dyDescent="0.4">
      <c r="AJ204">
        <v>149107.20000000001</v>
      </c>
    </row>
    <row r="205" spans="36:36" x14ac:dyDescent="0.4">
      <c r="AJ205">
        <v>46707.7</v>
      </c>
    </row>
    <row r="206" spans="36:36" x14ac:dyDescent="0.4">
      <c r="AJ206">
        <v>147870</v>
      </c>
    </row>
    <row r="207" spans="36:36" x14ac:dyDescent="0.4">
      <c r="AJ207">
        <v>290691</v>
      </c>
    </row>
    <row r="208" spans="36:36" x14ac:dyDescent="0.4">
      <c r="AJ208">
        <v>39755</v>
      </c>
    </row>
    <row r="209" spans="36:36" x14ac:dyDescent="0.4">
      <c r="AJ209">
        <v>235067</v>
      </c>
    </row>
    <row r="210" spans="36:36" x14ac:dyDescent="0.4">
      <c r="AJ210">
        <v>320010</v>
      </c>
    </row>
    <row r="211" spans="36:36" x14ac:dyDescent="0.4">
      <c r="AJ211">
        <v>79922.100000000006</v>
      </c>
    </row>
    <row r="212" spans="36:36" x14ac:dyDescent="0.4">
      <c r="AJ212">
        <v>294812.55</v>
      </c>
    </row>
    <row r="213" spans="36:36" x14ac:dyDescent="0.4">
      <c r="AJ213">
        <v>95640</v>
      </c>
    </row>
    <row r="214" spans="36:36" x14ac:dyDescent="0.4">
      <c r="AJ214">
        <v>76984</v>
      </c>
    </row>
    <row r="215" spans="36:36" x14ac:dyDescent="0.4">
      <c r="AJ215">
        <v>46015.199999999997</v>
      </c>
    </row>
    <row r="216" spans="36:36" x14ac:dyDescent="0.4">
      <c r="AJ216">
        <v>130666.8</v>
      </c>
    </row>
    <row r="217" spans="36:36" x14ac:dyDescent="0.4">
      <c r="AJ217">
        <v>14778.95</v>
      </c>
    </row>
    <row r="218" spans="36:36" x14ac:dyDescent="0.4">
      <c r="AJ218">
        <v>307201.5</v>
      </c>
    </row>
    <row r="219" spans="36:36" x14ac:dyDescent="0.4">
      <c r="AJ219">
        <v>140710</v>
      </c>
    </row>
    <row r="220" spans="36:36" x14ac:dyDescent="0.4">
      <c r="AJ220">
        <v>185576.8</v>
      </c>
    </row>
    <row r="221" spans="36:36" x14ac:dyDescent="0.4">
      <c r="AJ221">
        <v>202426</v>
      </c>
    </row>
    <row r="222" spans="36:36" x14ac:dyDescent="0.4">
      <c r="AJ222">
        <v>53652.2</v>
      </c>
    </row>
    <row r="223" spans="36:36" x14ac:dyDescent="0.4">
      <c r="AJ223">
        <v>165855.20000000001</v>
      </c>
    </row>
    <row r="224" spans="36:36" x14ac:dyDescent="0.4">
      <c r="AJ224">
        <v>51499.199999999997</v>
      </c>
    </row>
    <row r="225" spans="36:36" x14ac:dyDescent="0.4">
      <c r="AJ225">
        <v>40137.300000000003</v>
      </c>
    </row>
    <row r="226" spans="36:36" x14ac:dyDescent="0.4">
      <c r="AJ226">
        <v>136719.25</v>
      </c>
    </row>
    <row r="227" spans="36:36" x14ac:dyDescent="0.4">
      <c r="AJ227">
        <v>44783.199999999997</v>
      </c>
    </row>
    <row r="228" spans="36:36" x14ac:dyDescent="0.4">
      <c r="AJ228">
        <v>266774.40000000002</v>
      </c>
    </row>
    <row r="229" spans="36:36" x14ac:dyDescent="0.4">
      <c r="AJ229">
        <v>29778.3</v>
      </c>
    </row>
    <row r="230" spans="36:36" x14ac:dyDescent="0.4">
      <c r="AJ230">
        <v>215244</v>
      </c>
    </row>
    <row r="231" spans="36:36" x14ac:dyDescent="0.4">
      <c r="AJ231">
        <v>369081.9</v>
      </c>
    </row>
    <row r="232" spans="36:36" x14ac:dyDescent="0.4">
      <c r="AJ232">
        <v>284148</v>
      </c>
    </row>
    <row r="233" spans="36:36" x14ac:dyDescent="0.4">
      <c r="AJ233">
        <v>25810.25</v>
      </c>
    </row>
    <row r="234" spans="36:36" x14ac:dyDescent="0.4">
      <c r="AJ234">
        <v>6120</v>
      </c>
    </row>
    <row r="235" spans="36:36" x14ac:dyDescent="0.4">
      <c r="AJ235">
        <v>43299.1</v>
      </c>
    </row>
    <row r="236" spans="36:36" x14ac:dyDescent="0.4">
      <c r="AJ236">
        <v>40016.300000000003</v>
      </c>
    </row>
    <row r="237" spans="36:36" x14ac:dyDescent="0.4">
      <c r="AJ237">
        <v>21274.400000000001</v>
      </c>
    </row>
    <row r="238" spans="36:36" x14ac:dyDescent="0.4">
      <c r="AJ238">
        <v>11361.95</v>
      </c>
    </row>
    <row r="239" spans="36:36" x14ac:dyDescent="0.4">
      <c r="AJ239">
        <v>21260.05</v>
      </c>
    </row>
    <row r="240" spans="36:36" x14ac:dyDescent="0.4">
      <c r="AJ240">
        <v>388271.5</v>
      </c>
    </row>
    <row r="241" spans="36:36" x14ac:dyDescent="0.4">
      <c r="AJ241">
        <v>22857</v>
      </c>
    </row>
    <row r="242" spans="36:36" x14ac:dyDescent="0.4">
      <c r="AJ242">
        <v>96641.600000000006</v>
      </c>
    </row>
    <row r="243" spans="36:36" x14ac:dyDescent="0.4">
      <c r="AJ243">
        <v>174125.5</v>
      </c>
    </row>
    <row r="244" spans="36:36" x14ac:dyDescent="0.4">
      <c r="AJ244">
        <v>177393.6</v>
      </c>
    </row>
    <row r="245" spans="36:36" x14ac:dyDescent="0.4">
      <c r="AJ245">
        <v>140725</v>
      </c>
    </row>
    <row r="246" spans="36:36" x14ac:dyDescent="0.4">
      <c r="AJ246">
        <v>65076</v>
      </c>
    </row>
    <row r="247" spans="36:36" x14ac:dyDescent="0.4">
      <c r="AJ247">
        <v>19126.8</v>
      </c>
    </row>
    <row r="248" spans="36:36" x14ac:dyDescent="0.4">
      <c r="AJ248">
        <v>339493</v>
      </c>
    </row>
    <row r="249" spans="36:36" x14ac:dyDescent="0.4">
      <c r="AJ249">
        <v>44297.75</v>
      </c>
    </row>
    <row r="250" spans="36:36" x14ac:dyDescent="0.4">
      <c r="AJ250">
        <v>89642</v>
      </c>
    </row>
    <row r="251" spans="36:36" x14ac:dyDescent="0.4">
      <c r="AJ251">
        <v>116246</v>
      </c>
    </row>
    <row r="252" spans="36:36" x14ac:dyDescent="0.4">
      <c r="AJ252">
        <v>12320.75</v>
      </c>
    </row>
    <row r="253" spans="36:36" x14ac:dyDescent="0.4">
      <c r="AJ253">
        <v>108228</v>
      </c>
    </row>
    <row r="254" spans="36:36" x14ac:dyDescent="0.4">
      <c r="AJ254">
        <v>319779</v>
      </c>
    </row>
    <row r="255" spans="36:36" x14ac:dyDescent="0.4">
      <c r="AJ255">
        <v>80824.800000000003</v>
      </c>
    </row>
    <row r="256" spans="36:36" x14ac:dyDescent="0.4">
      <c r="AJ256">
        <v>292440</v>
      </c>
    </row>
    <row r="257" spans="36:36" x14ac:dyDescent="0.4">
      <c r="AJ257">
        <v>8675.1</v>
      </c>
    </row>
    <row r="258" spans="36:36" x14ac:dyDescent="0.4">
      <c r="AJ258">
        <v>104640.6</v>
      </c>
    </row>
    <row r="259" spans="36:36" x14ac:dyDescent="0.4">
      <c r="AJ259">
        <v>32062.5</v>
      </c>
    </row>
    <row r="260" spans="36:36" x14ac:dyDescent="0.4">
      <c r="AJ260">
        <v>51052.800000000003</v>
      </c>
    </row>
    <row r="261" spans="36:36" x14ac:dyDescent="0.4">
      <c r="AJ261">
        <v>157920</v>
      </c>
    </row>
    <row r="262" spans="36:36" x14ac:dyDescent="0.4">
      <c r="AJ262">
        <v>126825.60000000001</v>
      </c>
    </row>
    <row r="263" spans="36:36" x14ac:dyDescent="0.4">
      <c r="AJ263">
        <v>1051</v>
      </c>
    </row>
    <row r="264" spans="36:36" x14ac:dyDescent="0.4">
      <c r="AJ264">
        <v>13564</v>
      </c>
    </row>
    <row r="265" spans="36:36" x14ac:dyDescent="0.4">
      <c r="AJ265">
        <v>90380</v>
      </c>
    </row>
    <row r="266" spans="36:36" x14ac:dyDescent="0.4">
      <c r="AJ266">
        <v>92358.45</v>
      </c>
    </row>
    <row r="267" spans="36:36" x14ac:dyDescent="0.4">
      <c r="AJ267">
        <v>33102</v>
      </c>
    </row>
    <row r="268" spans="36:36" x14ac:dyDescent="0.4">
      <c r="AJ268">
        <v>147628</v>
      </c>
    </row>
    <row r="269" spans="36:36" x14ac:dyDescent="0.4">
      <c r="AJ269">
        <v>9639.9</v>
      </c>
    </row>
    <row r="270" spans="36:36" x14ac:dyDescent="0.4">
      <c r="AJ270">
        <v>169085</v>
      </c>
    </row>
    <row r="271" spans="36:36" x14ac:dyDescent="0.4">
      <c r="AJ271">
        <v>42915.3</v>
      </c>
    </row>
    <row r="272" spans="36:36" x14ac:dyDescent="0.4">
      <c r="AJ272">
        <v>53964.75</v>
      </c>
    </row>
    <row r="273" spans="36:36" x14ac:dyDescent="0.4">
      <c r="AJ273">
        <v>321183</v>
      </c>
    </row>
    <row r="274" spans="36:36" x14ac:dyDescent="0.4">
      <c r="AJ274">
        <v>157312.79999999999</v>
      </c>
    </row>
    <row r="275" spans="36:36" x14ac:dyDescent="0.4">
      <c r="AJ275">
        <v>71572.05</v>
      </c>
    </row>
    <row r="276" spans="36:36" x14ac:dyDescent="0.4">
      <c r="AJ276">
        <v>168085.8</v>
      </c>
    </row>
    <row r="277" spans="36:36" x14ac:dyDescent="0.4">
      <c r="AJ277">
        <v>195648</v>
      </c>
    </row>
    <row r="278" spans="36:36" x14ac:dyDescent="0.4">
      <c r="AJ278">
        <v>18388</v>
      </c>
    </row>
    <row r="279" spans="36:36" x14ac:dyDescent="0.4">
      <c r="AJ279">
        <v>120573.6</v>
      </c>
    </row>
    <row r="280" spans="36:36" x14ac:dyDescent="0.4">
      <c r="AJ280">
        <v>338112</v>
      </c>
    </row>
    <row r="281" spans="36:36" x14ac:dyDescent="0.4">
      <c r="AJ281">
        <v>72344</v>
      </c>
    </row>
    <row r="282" spans="36:36" x14ac:dyDescent="0.4">
      <c r="AJ282">
        <v>18480</v>
      </c>
    </row>
    <row r="283" spans="36:36" x14ac:dyDescent="0.4">
      <c r="AJ283">
        <v>80360</v>
      </c>
    </row>
    <row r="284" spans="36:36" x14ac:dyDescent="0.4">
      <c r="AJ284">
        <v>8612.7999999999993</v>
      </c>
    </row>
    <row r="285" spans="36:36" x14ac:dyDescent="0.4">
      <c r="AJ285">
        <v>274095.90000000002</v>
      </c>
    </row>
    <row r="286" spans="36:36" x14ac:dyDescent="0.4">
      <c r="AJ286">
        <v>121722</v>
      </c>
    </row>
    <row r="287" spans="36:36" x14ac:dyDescent="0.4">
      <c r="AJ287">
        <v>216126.4</v>
      </c>
    </row>
    <row r="288" spans="36:36" x14ac:dyDescent="0.4">
      <c r="AJ288">
        <v>292111</v>
      </c>
    </row>
    <row r="289" spans="36:36" x14ac:dyDescent="0.4">
      <c r="AJ289">
        <v>400023</v>
      </c>
    </row>
    <row r="290" spans="36:36" x14ac:dyDescent="0.4">
      <c r="AJ290">
        <v>16081.2</v>
      </c>
    </row>
    <row r="291" spans="36:36" x14ac:dyDescent="0.4">
      <c r="AJ291">
        <v>255869.2</v>
      </c>
    </row>
    <row r="292" spans="36:36" x14ac:dyDescent="0.4">
      <c r="AJ292">
        <v>205254</v>
      </c>
    </row>
    <row r="293" spans="36:36" x14ac:dyDescent="0.4">
      <c r="AJ293">
        <v>92012.5</v>
      </c>
    </row>
    <row r="294" spans="36:36" x14ac:dyDescent="0.4">
      <c r="AJ294">
        <v>14744.1</v>
      </c>
    </row>
    <row r="295" spans="36:36" x14ac:dyDescent="0.4">
      <c r="AJ295">
        <v>182780</v>
      </c>
    </row>
    <row r="296" spans="36:36" x14ac:dyDescent="0.4">
      <c r="AJ296">
        <v>97269.55</v>
      </c>
    </row>
    <row r="297" spans="36:36" x14ac:dyDescent="0.4">
      <c r="AJ297">
        <v>120141.9</v>
      </c>
    </row>
    <row r="298" spans="36:36" x14ac:dyDescent="0.4">
      <c r="AJ298">
        <v>329644</v>
      </c>
    </row>
    <row r="299" spans="36:36" x14ac:dyDescent="0.4">
      <c r="AJ299">
        <v>36233.800000000003</v>
      </c>
    </row>
    <row r="300" spans="36:36" x14ac:dyDescent="0.4">
      <c r="AJ300">
        <v>47280.800000000003</v>
      </c>
    </row>
    <row r="301" spans="36:36" x14ac:dyDescent="0.4">
      <c r="AJ301">
        <v>164840.5</v>
      </c>
    </row>
    <row r="302" spans="36:36" x14ac:dyDescent="0.4">
      <c r="AJ302">
        <v>101110.39999999999</v>
      </c>
    </row>
    <row r="303" spans="36:36" x14ac:dyDescent="0.4">
      <c r="AJ303">
        <v>79884</v>
      </c>
    </row>
    <row r="304" spans="36:36" x14ac:dyDescent="0.4">
      <c r="AJ304">
        <v>168732</v>
      </c>
    </row>
    <row r="305" spans="36:36" x14ac:dyDescent="0.4">
      <c r="AJ305">
        <v>30636</v>
      </c>
    </row>
    <row r="306" spans="36:36" x14ac:dyDescent="0.4">
      <c r="AJ306">
        <v>125733.6</v>
      </c>
    </row>
    <row r="307" spans="36:36" x14ac:dyDescent="0.4">
      <c r="AJ307">
        <v>85500</v>
      </c>
    </row>
    <row r="308" spans="36:36" x14ac:dyDescent="0.4">
      <c r="AJ308">
        <v>42843.6</v>
      </c>
    </row>
    <row r="309" spans="36:36" x14ac:dyDescent="0.4">
      <c r="AJ309">
        <v>23598</v>
      </c>
    </row>
    <row r="310" spans="36:36" x14ac:dyDescent="0.4">
      <c r="AJ310">
        <v>163573.20000000001</v>
      </c>
    </row>
    <row r="311" spans="36:36" x14ac:dyDescent="0.4">
      <c r="AJ311">
        <v>62040.6</v>
      </c>
    </row>
    <row r="312" spans="36:36" x14ac:dyDescent="0.4">
      <c r="AJ312">
        <v>109625.25</v>
      </c>
    </row>
    <row r="313" spans="36:36" x14ac:dyDescent="0.4">
      <c r="AJ313">
        <v>25487</v>
      </c>
    </row>
    <row r="314" spans="36:36" x14ac:dyDescent="0.4">
      <c r="AJ314">
        <v>338000</v>
      </c>
    </row>
    <row r="315" spans="36:36" x14ac:dyDescent="0.4">
      <c r="AJ315">
        <v>20832</v>
      </c>
    </row>
    <row r="316" spans="36:36" x14ac:dyDescent="0.4">
      <c r="AJ316">
        <v>10084.4</v>
      </c>
    </row>
    <row r="317" spans="36:36" x14ac:dyDescent="0.4">
      <c r="AJ317">
        <v>304542</v>
      </c>
    </row>
    <row r="318" spans="36:36" x14ac:dyDescent="0.4">
      <c r="AJ318">
        <v>157251.20000000001</v>
      </c>
    </row>
    <row r="319" spans="36:36" x14ac:dyDescent="0.4">
      <c r="AJ319">
        <v>47317.8</v>
      </c>
    </row>
    <row r="320" spans="36:36" x14ac:dyDescent="0.4">
      <c r="AJ320">
        <v>58368</v>
      </c>
    </row>
    <row r="321" spans="36:36" x14ac:dyDescent="0.4">
      <c r="AJ321">
        <v>250784</v>
      </c>
    </row>
    <row r="322" spans="36:36" x14ac:dyDescent="0.4">
      <c r="AJ322">
        <v>34275.4</v>
      </c>
    </row>
    <row r="323" spans="36:36" x14ac:dyDescent="0.4">
      <c r="AJ323">
        <v>58324.800000000003</v>
      </c>
    </row>
    <row r="324" spans="36:36" x14ac:dyDescent="0.4">
      <c r="AJ324">
        <v>279014.40000000002</v>
      </c>
    </row>
    <row r="325" spans="36:36" x14ac:dyDescent="0.4">
      <c r="AJ325">
        <v>33986.400000000001</v>
      </c>
    </row>
    <row r="326" spans="36:36" x14ac:dyDescent="0.4">
      <c r="AJ326">
        <v>219589.65</v>
      </c>
    </row>
    <row r="327" spans="36:36" x14ac:dyDescent="0.4">
      <c r="AJ327">
        <v>274267</v>
      </c>
    </row>
    <row r="328" spans="36:36" x14ac:dyDescent="0.4">
      <c r="AJ328">
        <v>135081.45000000001</v>
      </c>
    </row>
    <row r="329" spans="36:36" x14ac:dyDescent="0.4">
      <c r="AJ329">
        <v>33667.199999999997</v>
      </c>
    </row>
    <row r="330" spans="36:36" x14ac:dyDescent="0.4">
      <c r="AJ330">
        <v>301527</v>
      </c>
    </row>
    <row r="331" spans="36:36" x14ac:dyDescent="0.4">
      <c r="AJ331">
        <v>111861</v>
      </c>
    </row>
    <row r="332" spans="36:36" x14ac:dyDescent="0.4">
      <c r="AJ332">
        <v>67059.899999999994</v>
      </c>
    </row>
    <row r="333" spans="36:36" x14ac:dyDescent="0.4">
      <c r="AJ333">
        <v>185293.2</v>
      </c>
    </row>
    <row r="334" spans="36:36" x14ac:dyDescent="0.4">
      <c r="AJ334">
        <v>4877.3</v>
      </c>
    </row>
    <row r="335" spans="36:36" x14ac:dyDescent="0.4">
      <c r="AJ335">
        <v>74102.399999999994</v>
      </c>
    </row>
    <row r="336" spans="36:36" x14ac:dyDescent="0.4">
      <c r="AJ336">
        <v>749.7</v>
      </c>
    </row>
    <row r="337" spans="36:36" x14ac:dyDescent="0.4">
      <c r="AJ337">
        <v>125654.39999999999</v>
      </c>
    </row>
    <row r="338" spans="36:36" x14ac:dyDescent="0.4">
      <c r="AJ338">
        <v>127372.2</v>
      </c>
    </row>
    <row r="339" spans="36:36" x14ac:dyDescent="0.4">
      <c r="AJ339">
        <v>17737.8</v>
      </c>
    </row>
    <row r="340" spans="36:36" x14ac:dyDescent="0.4">
      <c r="AJ340">
        <v>8316</v>
      </c>
    </row>
    <row r="341" spans="36:36" x14ac:dyDescent="0.4">
      <c r="AJ341">
        <v>3223.8</v>
      </c>
    </row>
    <row r="342" spans="36:36" x14ac:dyDescent="0.4">
      <c r="AJ342">
        <v>412385.5</v>
      </c>
    </row>
    <row r="343" spans="36:36" x14ac:dyDescent="0.4">
      <c r="AJ343">
        <v>157735.20000000001</v>
      </c>
    </row>
    <row r="344" spans="36:36" x14ac:dyDescent="0.4">
      <c r="AJ344">
        <v>76018.5</v>
      </c>
    </row>
    <row r="345" spans="36:36" x14ac:dyDescent="0.4">
      <c r="AJ345">
        <v>11808</v>
      </c>
    </row>
    <row r="346" spans="36:36" x14ac:dyDescent="0.4">
      <c r="AJ346">
        <v>26228</v>
      </c>
    </row>
    <row r="347" spans="36:36" x14ac:dyDescent="0.4">
      <c r="AJ347">
        <v>50611.199999999997</v>
      </c>
    </row>
    <row r="348" spans="36:36" x14ac:dyDescent="0.4">
      <c r="AJ348">
        <v>65746</v>
      </c>
    </row>
    <row r="349" spans="36:36" x14ac:dyDescent="0.4">
      <c r="AJ349">
        <v>139160</v>
      </c>
    </row>
    <row r="350" spans="36:36" x14ac:dyDescent="0.4">
      <c r="AJ350">
        <v>16468</v>
      </c>
    </row>
    <row r="351" spans="36:36" x14ac:dyDescent="0.4">
      <c r="AJ351">
        <v>355221</v>
      </c>
    </row>
    <row r="352" spans="36:36" x14ac:dyDescent="0.4">
      <c r="AJ352">
        <v>111370.4</v>
      </c>
    </row>
    <row r="353" spans="36:36" x14ac:dyDescent="0.4">
      <c r="AJ353">
        <v>174492</v>
      </c>
    </row>
    <row r="354" spans="36:36" x14ac:dyDescent="0.4">
      <c r="AJ354">
        <v>84454.05</v>
      </c>
    </row>
    <row r="355" spans="36:36" x14ac:dyDescent="0.4">
      <c r="AJ355">
        <v>63000</v>
      </c>
    </row>
    <row r="356" spans="36:36" x14ac:dyDescent="0.4">
      <c r="AJ356">
        <v>421822.8</v>
      </c>
    </row>
    <row r="357" spans="36:36" x14ac:dyDescent="0.4">
      <c r="AJ357">
        <v>184252.5</v>
      </c>
    </row>
    <row r="358" spans="36:36" x14ac:dyDescent="0.4">
      <c r="AJ358">
        <v>122013.25</v>
      </c>
    </row>
    <row r="359" spans="36:36" x14ac:dyDescent="0.4">
      <c r="AJ359">
        <v>146742</v>
      </c>
    </row>
    <row r="360" spans="36:36" x14ac:dyDescent="0.4">
      <c r="AJ360">
        <v>95838.399999999994</v>
      </c>
    </row>
    <row r="361" spans="36:36" x14ac:dyDescent="0.4">
      <c r="AJ361">
        <v>11688.3</v>
      </c>
    </row>
    <row r="362" spans="36:36" x14ac:dyDescent="0.4">
      <c r="AJ362">
        <v>12060</v>
      </c>
    </row>
    <row r="363" spans="36:36" x14ac:dyDescent="0.4">
      <c r="AJ363">
        <v>82102.8</v>
      </c>
    </row>
    <row r="364" spans="36:36" x14ac:dyDescent="0.4">
      <c r="AJ364">
        <v>212484.6</v>
      </c>
    </row>
    <row r="365" spans="36:36" x14ac:dyDescent="0.4">
      <c r="AJ365">
        <v>1801.8</v>
      </c>
    </row>
    <row r="366" spans="36:36" x14ac:dyDescent="0.4">
      <c r="AJ366">
        <v>31252.799999999999</v>
      </c>
    </row>
    <row r="367" spans="36:36" x14ac:dyDescent="0.4">
      <c r="AJ367">
        <v>232074</v>
      </c>
    </row>
    <row r="368" spans="36:36" x14ac:dyDescent="0.4">
      <c r="AJ368">
        <v>282110.40000000002</v>
      </c>
    </row>
    <row r="369" spans="36:36" x14ac:dyDescent="0.4">
      <c r="AJ369">
        <v>89816.1</v>
      </c>
    </row>
    <row r="370" spans="36:36" x14ac:dyDescent="0.4">
      <c r="AJ370">
        <v>20744.2</v>
      </c>
    </row>
    <row r="371" spans="36:36" x14ac:dyDescent="0.4">
      <c r="AJ371">
        <v>102358.39999999999</v>
      </c>
    </row>
    <row r="372" spans="36:36" x14ac:dyDescent="0.4">
      <c r="AJ372">
        <v>76659.3</v>
      </c>
    </row>
    <row r="373" spans="36:36" x14ac:dyDescent="0.4">
      <c r="AJ373">
        <v>219402.5</v>
      </c>
    </row>
    <row r="374" spans="36:36" x14ac:dyDescent="0.4">
      <c r="AJ374">
        <v>87393.600000000006</v>
      </c>
    </row>
    <row r="375" spans="36:36" x14ac:dyDescent="0.4">
      <c r="AJ375">
        <v>62419.199999999997</v>
      </c>
    </row>
    <row r="376" spans="36:36" x14ac:dyDescent="0.4">
      <c r="AJ376">
        <v>50889.599999999999</v>
      </c>
    </row>
    <row r="377" spans="36:36" x14ac:dyDescent="0.4">
      <c r="AJ377">
        <v>236257.5</v>
      </c>
    </row>
    <row r="378" spans="36:36" x14ac:dyDescent="0.4">
      <c r="AJ378">
        <v>138736</v>
      </c>
    </row>
    <row r="379" spans="36:36" x14ac:dyDescent="0.4">
      <c r="AJ379">
        <v>205189.2</v>
      </c>
    </row>
    <row r="380" spans="36:36" x14ac:dyDescent="0.4">
      <c r="AJ380">
        <v>10116.700000000001</v>
      </c>
    </row>
    <row r="381" spans="36:36" x14ac:dyDescent="0.4">
      <c r="AJ381">
        <v>16348.8</v>
      </c>
    </row>
    <row r="382" spans="36:36" x14ac:dyDescent="0.4">
      <c r="AJ382">
        <v>28339</v>
      </c>
    </row>
    <row r="383" spans="36:36" x14ac:dyDescent="0.4">
      <c r="AJ383">
        <v>72492</v>
      </c>
    </row>
    <row r="384" spans="36:36" x14ac:dyDescent="0.4">
      <c r="AJ384">
        <v>19026</v>
      </c>
    </row>
    <row r="385" spans="36:36" x14ac:dyDescent="0.4">
      <c r="AJ385">
        <v>62836.800000000003</v>
      </c>
    </row>
    <row r="386" spans="36:36" x14ac:dyDescent="0.4">
      <c r="AJ386">
        <v>7199.5</v>
      </c>
    </row>
    <row r="387" spans="36:36" x14ac:dyDescent="0.4">
      <c r="AJ387">
        <v>265680.8</v>
      </c>
    </row>
    <row r="388" spans="36:36" x14ac:dyDescent="0.4">
      <c r="AJ388">
        <v>78852</v>
      </c>
    </row>
    <row r="389" spans="36:36" x14ac:dyDescent="0.4">
      <c r="AJ389">
        <v>215628</v>
      </c>
    </row>
    <row r="390" spans="36:36" x14ac:dyDescent="0.4">
      <c r="AJ390">
        <v>269852.79999999999</v>
      </c>
    </row>
    <row r="391" spans="36:36" x14ac:dyDescent="0.4">
      <c r="AJ391">
        <v>45800</v>
      </c>
    </row>
    <row r="392" spans="36:36" x14ac:dyDescent="0.4">
      <c r="AJ392">
        <v>34768</v>
      </c>
    </row>
    <row r="393" spans="36:36" x14ac:dyDescent="0.4">
      <c r="AJ393">
        <v>322209</v>
      </c>
    </row>
    <row r="394" spans="36:36" x14ac:dyDescent="0.4">
      <c r="AJ394">
        <v>11922</v>
      </c>
    </row>
    <row r="395" spans="36:36" x14ac:dyDescent="0.4">
      <c r="AJ395">
        <v>221024.7</v>
      </c>
    </row>
    <row r="396" spans="36:36" x14ac:dyDescent="0.4">
      <c r="AJ396">
        <v>3162</v>
      </c>
    </row>
    <row r="397" spans="36:36" x14ac:dyDescent="0.4">
      <c r="AJ397">
        <v>97081.600000000006</v>
      </c>
    </row>
    <row r="398" spans="36:36" x14ac:dyDescent="0.4">
      <c r="AJ398">
        <v>167040</v>
      </c>
    </row>
    <row r="399" spans="36:36" x14ac:dyDescent="0.4">
      <c r="AJ399">
        <v>154980</v>
      </c>
    </row>
    <row r="400" spans="36:36" x14ac:dyDescent="0.4">
      <c r="AJ400">
        <v>32089.5</v>
      </c>
    </row>
    <row r="401" spans="36:36" x14ac:dyDescent="0.4">
      <c r="AJ401">
        <v>1030.2</v>
      </c>
    </row>
    <row r="402" spans="36:36" x14ac:dyDescent="0.4">
      <c r="AJ402">
        <v>225717.5</v>
      </c>
    </row>
    <row r="403" spans="36:36" x14ac:dyDescent="0.4">
      <c r="AJ403">
        <v>264915.20000000001</v>
      </c>
    </row>
    <row r="404" spans="36:36" x14ac:dyDescent="0.4">
      <c r="AJ404">
        <v>112986</v>
      </c>
    </row>
    <row r="405" spans="36:36" x14ac:dyDescent="0.4">
      <c r="AJ405">
        <v>357022.35</v>
      </c>
    </row>
    <row r="406" spans="36:36" x14ac:dyDescent="0.4">
      <c r="AJ406">
        <v>287680.8</v>
      </c>
    </row>
    <row r="407" spans="36:36" x14ac:dyDescent="0.4">
      <c r="AJ407">
        <v>207390</v>
      </c>
    </row>
    <row r="408" spans="36:36" x14ac:dyDescent="0.4">
      <c r="AJ408">
        <v>94176</v>
      </c>
    </row>
    <row r="409" spans="36:36" x14ac:dyDescent="0.4">
      <c r="AJ409">
        <v>125150.39999999999</v>
      </c>
    </row>
    <row r="410" spans="36:36" x14ac:dyDescent="0.4">
      <c r="AJ410">
        <v>297058</v>
      </c>
    </row>
    <row r="411" spans="36:36" x14ac:dyDescent="0.4">
      <c r="AJ411">
        <v>47048</v>
      </c>
    </row>
    <row r="412" spans="36:36" x14ac:dyDescent="0.4">
      <c r="AJ412">
        <v>162477</v>
      </c>
    </row>
    <row r="413" spans="36:36" x14ac:dyDescent="0.4">
      <c r="AJ413">
        <v>138902.39999999999</v>
      </c>
    </row>
    <row r="414" spans="36:36" x14ac:dyDescent="0.4">
      <c r="AJ414">
        <v>217170</v>
      </c>
    </row>
    <row r="415" spans="36:36" x14ac:dyDescent="0.4">
      <c r="AJ415">
        <v>8311</v>
      </c>
    </row>
    <row r="416" spans="36:36" x14ac:dyDescent="0.4">
      <c r="AJ416">
        <v>122364.9</v>
      </c>
    </row>
    <row r="417" spans="36:36" x14ac:dyDescent="0.4">
      <c r="AJ417">
        <v>299760</v>
      </c>
    </row>
    <row r="418" spans="36:36" x14ac:dyDescent="0.4">
      <c r="AJ418">
        <v>26296.799999999999</v>
      </c>
    </row>
    <row r="419" spans="36:36" x14ac:dyDescent="0.4">
      <c r="AJ419">
        <v>38773.300000000003</v>
      </c>
    </row>
    <row r="420" spans="36:36" x14ac:dyDescent="0.4">
      <c r="AJ420">
        <v>99011.4</v>
      </c>
    </row>
    <row r="421" spans="36:36" x14ac:dyDescent="0.4">
      <c r="AJ421">
        <v>61134</v>
      </c>
    </row>
    <row r="422" spans="36:36" x14ac:dyDescent="0.4">
      <c r="AJ422">
        <v>440307</v>
      </c>
    </row>
    <row r="423" spans="36:36" x14ac:dyDescent="0.4">
      <c r="AJ423">
        <v>199934.4</v>
      </c>
    </row>
    <row r="424" spans="36:36" x14ac:dyDescent="0.4">
      <c r="AJ424">
        <v>33462</v>
      </c>
    </row>
    <row r="425" spans="36:36" x14ac:dyDescent="0.4">
      <c r="AJ425">
        <v>259946.4</v>
      </c>
    </row>
    <row r="426" spans="36:36" x14ac:dyDescent="0.4">
      <c r="AJ426">
        <v>49340.800000000003</v>
      </c>
    </row>
    <row r="427" spans="36:36" x14ac:dyDescent="0.4">
      <c r="AJ427">
        <v>148005.9</v>
      </c>
    </row>
    <row r="428" spans="36:36" x14ac:dyDescent="0.4">
      <c r="AJ428">
        <v>216104</v>
      </c>
    </row>
    <row r="429" spans="36:36" x14ac:dyDescent="0.4">
      <c r="AJ429">
        <v>157240.79999999999</v>
      </c>
    </row>
    <row r="430" spans="36:36" x14ac:dyDescent="0.4">
      <c r="AJ430">
        <v>83930.7</v>
      </c>
    </row>
    <row r="431" spans="36:36" x14ac:dyDescent="0.4">
      <c r="AJ431">
        <v>143091.54999999999</v>
      </c>
    </row>
    <row r="432" spans="36:36" x14ac:dyDescent="0.4">
      <c r="AJ432">
        <v>65740</v>
      </c>
    </row>
    <row r="433" spans="36:36" x14ac:dyDescent="0.4">
      <c r="AJ433">
        <v>82164.399999999994</v>
      </c>
    </row>
    <row r="434" spans="36:36" x14ac:dyDescent="0.4">
      <c r="AJ434">
        <v>117718.2</v>
      </c>
    </row>
    <row r="435" spans="36:36" x14ac:dyDescent="0.4">
      <c r="AJ435">
        <v>220295</v>
      </c>
    </row>
    <row r="436" spans="36:36" x14ac:dyDescent="0.4">
      <c r="AJ436">
        <v>310674.7</v>
      </c>
    </row>
    <row r="437" spans="36:36" x14ac:dyDescent="0.4">
      <c r="AJ437">
        <v>73780</v>
      </c>
    </row>
    <row r="438" spans="36:36" x14ac:dyDescent="0.4">
      <c r="AJ438">
        <v>58110.25</v>
      </c>
    </row>
    <row r="439" spans="36:36" x14ac:dyDescent="0.4">
      <c r="AJ439">
        <v>7379.6</v>
      </c>
    </row>
    <row r="440" spans="36:36" x14ac:dyDescent="0.4">
      <c r="AJ440">
        <v>15147</v>
      </c>
    </row>
    <row r="441" spans="36:36" x14ac:dyDescent="0.4">
      <c r="AJ441">
        <v>10388.700000000001</v>
      </c>
    </row>
    <row r="442" spans="36:36" x14ac:dyDescent="0.4">
      <c r="AJ442">
        <v>13059</v>
      </c>
    </row>
    <row r="443" spans="36:36" x14ac:dyDescent="0.4">
      <c r="AJ443">
        <v>24139.5</v>
      </c>
    </row>
    <row r="444" spans="36:36" x14ac:dyDescent="0.4">
      <c r="AJ444">
        <v>95400</v>
      </c>
    </row>
    <row r="445" spans="36:36" x14ac:dyDescent="0.4">
      <c r="AJ445">
        <v>67079.5</v>
      </c>
    </row>
    <row r="446" spans="36:36" x14ac:dyDescent="0.4">
      <c r="AJ446">
        <v>321955</v>
      </c>
    </row>
    <row r="447" spans="36:36" x14ac:dyDescent="0.4">
      <c r="AJ447">
        <v>33863.15</v>
      </c>
    </row>
    <row r="448" spans="36:36" x14ac:dyDescent="0.4">
      <c r="AJ448">
        <v>129090</v>
      </c>
    </row>
    <row r="449" spans="36:36" x14ac:dyDescent="0.4">
      <c r="AJ449">
        <v>329166</v>
      </c>
    </row>
    <row r="450" spans="36:36" x14ac:dyDescent="0.4">
      <c r="AJ450">
        <v>167270.39999999999</v>
      </c>
    </row>
    <row r="451" spans="36:36" x14ac:dyDescent="0.4">
      <c r="AJ451">
        <v>242667.9</v>
      </c>
    </row>
    <row r="452" spans="36:36" x14ac:dyDescent="0.4">
      <c r="AJ452">
        <v>263900</v>
      </c>
    </row>
    <row r="453" spans="36:36" x14ac:dyDescent="0.4">
      <c r="AJ453">
        <v>215124.8</v>
      </c>
    </row>
    <row r="454" spans="36:36" x14ac:dyDescent="0.4">
      <c r="AJ454">
        <v>262979</v>
      </c>
    </row>
    <row r="455" spans="36:36" x14ac:dyDescent="0.4">
      <c r="AJ455">
        <v>21946.9</v>
      </c>
    </row>
    <row r="456" spans="36:36" x14ac:dyDescent="0.4">
      <c r="AJ456">
        <v>102189.6</v>
      </c>
    </row>
    <row r="457" spans="36:36" x14ac:dyDescent="0.4">
      <c r="AJ457">
        <v>61296</v>
      </c>
    </row>
    <row r="458" spans="36:36" x14ac:dyDescent="0.4">
      <c r="AJ458">
        <v>9008</v>
      </c>
    </row>
    <row r="459" spans="36:36" x14ac:dyDescent="0.4">
      <c r="AJ459">
        <v>130312</v>
      </c>
    </row>
    <row r="460" spans="36:36" x14ac:dyDescent="0.4">
      <c r="AJ460">
        <v>18921</v>
      </c>
    </row>
    <row r="461" spans="36:36" x14ac:dyDescent="0.4">
      <c r="AJ461">
        <v>32897.699999999997</v>
      </c>
    </row>
    <row r="462" spans="36:36" x14ac:dyDescent="0.4">
      <c r="AJ462">
        <v>60057.599999999999</v>
      </c>
    </row>
    <row r="463" spans="36:36" x14ac:dyDescent="0.4">
      <c r="AJ463">
        <v>147403.79999999999</v>
      </c>
    </row>
    <row r="464" spans="36:36" x14ac:dyDescent="0.4">
      <c r="AJ464">
        <v>121442.4</v>
      </c>
    </row>
    <row r="465" spans="36:36" x14ac:dyDescent="0.4">
      <c r="AJ465">
        <v>1706</v>
      </c>
    </row>
    <row r="466" spans="36:36" x14ac:dyDescent="0.4">
      <c r="AJ466">
        <v>333472</v>
      </c>
    </row>
    <row r="467" spans="36:36" x14ac:dyDescent="0.4">
      <c r="AJ467">
        <v>33198.699999999997</v>
      </c>
    </row>
    <row r="468" spans="36:36" x14ac:dyDescent="0.4">
      <c r="AJ468">
        <v>11365.2</v>
      </c>
    </row>
    <row r="469" spans="36:36" x14ac:dyDescent="0.4">
      <c r="AJ469">
        <v>124754.4</v>
      </c>
    </row>
    <row r="470" spans="36:36" x14ac:dyDescent="0.4">
      <c r="AJ470">
        <v>99507.199999999997</v>
      </c>
    </row>
    <row r="471" spans="36:36" x14ac:dyDescent="0.4">
      <c r="AJ471">
        <v>14169.6</v>
      </c>
    </row>
    <row r="472" spans="36:36" x14ac:dyDescent="0.4">
      <c r="AJ472">
        <v>5717.6</v>
      </c>
    </row>
    <row r="473" spans="36:36" x14ac:dyDescent="0.4">
      <c r="AJ473">
        <v>93695.5</v>
      </c>
    </row>
    <row r="474" spans="36:36" x14ac:dyDescent="0.4">
      <c r="AJ474">
        <v>70160.7</v>
      </c>
    </row>
    <row r="475" spans="36:36" x14ac:dyDescent="0.4">
      <c r="AJ475">
        <v>2569.75</v>
      </c>
    </row>
    <row r="476" spans="36:36" x14ac:dyDescent="0.4">
      <c r="AJ476">
        <v>53446.400000000001</v>
      </c>
    </row>
    <row r="477" spans="36:36" x14ac:dyDescent="0.4">
      <c r="AJ477">
        <v>14206.5</v>
      </c>
    </row>
    <row r="478" spans="36:36" x14ac:dyDescent="0.4">
      <c r="AJ478">
        <v>377055</v>
      </c>
    </row>
    <row r="479" spans="36:36" x14ac:dyDescent="0.4">
      <c r="AJ479">
        <v>121962</v>
      </c>
    </row>
    <row r="480" spans="36:36" x14ac:dyDescent="0.4">
      <c r="AJ480">
        <v>70016</v>
      </c>
    </row>
    <row r="481" spans="36:36" x14ac:dyDescent="0.4">
      <c r="AJ481">
        <v>300812.40000000002</v>
      </c>
    </row>
    <row r="482" spans="36:36" x14ac:dyDescent="0.4">
      <c r="AJ482">
        <v>81052.800000000003</v>
      </c>
    </row>
    <row r="483" spans="36:36" x14ac:dyDescent="0.4">
      <c r="AJ483">
        <v>186553.60000000001</v>
      </c>
    </row>
    <row r="484" spans="36:36" x14ac:dyDescent="0.4">
      <c r="AJ484">
        <v>159540.15</v>
      </c>
    </row>
    <row r="485" spans="36:36" x14ac:dyDescent="0.4">
      <c r="AJ485">
        <v>29361.599999999999</v>
      </c>
    </row>
    <row r="486" spans="36:36" x14ac:dyDescent="0.4">
      <c r="AJ486">
        <v>122694.39999999999</v>
      </c>
    </row>
    <row r="487" spans="36:36" x14ac:dyDescent="0.4">
      <c r="AJ487">
        <v>114300.9</v>
      </c>
    </row>
    <row r="488" spans="36:36" x14ac:dyDescent="0.4">
      <c r="AJ488">
        <v>3122.05</v>
      </c>
    </row>
    <row r="489" spans="36:36" x14ac:dyDescent="0.4">
      <c r="AJ489">
        <v>19106.099999999999</v>
      </c>
    </row>
    <row r="490" spans="36:36" x14ac:dyDescent="0.4">
      <c r="AJ490">
        <v>130233.60000000001</v>
      </c>
    </row>
    <row r="491" spans="36:36" x14ac:dyDescent="0.4">
      <c r="AJ491">
        <v>33395</v>
      </c>
    </row>
    <row r="492" spans="36:36" x14ac:dyDescent="0.4">
      <c r="AJ492">
        <v>124440</v>
      </c>
    </row>
    <row r="493" spans="36:36" x14ac:dyDescent="0.4">
      <c r="AJ493">
        <v>26942.400000000001</v>
      </c>
    </row>
    <row r="494" spans="36:36" x14ac:dyDescent="0.4">
      <c r="AJ494">
        <v>56788.800000000003</v>
      </c>
    </row>
    <row r="495" spans="36:36" x14ac:dyDescent="0.4">
      <c r="AJ495">
        <v>3228.3</v>
      </c>
    </row>
    <row r="496" spans="36:36" x14ac:dyDescent="0.4">
      <c r="AJ496">
        <v>42580.9</v>
      </c>
    </row>
    <row r="497" spans="36:36" x14ac:dyDescent="0.4">
      <c r="AJ497">
        <v>61708.800000000003</v>
      </c>
    </row>
    <row r="498" spans="36:36" x14ac:dyDescent="0.4">
      <c r="AJ498">
        <v>13994.4</v>
      </c>
    </row>
    <row r="499" spans="36:36" x14ac:dyDescent="0.4">
      <c r="AJ499">
        <v>348067.35</v>
      </c>
    </row>
    <row r="500" spans="36:36" x14ac:dyDescent="0.4">
      <c r="AJ500">
        <v>8232</v>
      </c>
    </row>
    <row r="501" spans="36:36" x14ac:dyDescent="0.4">
      <c r="AJ501">
        <v>286245.45</v>
      </c>
    </row>
    <row r="502" spans="36:36" x14ac:dyDescent="0.4">
      <c r="AJ502">
        <v>46414</v>
      </c>
    </row>
    <row r="503" spans="36:36" x14ac:dyDescent="0.4">
      <c r="AJ503">
        <v>162595.35</v>
      </c>
    </row>
    <row r="504" spans="36:36" x14ac:dyDescent="0.4">
      <c r="AJ504">
        <v>92848</v>
      </c>
    </row>
    <row r="505" spans="36:36" x14ac:dyDescent="0.4">
      <c r="AJ505">
        <v>416394</v>
      </c>
    </row>
    <row r="506" spans="36:36" x14ac:dyDescent="0.4">
      <c r="AJ506">
        <v>71990.399999999994</v>
      </c>
    </row>
    <row r="507" spans="36:36" x14ac:dyDescent="0.4">
      <c r="AJ507">
        <v>61455</v>
      </c>
    </row>
    <row r="508" spans="36:36" x14ac:dyDescent="0.4">
      <c r="AJ508">
        <v>237170.4</v>
      </c>
    </row>
    <row r="509" spans="36:36" x14ac:dyDescent="0.4">
      <c r="AJ509">
        <v>437480</v>
      </c>
    </row>
    <row r="510" spans="36:36" x14ac:dyDescent="0.4">
      <c r="AJ510">
        <v>25352</v>
      </c>
    </row>
    <row r="511" spans="36:36" x14ac:dyDescent="0.4">
      <c r="AJ511">
        <v>164699.4</v>
      </c>
    </row>
    <row r="512" spans="36:36" x14ac:dyDescent="0.4">
      <c r="AJ512">
        <v>84759</v>
      </c>
    </row>
    <row r="513" spans="36:36" x14ac:dyDescent="0.4">
      <c r="AJ513">
        <v>316217</v>
      </c>
    </row>
    <row r="514" spans="36:36" x14ac:dyDescent="0.4">
      <c r="AJ514">
        <v>246932</v>
      </c>
    </row>
    <row r="515" spans="36:36" x14ac:dyDescent="0.4">
      <c r="AJ515">
        <v>2622</v>
      </c>
    </row>
    <row r="516" spans="36:36" x14ac:dyDescent="0.4">
      <c r="AJ516">
        <v>24472</v>
      </c>
    </row>
    <row r="517" spans="36:36" x14ac:dyDescent="0.4">
      <c r="AJ517">
        <v>189867</v>
      </c>
    </row>
    <row r="518" spans="36:36" x14ac:dyDescent="0.4">
      <c r="AJ518">
        <v>23694.6</v>
      </c>
    </row>
    <row r="519" spans="36:36" x14ac:dyDescent="0.4">
      <c r="AJ519">
        <v>12120</v>
      </c>
    </row>
    <row r="520" spans="36:36" x14ac:dyDescent="0.4">
      <c r="AJ520">
        <v>139780</v>
      </c>
    </row>
    <row r="521" spans="36:36" x14ac:dyDescent="0.4">
      <c r="AJ521">
        <v>266900.40000000002</v>
      </c>
    </row>
    <row r="522" spans="36:36" x14ac:dyDescent="0.4">
      <c r="AJ522">
        <v>233605</v>
      </c>
    </row>
    <row r="523" spans="36:36" x14ac:dyDescent="0.4">
      <c r="AJ523">
        <v>282340.8</v>
      </c>
    </row>
    <row r="524" spans="36:36" x14ac:dyDescent="0.4">
      <c r="AJ524">
        <v>228165</v>
      </c>
    </row>
    <row r="525" spans="36:36" x14ac:dyDescent="0.4">
      <c r="AJ525">
        <v>40920</v>
      </c>
    </row>
    <row r="526" spans="36:36" x14ac:dyDescent="0.4">
      <c r="AJ526">
        <v>17345</v>
      </c>
    </row>
    <row r="527" spans="36:36" x14ac:dyDescent="0.4">
      <c r="AJ527">
        <v>99081.600000000006</v>
      </c>
    </row>
    <row r="528" spans="36:36" x14ac:dyDescent="0.4">
      <c r="AJ528">
        <v>174491.4</v>
      </c>
    </row>
    <row r="529" spans="36:36" x14ac:dyDescent="0.4">
      <c r="AJ529">
        <v>313488</v>
      </c>
    </row>
    <row r="530" spans="36:36" x14ac:dyDescent="0.4">
      <c r="AJ530">
        <v>68552.5</v>
      </c>
    </row>
    <row r="531" spans="36:36" x14ac:dyDescent="0.4">
      <c r="AJ531">
        <v>80740.800000000003</v>
      </c>
    </row>
    <row r="532" spans="36:36" x14ac:dyDescent="0.4">
      <c r="AJ532">
        <v>389726.1</v>
      </c>
    </row>
    <row r="533" spans="36:36" x14ac:dyDescent="0.4">
      <c r="AJ533">
        <v>173880</v>
      </c>
    </row>
    <row r="534" spans="36:36" x14ac:dyDescent="0.4">
      <c r="AJ534">
        <v>35230.800000000003</v>
      </c>
    </row>
    <row r="535" spans="36:36" x14ac:dyDescent="0.4">
      <c r="AJ535">
        <v>44382.400000000001</v>
      </c>
    </row>
    <row r="536" spans="36:36" x14ac:dyDescent="0.4">
      <c r="AJ536">
        <v>202120</v>
      </c>
    </row>
    <row r="537" spans="36:36" x14ac:dyDescent="0.4">
      <c r="AJ537">
        <v>88870.6</v>
      </c>
    </row>
    <row r="538" spans="36:36" x14ac:dyDescent="0.4">
      <c r="AJ538">
        <v>101976.8</v>
      </c>
    </row>
    <row r="539" spans="36:36" x14ac:dyDescent="0.4">
      <c r="AJ539">
        <v>224690</v>
      </c>
    </row>
    <row r="540" spans="36:36" x14ac:dyDescent="0.4">
      <c r="AJ540">
        <v>52295.6</v>
      </c>
    </row>
    <row r="541" spans="36:36" x14ac:dyDescent="0.4">
      <c r="AJ541">
        <v>43036</v>
      </c>
    </row>
    <row r="542" spans="36:36" x14ac:dyDescent="0.4">
      <c r="AJ542">
        <v>37741.699999999997</v>
      </c>
    </row>
    <row r="543" spans="36:36" x14ac:dyDescent="0.4">
      <c r="AJ543">
        <v>150512</v>
      </c>
    </row>
    <row r="544" spans="36:36" x14ac:dyDescent="0.4">
      <c r="AJ544">
        <v>56112</v>
      </c>
    </row>
    <row r="545" spans="36:36" x14ac:dyDescent="0.4">
      <c r="AJ545">
        <v>31184.799999999999</v>
      </c>
    </row>
    <row r="546" spans="36:36" x14ac:dyDescent="0.4">
      <c r="AJ546">
        <v>74462.399999999994</v>
      </c>
    </row>
    <row r="547" spans="36:36" x14ac:dyDescent="0.4">
      <c r="AJ547">
        <v>130208</v>
      </c>
    </row>
    <row r="548" spans="36:36" x14ac:dyDescent="0.4">
      <c r="AJ548">
        <v>59792.4</v>
      </c>
    </row>
    <row r="549" spans="36:36" x14ac:dyDescent="0.4">
      <c r="AJ549">
        <v>184764.5</v>
      </c>
    </row>
    <row r="550" spans="36:36" x14ac:dyDescent="0.4">
      <c r="AJ550">
        <v>14403.9</v>
      </c>
    </row>
    <row r="551" spans="36:36" x14ac:dyDescent="0.4">
      <c r="AJ551">
        <v>22026</v>
      </c>
    </row>
    <row r="552" spans="36:36" x14ac:dyDescent="0.4">
      <c r="AJ552">
        <v>9027</v>
      </c>
    </row>
    <row r="553" spans="36:36" x14ac:dyDescent="0.4">
      <c r="AJ553">
        <v>496130</v>
      </c>
    </row>
    <row r="554" spans="36:36" x14ac:dyDescent="0.4">
      <c r="AJ554">
        <v>2660.5</v>
      </c>
    </row>
    <row r="555" spans="36:36" x14ac:dyDescent="0.4">
      <c r="AJ555">
        <v>179721</v>
      </c>
    </row>
    <row r="556" spans="36:36" x14ac:dyDescent="0.4">
      <c r="AJ556">
        <v>92700</v>
      </c>
    </row>
    <row r="557" spans="36:36" x14ac:dyDescent="0.4">
      <c r="AJ557">
        <v>124641.45</v>
      </c>
    </row>
    <row r="558" spans="36:36" x14ac:dyDescent="0.4">
      <c r="AJ558">
        <v>33993</v>
      </c>
    </row>
    <row r="559" spans="36:36" x14ac:dyDescent="0.4">
      <c r="AJ559">
        <v>119743.75</v>
      </c>
    </row>
    <row r="560" spans="36:36" x14ac:dyDescent="0.4">
      <c r="AJ560">
        <v>32609.7</v>
      </c>
    </row>
    <row r="561" spans="36:36" x14ac:dyDescent="0.4">
      <c r="AJ561">
        <v>128745.9</v>
      </c>
    </row>
    <row r="562" spans="36:36" x14ac:dyDescent="0.4">
      <c r="AJ562">
        <v>81580</v>
      </c>
    </row>
    <row r="563" spans="36:36" x14ac:dyDescent="0.4">
      <c r="AJ563">
        <v>30262.25</v>
      </c>
    </row>
    <row r="564" spans="36:36" x14ac:dyDescent="0.4">
      <c r="AJ564">
        <v>49392</v>
      </c>
    </row>
    <row r="565" spans="36:36" x14ac:dyDescent="0.4">
      <c r="AJ565">
        <v>8143.4</v>
      </c>
    </row>
    <row r="566" spans="36:36" x14ac:dyDescent="0.4">
      <c r="AJ566">
        <v>168093</v>
      </c>
    </row>
    <row r="567" spans="36:36" x14ac:dyDescent="0.4">
      <c r="AJ567">
        <v>12600.8</v>
      </c>
    </row>
    <row r="568" spans="36:36" x14ac:dyDescent="0.4">
      <c r="AJ568">
        <v>140490.75</v>
      </c>
    </row>
    <row r="569" spans="36:36" x14ac:dyDescent="0.4">
      <c r="AJ569">
        <v>87163.199999999997</v>
      </c>
    </row>
    <row r="570" spans="36:36" x14ac:dyDescent="0.4">
      <c r="AJ570">
        <v>87253.2</v>
      </c>
    </row>
    <row r="571" spans="36:36" x14ac:dyDescent="0.4">
      <c r="AJ571">
        <v>154688</v>
      </c>
    </row>
    <row r="572" spans="36:36" x14ac:dyDescent="0.4">
      <c r="AJ572">
        <v>65305.5</v>
      </c>
    </row>
    <row r="573" spans="36:36" x14ac:dyDescent="0.4">
      <c r="AJ573">
        <v>44474.400000000001</v>
      </c>
    </row>
    <row r="574" spans="36:36" x14ac:dyDescent="0.4">
      <c r="AJ574">
        <v>11721.5</v>
      </c>
    </row>
    <row r="575" spans="36:36" x14ac:dyDescent="0.4">
      <c r="AJ575">
        <v>52923.6</v>
      </c>
    </row>
    <row r="576" spans="36:36" x14ac:dyDescent="0.4">
      <c r="AJ576">
        <v>127228</v>
      </c>
    </row>
    <row r="577" spans="36:36" x14ac:dyDescent="0.4">
      <c r="AJ577">
        <v>72304.399999999994</v>
      </c>
    </row>
    <row r="578" spans="36:36" x14ac:dyDescent="0.4">
      <c r="AJ578">
        <v>101813.4</v>
      </c>
    </row>
    <row r="579" spans="36:36" x14ac:dyDescent="0.4">
      <c r="AJ579">
        <v>11031.2</v>
      </c>
    </row>
    <row r="580" spans="36:36" x14ac:dyDescent="0.4">
      <c r="AJ580">
        <v>333360</v>
      </c>
    </row>
    <row r="581" spans="36:36" x14ac:dyDescent="0.4">
      <c r="AJ581">
        <v>32420.799999999999</v>
      </c>
    </row>
    <row r="582" spans="36:36" x14ac:dyDescent="0.4">
      <c r="AJ582">
        <v>84354</v>
      </c>
    </row>
    <row r="583" spans="36:36" x14ac:dyDescent="0.4">
      <c r="AJ583">
        <v>145860</v>
      </c>
    </row>
    <row r="584" spans="36:36" x14ac:dyDescent="0.4">
      <c r="AJ584">
        <v>180243</v>
      </c>
    </row>
    <row r="585" spans="36:36" x14ac:dyDescent="0.4">
      <c r="AJ585">
        <v>26786.400000000001</v>
      </c>
    </row>
    <row r="586" spans="36:36" x14ac:dyDescent="0.4">
      <c r="AJ586">
        <v>4332.45</v>
      </c>
    </row>
    <row r="587" spans="36:36" x14ac:dyDescent="0.4">
      <c r="AJ587">
        <v>64702</v>
      </c>
    </row>
    <row r="588" spans="36:36" x14ac:dyDescent="0.4">
      <c r="AJ588">
        <v>30928.5</v>
      </c>
    </row>
    <row r="589" spans="36:36" x14ac:dyDescent="0.4">
      <c r="AJ589">
        <v>171710</v>
      </c>
    </row>
    <row r="590" spans="36:36" x14ac:dyDescent="0.4">
      <c r="AJ590">
        <v>22842</v>
      </c>
    </row>
    <row r="591" spans="36:36" x14ac:dyDescent="0.4">
      <c r="AJ591">
        <v>6282</v>
      </c>
    </row>
    <row r="592" spans="36:36" x14ac:dyDescent="0.4">
      <c r="AJ592">
        <v>209487.6</v>
      </c>
    </row>
    <row r="593" spans="36:36" x14ac:dyDescent="0.4">
      <c r="AJ593">
        <v>446229</v>
      </c>
    </row>
    <row r="594" spans="36:36" x14ac:dyDescent="0.4">
      <c r="AJ594">
        <v>35264</v>
      </c>
    </row>
    <row r="595" spans="36:36" x14ac:dyDescent="0.4">
      <c r="AJ595">
        <v>255657.60000000001</v>
      </c>
    </row>
    <row r="596" spans="36:36" x14ac:dyDescent="0.4">
      <c r="AJ596">
        <v>27702</v>
      </c>
    </row>
    <row r="597" spans="36:36" x14ac:dyDescent="0.4">
      <c r="AJ597">
        <v>230211</v>
      </c>
    </row>
    <row r="598" spans="36:36" x14ac:dyDescent="0.4">
      <c r="AJ598">
        <v>138004</v>
      </c>
    </row>
    <row r="599" spans="36:36" x14ac:dyDescent="0.4">
      <c r="AJ599">
        <v>178387.20000000001</v>
      </c>
    </row>
    <row r="600" spans="36:36" x14ac:dyDescent="0.4">
      <c r="AJ600">
        <v>182220</v>
      </c>
    </row>
    <row r="601" spans="36:36" x14ac:dyDescent="0.4">
      <c r="AJ601">
        <v>294292.95</v>
      </c>
    </row>
    <row r="602" spans="36:36" x14ac:dyDescent="0.4">
      <c r="AJ602">
        <v>115848.2</v>
      </c>
    </row>
    <row r="603" spans="36:36" x14ac:dyDescent="0.4">
      <c r="AJ603">
        <v>256242.7</v>
      </c>
    </row>
    <row r="604" spans="36:36" x14ac:dyDescent="0.4">
      <c r="AJ604">
        <v>25194</v>
      </c>
    </row>
    <row r="605" spans="36:36" x14ac:dyDescent="0.4">
      <c r="AJ605">
        <v>128718</v>
      </c>
    </row>
    <row r="606" spans="36:36" x14ac:dyDescent="0.4">
      <c r="AJ606">
        <v>189384</v>
      </c>
    </row>
    <row r="607" spans="36:36" x14ac:dyDescent="0.4">
      <c r="AJ607">
        <v>22771.5</v>
      </c>
    </row>
    <row r="608" spans="36:36" x14ac:dyDescent="0.4">
      <c r="AJ608">
        <v>36730.800000000003</v>
      </c>
    </row>
    <row r="609" spans="36:36" x14ac:dyDescent="0.4">
      <c r="AJ609">
        <v>46821.599999999999</v>
      </c>
    </row>
    <row r="610" spans="36:36" x14ac:dyDescent="0.4">
      <c r="AJ610">
        <v>44203.5</v>
      </c>
    </row>
    <row r="611" spans="36:36" x14ac:dyDescent="0.4">
      <c r="AJ611">
        <v>4937.3999999999996</v>
      </c>
    </row>
    <row r="612" spans="36:36" x14ac:dyDescent="0.4">
      <c r="AJ612">
        <v>27952</v>
      </c>
    </row>
    <row r="613" spans="36:36" x14ac:dyDescent="0.4">
      <c r="AJ613">
        <v>18673.2</v>
      </c>
    </row>
    <row r="614" spans="36:36" x14ac:dyDescent="0.4">
      <c r="AJ614">
        <v>77928</v>
      </c>
    </row>
    <row r="615" spans="36:36" x14ac:dyDescent="0.4">
      <c r="AJ615">
        <v>273158.55</v>
      </c>
    </row>
    <row r="616" spans="36:36" x14ac:dyDescent="0.4">
      <c r="AJ616">
        <v>166516</v>
      </c>
    </row>
    <row r="617" spans="36:36" x14ac:dyDescent="0.4">
      <c r="AJ617">
        <v>29328.799999999999</v>
      </c>
    </row>
    <row r="618" spans="36:36" x14ac:dyDescent="0.4">
      <c r="AJ618">
        <v>287955.45</v>
      </c>
    </row>
    <row r="619" spans="36:36" x14ac:dyDescent="0.4">
      <c r="AJ619">
        <v>331870</v>
      </c>
    </row>
    <row r="620" spans="36:36" x14ac:dyDescent="0.4">
      <c r="AJ620">
        <v>83637</v>
      </c>
    </row>
    <row r="621" spans="36:36" x14ac:dyDescent="0.4">
      <c r="AJ621">
        <v>181418.4</v>
      </c>
    </row>
    <row r="622" spans="36:36" x14ac:dyDescent="0.4">
      <c r="AJ622">
        <v>27306.9</v>
      </c>
    </row>
    <row r="623" spans="36:36" x14ac:dyDescent="0.4">
      <c r="AJ623">
        <v>245593.60000000001</v>
      </c>
    </row>
    <row r="624" spans="36:36" x14ac:dyDescent="0.4">
      <c r="AJ624">
        <v>241016</v>
      </c>
    </row>
    <row r="625" spans="36:36" x14ac:dyDescent="0.4">
      <c r="AJ625">
        <v>303150</v>
      </c>
    </row>
    <row r="626" spans="36:36" x14ac:dyDescent="0.4">
      <c r="AJ626">
        <v>22718.400000000001</v>
      </c>
    </row>
    <row r="627" spans="36:36" x14ac:dyDescent="0.4">
      <c r="AJ627">
        <v>27800</v>
      </c>
    </row>
    <row r="628" spans="36:36" x14ac:dyDescent="0.4">
      <c r="AJ628">
        <v>370904</v>
      </c>
    </row>
    <row r="629" spans="36:36" x14ac:dyDescent="0.4">
      <c r="AJ629">
        <v>164606.39999999999</v>
      </c>
    </row>
    <row r="630" spans="36:36" x14ac:dyDescent="0.4">
      <c r="AJ630">
        <v>189690.3</v>
      </c>
    </row>
    <row r="631" spans="36:36" x14ac:dyDescent="0.4">
      <c r="AJ631">
        <v>285704</v>
      </c>
    </row>
    <row r="632" spans="36:36" x14ac:dyDescent="0.4">
      <c r="AJ632">
        <v>87764</v>
      </c>
    </row>
    <row r="633" spans="36:36" x14ac:dyDescent="0.4">
      <c r="AJ633">
        <v>105049.60000000001</v>
      </c>
    </row>
    <row r="634" spans="36:36" x14ac:dyDescent="0.4">
      <c r="AJ634">
        <v>63212.800000000003</v>
      </c>
    </row>
    <row r="635" spans="36:36" x14ac:dyDescent="0.4">
      <c r="AJ635">
        <v>119806.39999999999</v>
      </c>
    </row>
    <row r="636" spans="36:36" x14ac:dyDescent="0.4">
      <c r="AJ636">
        <v>50992</v>
      </c>
    </row>
    <row r="637" spans="36:36" x14ac:dyDescent="0.4">
      <c r="AJ637">
        <v>315448</v>
      </c>
    </row>
    <row r="638" spans="36:36" x14ac:dyDescent="0.4">
      <c r="AJ638">
        <v>79345</v>
      </c>
    </row>
    <row r="639" spans="36:36" x14ac:dyDescent="0.4">
      <c r="AJ639">
        <v>286278.40000000002</v>
      </c>
    </row>
    <row r="640" spans="36:36" x14ac:dyDescent="0.4">
      <c r="AJ640">
        <v>1820.8</v>
      </c>
    </row>
    <row r="641" spans="36:36" x14ac:dyDescent="0.4">
      <c r="AJ641">
        <v>117815.2</v>
      </c>
    </row>
    <row r="642" spans="36:36" x14ac:dyDescent="0.4">
      <c r="AJ642">
        <v>253484.7</v>
      </c>
    </row>
    <row r="643" spans="36:36" x14ac:dyDescent="0.4">
      <c r="AJ643">
        <v>54911.7</v>
      </c>
    </row>
    <row r="644" spans="36:36" x14ac:dyDescent="0.4">
      <c r="AJ644">
        <v>138816</v>
      </c>
    </row>
    <row r="645" spans="36:36" x14ac:dyDescent="0.4">
      <c r="AJ645">
        <v>25946.400000000001</v>
      </c>
    </row>
    <row r="646" spans="36:36" x14ac:dyDescent="0.4">
      <c r="AJ646">
        <v>287456.40000000002</v>
      </c>
    </row>
    <row r="647" spans="36:36" x14ac:dyDescent="0.4">
      <c r="AJ647">
        <v>12705.6</v>
      </c>
    </row>
    <row r="648" spans="36:36" x14ac:dyDescent="0.4">
      <c r="AJ648">
        <v>101146.5</v>
      </c>
    </row>
    <row r="649" spans="36:36" x14ac:dyDescent="0.4">
      <c r="AJ649">
        <v>427635</v>
      </c>
    </row>
    <row r="650" spans="36:36" x14ac:dyDescent="0.4">
      <c r="AJ650">
        <v>41123.699999999997</v>
      </c>
    </row>
    <row r="651" spans="36:36" x14ac:dyDescent="0.4">
      <c r="AJ651">
        <v>27983.200000000001</v>
      </c>
    </row>
    <row r="652" spans="36:36" x14ac:dyDescent="0.4">
      <c r="AJ652">
        <v>150789.6</v>
      </c>
    </row>
    <row r="653" spans="36:36" x14ac:dyDescent="0.4">
      <c r="AJ653">
        <v>143668.79999999999</v>
      </c>
    </row>
    <row r="654" spans="36:36" x14ac:dyDescent="0.4">
      <c r="AJ654">
        <v>60936</v>
      </c>
    </row>
    <row r="655" spans="36:36" x14ac:dyDescent="0.4">
      <c r="AJ655">
        <v>2472</v>
      </c>
    </row>
    <row r="656" spans="36:36" x14ac:dyDescent="0.4">
      <c r="AJ656">
        <v>10351.200000000001</v>
      </c>
    </row>
    <row r="657" spans="36:36" x14ac:dyDescent="0.4">
      <c r="AJ657">
        <v>234208</v>
      </c>
    </row>
    <row r="658" spans="36:36" x14ac:dyDescent="0.4">
      <c r="AJ658">
        <v>250224</v>
      </c>
    </row>
    <row r="659" spans="36:36" x14ac:dyDescent="0.4">
      <c r="AJ659">
        <v>18327.7</v>
      </c>
    </row>
    <row r="660" spans="36:36" x14ac:dyDescent="0.4">
      <c r="AJ660">
        <v>52165.35</v>
      </c>
    </row>
    <row r="661" spans="36:36" x14ac:dyDescent="0.4">
      <c r="AJ661">
        <v>157787.4</v>
      </c>
    </row>
    <row r="662" spans="36:36" x14ac:dyDescent="0.4">
      <c r="AJ662">
        <v>212552</v>
      </c>
    </row>
    <row r="663" spans="36:36" x14ac:dyDescent="0.4">
      <c r="AJ663">
        <v>112604</v>
      </c>
    </row>
    <row r="664" spans="36:36" x14ac:dyDescent="0.4">
      <c r="AJ664">
        <v>337903.2</v>
      </c>
    </row>
    <row r="665" spans="36:36" x14ac:dyDescent="0.4">
      <c r="AJ665">
        <v>3745.8</v>
      </c>
    </row>
    <row r="666" spans="36:36" x14ac:dyDescent="0.4">
      <c r="AJ666">
        <v>255941</v>
      </c>
    </row>
    <row r="667" spans="36:36" x14ac:dyDescent="0.4">
      <c r="AJ667">
        <v>32243.4</v>
      </c>
    </row>
    <row r="668" spans="36:36" x14ac:dyDescent="0.4">
      <c r="AJ668">
        <v>137384.25</v>
      </c>
    </row>
    <row r="669" spans="36:36" x14ac:dyDescent="0.4">
      <c r="AJ669">
        <v>121533</v>
      </c>
    </row>
    <row r="670" spans="36:36" x14ac:dyDescent="0.4">
      <c r="AJ670">
        <v>180608</v>
      </c>
    </row>
    <row r="671" spans="36:36" x14ac:dyDescent="0.4">
      <c r="AJ671">
        <v>427329</v>
      </c>
    </row>
    <row r="672" spans="36:36" x14ac:dyDescent="0.4">
      <c r="AJ672">
        <v>14713.2</v>
      </c>
    </row>
    <row r="673" spans="36:36" x14ac:dyDescent="0.4">
      <c r="AJ673">
        <v>254488</v>
      </c>
    </row>
    <row r="674" spans="36:36" x14ac:dyDescent="0.4">
      <c r="AJ674">
        <v>3987</v>
      </c>
    </row>
    <row r="675" spans="36:36" x14ac:dyDescent="0.4">
      <c r="AJ675">
        <v>90814</v>
      </c>
    </row>
    <row r="676" spans="36:36" x14ac:dyDescent="0.4">
      <c r="AJ676">
        <v>24502</v>
      </c>
    </row>
    <row r="677" spans="36:36" x14ac:dyDescent="0.4">
      <c r="AJ677">
        <v>112480.8</v>
      </c>
    </row>
    <row r="678" spans="36:36" x14ac:dyDescent="0.4">
      <c r="AJ678">
        <v>194178.25</v>
      </c>
    </row>
    <row r="679" spans="36:36" x14ac:dyDescent="0.4">
      <c r="AJ679">
        <v>11000</v>
      </c>
    </row>
    <row r="680" spans="36:36" x14ac:dyDescent="0.4">
      <c r="AJ680">
        <v>25381</v>
      </c>
    </row>
    <row r="681" spans="36:36" x14ac:dyDescent="0.4">
      <c r="AJ681">
        <v>34003.4</v>
      </c>
    </row>
    <row r="682" spans="36:36" x14ac:dyDescent="0.4">
      <c r="AJ682">
        <v>391980</v>
      </c>
    </row>
    <row r="683" spans="36:36" x14ac:dyDescent="0.4">
      <c r="AJ683">
        <v>57235.199999999997</v>
      </c>
    </row>
    <row r="684" spans="36:36" x14ac:dyDescent="0.4">
      <c r="AJ684">
        <v>208288.8</v>
      </c>
    </row>
    <row r="685" spans="36:36" x14ac:dyDescent="0.4">
      <c r="AJ685">
        <v>176288</v>
      </c>
    </row>
    <row r="686" spans="36:36" x14ac:dyDescent="0.4">
      <c r="AJ686">
        <v>49842.3</v>
      </c>
    </row>
    <row r="687" spans="36:36" x14ac:dyDescent="0.4">
      <c r="AJ687">
        <v>142265.60000000001</v>
      </c>
    </row>
    <row r="688" spans="36:36" x14ac:dyDescent="0.4">
      <c r="AJ688">
        <v>116531.75</v>
      </c>
    </row>
    <row r="689" spans="36:36" x14ac:dyDescent="0.4">
      <c r="AJ689">
        <v>28325.4</v>
      </c>
    </row>
    <row r="690" spans="36:36" x14ac:dyDescent="0.4">
      <c r="AJ690">
        <v>213422.25</v>
      </c>
    </row>
    <row r="691" spans="36:36" x14ac:dyDescent="0.4">
      <c r="AJ691">
        <v>23462.15</v>
      </c>
    </row>
    <row r="692" spans="36:36" x14ac:dyDescent="0.4">
      <c r="AJ692">
        <v>155433.60000000001</v>
      </c>
    </row>
    <row r="693" spans="36:36" x14ac:dyDescent="0.4">
      <c r="AJ693">
        <v>119693.6</v>
      </c>
    </row>
    <row r="694" spans="36:36" x14ac:dyDescent="0.4">
      <c r="AJ694">
        <v>298245.59999999998</v>
      </c>
    </row>
    <row r="695" spans="36:36" x14ac:dyDescent="0.4">
      <c r="AJ695">
        <v>191511</v>
      </c>
    </row>
    <row r="696" spans="36:36" x14ac:dyDescent="0.4">
      <c r="AJ696">
        <v>111848.4</v>
      </c>
    </row>
    <row r="697" spans="36:36" x14ac:dyDescent="0.4">
      <c r="AJ697">
        <v>3864</v>
      </c>
    </row>
    <row r="698" spans="36:36" x14ac:dyDescent="0.4">
      <c r="AJ698">
        <v>140844</v>
      </c>
    </row>
    <row r="699" spans="36:36" x14ac:dyDescent="0.4">
      <c r="AJ699">
        <v>31280.799999999999</v>
      </c>
    </row>
    <row r="700" spans="36:36" x14ac:dyDescent="0.4">
      <c r="AJ700">
        <v>96420.800000000003</v>
      </c>
    </row>
    <row r="701" spans="36:36" x14ac:dyDescent="0.4">
      <c r="AJ701">
        <v>40620</v>
      </c>
    </row>
    <row r="702" spans="36:36" x14ac:dyDescent="0.4">
      <c r="AJ702">
        <v>148318.20000000001</v>
      </c>
    </row>
    <row r="703" spans="36:36" x14ac:dyDescent="0.4">
      <c r="AJ703">
        <v>1411.2</v>
      </c>
    </row>
    <row r="704" spans="36:36" x14ac:dyDescent="0.4">
      <c r="AJ704">
        <v>2397.6</v>
      </c>
    </row>
    <row r="705" spans="36:36" x14ac:dyDescent="0.4">
      <c r="AJ705">
        <v>20116.25</v>
      </c>
    </row>
    <row r="706" spans="36:36" x14ac:dyDescent="0.4">
      <c r="AJ706">
        <v>200912.4</v>
      </c>
    </row>
    <row r="707" spans="36:36" x14ac:dyDescent="0.4">
      <c r="AJ707">
        <v>130320</v>
      </c>
    </row>
    <row r="708" spans="36:36" x14ac:dyDescent="0.4">
      <c r="AJ708">
        <v>76717.600000000006</v>
      </c>
    </row>
    <row r="709" spans="36:36" x14ac:dyDescent="0.4">
      <c r="AJ709">
        <v>152819.20000000001</v>
      </c>
    </row>
    <row r="710" spans="36:36" x14ac:dyDescent="0.4">
      <c r="AJ710">
        <v>28131.599999999999</v>
      </c>
    </row>
    <row r="711" spans="36:36" x14ac:dyDescent="0.4">
      <c r="AJ711">
        <v>119718</v>
      </c>
    </row>
    <row r="712" spans="36:36" x14ac:dyDescent="0.4">
      <c r="AJ712">
        <v>121867.05</v>
      </c>
    </row>
    <row r="713" spans="36:36" x14ac:dyDescent="0.4">
      <c r="AJ713">
        <v>7053.75</v>
      </c>
    </row>
    <row r="714" spans="36:36" x14ac:dyDescent="0.4">
      <c r="AJ714">
        <v>259848</v>
      </c>
    </row>
    <row r="715" spans="36:36" x14ac:dyDescent="0.4">
      <c r="AJ715">
        <v>124556.4</v>
      </c>
    </row>
    <row r="716" spans="36:36" x14ac:dyDescent="0.4">
      <c r="AJ716">
        <v>145118.79999999999</v>
      </c>
    </row>
    <row r="717" spans="36:36" x14ac:dyDescent="0.4">
      <c r="AJ717">
        <v>56722.2</v>
      </c>
    </row>
    <row r="718" spans="36:36" x14ac:dyDescent="0.4">
      <c r="AJ718">
        <v>37808</v>
      </c>
    </row>
    <row r="719" spans="36:36" x14ac:dyDescent="0.4">
      <c r="AJ719">
        <v>66849.600000000006</v>
      </c>
    </row>
    <row r="720" spans="36:36" x14ac:dyDescent="0.4">
      <c r="AJ720">
        <v>382695.5</v>
      </c>
    </row>
    <row r="721" spans="36:36" x14ac:dyDescent="0.4">
      <c r="AJ721">
        <v>41788.800000000003</v>
      </c>
    </row>
    <row r="722" spans="36:36" x14ac:dyDescent="0.4">
      <c r="AJ722">
        <v>292080</v>
      </c>
    </row>
    <row r="723" spans="36:36" x14ac:dyDescent="0.4">
      <c r="AJ723">
        <v>79940.600000000006</v>
      </c>
    </row>
    <row r="724" spans="36:36" x14ac:dyDescent="0.4">
      <c r="AJ724">
        <v>61825.5</v>
      </c>
    </row>
    <row r="725" spans="36:36" x14ac:dyDescent="0.4">
      <c r="AJ725">
        <v>153346.79999999999</v>
      </c>
    </row>
    <row r="726" spans="36:36" x14ac:dyDescent="0.4">
      <c r="AJ726">
        <v>77109.600000000006</v>
      </c>
    </row>
    <row r="727" spans="36:36" x14ac:dyDescent="0.4">
      <c r="AJ727">
        <v>80251.199999999997</v>
      </c>
    </row>
    <row r="728" spans="36:36" x14ac:dyDescent="0.4">
      <c r="AJ728">
        <v>135916.5</v>
      </c>
    </row>
    <row r="729" spans="36:36" x14ac:dyDescent="0.4">
      <c r="AJ729">
        <v>381492</v>
      </c>
    </row>
    <row r="730" spans="36:36" x14ac:dyDescent="0.4">
      <c r="AJ730">
        <v>103769.60000000001</v>
      </c>
    </row>
    <row r="731" spans="36:36" x14ac:dyDescent="0.4">
      <c r="AJ731">
        <v>185984.1</v>
      </c>
    </row>
    <row r="732" spans="36:36" x14ac:dyDescent="0.4">
      <c r="AJ732">
        <v>319040</v>
      </c>
    </row>
    <row r="733" spans="36:36" x14ac:dyDescent="0.4">
      <c r="AJ733">
        <v>97724</v>
      </c>
    </row>
    <row r="734" spans="36:36" x14ac:dyDescent="0.4">
      <c r="AJ734">
        <v>53759.1</v>
      </c>
    </row>
    <row r="735" spans="36:36" x14ac:dyDescent="0.4">
      <c r="AJ735">
        <v>104565.6</v>
      </c>
    </row>
    <row r="736" spans="36:36" x14ac:dyDescent="0.4">
      <c r="AJ736">
        <v>372834</v>
      </c>
    </row>
    <row r="737" spans="36:36" x14ac:dyDescent="0.4">
      <c r="AJ737">
        <v>152092.15</v>
      </c>
    </row>
    <row r="738" spans="36:36" x14ac:dyDescent="0.4">
      <c r="AJ738">
        <v>61245.9</v>
      </c>
    </row>
    <row r="739" spans="36:36" x14ac:dyDescent="0.4">
      <c r="AJ739">
        <v>69997.899999999994</v>
      </c>
    </row>
    <row r="740" spans="36:36" x14ac:dyDescent="0.4">
      <c r="AJ740">
        <v>45606</v>
      </c>
    </row>
    <row r="741" spans="36:36" x14ac:dyDescent="0.4">
      <c r="AJ741">
        <v>56502</v>
      </c>
    </row>
    <row r="742" spans="36:36" x14ac:dyDescent="0.4">
      <c r="AJ742">
        <v>214784.55</v>
      </c>
    </row>
    <row r="743" spans="36:36" x14ac:dyDescent="0.4">
      <c r="AJ743">
        <v>172478.4</v>
      </c>
    </row>
    <row r="744" spans="36:36" x14ac:dyDescent="0.4">
      <c r="AJ744">
        <v>49674</v>
      </c>
    </row>
    <row r="745" spans="36:36" x14ac:dyDescent="0.4">
      <c r="AJ745">
        <v>68391</v>
      </c>
    </row>
    <row r="746" spans="36:36" x14ac:dyDescent="0.4">
      <c r="AJ746">
        <v>200986.75</v>
      </c>
    </row>
    <row r="747" spans="36:36" x14ac:dyDescent="0.4">
      <c r="AJ747">
        <v>251253.9</v>
      </c>
    </row>
    <row r="748" spans="36:36" x14ac:dyDescent="0.4">
      <c r="AJ748">
        <v>247419.9</v>
      </c>
    </row>
    <row r="749" spans="36:36" x14ac:dyDescent="0.4">
      <c r="AJ749">
        <v>81544</v>
      </c>
    </row>
    <row r="750" spans="36:36" x14ac:dyDescent="0.4">
      <c r="AJ750">
        <v>114340</v>
      </c>
    </row>
    <row r="751" spans="36:36" x14ac:dyDescent="0.4">
      <c r="AJ751">
        <v>8589.9</v>
      </c>
    </row>
    <row r="752" spans="36:36" x14ac:dyDescent="0.4">
      <c r="AJ752">
        <v>225328</v>
      </c>
    </row>
    <row r="753" spans="36:36" x14ac:dyDescent="0.4">
      <c r="AJ753">
        <v>199712</v>
      </c>
    </row>
    <row r="754" spans="36:36" x14ac:dyDescent="0.4">
      <c r="AJ754">
        <v>405639</v>
      </c>
    </row>
    <row r="755" spans="36:36" x14ac:dyDescent="0.4">
      <c r="AJ755">
        <v>55574.1</v>
      </c>
    </row>
    <row r="756" spans="36:36" x14ac:dyDescent="0.4">
      <c r="AJ756">
        <v>99606</v>
      </c>
    </row>
    <row r="757" spans="36:36" x14ac:dyDescent="0.4">
      <c r="AJ757">
        <v>91691.199999999997</v>
      </c>
    </row>
    <row r="758" spans="36:36" x14ac:dyDescent="0.4">
      <c r="AJ758">
        <v>136960.5</v>
      </c>
    </row>
    <row r="759" spans="36:36" x14ac:dyDescent="0.4">
      <c r="AJ759">
        <v>130773.2</v>
      </c>
    </row>
    <row r="760" spans="36:36" x14ac:dyDescent="0.4">
      <c r="AJ760">
        <v>18681.599999999999</v>
      </c>
    </row>
    <row r="761" spans="36:36" x14ac:dyDescent="0.4">
      <c r="AJ761">
        <v>61764</v>
      </c>
    </row>
    <row r="762" spans="36:36" x14ac:dyDescent="0.4">
      <c r="AJ762">
        <v>143362.79999999999</v>
      </c>
    </row>
    <row r="763" spans="36:36" x14ac:dyDescent="0.4">
      <c r="AJ763">
        <v>139042.95000000001</v>
      </c>
    </row>
    <row r="764" spans="36:36" x14ac:dyDescent="0.4">
      <c r="AJ764">
        <v>83221.8</v>
      </c>
    </row>
    <row r="765" spans="36:36" x14ac:dyDescent="0.4">
      <c r="AJ765">
        <v>98770.5</v>
      </c>
    </row>
    <row r="766" spans="36:36" x14ac:dyDescent="0.4">
      <c r="AJ766">
        <v>73659.3</v>
      </c>
    </row>
    <row r="767" spans="36:36" x14ac:dyDescent="0.4">
      <c r="AJ767">
        <v>21261.599999999999</v>
      </c>
    </row>
    <row r="768" spans="36:36" x14ac:dyDescent="0.4">
      <c r="AJ768">
        <v>311895.59999999998</v>
      </c>
    </row>
    <row r="769" spans="36:36" x14ac:dyDescent="0.4">
      <c r="AJ769">
        <v>297024</v>
      </c>
    </row>
    <row r="770" spans="36:36" x14ac:dyDescent="0.4">
      <c r="AJ770">
        <v>318905.59999999998</v>
      </c>
    </row>
    <row r="771" spans="36:36" x14ac:dyDescent="0.4">
      <c r="AJ771">
        <v>39454.400000000001</v>
      </c>
    </row>
    <row r="772" spans="36:36" x14ac:dyDescent="0.4">
      <c r="AJ772">
        <v>8873.6</v>
      </c>
    </row>
    <row r="773" spans="36:36" x14ac:dyDescent="0.4">
      <c r="AJ773">
        <v>21246.6</v>
      </c>
    </row>
    <row r="774" spans="36:36" x14ac:dyDescent="0.4">
      <c r="AJ774">
        <v>196302.4</v>
      </c>
    </row>
    <row r="775" spans="36:36" x14ac:dyDescent="0.4">
      <c r="AJ775">
        <v>58620</v>
      </c>
    </row>
    <row r="776" spans="36:36" x14ac:dyDescent="0.4">
      <c r="AJ776">
        <v>412186</v>
      </c>
    </row>
    <row r="777" spans="36:36" x14ac:dyDescent="0.4">
      <c r="AJ777">
        <v>187108</v>
      </c>
    </row>
    <row r="778" spans="36:36" x14ac:dyDescent="0.4">
      <c r="AJ778">
        <v>144412.79999999999</v>
      </c>
    </row>
    <row r="779" spans="36:36" x14ac:dyDescent="0.4">
      <c r="AJ779">
        <v>261927</v>
      </c>
    </row>
    <row r="780" spans="36:36" x14ac:dyDescent="0.4">
      <c r="AJ780">
        <v>89438.7</v>
      </c>
    </row>
    <row r="781" spans="36:36" x14ac:dyDescent="0.4">
      <c r="AJ781">
        <v>211809.15</v>
      </c>
    </row>
    <row r="782" spans="36:36" x14ac:dyDescent="0.4">
      <c r="AJ782">
        <v>204981.5</v>
      </c>
    </row>
    <row r="783" spans="36:36" x14ac:dyDescent="0.4">
      <c r="AJ783">
        <v>47555.1</v>
      </c>
    </row>
    <row r="784" spans="36:36" x14ac:dyDescent="0.4">
      <c r="AJ784">
        <v>17424</v>
      </c>
    </row>
    <row r="785" spans="36:36" x14ac:dyDescent="0.4">
      <c r="AJ785">
        <v>123786.9</v>
      </c>
    </row>
    <row r="786" spans="36:36" x14ac:dyDescent="0.4">
      <c r="AJ786">
        <v>121153.05</v>
      </c>
    </row>
    <row r="787" spans="36:36" x14ac:dyDescent="0.4">
      <c r="AJ787">
        <v>37571.199999999997</v>
      </c>
    </row>
    <row r="788" spans="36:36" x14ac:dyDescent="0.4">
      <c r="AJ788">
        <v>437408.5</v>
      </c>
    </row>
    <row r="789" spans="36:36" x14ac:dyDescent="0.4">
      <c r="AJ789">
        <v>31783.200000000001</v>
      </c>
    </row>
    <row r="790" spans="36:36" x14ac:dyDescent="0.4">
      <c r="AJ790">
        <v>349070.4</v>
      </c>
    </row>
    <row r="791" spans="36:36" x14ac:dyDescent="0.4">
      <c r="AJ791">
        <v>89763.6</v>
      </c>
    </row>
    <row r="792" spans="36:36" x14ac:dyDescent="0.4">
      <c r="AJ792">
        <v>318364</v>
      </c>
    </row>
    <row r="793" spans="36:36" x14ac:dyDescent="0.4">
      <c r="AJ793">
        <v>114715.2</v>
      </c>
    </row>
    <row r="794" spans="36:36" x14ac:dyDescent="0.4">
      <c r="AJ794">
        <v>132204.79999999999</v>
      </c>
    </row>
    <row r="795" spans="36:36" x14ac:dyDescent="0.4">
      <c r="AJ795">
        <v>189918</v>
      </c>
    </row>
    <row r="796" spans="36:36" x14ac:dyDescent="0.4">
      <c r="AJ796">
        <v>106832</v>
      </c>
    </row>
    <row r="797" spans="36:36" x14ac:dyDescent="0.4">
      <c r="AJ797">
        <v>22556.799999999999</v>
      </c>
    </row>
    <row r="798" spans="36:36" x14ac:dyDescent="0.4">
      <c r="AJ798">
        <v>241705</v>
      </c>
    </row>
    <row r="799" spans="36:36" x14ac:dyDescent="0.4">
      <c r="AJ799">
        <v>143020.79999999999</v>
      </c>
    </row>
    <row r="800" spans="36:36" x14ac:dyDescent="0.4">
      <c r="AJ800">
        <v>53544</v>
      </c>
    </row>
    <row r="801" spans="36:36" x14ac:dyDescent="0.4">
      <c r="AJ801">
        <v>185180</v>
      </c>
    </row>
    <row r="802" spans="36:36" x14ac:dyDescent="0.4">
      <c r="AJ802">
        <v>192204</v>
      </c>
    </row>
    <row r="803" spans="36:36" x14ac:dyDescent="0.4">
      <c r="AJ803">
        <v>378594</v>
      </c>
    </row>
    <row r="804" spans="36:36" x14ac:dyDescent="0.4">
      <c r="AJ804">
        <v>253768</v>
      </c>
    </row>
    <row r="805" spans="36:36" x14ac:dyDescent="0.4">
      <c r="AJ805">
        <v>2592</v>
      </c>
    </row>
    <row r="806" spans="36:36" x14ac:dyDescent="0.4">
      <c r="AJ806">
        <v>58598.400000000001</v>
      </c>
    </row>
    <row r="807" spans="36:36" x14ac:dyDescent="0.4">
      <c r="AJ807">
        <v>124407.25</v>
      </c>
    </row>
    <row r="808" spans="36:36" x14ac:dyDescent="0.4">
      <c r="AJ808">
        <v>105984.9</v>
      </c>
    </row>
    <row r="809" spans="36:36" x14ac:dyDescent="0.4">
      <c r="AJ809">
        <v>257380.2</v>
      </c>
    </row>
    <row r="810" spans="36:36" x14ac:dyDescent="0.4">
      <c r="AJ810">
        <v>339588</v>
      </c>
    </row>
    <row r="811" spans="36:36" x14ac:dyDescent="0.4">
      <c r="AJ811">
        <v>162180</v>
      </c>
    </row>
    <row r="812" spans="36:36" x14ac:dyDescent="0.4">
      <c r="AJ812">
        <v>185108</v>
      </c>
    </row>
    <row r="813" spans="36:36" x14ac:dyDescent="0.4">
      <c r="AJ813">
        <v>6237</v>
      </c>
    </row>
    <row r="814" spans="36:36" x14ac:dyDescent="0.4">
      <c r="AJ814">
        <v>323157.59999999998</v>
      </c>
    </row>
    <row r="815" spans="36:36" x14ac:dyDescent="0.4">
      <c r="AJ815">
        <v>269208</v>
      </c>
    </row>
    <row r="816" spans="36:36" x14ac:dyDescent="0.4">
      <c r="AJ816">
        <v>33904</v>
      </c>
    </row>
    <row r="817" spans="36:36" x14ac:dyDescent="0.4">
      <c r="AJ817">
        <v>45186</v>
      </c>
    </row>
    <row r="818" spans="36:36" x14ac:dyDescent="0.4">
      <c r="AJ818">
        <v>30819.200000000001</v>
      </c>
    </row>
    <row r="819" spans="36:36" x14ac:dyDescent="0.4">
      <c r="AJ819">
        <v>113240</v>
      </c>
    </row>
    <row r="820" spans="36:36" x14ac:dyDescent="0.4">
      <c r="AJ820">
        <v>161082</v>
      </c>
    </row>
    <row r="821" spans="36:36" x14ac:dyDescent="0.4">
      <c r="AJ821">
        <v>17145.599999999999</v>
      </c>
    </row>
    <row r="822" spans="36:36" x14ac:dyDescent="0.4">
      <c r="AJ822">
        <v>34921.800000000003</v>
      </c>
    </row>
    <row r="823" spans="36:36" x14ac:dyDescent="0.4">
      <c r="AJ823">
        <v>135136</v>
      </c>
    </row>
    <row r="824" spans="36:36" x14ac:dyDescent="0.4">
      <c r="AJ824">
        <v>21808.45</v>
      </c>
    </row>
    <row r="825" spans="36:36" x14ac:dyDescent="0.4">
      <c r="AJ825">
        <v>144333.4</v>
      </c>
    </row>
    <row r="826" spans="36:36" x14ac:dyDescent="0.4">
      <c r="AJ826">
        <v>42978.95</v>
      </c>
    </row>
    <row r="827" spans="36:36" x14ac:dyDescent="0.4">
      <c r="AJ827">
        <v>46583.4</v>
      </c>
    </row>
    <row r="828" spans="36:36" x14ac:dyDescent="0.4">
      <c r="AJ828">
        <v>28322</v>
      </c>
    </row>
    <row r="829" spans="36:36" x14ac:dyDescent="0.4">
      <c r="AJ829">
        <v>28870.5</v>
      </c>
    </row>
    <row r="830" spans="36:36" x14ac:dyDescent="0.4">
      <c r="AJ830">
        <v>34728</v>
      </c>
    </row>
    <row r="831" spans="36:36" x14ac:dyDescent="0.4">
      <c r="AJ831">
        <v>307673.09999999998</v>
      </c>
    </row>
    <row r="832" spans="36:36" x14ac:dyDescent="0.4">
      <c r="AJ832">
        <v>341490</v>
      </c>
    </row>
    <row r="833" spans="36:36" x14ac:dyDescent="0.4">
      <c r="AJ833">
        <v>40688</v>
      </c>
    </row>
    <row r="834" spans="36:36" x14ac:dyDescent="0.4">
      <c r="AJ834">
        <v>117523</v>
      </c>
    </row>
    <row r="835" spans="36:36" x14ac:dyDescent="0.4">
      <c r="AJ835">
        <v>39132</v>
      </c>
    </row>
    <row r="836" spans="36:36" x14ac:dyDescent="0.4">
      <c r="AJ836">
        <v>58570.400000000001</v>
      </c>
    </row>
    <row r="837" spans="36:36" x14ac:dyDescent="0.4">
      <c r="AJ837">
        <v>28107</v>
      </c>
    </row>
    <row r="838" spans="36:36" x14ac:dyDescent="0.4">
      <c r="AJ838">
        <v>171108</v>
      </c>
    </row>
    <row r="839" spans="36:36" x14ac:dyDescent="0.4">
      <c r="AJ839">
        <v>152128.79999999999</v>
      </c>
    </row>
    <row r="840" spans="36:36" x14ac:dyDescent="0.4">
      <c r="AJ840">
        <v>284641</v>
      </c>
    </row>
    <row r="841" spans="36:36" x14ac:dyDescent="0.4">
      <c r="AJ841">
        <v>155422.5</v>
      </c>
    </row>
    <row r="842" spans="36:36" x14ac:dyDescent="0.4">
      <c r="AJ842">
        <v>27222.400000000001</v>
      </c>
    </row>
    <row r="843" spans="36:36" x14ac:dyDescent="0.4">
      <c r="AJ843">
        <v>17841.95</v>
      </c>
    </row>
    <row r="844" spans="36:36" x14ac:dyDescent="0.4">
      <c r="AJ844">
        <v>100623</v>
      </c>
    </row>
    <row r="845" spans="36:36" x14ac:dyDescent="0.4">
      <c r="AJ845">
        <v>54913.599999999999</v>
      </c>
    </row>
    <row r="846" spans="36:36" x14ac:dyDescent="0.4">
      <c r="AJ846">
        <v>7397.1</v>
      </c>
    </row>
    <row r="847" spans="36:36" x14ac:dyDescent="0.4">
      <c r="AJ847">
        <v>13905.6</v>
      </c>
    </row>
    <row r="848" spans="36:36" x14ac:dyDescent="0.4">
      <c r="AJ848">
        <v>158861.85</v>
      </c>
    </row>
    <row r="849" spans="36:36" x14ac:dyDescent="0.4">
      <c r="AJ849">
        <v>232515</v>
      </c>
    </row>
    <row r="850" spans="36:36" x14ac:dyDescent="0.4">
      <c r="AJ850">
        <v>211876</v>
      </c>
    </row>
    <row r="851" spans="36:36" x14ac:dyDescent="0.4">
      <c r="AJ851">
        <v>27535.75</v>
      </c>
    </row>
    <row r="852" spans="36:36" x14ac:dyDescent="0.4">
      <c r="AJ852">
        <v>81430</v>
      </c>
    </row>
    <row r="853" spans="36:36" x14ac:dyDescent="0.4">
      <c r="AJ853">
        <v>120625.2</v>
      </c>
    </row>
    <row r="854" spans="36:36" x14ac:dyDescent="0.4">
      <c r="AJ854">
        <v>91029.9</v>
      </c>
    </row>
    <row r="855" spans="36:36" x14ac:dyDescent="0.4">
      <c r="AJ855">
        <v>217551.6</v>
      </c>
    </row>
    <row r="856" spans="36:36" x14ac:dyDescent="0.4">
      <c r="AJ856">
        <v>23400.9</v>
      </c>
    </row>
    <row r="857" spans="36:36" x14ac:dyDescent="0.4">
      <c r="AJ857">
        <v>106248</v>
      </c>
    </row>
    <row r="858" spans="36:36" x14ac:dyDescent="0.4">
      <c r="AJ858">
        <v>235225</v>
      </c>
    </row>
    <row r="859" spans="36:36" x14ac:dyDescent="0.4">
      <c r="AJ859">
        <v>234915</v>
      </c>
    </row>
    <row r="860" spans="36:36" x14ac:dyDescent="0.4">
      <c r="AJ860">
        <v>11958.6</v>
      </c>
    </row>
    <row r="861" spans="36:36" x14ac:dyDescent="0.4">
      <c r="AJ861">
        <v>9172.7999999999993</v>
      </c>
    </row>
    <row r="862" spans="36:36" x14ac:dyDescent="0.4">
      <c r="AJ862">
        <v>122767.2</v>
      </c>
    </row>
    <row r="863" spans="36:36" x14ac:dyDescent="0.4">
      <c r="AJ863">
        <v>193752</v>
      </c>
    </row>
    <row r="864" spans="36:36" x14ac:dyDescent="0.4">
      <c r="AJ864">
        <v>109235.75</v>
      </c>
    </row>
    <row r="865" spans="36:36" x14ac:dyDescent="0.4">
      <c r="AJ865">
        <v>21828</v>
      </c>
    </row>
    <row r="866" spans="36:36" x14ac:dyDescent="0.4">
      <c r="AJ866">
        <v>3597.65</v>
      </c>
    </row>
    <row r="867" spans="36:36" x14ac:dyDescent="0.4">
      <c r="AJ867">
        <v>46134</v>
      </c>
    </row>
    <row r="868" spans="36:36" x14ac:dyDescent="0.4">
      <c r="AJ868">
        <v>43026.45</v>
      </c>
    </row>
    <row r="869" spans="36:36" x14ac:dyDescent="0.4">
      <c r="AJ869">
        <v>254528</v>
      </c>
    </row>
    <row r="870" spans="36:36" x14ac:dyDescent="0.4">
      <c r="AJ870">
        <v>19713.45</v>
      </c>
    </row>
    <row r="871" spans="36:36" x14ac:dyDescent="0.4">
      <c r="AJ871">
        <v>134590</v>
      </c>
    </row>
    <row r="872" spans="36:36" x14ac:dyDescent="0.4">
      <c r="AJ872">
        <v>63188.1</v>
      </c>
    </row>
    <row r="873" spans="36:36" x14ac:dyDescent="0.4">
      <c r="AJ873">
        <v>18496.5</v>
      </c>
    </row>
    <row r="874" spans="36:36" x14ac:dyDescent="0.4">
      <c r="AJ874">
        <v>436449</v>
      </c>
    </row>
    <row r="875" spans="36:36" x14ac:dyDescent="0.4">
      <c r="AJ875">
        <v>8020.8</v>
      </c>
    </row>
    <row r="876" spans="36:36" x14ac:dyDescent="0.4">
      <c r="AJ876">
        <v>208664</v>
      </c>
    </row>
    <row r="877" spans="36:36" x14ac:dyDescent="0.4">
      <c r="AJ877">
        <v>82506.600000000006</v>
      </c>
    </row>
    <row r="878" spans="36:36" x14ac:dyDescent="0.4">
      <c r="AJ878">
        <v>61828.800000000003</v>
      </c>
    </row>
    <row r="879" spans="36:36" x14ac:dyDescent="0.4">
      <c r="AJ879">
        <v>112656.6</v>
      </c>
    </row>
    <row r="880" spans="36:36" x14ac:dyDescent="0.4">
      <c r="AJ880">
        <v>242227.20000000001</v>
      </c>
    </row>
    <row r="881" spans="36:36" x14ac:dyDescent="0.4">
      <c r="AJ881">
        <v>201876.3</v>
      </c>
    </row>
    <row r="882" spans="36:36" x14ac:dyDescent="0.4">
      <c r="AJ882">
        <v>88005.15</v>
      </c>
    </row>
    <row r="883" spans="36:36" x14ac:dyDescent="0.4">
      <c r="AJ883">
        <v>352655.2</v>
      </c>
    </row>
    <row r="884" spans="36:36" x14ac:dyDescent="0.4">
      <c r="AJ884">
        <v>31908.15</v>
      </c>
    </row>
    <row r="885" spans="36:36" x14ac:dyDescent="0.4">
      <c r="AJ885">
        <v>41356.800000000003</v>
      </c>
    </row>
    <row r="886" spans="36:36" x14ac:dyDescent="0.4">
      <c r="AJ886">
        <v>370439.2</v>
      </c>
    </row>
    <row r="887" spans="36:36" x14ac:dyDescent="0.4">
      <c r="AJ887">
        <v>70110.95</v>
      </c>
    </row>
    <row r="888" spans="36:36" x14ac:dyDescent="0.4">
      <c r="AJ888">
        <v>11442.6</v>
      </c>
    </row>
    <row r="889" spans="36:36" x14ac:dyDescent="0.4">
      <c r="AJ889">
        <v>3747.6</v>
      </c>
    </row>
    <row r="890" spans="36:36" x14ac:dyDescent="0.4">
      <c r="AJ890">
        <v>81432</v>
      </c>
    </row>
    <row r="891" spans="36:36" x14ac:dyDescent="0.4">
      <c r="AJ891">
        <v>242349.45</v>
      </c>
    </row>
    <row r="892" spans="36:36" x14ac:dyDescent="0.4">
      <c r="AJ892">
        <v>111014.39999999999</v>
      </c>
    </row>
    <row r="893" spans="36:36" x14ac:dyDescent="0.4">
      <c r="AJ893">
        <v>63720</v>
      </c>
    </row>
    <row r="894" spans="36:36" x14ac:dyDescent="0.4">
      <c r="AJ894">
        <v>3086.1</v>
      </c>
    </row>
    <row r="895" spans="36:36" x14ac:dyDescent="0.4">
      <c r="AJ895">
        <v>148572.79999999999</v>
      </c>
    </row>
    <row r="896" spans="36:36" x14ac:dyDescent="0.4">
      <c r="AJ896">
        <v>54467</v>
      </c>
    </row>
    <row r="897" spans="36:36" x14ac:dyDescent="0.4">
      <c r="AJ897">
        <v>61176</v>
      </c>
    </row>
    <row r="898" spans="36:36" x14ac:dyDescent="0.4">
      <c r="AJ898">
        <v>123336</v>
      </c>
    </row>
    <row r="899" spans="36:36" x14ac:dyDescent="0.4">
      <c r="AJ899">
        <v>23335.200000000001</v>
      </c>
    </row>
    <row r="900" spans="36:36" x14ac:dyDescent="0.4">
      <c r="AJ900">
        <v>27290.400000000001</v>
      </c>
    </row>
    <row r="901" spans="36:36" x14ac:dyDescent="0.4">
      <c r="AJ901">
        <v>27496</v>
      </c>
    </row>
    <row r="902" spans="36:36" x14ac:dyDescent="0.4">
      <c r="AJ902">
        <v>118160</v>
      </c>
    </row>
    <row r="903" spans="36:36" x14ac:dyDescent="0.4">
      <c r="AJ903">
        <v>228216</v>
      </c>
    </row>
    <row r="904" spans="36:36" x14ac:dyDescent="0.4">
      <c r="AJ904">
        <v>325497.59999999998</v>
      </c>
    </row>
    <row r="905" spans="36:36" x14ac:dyDescent="0.4">
      <c r="AJ905">
        <v>56236.800000000003</v>
      </c>
    </row>
    <row r="906" spans="36:36" x14ac:dyDescent="0.4">
      <c r="AJ906">
        <v>105078.39999999999</v>
      </c>
    </row>
    <row r="907" spans="36:36" x14ac:dyDescent="0.4">
      <c r="AJ907">
        <v>7007</v>
      </c>
    </row>
    <row r="908" spans="36:36" x14ac:dyDescent="0.4">
      <c r="AJ908">
        <v>240930</v>
      </c>
    </row>
    <row r="909" spans="36:36" x14ac:dyDescent="0.4">
      <c r="AJ909">
        <v>401751.9</v>
      </c>
    </row>
    <row r="910" spans="36:36" x14ac:dyDescent="0.4">
      <c r="AJ910">
        <v>50112</v>
      </c>
    </row>
    <row r="911" spans="36:36" x14ac:dyDescent="0.4">
      <c r="AJ911">
        <v>236016</v>
      </c>
    </row>
    <row r="912" spans="36:36" x14ac:dyDescent="0.4">
      <c r="AJ912">
        <v>18910.8</v>
      </c>
    </row>
    <row r="913" spans="36:36" x14ac:dyDescent="0.4">
      <c r="AJ913">
        <v>186922</v>
      </c>
    </row>
    <row r="914" spans="36:36" x14ac:dyDescent="0.4">
      <c r="AJ914">
        <v>31512</v>
      </c>
    </row>
    <row r="915" spans="36:36" x14ac:dyDescent="0.4">
      <c r="AJ915">
        <v>232152</v>
      </c>
    </row>
    <row r="916" spans="36:36" x14ac:dyDescent="0.4">
      <c r="AJ916">
        <v>83932.2</v>
      </c>
    </row>
    <row r="917" spans="36:36" x14ac:dyDescent="0.4">
      <c r="AJ917">
        <v>231602.4</v>
      </c>
    </row>
    <row r="918" spans="36:36" x14ac:dyDescent="0.4">
      <c r="AJ918">
        <v>72168</v>
      </c>
    </row>
    <row r="919" spans="36:36" x14ac:dyDescent="0.4">
      <c r="AJ919">
        <v>57120</v>
      </c>
    </row>
    <row r="920" spans="36:36" x14ac:dyDescent="0.4">
      <c r="AJ920">
        <v>131131.35</v>
      </c>
    </row>
    <row r="921" spans="36:36" x14ac:dyDescent="0.4">
      <c r="AJ921">
        <v>106993.60000000001</v>
      </c>
    </row>
    <row r="922" spans="36:36" x14ac:dyDescent="0.4">
      <c r="AJ922">
        <v>70313.7</v>
      </c>
    </row>
    <row r="923" spans="36:36" x14ac:dyDescent="0.4">
      <c r="AJ923">
        <v>3006.75</v>
      </c>
    </row>
    <row r="924" spans="36:36" x14ac:dyDescent="0.4">
      <c r="AJ924">
        <v>11856</v>
      </c>
    </row>
    <row r="925" spans="36:36" x14ac:dyDescent="0.4">
      <c r="AJ925">
        <v>40884</v>
      </c>
    </row>
    <row r="926" spans="36:36" x14ac:dyDescent="0.4">
      <c r="AJ926">
        <v>90698</v>
      </c>
    </row>
    <row r="927" spans="36:36" x14ac:dyDescent="0.4">
      <c r="AJ927">
        <v>17459.2</v>
      </c>
    </row>
    <row r="928" spans="36:36" x14ac:dyDescent="0.4">
      <c r="AJ928">
        <v>92834</v>
      </c>
    </row>
    <row r="929" spans="36:36" x14ac:dyDescent="0.4">
      <c r="AJ929">
        <v>132595</v>
      </c>
    </row>
    <row r="930" spans="36:36" x14ac:dyDescent="0.4">
      <c r="AJ930">
        <v>379261.5</v>
      </c>
    </row>
    <row r="931" spans="36:36" x14ac:dyDescent="0.4">
      <c r="AJ931">
        <v>40845.599999999999</v>
      </c>
    </row>
    <row r="932" spans="36:36" x14ac:dyDescent="0.4">
      <c r="AJ932">
        <v>129924</v>
      </c>
    </row>
    <row r="933" spans="36:36" x14ac:dyDescent="0.4">
      <c r="AJ933">
        <v>174420</v>
      </c>
    </row>
    <row r="934" spans="36:36" x14ac:dyDescent="0.4">
      <c r="AJ934">
        <v>50112</v>
      </c>
    </row>
    <row r="935" spans="36:36" x14ac:dyDescent="0.4">
      <c r="AJ935">
        <v>31742.400000000001</v>
      </c>
    </row>
    <row r="936" spans="36:36" x14ac:dyDescent="0.4">
      <c r="AJ936">
        <v>65419.4</v>
      </c>
    </row>
    <row r="937" spans="36:36" x14ac:dyDescent="0.4">
      <c r="AJ937">
        <v>72191.350000000006</v>
      </c>
    </row>
    <row r="938" spans="36:36" x14ac:dyDescent="0.4">
      <c r="AJ938">
        <v>24075</v>
      </c>
    </row>
    <row r="939" spans="36:36" x14ac:dyDescent="0.4">
      <c r="AJ939">
        <v>330768</v>
      </c>
    </row>
    <row r="940" spans="36:36" x14ac:dyDescent="0.4">
      <c r="AJ940">
        <v>44006.85</v>
      </c>
    </row>
    <row r="941" spans="36:36" x14ac:dyDescent="0.4">
      <c r="AJ941">
        <v>18026.25</v>
      </c>
    </row>
    <row r="942" spans="36:36" x14ac:dyDescent="0.4">
      <c r="AJ942">
        <v>74419.199999999997</v>
      </c>
    </row>
    <row r="943" spans="36:36" x14ac:dyDescent="0.4">
      <c r="AJ943">
        <v>393786</v>
      </c>
    </row>
    <row r="944" spans="36:36" x14ac:dyDescent="0.4">
      <c r="AJ944">
        <v>1031.7</v>
      </c>
    </row>
    <row r="945" spans="36:36" x14ac:dyDescent="0.4">
      <c r="AJ945">
        <v>62436</v>
      </c>
    </row>
    <row r="946" spans="36:36" x14ac:dyDescent="0.4">
      <c r="AJ946">
        <v>201155.85</v>
      </c>
    </row>
    <row r="947" spans="36:36" x14ac:dyDescent="0.4">
      <c r="AJ947">
        <v>155128</v>
      </c>
    </row>
    <row r="948" spans="36:36" x14ac:dyDescent="0.4">
      <c r="AJ948">
        <v>263351.40000000002</v>
      </c>
    </row>
    <row r="949" spans="36:36" x14ac:dyDescent="0.4">
      <c r="AJ949">
        <v>74239.199999999997</v>
      </c>
    </row>
    <row r="950" spans="36:36" x14ac:dyDescent="0.4">
      <c r="AJ950">
        <v>195878.39999999999</v>
      </c>
    </row>
    <row r="951" spans="36:36" x14ac:dyDescent="0.4">
      <c r="AJ951">
        <v>149040</v>
      </c>
    </row>
    <row r="952" spans="36:36" x14ac:dyDescent="0.4">
      <c r="AJ952">
        <v>32476.5</v>
      </c>
    </row>
    <row r="953" spans="36:36" x14ac:dyDescent="0.4">
      <c r="AJ953">
        <v>142538.20000000001</v>
      </c>
    </row>
    <row r="954" spans="36:36" x14ac:dyDescent="0.4">
      <c r="AJ954">
        <v>112753.35</v>
      </c>
    </row>
    <row r="955" spans="36:36" x14ac:dyDescent="0.4">
      <c r="AJ955">
        <v>33160</v>
      </c>
    </row>
    <row r="956" spans="36:36" x14ac:dyDescent="0.4">
      <c r="AJ956">
        <v>246060</v>
      </c>
    </row>
    <row r="957" spans="36:36" x14ac:dyDescent="0.4">
      <c r="AJ957">
        <v>163908</v>
      </c>
    </row>
    <row r="958" spans="36:36" x14ac:dyDescent="0.4">
      <c r="AJ958">
        <v>34159.800000000003</v>
      </c>
    </row>
    <row r="959" spans="36:36" x14ac:dyDescent="0.4">
      <c r="AJ959">
        <v>358096.5</v>
      </c>
    </row>
    <row r="960" spans="36:36" x14ac:dyDescent="0.4">
      <c r="AJ960">
        <v>174440</v>
      </c>
    </row>
    <row r="961" spans="36:36" x14ac:dyDescent="0.4">
      <c r="AJ961">
        <v>152548.79999999999</v>
      </c>
    </row>
    <row r="962" spans="36:36" x14ac:dyDescent="0.4">
      <c r="AJ962">
        <v>52102.400000000001</v>
      </c>
    </row>
    <row r="963" spans="36:36" x14ac:dyDescent="0.4">
      <c r="AJ963">
        <v>176589</v>
      </c>
    </row>
    <row r="964" spans="36:36" x14ac:dyDescent="0.4">
      <c r="AJ964">
        <v>56193</v>
      </c>
    </row>
    <row r="965" spans="36:36" x14ac:dyDescent="0.4">
      <c r="AJ965">
        <v>159186</v>
      </c>
    </row>
    <row r="966" spans="36:36" x14ac:dyDescent="0.4">
      <c r="AJ966">
        <v>139449.60000000001</v>
      </c>
    </row>
    <row r="967" spans="36:36" x14ac:dyDescent="0.4">
      <c r="AJ967">
        <v>1494.9</v>
      </c>
    </row>
    <row r="968" spans="36:36" x14ac:dyDescent="0.4">
      <c r="AJ968">
        <v>228610</v>
      </c>
    </row>
    <row r="969" spans="36:36" x14ac:dyDescent="0.4">
      <c r="AJ969">
        <v>30290.400000000001</v>
      </c>
    </row>
    <row r="970" spans="36:36" x14ac:dyDescent="0.4">
      <c r="AJ970">
        <v>89282.4</v>
      </c>
    </row>
    <row r="971" spans="36:36" x14ac:dyDescent="0.4">
      <c r="AJ971">
        <v>138128</v>
      </c>
    </row>
    <row r="972" spans="36:36" x14ac:dyDescent="0.4">
      <c r="AJ972">
        <v>258886.39999999999</v>
      </c>
    </row>
    <row r="973" spans="36:36" x14ac:dyDescent="0.4">
      <c r="AJ973">
        <v>167427</v>
      </c>
    </row>
    <row r="974" spans="36:36" x14ac:dyDescent="0.4">
      <c r="AJ974">
        <v>262785.59999999998</v>
      </c>
    </row>
    <row r="975" spans="36:36" x14ac:dyDescent="0.4">
      <c r="AJ975">
        <v>106677</v>
      </c>
    </row>
    <row r="976" spans="36:36" x14ac:dyDescent="0.4">
      <c r="AJ976">
        <v>140301</v>
      </c>
    </row>
    <row r="977" spans="36:36" x14ac:dyDescent="0.4">
      <c r="AJ977">
        <v>85221</v>
      </c>
    </row>
    <row r="978" spans="36:36" x14ac:dyDescent="0.4">
      <c r="AJ978">
        <v>36482.400000000001</v>
      </c>
    </row>
    <row r="979" spans="36:36" x14ac:dyDescent="0.4">
      <c r="AJ979">
        <v>229410</v>
      </c>
    </row>
    <row r="980" spans="36:36" x14ac:dyDescent="0.4">
      <c r="AJ980">
        <v>301101.3</v>
      </c>
    </row>
    <row r="981" spans="36:36" x14ac:dyDescent="0.4">
      <c r="AJ981">
        <v>32426.1</v>
      </c>
    </row>
    <row r="982" spans="36:36" x14ac:dyDescent="0.4">
      <c r="AJ982">
        <v>131432.1</v>
      </c>
    </row>
    <row r="983" spans="36:36" x14ac:dyDescent="0.4">
      <c r="AJ983">
        <v>152163</v>
      </c>
    </row>
    <row r="984" spans="36:36" x14ac:dyDescent="0.4">
      <c r="AJ984">
        <v>28752</v>
      </c>
    </row>
    <row r="985" spans="36:36" x14ac:dyDescent="0.4">
      <c r="AJ985">
        <v>97820</v>
      </c>
    </row>
    <row r="986" spans="36:36" x14ac:dyDescent="0.4">
      <c r="AJ986">
        <v>270232.2</v>
      </c>
    </row>
    <row r="987" spans="36:36" x14ac:dyDescent="0.4">
      <c r="AJ987">
        <v>128872.25</v>
      </c>
    </row>
    <row r="988" spans="36:36" x14ac:dyDescent="0.4">
      <c r="AJ988">
        <v>420399</v>
      </c>
    </row>
    <row r="989" spans="36:36" x14ac:dyDescent="0.4">
      <c r="AJ989">
        <v>65975.600000000006</v>
      </c>
    </row>
    <row r="990" spans="36:36" x14ac:dyDescent="0.4">
      <c r="AJ990">
        <v>192425</v>
      </c>
    </row>
    <row r="991" spans="36:36" x14ac:dyDescent="0.4">
      <c r="AJ991">
        <v>35978.800000000003</v>
      </c>
    </row>
    <row r="992" spans="36:36" x14ac:dyDescent="0.4">
      <c r="AJ992">
        <v>79776.25</v>
      </c>
    </row>
    <row r="993" spans="36:36" x14ac:dyDescent="0.4">
      <c r="AJ993">
        <v>192329.5</v>
      </c>
    </row>
    <row r="994" spans="36:36" x14ac:dyDescent="0.4">
      <c r="AJ994">
        <v>73464</v>
      </c>
    </row>
    <row r="995" spans="36:36" x14ac:dyDescent="0.4">
      <c r="AJ995">
        <v>281717.2</v>
      </c>
    </row>
    <row r="996" spans="36:36" x14ac:dyDescent="0.4">
      <c r="AJ996">
        <v>157324.79999999999</v>
      </c>
    </row>
    <row r="997" spans="36:36" x14ac:dyDescent="0.4">
      <c r="AJ997">
        <v>61081</v>
      </c>
    </row>
    <row r="998" spans="36:36" x14ac:dyDescent="0.4">
      <c r="AJ998">
        <v>17987.400000000001</v>
      </c>
    </row>
    <row r="999" spans="36:36" x14ac:dyDescent="0.4">
      <c r="AJ999">
        <v>21272</v>
      </c>
    </row>
    <row r="1000" spans="36:36" x14ac:dyDescent="0.4">
      <c r="AJ1000">
        <v>36209.25</v>
      </c>
    </row>
    <row r="1001" spans="36:36" x14ac:dyDescent="0.4">
      <c r="AJ1001">
        <v>11366.75</v>
      </c>
    </row>
    <row r="1002" spans="36:36" x14ac:dyDescent="0.4">
      <c r="AJ1002">
        <v>42780</v>
      </c>
    </row>
    <row r="1003" spans="36:36" x14ac:dyDescent="0.4">
      <c r="AJ1003">
        <v>9317.7000000000007</v>
      </c>
    </row>
    <row r="1004" spans="36:36" x14ac:dyDescent="0.4">
      <c r="AJ1004">
        <v>47097.599999999999</v>
      </c>
    </row>
    <row r="1005" spans="36:36" x14ac:dyDescent="0.4">
      <c r="AJ1005">
        <v>191893.45</v>
      </c>
    </row>
    <row r="1006" spans="36:36" x14ac:dyDescent="0.4">
      <c r="AJ1006">
        <v>49801.5</v>
      </c>
    </row>
    <row r="1007" spans="36:36" x14ac:dyDescent="0.4">
      <c r="AJ1007">
        <v>31661.599999999999</v>
      </c>
    </row>
    <row r="1008" spans="36:36" x14ac:dyDescent="0.4">
      <c r="AJ1008">
        <v>149054.39999999999</v>
      </c>
    </row>
    <row r="1009" spans="36:36" x14ac:dyDescent="0.4">
      <c r="AJ1009">
        <v>333340</v>
      </c>
    </row>
    <row r="1010" spans="36:36" x14ac:dyDescent="0.4">
      <c r="AJ1010">
        <v>206534.7</v>
      </c>
    </row>
    <row r="1011" spans="36:36" x14ac:dyDescent="0.4">
      <c r="AJ1011">
        <v>123246.6</v>
      </c>
    </row>
    <row r="1012" spans="36:36" x14ac:dyDescent="0.4">
      <c r="AJ1012">
        <v>58697.599999999999</v>
      </c>
    </row>
    <row r="1013" spans="36:36" x14ac:dyDescent="0.4">
      <c r="AJ1013">
        <v>110183.85</v>
      </c>
    </row>
    <row r="1014" spans="36:36" x14ac:dyDescent="0.4">
      <c r="AJ1014">
        <v>203476</v>
      </c>
    </row>
    <row r="1015" spans="36:36" x14ac:dyDescent="0.4">
      <c r="AJ1015">
        <v>70680.600000000006</v>
      </c>
    </row>
    <row r="1016" spans="36:36" x14ac:dyDescent="0.4">
      <c r="AJ1016">
        <v>284677.75</v>
      </c>
    </row>
    <row r="1017" spans="36:36" x14ac:dyDescent="0.4">
      <c r="AJ1017">
        <v>133728</v>
      </c>
    </row>
    <row r="1018" spans="36:36" x14ac:dyDescent="0.4">
      <c r="AJ1018">
        <v>92371.199999999997</v>
      </c>
    </row>
    <row r="1019" spans="36:36" x14ac:dyDescent="0.4">
      <c r="AJ1019">
        <v>10163.200000000001</v>
      </c>
    </row>
    <row r="1020" spans="36:36" x14ac:dyDescent="0.4">
      <c r="AJ1020">
        <v>15472.8</v>
      </c>
    </row>
    <row r="1021" spans="36:36" x14ac:dyDescent="0.4">
      <c r="AJ1021">
        <v>195872</v>
      </c>
    </row>
    <row r="1022" spans="36:36" x14ac:dyDescent="0.4">
      <c r="AJ1022">
        <v>63581.4</v>
      </c>
    </row>
    <row r="1023" spans="36:36" x14ac:dyDescent="0.4">
      <c r="AJ1023">
        <v>130783.65</v>
      </c>
    </row>
    <row r="1024" spans="36:36" x14ac:dyDescent="0.4">
      <c r="AJ1024">
        <v>101445.75</v>
      </c>
    </row>
    <row r="1025" spans="36:36" x14ac:dyDescent="0.4">
      <c r="AJ1025">
        <v>312818.40000000002</v>
      </c>
    </row>
    <row r="1026" spans="36:36" x14ac:dyDescent="0.4">
      <c r="AJ1026">
        <v>38767.5</v>
      </c>
    </row>
    <row r="1027" spans="36:36" x14ac:dyDescent="0.4">
      <c r="AJ1027">
        <v>73365</v>
      </c>
    </row>
    <row r="1028" spans="36:36" x14ac:dyDescent="0.4">
      <c r="AJ1028">
        <v>5314.4</v>
      </c>
    </row>
    <row r="1029" spans="36:36" x14ac:dyDescent="0.4">
      <c r="AJ1029">
        <v>42428.6</v>
      </c>
    </row>
    <row r="1030" spans="36:36" x14ac:dyDescent="0.4">
      <c r="AJ1030">
        <v>45594</v>
      </c>
    </row>
    <row r="1031" spans="36:36" x14ac:dyDescent="0.4">
      <c r="AJ1031">
        <v>193070.4</v>
      </c>
    </row>
    <row r="1032" spans="36:36" x14ac:dyDescent="0.4">
      <c r="AJ1032">
        <v>103852.8</v>
      </c>
    </row>
    <row r="1033" spans="36:36" x14ac:dyDescent="0.4">
      <c r="AJ1033">
        <v>39770.1</v>
      </c>
    </row>
    <row r="1034" spans="36:36" x14ac:dyDescent="0.4">
      <c r="AJ1034">
        <v>119936.7</v>
      </c>
    </row>
    <row r="1035" spans="36:36" x14ac:dyDescent="0.4">
      <c r="AJ1035">
        <v>399936</v>
      </c>
    </row>
    <row r="1036" spans="36:36" x14ac:dyDescent="0.4">
      <c r="AJ1036">
        <v>69148</v>
      </c>
    </row>
    <row r="1037" spans="36:36" x14ac:dyDescent="0.4">
      <c r="AJ1037">
        <v>167019.9</v>
      </c>
    </row>
    <row r="1038" spans="36:36" x14ac:dyDescent="0.4">
      <c r="AJ1038">
        <v>130530</v>
      </c>
    </row>
    <row r="1039" spans="36:36" x14ac:dyDescent="0.4">
      <c r="AJ1039">
        <v>171815</v>
      </c>
    </row>
    <row r="1040" spans="36:36" x14ac:dyDescent="0.4">
      <c r="AJ1040">
        <v>73070.100000000006</v>
      </c>
    </row>
    <row r="1041" spans="36:36" x14ac:dyDescent="0.4">
      <c r="AJ1041">
        <v>177678</v>
      </c>
    </row>
    <row r="1042" spans="36:36" x14ac:dyDescent="0.4">
      <c r="AJ1042">
        <v>217963.8</v>
      </c>
    </row>
    <row r="1043" spans="36:36" x14ac:dyDescent="0.4">
      <c r="AJ1043">
        <v>82900.5</v>
      </c>
    </row>
    <row r="1044" spans="36:36" x14ac:dyDescent="0.4">
      <c r="AJ1044">
        <v>154137.60000000001</v>
      </c>
    </row>
    <row r="1045" spans="36:36" x14ac:dyDescent="0.4">
      <c r="AJ1045">
        <v>114749.55</v>
      </c>
    </row>
    <row r="1046" spans="36:36" x14ac:dyDescent="0.4">
      <c r="AJ1046">
        <v>318295.59999999998</v>
      </c>
    </row>
    <row r="1047" spans="36:36" x14ac:dyDescent="0.4">
      <c r="AJ1047">
        <v>82504.649999999994</v>
      </c>
    </row>
    <row r="1048" spans="36:36" x14ac:dyDescent="0.4">
      <c r="AJ1048">
        <v>37056</v>
      </c>
    </row>
    <row r="1049" spans="36:36" x14ac:dyDescent="0.4">
      <c r="AJ1049">
        <v>86540.25</v>
      </c>
    </row>
    <row r="1050" spans="36:36" x14ac:dyDescent="0.4">
      <c r="AJ1050">
        <v>46228</v>
      </c>
    </row>
    <row r="1051" spans="36:36" x14ac:dyDescent="0.4">
      <c r="AJ1051">
        <v>126702.45</v>
      </c>
    </row>
    <row r="1052" spans="36:36" x14ac:dyDescent="0.4">
      <c r="AJ1052">
        <v>79356</v>
      </c>
    </row>
    <row r="1053" spans="36:36" x14ac:dyDescent="0.4">
      <c r="AJ1053">
        <v>288635.40000000002</v>
      </c>
    </row>
    <row r="1054" spans="36:36" x14ac:dyDescent="0.4">
      <c r="AJ1054">
        <v>259692</v>
      </c>
    </row>
    <row r="1055" spans="36:36" x14ac:dyDescent="0.4">
      <c r="AJ1055">
        <v>58134</v>
      </c>
    </row>
    <row r="1056" spans="36:36" x14ac:dyDescent="0.4">
      <c r="AJ1056">
        <v>53468</v>
      </c>
    </row>
    <row r="1057" spans="36:36" x14ac:dyDescent="0.4">
      <c r="AJ1057">
        <v>279738.90000000002</v>
      </c>
    </row>
    <row r="1058" spans="36:36" x14ac:dyDescent="0.4">
      <c r="AJ1058">
        <v>161168</v>
      </c>
    </row>
    <row r="1059" spans="36:36" x14ac:dyDescent="0.4">
      <c r="AJ1059">
        <v>115049.7</v>
      </c>
    </row>
    <row r="1060" spans="36:36" x14ac:dyDescent="0.4">
      <c r="AJ1060">
        <v>104232</v>
      </c>
    </row>
    <row r="1061" spans="36:36" x14ac:dyDescent="0.4">
      <c r="AJ1061">
        <v>64438.5</v>
      </c>
    </row>
    <row r="1062" spans="36:36" x14ac:dyDescent="0.4">
      <c r="AJ1062">
        <v>68257</v>
      </c>
    </row>
    <row r="1063" spans="36:36" x14ac:dyDescent="0.4">
      <c r="AJ1063">
        <v>195129</v>
      </c>
    </row>
    <row r="1064" spans="36:36" x14ac:dyDescent="0.4">
      <c r="AJ1064">
        <v>105695</v>
      </c>
    </row>
    <row r="1065" spans="36:36" x14ac:dyDescent="0.4">
      <c r="AJ1065">
        <v>180089</v>
      </c>
    </row>
    <row r="1066" spans="36:36" x14ac:dyDescent="0.4">
      <c r="AJ1066">
        <v>48778.2</v>
      </c>
    </row>
    <row r="1067" spans="36:36" x14ac:dyDescent="0.4">
      <c r="AJ1067">
        <v>103105</v>
      </c>
    </row>
    <row r="1068" spans="36:36" x14ac:dyDescent="0.4">
      <c r="AJ1068">
        <v>168764.4</v>
      </c>
    </row>
    <row r="1069" spans="36:36" x14ac:dyDescent="0.4">
      <c r="AJ1069">
        <v>11621.2</v>
      </c>
    </row>
    <row r="1070" spans="36:36" x14ac:dyDescent="0.4">
      <c r="AJ1070">
        <v>95492.4</v>
      </c>
    </row>
    <row r="1071" spans="36:36" x14ac:dyDescent="0.4">
      <c r="AJ1071">
        <v>30422.400000000001</v>
      </c>
    </row>
    <row r="1072" spans="36:36" x14ac:dyDescent="0.4">
      <c r="AJ1072">
        <v>85190</v>
      </c>
    </row>
    <row r="1073" spans="36:36" x14ac:dyDescent="0.4">
      <c r="AJ1073">
        <v>29096</v>
      </c>
    </row>
    <row r="1074" spans="36:36" x14ac:dyDescent="0.4">
      <c r="AJ1074">
        <v>77472</v>
      </c>
    </row>
    <row r="1075" spans="36:36" x14ac:dyDescent="0.4">
      <c r="AJ1075">
        <v>40353</v>
      </c>
    </row>
    <row r="1076" spans="36:36" x14ac:dyDescent="0.4">
      <c r="AJ1076">
        <v>103432</v>
      </c>
    </row>
    <row r="1077" spans="36:36" x14ac:dyDescent="0.4">
      <c r="AJ1077">
        <v>293604</v>
      </c>
    </row>
    <row r="1078" spans="36:36" x14ac:dyDescent="0.4">
      <c r="AJ1078">
        <v>9947.4500000000007</v>
      </c>
    </row>
    <row r="1079" spans="36:36" x14ac:dyDescent="0.4">
      <c r="AJ1079">
        <v>173484</v>
      </c>
    </row>
    <row r="1080" spans="36:36" x14ac:dyDescent="0.4">
      <c r="AJ1080">
        <v>29885.4</v>
      </c>
    </row>
    <row r="1081" spans="36:36" x14ac:dyDescent="0.4">
      <c r="AJ1081">
        <v>2426</v>
      </c>
    </row>
    <row r="1082" spans="36:36" x14ac:dyDescent="0.4">
      <c r="AJ1082">
        <v>51292.800000000003</v>
      </c>
    </row>
    <row r="1083" spans="36:36" x14ac:dyDescent="0.4">
      <c r="AJ1083">
        <v>247591.4</v>
      </c>
    </row>
    <row r="1084" spans="36:36" x14ac:dyDescent="0.4">
      <c r="AJ1084">
        <v>345153.6</v>
      </c>
    </row>
    <row r="1085" spans="36:36" x14ac:dyDescent="0.4">
      <c r="AJ1085">
        <v>104159</v>
      </c>
    </row>
    <row r="1086" spans="36:36" x14ac:dyDescent="0.4">
      <c r="AJ1086">
        <v>135873</v>
      </c>
    </row>
    <row r="1087" spans="36:36" x14ac:dyDescent="0.4">
      <c r="AJ1087">
        <v>212619</v>
      </c>
    </row>
    <row r="1088" spans="36:36" x14ac:dyDescent="0.4">
      <c r="AJ1088">
        <v>12268.8</v>
      </c>
    </row>
    <row r="1089" spans="36:36" x14ac:dyDescent="0.4">
      <c r="AJ1089">
        <v>322143.2</v>
      </c>
    </row>
    <row r="1090" spans="36:36" x14ac:dyDescent="0.4">
      <c r="AJ1090">
        <v>118664</v>
      </c>
    </row>
    <row r="1091" spans="36:36" x14ac:dyDescent="0.4">
      <c r="AJ1091">
        <v>51429.599999999999</v>
      </c>
    </row>
    <row r="1092" spans="36:36" x14ac:dyDescent="0.4">
      <c r="AJ1092">
        <v>92960</v>
      </c>
    </row>
    <row r="1093" spans="36:36" x14ac:dyDescent="0.4">
      <c r="AJ1093">
        <v>21450.6</v>
      </c>
    </row>
    <row r="1094" spans="36:36" x14ac:dyDescent="0.4">
      <c r="AJ1094">
        <v>157935.6</v>
      </c>
    </row>
    <row r="1095" spans="36:36" x14ac:dyDescent="0.4">
      <c r="AJ1095">
        <v>71558.399999999994</v>
      </c>
    </row>
    <row r="1096" spans="36:36" x14ac:dyDescent="0.4">
      <c r="AJ1096">
        <v>433589.5</v>
      </c>
    </row>
    <row r="1097" spans="36:36" x14ac:dyDescent="0.4">
      <c r="AJ1097">
        <v>33520.5</v>
      </c>
    </row>
    <row r="1098" spans="36:36" x14ac:dyDescent="0.4">
      <c r="AJ1098">
        <v>157338</v>
      </c>
    </row>
    <row r="1099" spans="36:36" x14ac:dyDescent="0.4">
      <c r="AJ1099">
        <v>71290</v>
      </c>
    </row>
    <row r="1100" spans="36:36" x14ac:dyDescent="0.4">
      <c r="AJ1100">
        <v>33547.800000000003</v>
      </c>
    </row>
    <row r="1101" spans="36:36" x14ac:dyDescent="0.4">
      <c r="AJ1101">
        <v>13144.2</v>
      </c>
    </row>
    <row r="1102" spans="36:36" x14ac:dyDescent="0.4">
      <c r="AJ1102">
        <v>79525.8</v>
      </c>
    </row>
    <row r="1103" spans="36:36" x14ac:dyDescent="0.4">
      <c r="AJ1103">
        <v>220500</v>
      </c>
    </row>
    <row r="1104" spans="36:36" x14ac:dyDescent="0.4">
      <c r="AJ1104">
        <v>189582</v>
      </c>
    </row>
    <row r="1105" spans="36:36" x14ac:dyDescent="0.4">
      <c r="AJ1105">
        <v>84676.5</v>
      </c>
    </row>
    <row r="1106" spans="36:36" x14ac:dyDescent="0.4">
      <c r="AJ1106">
        <v>148380</v>
      </c>
    </row>
    <row r="1107" spans="36:36" x14ac:dyDescent="0.4">
      <c r="AJ1107">
        <v>382109</v>
      </c>
    </row>
    <row r="1108" spans="36:36" x14ac:dyDescent="0.4">
      <c r="AJ1108">
        <v>13852</v>
      </c>
    </row>
    <row r="1109" spans="36:36" x14ac:dyDescent="0.4">
      <c r="AJ1109">
        <v>6543.3</v>
      </c>
    </row>
    <row r="1110" spans="36:36" x14ac:dyDescent="0.4">
      <c r="AJ1110">
        <v>52746.400000000001</v>
      </c>
    </row>
    <row r="1111" spans="36:36" x14ac:dyDescent="0.4">
      <c r="AJ1111">
        <v>171185.75</v>
      </c>
    </row>
    <row r="1112" spans="36:36" x14ac:dyDescent="0.4">
      <c r="AJ1112">
        <v>319737.59999999998</v>
      </c>
    </row>
    <row r="1113" spans="36:36" x14ac:dyDescent="0.4">
      <c r="AJ1113">
        <v>18112.5</v>
      </c>
    </row>
    <row r="1114" spans="36:36" x14ac:dyDescent="0.4">
      <c r="AJ1114">
        <v>210802.5</v>
      </c>
    </row>
    <row r="1115" spans="36:36" x14ac:dyDescent="0.4">
      <c r="AJ1115">
        <v>347169.6</v>
      </c>
    </row>
    <row r="1116" spans="36:36" x14ac:dyDescent="0.4">
      <c r="AJ1116">
        <v>5773.6</v>
      </c>
    </row>
    <row r="1117" spans="36:36" x14ac:dyDescent="0.4">
      <c r="AJ1117">
        <v>176152</v>
      </c>
    </row>
    <row r="1118" spans="36:36" x14ac:dyDescent="0.4">
      <c r="AJ1118">
        <v>10621.6</v>
      </c>
    </row>
    <row r="1119" spans="36:36" x14ac:dyDescent="0.4">
      <c r="AJ1119">
        <v>260640</v>
      </c>
    </row>
    <row r="1120" spans="36:36" x14ac:dyDescent="0.4">
      <c r="AJ1120">
        <v>58536</v>
      </c>
    </row>
    <row r="1121" spans="36:36" x14ac:dyDescent="0.4">
      <c r="AJ1121">
        <v>300260.8</v>
      </c>
    </row>
    <row r="1122" spans="36:36" x14ac:dyDescent="0.4">
      <c r="AJ1122">
        <v>73617.399999999994</v>
      </c>
    </row>
    <row r="1123" spans="36:36" x14ac:dyDescent="0.4">
      <c r="AJ1123">
        <v>284110.8</v>
      </c>
    </row>
    <row r="1124" spans="36:36" x14ac:dyDescent="0.4">
      <c r="AJ1124">
        <v>164569.5</v>
      </c>
    </row>
    <row r="1125" spans="36:36" x14ac:dyDescent="0.4">
      <c r="AJ1125">
        <v>118615</v>
      </c>
    </row>
    <row r="1126" spans="36:36" x14ac:dyDescent="0.4">
      <c r="AJ1126">
        <v>49742</v>
      </c>
    </row>
    <row r="1127" spans="36:36" x14ac:dyDescent="0.4">
      <c r="AJ1127">
        <v>215136</v>
      </c>
    </row>
    <row r="1128" spans="36:36" x14ac:dyDescent="0.4">
      <c r="AJ1128">
        <v>250724</v>
      </c>
    </row>
    <row r="1129" spans="36:36" x14ac:dyDescent="0.4">
      <c r="AJ1129">
        <v>73461.600000000006</v>
      </c>
    </row>
    <row r="1130" spans="36:36" x14ac:dyDescent="0.4">
      <c r="AJ1130">
        <v>30332.55</v>
      </c>
    </row>
    <row r="1131" spans="36:36" x14ac:dyDescent="0.4">
      <c r="AJ1131">
        <v>43475.8</v>
      </c>
    </row>
    <row r="1132" spans="36:36" x14ac:dyDescent="0.4">
      <c r="AJ1132">
        <v>136225.79999999999</v>
      </c>
    </row>
    <row r="1133" spans="36:36" x14ac:dyDescent="0.4">
      <c r="AJ1133">
        <v>40795.199999999997</v>
      </c>
    </row>
    <row r="1134" spans="36:36" x14ac:dyDescent="0.4">
      <c r="AJ1134">
        <v>317949.3</v>
      </c>
    </row>
    <row r="1135" spans="36:36" x14ac:dyDescent="0.4">
      <c r="AJ1135">
        <v>13586.4</v>
      </c>
    </row>
    <row r="1136" spans="36:36" x14ac:dyDescent="0.4">
      <c r="AJ1136">
        <v>109533.55</v>
      </c>
    </row>
    <row r="1137" spans="36:36" x14ac:dyDescent="0.4">
      <c r="AJ1137">
        <v>348075</v>
      </c>
    </row>
    <row r="1138" spans="36:36" x14ac:dyDescent="0.4">
      <c r="AJ1138">
        <v>85243.5</v>
      </c>
    </row>
    <row r="1139" spans="36:36" x14ac:dyDescent="0.4">
      <c r="AJ1139">
        <v>199582.65</v>
      </c>
    </row>
    <row r="1140" spans="36:36" x14ac:dyDescent="0.4">
      <c r="AJ1140">
        <v>79648</v>
      </c>
    </row>
    <row r="1141" spans="36:36" x14ac:dyDescent="0.4">
      <c r="AJ1141">
        <v>110120</v>
      </c>
    </row>
    <row r="1142" spans="36:36" x14ac:dyDescent="0.4">
      <c r="AJ1142">
        <v>195844.4</v>
      </c>
    </row>
    <row r="1143" spans="36:36" x14ac:dyDescent="0.4">
      <c r="AJ1143">
        <v>71955.899999999994</v>
      </c>
    </row>
    <row r="1144" spans="36:36" x14ac:dyDescent="0.4">
      <c r="AJ1144">
        <v>231374.4</v>
      </c>
    </row>
    <row r="1145" spans="36:36" x14ac:dyDescent="0.4">
      <c r="AJ1145">
        <v>163720.20000000001</v>
      </c>
    </row>
    <row r="1146" spans="36:36" x14ac:dyDescent="0.4">
      <c r="AJ1146">
        <v>86666.4</v>
      </c>
    </row>
    <row r="1147" spans="36:36" x14ac:dyDescent="0.4">
      <c r="AJ1147">
        <v>251966.7</v>
      </c>
    </row>
    <row r="1148" spans="36:36" x14ac:dyDescent="0.4">
      <c r="AJ1148">
        <v>5599.8</v>
      </c>
    </row>
    <row r="1149" spans="36:36" x14ac:dyDescent="0.4">
      <c r="AJ1149">
        <v>95493.6</v>
      </c>
    </row>
    <row r="1150" spans="36:36" x14ac:dyDescent="0.4">
      <c r="AJ1150">
        <v>54670.3</v>
      </c>
    </row>
    <row r="1151" spans="36:36" x14ac:dyDescent="0.4">
      <c r="AJ1151">
        <v>25646.400000000001</v>
      </c>
    </row>
    <row r="1152" spans="36:36" x14ac:dyDescent="0.4">
      <c r="AJ1152">
        <v>237145</v>
      </c>
    </row>
    <row r="1153" spans="36:36" x14ac:dyDescent="0.4">
      <c r="AJ1153">
        <v>172059.3</v>
      </c>
    </row>
    <row r="1154" spans="36:36" x14ac:dyDescent="0.4">
      <c r="AJ1154">
        <v>332864.8</v>
      </c>
    </row>
    <row r="1155" spans="36:36" x14ac:dyDescent="0.4">
      <c r="AJ1155">
        <v>21615.35</v>
      </c>
    </row>
    <row r="1156" spans="36:36" x14ac:dyDescent="0.4">
      <c r="AJ1156">
        <v>46452.15</v>
      </c>
    </row>
    <row r="1157" spans="36:36" x14ac:dyDescent="0.4">
      <c r="AJ1157">
        <v>88549.5</v>
      </c>
    </row>
    <row r="1158" spans="36:36" x14ac:dyDescent="0.4">
      <c r="AJ1158">
        <v>32493.599999999999</v>
      </c>
    </row>
    <row r="1159" spans="36:36" x14ac:dyDescent="0.4">
      <c r="AJ1159">
        <v>166620</v>
      </c>
    </row>
    <row r="1160" spans="36:36" x14ac:dyDescent="0.4">
      <c r="AJ1160">
        <v>186210</v>
      </c>
    </row>
    <row r="1161" spans="36:36" x14ac:dyDescent="0.4">
      <c r="AJ1161">
        <v>130536</v>
      </c>
    </row>
    <row r="1162" spans="36:36" x14ac:dyDescent="0.4">
      <c r="AJ1162">
        <v>128561.60000000001</v>
      </c>
    </row>
    <row r="1163" spans="36:36" x14ac:dyDescent="0.4">
      <c r="AJ1163">
        <v>45410</v>
      </c>
    </row>
    <row r="1164" spans="36:36" x14ac:dyDescent="0.4">
      <c r="AJ1164">
        <v>147609.60000000001</v>
      </c>
    </row>
    <row r="1165" spans="36:36" x14ac:dyDescent="0.4">
      <c r="AJ1165">
        <v>320615.5</v>
      </c>
    </row>
    <row r="1166" spans="36:36" x14ac:dyDescent="0.4">
      <c r="AJ1166">
        <v>66342.399999999994</v>
      </c>
    </row>
    <row r="1167" spans="36:36" x14ac:dyDescent="0.4">
      <c r="AJ1167">
        <v>123370.8</v>
      </c>
    </row>
    <row r="1168" spans="36:36" x14ac:dyDescent="0.4">
      <c r="AJ1168">
        <v>389400</v>
      </c>
    </row>
    <row r="1169" spans="36:36" x14ac:dyDescent="0.4">
      <c r="AJ1169">
        <v>81642.5</v>
      </c>
    </row>
    <row r="1170" spans="36:36" x14ac:dyDescent="0.4">
      <c r="AJ1170">
        <v>10057.200000000001</v>
      </c>
    </row>
    <row r="1171" spans="36:36" x14ac:dyDescent="0.4">
      <c r="AJ1171">
        <v>214180.2</v>
      </c>
    </row>
    <row r="1172" spans="36:36" x14ac:dyDescent="0.4">
      <c r="AJ1172">
        <v>24101.1</v>
      </c>
    </row>
    <row r="1173" spans="36:36" x14ac:dyDescent="0.4">
      <c r="AJ1173">
        <v>49925.599999999999</v>
      </c>
    </row>
    <row r="1174" spans="36:36" x14ac:dyDescent="0.4">
      <c r="AJ1174">
        <v>177873.25</v>
      </c>
    </row>
    <row r="1175" spans="36:36" x14ac:dyDescent="0.4">
      <c r="AJ1175">
        <v>203913</v>
      </c>
    </row>
    <row r="1176" spans="36:36" x14ac:dyDescent="0.4">
      <c r="AJ1176">
        <v>33795.199999999997</v>
      </c>
    </row>
    <row r="1177" spans="36:36" x14ac:dyDescent="0.4">
      <c r="AJ1177">
        <v>41031</v>
      </c>
    </row>
    <row r="1178" spans="36:36" x14ac:dyDescent="0.4">
      <c r="AJ1178">
        <v>140550.9</v>
      </c>
    </row>
    <row r="1179" spans="36:36" x14ac:dyDescent="0.4">
      <c r="AJ1179">
        <v>211137.6</v>
      </c>
    </row>
    <row r="1180" spans="36:36" x14ac:dyDescent="0.4">
      <c r="AJ1180">
        <v>58432</v>
      </c>
    </row>
    <row r="1181" spans="36:36" x14ac:dyDescent="0.4">
      <c r="AJ1181">
        <v>48955.199999999997</v>
      </c>
    </row>
    <row r="1182" spans="36:36" x14ac:dyDescent="0.4">
      <c r="AJ1182">
        <v>31470</v>
      </c>
    </row>
    <row r="1183" spans="36:36" x14ac:dyDescent="0.4">
      <c r="AJ1183">
        <v>180057.60000000001</v>
      </c>
    </row>
    <row r="1184" spans="36:36" x14ac:dyDescent="0.4">
      <c r="AJ1184">
        <v>33104.1</v>
      </c>
    </row>
    <row r="1185" spans="36:36" x14ac:dyDescent="0.4">
      <c r="AJ1185">
        <v>372159</v>
      </c>
    </row>
    <row r="1186" spans="36:36" x14ac:dyDescent="0.4">
      <c r="AJ1186">
        <v>11190</v>
      </c>
    </row>
    <row r="1187" spans="36:36" x14ac:dyDescent="0.4">
      <c r="AJ1187">
        <v>280305</v>
      </c>
    </row>
    <row r="1188" spans="36:36" x14ac:dyDescent="0.4">
      <c r="AJ1188">
        <v>55404</v>
      </c>
    </row>
    <row r="1189" spans="36:36" x14ac:dyDescent="0.4">
      <c r="AJ1189">
        <v>279756</v>
      </c>
    </row>
    <row r="1190" spans="36:36" x14ac:dyDescent="0.4">
      <c r="AJ1190">
        <v>55166.7</v>
      </c>
    </row>
    <row r="1191" spans="36:36" x14ac:dyDescent="0.4">
      <c r="AJ1191">
        <v>338022</v>
      </c>
    </row>
    <row r="1192" spans="36:36" x14ac:dyDescent="0.4">
      <c r="AJ1192">
        <v>110248</v>
      </c>
    </row>
    <row r="1193" spans="36:36" x14ac:dyDescent="0.4">
      <c r="AJ1193">
        <v>208762.5</v>
      </c>
    </row>
    <row r="1194" spans="36:36" x14ac:dyDescent="0.4">
      <c r="AJ1194">
        <v>51910</v>
      </c>
    </row>
    <row r="1195" spans="36:36" x14ac:dyDescent="0.4">
      <c r="AJ1195">
        <v>399767.4</v>
      </c>
    </row>
    <row r="1196" spans="36:36" x14ac:dyDescent="0.4">
      <c r="AJ1196">
        <v>36353.599999999999</v>
      </c>
    </row>
    <row r="1197" spans="36:36" x14ac:dyDescent="0.4">
      <c r="AJ1197">
        <v>136424</v>
      </c>
    </row>
    <row r="1198" spans="36:36" x14ac:dyDescent="0.4">
      <c r="AJ1198">
        <v>51376</v>
      </c>
    </row>
    <row r="1199" spans="36:36" x14ac:dyDescent="0.4">
      <c r="AJ1199">
        <v>736.1</v>
      </c>
    </row>
    <row r="1200" spans="36:36" x14ac:dyDescent="0.4">
      <c r="AJ1200">
        <v>87795.199999999997</v>
      </c>
    </row>
    <row r="1201" spans="36:36" x14ac:dyDescent="0.4">
      <c r="AJ1201">
        <v>42084</v>
      </c>
    </row>
    <row r="1202" spans="36:36" x14ac:dyDescent="0.4">
      <c r="AJ1202">
        <v>358120</v>
      </c>
    </row>
    <row r="1203" spans="36:36" x14ac:dyDescent="0.4">
      <c r="AJ1203">
        <v>201693.6</v>
      </c>
    </row>
    <row r="1204" spans="36:36" x14ac:dyDescent="0.4">
      <c r="AJ1204">
        <v>45662.400000000001</v>
      </c>
    </row>
    <row r="1205" spans="36:36" x14ac:dyDescent="0.4">
      <c r="AJ1205">
        <v>113904</v>
      </c>
    </row>
    <row r="1206" spans="36:36" x14ac:dyDescent="0.4">
      <c r="AJ1206">
        <v>17600.099999999999</v>
      </c>
    </row>
    <row r="1207" spans="36:36" x14ac:dyDescent="0.4">
      <c r="AJ1207">
        <v>64677.599999999999</v>
      </c>
    </row>
    <row r="1208" spans="36:36" x14ac:dyDescent="0.4">
      <c r="AJ1208">
        <v>142106.4</v>
      </c>
    </row>
    <row r="1209" spans="36:36" x14ac:dyDescent="0.4">
      <c r="AJ1209">
        <v>18422.400000000001</v>
      </c>
    </row>
    <row r="1210" spans="36:36" x14ac:dyDescent="0.4">
      <c r="AJ1210">
        <v>71396</v>
      </c>
    </row>
    <row r="1211" spans="36:36" x14ac:dyDescent="0.4">
      <c r="AJ1211">
        <v>100575</v>
      </c>
    </row>
    <row r="1212" spans="36:36" x14ac:dyDescent="0.4">
      <c r="AJ1212">
        <v>10602</v>
      </c>
    </row>
    <row r="1213" spans="36:36" x14ac:dyDescent="0.4">
      <c r="AJ1213">
        <v>175448</v>
      </c>
    </row>
    <row r="1214" spans="36:36" x14ac:dyDescent="0.4">
      <c r="AJ1214">
        <v>359768</v>
      </c>
    </row>
    <row r="1215" spans="36:36" x14ac:dyDescent="0.4">
      <c r="AJ1215">
        <v>37396.800000000003</v>
      </c>
    </row>
    <row r="1216" spans="36:36" x14ac:dyDescent="0.4">
      <c r="AJ1216">
        <v>365750</v>
      </c>
    </row>
    <row r="1217" spans="36:36" x14ac:dyDescent="0.4">
      <c r="AJ1217">
        <v>278481</v>
      </c>
    </row>
    <row r="1218" spans="36:36" x14ac:dyDescent="0.4">
      <c r="AJ1218">
        <v>17726.400000000001</v>
      </c>
    </row>
    <row r="1219" spans="36:36" x14ac:dyDescent="0.4">
      <c r="AJ1219">
        <v>313913.5</v>
      </c>
    </row>
    <row r="1220" spans="36:36" x14ac:dyDescent="0.4">
      <c r="AJ1220">
        <v>223611</v>
      </c>
    </row>
    <row r="1221" spans="36:36" x14ac:dyDescent="0.4">
      <c r="AJ1221">
        <v>191637</v>
      </c>
    </row>
    <row r="1222" spans="36:36" x14ac:dyDescent="0.4">
      <c r="AJ1222">
        <v>109161</v>
      </c>
    </row>
    <row r="1223" spans="36:36" x14ac:dyDescent="0.4">
      <c r="AJ1223">
        <v>129336</v>
      </c>
    </row>
    <row r="1224" spans="36:36" x14ac:dyDescent="0.4">
      <c r="AJ1224">
        <v>85236</v>
      </c>
    </row>
    <row r="1225" spans="36:36" x14ac:dyDescent="0.4">
      <c r="AJ1225">
        <v>48826.400000000001</v>
      </c>
    </row>
    <row r="1226" spans="36:36" x14ac:dyDescent="0.4">
      <c r="AJ1226">
        <v>57150</v>
      </c>
    </row>
    <row r="1227" spans="36:36" x14ac:dyDescent="0.4">
      <c r="AJ1227">
        <v>84213</v>
      </c>
    </row>
    <row r="1228" spans="36:36" x14ac:dyDescent="0.4">
      <c r="AJ1228">
        <v>270886</v>
      </c>
    </row>
    <row r="1229" spans="36:36" x14ac:dyDescent="0.4">
      <c r="AJ1229">
        <v>32550.400000000001</v>
      </c>
    </row>
    <row r="1230" spans="36:36" x14ac:dyDescent="0.4">
      <c r="AJ1230">
        <v>1448</v>
      </c>
    </row>
    <row r="1231" spans="36:36" x14ac:dyDescent="0.4">
      <c r="AJ1231">
        <v>296055</v>
      </c>
    </row>
    <row r="1232" spans="36:36" x14ac:dyDescent="0.4">
      <c r="AJ1232">
        <v>125183.4</v>
      </c>
    </row>
    <row r="1233" spans="36:36" x14ac:dyDescent="0.4">
      <c r="AJ1233">
        <v>379072.8</v>
      </c>
    </row>
    <row r="1234" spans="36:36" x14ac:dyDescent="0.4">
      <c r="AJ1234">
        <v>42463.1</v>
      </c>
    </row>
    <row r="1235" spans="36:36" x14ac:dyDescent="0.4">
      <c r="AJ1235">
        <v>21545.8</v>
      </c>
    </row>
    <row r="1236" spans="36:36" x14ac:dyDescent="0.4">
      <c r="AJ1236">
        <v>1007.25</v>
      </c>
    </row>
    <row r="1237" spans="36:36" x14ac:dyDescent="0.4">
      <c r="AJ1237">
        <v>30237</v>
      </c>
    </row>
    <row r="1238" spans="36:36" x14ac:dyDescent="0.4">
      <c r="AJ1238">
        <v>118092.6</v>
      </c>
    </row>
    <row r="1239" spans="36:36" x14ac:dyDescent="0.4">
      <c r="AJ1239">
        <v>31696.5</v>
      </c>
    </row>
    <row r="1240" spans="36:36" x14ac:dyDescent="0.4">
      <c r="AJ1240">
        <v>108522</v>
      </c>
    </row>
    <row r="1241" spans="36:36" x14ac:dyDescent="0.4">
      <c r="AJ1241">
        <v>86103</v>
      </c>
    </row>
    <row r="1242" spans="36:36" x14ac:dyDescent="0.4">
      <c r="AJ1242">
        <v>303933.59999999998</v>
      </c>
    </row>
    <row r="1243" spans="36:36" x14ac:dyDescent="0.4">
      <c r="AJ1243">
        <v>54646.5</v>
      </c>
    </row>
    <row r="1244" spans="36:36" x14ac:dyDescent="0.4">
      <c r="AJ1244">
        <v>9233.5499999999993</v>
      </c>
    </row>
    <row r="1245" spans="36:36" x14ac:dyDescent="0.4">
      <c r="AJ1245">
        <v>16647</v>
      </c>
    </row>
    <row r="1246" spans="36:36" x14ac:dyDescent="0.4">
      <c r="AJ1246">
        <v>43624</v>
      </c>
    </row>
    <row r="1247" spans="36:36" x14ac:dyDescent="0.4">
      <c r="AJ1247">
        <v>161355.6</v>
      </c>
    </row>
    <row r="1248" spans="36:36" x14ac:dyDescent="0.4">
      <c r="AJ1248">
        <v>75177</v>
      </c>
    </row>
    <row r="1249" spans="36:36" x14ac:dyDescent="0.4">
      <c r="AJ1249">
        <v>51605.1</v>
      </c>
    </row>
    <row r="1250" spans="36:36" x14ac:dyDescent="0.4">
      <c r="AJ1250">
        <v>30697.75</v>
      </c>
    </row>
    <row r="1251" spans="36:36" x14ac:dyDescent="0.4">
      <c r="AJ1251">
        <v>32550</v>
      </c>
    </row>
    <row r="1252" spans="36:36" x14ac:dyDescent="0.4">
      <c r="AJ1252">
        <v>20886.400000000001</v>
      </c>
    </row>
    <row r="1253" spans="36:36" x14ac:dyDescent="0.4">
      <c r="AJ1253">
        <v>273197.2</v>
      </c>
    </row>
    <row r="1254" spans="36:36" x14ac:dyDescent="0.4">
      <c r="AJ1254">
        <v>134433.45000000001</v>
      </c>
    </row>
    <row r="1255" spans="36:36" x14ac:dyDescent="0.4">
      <c r="AJ1255">
        <v>47158.2</v>
      </c>
    </row>
    <row r="1256" spans="36:36" x14ac:dyDescent="0.4">
      <c r="AJ1256">
        <v>23940</v>
      </c>
    </row>
    <row r="1257" spans="36:36" x14ac:dyDescent="0.4">
      <c r="AJ1257">
        <v>36171.25</v>
      </c>
    </row>
    <row r="1258" spans="36:36" x14ac:dyDescent="0.4">
      <c r="AJ1258">
        <v>20752.2</v>
      </c>
    </row>
    <row r="1259" spans="36:36" x14ac:dyDescent="0.4">
      <c r="AJ1259">
        <v>210961.75</v>
      </c>
    </row>
    <row r="1260" spans="36:36" x14ac:dyDescent="0.4">
      <c r="AJ1260">
        <v>189551.7</v>
      </c>
    </row>
    <row r="1261" spans="36:36" x14ac:dyDescent="0.4">
      <c r="AJ1261">
        <v>108199.2</v>
      </c>
    </row>
    <row r="1262" spans="36:36" x14ac:dyDescent="0.4">
      <c r="AJ1262">
        <v>275919</v>
      </c>
    </row>
    <row r="1263" spans="36:36" x14ac:dyDescent="0.4">
      <c r="AJ1263">
        <v>103800.8</v>
      </c>
    </row>
    <row r="1264" spans="36:36" x14ac:dyDescent="0.4">
      <c r="AJ1264">
        <v>298073.59999999998</v>
      </c>
    </row>
    <row r="1265" spans="36:36" x14ac:dyDescent="0.4">
      <c r="AJ1265">
        <v>20979</v>
      </c>
    </row>
    <row r="1266" spans="36:36" x14ac:dyDescent="0.4">
      <c r="AJ1266">
        <v>18590</v>
      </c>
    </row>
    <row r="1267" spans="36:36" x14ac:dyDescent="0.4">
      <c r="AJ1267">
        <v>238220</v>
      </c>
    </row>
    <row r="1268" spans="36:36" x14ac:dyDescent="0.4">
      <c r="AJ1268">
        <v>64680.75</v>
      </c>
    </row>
    <row r="1269" spans="36:36" x14ac:dyDescent="0.4">
      <c r="AJ1269">
        <v>84567.35</v>
      </c>
    </row>
    <row r="1270" spans="36:36" x14ac:dyDescent="0.4">
      <c r="AJ1270">
        <v>160205.15</v>
      </c>
    </row>
    <row r="1271" spans="36:36" x14ac:dyDescent="0.4">
      <c r="AJ1271">
        <v>110383.2</v>
      </c>
    </row>
    <row r="1272" spans="36:36" x14ac:dyDescent="0.4">
      <c r="AJ1272">
        <v>48762</v>
      </c>
    </row>
    <row r="1273" spans="36:36" x14ac:dyDescent="0.4">
      <c r="AJ1273">
        <v>147052</v>
      </c>
    </row>
    <row r="1274" spans="36:36" x14ac:dyDescent="0.4">
      <c r="AJ1274">
        <v>13605.9</v>
      </c>
    </row>
    <row r="1275" spans="36:36" x14ac:dyDescent="0.4">
      <c r="AJ1275">
        <v>141172</v>
      </c>
    </row>
    <row r="1276" spans="36:36" x14ac:dyDescent="0.4">
      <c r="AJ1276">
        <v>113264.7</v>
      </c>
    </row>
    <row r="1277" spans="36:36" x14ac:dyDescent="0.4">
      <c r="AJ1277">
        <v>40375</v>
      </c>
    </row>
    <row r="1278" spans="36:36" x14ac:dyDescent="0.4">
      <c r="AJ1278">
        <v>305707.15000000002</v>
      </c>
    </row>
    <row r="1279" spans="36:36" x14ac:dyDescent="0.4">
      <c r="AJ1279">
        <v>198731.7</v>
      </c>
    </row>
    <row r="1280" spans="36:36" x14ac:dyDescent="0.4">
      <c r="AJ1280">
        <v>240524.5</v>
      </c>
    </row>
    <row r="1281" spans="36:36" x14ac:dyDescent="0.4">
      <c r="AJ1281">
        <v>62434.400000000001</v>
      </c>
    </row>
    <row r="1282" spans="36:36" x14ac:dyDescent="0.4">
      <c r="AJ1282">
        <v>113654.2</v>
      </c>
    </row>
    <row r="1283" spans="36:36" x14ac:dyDescent="0.4">
      <c r="AJ1283">
        <v>421386.75</v>
      </c>
    </row>
    <row r="1284" spans="36:36" x14ac:dyDescent="0.4">
      <c r="AJ1284">
        <v>43299</v>
      </c>
    </row>
    <row r="1285" spans="36:36" x14ac:dyDescent="0.4">
      <c r="AJ1285">
        <v>347688</v>
      </c>
    </row>
    <row r="1286" spans="36:36" x14ac:dyDescent="0.4">
      <c r="AJ1286">
        <v>11364.8</v>
      </c>
    </row>
    <row r="1287" spans="36:36" x14ac:dyDescent="0.4">
      <c r="AJ1287">
        <v>392664</v>
      </c>
    </row>
    <row r="1288" spans="36:36" x14ac:dyDescent="0.4">
      <c r="AJ1288">
        <v>127674</v>
      </c>
    </row>
    <row r="1289" spans="36:36" x14ac:dyDescent="0.4">
      <c r="AJ1289">
        <v>28317.599999999999</v>
      </c>
    </row>
    <row r="1290" spans="36:36" x14ac:dyDescent="0.4">
      <c r="AJ1290">
        <v>402570</v>
      </c>
    </row>
    <row r="1291" spans="36:36" x14ac:dyDescent="0.4">
      <c r="AJ1291">
        <v>20858.400000000001</v>
      </c>
    </row>
    <row r="1292" spans="36:36" x14ac:dyDescent="0.4">
      <c r="AJ1292">
        <v>31795</v>
      </c>
    </row>
    <row r="1293" spans="36:36" x14ac:dyDescent="0.4">
      <c r="AJ1293">
        <v>77220.800000000003</v>
      </c>
    </row>
    <row r="1294" spans="36:36" x14ac:dyDescent="0.4">
      <c r="AJ1294">
        <v>231510.25</v>
      </c>
    </row>
    <row r="1295" spans="36:36" x14ac:dyDescent="0.4">
      <c r="AJ1295">
        <v>249696</v>
      </c>
    </row>
    <row r="1296" spans="36:36" x14ac:dyDescent="0.4">
      <c r="AJ1296">
        <v>228360</v>
      </c>
    </row>
    <row r="1297" spans="36:36" x14ac:dyDescent="0.4">
      <c r="AJ1297">
        <v>89436.15</v>
      </c>
    </row>
    <row r="1298" spans="36:36" x14ac:dyDescent="0.4">
      <c r="AJ1298">
        <v>31046.400000000001</v>
      </c>
    </row>
    <row r="1299" spans="36:36" x14ac:dyDescent="0.4">
      <c r="AJ1299">
        <v>254204.79999999999</v>
      </c>
    </row>
    <row r="1300" spans="36:36" x14ac:dyDescent="0.4">
      <c r="AJ1300">
        <v>10452</v>
      </c>
    </row>
    <row r="1301" spans="36:36" x14ac:dyDescent="0.4">
      <c r="AJ1301">
        <v>182752.2</v>
      </c>
    </row>
    <row r="1302" spans="36:36" x14ac:dyDescent="0.4">
      <c r="AJ1302">
        <v>105203.7</v>
      </c>
    </row>
    <row r="1303" spans="36:36" x14ac:dyDescent="0.4">
      <c r="AJ1303">
        <v>24701.599999999999</v>
      </c>
    </row>
    <row r="1304" spans="36:36" x14ac:dyDescent="0.4">
      <c r="AJ1304">
        <v>195670</v>
      </c>
    </row>
    <row r="1305" spans="36:36" x14ac:dyDescent="0.4">
      <c r="AJ1305">
        <v>161989.20000000001</v>
      </c>
    </row>
    <row r="1306" spans="36:36" x14ac:dyDescent="0.4">
      <c r="AJ1306">
        <v>19421.599999999999</v>
      </c>
    </row>
    <row r="1307" spans="36:36" x14ac:dyDescent="0.4">
      <c r="AJ1307">
        <v>35354.400000000001</v>
      </c>
    </row>
    <row r="1308" spans="36:36" x14ac:dyDescent="0.4">
      <c r="AJ1308">
        <v>12006</v>
      </c>
    </row>
    <row r="1309" spans="36:36" x14ac:dyDescent="0.4">
      <c r="AJ1309">
        <v>9620.7999999999993</v>
      </c>
    </row>
    <row r="1310" spans="36:36" x14ac:dyDescent="0.4">
      <c r="AJ1310">
        <v>161021</v>
      </c>
    </row>
    <row r="1311" spans="36:36" x14ac:dyDescent="0.4">
      <c r="AJ1311">
        <v>193674.6</v>
      </c>
    </row>
    <row r="1312" spans="36:36" x14ac:dyDescent="0.4">
      <c r="AJ1312">
        <v>288784.8</v>
      </c>
    </row>
    <row r="1313" spans="36:36" x14ac:dyDescent="0.4">
      <c r="AJ1313">
        <v>229102</v>
      </c>
    </row>
    <row r="1314" spans="36:36" x14ac:dyDescent="0.4">
      <c r="AJ1314">
        <v>90612</v>
      </c>
    </row>
    <row r="1315" spans="36:36" x14ac:dyDescent="0.4">
      <c r="AJ1315">
        <v>76867.199999999997</v>
      </c>
    </row>
    <row r="1316" spans="36:36" x14ac:dyDescent="0.4">
      <c r="AJ1316">
        <v>325260</v>
      </c>
    </row>
    <row r="1317" spans="36:36" x14ac:dyDescent="0.4">
      <c r="AJ1317">
        <v>424251</v>
      </c>
    </row>
    <row r="1318" spans="36:36" x14ac:dyDescent="0.4">
      <c r="AJ1318">
        <v>72523.95</v>
      </c>
    </row>
    <row r="1319" spans="36:36" x14ac:dyDescent="0.4">
      <c r="AJ1319">
        <v>351896</v>
      </c>
    </row>
    <row r="1320" spans="36:36" x14ac:dyDescent="0.4">
      <c r="AJ1320">
        <v>15842.2</v>
      </c>
    </row>
    <row r="1321" spans="36:36" x14ac:dyDescent="0.4">
      <c r="AJ1321">
        <v>94575.6</v>
      </c>
    </row>
    <row r="1322" spans="36:36" x14ac:dyDescent="0.4">
      <c r="AJ1322">
        <v>90266.4</v>
      </c>
    </row>
    <row r="1323" spans="36:36" x14ac:dyDescent="0.4">
      <c r="AJ1323">
        <v>26727.3</v>
      </c>
    </row>
    <row r="1324" spans="36:36" x14ac:dyDescent="0.4">
      <c r="AJ1324">
        <v>364589.1</v>
      </c>
    </row>
    <row r="1325" spans="36:36" x14ac:dyDescent="0.4">
      <c r="AJ1325">
        <v>93198.6</v>
      </c>
    </row>
    <row r="1326" spans="36:36" x14ac:dyDescent="0.4">
      <c r="AJ1326">
        <v>94388</v>
      </c>
    </row>
    <row r="1327" spans="36:36" x14ac:dyDescent="0.4">
      <c r="AJ1327">
        <v>183864.8</v>
      </c>
    </row>
    <row r="1328" spans="36:36" x14ac:dyDescent="0.4">
      <c r="AJ1328">
        <v>321016.95</v>
      </c>
    </row>
    <row r="1329" spans="36:36" x14ac:dyDescent="0.4">
      <c r="AJ1329">
        <v>181560</v>
      </c>
    </row>
    <row r="1330" spans="36:36" x14ac:dyDescent="0.4">
      <c r="AJ1330">
        <v>62052.1</v>
      </c>
    </row>
    <row r="1331" spans="36:36" x14ac:dyDescent="0.4">
      <c r="AJ1331">
        <v>255040.8</v>
      </c>
    </row>
    <row r="1332" spans="36:36" x14ac:dyDescent="0.4">
      <c r="AJ1332">
        <v>137759.5</v>
      </c>
    </row>
    <row r="1333" spans="36:36" x14ac:dyDescent="0.4">
      <c r="AJ1333">
        <v>244843.2</v>
      </c>
    </row>
    <row r="1334" spans="36:36" x14ac:dyDescent="0.4">
      <c r="AJ1334">
        <v>318874.15000000002</v>
      </c>
    </row>
    <row r="1335" spans="36:36" x14ac:dyDescent="0.4">
      <c r="AJ1335">
        <v>27922.5</v>
      </c>
    </row>
    <row r="1336" spans="36:36" x14ac:dyDescent="0.4">
      <c r="AJ1336">
        <v>138847.25</v>
      </c>
    </row>
    <row r="1337" spans="36:36" x14ac:dyDescent="0.4">
      <c r="AJ1337">
        <v>30648</v>
      </c>
    </row>
    <row r="1338" spans="36:36" x14ac:dyDescent="0.4">
      <c r="AJ1338">
        <v>154033</v>
      </c>
    </row>
    <row r="1339" spans="36:36" x14ac:dyDescent="0.4">
      <c r="AJ1339">
        <v>101864.7</v>
      </c>
    </row>
    <row r="1340" spans="36:36" x14ac:dyDescent="0.4">
      <c r="AJ1340">
        <v>110628</v>
      </c>
    </row>
    <row r="1341" spans="36:36" x14ac:dyDescent="0.4">
      <c r="AJ1341">
        <v>117446.6</v>
      </c>
    </row>
    <row r="1342" spans="36:36" x14ac:dyDescent="0.4">
      <c r="AJ1342">
        <v>76408</v>
      </c>
    </row>
    <row r="1343" spans="36:36" x14ac:dyDescent="0.4">
      <c r="AJ1343">
        <v>22368</v>
      </c>
    </row>
    <row r="1344" spans="36:36" x14ac:dyDescent="0.4">
      <c r="AJ1344">
        <v>180232</v>
      </c>
    </row>
    <row r="1345" spans="36:36" x14ac:dyDescent="0.4">
      <c r="AJ1345">
        <v>5886</v>
      </c>
    </row>
    <row r="1346" spans="36:36" x14ac:dyDescent="0.4">
      <c r="AJ1346">
        <v>368428.5</v>
      </c>
    </row>
    <row r="1347" spans="36:36" x14ac:dyDescent="0.4">
      <c r="AJ1347">
        <v>34217.599999999999</v>
      </c>
    </row>
    <row r="1348" spans="36:36" x14ac:dyDescent="0.4">
      <c r="AJ1348">
        <v>196355.5</v>
      </c>
    </row>
    <row r="1349" spans="36:36" x14ac:dyDescent="0.4">
      <c r="AJ1349">
        <v>75724.800000000003</v>
      </c>
    </row>
    <row r="1350" spans="36:36" x14ac:dyDescent="0.4">
      <c r="AJ1350">
        <v>199936</v>
      </c>
    </row>
    <row r="1351" spans="36:36" x14ac:dyDescent="0.4">
      <c r="AJ1351">
        <v>347490</v>
      </c>
    </row>
    <row r="1352" spans="36:36" x14ac:dyDescent="0.4">
      <c r="AJ1352">
        <v>81480.600000000006</v>
      </c>
    </row>
    <row r="1353" spans="36:36" x14ac:dyDescent="0.4">
      <c r="AJ1353">
        <v>100641.60000000001</v>
      </c>
    </row>
    <row r="1354" spans="36:36" x14ac:dyDescent="0.4">
      <c r="AJ1354">
        <v>2788</v>
      </c>
    </row>
    <row r="1355" spans="36:36" x14ac:dyDescent="0.4">
      <c r="AJ1355">
        <v>81940.800000000003</v>
      </c>
    </row>
    <row r="1356" spans="36:36" x14ac:dyDescent="0.4">
      <c r="AJ1356">
        <v>35299.15</v>
      </c>
    </row>
    <row r="1357" spans="36:36" x14ac:dyDescent="0.4">
      <c r="AJ1357">
        <v>13653</v>
      </c>
    </row>
    <row r="1358" spans="36:36" x14ac:dyDescent="0.4">
      <c r="AJ1358">
        <v>24223.3</v>
      </c>
    </row>
    <row r="1359" spans="36:36" x14ac:dyDescent="0.4">
      <c r="AJ1359">
        <v>174680</v>
      </c>
    </row>
    <row r="1360" spans="36:36" x14ac:dyDescent="0.4">
      <c r="AJ1360">
        <v>51256.800000000003</v>
      </c>
    </row>
    <row r="1361" spans="36:36" x14ac:dyDescent="0.4">
      <c r="AJ1361">
        <v>70274.399999999994</v>
      </c>
    </row>
    <row r="1362" spans="36:36" x14ac:dyDescent="0.4">
      <c r="AJ1362">
        <v>35586.400000000001</v>
      </c>
    </row>
    <row r="1363" spans="36:36" x14ac:dyDescent="0.4">
      <c r="AJ1363">
        <v>371646</v>
      </c>
    </row>
    <row r="1364" spans="36:36" x14ac:dyDescent="0.4">
      <c r="AJ1364">
        <v>60696</v>
      </c>
    </row>
    <row r="1365" spans="36:36" x14ac:dyDescent="0.4">
      <c r="AJ1365">
        <v>225613.6</v>
      </c>
    </row>
    <row r="1366" spans="36:36" x14ac:dyDescent="0.4">
      <c r="AJ1366">
        <v>258904.8</v>
      </c>
    </row>
    <row r="1367" spans="36:36" x14ac:dyDescent="0.4">
      <c r="AJ1367">
        <v>9621.15</v>
      </c>
    </row>
    <row r="1368" spans="36:36" x14ac:dyDescent="0.4">
      <c r="AJ1368">
        <v>146167</v>
      </c>
    </row>
    <row r="1369" spans="36:36" x14ac:dyDescent="0.4">
      <c r="AJ1369">
        <v>103551.9</v>
      </c>
    </row>
    <row r="1370" spans="36:36" x14ac:dyDescent="0.4">
      <c r="AJ1370">
        <v>16225.6</v>
      </c>
    </row>
    <row r="1371" spans="36:36" x14ac:dyDescent="0.4">
      <c r="AJ1371">
        <v>140367.29999999999</v>
      </c>
    </row>
    <row r="1372" spans="36:36" x14ac:dyDescent="0.4">
      <c r="AJ1372">
        <v>241403.4</v>
      </c>
    </row>
    <row r="1373" spans="36:36" x14ac:dyDescent="0.4">
      <c r="AJ1373">
        <v>40873.1</v>
      </c>
    </row>
    <row r="1374" spans="36:36" x14ac:dyDescent="0.4">
      <c r="AJ1374">
        <v>129561.95</v>
      </c>
    </row>
    <row r="1375" spans="36:36" x14ac:dyDescent="0.4">
      <c r="AJ1375">
        <v>16490</v>
      </c>
    </row>
    <row r="1376" spans="36:36" x14ac:dyDescent="0.4">
      <c r="AJ1376">
        <v>95034.2</v>
      </c>
    </row>
    <row r="1377" spans="36:36" x14ac:dyDescent="0.4">
      <c r="AJ1377">
        <v>54729.599999999999</v>
      </c>
    </row>
    <row r="1378" spans="36:36" x14ac:dyDescent="0.4">
      <c r="AJ1378">
        <v>250096</v>
      </c>
    </row>
    <row r="1379" spans="36:36" x14ac:dyDescent="0.4">
      <c r="AJ1379">
        <v>34614</v>
      </c>
    </row>
    <row r="1380" spans="36:36" x14ac:dyDescent="0.4">
      <c r="AJ1380">
        <v>87044.4</v>
      </c>
    </row>
    <row r="1381" spans="36:36" x14ac:dyDescent="0.4">
      <c r="AJ1381">
        <v>19721.7</v>
      </c>
    </row>
    <row r="1382" spans="36:36" x14ac:dyDescent="0.4">
      <c r="AJ1382">
        <v>372800</v>
      </c>
    </row>
    <row r="1383" spans="36:36" x14ac:dyDescent="0.4">
      <c r="AJ1383">
        <v>205025.2</v>
      </c>
    </row>
    <row r="1384" spans="36:36" x14ac:dyDescent="0.4">
      <c r="AJ1384">
        <v>24255</v>
      </c>
    </row>
    <row r="1385" spans="36:36" x14ac:dyDescent="0.4">
      <c r="AJ1385">
        <v>316905.75</v>
      </c>
    </row>
    <row r="1386" spans="36:36" x14ac:dyDescent="0.4">
      <c r="AJ1386">
        <v>240154.2</v>
      </c>
    </row>
    <row r="1387" spans="36:36" x14ac:dyDescent="0.4">
      <c r="AJ1387">
        <v>253629</v>
      </c>
    </row>
    <row r="1388" spans="36:36" x14ac:dyDescent="0.4">
      <c r="AJ1388">
        <v>104585.5</v>
      </c>
    </row>
    <row r="1389" spans="36:36" x14ac:dyDescent="0.4">
      <c r="AJ1389">
        <v>379776.6</v>
      </c>
    </row>
    <row r="1390" spans="36:36" x14ac:dyDescent="0.4">
      <c r="AJ1390">
        <v>71080.399999999994</v>
      </c>
    </row>
    <row r="1391" spans="36:36" x14ac:dyDescent="0.4">
      <c r="AJ1391">
        <v>140633.25</v>
      </c>
    </row>
    <row r="1392" spans="36:36" x14ac:dyDescent="0.4">
      <c r="AJ1392">
        <v>289384.2</v>
      </c>
    </row>
    <row r="1393" spans="36:36" x14ac:dyDescent="0.4">
      <c r="AJ1393">
        <v>252195.3</v>
      </c>
    </row>
    <row r="1394" spans="36:36" x14ac:dyDescent="0.4">
      <c r="AJ1394">
        <v>169771.35</v>
      </c>
    </row>
    <row r="1395" spans="36:36" x14ac:dyDescent="0.4">
      <c r="AJ1395">
        <v>102662.39999999999</v>
      </c>
    </row>
    <row r="1396" spans="36:36" x14ac:dyDescent="0.4">
      <c r="AJ1396">
        <v>55470.5</v>
      </c>
    </row>
    <row r="1397" spans="36:36" x14ac:dyDescent="0.4">
      <c r="AJ1397">
        <v>114636.6</v>
      </c>
    </row>
    <row r="1398" spans="36:36" x14ac:dyDescent="0.4">
      <c r="AJ1398">
        <v>23062.2</v>
      </c>
    </row>
    <row r="1399" spans="36:36" x14ac:dyDescent="0.4">
      <c r="AJ1399">
        <v>5941</v>
      </c>
    </row>
    <row r="1400" spans="36:36" x14ac:dyDescent="0.4">
      <c r="AJ1400">
        <v>124635</v>
      </c>
    </row>
    <row r="1401" spans="36:36" x14ac:dyDescent="0.4">
      <c r="AJ1401">
        <v>232471.6</v>
      </c>
    </row>
    <row r="1402" spans="36:36" x14ac:dyDescent="0.4">
      <c r="AJ1402">
        <v>265647.55</v>
      </c>
    </row>
    <row r="1403" spans="36:36" x14ac:dyDescent="0.4">
      <c r="AJ1403">
        <v>191558</v>
      </c>
    </row>
    <row r="1404" spans="36:36" x14ac:dyDescent="0.4">
      <c r="AJ1404">
        <v>77217</v>
      </c>
    </row>
    <row r="1405" spans="36:36" x14ac:dyDescent="0.4">
      <c r="AJ1405">
        <v>13228.8</v>
      </c>
    </row>
    <row r="1406" spans="36:36" x14ac:dyDescent="0.4">
      <c r="AJ1406">
        <v>16077.6</v>
      </c>
    </row>
    <row r="1407" spans="36:36" x14ac:dyDescent="0.4">
      <c r="AJ1407">
        <v>136323</v>
      </c>
    </row>
    <row r="1408" spans="36:36" x14ac:dyDescent="0.4">
      <c r="AJ1408">
        <v>57489.75</v>
      </c>
    </row>
    <row r="1409" spans="36:36" x14ac:dyDescent="0.4">
      <c r="AJ1409">
        <v>61968.4</v>
      </c>
    </row>
    <row r="1410" spans="36:36" x14ac:dyDescent="0.4">
      <c r="AJ1410">
        <v>107934.25</v>
      </c>
    </row>
    <row r="1411" spans="36:36" x14ac:dyDescent="0.4">
      <c r="AJ1411">
        <v>16302</v>
      </c>
    </row>
    <row r="1412" spans="36:36" x14ac:dyDescent="0.4">
      <c r="AJ1412">
        <v>75729.600000000006</v>
      </c>
    </row>
    <row r="1413" spans="36:36" x14ac:dyDescent="0.4">
      <c r="AJ1413">
        <v>116491.2</v>
      </c>
    </row>
    <row r="1414" spans="36:36" x14ac:dyDescent="0.4">
      <c r="AJ1414">
        <v>84823.2</v>
      </c>
    </row>
    <row r="1415" spans="36:36" x14ac:dyDescent="0.4">
      <c r="AJ1415">
        <v>42352</v>
      </c>
    </row>
    <row r="1416" spans="36:36" x14ac:dyDescent="0.4">
      <c r="AJ1416">
        <v>99437.45</v>
      </c>
    </row>
    <row r="1417" spans="36:36" x14ac:dyDescent="0.4">
      <c r="AJ1417">
        <v>221472</v>
      </c>
    </row>
    <row r="1418" spans="36:36" x14ac:dyDescent="0.4">
      <c r="AJ1418">
        <v>388238.4</v>
      </c>
    </row>
    <row r="1419" spans="36:36" x14ac:dyDescent="0.4">
      <c r="AJ1419">
        <v>15139.2</v>
      </c>
    </row>
    <row r="1420" spans="36:36" x14ac:dyDescent="0.4">
      <c r="AJ1420">
        <v>8920</v>
      </c>
    </row>
    <row r="1421" spans="36:36" x14ac:dyDescent="0.4">
      <c r="AJ1421">
        <v>9458.7999999999993</v>
      </c>
    </row>
    <row r="1422" spans="36:36" x14ac:dyDescent="0.4">
      <c r="AJ1422">
        <v>254505.60000000001</v>
      </c>
    </row>
    <row r="1423" spans="36:36" x14ac:dyDescent="0.4">
      <c r="AJ1423">
        <v>52519.8</v>
      </c>
    </row>
    <row r="1424" spans="36:36" x14ac:dyDescent="0.4">
      <c r="AJ1424">
        <v>120010.65</v>
      </c>
    </row>
    <row r="1425" spans="36:36" x14ac:dyDescent="0.4">
      <c r="AJ1425">
        <v>64188</v>
      </c>
    </row>
    <row r="1426" spans="36:36" x14ac:dyDescent="0.4">
      <c r="AJ1426">
        <v>81199.8</v>
      </c>
    </row>
    <row r="1427" spans="36:36" x14ac:dyDescent="0.4">
      <c r="AJ1427">
        <v>64172.5</v>
      </c>
    </row>
    <row r="1428" spans="36:36" x14ac:dyDescent="0.4">
      <c r="AJ1428">
        <v>10257.15</v>
      </c>
    </row>
    <row r="1429" spans="36:36" x14ac:dyDescent="0.4">
      <c r="AJ1429">
        <v>47078</v>
      </c>
    </row>
    <row r="1430" spans="36:36" x14ac:dyDescent="0.4">
      <c r="AJ1430">
        <v>312678.45</v>
      </c>
    </row>
    <row r="1431" spans="36:36" x14ac:dyDescent="0.4">
      <c r="AJ1431">
        <v>115088</v>
      </c>
    </row>
    <row r="1432" spans="36:36" x14ac:dyDescent="0.4">
      <c r="AJ1432">
        <v>84100</v>
      </c>
    </row>
    <row r="1433" spans="36:36" x14ac:dyDescent="0.4">
      <c r="AJ1433">
        <v>157114</v>
      </c>
    </row>
    <row r="1434" spans="36:36" x14ac:dyDescent="0.4">
      <c r="AJ1434">
        <v>23418</v>
      </c>
    </row>
    <row r="1435" spans="36:36" x14ac:dyDescent="0.4">
      <c r="AJ1435">
        <v>49323.8</v>
      </c>
    </row>
    <row r="1436" spans="36:36" x14ac:dyDescent="0.4">
      <c r="AJ1436">
        <v>289706.40000000002</v>
      </c>
    </row>
    <row r="1437" spans="36:36" x14ac:dyDescent="0.4">
      <c r="AJ1437">
        <v>46835</v>
      </c>
    </row>
    <row r="1438" spans="36:36" x14ac:dyDescent="0.4">
      <c r="AJ1438">
        <v>131447.4</v>
      </c>
    </row>
    <row r="1439" spans="36:36" x14ac:dyDescent="0.4">
      <c r="AJ1439">
        <v>19912</v>
      </c>
    </row>
    <row r="1440" spans="36:36" x14ac:dyDescent="0.4">
      <c r="AJ1440">
        <v>37320.75</v>
      </c>
    </row>
    <row r="1441" spans="36:36" x14ac:dyDescent="0.4">
      <c r="AJ1441">
        <v>196476</v>
      </c>
    </row>
    <row r="1442" spans="36:36" x14ac:dyDescent="0.4">
      <c r="AJ1442">
        <v>27492.05</v>
      </c>
    </row>
    <row r="1443" spans="36:36" x14ac:dyDescent="0.4">
      <c r="AJ1443">
        <v>218823</v>
      </c>
    </row>
    <row r="1444" spans="36:36" x14ac:dyDescent="0.4">
      <c r="AJ1444">
        <v>29650.5</v>
      </c>
    </row>
    <row r="1445" spans="36:36" x14ac:dyDescent="0.4">
      <c r="AJ1445">
        <v>47154.6</v>
      </c>
    </row>
    <row r="1446" spans="36:36" x14ac:dyDescent="0.4">
      <c r="AJ1446">
        <v>272729.8</v>
      </c>
    </row>
    <row r="1447" spans="36:36" x14ac:dyDescent="0.4">
      <c r="AJ1447">
        <v>79539.600000000006</v>
      </c>
    </row>
    <row r="1448" spans="36:36" x14ac:dyDescent="0.4">
      <c r="AJ1448">
        <v>257658.8</v>
      </c>
    </row>
    <row r="1449" spans="36:36" x14ac:dyDescent="0.4">
      <c r="AJ1449">
        <v>89382.6</v>
      </c>
    </row>
    <row r="1450" spans="36:36" x14ac:dyDescent="0.4">
      <c r="AJ1450">
        <v>85593.600000000006</v>
      </c>
    </row>
    <row r="1451" spans="36:36" x14ac:dyDescent="0.4">
      <c r="AJ1451">
        <v>115778.4</v>
      </c>
    </row>
    <row r="1452" spans="36:36" x14ac:dyDescent="0.4">
      <c r="AJ1452">
        <v>329432</v>
      </c>
    </row>
    <row r="1453" spans="36:36" x14ac:dyDescent="0.4">
      <c r="AJ1453">
        <v>34537.599999999999</v>
      </c>
    </row>
    <row r="1454" spans="36:36" x14ac:dyDescent="0.4">
      <c r="AJ1454">
        <v>38963.300000000003</v>
      </c>
    </row>
    <row r="1455" spans="36:36" x14ac:dyDescent="0.4">
      <c r="AJ1455">
        <v>222469.65</v>
      </c>
    </row>
    <row r="1456" spans="36:36" x14ac:dyDescent="0.4">
      <c r="AJ1456">
        <v>26667.9</v>
      </c>
    </row>
    <row r="1457" spans="36:36" x14ac:dyDescent="0.4">
      <c r="AJ1457">
        <v>256756.5</v>
      </c>
    </row>
    <row r="1458" spans="36:36" x14ac:dyDescent="0.4">
      <c r="AJ1458">
        <v>256864.05</v>
      </c>
    </row>
    <row r="1459" spans="36:36" x14ac:dyDescent="0.4">
      <c r="AJ1459">
        <v>47832.5</v>
      </c>
    </row>
    <row r="1460" spans="36:36" x14ac:dyDescent="0.4">
      <c r="AJ1460">
        <v>126588</v>
      </c>
    </row>
    <row r="1461" spans="36:36" x14ac:dyDescent="0.4">
      <c r="AJ1461">
        <v>74320.2</v>
      </c>
    </row>
    <row r="1462" spans="36:36" x14ac:dyDescent="0.4">
      <c r="AJ1462">
        <v>2266.1</v>
      </c>
    </row>
    <row r="1463" spans="36:36" x14ac:dyDescent="0.4">
      <c r="AJ1463">
        <v>26333.85</v>
      </c>
    </row>
    <row r="1464" spans="36:36" x14ac:dyDescent="0.4">
      <c r="AJ1464">
        <v>349984.8</v>
      </c>
    </row>
    <row r="1465" spans="36:36" x14ac:dyDescent="0.4">
      <c r="AJ1465">
        <v>83133</v>
      </c>
    </row>
    <row r="1466" spans="36:36" x14ac:dyDescent="0.4">
      <c r="AJ1466">
        <v>186080</v>
      </c>
    </row>
    <row r="1467" spans="36:36" x14ac:dyDescent="0.4">
      <c r="AJ1467">
        <v>121211.7</v>
      </c>
    </row>
    <row r="1468" spans="36:36" x14ac:dyDescent="0.4">
      <c r="AJ1468">
        <v>47671.95</v>
      </c>
    </row>
    <row r="1469" spans="36:36" x14ac:dyDescent="0.4">
      <c r="AJ1469">
        <v>115833.60000000001</v>
      </c>
    </row>
    <row r="1470" spans="36:36" x14ac:dyDescent="0.4">
      <c r="AJ1470">
        <v>27922</v>
      </c>
    </row>
    <row r="1471" spans="36:36" x14ac:dyDescent="0.4">
      <c r="AJ1471">
        <v>17092</v>
      </c>
    </row>
    <row r="1472" spans="36:36" x14ac:dyDescent="0.4">
      <c r="AJ1472">
        <v>146029.5</v>
      </c>
    </row>
    <row r="1473" spans="36:36" x14ac:dyDescent="0.4">
      <c r="AJ1473">
        <v>261891</v>
      </c>
    </row>
    <row r="1474" spans="36:36" x14ac:dyDescent="0.4">
      <c r="AJ1474">
        <v>40052</v>
      </c>
    </row>
    <row r="1475" spans="36:36" x14ac:dyDescent="0.4">
      <c r="AJ1475">
        <v>266206.40000000002</v>
      </c>
    </row>
    <row r="1476" spans="36:36" x14ac:dyDescent="0.4">
      <c r="AJ1476">
        <v>7149</v>
      </c>
    </row>
    <row r="1477" spans="36:36" x14ac:dyDescent="0.4">
      <c r="AJ1477">
        <v>15308.8</v>
      </c>
    </row>
    <row r="1478" spans="36:36" x14ac:dyDescent="0.4">
      <c r="AJ1478">
        <v>91462.5</v>
      </c>
    </row>
    <row r="1479" spans="36:36" x14ac:dyDescent="0.4">
      <c r="AJ1479">
        <v>23947.200000000001</v>
      </c>
    </row>
    <row r="1480" spans="36:36" x14ac:dyDescent="0.4">
      <c r="AJ1480">
        <v>29954.400000000001</v>
      </c>
    </row>
    <row r="1481" spans="36:36" x14ac:dyDescent="0.4">
      <c r="AJ1481">
        <v>9560.7000000000007</v>
      </c>
    </row>
    <row r="1482" spans="36:36" x14ac:dyDescent="0.4">
      <c r="AJ1482">
        <v>44312</v>
      </c>
    </row>
    <row r="1483" spans="36:36" x14ac:dyDescent="0.4">
      <c r="AJ1483">
        <v>28281.599999999999</v>
      </c>
    </row>
    <row r="1484" spans="36:36" x14ac:dyDescent="0.4">
      <c r="AJ1484">
        <v>3775.3</v>
      </c>
    </row>
    <row r="1485" spans="36:36" x14ac:dyDescent="0.4">
      <c r="AJ1485">
        <v>303088</v>
      </c>
    </row>
    <row r="1486" spans="36:36" x14ac:dyDescent="0.4">
      <c r="AJ1486">
        <v>43433.599999999999</v>
      </c>
    </row>
    <row r="1487" spans="36:36" x14ac:dyDescent="0.4">
      <c r="AJ1487">
        <v>169511.4</v>
      </c>
    </row>
    <row r="1488" spans="36:36" x14ac:dyDescent="0.4">
      <c r="AJ1488">
        <v>211930.5</v>
      </c>
    </row>
    <row r="1489" spans="36:36" x14ac:dyDescent="0.4">
      <c r="AJ1489">
        <v>13002.3</v>
      </c>
    </row>
    <row r="1490" spans="36:36" x14ac:dyDescent="0.4">
      <c r="AJ1490">
        <v>84501</v>
      </c>
    </row>
    <row r="1491" spans="36:36" x14ac:dyDescent="0.4">
      <c r="AJ1491">
        <v>12327</v>
      </c>
    </row>
    <row r="1492" spans="36:36" x14ac:dyDescent="0.4">
      <c r="AJ1492">
        <v>142720</v>
      </c>
    </row>
    <row r="1493" spans="36:36" x14ac:dyDescent="0.4">
      <c r="AJ1493">
        <v>70609.5</v>
      </c>
    </row>
    <row r="1494" spans="36:36" x14ac:dyDescent="0.4">
      <c r="AJ1494">
        <v>24597.9</v>
      </c>
    </row>
    <row r="1495" spans="36:36" x14ac:dyDescent="0.4">
      <c r="AJ1495">
        <v>156284.79999999999</v>
      </c>
    </row>
    <row r="1496" spans="36:36" x14ac:dyDescent="0.4">
      <c r="AJ1496">
        <v>163368</v>
      </c>
    </row>
    <row r="1497" spans="36:36" x14ac:dyDescent="0.4">
      <c r="AJ1497">
        <v>260559</v>
      </c>
    </row>
    <row r="1498" spans="36:36" x14ac:dyDescent="0.4">
      <c r="AJ1498">
        <v>360047.25</v>
      </c>
    </row>
    <row r="1499" spans="36:36" x14ac:dyDescent="0.4">
      <c r="AJ1499">
        <v>166243</v>
      </c>
    </row>
    <row r="1500" spans="36:36" x14ac:dyDescent="0.4">
      <c r="AJ1500">
        <v>38190</v>
      </c>
    </row>
    <row r="1501" spans="36:36" x14ac:dyDescent="0.4">
      <c r="AJ1501">
        <v>109746</v>
      </c>
    </row>
  </sheetData>
  <pageMargins left="0.7" right="0.7" top="0.75" bottom="0.75" header="0.3" footer="0.3"/>
  <drawing r:id="rId7"/>
  <extLst>
    <ext xmlns:x14="http://schemas.microsoft.com/office/spreadsheetml/2009/9/main" uri="{05C60535-1F16-4fd2-B633-F4F36F0B64E0}">
      <x14:sparklineGroups xmlns:xm="http://schemas.microsoft.com/office/excel/2006/main">
        <x14:sparklineGroup displayEmptyCellsAs="gap" xr2:uid="{30719CB5-C362-4BDE-9BB0-5E9C69987E93}">
          <x14:colorSeries rgb="FF376092"/>
          <x14:colorNegative rgb="FFD00000"/>
          <x14:colorAxis rgb="FF000000"/>
          <x14:colorMarkers rgb="FFD00000"/>
          <x14:colorFirst rgb="FFD00000"/>
          <x14:colorLast rgb="FFD00000"/>
          <x14:colorHigh rgb="FFD00000"/>
          <x14:colorLow rgb="FFD00000"/>
          <x14:sparklines>
            <x14:sparkline>
              <xm:f>Sheet2!A56:A56</xm:f>
              <xm:sqref>J54</xm:sqref>
            </x14:sparkline>
          </x14:sparklines>
        </x14:sparklineGroup>
        <x14:sparklineGroup type="column" displayEmptyCellsAs="gap" xr2:uid="{F29CA529-8022-4A34-B421-422A537D849A}">
          <x14:colorSeries rgb="FF376092"/>
          <x14:colorNegative rgb="FFD00000"/>
          <x14:colorAxis rgb="FF000000"/>
          <x14:colorMarkers rgb="FFD00000"/>
          <x14:colorFirst rgb="FFD00000"/>
          <x14:colorLast rgb="FFD00000"/>
          <x14:colorHigh rgb="FFD00000"/>
          <x14:colorLow rgb="FFD00000"/>
          <x14:sparklines>
            <x14:sparkline>
              <xm:f>Sheet2!A58:A58</xm:f>
              <xm:sqref>I51</xm:sqref>
            </x14:sparkline>
          </x14:sparklines>
        </x14:sparklineGroup>
        <x14:sparklineGroup type="column" displayEmptyCellsAs="gap" xr2:uid="{143A9BFF-0AE8-42D6-BA2C-529068A1B1D7}">
          <x14:colorSeries rgb="FF376092"/>
          <x14:colorNegative rgb="FFD00000"/>
          <x14:colorAxis rgb="FF000000"/>
          <x14:colorMarkers rgb="FFD00000"/>
          <x14:colorFirst rgb="FFD00000"/>
          <x14:colorLast rgb="FFD00000"/>
          <x14:colorHigh rgb="FFD00000"/>
          <x14:colorLow rgb="FFD00000"/>
          <x14:sparklines>
            <x14:sparkline>
              <xm:f>Sheet2!A57:A57</xm:f>
              <xm:sqref>D52</xm:sqref>
            </x14:sparkline>
          </x14:sparklines>
        </x14:sparklineGroup>
        <x14:sparklineGroup displayEmptyCellsAs="gap" xr2:uid="{B50936E5-E5D3-4D5D-B562-8831D7E5C924}">
          <x14:colorSeries rgb="FF376092"/>
          <x14:colorNegative rgb="FFD00000"/>
          <x14:colorAxis rgb="FF000000"/>
          <x14:colorMarkers rgb="FFD00000"/>
          <x14:colorFirst rgb="FFD00000"/>
          <x14:colorLast rgb="FFD00000"/>
          <x14:colorHigh rgb="FFD00000"/>
          <x14:colorLow rgb="FFD00000"/>
          <x14:sparklines>
            <x14:sparkline>
              <xm:f>Sheet2!AJ2:AJ1501</xm:f>
              <xm:sqref>W24</xm:sqref>
            </x14:sparkline>
          </x14:sparklines>
        </x14:sparklineGroup>
        <x14:sparklineGroup displayEmptyCellsAs="gap" xr2:uid="{B1C1D006-9053-4D28-A4A1-8D23DA3016AC}">
          <x14:colorSeries rgb="FF0070C0"/>
          <x14:colorNegative rgb="FF000000"/>
          <x14:colorAxis rgb="FF000000"/>
          <x14:colorMarkers rgb="FF000000"/>
          <x14:colorFirst rgb="FF000000"/>
          <x14:colorLast rgb="FF000000"/>
          <x14:colorHigh rgb="FF000000"/>
          <x14:colorLow rgb="FF000000"/>
          <x14:sparklines>
            <x14:sparkline>
              <xm:f>Sheet2!AJ2:AJ1501</xm:f>
              <xm:sqref>R30</xm:sqref>
            </x14:sparkline>
          </x14:sparklines>
        </x14:sparklineGroup>
        <x14:sparklineGroup type="column" displayEmptyCellsAs="gap" high="1" xr2:uid="{FDCCC35D-CCA2-4FBA-A279-DECF537C1CB4}">
          <x14:colorSeries rgb="FF376092"/>
          <x14:colorNegative rgb="FFD00000"/>
          <x14:colorAxis rgb="FF000000"/>
          <x14:colorMarkers rgb="FFD00000"/>
          <x14:colorFirst rgb="FFD00000"/>
          <x14:colorLast rgb="FFD00000"/>
          <x14:colorHigh rgb="FFD00000"/>
          <x14:colorLow rgb="FFD00000"/>
          <x14:sparklines>
            <x14:sparkline>
              <xm:f>Sales_Data!T2:T1501</xm:f>
              <xm:sqref>D42</xm:sqref>
            </x14:sparkline>
          </x14:sparklines>
        </x14:sparklineGroup>
      </x14:sparklineGroups>
    </ext>
    <ext xmlns:x14="http://schemas.microsoft.com/office/spreadsheetml/2009/9/main" uri="{A8765BA9-456A-4dab-B4F3-ACF838C121DE}">
      <x14:slicerList>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5CF4-0486-4666-BA5D-EAB79DF80C00}">
  <dimension ref="A1"/>
  <sheetViews>
    <sheetView tabSelected="1" topLeftCell="A5" zoomScale="53" zoomScaleNormal="53" workbookViewId="0">
      <selection activeCell="W38" sqref="W38"/>
    </sheetView>
  </sheetViews>
  <sheetFormatPr defaultRowHeight="14.6"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090ED-49B9-474F-A293-72747E3F7585}">
  <dimension ref="A1"/>
  <sheetViews>
    <sheetView workbookViewId="0">
      <selection activeCell="W15" sqref="W15"/>
    </sheetView>
  </sheetViews>
  <sheetFormatPr defaultRowHeight="14.6"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Sales_Data</vt:lpstr>
      <vt:lpstr>Dashboard_Blueprint</vt:lpstr>
      <vt:lpstr>Data_Dictionary</vt:lpstr>
      <vt:lpstr>Sheet2</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Neha</cp:lastModifiedBy>
  <dcterms:created xsi:type="dcterms:W3CDTF">2026-02-17T14:00:48Z</dcterms:created>
  <dcterms:modified xsi:type="dcterms:W3CDTF">2026-10-24T08:26:45Z</dcterms:modified>
</cp:coreProperties>
</file>