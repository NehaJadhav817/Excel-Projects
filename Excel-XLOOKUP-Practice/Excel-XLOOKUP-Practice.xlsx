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xcel-Sales-Functions-Practice\"/>
    </mc:Choice>
  </mc:AlternateContent>
  <xr:revisionPtr revIDLastSave="0" documentId="8_{292E32D7-117F-4B13-B5F8-71FBB9D29FA2}" xr6:coauthVersionLast="47" xr6:coauthVersionMax="47" xr10:uidLastSave="{00000000-0000-0000-0000-000000000000}"/>
  <bookViews>
    <workbookView xWindow="-103" yWindow="-103" windowWidth="16663" windowHeight="8863" activeTab="5" xr2:uid="{00000000-000D-0000-FFFF-FFFF00000000}"/>
  </bookViews>
  <sheets>
    <sheet name="Product_Master" sheetId="1" r:id="rId1"/>
    <sheet name="Region_Master" sheetId="4" r:id="rId2"/>
    <sheet name="Customer_Master" sheetId="2" r:id="rId3"/>
    <sheet name="Sales_Data" sheetId="3" r:id="rId4"/>
    <sheet name="Discount_Master" sheetId="5" r:id="rId5"/>
    <sheet name="Questions" sheetId="6" r:id="rId6"/>
  </sheets>
  <definedNames>
    <definedName name="_xlnm._FilterDatabase" localSheetId="3" hidden="1">Sales_Data!$A$1:$G$11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2" i="3"/>
  <c r="C16" i="1"/>
  <c r="F9" i="3"/>
  <c r="F3" i="3"/>
  <c r="F4" i="3"/>
  <c r="F5" i="3"/>
  <c r="F6" i="3"/>
  <c r="F7" i="3"/>
  <c r="F8" i="3"/>
  <c r="F10" i="3"/>
  <c r="F11" i="3"/>
  <c r="F2" i="3"/>
</calcChain>
</file>

<file path=xl/sharedStrings.xml><?xml version="1.0" encoding="utf-8"?>
<sst xmlns="http://schemas.openxmlformats.org/spreadsheetml/2006/main" count="221" uniqueCount="160">
  <si>
    <t>Product_ID</t>
  </si>
  <si>
    <t>Product_Name</t>
  </si>
  <si>
    <t>Category</t>
  </si>
  <si>
    <t>Brand</t>
  </si>
  <si>
    <t>Unit_Price</t>
  </si>
  <si>
    <t>Stock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</si>
  <si>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</si>
  <si>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</si>
  <si>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</si>
  <si>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</si>
  <si>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</si>
  <si>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</si>
  <si>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</si>
  <si>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</si>
  <si>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</si>
  <si>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</si>
  <si>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Laptop 14" Pro</t>
  </si>
  <si>
    <t>Laptop 15" Max</t>
  </si>
  <si>
    <t>Mouse Wireless</t>
  </si>
  <si>
    <t>Keyboard Mech.</t>
  </si>
  <si>
    <t>Smartwatch FitX</t>
  </si>
  <si>
    <t>Smartphone X10</t>
  </si>
  <si>
    <t>Tablet TabPro</t>
  </si>
  <si>
    <t>Earbuds Air 3</t>
  </si>
  <si>
    <t>Power Bank 20k</t>
  </si>
  <si>
    <t>Bluetooth Speaker</t>
  </si>
  <si>
    <t>Electronics</t>
  </si>
  <si>
    <t>Accessories</t>
  </si>
  <si>
    <t>Wearables</t>
  </si>
  <si>
    <t>Mobile Phones</t>
  </si>
  <si>
    <t>Audio</t>
  </si>
  <si>
    <t>Dell</t>
  </si>
  <si>
    <t>HP</t>
  </si>
  <si>
    <t>Logitech</t>
  </si>
  <si>
    <t>Redragon</t>
  </si>
  <si>
    <t>Samsung</t>
  </si>
  <si>
    <t>Redmi</t>
  </si>
  <si>
    <t>Lenovo</t>
  </si>
  <si>
    <t>Boat</t>
  </si>
  <si>
    <t>MI</t>
  </si>
  <si>
    <t>JBL</t>
  </si>
  <si>
    <t>Cust_ID</t>
  </si>
  <si>
    <t>Customer_Name</t>
  </si>
  <si>
    <t>City</t>
  </si>
  <si>
    <t>State</t>
  </si>
  <si>
    <t>Age</t>
  </si>
  <si>
    <t>Gender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</si>
  <si>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</si>
  <si>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</si>
  <si>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</si>
  <si>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</si>
  <si>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</si>
  <si>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</si>
  <si>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</si>
  <si>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</si>
  <si>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</si>
  <si>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</si>
  <si>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Rajesh Sharma</t>
  </si>
  <si>
    <t>Anita Verma</t>
  </si>
  <si>
    <t>Sanjay Patel</t>
  </si>
  <si>
    <t>Neha Gupta</t>
  </si>
  <si>
    <t>Mohit Jain</t>
  </si>
  <si>
    <t>Priya Nair</t>
  </si>
  <si>
    <t>Karan Singh</t>
  </si>
  <si>
    <t>Riya D’Souza</t>
  </si>
  <si>
    <t>Suresh Yadav</t>
  </si>
  <si>
    <t>Pooja Deshmukh</t>
  </si>
  <si>
    <t>Mumbai</t>
  </si>
  <si>
    <t>Pune</t>
  </si>
  <si>
    <t>Ahmedabad</t>
  </si>
  <si>
    <t>Delhi</t>
  </si>
  <si>
    <t>Jaipur</t>
  </si>
  <si>
    <t>Kochi</t>
  </si>
  <si>
    <t>Lucknow</t>
  </si>
  <si>
    <t>Goa</t>
  </si>
  <si>
    <t>Indore</t>
  </si>
  <si>
    <t>Nagpur</t>
  </si>
  <si>
    <t>Maharashtra</t>
  </si>
  <si>
    <t>Gujarat</t>
  </si>
  <si>
    <t>Rajasthan</t>
  </si>
  <si>
    <t>Kerala</t>
  </si>
  <si>
    <t>Uttar Pradesh</t>
  </si>
  <si>
    <t>Madhya Pradesh</t>
  </si>
  <si>
    <t>M</t>
  </si>
  <si>
    <t>F</t>
  </si>
  <si>
    <t>Invoice_ID</t>
  </si>
  <si>
    <t>Quantity</t>
  </si>
  <si>
    <t>Invoice_Date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</si>
  <si>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</si>
  <si>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</si>
  <si>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</si>
  <si>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</si>
  <si>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</si>
  <si>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</si>
  <si>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</si>
  <si>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</si>
  <si>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</si>
  <si>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</si>
  <si>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2024-07-11</t>
  </si>
  <si>
    <t>2024-07-12</t>
  </si>
  <si>
    <t>2024-07-15</t>
  </si>
  <si>
    <t>2024-07-18</t>
  </si>
  <si>
    <t>2024-07-19</t>
  </si>
  <si>
    <t>2024-07-22</t>
  </si>
  <si>
    <t>2024-07-23</t>
  </si>
  <si>
    <t>2024-07-25</t>
  </si>
  <si>
    <t>2024-07-26</t>
  </si>
  <si>
    <t>2024-07-28</t>
  </si>
  <si>
    <t>Region</t>
  </si>
  <si>
    <t>West</t>
  </si>
  <si>
    <t>North</t>
  </si>
  <si>
    <t>South</t>
  </si>
  <si>
    <t>Central</t>
  </si>
  <si>
    <t>Discount_Percent</t>
  </si>
  <si>
    <t>5%</t>
  </si>
  <si>
    <t>8%</t>
  </si>
  <si>
    <t>7%</t>
  </si>
  <si>
    <t>6%</t>
  </si>
  <si>
    <t>🧠 XLOOKUP Practice Questions (20 Total)</t>
  </si>
  <si>
    <t>No</t>
  </si>
  <si>
    <t>Question</t>
  </si>
  <si>
    <r>
      <t xml:space="preserve">Find the </t>
    </r>
    <r>
      <rPr>
        <b/>
        <sz val="11"/>
        <color theme="1"/>
        <rFont val="Calibri"/>
        <family val="2"/>
        <scheme val="minor"/>
      </rPr>
      <t>Product Name</t>
    </r>
    <r>
      <rPr>
        <sz val="11"/>
        <color theme="1"/>
        <rFont val="Calibri"/>
        <family val="2"/>
        <scheme val="minor"/>
      </rPr>
      <t xml:space="preserve"> for </t>
    </r>
    <r>
      <rPr>
        <sz val="10"/>
        <color theme="1"/>
        <rFont val="Arial Unicode MS"/>
      </rPr>
      <t>Product_ID = "P104"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</si>
  <si>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Brand Name</t>
    </r>
    <r>
      <rPr>
        <sz val="11"/>
        <color theme="1"/>
        <rFont val="Calibri"/>
        <family val="2"/>
        <scheme val="minor"/>
      </rPr>
      <t xml:space="preserve"> for </t>
    </r>
    <r>
      <rPr>
        <sz val="10"/>
        <color theme="1"/>
        <rFont val="Arial Unicode MS"/>
      </rPr>
      <t>Product_ID = "P108"</t>
    </r>
    <r>
      <rPr>
        <sz val="11"/>
        <color theme="1"/>
        <rFont val="Calibri"/>
        <family val="2"/>
        <scheme val="minor"/>
      </rPr>
      <t>.</t>
    </r>
  </si>
  <si>
    <r>
      <t xml:space="preserve">Get the </t>
    </r>
    <r>
      <rPr>
        <b/>
        <sz val="11"/>
        <color theme="1"/>
        <rFont val="Calibri"/>
        <family val="2"/>
        <scheme val="minor"/>
      </rPr>
      <t>Customer Name</t>
    </r>
    <r>
      <rPr>
        <sz val="11"/>
        <color theme="1"/>
        <rFont val="Calibri"/>
        <family val="2"/>
        <scheme val="minor"/>
      </rPr>
      <t xml:space="preserve"> for </t>
    </r>
    <r>
      <rPr>
        <sz val="10"/>
        <color theme="1"/>
        <rFont val="Arial Unicode MS"/>
      </rPr>
      <t>Cust_ID = "C007"</t>
    </r>
    <r>
      <rPr>
        <sz val="11"/>
        <color theme="1"/>
        <rFont val="Calibri"/>
        <family val="2"/>
        <scheme val="minor"/>
      </rPr>
      <t>.</t>
    </r>
  </si>
  <si>
    <r>
      <t xml:space="preserve">Retrieve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for each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Sales_Data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</si>
  <si>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Unit Price</t>
    </r>
    <r>
      <rPr>
        <sz val="11"/>
        <color theme="1"/>
        <rFont val="Calibri"/>
        <family val="2"/>
        <scheme val="minor"/>
      </rPr>
      <t xml:space="preserve"> for each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Sales_Data</t>
    </r>
    <r>
      <rPr>
        <sz val="11"/>
        <color theme="1"/>
        <rFont val="Calibri"/>
        <family val="2"/>
        <scheme val="minor"/>
      </rPr>
      <t>.</t>
    </r>
  </si>
  <si>
    <r>
      <t xml:space="preserve">Add a column in </t>
    </r>
    <r>
      <rPr>
        <b/>
        <sz val="11"/>
        <color theme="1"/>
        <rFont val="Calibri"/>
        <family val="2"/>
        <scheme val="minor"/>
      </rPr>
      <t>Sales_Data</t>
    </r>
    <r>
      <rPr>
        <sz val="11"/>
        <color theme="1"/>
        <rFont val="Calibri"/>
        <family val="2"/>
        <scheme val="minor"/>
      </rPr>
      <t xml:space="preserve"> to show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>.</t>
    </r>
  </si>
  <si>
    <r>
      <t xml:space="preserve">Add </t>
    </r>
    <r>
      <rPr>
        <b/>
        <sz val="11"/>
        <color theme="1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columns in </t>
    </r>
    <r>
      <rPr>
        <b/>
        <sz val="11"/>
        <color theme="1"/>
        <rFont val="Calibri"/>
        <family val="2"/>
        <scheme val="minor"/>
      </rPr>
      <t>Sales_Data</t>
    </r>
    <r>
      <rPr>
        <sz val="11"/>
        <color theme="1"/>
        <rFont val="Calibri"/>
        <family val="2"/>
        <scheme val="minor"/>
      </rPr>
      <t xml:space="preserve"> using </t>
    </r>
    <r>
      <rPr>
        <sz val="10"/>
        <color theme="1"/>
        <rFont val="Arial Unicode MS"/>
      </rPr>
      <t>Cust_ID</t>
    </r>
    <r>
      <rPr>
        <sz val="11"/>
        <color theme="1"/>
        <rFont val="Calibri"/>
        <family val="2"/>
        <scheme val="minor"/>
      </rPr>
      <t>.</t>
    </r>
  </si>
  <si>
    <r>
      <t xml:space="preserve">Get the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 xml:space="preserve"> for each customer in </t>
    </r>
    <r>
      <rPr>
        <b/>
        <sz val="11"/>
        <color theme="1"/>
        <rFont val="Calibri"/>
        <family val="2"/>
        <scheme val="minor"/>
      </rPr>
      <t>Sales_Data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</si>
  <si>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 of each customer based on their State.</t>
    </r>
  </si>
  <si>
    <r>
      <t xml:space="preserve">Retrieve the </t>
    </r>
    <r>
      <rPr>
        <b/>
        <sz val="11"/>
        <color theme="1"/>
        <rFont val="Calibri"/>
        <family val="2"/>
        <scheme val="minor"/>
      </rPr>
      <t>Discount %</t>
    </r>
    <r>
      <rPr>
        <sz val="11"/>
        <color theme="1"/>
        <rFont val="Calibri"/>
        <family val="2"/>
        <scheme val="minor"/>
      </rPr>
      <t xml:space="preserve"> for each sale based on its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>.</t>
    </r>
  </si>
  <si>
    <r>
      <t xml:space="preserve">Calculate </t>
    </r>
    <r>
      <rPr>
        <b/>
        <sz val="11"/>
        <color theme="1"/>
        <rFont val="Calibri"/>
        <family val="2"/>
        <scheme val="minor"/>
      </rPr>
      <t>Total Amount = Quantity × Unit Price</t>
    </r>
    <r>
      <rPr>
        <sz val="11"/>
        <color theme="1"/>
        <rFont val="Calibri"/>
        <family val="2"/>
        <scheme val="minor"/>
      </rPr>
      <t xml:space="preserve"> for each sale.</t>
    </r>
  </si>
  <si>
    <r>
      <t xml:space="preserve">Calculate </t>
    </r>
    <r>
      <rPr>
        <b/>
        <sz val="11"/>
        <color theme="1"/>
        <rFont val="Calibri"/>
        <family val="2"/>
        <scheme val="minor"/>
      </rPr>
      <t>Discount Value = Total × Discount %</t>
    </r>
    <r>
      <rPr>
        <sz val="11"/>
        <color theme="1"/>
        <rFont val="Calibri"/>
        <family val="2"/>
        <scheme val="minor"/>
      </rPr>
      <t xml:space="preserve"> for each sale.</t>
    </r>
  </si>
  <si>
    <r>
      <t xml:space="preserve">Add a column showing </t>
    </r>
    <r>
      <rPr>
        <b/>
        <sz val="11"/>
        <color theme="1"/>
        <rFont val="Calibri"/>
        <family val="2"/>
        <scheme val="minor"/>
      </rPr>
      <t>Net Amount = Total − Discount Value</t>
    </r>
    <r>
      <rPr>
        <sz val="11"/>
        <color theme="1"/>
        <rFont val="Calibri"/>
        <family val="2"/>
        <scheme val="minor"/>
      </rPr>
      <t>.</t>
    </r>
  </si>
  <si>
    <r>
      <t xml:space="preserve">If a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in Sales_Data is </t>
    </r>
    <r>
      <rPr>
        <b/>
        <sz val="11"/>
        <color theme="1"/>
        <rFont val="Calibri"/>
        <family val="2"/>
        <scheme val="minor"/>
      </rPr>
      <t>invalid or missing</t>
    </r>
    <r>
      <rPr>
        <sz val="11"/>
        <color theme="1"/>
        <rFont val="Calibri"/>
        <family val="2"/>
        <scheme val="minor"/>
      </rPr>
      <t xml:space="preserve">, return </t>
    </r>
    <r>
      <rPr>
        <b/>
        <sz val="11"/>
        <color theme="1"/>
        <rFont val="Calibri"/>
        <family val="2"/>
        <scheme val="minor"/>
      </rPr>
      <t>“Invalid Product”</t>
    </r>
    <r>
      <rPr>
        <sz val="11"/>
        <color theme="1"/>
        <rFont val="Calibri"/>
        <family val="2"/>
        <scheme val="minor"/>
      </rPr>
      <t xml:space="preserve"> instead of an error.</t>
    </r>
  </si>
  <si>
    <r>
      <t xml:space="preserve">Fetch </t>
    </r>
    <r>
      <rPr>
        <b/>
        <sz val="11"/>
        <color theme="1"/>
        <rFont val="Calibri"/>
        <family val="2"/>
        <scheme val="minor"/>
      </rPr>
      <t>Product Category</t>
    </r>
    <r>
      <rPr>
        <sz val="11"/>
        <color theme="1"/>
        <rFont val="Calibri"/>
        <family val="2"/>
        <scheme val="minor"/>
      </rPr>
      <t xml:space="preserve"> only if </t>
    </r>
    <r>
      <rPr>
        <b/>
        <sz val="11"/>
        <color theme="1"/>
        <rFont val="Calibri"/>
        <family val="2"/>
        <scheme val="minor"/>
      </rPr>
      <t>Quantity &gt; 1</t>
    </r>
    <r>
      <rPr>
        <sz val="11"/>
        <color theme="1"/>
        <rFont val="Calibri"/>
        <family val="2"/>
        <scheme val="minor"/>
      </rPr>
      <t>, otherwise return blank.</t>
    </r>
  </si>
  <si>
    <r>
      <t xml:space="preserve">Create a formula to return </t>
    </r>
    <r>
      <rPr>
        <b/>
        <sz val="11"/>
        <color theme="1"/>
        <rFont val="Calibri"/>
        <family val="2"/>
        <scheme val="minor"/>
      </rPr>
      <t>“Premium Product”</t>
    </r>
    <r>
      <rPr>
        <sz val="11"/>
        <color theme="1"/>
        <rFont val="Calibri"/>
        <family val="2"/>
        <scheme val="minor"/>
      </rPr>
      <t xml:space="preserve"> if </t>
    </r>
    <r>
      <rPr>
        <sz val="10"/>
        <color theme="1"/>
        <rFont val="Arial Unicode MS"/>
      </rPr>
      <t>Unit_Price &gt; 25000</t>
    </r>
    <r>
      <rPr>
        <sz val="11"/>
        <color theme="1"/>
        <rFont val="Calibri"/>
        <family val="2"/>
        <scheme val="minor"/>
      </rPr>
      <t xml:space="preserve">, else </t>
    </r>
    <r>
      <rPr>
        <b/>
        <sz val="11"/>
        <color theme="1"/>
        <rFont val="Calibri"/>
        <family val="2"/>
        <scheme val="minor"/>
      </rPr>
      <t>“Regular”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</si>
  <si>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Brand</t>
    </r>
    <r>
      <rPr>
        <sz val="11"/>
        <color theme="1"/>
        <rFont val="Calibri"/>
        <family val="2"/>
        <scheme val="minor"/>
      </rPr>
      <t xml:space="preserve"> of the most expensive product.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</si>
  <si>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 xml:space="preserve"> who bought product </t>
    </r>
    <r>
      <rPr>
        <b/>
        <sz val="11"/>
        <color theme="1"/>
        <rFont val="Calibri"/>
        <family val="2"/>
        <scheme val="minor"/>
      </rPr>
      <t>“Smartwatch FitX”</t>
    </r>
    <r>
      <rPr>
        <sz val="11"/>
        <color theme="1"/>
        <rFont val="Calibri"/>
        <family val="2"/>
        <scheme val="minor"/>
      </rPr>
      <t>.</t>
    </r>
  </si>
  <si>
    <r>
      <t xml:space="preserve">Find which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has purchased the </t>
    </r>
    <r>
      <rPr>
        <b/>
        <sz val="11"/>
        <color theme="1"/>
        <rFont val="Calibri"/>
        <family val="2"/>
        <scheme val="minor"/>
      </rPr>
      <t>highest-priced product</t>
    </r>
    <r>
      <rPr>
        <sz val="11"/>
        <color theme="1"/>
        <rFont val="Calibri"/>
        <family val="2"/>
        <scheme val="minor"/>
      </rPr>
      <t>.</t>
    </r>
  </si>
  <si>
    <r>
      <t xml:space="preserve">Display </t>
    </r>
    <r>
      <rPr>
        <b/>
        <sz val="11"/>
        <color theme="1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Net Amount</t>
    </r>
    <r>
      <rPr>
        <sz val="11"/>
        <color theme="1"/>
        <rFont val="Calibri"/>
        <family val="2"/>
        <scheme val="minor"/>
      </rPr>
      <t xml:space="preserve"> all in one table.</t>
    </r>
  </si>
  <si>
    <t>product name</t>
  </si>
  <si>
    <t>Primary Key</t>
  </si>
  <si>
    <t xml:space="preserve">Foreign Key </t>
  </si>
  <si>
    <t>Normalizations</t>
  </si>
  <si>
    <t>Personal Data</t>
  </si>
  <si>
    <t xml:space="preserve">Educational </t>
  </si>
  <si>
    <t>Police Verfication</t>
  </si>
  <si>
    <t>Experience</t>
  </si>
  <si>
    <t>Jayant</t>
  </si>
  <si>
    <t xml:space="preserve">Cause  </t>
  </si>
  <si>
    <t>Slow</t>
  </si>
  <si>
    <t>time</t>
  </si>
  <si>
    <t xml:space="preserve">Error </t>
  </si>
  <si>
    <t>Fail</t>
  </si>
  <si>
    <t>Divions of Data into multiple groups is called normalization</t>
  </si>
  <si>
    <t>Aaddhaar NO</t>
  </si>
  <si>
    <t>LookUp Value</t>
  </si>
  <si>
    <t>Return Array</t>
  </si>
  <si>
    <t>Look up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</si>
</sst>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9" fontId="0" fillId="0" borderId="1" xfId="0" applyNumberFormat="1" applyBorder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zoomScale="124" workbookViewId="0">
      <selection activeCell="B11" sqref="B11"/>
    </sheetView>
  </sheetViews>
  <sheetFormatPr defaultRowHeight="14.6"/>
  <cols>
    <col min="1" max="1" width="10.4609375" bestFit="1" customWidth="1"/>
    <col min="2" max="2" width="16.07421875" bestFit="1" customWidth="1"/>
    <col min="3" max="3" width="13.07421875" bestFit="1" customWidth="1"/>
    <col min="4" max="4" width="12.3046875" bestFit="1" customWidth="1"/>
    <col min="5" max="5" width="9.69140625" bestFit="1" customWidth="1"/>
    <col min="6" max="6" width="5.69140625" bestFit="1" customWidth="1"/>
    <col min="9" max="9" width="13.4609375" bestFit="1" customWidth="1"/>
    <col min="10" max="10" width="11" bestFit="1" customWidth="1"/>
    <col min="11" max="11" width="15.4609375" bestFit="1" customWidth="1"/>
    <col min="12" max="12" width="9.84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>
      <c r="A2" s="3" t="s">
        <v>6</v>
      </c>
      <c r="B2" s="3" t="s">
        <v>16</v>
      </c>
      <c r="C2" s="3" t="s">
        <v>26</v>
      </c>
      <c r="D2" s="3" t="s">
        <v>31</v>
      </c>
      <c r="E2" s="3">
        <v>58000</v>
      </c>
      <c r="F2" s="3">
        <v>35</v>
      </c>
      <c r="M2" s="2"/>
    </row>
    <row r="3" spans="1:13">
      <c r="A3" s="3" t="s">
        <v>7</v>
      </c>
      <c r="B3" s="3" t="s">
        <v>17</v>
      </c>
      <c r="C3" s="3" t="s">
        <v>26</v>
      </c>
      <c r="D3" s="3" t="s">
        <v>32</v>
      </c>
      <c r="E3" s="3">
        <v>62000</v>
      </c>
      <c r="F3" s="3">
        <v>25</v>
      </c>
      <c r="I3" t="s">
        <v>144</v>
      </c>
      <c r="J3" t="s">
        <v>155</v>
      </c>
    </row>
    <row r="4" spans="1:13">
      <c r="A4" s="3" t="s">
        <v>8</v>
      </c>
      <c r="B4" s="3" t="s">
        <v>18</v>
      </c>
      <c r="C4" s="3" t="s">
        <v>27</v>
      </c>
      <c r="D4" s="3" t="s">
        <v>33</v>
      </c>
      <c r="E4" s="3">
        <v>1200</v>
      </c>
      <c r="F4" s="3">
        <v>120</v>
      </c>
      <c r="I4" t="s">
        <v>142</v>
      </c>
      <c r="J4" t="s">
        <v>156</v>
      </c>
    </row>
    <row r="5" spans="1:13">
      <c r="A5" s="3" t="s">
        <v>9</v>
      </c>
      <c r="B5" s="3" t="s">
        <v>19</v>
      </c>
      <c r="C5" s="3" t="s">
        <v>27</v>
      </c>
      <c r="D5" s="3" t="s">
        <v>34</v>
      </c>
      <c r="E5" s="3">
        <v>2500</v>
      </c>
      <c r="F5" s="3">
        <v>90</v>
      </c>
      <c r="I5" t="s">
        <v>143</v>
      </c>
    </row>
    <row r="6" spans="1:13">
      <c r="A6" s="3" t="s">
        <v>10</v>
      </c>
      <c r="B6" s="3" t="s">
        <v>20</v>
      </c>
      <c r="C6" s="3" t="s">
        <v>28</v>
      </c>
      <c r="D6" s="3" t="s">
        <v>35</v>
      </c>
      <c r="E6" s="3">
        <v>14500</v>
      </c>
      <c r="F6" s="3">
        <v>60</v>
      </c>
    </row>
    <row r="7" spans="1:13">
      <c r="A7" s="3" t="s">
        <v>11</v>
      </c>
      <c r="B7" s="3" t="s">
        <v>21</v>
      </c>
      <c r="C7" s="3" t="s">
        <v>29</v>
      </c>
      <c r="D7" s="3" t="s">
        <v>36</v>
      </c>
      <c r="E7" s="3">
        <v>19999</v>
      </c>
      <c r="F7" s="3">
        <v>75</v>
      </c>
    </row>
    <row r="8" spans="1:13">
      <c r="A8" s="3" t="s">
        <v>12</v>
      </c>
      <c r="B8" s="3" t="s">
        <v>22</v>
      </c>
      <c r="C8" s="3" t="s">
        <v>26</v>
      </c>
      <c r="D8" s="3" t="s">
        <v>37</v>
      </c>
      <c r="E8" s="3">
        <v>27500</v>
      </c>
      <c r="F8" s="3">
        <v>40</v>
      </c>
    </row>
    <row r="9" spans="1:13">
      <c r="A9" s="3" t="s">
        <v>13</v>
      </c>
      <c r="B9" s="3" t="s">
        <v>23</v>
      </c>
      <c r="C9" s="3" t="s">
        <v>30</v>
      </c>
      <c r="D9" s="3" t="s">
        <v>38</v>
      </c>
      <c r="E9" s="3">
        <v>2499</v>
      </c>
      <c r="F9" s="3">
        <v>150</v>
      </c>
    </row>
    <row r="10" spans="1:13">
      <c r="A10" s="3" t="s">
        <v>14</v>
      </c>
      <c r="B10" s="3" t="s">
        <v>24</v>
      </c>
      <c r="C10" s="3" t="s">
        <v>27</v>
      </c>
      <c r="D10" s="3" t="s">
        <v>39</v>
      </c>
      <c r="E10" s="3">
        <v>1899</v>
      </c>
      <c r="F10" s="3">
        <v>85</v>
      </c>
    </row>
    <row r="11" spans="1:13">
      <c r="A11" s="3" t="s">
        <v>15</v>
      </c>
      <c r="B11" s="3" t="s">
        <v>25</v>
      </c>
      <c r="C11" s="3" t="s">
        <v>30</v>
      </c>
      <c r="D11" s="3" t="s">
        <v>40</v>
      </c>
      <c r="E11" s="3">
        <v>3299</v>
      </c>
      <c r="F11" s="3">
        <v>45</v>
      </c>
    </row>
    <row r="12" spans="1:13">
      <c r="I12" t="s">
        <v>145</v>
      </c>
      <c r="J12" t="s">
        <v>146</v>
      </c>
      <c r="K12" t="s">
        <v>147</v>
      </c>
      <c r="L12" t="s">
        <v>148</v>
      </c>
    </row>
    <row r="13" spans="1:13">
      <c r="H13" t="s">
        <v>149</v>
      </c>
      <c r="I13">
        <v>5</v>
      </c>
      <c r="J13">
        <v>4</v>
      </c>
      <c r="K13">
        <v>3</v>
      </c>
      <c r="L13">
        <v>6</v>
      </c>
    </row>
    <row r="14" spans="1:13">
      <c r="H14" t="s">
        <v>150</v>
      </c>
      <c r="I14" t="s">
        <v>151</v>
      </c>
      <c r="J14" t="s">
        <v>152</v>
      </c>
      <c r="K14" t="s">
        <v>153</v>
      </c>
      <c r="L14" t="s">
        <v>154</v>
      </c>
    </row>
    <row r="16" spans="1:13">
      <c r="B16" t="s">
        <v>11</v>
      </c>
      <c r="C16">
        <f>_xlfn.XLOOKUP(B16,A2:A11,E2:E11)</f>
        <v>19999</v>
      </c>
    </row>
    <row r="18" spans="3:5">
      <c r="C18" t="s">
        <v>157</v>
      </c>
      <c r="D18" t="s">
        <v>159</v>
      </c>
      <c r="E18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B3" sqref="B3"/>
    </sheetView>
  </sheetViews>
  <sheetFormatPr defaultRowHeight="14.6"/>
  <cols>
    <col min="1" max="1" width="14.53515625" bestFit="1" customWidth="1"/>
    <col min="2" max="2" width="6.84375" bestFit="1" customWidth="1"/>
  </cols>
  <sheetData>
    <row r="1" spans="1:2">
      <c r="A1" s="1" t="s">
        <v>44</v>
      </c>
      <c r="B1" s="1" t="s">
        <v>108</v>
      </c>
    </row>
    <row r="2" spans="1:2">
      <c r="A2" s="3" t="s">
        <v>77</v>
      </c>
      <c r="B2" s="3" t="s">
        <v>109</v>
      </c>
    </row>
    <row r="3" spans="1:2">
      <c r="A3" s="3" t="s">
        <v>78</v>
      </c>
      <c r="B3" s="3" t="s">
        <v>109</v>
      </c>
    </row>
    <row r="4" spans="1:2">
      <c r="A4" s="3" t="s">
        <v>70</v>
      </c>
      <c r="B4" s="3" t="s">
        <v>110</v>
      </c>
    </row>
    <row r="5" spans="1:2">
      <c r="A5" s="3" t="s">
        <v>79</v>
      </c>
      <c r="B5" s="3" t="s">
        <v>110</v>
      </c>
    </row>
    <row r="6" spans="1:2">
      <c r="A6" s="3" t="s">
        <v>80</v>
      </c>
      <c r="B6" s="3" t="s">
        <v>111</v>
      </c>
    </row>
    <row r="7" spans="1:2">
      <c r="A7" s="3" t="s">
        <v>81</v>
      </c>
      <c r="B7" s="3" t="s">
        <v>110</v>
      </c>
    </row>
    <row r="8" spans="1:2">
      <c r="A8" s="3" t="s">
        <v>74</v>
      </c>
      <c r="B8" s="3" t="s">
        <v>109</v>
      </c>
    </row>
    <row r="9" spans="1:2">
      <c r="A9" s="3" t="s">
        <v>82</v>
      </c>
      <c r="B9" s="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D7" sqref="D7"/>
    </sheetView>
  </sheetViews>
  <sheetFormatPr defaultRowHeight="14.6"/>
  <cols>
    <col min="1" max="1" width="7.4609375" bestFit="1" customWidth="1"/>
    <col min="2" max="2" width="15.23046875" bestFit="1" customWidth="1"/>
    <col min="3" max="3" width="10.69140625" bestFit="1" customWidth="1"/>
    <col min="4" max="4" width="14.53515625" bestFit="1" customWidth="1"/>
    <col min="5" max="5" width="4.23046875" bestFit="1" customWidth="1"/>
    <col min="6" max="6" width="7.07421875" bestFit="1" customWidth="1"/>
  </cols>
  <sheetData>
    <row r="1" spans="1:6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s="3" t="s">
        <v>47</v>
      </c>
      <c r="B2" s="3" t="s">
        <v>57</v>
      </c>
      <c r="C2" s="3" t="s">
        <v>67</v>
      </c>
      <c r="D2" s="3" t="s">
        <v>77</v>
      </c>
      <c r="E2" s="3">
        <v>34</v>
      </c>
      <c r="F2" s="3" t="s">
        <v>83</v>
      </c>
    </row>
    <row r="3" spans="1:6">
      <c r="A3" s="3" t="s">
        <v>48</v>
      </c>
      <c r="B3" s="3" t="s">
        <v>58</v>
      </c>
      <c r="C3" s="3" t="s">
        <v>68</v>
      </c>
      <c r="D3" s="3" t="s">
        <v>77</v>
      </c>
      <c r="E3" s="3">
        <v>29</v>
      </c>
      <c r="F3" s="3" t="s">
        <v>84</v>
      </c>
    </row>
    <row r="4" spans="1:6">
      <c r="A4" s="3" t="s">
        <v>49</v>
      </c>
      <c r="B4" s="3" t="s">
        <v>59</v>
      </c>
      <c r="C4" s="3" t="s">
        <v>69</v>
      </c>
      <c r="D4" s="3" t="s">
        <v>78</v>
      </c>
      <c r="E4" s="3">
        <v>41</v>
      </c>
      <c r="F4" s="3" t="s">
        <v>83</v>
      </c>
    </row>
    <row r="5" spans="1:6">
      <c r="A5" s="3" t="s">
        <v>50</v>
      </c>
      <c r="B5" s="3" t="s">
        <v>60</v>
      </c>
      <c r="C5" s="3" t="s">
        <v>70</v>
      </c>
      <c r="D5" s="3" t="s">
        <v>70</v>
      </c>
      <c r="E5" s="3">
        <v>27</v>
      </c>
      <c r="F5" s="3" t="s">
        <v>84</v>
      </c>
    </row>
    <row r="6" spans="1:6">
      <c r="A6" s="3" t="s">
        <v>51</v>
      </c>
      <c r="B6" s="3" t="s">
        <v>61</v>
      </c>
      <c r="C6" s="3" t="s">
        <v>71</v>
      </c>
      <c r="D6" s="3" t="s">
        <v>79</v>
      </c>
      <c r="E6" s="3">
        <v>36</v>
      </c>
      <c r="F6" s="3" t="s">
        <v>83</v>
      </c>
    </row>
    <row r="7" spans="1:6">
      <c r="A7" s="3" t="s">
        <v>52</v>
      </c>
      <c r="B7" s="3" t="s">
        <v>62</v>
      </c>
      <c r="C7" s="3" t="s">
        <v>72</v>
      </c>
      <c r="D7" s="3" t="s">
        <v>80</v>
      </c>
      <c r="E7" s="3">
        <v>31</v>
      </c>
      <c r="F7" s="3" t="s">
        <v>84</v>
      </c>
    </row>
    <row r="8" spans="1:6">
      <c r="A8" s="3" t="s">
        <v>53</v>
      </c>
      <c r="B8" s="3" t="s">
        <v>63</v>
      </c>
      <c r="C8" s="3" t="s">
        <v>73</v>
      </c>
      <c r="D8" s="3" t="s">
        <v>81</v>
      </c>
      <c r="E8" s="3">
        <v>39</v>
      </c>
      <c r="F8" s="3" t="s">
        <v>83</v>
      </c>
    </row>
    <row r="9" spans="1:6">
      <c r="A9" s="3" t="s">
        <v>54</v>
      </c>
      <c r="B9" s="3" t="s">
        <v>64</v>
      </c>
      <c r="C9" s="3" t="s">
        <v>74</v>
      </c>
      <c r="D9" s="3" t="s">
        <v>74</v>
      </c>
      <c r="E9" s="3">
        <v>26</v>
      </c>
      <c r="F9" s="3" t="s">
        <v>84</v>
      </c>
    </row>
    <row r="10" spans="1:6">
      <c r="A10" s="3" t="s">
        <v>55</v>
      </c>
      <c r="B10" s="3" t="s">
        <v>65</v>
      </c>
      <c r="C10" s="3" t="s">
        <v>75</v>
      </c>
      <c r="D10" s="3" t="s">
        <v>82</v>
      </c>
      <c r="E10" s="3">
        <v>45</v>
      </c>
      <c r="F10" s="3" t="s">
        <v>83</v>
      </c>
    </row>
    <row r="11" spans="1:6">
      <c r="A11" s="3" t="s">
        <v>56</v>
      </c>
      <c r="B11" s="3" t="s">
        <v>66</v>
      </c>
      <c r="C11" s="3" t="s">
        <v>76</v>
      </c>
      <c r="D11" s="3" t="s">
        <v>77</v>
      </c>
      <c r="E11" s="3">
        <v>33</v>
      </c>
      <c r="F11" s="3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zoomScale="130" zoomScaleNormal="130" workbookViewId="0">
      <selection activeCell="G8" sqref="G8"/>
    </sheetView>
  </sheetViews>
  <sheetFormatPr defaultRowHeight="14.6"/>
  <cols>
    <col min="1" max="1" width="9.84375" bestFit="1" customWidth="1"/>
    <col min="2" max="2" width="7.4609375" bestFit="1" customWidth="1"/>
    <col min="3" max="3" width="10.4609375" bestFit="1" customWidth="1"/>
    <col min="4" max="4" width="8.3046875" bestFit="1" customWidth="1"/>
    <col min="5" max="5" width="12" bestFit="1" customWidth="1"/>
    <col min="6" max="6" width="16.07421875" bestFit="1" customWidth="1"/>
    <col min="7" max="7" width="14.69140625" bestFit="1" customWidth="1"/>
    <col min="8" max="8" width="46.4609375" customWidth="1"/>
  </cols>
  <sheetData>
    <row r="1" spans="1:8" ht="18.649999999999999" customHeight="1">
      <c r="A1" s="1" t="s">
        <v>85</v>
      </c>
      <c r="B1" s="1" t="s">
        <v>41</v>
      </c>
      <c r="C1" s="1" t="s">
        <v>0</v>
      </c>
      <c r="D1" s="1" t="s">
        <v>86</v>
      </c>
      <c r="E1" s="1" t="s">
        <v>87</v>
      </c>
      <c r="F1" s="1" t="s">
        <v>141</v>
      </c>
      <c r="G1" s="9" t="s">
        <v>2</v>
      </c>
    </row>
    <row r="2" spans="1:8">
      <c r="A2" s="3" t="s">
        <v>88</v>
      </c>
      <c r="B2" s="3" t="s">
        <v>47</v>
      </c>
      <c r="C2" s="3" t="s">
        <v>8</v>
      </c>
      <c r="D2" s="3">
        <v>2</v>
      </c>
      <c r="E2" s="3" t="s">
        <v>98</v>
      </c>
      <c r="F2" s="3" t="str">
        <f>_xlfn.XLOOKUP(C2,Product_Master!$A$2:$A$11,Product_Master!$B$2:$B$11,"Invalid Product")</f>
        <v>Mouse Wireless</v>
      </c>
      <c r="G2" t="str">
        <f>_xlfn.XLOOKUP(C2,Product_Master!$A$2:$A$11,Product_Master!$C$2:$C$11)</f>
        <v>Accessories</v>
      </c>
    </row>
    <row r="3" spans="1:8">
      <c r="A3" s="3" t="s">
        <v>89</v>
      </c>
      <c r="B3" s="3" t="s">
        <v>50</v>
      </c>
      <c r="C3" s="3" t="s">
        <v>11</v>
      </c>
      <c r="D3" s="3">
        <v>1</v>
      </c>
      <c r="E3" s="3" t="s">
        <v>99</v>
      </c>
      <c r="F3" s="3" t="str">
        <f>_xlfn.XLOOKUP(C3,Product_Master!$A$2:$A$11,Product_Master!$B$2:$B$11,"Invalid Product")</f>
        <v>Smartphone X10</v>
      </c>
      <c r="G3" t="str">
        <f>_xlfn.XLOOKUP(C3,Product_Master!$A$2:$A$11,Product_Master!$C$2:$C$11)</f>
        <v>Mobile Phones</v>
      </c>
    </row>
    <row r="4" spans="1:8">
      <c r="A4" s="3" t="s">
        <v>90</v>
      </c>
      <c r="B4" s="3" t="s">
        <v>55</v>
      </c>
      <c r="C4" s="3" t="s">
        <v>7</v>
      </c>
      <c r="D4" s="3">
        <v>1</v>
      </c>
      <c r="E4" s="3" t="s">
        <v>100</v>
      </c>
      <c r="F4" s="3" t="str">
        <f>_xlfn.XLOOKUP(C4,Product_Master!$A$2:$A$11,Product_Master!$B$2:$B$11,"Invalid Product")</f>
        <v>Laptop 15" Max</v>
      </c>
      <c r="G4" t="str">
        <f>_xlfn.XLOOKUP(C4,Product_Master!$A$2:$A$11,Product_Master!$C$2:$C$11)</f>
        <v>Electronics</v>
      </c>
    </row>
    <row r="5" spans="1:8">
      <c r="A5" s="3" t="s">
        <v>91</v>
      </c>
      <c r="B5" s="3" t="s">
        <v>49</v>
      </c>
      <c r="C5" s="3" t="s">
        <v>14</v>
      </c>
      <c r="D5" s="3">
        <v>3</v>
      </c>
      <c r="E5" s="3" t="s">
        <v>101</v>
      </c>
      <c r="F5" s="3" t="str">
        <f>_xlfn.XLOOKUP(C5,Product_Master!$A$2:$A$11,Product_Master!$B$2:$B$11,"Invalid Product")</f>
        <v>Power Bank 20k</v>
      </c>
      <c r="G5" t="str">
        <f>_xlfn.XLOOKUP(C5,Product_Master!$A$2:$A$11,Product_Master!$C$2:$C$11)</f>
        <v>Accessories</v>
      </c>
    </row>
    <row r="6" spans="1:8">
      <c r="A6" s="3" t="s">
        <v>92</v>
      </c>
      <c r="B6" s="3" t="s">
        <v>51</v>
      </c>
      <c r="C6" s="3" t="s">
        <v>13</v>
      </c>
      <c r="D6" s="3">
        <v>2</v>
      </c>
      <c r="E6" s="3" t="s">
        <v>102</v>
      </c>
      <c r="F6" s="3" t="str">
        <f>_xlfn.XLOOKUP(C6,Product_Master!$A$2:$A$11,Product_Master!$B$2:$B$11,"Invalid Product")</f>
        <v>Earbuds Air 3</v>
      </c>
      <c r="G6" t="str">
        <f>_xlfn.XLOOKUP(C6,Product_Master!$A$2:$A$11,Product_Master!$C$2:$C$11)</f>
        <v>Audio</v>
      </c>
    </row>
    <row r="7" spans="1:8">
      <c r="A7" s="3" t="s">
        <v>93</v>
      </c>
      <c r="B7" s="3" t="s">
        <v>53</v>
      </c>
      <c r="C7" s="3" t="s">
        <v>15</v>
      </c>
      <c r="D7" s="3">
        <v>1</v>
      </c>
      <c r="E7" s="3" t="s">
        <v>103</v>
      </c>
      <c r="F7" s="3" t="str">
        <f>_xlfn.XLOOKUP(C7,Product_Master!$A$2:$A$11,Product_Master!$B$2:$B$11,"Invalid Product")</f>
        <v>Bluetooth Speaker</v>
      </c>
      <c r="G7" t="str">
        <f>_xlfn.XLOOKUP(C7,Product_Master!$A$2:$A$11,Product_Master!$C$2:$C$11)</f>
        <v>Audio</v>
      </c>
    </row>
    <row r="8" spans="1:8">
      <c r="A8" s="3" t="s">
        <v>94</v>
      </c>
      <c r="B8" s="3" t="s">
        <v>48</v>
      </c>
      <c r="C8" s="3" t="s">
        <v>6</v>
      </c>
      <c r="D8" s="3">
        <v>1</v>
      </c>
      <c r="E8" s="3" t="s">
        <v>104</v>
      </c>
      <c r="F8" s="3" t="str">
        <f>_xlfn.XLOOKUP(C8,Product_Master!$A$2:$A$11,Product_Master!$B$2:$B$11,"Invalid Product")</f>
        <v>Laptop 14" Pro</v>
      </c>
      <c r="G8" t="str">
        <f>_xlfn.XLOOKUP(C8,Product_Master!$A$2:$A$11,Product_Master!$C$2:$C$11)</f>
        <v>Electronics</v>
      </c>
    </row>
    <row r="9" spans="1:8">
      <c r="A9" s="3" t="s">
        <v>95</v>
      </c>
      <c r="B9" s="3" t="s">
        <v>56</v>
      </c>
      <c r="C9" s="3" t="s">
        <v>10</v>
      </c>
      <c r="D9" s="3">
        <v>1</v>
      </c>
      <c r="E9" s="3" t="s">
        <v>105</v>
      </c>
      <c r="F9" s="3" t="str">
        <f>_xlfn.XLOOKUP(C9,Product_Master!$A$2:$A$11,Product_Master!$B$2:$B$11,"Invalid Product")</f>
        <v>Smartwatch FitX</v>
      </c>
      <c r="G9" t="str">
        <f>_xlfn.XLOOKUP(C9,Product_Master!$A$2:$A$11,Product_Master!$C$2:$C$11)</f>
        <v>Wearables</v>
      </c>
    </row>
    <row r="10" spans="1:8">
      <c r="A10" s="3" t="s">
        <v>96</v>
      </c>
      <c r="B10" s="3" t="s">
        <v>52</v>
      </c>
      <c r="C10" s="3" t="s">
        <v>9</v>
      </c>
      <c r="D10" s="3">
        <v>2</v>
      </c>
      <c r="E10" s="3" t="s">
        <v>106</v>
      </c>
      <c r="F10" s="3" t="str">
        <f>_xlfn.XLOOKUP(C10,Product_Master!$A$2:$A$11,Product_Master!$B$2:$B$11,"Invalid Product")</f>
        <v>Keyboard Mech.</v>
      </c>
      <c r="G10" t="str">
        <f>_xlfn.XLOOKUP(C10,Product_Master!$A$2:$A$11,Product_Master!$C$2:$C$11)</f>
        <v>Accessories</v>
      </c>
    </row>
    <row r="11" spans="1:8">
      <c r="A11" s="3" t="s">
        <v>97</v>
      </c>
      <c r="B11" s="3" t="s">
        <v>54</v>
      </c>
      <c r="C11" s="3" t="s">
        <v>12</v>
      </c>
      <c r="D11" s="3">
        <v>1</v>
      </c>
      <c r="E11" s="3" t="s">
        <v>107</v>
      </c>
      <c r="F11" s="3" t="str">
        <f>_xlfn.XLOOKUP(C11,Product_Master!$A$2:$A$11,Product_Master!$B$2:$B$11,"Invalid Product")</f>
        <v>Tablet TabPro</v>
      </c>
      <c r="G11" t="str">
        <f>_xlfn.XLOOKUP(C11,Product_Master!$A$2:$A$11,Product_Master!$C$2:$C$11)</f>
        <v>Electronics</v>
      </c>
    </row>
    <row r="14" spans="1:8" ht="29.15">
      <c r="H14" s="6" t="s">
        <v>124</v>
      </c>
    </row>
  </sheetData>
  <autoFilter ref="A1:G11" xr:uid="{00000000-0001-0000-02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6" sqref="B6"/>
    </sheetView>
  </sheetViews>
  <sheetFormatPr defaultRowHeight="14.6"/>
  <cols>
    <col min="1" max="1" width="13.07421875" bestFit="1" customWidth="1"/>
    <col min="2" max="2" width="15.84375" bestFit="1" customWidth="1"/>
  </cols>
  <sheetData>
    <row r="1" spans="1:2">
      <c r="A1" s="1" t="s">
        <v>2</v>
      </c>
      <c r="B1" s="1" t="s">
        <v>113</v>
      </c>
    </row>
    <row r="2" spans="1:2">
      <c r="A2" s="3" t="s">
        <v>26</v>
      </c>
      <c r="B2" s="8">
        <v>0.1</v>
      </c>
    </row>
    <row r="3" spans="1:2">
      <c r="A3" s="3" t="s">
        <v>27</v>
      </c>
      <c r="B3" s="3" t="s">
        <v>114</v>
      </c>
    </row>
    <row r="4" spans="1:2">
      <c r="A4" s="3" t="s">
        <v>28</v>
      </c>
      <c r="B4" s="3" t="s">
        <v>115</v>
      </c>
    </row>
    <row r="5" spans="1:2">
      <c r="A5" s="3" t="s">
        <v>29</v>
      </c>
      <c r="B5" s="3" t="s">
        <v>116</v>
      </c>
    </row>
    <row r="6" spans="1:2">
      <c r="A6" s="3" t="s">
        <v>30</v>
      </c>
      <c r="B6" s="3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423E-6F84-4E19-B5F2-3C87CCAE14B8}">
  <dimension ref="A1:D22"/>
  <sheetViews>
    <sheetView tabSelected="1" zoomScale="58" workbookViewId="0">
      <selection activeCell="D13" sqref="D13"/>
    </sheetView>
  </sheetViews>
  <sheetFormatPr defaultRowHeight="14.6"/>
  <cols>
    <col min="1" max="1" width="8.84375" customWidth="1"/>
    <col min="2" max="2" width="45" customWidth="1"/>
    <col min="3" max="3" width="18.23046875" customWidth="1"/>
    <col min="4" max="4" width="26.4609375" customWidth="1"/>
  </cols>
  <sheetData>
    <row r="1" spans="1:4" ht="23.15">
      <c r="A1" s="7" t="s">
        <v>118</v>
      </c>
      <c r="B1" s="3"/>
      <c r="C1" s="3"/>
      <c r="D1" s="3"/>
    </row>
    <row r="2" spans="1:4">
      <c r="A2" s="4" t="s">
        <v>119</v>
      </c>
      <c r="B2" s="4" t="s">
        <v>120</v>
      </c>
      <c r="C2" s="4"/>
      <c r="D2" s="4"/>
    </row>
    <row r="3" spans="1:4">
      <c r="A3" s="5">
        <v>1</v>
      </c>
      <c r="B3" s="6" t="s">
        <v>121</v>
      </c>
      <c r="C3" s="6"/>
      <c r="D3" s="6"/>
    </row>
    <row r="4" spans="1:4">
      <c r="A4" s="5">
        <v>2</v>
      </c>
      <c r="B4" s="6" t="s">
        <v>122</v>
      </c>
      <c r="C4" s="6"/>
      <c r="D4" s="6"/>
    </row>
    <row r="5" spans="1:4">
      <c r="A5" s="5">
        <v>3</v>
      </c>
      <c r="B5" s="6" t="s">
        <v>123</v>
      </c>
      <c r="C5" s="6"/>
      <c r="D5" s="6"/>
    </row>
    <row r="6" spans="1:4" ht="29.15">
      <c r="A6" s="5">
        <v>4</v>
      </c>
      <c r="B6" s="6" t="s">
        <v>124</v>
      </c>
      <c r="C6" s="6"/>
      <c r="D6" s="6"/>
    </row>
    <row r="7" spans="1:4" ht="29.15">
      <c r="A7" s="5">
        <v>5</v>
      </c>
      <c r="B7" s="6" t="s">
        <v>125</v>
      </c>
      <c r="C7" s="6"/>
      <c r="D7" s="6"/>
    </row>
    <row r="8" spans="1:4">
      <c r="A8" s="5">
        <v>6</v>
      </c>
      <c r="B8" s="6" t="s">
        <v>126</v>
      </c>
      <c r="C8" s="6"/>
      <c r="D8" s="6"/>
    </row>
    <row r="9" spans="1:4" ht="29.15">
      <c r="A9" s="5">
        <v>7</v>
      </c>
      <c r="B9" s="6" t="s">
        <v>127</v>
      </c>
      <c r="C9" s="6"/>
      <c r="D9" s="6"/>
    </row>
    <row r="10" spans="1:4">
      <c r="A10" s="5">
        <v>8</v>
      </c>
      <c r="B10" s="6" t="s">
        <v>128</v>
      </c>
      <c r="C10" s="6"/>
      <c r="D10" s="6"/>
    </row>
    <row r="11" spans="1:4" ht="29.15">
      <c r="A11" s="5">
        <v>9</v>
      </c>
      <c r="B11" s="6" t="s">
        <v>129</v>
      </c>
      <c r="C11" s="6"/>
      <c r="D11" s="6"/>
    </row>
    <row r="12" spans="1:4" ht="29.15">
      <c r="A12" s="5">
        <v>10</v>
      </c>
      <c r="B12" s="6" t="s">
        <v>130</v>
      </c>
      <c r="C12" s="6"/>
      <c r="D12" s="6"/>
    </row>
    <row r="13" spans="1:4" ht="29.15">
      <c r="A13" s="5">
        <v>11</v>
      </c>
      <c r="B13" s="6" t="s">
        <v>131</v>
      </c>
      <c r="C13" s="6"/>
      <c r="D13" s="6"/>
    </row>
    <row r="14" spans="1:4" ht="29.15">
      <c r="A14" s="5">
        <v>12</v>
      </c>
      <c r="B14" s="6" t="s">
        <v>132</v>
      </c>
      <c r="C14" s="6"/>
      <c r="D14" s="6"/>
    </row>
    <row r="15" spans="1:4" ht="29.15">
      <c r="A15" s="5">
        <v>13</v>
      </c>
      <c r="B15" s="6" t="s">
        <v>133</v>
      </c>
      <c r="C15" s="6"/>
      <c r="D15" s="6"/>
    </row>
    <row r="16" spans="1:4" ht="29.15">
      <c r="A16" s="5">
        <v>14</v>
      </c>
      <c r="B16" s="6" t="s">
        <v>134</v>
      </c>
      <c r="C16" s="6"/>
      <c r="D16" s="6"/>
    </row>
    <row r="17" spans="1:4" ht="29.15">
      <c r="A17" s="5">
        <v>15</v>
      </c>
      <c r="B17" s="6" t="s">
        <v>135</v>
      </c>
      <c r="C17" s="6"/>
      <c r="D17" s="6"/>
    </row>
    <row r="18" spans="1:4" ht="29.15">
      <c r="A18" s="5">
        <v>16</v>
      </c>
      <c r="B18" s="6" t="s">
        <v>136</v>
      </c>
      <c r="C18" s="6"/>
      <c r="D18" s="6"/>
    </row>
    <row r="19" spans="1:4">
      <c r="A19" s="5">
        <v>17</v>
      </c>
      <c r="B19" s="6" t="s">
        <v>137</v>
      </c>
      <c r="C19" s="6"/>
      <c r="D19" s="6"/>
    </row>
    <row r="20" spans="1:4" ht="29.15">
      <c r="A20" s="5">
        <v>18</v>
      </c>
      <c r="B20" s="6" t="s">
        <v>138</v>
      </c>
      <c r="C20" s="6"/>
      <c r="D20" s="6"/>
    </row>
    <row r="21" spans="1:4" ht="29.15">
      <c r="A21" s="5">
        <v>19</v>
      </c>
      <c r="B21" s="6" t="s">
        <v>139</v>
      </c>
      <c r="C21" s="6"/>
      <c r="D21" s="6"/>
    </row>
    <row r="22" spans="1:4" ht="29.15">
      <c r="A22" s="5">
        <v>20</v>
      </c>
      <c r="B22" s="6" t="s">
        <v>140</v>
      </c>
      <c r="C22" s="6"/>
      <c r="D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Product_Master</vt:lpstr>
      <vt:lpstr>Region_Master</vt:lpstr>
      <vt:lpstr>Customer_Master</vt:lpstr>
      <vt:lpstr>Sales_Data</vt:lpstr>
      <vt:lpstr>Discount_Master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</cp:lastModifiedBy>
  <dcterms:created xsi:type="dcterms:W3CDTF">2025-11-01T06:31:05Z</dcterms:created>
  <dcterms:modified xsi:type="dcterms:W3CDTF">2026-10-23T13:57:12Z</dcterms:modified>
</cp:coreProperties>
</file>