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-Sales-Functions-Practice\"/>
    </mc:Choice>
  </mc:AlternateContent>
  <xr:revisionPtr revIDLastSave="0" documentId="13_ncr:1_{C0E7FB7C-9AA8-473A-A8F8-C94163077ED8}" xr6:coauthVersionLast="47" xr6:coauthVersionMax="47" xr10:uidLastSave="{00000000-0000-0000-0000-000000000000}"/>
  <bookViews>
    <workbookView xWindow="-103" yWindow="-103" windowWidth="16663" windowHeight="8863" xr2:uid="{D1AAFF07-D327-4BCE-95EC-450A2F2314B3}"/>
  </bookViews>
  <sheets>
    <sheet name="Sheet1" sheetId="1" r:id="rId1"/>
  </sheets>
  <definedNames>
    <definedName name="_xlnm._FilterDatabase" localSheetId="0" hidden="1">Sheet1!$A$1:$G$12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" i="1" l="1"/>
  <c r="E31" i="1"/>
  <c r="D32" i="1"/>
  <c r="D31" i="1"/>
  <c r="D30" i="1"/>
  <c r="C32" i="1"/>
  <c r="C31" i="1"/>
  <c r="C30" i="1"/>
  <c r="F24" i="1"/>
  <c r="G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I3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E30" i="1" l="1"/>
  <c r="I22" i="1"/>
  <c r="I18" i="1"/>
  <c r="I14" i="1"/>
  <c r="I10" i="1"/>
  <c r="I6" i="1"/>
  <c r="H24" i="1"/>
  <c r="I21" i="1"/>
  <c r="I17" i="1"/>
  <c r="I13" i="1"/>
  <c r="I9" i="1"/>
  <c r="I5" i="1"/>
  <c r="I20" i="1"/>
  <c r="I16" i="1"/>
  <c r="I12" i="1"/>
  <c r="I8" i="1"/>
  <c r="I4" i="1"/>
  <c r="I2" i="1"/>
  <c r="I19" i="1"/>
  <c r="I15" i="1"/>
  <c r="I11" i="1"/>
  <c r="I7" i="1"/>
</calcChain>
</file>

<file path=xl/sharedStrings.xml><?xml version="1.0" encoding="utf-8"?>
<sst xmlns="http://schemas.openxmlformats.org/spreadsheetml/2006/main" count="115" uniqueCount="89">
  <si>
    <t>Code</t>
  </si>
  <si>
    <t>First Name</t>
  </si>
  <si>
    <t>Last Name</t>
  </si>
  <si>
    <t>Full Name</t>
  </si>
  <si>
    <t>Location</t>
  </si>
  <si>
    <t>Marks</t>
  </si>
  <si>
    <t>J02</t>
  </si>
  <si>
    <t>Khushal</t>
  </si>
  <si>
    <t>Pandit</t>
  </si>
  <si>
    <t>J03</t>
  </si>
  <si>
    <t>Shubhangi</t>
  </si>
  <si>
    <t>Soanane</t>
  </si>
  <si>
    <t>J04</t>
  </si>
  <si>
    <t>Ahire</t>
  </si>
  <si>
    <t>Nashik</t>
  </si>
  <si>
    <t>Vaishnavi</t>
  </si>
  <si>
    <t>Avinash</t>
  </si>
  <si>
    <t>Borse</t>
  </si>
  <si>
    <t>J01</t>
  </si>
  <si>
    <t>Radhe</t>
  </si>
  <si>
    <t>Chavan</t>
  </si>
  <si>
    <t>Satana</t>
  </si>
  <si>
    <t>Sneha</t>
  </si>
  <si>
    <t>Khare</t>
  </si>
  <si>
    <t>Sweta</t>
  </si>
  <si>
    <t>khare</t>
  </si>
  <si>
    <t>Janhvi</t>
  </si>
  <si>
    <t>Mahajan</t>
  </si>
  <si>
    <t>Om</t>
  </si>
  <si>
    <t>Akansha</t>
  </si>
  <si>
    <t>Pawar</t>
  </si>
  <si>
    <t>Bhumi</t>
  </si>
  <si>
    <t>Shewale</t>
  </si>
  <si>
    <t>Chetna</t>
  </si>
  <si>
    <t xml:space="preserve">Harshada </t>
  </si>
  <si>
    <t>Deore</t>
  </si>
  <si>
    <t>Jyostna</t>
  </si>
  <si>
    <t>Shinde</t>
  </si>
  <si>
    <t>Lalit</t>
  </si>
  <si>
    <t>Lekha</t>
  </si>
  <si>
    <t>khairnar</t>
  </si>
  <si>
    <t>Mayur</t>
  </si>
  <si>
    <t>Ahir</t>
  </si>
  <si>
    <t>Pawan</t>
  </si>
  <si>
    <t>Gangurde</t>
  </si>
  <si>
    <t>Rupesh</t>
  </si>
  <si>
    <t xml:space="preserve">Sneha </t>
  </si>
  <si>
    <t>Sahare</t>
  </si>
  <si>
    <t>Tejaswani</t>
  </si>
  <si>
    <t>Nikam</t>
  </si>
  <si>
    <t>Bhamre</t>
  </si>
  <si>
    <t>Mahale</t>
  </si>
  <si>
    <t>Deola</t>
  </si>
  <si>
    <t>Rank</t>
  </si>
  <si>
    <t>Auto fill</t>
  </si>
  <si>
    <t>Text Join</t>
  </si>
  <si>
    <t>Basic formula</t>
  </si>
  <si>
    <t>Sum</t>
  </si>
  <si>
    <t>Count</t>
  </si>
  <si>
    <t>Average</t>
  </si>
  <si>
    <t>Sumif</t>
  </si>
  <si>
    <t>Countif</t>
  </si>
  <si>
    <t>if</t>
  </si>
  <si>
    <t>City</t>
  </si>
  <si>
    <t xml:space="preserve">Nashik </t>
  </si>
  <si>
    <t>Percentage</t>
  </si>
  <si>
    <t>Sr no.</t>
  </si>
  <si>
    <t>Topics</t>
  </si>
  <si>
    <t>Filter</t>
  </si>
  <si>
    <t>Formating</t>
  </si>
  <si>
    <t>Total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</si>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</sst>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000000"/>
      <name val="Arial"/>
      <family val="2"/>
    </font>
    <font>
      <sz val="10"/>
      <color theme="1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horizontal="right" wrapText="1"/>
    </xf>
    <xf numFmtId="0" fontId="3" fillId="0" borderId="0" xfId="0" applyFont="1" applyAlignment="1">
      <alignment wrapText="1"/>
    </xf>
    <xf numFmtId="0" fontId="1" fillId="2" borderId="8" xfId="0" applyFont="1" applyFill="1" applyBorder="1" applyAlignment="1">
      <alignment wrapText="1"/>
    </xf>
    <xf numFmtId="9" fontId="0" fillId="0" borderId="0" xfId="0" applyNumberFormat="1"/>
    <xf numFmtId="0" fontId="3" fillId="0" borderId="9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1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13B9-CB26-445D-BAD8-2FCE4B2BAA61}">
  <dimension ref="A1:L32"/>
  <sheetViews>
    <sheetView tabSelected="1" zoomScale="88" zoomScaleNormal="88" workbookViewId="0">
      <selection activeCell="F6" sqref="F6"/>
    </sheetView>
  </sheetViews>
  <sheetFormatPr defaultColWidth="15" defaultRowHeight="14.6" x14ac:dyDescent="0.4"/>
  <cols>
    <col min="4" max="4" width="19.765625" bestFit="1" customWidth="1"/>
    <col min="8" max="8" width="17.53515625" bestFit="1" customWidth="1"/>
  </cols>
  <sheetData>
    <row r="1" spans="1:12" ht="15" thickBo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88</v>
      </c>
      <c r="H1" s="13" t="s">
        <v>65</v>
      </c>
      <c r="I1" s="13" t="s">
        <v>53</v>
      </c>
      <c r="K1" s="17" t="s">
        <v>66</v>
      </c>
      <c r="L1" s="17" t="s">
        <v>67</v>
      </c>
    </row>
    <row r="2" spans="1:12" ht="15" thickBot="1" x14ac:dyDescent="0.45">
      <c r="A2" s="4" t="s">
        <v>18</v>
      </c>
      <c r="B2" s="9" t="s">
        <v>29</v>
      </c>
      <c r="C2" s="9" t="s">
        <v>30</v>
      </c>
      <c r="D2" s="5" t="str">
        <f>B2&amp;" " &amp;C2</f>
        <v>Akansha Pawar</v>
      </c>
      <c r="E2" s="5" t="s">
        <v>21</v>
      </c>
      <c r="F2" s="11">
        <v>60</v>
      </c>
      <c r="G2" s="6">
        <v>90</v>
      </c>
      <c r="H2" s="14">
        <f>F2/G2</f>
        <v>0.66666666666666663</v>
      </c>
      <c r="I2">
        <f>RANK(H2,$H$2:$H$22,0)</f>
        <v>16</v>
      </c>
      <c r="K2" s="10">
        <v>1</v>
      </c>
      <c r="L2" s="10" t="s">
        <v>54</v>
      </c>
    </row>
    <row r="3" spans="1:12" ht="15" thickBot="1" x14ac:dyDescent="0.45">
      <c r="A3" s="4" t="s">
        <v>6</v>
      </c>
      <c r="B3" s="9" t="s">
        <v>16</v>
      </c>
      <c r="C3" s="9" t="s">
        <v>17</v>
      </c>
      <c r="D3" s="5" t="str">
        <f t="shared" ref="D3:D22" si="0">B3&amp;" " &amp;C3</f>
        <v>Avinash Borse</v>
      </c>
      <c r="E3" s="5" t="s">
        <v>52</v>
      </c>
      <c r="F3" s="11">
        <v>70</v>
      </c>
      <c r="G3" s="6">
        <v>90</v>
      </c>
      <c r="H3" s="14">
        <f t="shared" ref="H3:H22" si="1">F3/G3</f>
        <v>0.77777777777777779</v>
      </c>
      <c r="I3">
        <f t="shared" ref="I3:I22" si="2">RANK(H3,$H$2:$H$22,0)</f>
        <v>10</v>
      </c>
      <c r="K3" s="10">
        <v>2</v>
      </c>
      <c r="L3" s="10" t="s">
        <v>55</v>
      </c>
    </row>
    <row r="4" spans="1:12" ht="15" thickBot="1" x14ac:dyDescent="0.45">
      <c r="A4" s="4" t="s">
        <v>9</v>
      </c>
      <c r="B4" s="9" t="s">
        <v>31</v>
      </c>
      <c r="C4" s="10" t="s">
        <v>32</v>
      </c>
      <c r="D4" s="5" t="str">
        <f t="shared" si="0"/>
        <v>Bhumi Shewale</v>
      </c>
      <c r="E4" s="5" t="s">
        <v>52</v>
      </c>
      <c r="F4" s="10">
        <v>60</v>
      </c>
      <c r="G4" s="6">
        <v>90</v>
      </c>
      <c r="H4" s="14">
        <f t="shared" si="1"/>
        <v>0.66666666666666663</v>
      </c>
      <c r="I4">
        <f t="shared" si="2"/>
        <v>16</v>
      </c>
      <c r="K4" s="10">
        <v>3</v>
      </c>
      <c r="L4" s="10" t="s">
        <v>56</v>
      </c>
    </row>
    <row r="5" spans="1:12" ht="15" thickBot="1" x14ac:dyDescent="0.45">
      <c r="A5" s="4" t="s">
        <v>12</v>
      </c>
      <c r="B5" s="9" t="s">
        <v>33</v>
      </c>
      <c r="C5" s="10" t="s">
        <v>50</v>
      </c>
      <c r="D5" s="5" t="str">
        <f t="shared" si="0"/>
        <v>Chetna Bhamre</v>
      </c>
      <c r="E5" s="5" t="s">
        <v>14</v>
      </c>
      <c r="F5" s="11">
        <v>81</v>
      </c>
      <c r="G5" s="6">
        <v>90</v>
      </c>
      <c r="H5" s="14">
        <f t="shared" si="1"/>
        <v>0.9</v>
      </c>
      <c r="I5">
        <f t="shared" si="2"/>
        <v>6</v>
      </c>
      <c r="K5" s="10">
        <v>4</v>
      </c>
      <c r="L5" s="10" t="s">
        <v>53</v>
      </c>
    </row>
    <row r="6" spans="1:12" ht="15" thickBot="1" x14ac:dyDescent="0.45">
      <c r="A6" s="4" t="s">
        <v>71</v>
      </c>
      <c r="B6" s="9" t="s">
        <v>34</v>
      </c>
      <c r="C6" s="9" t="s">
        <v>35</v>
      </c>
      <c r="D6" s="5" t="str">
        <f t="shared" si="0"/>
        <v>Harshada  Deore</v>
      </c>
      <c r="E6" s="5" t="s">
        <v>21</v>
      </c>
      <c r="F6" s="11">
        <v>75</v>
      </c>
      <c r="G6" s="6">
        <v>90</v>
      </c>
      <c r="H6" s="14">
        <f t="shared" si="1"/>
        <v>0.83333333333333337</v>
      </c>
      <c r="I6">
        <f t="shared" si="2"/>
        <v>7</v>
      </c>
      <c r="K6" s="10">
        <v>5</v>
      </c>
      <c r="L6" s="10" t="s">
        <v>57</v>
      </c>
    </row>
    <row r="7" spans="1:12" ht="15" thickBot="1" x14ac:dyDescent="0.45">
      <c r="A7" s="4" t="s">
        <v>72</v>
      </c>
      <c r="B7" s="9" t="s">
        <v>26</v>
      </c>
      <c r="C7" s="9" t="s">
        <v>27</v>
      </c>
      <c r="D7" s="5" t="str">
        <f t="shared" si="0"/>
        <v>Janhvi Mahajan</v>
      </c>
      <c r="E7" s="5" t="s">
        <v>14</v>
      </c>
      <c r="F7" s="11">
        <v>65</v>
      </c>
      <c r="G7" s="6">
        <v>90</v>
      </c>
      <c r="H7" s="14">
        <f t="shared" si="1"/>
        <v>0.72222222222222221</v>
      </c>
      <c r="I7">
        <f t="shared" si="2"/>
        <v>14</v>
      </c>
      <c r="K7" s="10">
        <v>6</v>
      </c>
      <c r="L7" s="10" t="s">
        <v>58</v>
      </c>
    </row>
    <row r="8" spans="1:12" ht="15" thickBot="1" x14ac:dyDescent="0.45">
      <c r="A8" s="4" t="s">
        <v>73</v>
      </c>
      <c r="B8" s="9" t="s">
        <v>36</v>
      </c>
      <c r="C8" s="9" t="s">
        <v>37</v>
      </c>
      <c r="D8" s="5" t="str">
        <f t="shared" si="0"/>
        <v>Jyostna Shinde</v>
      </c>
      <c r="E8" s="5" t="s">
        <v>21</v>
      </c>
      <c r="F8" s="11">
        <v>75</v>
      </c>
      <c r="G8" s="6">
        <v>90</v>
      </c>
      <c r="H8" s="14">
        <f t="shared" si="1"/>
        <v>0.83333333333333337</v>
      </c>
      <c r="I8">
        <f t="shared" si="2"/>
        <v>7</v>
      </c>
      <c r="K8" s="10">
        <v>7</v>
      </c>
      <c r="L8" s="10" t="s">
        <v>59</v>
      </c>
    </row>
    <row r="9" spans="1:12" ht="15" thickBot="1" x14ac:dyDescent="0.45">
      <c r="A9" s="4" t="s">
        <v>74</v>
      </c>
      <c r="B9" s="9" t="s">
        <v>7</v>
      </c>
      <c r="C9" s="9" t="s">
        <v>8</v>
      </c>
      <c r="D9" s="5" t="str">
        <f t="shared" si="0"/>
        <v>Khushal Pandit</v>
      </c>
      <c r="E9" s="5" t="s">
        <v>21</v>
      </c>
      <c r="F9" s="11">
        <v>23</v>
      </c>
      <c r="G9" s="6">
        <v>90</v>
      </c>
      <c r="H9" s="14">
        <f t="shared" si="1"/>
        <v>0.25555555555555554</v>
      </c>
      <c r="I9">
        <f t="shared" si="2"/>
        <v>20</v>
      </c>
      <c r="K9" s="10">
        <v>8</v>
      </c>
      <c r="L9" s="10" t="s">
        <v>60</v>
      </c>
    </row>
    <row r="10" spans="1:12" ht="15" thickBot="1" x14ac:dyDescent="0.45">
      <c r="A10" s="4" t="s">
        <v>75</v>
      </c>
      <c r="B10" s="9" t="s">
        <v>38</v>
      </c>
      <c r="C10" s="9" t="s">
        <v>13</v>
      </c>
      <c r="D10" s="5" t="str">
        <f t="shared" si="0"/>
        <v>Lalit Ahire</v>
      </c>
      <c r="E10" s="5" t="s">
        <v>52</v>
      </c>
      <c r="F10" s="11">
        <v>85</v>
      </c>
      <c r="G10" s="6">
        <v>90</v>
      </c>
      <c r="H10" s="14">
        <f t="shared" si="1"/>
        <v>0.94444444444444442</v>
      </c>
      <c r="I10">
        <f t="shared" si="2"/>
        <v>4</v>
      </c>
      <c r="K10" s="10">
        <v>9</v>
      </c>
      <c r="L10" s="10" t="s">
        <v>61</v>
      </c>
    </row>
    <row r="11" spans="1:12" ht="15" thickBot="1" x14ac:dyDescent="0.45">
      <c r="A11" s="4" t="s">
        <v>76</v>
      </c>
      <c r="B11" s="9" t="s">
        <v>39</v>
      </c>
      <c r="C11" s="9" t="s">
        <v>40</v>
      </c>
      <c r="D11" s="5" t="str">
        <f t="shared" si="0"/>
        <v>Lekha khairnar</v>
      </c>
      <c r="E11" s="5" t="s">
        <v>14</v>
      </c>
      <c r="F11" s="11">
        <v>88</v>
      </c>
      <c r="G11" s="6">
        <v>90</v>
      </c>
      <c r="H11" s="14">
        <f t="shared" si="1"/>
        <v>0.97777777777777775</v>
      </c>
      <c r="I11">
        <f t="shared" si="2"/>
        <v>3</v>
      </c>
      <c r="K11" s="10">
        <v>10</v>
      </c>
      <c r="L11" s="10" t="s">
        <v>62</v>
      </c>
    </row>
    <row r="12" spans="1:12" ht="18.649999999999999" customHeight="1" thickBot="1" x14ac:dyDescent="0.45">
      <c r="A12" s="4" t="s">
        <v>77</v>
      </c>
      <c r="B12" s="9" t="s">
        <v>41</v>
      </c>
      <c r="C12" s="9" t="s">
        <v>27</v>
      </c>
      <c r="D12" s="5" t="str">
        <f t="shared" si="0"/>
        <v>Mayur Mahajan</v>
      </c>
      <c r="E12" s="7" t="s">
        <v>21</v>
      </c>
      <c r="F12" s="11">
        <v>89</v>
      </c>
      <c r="G12" s="8">
        <v>90</v>
      </c>
      <c r="H12" s="14">
        <f t="shared" si="1"/>
        <v>0.98888888888888893</v>
      </c>
      <c r="I12">
        <f t="shared" si="2"/>
        <v>1</v>
      </c>
      <c r="K12" s="10">
        <v>11</v>
      </c>
      <c r="L12" s="10" t="s">
        <v>68</v>
      </c>
    </row>
    <row r="13" spans="1:12" ht="15" thickBot="1" x14ac:dyDescent="0.45">
      <c r="A13" s="4" t="s">
        <v>78</v>
      </c>
      <c r="B13" s="9" t="s">
        <v>28</v>
      </c>
      <c r="C13" s="9" t="s">
        <v>42</v>
      </c>
      <c r="D13" s="5" t="str">
        <f t="shared" si="0"/>
        <v>Om Ahir</v>
      </c>
      <c r="E13" s="12" t="s">
        <v>14</v>
      </c>
      <c r="F13" s="11">
        <v>25</v>
      </c>
      <c r="G13" s="8">
        <v>90</v>
      </c>
      <c r="H13" s="14">
        <f t="shared" si="1"/>
        <v>0.27777777777777779</v>
      </c>
      <c r="I13">
        <f t="shared" si="2"/>
        <v>19</v>
      </c>
      <c r="K13" s="10">
        <v>12</v>
      </c>
      <c r="L13" s="10" t="s">
        <v>69</v>
      </c>
    </row>
    <row r="14" spans="1:12" ht="15" thickBot="1" x14ac:dyDescent="0.45">
      <c r="A14" s="4" t="s">
        <v>79</v>
      </c>
      <c r="B14" s="9" t="s">
        <v>43</v>
      </c>
      <c r="C14" s="9" t="s">
        <v>44</v>
      </c>
      <c r="D14" s="5" t="str">
        <f t="shared" si="0"/>
        <v>Pawan Gangurde</v>
      </c>
      <c r="E14" s="12" t="s">
        <v>21</v>
      </c>
      <c r="F14" s="11">
        <v>63</v>
      </c>
      <c r="G14" s="8">
        <v>90</v>
      </c>
      <c r="H14" s="14">
        <f t="shared" si="1"/>
        <v>0.7</v>
      </c>
      <c r="I14">
        <f t="shared" si="2"/>
        <v>15</v>
      </c>
    </row>
    <row r="15" spans="1:12" ht="15" thickBot="1" x14ac:dyDescent="0.45">
      <c r="A15" s="4" t="s">
        <v>80</v>
      </c>
      <c r="B15" s="9" t="s">
        <v>19</v>
      </c>
      <c r="C15" s="9" t="s">
        <v>20</v>
      </c>
      <c r="D15" s="5" t="str">
        <f t="shared" si="0"/>
        <v>Radhe Chavan</v>
      </c>
      <c r="E15" s="7" t="s">
        <v>21</v>
      </c>
      <c r="F15" s="11">
        <v>5</v>
      </c>
      <c r="G15" s="8">
        <v>90</v>
      </c>
      <c r="H15" s="14">
        <f t="shared" si="1"/>
        <v>5.5555555555555552E-2</v>
      </c>
      <c r="I15">
        <f t="shared" si="2"/>
        <v>21</v>
      </c>
    </row>
    <row r="16" spans="1:12" ht="15" thickBot="1" x14ac:dyDescent="0.45">
      <c r="A16" s="4" t="s">
        <v>81</v>
      </c>
      <c r="B16" s="9" t="s">
        <v>45</v>
      </c>
      <c r="C16" s="10" t="s">
        <v>49</v>
      </c>
      <c r="D16" s="5" t="str">
        <f t="shared" si="0"/>
        <v>Rupesh Nikam</v>
      </c>
      <c r="E16" s="12" t="s">
        <v>52</v>
      </c>
      <c r="F16" s="11">
        <v>45</v>
      </c>
      <c r="G16" s="8">
        <v>90</v>
      </c>
      <c r="H16" s="14">
        <f t="shared" si="1"/>
        <v>0.5</v>
      </c>
      <c r="I16">
        <f t="shared" si="2"/>
        <v>18</v>
      </c>
    </row>
    <row r="17" spans="1:9" ht="15" thickBot="1" x14ac:dyDescent="0.45">
      <c r="A17" s="4" t="s">
        <v>82</v>
      </c>
      <c r="B17" s="9" t="s">
        <v>10</v>
      </c>
      <c r="C17" s="9" t="s">
        <v>11</v>
      </c>
      <c r="D17" s="5" t="str">
        <f t="shared" si="0"/>
        <v>Shubhangi Soanane</v>
      </c>
      <c r="E17" s="12" t="s">
        <v>14</v>
      </c>
      <c r="F17" s="11">
        <v>66</v>
      </c>
      <c r="G17" s="8">
        <v>90</v>
      </c>
      <c r="H17" s="14">
        <f t="shared" si="1"/>
        <v>0.73333333333333328</v>
      </c>
      <c r="I17">
        <f t="shared" si="2"/>
        <v>13</v>
      </c>
    </row>
    <row r="18" spans="1:9" ht="15" thickBot="1" x14ac:dyDescent="0.45">
      <c r="A18" s="4" t="s">
        <v>83</v>
      </c>
      <c r="B18" s="9" t="s">
        <v>22</v>
      </c>
      <c r="C18" s="9" t="s">
        <v>23</v>
      </c>
      <c r="D18" s="5" t="str">
        <f t="shared" si="0"/>
        <v>Sneha Khare</v>
      </c>
      <c r="E18" s="7" t="s">
        <v>21</v>
      </c>
      <c r="F18" s="11">
        <v>70</v>
      </c>
      <c r="G18" s="8">
        <v>90</v>
      </c>
      <c r="H18" s="14">
        <f t="shared" si="1"/>
        <v>0.77777777777777779</v>
      </c>
      <c r="I18">
        <f t="shared" si="2"/>
        <v>10</v>
      </c>
    </row>
    <row r="19" spans="1:9" ht="15" thickBot="1" x14ac:dyDescent="0.45">
      <c r="A19" s="4" t="s">
        <v>84</v>
      </c>
      <c r="B19" s="9" t="s">
        <v>46</v>
      </c>
      <c r="C19" s="10" t="s">
        <v>47</v>
      </c>
      <c r="D19" s="5" t="str">
        <f t="shared" si="0"/>
        <v>Sneha  Sahare</v>
      </c>
      <c r="E19" s="12" t="s">
        <v>14</v>
      </c>
      <c r="F19" s="11">
        <v>89</v>
      </c>
      <c r="G19" s="8">
        <v>90</v>
      </c>
      <c r="H19" s="14">
        <f t="shared" si="1"/>
        <v>0.98888888888888893</v>
      </c>
      <c r="I19">
        <f t="shared" si="2"/>
        <v>1</v>
      </c>
    </row>
    <row r="20" spans="1:9" ht="15" thickBot="1" x14ac:dyDescent="0.45">
      <c r="A20" s="4" t="s">
        <v>85</v>
      </c>
      <c r="B20" s="9" t="s">
        <v>24</v>
      </c>
      <c r="C20" s="9" t="s">
        <v>25</v>
      </c>
      <c r="D20" s="5" t="str">
        <f t="shared" si="0"/>
        <v>Sweta khare</v>
      </c>
      <c r="E20" s="12" t="s">
        <v>14</v>
      </c>
      <c r="F20" s="11">
        <v>70</v>
      </c>
      <c r="G20" s="8">
        <v>90</v>
      </c>
      <c r="H20" s="14">
        <f t="shared" si="1"/>
        <v>0.77777777777777779</v>
      </c>
      <c r="I20">
        <f t="shared" si="2"/>
        <v>10</v>
      </c>
    </row>
    <row r="21" spans="1:9" ht="15" thickBot="1" x14ac:dyDescent="0.45">
      <c r="A21" s="4" t="s">
        <v>86</v>
      </c>
      <c r="B21" s="9" t="s">
        <v>48</v>
      </c>
      <c r="C21" s="10" t="s">
        <v>32</v>
      </c>
      <c r="D21" s="5" t="str">
        <f t="shared" si="0"/>
        <v>Tejaswani Shewale</v>
      </c>
      <c r="E21" s="12" t="s">
        <v>52</v>
      </c>
      <c r="F21" s="10">
        <v>75</v>
      </c>
      <c r="G21" s="8">
        <v>90</v>
      </c>
      <c r="H21" s="14">
        <f t="shared" si="1"/>
        <v>0.83333333333333337</v>
      </c>
      <c r="I21">
        <f t="shared" si="2"/>
        <v>7</v>
      </c>
    </row>
    <row r="22" spans="1:9" ht="15" thickBot="1" x14ac:dyDescent="0.45">
      <c r="A22" s="4" t="s">
        <v>87</v>
      </c>
      <c r="B22" s="9" t="s">
        <v>15</v>
      </c>
      <c r="C22" s="9" t="s">
        <v>51</v>
      </c>
      <c r="D22" s="5" t="str">
        <f t="shared" si="0"/>
        <v>Vaishnavi Mahale</v>
      </c>
      <c r="E22" s="7" t="s">
        <v>21</v>
      </c>
      <c r="F22" s="11">
        <v>85</v>
      </c>
      <c r="G22" s="8">
        <v>90</v>
      </c>
      <c r="H22" s="14">
        <f t="shared" si="1"/>
        <v>0.94444444444444442</v>
      </c>
      <c r="I22">
        <f t="shared" si="2"/>
        <v>4</v>
      </c>
    </row>
    <row r="23" spans="1:9" x14ac:dyDescent="0.4">
      <c r="E23" s="15"/>
      <c r="H23" s="14"/>
    </row>
    <row r="24" spans="1:9" x14ac:dyDescent="0.4">
      <c r="D24" t="s">
        <v>70</v>
      </c>
      <c r="F24">
        <f>SUM(F2:F22)</f>
        <v>1364</v>
      </c>
      <c r="G24">
        <f>SUM(G2:G22)</f>
        <v>1890</v>
      </c>
      <c r="H24" s="14">
        <f>AVERAGE(H2:H22)</f>
        <v>0.72169312169312172</v>
      </c>
    </row>
    <row r="25" spans="1:9" x14ac:dyDescent="0.4">
      <c r="E25" s="16"/>
    </row>
    <row r="28" spans="1:9" ht="15" thickBot="1" x14ac:dyDescent="0.45"/>
    <row r="29" spans="1:9" ht="15" thickBot="1" x14ac:dyDescent="0.45">
      <c r="B29" s="3" t="s">
        <v>63</v>
      </c>
      <c r="C29" s="3" t="s">
        <v>60</v>
      </c>
      <c r="D29" s="3" t="s">
        <v>61</v>
      </c>
      <c r="E29" s="3" t="s">
        <v>65</v>
      </c>
    </row>
    <row r="30" spans="1:9" x14ac:dyDescent="0.4">
      <c r="B30" s="10" t="s">
        <v>21</v>
      </c>
      <c r="C30" s="10">
        <f>SUMIF(E2:E22,E22,F2:F22)</f>
        <v>545</v>
      </c>
      <c r="D30" s="10">
        <f>COUNTIF(E2:E22,E12)</f>
        <v>9</v>
      </c>
      <c r="E30" s="18">
        <f>AVERAGEIF(E2:E22,E9,H2:H22)</f>
        <v>0.6728395061728395</v>
      </c>
    </row>
    <row r="31" spans="1:9" x14ac:dyDescent="0.4">
      <c r="B31" s="10" t="s">
        <v>64</v>
      </c>
      <c r="C31" s="10">
        <f>SUMIF(E2:E22,E19,F2:F22)</f>
        <v>484</v>
      </c>
      <c r="D31" s="10">
        <f>COUNTIF(E2:E22,E13)</f>
        <v>7</v>
      </c>
      <c r="E31" s="18">
        <f>AVERAGEIF(E2:E22,E13,H2:H22)</f>
        <v>0.76825396825396819</v>
      </c>
    </row>
    <row r="32" spans="1:9" x14ac:dyDescent="0.4">
      <c r="B32" s="10" t="s">
        <v>52</v>
      </c>
      <c r="C32" s="10">
        <f>SUMIF(E2:E22,E16,F2:F22)</f>
        <v>335</v>
      </c>
      <c r="D32" s="10">
        <f>COUNTIF(E2:E22,E16)</f>
        <v>5</v>
      </c>
      <c r="E32" s="18">
        <f>AVERAGEIF(E2:E22,E21,H2:H22)</f>
        <v>0.74444444444444446</v>
      </c>
    </row>
  </sheetData>
  <autoFilter ref="A1:G12" xr:uid="{345A13B9-CB26-445D-BAD8-2FCE4B2BAA61}">
    <sortState xmlns:xlrd2="http://schemas.microsoft.com/office/spreadsheetml/2017/richdata2" ref="A2:G12">
      <sortCondition ref="A1:A12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koche</dc:creator>
  <cp:lastModifiedBy>Neha</cp:lastModifiedBy>
  <dcterms:created xsi:type="dcterms:W3CDTF">2026-01-02T10:59:51Z</dcterms:created>
  <dcterms:modified xsi:type="dcterms:W3CDTF">2026-10-23T13:40:56Z</dcterms:modified>
</cp:coreProperties>
</file>